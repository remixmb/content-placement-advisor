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Inputs" sheetId="2" state="visible" r:id="rId2"/>
    <sheet xmlns:r="http://schemas.openxmlformats.org/officeDocument/2006/relationships" name="Placement Rules" sheetId="3" state="visible" r:id="rId3"/>
    <sheet xmlns:r="http://schemas.openxmlformats.org/officeDocument/2006/relationships" name="Terms" sheetId="4" state="visible" r:id="rId4"/>
    <sheet xmlns:r="http://schemas.openxmlformats.org/officeDocument/2006/relationships" name="Lists" sheetId="5" state="hidden" r:id="rId5"/>
    <sheet xmlns:r="http://schemas.openxmlformats.org/officeDocument/2006/relationships" name="Inferred Review" sheetId="6" state="visible" r:id="rId6"/>
  </sheets>
  <definedNames>
    <definedName name="input_affiliations">Inputs!$C$5</definedName>
    <definedName name="input_announcement_category">Inputs!$C$6</definedName>
    <definedName name="input_area_of_focus">Inputs!$C$7</definedName>
    <definedName name="input_audience">Inputs!$C$8</definedName>
    <definedName name="input_challenge_opportunities">Inputs!$C$9</definedName>
    <definedName name="input_context">Inputs!$C$10</definedName>
    <definedName name="input_enews_announcement_type">Inputs!$C$11</definedName>
    <definedName name="input_enews_audience">Inputs!$C$12</definedName>
    <definedName name="input_event_location">Inputs!$C$13</definedName>
    <definedName name="input_event_type">Inputs!$C$14</definedName>
    <definedName name="input_executive_education_focus">Inputs!$C$15</definedName>
    <definedName name="input_faculty_category">Inputs!$C$16</definedName>
    <definedName name="input_faculty_discipline">Inputs!$C$17</definedName>
    <definedName name="input_faculty_expertise">Inputs!$C$18</definedName>
    <definedName name="input_global_network_school">Inputs!$C$19</definedName>
    <definedName name="input_industry">Inputs!$C$20</definedName>
    <definedName name="input_location">Inputs!$C$21</definedName>
    <definedName name="input_modality">Inputs!$C$22</definedName>
    <definedName name="input_organizer">Inputs!$C$23</definedName>
    <definedName name="input_profile_type">Inputs!$C$24</definedName>
    <definedName name="input_program">Inputs!$C$25</definedName>
    <definedName name="input_story_categories">Inputs!$C$26</definedName>
    <definedName name="input_story_type">Inputs!$C$27</definedName>
    <definedName name="input_topics">Inputs!$C$28</definedName>
    <definedName name="input_content_type">Inputs!$B$2</definedName>
    <definedName name="_xlnm._FilterDatabase" localSheetId="2" hidden="1">'Placement Rules'!$A$1:$L$234</definedName>
    <definedName name="_xlnm._FilterDatabase" localSheetId="3" hidden="1">'Terms'!$A$1:$E$1057</definedName>
    <definedName name="_xlnm._FilterDatabase" localSheetId="5" hidden="1">'Inferred Review'!$A$1:$N$45</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color rgb="000563C1"/>
      <u val="single"/>
    </font>
    <font>
      <b val="1"/>
      <color rgb="00FFFFFF"/>
    </font>
    <font>
      <b val="1"/>
      <sz val="12"/>
    </font>
  </fonts>
  <fills count="15">
    <fill>
      <patternFill/>
    </fill>
    <fill>
      <patternFill patternType="gray125"/>
    </fill>
    <fill>
      <patternFill patternType="solid">
        <fgColor rgb="000C2340"/>
      </patternFill>
    </fill>
    <fill>
      <patternFill patternType="solid">
        <fgColor rgb="00EEF2F7"/>
      </patternFill>
    </fill>
    <fill>
      <patternFill patternType="solid">
        <fgColor rgb="00D9E2F3"/>
      </patternFill>
    </fill>
    <fill>
      <patternFill patternType="solid">
        <fgColor rgb="00FFF3D9"/>
      </patternFill>
    </fill>
    <fill>
      <patternFill patternType="solid">
        <fgColor rgb="00FDECEC"/>
      </patternFill>
    </fill>
    <fill>
      <patternFill patternType="solid">
        <fgColor rgb="00E8F4FD"/>
      </patternFill>
    </fill>
    <fill>
      <patternFill patternType="solid">
        <fgColor rgb="00E6F4EA"/>
      </patternFill>
    </fill>
    <fill>
      <patternFill patternType="solid">
        <fgColor rgb="00EAF3FF"/>
      </patternFill>
    </fill>
    <fill>
      <patternFill patternType="solid">
        <fgColor rgb="000B3A82"/>
      </patternFill>
    </fill>
    <fill>
      <patternFill patternType="solid">
        <fgColor rgb="00F5F7FB"/>
      </patternFill>
    </fill>
    <fill>
      <patternFill patternType="solid">
        <fgColor rgb="00EAF0FB"/>
      </patternFill>
    </fill>
    <fill>
      <patternFill patternType="solid">
        <fgColor rgb="00FFF3D6"/>
      </patternFill>
    </fill>
    <fill>
      <patternFill patternType="solid">
        <fgColor rgb="00FDEBEC"/>
      </patternFill>
    </fill>
  </fills>
  <borders count="6">
    <border>
      <left/>
      <right/>
      <top/>
      <bottom/>
      <diagonal/>
    </border>
    <border>
      <bottom style="thin">
        <color rgb="00D0D7DE"/>
      </bottom>
    </border>
    <border>
      <right/>
      <bottom style="thin">
        <color rgb="00D0D7DE"/>
      </bottom>
    </border>
    <border>
      <left/>
      <right/>
      <top/>
      <bottom style="thin">
        <color rgb="00D0D7DE"/>
      </bottom>
      <diagonal/>
    </border>
    <border>
      <left style="thin">
        <color rgb="00D0D7DE"/>
      </left>
      <right style="thin">
        <color rgb="00D0D7DE"/>
      </right>
      <top style="thin">
        <color rgb="00D0D7DE"/>
      </top>
      <bottom style="thin">
        <color rgb="00D0D7DE"/>
      </bottom>
    </border>
    <border>
      <left style="thin">
        <color rgb="00D9DEE8"/>
      </left>
      <right style="thin">
        <color rgb="00D9DEE8"/>
      </right>
      <top style="thin">
        <color rgb="00D9DEE8"/>
      </top>
      <bottom style="thin">
        <color rgb="00D9DEE8"/>
      </bottom>
    </border>
  </borders>
  <cellStyleXfs count="1">
    <xf numFmtId="0" fontId="0" fillId="0" borderId="0"/>
  </cellStyleXfs>
  <cellXfs count="34">
    <xf numFmtId="0" fontId="0" fillId="0" borderId="0" pivotButton="0" quotePrefix="0" xfId="0"/>
    <xf numFmtId="0" fontId="1" fillId="10" borderId="0" applyAlignment="1" pivotButton="0" quotePrefix="0" xfId="0">
      <alignment horizontal="left"/>
    </xf>
    <xf numFmtId="0" fontId="2" fillId="3" borderId="1" pivotButton="0" quotePrefix="0" xfId="0"/>
    <xf numFmtId="0" fontId="0" fillId="0" borderId="1" applyAlignment="1" pivotButton="0" quotePrefix="0" xfId="0">
      <alignment vertical="top" wrapText="1"/>
    </xf>
    <xf numFmtId="0" fontId="5" fillId="3" borderId="1" pivotButton="0" quotePrefix="0" xfId="0"/>
    <xf numFmtId="0" fontId="0" fillId="0" borderId="5" pivotButton="0" quotePrefix="0" xfId="0"/>
    <xf numFmtId="0" fontId="3" fillId="0" borderId="5" pivotButton="0" quotePrefix="0" xfId="0"/>
    <xf numFmtId="0" fontId="3" fillId="0" borderId="0" pivotButton="0" quotePrefix="0" xfId="0"/>
    <xf numFmtId="0" fontId="2" fillId="0" borderId="0" pivotButton="0" quotePrefix="0" xfId="0"/>
    <xf numFmtId="0" fontId="2" fillId="4" borderId="0" pivotButton="0" quotePrefix="0" xfId="0"/>
    <xf numFmtId="0" fontId="2" fillId="5" borderId="0" pivotButton="0" quotePrefix="0" xfId="0"/>
    <xf numFmtId="0" fontId="0" fillId="5" borderId="0" applyAlignment="1" pivotButton="0" quotePrefix="0" xfId="0">
      <alignment horizontal="center" vertical="center"/>
    </xf>
    <xf numFmtId="0" fontId="2" fillId="6" borderId="0" pivotButton="0" quotePrefix="0" xfId="0"/>
    <xf numFmtId="0" fontId="0" fillId="6" borderId="0" applyAlignment="1" pivotButton="0" quotePrefix="0" xfId="0">
      <alignment horizontal="center" vertical="center"/>
    </xf>
    <xf numFmtId="0" fontId="0" fillId="0" borderId="0" applyAlignment="1" pivotButton="0" quotePrefix="0" xfId="0">
      <alignment horizontal="center" vertical="center"/>
    </xf>
    <xf numFmtId="0" fontId="1" fillId="10" borderId="2" applyAlignment="1" pivotButton="0" quotePrefix="0" xfId="0">
      <alignment vertical="top" wrapText="1"/>
    </xf>
    <xf numFmtId="0" fontId="1" fillId="10" borderId="3" pivotButton="0" quotePrefix="0" xfId="0"/>
    <xf numFmtId="0" fontId="2" fillId="0" borderId="0" applyAlignment="1" pivotButton="0" quotePrefix="0" xfId="0">
      <alignment vertical="top" wrapText="1"/>
    </xf>
    <xf numFmtId="0" fontId="2" fillId="12" borderId="5"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4" fillId="10" borderId="5" applyAlignment="1" pivotButton="0" quotePrefix="0" xfId="0">
      <alignment horizontal="center"/>
    </xf>
    <xf numFmtId="0" fontId="0" fillId="11" borderId="5" applyAlignment="1" pivotButton="0" quotePrefix="0" xfId="0">
      <alignment vertical="top" wrapText="1"/>
    </xf>
    <xf numFmtId="0" fontId="0" fillId="7" borderId="5" applyAlignment="1" pivotButton="0" quotePrefix="0" xfId="0">
      <alignment vertical="top" wrapText="1"/>
    </xf>
    <xf numFmtId="0" fontId="0" fillId="0" borderId="5" applyAlignment="1" pivotButton="0" quotePrefix="0" xfId="0">
      <alignment vertical="top" wrapText="1"/>
    </xf>
    <xf numFmtId="0" fontId="4" fillId="10" borderId="5" applyAlignment="1" pivotButton="0" quotePrefix="0" xfId="0">
      <alignment horizontal="center" vertical="center" wrapText="1"/>
    </xf>
    <xf numFmtId="0" fontId="2" fillId="3" borderId="1" applyAlignment="1" pivotButton="0" quotePrefix="0" xfId="0">
      <alignment vertical="top" wrapText="1"/>
    </xf>
    <xf numFmtId="0" fontId="3" fillId="0" borderId="5" applyAlignment="1" pivotButton="0" quotePrefix="0" xfId="0">
      <alignment vertical="top" wrapText="1"/>
    </xf>
    <xf numFmtId="0" fontId="0" fillId="12" borderId="5" applyAlignment="1" pivotButton="0" quotePrefix="0" xfId="0">
      <alignment vertical="top" wrapText="1"/>
    </xf>
    <xf numFmtId="0" fontId="0" fillId="13" borderId="5" applyAlignment="1" pivotButton="0" quotePrefix="0" xfId="0">
      <alignment vertical="top" wrapText="1"/>
    </xf>
    <xf numFmtId="0" fontId="0" fillId="14" borderId="5" applyAlignment="1" pivotButton="0" quotePrefix="0" xfId="0">
      <alignment vertical="top" wrapText="1"/>
    </xf>
    <xf numFmtId="0" fontId="0" fillId="8" borderId="5" applyAlignment="1" pivotButton="0" quotePrefix="0" xfId="0">
      <alignment vertical="top" wrapText="1"/>
    </xf>
    <xf numFmtId="0" fontId="0" fillId="5" borderId="5" applyAlignment="1" pivotButton="0" quotePrefix="0" xfId="0">
      <alignment vertical="top" wrapText="1"/>
    </xf>
    <xf numFmtId="0" fontId="0" fillId="9" borderId="5"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puts!A1" TargetMode="External" Id="rId1"/><Relationship Type="http://schemas.openxmlformats.org/officeDocument/2006/relationships/hyperlink" Target="#Placement Rules!A1" TargetMode="External" Id="rId2"/><Relationship Type="http://schemas.openxmlformats.org/officeDocument/2006/relationships/hyperlink" Target="#Inferred Review!A1" TargetMode="External" Id="rId3"/></Relationships>
</file>

<file path=xl/worksheets/_rels/sheet3.xml.rels><Relationships xmlns="http://schemas.openxmlformats.org/package/2006/relationships"><Relationship Type="http://schemas.openxmlformats.org/officeDocument/2006/relationships/hyperlink" Target="https://som.yale.edu/about/headlines/all-headlines/day-life" TargetMode="External" Id="rId1"/><Relationship Type="http://schemas.openxmlformats.org/officeDocument/2006/relationships/hyperlink" Target="https://som.yale.edu/programs/mba/student-experience/day-life" TargetMode="External" Id="rId2"/><Relationship Type="http://schemas.openxmlformats.org/officeDocument/2006/relationships/hyperlink" Target="https://som.yale.edu/centers/the-broad-center/masters-degree-in-public-education-management/admissions-events" TargetMode="External" Id="rId3"/><Relationship Type="http://schemas.openxmlformats.org/officeDocument/2006/relationships/hyperlink" Target="https://som.yale.edu/programs/mms-asset-management/admissions/admissions-events" TargetMode="External" Id="rId4"/><Relationship Type="http://schemas.openxmlformats.org/officeDocument/2006/relationships/hyperlink" Target="https://som.yale.edu/the-som-experience/interests-and-industries/ai-data-analytics" TargetMode="External" Id="rId5"/><Relationship Type="http://schemas.openxmlformats.org/officeDocument/2006/relationships/hyperlink" Target="https://som.yale.edu/centers/center-for-customer-insights" TargetMode="External" Id="rId6"/><Relationship Type="http://schemas.openxmlformats.org/officeDocument/2006/relationships/hyperlink" Target="https://som.yale.edu/programs/mba/admissions" TargetMode="External" Id="rId7"/><Relationship Type="http://schemas.openxmlformats.org/officeDocument/2006/relationships/hyperlink" Target="https://som.yale.edu/programs/mba/admissions/application-information/application-guide" TargetMode="External" Id="rId8"/><Relationship Type="http://schemas.openxmlformats.org/officeDocument/2006/relationships/hyperlink" Target="https://som.yale.edu/programs/mba/career-paths" TargetMode="External" Id="rId9"/><Relationship Type="http://schemas.openxmlformats.org/officeDocument/2006/relationships/hyperlink" Target="https://som.yale.edu/the-som-experience" TargetMode="External" Id="rId10"/><Relationship Type="http://schemas.openxmlformats.org/officeDocument/2006/relationships/hyperlink" Target="https://som.yale.edu/about/headlines" TargetMode="External" Id="rId11"/><Relationship Type="http://schemas.openxmlformats.org/officeDocument/2006/relationships/hyperlink" Target="https://som.yale.edu/case-studies" TargetMode="External" Id="rId12"/><Relationship Type="http://schemas.openxmlformats.org/officeDocument/2006/relationships/hyperlink" Target="https://som.yale.edu/centers/chief-executive-leadership-institute" TargetMode="External" Id="rId13"/><Relationship Type="http://schemas.openxmlformats.org/officeDocument/2006/relationships/hyperlink" Target="https://som.yale.edu/faculty-research" TargetMode="External" Id="rId14"/><Relationship Type="http://schemas.openxmlformats.org/officeDocument/2006/relationships/hyperlink" Target="https://som.yale.edu/faculty-research/faculty-directory/alp-simsek" TargetMode="External" Id="rId15"/><Relationship Type="http://schemas.openxmlformats.org/officeDocument/2006/relationships/hyperlink" Target="https://som.yale.edu/faculty-research/faculty-directory/andrew-metrick" TargetMode="External" Id="rId16"/><Relationship Type="http://schemas.openxmlformats.org/officeDocument/2006/relationships/hyperlink" Target="https://som.yale.edu/faculty-research/faculty-directory/anjani-jain" TargetMode="External" Id="rId17"/><Relationship Type="http://schemas.openxmlformats.org/officeDocument/2006/relationships/hyperlink" Target="https://som.yale.edu/faculty-research/faculty-directory/balazs-kovacs" TargetMode="External" Id="rId18"/><Relationship Type="http://schemas.openxmlformats.org/officeDocument/2006/relationships/hyperlink" Target="https://som.yale.edu/faculty-research/faculty-directory/barry-nalebuff" TargetMode="External" Id="rId19"/><Relationship Type="http://schemas.openxmlformats.org/officeDocument/2006/relationships/hyperlink" Target="https://som.yale.edu/faculty-research/faculty-directory/beth-anne-helgason" TargetMode="External" Id="rId20"/><Relationship Type="http://schemas.openxmlformats.org/officeDocument/2006/relationships/hyperlink" Target="https://som.yale.edu/faculty-research/faculty-directory/bryan-t-kelly" TargetMode="External" Id="rId21"/><Relationship Type="http://schemas.openxmlformats.org/officeDocument/2006/relationships/hyperlink" Target="https://som.yale.edu/faculty-research/faculty-directory/daylian-cain" TargetMode="External" Id="rId22"/><Relationship Type="http://schemas.openxmlformats.org/officeDocument/2006/relationships/hyperlink" Target="https://som.yale.edu/faculty-research/faculty-directory/edieal-j-pinker" TargetMode="External" Id="rId23"/><Relationship Type="http://schemas.openxmlformats.org/officeDocument/2006/relationships/hyperlink" Target="https://som.yale.edu/faculty-research/faculty-directory/edward-h-kaplan" TargetMode="External" Id="rId24"/><Relationship Type="http://schemas.openxmlformats.org/officeDocument/2006/relationships/hyperlink" Target="https://som.yale.edu/faculty-research/faculty-directory/erin-l-frey" TargetMode="External" Id="rId25"/><Relationship Type="http://schemas.openxmlformats.org/officeDocument/2006/relationships/hyperlink" Target="https://som.yale.edu/faculty-research/faculty-directory/faidra-monachou" TargetMode="External" Id="rId26"/><Relationship Type="http://schemas.openxmlformats.org/officeDocument/2006/relationships/hyperlink" Target="https://som.yale.edu/faculty-research/faculty-directory/gal-zauberman" TargetMode="External" Id="rId27"/><Relationship Type="http://schemas.openxmlformats.org/officeDocument/2006/relationships/hyperlink" Target="https://som.yale.edu/faculty-research/faculty-directory/heidi-brooks" TargetMode="External" Id="rId28"/><Relationship Type="http://schemas.openxmlformats.org/officeDocument/2006/relationships/hyperlink" Target="https://som.yale.edu/faculty-research/faculty-directory/howard-p-forman" TargetMode="External" Id="rId29"/><Relationship Type="http://schemas.openxmlformats.org/officeDocument/2006/relationships/hyperlink" Target="https://som.yale.edu/faculty-research/faculty-directory/james-choi" TargetMode="External" Id="rId30"/><Relationship Type="http://schemas.openxmlformats.org/officeDocument/2006/relationships/hyperlink" Target="https://som.yale.edu/faculty-research/faculty-directory/james-n-baron" TargetMode="External" Id="rId31"/><Relationship Type="http://schemas.openxmlformats.org/officeDocument/2006/relationships/hyperlink" Target="https://som.yale.edu/faculty-research/faculty-directory/jamie-tucker-foltz" TargetMode="External" Id="rId32"/><Relationship Type="http://schemas.openxmlformats.org/officeDocument/2006/relationships/hyperlink" Target="https://som.yale.edu/faculty-research/faculty-directory/jeffrey-sonnenfeld" TargetMode="External" Id="rId33"/><Relationship Type="http://schemas.openxmlformats.org/officeDocument/2006/relationships/hyperlink" Target="https://som.yale.edu/faculty-research/faculty-directory/jennifer-dannals" TargetMode="External" Id="rId34"/><Relationship Type="http://schemas.openxmlformats.org/officeDocument/2006/relationships/hyperlink" Target="https://som.yale.edu/faculty-research/faculty-directory/judith-chevalier" TargetMode="External" Id="rId35"/><Relationship Type="http://schemas.openxmlformats.org/officeDocument/2006/relationships/hyperlink" Target="https://som.yale.edu/faculty-research/faculty-directory/k-sudhir" TargetMode="External" Id="rId36"/><Relationship Type="http://schemas.openxmlformats.org/officeDocument/2006/relationships/hyperlink" Target="https://som.yale.edu/faculty-research/faculty-directory/katja-seim" TargetMode="External" Id="rId37"/><Relationship Type="http://schemas.openxmlformats.org/officeDocument/2006/relationships/hyperlink" Target="https://som.yale.edu/faculty-research/faculty-directory/kelly-shue" TargetMode="External" Id="rId38"/><Relationship Type="http://schemas.openxmlformats.org/officeDocument/2006/relationships/hyperlink" Target="https://som.yale.edu/faculty-research/faculty-directory/kosuke-uetake" TargetMode="External" Id="rId39"/><Relationship Type="http://schemas.openxmlformats.org/officeDocument/2006/relationships/hyperlink" Target="https://som.yale.edu/faculty-research/faculty-directory/laura-adler" TargetMode="External" Id="rId40"/><Relationship Type="http://schemas.openxmlformats.org/officeDocument/2006/relationships/hyperlink" Target="https://som.yale.edu/faculty-research/faculty-directory/lorenzo-caliendo" TargetMode="External" Id="rId41"/><Relationship Type="http://schemas.openxmlformats.org/officeDocument/2006/relationships/hyperlink" Target="https://som.yale.edu/faculty-research/faculty-directory/nathan-novemsky" TargetMode="External" Id="rId42"/><Relationship Type="http://schemas.openxmlformats.org/officeDocument/2006/relationships/hyperlink" Target="https://som.yale.edu/faculty-research/faculty-directory/nicholas-c-barberis" TargetMode="External" Id="rId43"/><Relationship Type="http://schemas.openxmlformats.org/officeDocument/2006/relationships/hyperlink" Target="https://som.yale.edu/faculty-research/faculty-directory/paul-goldsmith-pinkham" TargetMode="External" Id="rId44"/><Relationship Type="http://schemas.openxmlformats.org/officeDocument/2006/relationships/hyperlink" Target="https://som.yale.edu/faculty-research/faculty-directory/peter-k-schott" TargetMode="External" Id="rId45"/><Relationship Type="http://schemas.openxmlformats.org/officeDocument/2006/relationships/hyperlink" Target="https://som.yale.edu/faculty-research/faculty-directory/rick-antle" TargetMode="External" Id="rId46"/><Relationship Type="http://schemas.openxmlformats.org/officeDocument/2006/relationships/hyperlink" Target="https://som.yale.edu/faculty-research/faculty-directory/sang-kim" TargetMode="External" Id="rId47"/><Relationship Type="http://schemas.openxmlformats.org/officeDocument/2006/relationships/hyperlink" Target="https://som.yale.edu/faculty-research/faculty-directory/shane-frederick" TargetMode="External" Id="rId48"/><Relationship Type="http://schemas.openxmlformats.org/officeDocument/2006/relationships/hyperlink" Target="https://som.yale.edu/faculty-research/faculty-directory/stefano-giglio" TargetMode="External" Id="rId49"/><Relationship Type="http://schemas.openxmlformats.org/officeDocument/2006/relationships/hyperlink" Target="https://som.yale.edu/faculty-research/faculty-directory/tauhid-zaman" TargetMode="External" Id="rId50"/><Relationship Type="http://schemas.openxmlformats.org/officeDocument/2006/relationships/hyperlink" Target="https://som.yale.edu/faculty-research/faculty-directory/tobias-j-moskowitz" TargetMode="External" Id="rId51"/><Relationship Type="http://schemas.openxmlformats.org/officeDocument/2006/relationships/hyperlink" Target="https://som.yale.edu/faculty-research/faculty-directory/tony-sheldon" TargetMode="External" Id="rId52"/><Relationship Type="http://schemas.openxmlformats.org/officeDocument/2006/relationships/hyperlink" Target="https://som.yale.edu/faculty-research/faculty-directory/william-b-english" TargetMode="External" Id="rId53"/><Relationship Type="http://schemas.openxmlformats.org/officeDocument/2006/relationships/hyperlink" Target="https://som.yale.edu/faculty-research/faculty-directory/william-n-goetzmann" TargetMode="External" Id="rId54"/><Relationship Type="http://schemas.openxmlformats.org/officeDocument/2006/relationships/hyperlink" Target="https://som.yale.edu/faculty-research/faculty-directory/zeqiong-huang" TargetMode="External" Id="rId55"/><Relationship Type="http://schemas.openxmlformats.org/officeDocument/2006/relationships/hyperlink" Target="https://som.yale.edu/faculty-research/faculty-directory/zhen-lian" TargetMode="External" Id="rId56"/><Relationship Type="http://schemas.openxmlformats.org/officeDocument/2006/relationships/hyperlink" Target="https://som.yale.edu/faculty-research/faculty-directory/zoe-chance" TargetMode="External" Id="rId57"/><Relationship Type="http://schemas.openxmlformats.org/officeDocument/2006/relationships/hyperlink" Target="https://som.yale.edu/about/headlines" TargetMode="External" Id="rId58"/><Relationship Type="http://schemas.openxmlformats.org/officeDocument/2006/relationships/hyperlink" Target="https://som.yale.edu/alumni" TargetMode="External" Id="rId59"/><Relationship Type="http://schemas.openxmlformats.org/officeDocument/2006/relationships/hyperlink" Target="https://som.yale.edu/centers/international-center-for-finance" TargetMode="External" Id="rId60"/><Relationship Type="http://schemas.openxmlformats.org/officeDocument/2006/relationships/hyperlink" Target="https://som.yale.edu/centers/program-on-entrepreneurship" TargetMode="External" Id="rId61"/><Relationship Type="http://schemas.openxmlformats.org/officeDocument/2006/relationships/hyperlink" Target="https://som.yale.edu/centers/program-on-financial-stability" TargetMode="External" Id="rId62"/><Relationship Type="http://schemas.openxmlformats.org/officeDocument/2006/relationships/hyperlink" Target="https://som.yale.edu/centers/swensen-asset-management-institute" TargetMode="External" Id="rId63"/><Relationship Type="http://schemas.openxmlformats.org/officeDocument/2006/relationships/hyperlink" Target="https://som.yale.edu/centers/the-broad-center" TargetMode="External" Id="rId64"/><Relationship Type="http://schemas.openxmlformats.org/officeDocument/2006/relationships/hyperlink" Target="https://som.yale.edu/programs/mam/admissions" TargetMode="External" Id="rId65"/><Relationship Type="http://schemas.openxmlformats.org/officeDocument/2006/relationships/hyperlink" Target="https://som.yale.edu/programs/mba/career-paths/employment-report-2025-26" TargetMode="External" Id="rId66"/><Relationship Type="http://schemas.openxmlformats.org/officeDocument/2006/relationships/hyperlink" Target="https://som.yale.edu/the-som-experience" TargetMode="External" Id="rId67"/><Relationship Type="http://schemas.openxmlformats.org/officeDocument/2006/relationships/hyperlink" Target="https://som.yale.edu/the-som-experience/community" TargetMode="External" Id="rId68"/><Relationship Type="http://schemas.openxmlformats.org/officeDocument/2006/relationships/hyperlink" Target="https://som.yale.edu/the-som-experience/community" TargetMode="External" Id="rId69"/><Relationship Type="http://schemas.openxmlformats.org/officeDocument/2006/relationships/hyperlink" Target="https://som.yale.edu/the-som-experience/life-at-yale-som/new-haven" TargetMode="External" Id="rId70"/><Relationship Type="http://schemas.openxmlformats.org/officeDocument/2006/relationships/hyperlink" Target="https://som.yale.edu/alumni/alumni-headlines" TargetMode="External" Id="rId71"/><Relationship Type="http://schemas.openxmlformats.org/officeDocument/2006/relationships/hyperlink" Target="https://som.yale.edu/programs/mms-asset-management/asset-management-student-profiles" TargetMode="External" Id="rId72"/><Relationship Type="http://schemas.openxmlformats.org/officeDocument/2006/relationships/hyperlink" Target="https://som.yale.edu/about/headlines/blogs" TargetMode="External" Id="rId73"/><Relationship Type="http://schemas.openxmlformats.org/officeDocument/2006/relationships/hyperlink" Target="https://som.yale.edu/" TargetMode="External" Id="rId74"/><Relationship Type="http://schemas.openxmlformats.org/officeDocument/2006/relationships/hyperlink" Target="https://som.yale.edu/the-som-experience/interests-and-industries/ai-data-analytics" TargetMode="External" Id="rId75"/><Relationship Type="http://schemas.openxmlformats.org/officeDocument/2006/relationships/hyperlink" Target="https://som.yale.edu/the-som-experience/interests-and-industries/consulting" TargetMode="External" Id="rId76"/><Relationship Type="http://schemas.openxmlformats.org/officeDocument/2006/relationships/hyperlink" Target="https://som.yale.edu/the-som-experience/interests-and-industries/entrepreneurship" TargetMode="External" Id="rId77"/><Relationship Type="http://schemas.openxmlformats.org/officeDocument/2006/relationships/hyperlink" Target="https://som.yale.edu/the-som-experience/interests-and-industries/finance" TargetMode="External" Id="rId78"/><Relationship Type="http://schemas.openxmlformats.org/officeDocument/2006/relationships/hyperlink" Target="https://som.yale.edu/the-som-experience/interests-and-industries/healthcare" TargetMode="External" Id="rId79"/><Relationship Type="http://schemas.openxmlformats.org/officeDocument/2006/relationships/hyperlink" Target="https://som.yale.edu/the-som-experience/interests-and-industries/marketing" TargetMode="External" Id="rId80"/><Relationship Type="http://schemas.openxmlformats.org/officeDocument/2006/relationships/hyperlink" Target="https://som.yale.edu/the-som-experience/interests-and-industries/social-impact" TargetMode="External" Id="rId81"/><Relationship Type="http://schemas.openxmlformats.org/officeDocument/2006/relationships/hyperlink" Target="https://som.yale.edu/the-som-experience/interests-and-industries/sustainability" TargetMode="External" Id="rId82"/><Relationship Type="http://schemas.openxmlformats.org/officeDocument/2006/relationships/hyperlink" Target="https://som.yale.edu/the-som-experience/life-at-yale-som/new-haven" TargetMode="External" Id="rId83"/><Relationship Type="http://schemas.openxmlformats.org/officeDocument/2006/relationships/hyperlink" Target="https://som.yale.edu/centers/chief-executive-leadership-institute/celi-events" TargetMode="External" Id="rId84"/><Relationship Type="http://schemas.openxmlformats.org/officeDocument/2006/relationships/hyperlink" Target="https://som.yale.edu/centers/chief-executive-leadership-institute" TargetMode="External" Id="rId85"/><Relationship Type="http://schemas.openxmlformats.org/officeDocument/2006/relationships/hyperlink" Target="https://som.yale.edu/the-som-experience/community/office-community-engagement-and-dialogue/community-engagement-news" TargetMode="External" Id="rId86"/><Relationship Type="http://schemas.openxmlformats.org/officeDocument/2006/relationships/hyperlink" Target="https://som.yale.edu/centers/program-stakeholder-innovation-and-management/community-insights" TargetMode="External" Id="rId87"/><Relationship Type="http://schemas.openxmlformats.org/officeDocument/2006/relationships/hyperlink" Target="https://som.yale.edu/programs/emba/your-yale-experience/community-profiles" TargetMode="External" Id="rId88"/><Relationship Type="http://schemas.openxmlformats.org/officeDocument/2006/relationships/hyperlink" Target="https://som.yale.edu/the-som-experience/life-at-yale-som/conferences-events" TargetMode="External" Id="rId89"/><Relationship Type="http://schemas.openxmlformats.org/officeDocument/2006/relationships/hyperlink" Target="https://som.yale.edu/about/headlines/all-headlines/crafting-curriculum" TargetMode="External" Id="rId90"/><Relationship Type="http://schemas.openxmlformats.org/officeDocument/2006/relationships/hyperlink" Target="https://som.yale.edu/centers/program-on-financial-stability/systemic-risk-blog" TargetMode="External" Id="rId91"/><Relationship Type="http://schemas.openxmlformats.org/officeDocument/2006/relationships/hyperlink" Target="https://som.yale.edu/podcasts/career-conversations" TargetMode="External" Id="rId92"/><Relationship Type="http://schemas.openxmlformats.org/officeDocument/2006/relationships/hyperlink" Target="https://som.yale.edu/podcasts/cityscope-podcast" TargetMode="External" Id="rId93"/><Relationship Type="http://schemas.openxmlformats.org/officeDocument/2006/relationships/hyperlink" Target="https://som.yale.edu/podcasts/impact-innovation" TargetMode="External" Id="rId94"/><Relationship Type="http://schemas.openxmlformats.org/officeDocument/2006/relationships/hyperlink" Target="https://som.yale.edu/programs" TargetMode="External" Id="rId95"/><Relationship Type="http://schemas.openxmlformats.org/officeDocument/2006/relationships/hyperlink" Target="https://som.yale.edu/podcasts/mam-admissions-unplugged" TargetMode="External" Id="rId96"/><Relationship Type="http://schemas.openxmlformats.org/officeDocument/2006/relationships/hyperlink" Target="https://som.yale.edu/centers/program-entrepreneurship/entrepreneurship-news-events/entrepreneurship-news" TargetMode="External" Id="rId97"/><Relationship Type="http://schemas.openxmlformats.org/officeDocument/2006/relationships/hyperlink" Target="https://som.yale.edu/about/headlines/all-headlines/event-dispatch" TargetMode="External" Id="rId98"/><Relationship Type="http://schemas.openxmlformats.org/officeDocument/2006/relationships/hyperlink" Target="https://som.yale.edu/about/events" TargetMode="External" Id="rId99"/><Relationship Type="http://schemas.openxmlformats.org/officeDocument/2006/relationships/hyperlink" Target="https://som.yale.edu/alumni" TargetMode="External" Id="rId100"/><Relationship Type="http://schemas.openxmlformats.org/officeDocument/2006/relationships/hyperlink" Target="https://som.yale.edu/centers/china-india-insights-program/events" TargetMode="External" Id="rId101"/><Relationship Type="http://schemas.openxmlformats.org/officeDocument/2006/relationships/hyperlink" Target="https://som.yale.edu/centers/international-center-for-finance/events" TargetMode="External" Id="rId102"/><Relationship Type="http://schemas.openxmlformats.org/officeDocument/2006/relationships/hyperlink" Target="https://som.yale.edu/programs/emba" TargetMode="External" Id="rId103"/><Relationship Type="http://schemas.openxmlformats.org/officeDocument/2006/relationships/hyperlink" Target="https://som.yale.edu/programs/emba/admissions" TargetMode="External" Id="rId104"/><Relationship Type="http://schemas.openxmlformats.org/officeDocument/2006/relationships/hyperlink" Target="https://som.yale.edu/programs/mam" TargetMode="External" Id="rId105"/><Relationship Type="http://schemas.openxmlformats.org/officeDocument/2006/relationships/hyperlink" Target="https://som.yale.edu/programs/mba" TargetMode="External" Id="rId106"/><Relationship Type="http://schemas.openxmlformats.org/officeDocument/2006/relationships/hyperlink" Target="https://som.yale.edu/programs/mba/admissions" TargetMode="External" Id="rId107"/><Relationship Type="http://schemas.openxmlformats.org/officeDocument/2006/relationships/hyperlink" Target="https://som.yale.edu/programs/mms-asset-management" TargetMode="External" Id="rId108"/><Relationship Type="http://schemas.openxmlformats.org/officeDocument/2006/relationships/hyperlink" Target="https://som.yale.edu/programs/mms-global-business-and-society" TargetMode="External" Id="rId109"/><Relationship Type="http://schemas.openxmlformats.org/officeDocument/2006/relationships/hyperlink" Target="https://som.yale.edu/faculty-research/faculty-directory" TargetMode="External" Id="rId110"/><Relationship Type="http://schemas.openxmlformats.org/officeDocument/2006/relationships/hyperlink" Target="https://som.yale.edu/centers/international-center-for-finance/publications" TargetMode="External" Id="rId111"/><Relationship Type="http://schemas.openxmlformats.org/officeDocument/2006/relationships/hyperlink" Target="https://som.yale.edu/about/headlines/following-up" TargetMode="External" Id="rId112"/><Relationship Type="http://schemas.openxmlformats.org/officeDocument/2006/relationships/hyperlink" Target="https://som.yale.edu/executive-education/for-individuals" TargetMode="External" Id="rId113"/><Relationship Type="http://schemas.openxmlformats.org/officeDocument/2006/relationships/hyperlink" Target="https://som.yale.edu/programs/mms-global-business-and-society/admissions/admissions-ambassadors" TargetMode="External" Id="rId114"/><Relationship Type="http://schemas.openxmlformats.org/officeDocument/2006/relationships/hyperlink" Target="https://som.yale.edu/programs/mms-global-business-and-society/admissions/mms-global-business-and-society-admissions-events" TargetMode="External" Id="rId115"/><Relationship Type="http://schemas.openxmlformats.org/officeDocument/2006/relationships/hyperlink" Target="https://som.yale.edu/programs/mms-global-business-and-society/blog-news" TargetMode="External" Id="rId116"/><Relationship Type="http://schemas.openxmlformats.org/officeDocument/2006/relationships/hyperlink" Target="https://som.yale.edu/centers/international-center-for-finance/headlines" TargetMode="External" Id="rId117"/><Relationship Type="http://schemas.openxmlformats.org/officeDocument/2006/relationships/hyperlink" Target="https://som.yale.edu/about/headlines/internship-spotlight" TargetMode="External" Id="rId118"/><Relationship Type="http://schemas.openxmlformats.org/officeDocument/2006/relationships/hyperlink" Target="https://som.yale.edu/" TargetMode="External" Id="rId119"/><Relationship Type="http://schemas.openxmlformats.org/officeDocument/2006/relationships/hyperlink" Target="https://som.yale.edu/about/headlines/making-difference" TargetMode="External" Id="rId120"/><Relationship Type="http://schemas.openxmlformats.org/officeDocument/2006/relationships/hyperlink" Target="https://som.yale.edu/programs/mam/admissions/mam-admissions-ambassadors" TargetMode="External" Id="rId121"/><Relationship Type="http://schemas.openxmlformats.org/officeDocument/2006/relationships/hyperlink" Target="https://som.yale.edu/programs/mam/admissions/mam-admissions-events" TargetMode="External" Id="rId122"/><Relationship Type="http://schemas.openxmlformats.org/officeDocument/2006/relationships/hyperlink" Target="https://som.yale.edu/programs/mam/blog-news" TargetMode="External" Id="rId123"/><Relationship Type="http://schemas.openxmlformats.org/officeDocument/2006/relationships/hyperlink" Target="https://som.yale.edu/programs/mms-asset-management/admissions/asset-management-admissions-ambassadors" TargetMode="External" Id="rId124"/><Relationship Type="http://schemas.openxmlformats.org/officeDocument/2006/relationships/hyperlink" Target="https://som.yale.edu/programs/mms-asset-management/blog-news" TargetMode="External" Id="rId125"/><Relationship Type="http://schemas.openxmlformats.org/officeDocument/2006/relationships/hyperlink" Target="https://som.yale.edu/programs/mba/admissions/mba-admissions-events" TargetMode="External" Id="rId126"/><Relationship Type="http://schemas.openxmlformats.org/officeDocument/2006/relationships/hyperlink" Target="https://som.yale.edu/programs/mba/blog-news" TargetMode="External" Id="rId127"/><Relationship Type="http://schemas.openxmlformats.org/officeDocument/2006/relationships/hyperlink" Target="https://som.yale.edu/programs/emba/admissions/events" TargetMode="External" Id="rId128"/><Relationship Type="http://schemas.openxmlformats.org/officeDocument/2006/relationships/hyperlink" Target="https://som.yale.edu/programs/emba/blog-news" TargetMode="External" Id="rId129"/><Relationship Type="http://schemas.openxmlformats.org/officeDocument/2006/relationships/hyperlink" Target="https://som.yale.edu/centers/chief-executive-leadership-institute/media" TargetMode="External" Id="rId130"/><Relationship Type="http://schemas.openxmlformats.org/officeDocument/2006/relationships/hyperlink" Target="https://som.yale.edu/centers/chief-executive-leadership-institute/media/middle-east" TargetMode="External" Id="rId131"/><Relationship Type="http://schemas.openxmlformats.org/officeDocument/2006/relationships/hyperlink" Target="https://som.yale.edu/about/headlines/news" TargetMode="External" Id="rId132"/><Relationship Type="http://schemas.openxmlformats.org/officeDocument/2006/relationships/hyperlink" Target="https://som.yale.edu/centers/chief-executive-leadership-institute/celi-news" TargetMode="External" Id="rId133"/><Relationship Type="http://schemas.openxmlformats.org/officeDocument/2006/relationships/hyperlink" Target="https://som.yale.edu/centers/program-stakeholder-innovation-and-management/news/news" TargetMode="External" Id="rId134"/><Relationship Type="http://schemas.openxmlformats.org/officeDocument/2006/relationships/hyperlink" Target="https://som.yale.edu/centers/the-broad-center/events" TargetMode="External" Id="rId135"/><Relationship Type="http://schemas.openxmlformats.org/officeDocument/2006/relationships/hyperlink" Target="https://som.yale.edu/" TargetMode="External" Id="rId136"/><Relationship Type="http://schemas.openxmlformats.org/officeDocument/2006/relationships/hyperlink" Target="https://som.yale.edu/the-som-experience/interests-and-industries/ai-data-analytics" TargetMode="External" Id="rId137"/><Relationship Type="http://schemas.openxmlformats.org/officeDocument/2006/relationships/hyperlink" Target="https://som.yale.edu/the-som-experience/interests-and-industries/consulting" TargetMode="External" Id="rId138"/><Relationship Type="http://schemas.openxmlformats.org/officeDocument/2006/relationships/hyperlink" Target="https://som.yale.edu/the-som-experience/interests-and-industries/entrepreneurship" TargetMode="External" Id="rId139"/><Relationship Type="http://schemas.openxmlformats.org/officeDocument/2006/relationships/hyperlink" Target="https://som.yale.edu/the-som-experience/interests-and-industries/finance" TargetMode="External" Id="rId140"/><Relationship Type="http://schemas.openxmlformats.org/officeDocument/2006/relationships/hyperlink" Target="https://som.yale.edu/the-som-experience/interests-and-industries/healthcare" TargetMode="External" Id="rId141"/><Relationship Type="http://schemas.openxmlformats.org/officeDocument/2006/relationships/hyperlink" Target="https://som.yale.edu/the-som-experience/interests-and-industries/marketing" TargetMode="External" Id="rId142"/><Relationship Type="http://schemas.openxmlformats.org/officeDocument/2006/relationships/hyperlink" Target="https://som.yale.edu/the-som-experience/interests-and-industries/social-impact" TargetMode="External" Id="rId143"/><Relationship Type="http://schemas.openxmlformats.org/officeDocument/2006/relationships/hyperlink" Target="https://som.yale.edu/the-som-experience/interests-and-industries/sustainability" TargetMode="External" Id="rId144"/><Relationship Type="http://schemas.openxmlformats.org/officeDocument/2006/relationships/hyperlink" Target="https://som.yale.edu/the-som-experience/life-at-yale-som/new-haven" TargetMode="External" Id="rId145"/><Relationship Type="http://schemas.openxmlformats.org/officeDocument/2006/relationships/hyperlink" Target="https://som.yale.edu/about/headlines/one-minute" TargetMode="External" Id="rId146"/><Relationship Type="http://schemas.openxmlformats.org/officeDocument/2006/relationships/hyperlink" Target="https://som.yale.edu/executive-education/community/participant-spotlights" TargetMode="External" Id="rId147"/><Relationship Type="http://schemas.openxmlformats.org/officeDocument/2006/relationships/hyperlink" Target="https://som.yale.edu/programs/phd/phd-news" TargetMode="External" Id="rId148"/><Relationship Type="http://schemas.openxmlformats.org/officeDocument/2006/relationships/hyperlink" Target="https://som.yale.edu/the-som-experience/community/profiles" TargetMode="External" Id="rId149"/><Relationship Type="http://schemas.openxmlformats.org/officeDocument/2006/relationships/hyperlink" Target="https://som.yale.edu/centers/program-social-enterprise-innovation-impact/pseii-news" TargetMode="External" Id="rId150"/><Relationship Type="http://schemas.openxmlformats.org/officeDocument/2006/relationships/hyperlink" Target="https://som.yale.edu/faculty-research/faculty-directory/gregory-p-licholai" TargetMode="External" Id="rId151"/><Relationship Type="http://schemas.openxmlformats.org/officeDocument/2006/relationships/hyperlink" Target="https://som.yale.edu/faculty-research/faculty-directory/james-choi" TargetMode="External" Id="rId152"/><Relationship Type="http://schemas.openxmlformats.org/officeDocument/2006/relationships/hyperlink" Target="https://som.yale.edu/faculty-research/faculty-directory/gregory-p-licholai" TargetMode="External" Id="rId153"/><Relationship Type="http://schemas.openxmlformats.org/officeDocument/2006/relationships/hyperlink" Target="https://som.yale.edu/faculty-research/publications" TargetMode="External" Id="rId154"/><Relationship Type="http://schemas.openxmlformats.org/officeDocument/2006/relationships/hyperlink" Target="https://som.yale.edu/about/headlines/all-headlines/recruiting-journeys" TargetMode="External" Id="rId155"/><Relationship Type="http://schemas.openxmlformats.org/officeDocument/2006/relationships/hyperlink" Target="https://som.yale.edu/profile/alejandra-pruneda-22" TargetMode="External" Id="rId156"/><Relationship Type="http://schemas.openxmlformats.org/officeDocument/2006/relationships/hyperlink" Target="https://som.yale.edu/profile/alexander-costa-22" TargetMode="External" Id="rId157"/><Relationship Type="http://schemas.openxmlformats.org/officeDocument/2006/relationships/hyperlink" Target="https://som.yale.edu/profile/ali-nourang-syed-24" TargetMode="External" Id="rId158"/><Relationship Type="http://schemas.openxmlformats.org/officeDocument/2006/relationships/hyperlink" Target="https://som.yale.edu/profile/alice-ervaz-23" TargetMode="External" Id="rId159"/><Relationship Type="http://schemas.openxmlformats.org/officeDocument/2006/relationships/hyperlink" Target="https://som.yale.edu/profile/alumni/claire-hughes-johnson-01" TargetMode="External" Id="rId160"/><Relationship Type="http://schemas.openxmlformats.org/officeDocument/2006/relationships/hyperlink" Target="https://som.yale.edu/profile/alumni/madeline-negron-tbf-2024-25" TargetMode="External" Id="rId161"/><Relationship Type="http://schemas.openxmlformats.org/officeDocument/2006/relationships/hyperlink" Target="https://som.yale.edu/profile/ambassador/abhinav-keshri-26" TargetMode="External" Id="rId162"/><Relationship Type="http://schemas.openxmlformats.org/officeDocument/2006/relationships/hyperlink" Target="https://som.yale.edu/profile/amy-romano-15" TargetMode="External" Id="rId163"/><Relationship Type="http://schemas.openxmlformats.org/officeDocument/2006/relationships/hyperlink" Target="https://som.yale.edu/profile/audrey-atwell-23-0" TargetMode="External" Id="rId164"/><Relationship Type="http://schemas.openxmlformats.org/officeDocument/2006/relationships/hyperlink" Target="https://som.yale.edu/profile/faculty/k-sudhir" TargetMode="External" Id="rId165"/><Relationship Type="http://schemas.openxmlformats.org/officeDocument/2006/relationships/hyperlink" Target="https://som.yale.edu/profile/inshard-naizer-23" TargetMode="External" Id="rId166"/><Relationship Type="http://schemas.openxmlformats.org/officeDocument/2006/relationships/hyperlink" Target="https://som.yale.edu/profile/peter-akinwande-25" TargetMode="External" Id="rId167"/><Relationship Type="http://schemas.openxmlformats.org/officeDocument/2006/relationships/hyperlink" Target="https://som.yale.edu/profile/student/bobby-trevino-24" TargetMode="External" Id="rId168"/><Relationship Type="http://schemas.openxmlformats.org/officeDocument/2006/relationships/hyperlink" Target="https://som.yale.edu/about/history" TargetMode="External" Id="rId169"/><Relationship Type="http://schemas.openxmlformats.org/officeDocument/2006/relationships/hyperlink" Target="https://som.yale.edu/centers/the-broad-center/masters-degree-in-public-education-management" TargetMode="External" Id="rId170"/><Relationship Type="http://schemas.openxmlformats.org/officeDocument/2006/relationships/hyperlink" Target="https://som.yale.edu/programs/emba" TargetMode="External" Id="rId171"/><Relationship Type="http://schemas.openxmlformats.org/officeDocument/2006/relationships/hyperlink" Target="https://som.yale.edu/programs/emba/admissions" TargetMode="External" Id="rId172"/><Relationship Type="http://schemas.openxmlformats.org/officeDocument/2006/relationships/hyperlink" Target="https://som.yale.edu/programs/emba/curriculum/global-offerings" TargetMode="External" Id="rId173"/><Relationship Type="http://schemas.openxmlformats.org/officeDocument/2006/relationships/hyperlink" Target="https://som.yale.edu/programs/mam" TargetMode="External" Id="rId174"/><Relationship Type="http://schemas.openxmlformats.org/officeDocument/2006/relationships/hyperlink" Target="https://som.yale.edu/programs/mba" TargetMode="External" Id="rId175"/><Relationship Type="http://schemas.openxmlformats.org/officeDocument/2006/relationships/hyperlink" Target="https://som.yale.edu/programs/mba/integrated-curriculum/global-study" TargetMode="External" Id="rId176"/><Relationship Type="http://schemas.openxmlformats.org/officeDocument/2006/relationships/hyperlink" Target="https://som.yale.edu/programs/mms-asset-management" TargetMode="External" Id="rId177"/><Relationship Type="http://schemas.openxmlformats.org/officeDocument/2006/relationships/hyperlink" Target="https://som.yale.edu/programs/mms-global-business-and-society" TargetMode="External" Id="rId178"/><Relationship Type="http://schemas.openxmlformats.org/officeDocument/2006/relationships/hyperlink" Target="https://som.yale.edu/programs/mms-global-business-and-society/admissions" TargetMode="External" Id="rId179"/><Relationship Type="http://schemas.openxmlformats.org/officeDocument/2006/relationships/hyperlink" Target="https://som.yale.edu/blog/business-schools-must-do-better" TargetMode="External" Id="rId180"/><Relationship Type="http://schemas.openxmlformats.org/officeDocument/2006/relationships/hyperlink" Target="https://som.yale.edu/blog/emba-students-team-up-to-bring-masks-to-the-most-vulnerable" TargetMode="External" Id="rId181"/><Relationship Type="http://schemas.openxmlformats.org/officeDocument/2006/relationships/hyperlink" Target="https://som.yale.edu/news/2010/06/yale-chief-executive-leadership-institute-to-honor-ford-motor-company-ceo-with-leadership-award" TargetMode="External" Id="rId182"/><Relationship Type="http://schemas.openxmlformats.org/officeDocument/2006/relationships/hyperlink" Target="https://som.yale.edu/news/2016/01/pepsico-chairman-ceo-indra-k-nooyi-80-endows-deanship-yale-school-management" TargetMode="External" Id="rId183"/><Relationship Type="http://schemas.openxmlformats.org/officeDocument/2006/relationships/hyperlink" Target="https://som.yale.edu/news/2016/10/improving-lives-through-innovative-government" TargetMode="External" Id="rId184"/><Relationship Type="http://schemas.openxmlformats.org/officeDocument/2006/relationships/hyperlink" Target="https://som.yale.edu/news/2018/08/global-social-entrepreneurship-in-action-two-stories-of-partnering-with-social-enterprises-in-india" TargetMode="External" Id="rId185"/><Relationship Type="http://schemas.openxmlformats.org/officeDocument/2006/relationships/hyperlink" Target="https://som.yale.edu/news/2018/09/micro-organizational-behavior-internship-introduces-college-students-to-graduate-school-research" TargetMode="External" Id="rId186"/><Relationship Type="http://schemas.openxmlformats.org/officeDocument/2006/relationships/hyperlink" Target="https://som.yale.edu/news/2019/11/for-an-alumnus-committed-to-making-difference-jacobs-fellowship-expands-on-yale-som-s-impact" TargetMode="External" Id="rId187"/><Relationship Type="http://schemas.openxmlformats.org/officeDocument/2006/relationships/hyperlink" Target="https://som.yale.edu/news/2019/12/career-conversations-podcast-aj-wasserstein-with-max-dworin-20" TargetMode="External" Id="rId188"/><Relationship Type="http://schemas.openxmlformats.org/officeDocument/2006/relationships/hyperlink" Target="https://som.yale.edu/news/2020/02/video-dancing-for-good-cause-at-star-search" TargetMode="External" Id="rId189"/><Relationship Type="http://schemas.openxmlformats.org/officeDocument/2006/relationships/hyperlink" Target="https://som.yale.edu/news/2020/05/ypfs-describes-four-phase-model-of-the-economic-consequences-of-pandemic" TargetMode="External" Id="rId190"/><Relationship Type="http://schemas.openxmlformats.org/officeDocument/2006/relationships/hyperlink" Target="https://som.yale.edu/news/2021/05/david-swensen-renowned-endowment-manager-and-teacher-has-died" TargetMode="External" Id="rId191"/><Relationship Type="http://schemas.openxmlformats.org/officeDocument/2006/relationships/hyperlink" Target="https://som.yale.edu/news/2021/05/executive-mba-student-joins-advocates-of-reducing-gun-violence-at-white-house-event" TargetMode="External" Id="rId192"/><Relationship Type="http://schemas.openxmlformats.org/officeDocument/2006/relationships/hyperlink" Target="https://som.yale.edu/story/2022/can-companies-be-net-positive-society-paul-polman-former-unilever-ceo-thinks-so" TargetMode="External" Id="rId193"/><Relationship Type="http://schemas.openxmlformats.org/officeDocument/2006/relationships/hyperlink" Target="https://som.yale.edu/story/2022/developing-entrepreneurial-mindset-through-mam-program" TargetMode="External" Id="rId194"/><Relationship Type="http://schemas.openxmlformats.org/officeDocument/2006/relationships/hyperlink" Target="https://som.yale.edu/story/2022/nonprofit-board-service-gives-students-chance-impact-new-haven-community" TargetMode="External" Id="rId195"/><Relationship Type="http://schemas.openxmlformats.org/officeDocument/2006/relationships/hyperlink" Target="https://som.yale.edu/story/2023/charting-path-forward-leadership" TargetMode="External" Id="rId196"/><Relationship Type="http://schemas.openxmlformats.org/officeDocument/2006/relationships/hyperlink" Target="https://som.yale.edu/story/2023/james-robertson-99-discusses-leadership-and-social-change" TargetMode="External" Id="rId197"/><Relationship Type="http://schemas.openxmlformats.org/officeDocument/2006/relationships/hyperlink" Target="https://som.yale.edu/story/2023/what-social-impact-means-yale-som" TargetMode="External" Id="rId198"/><Relationship Type="http://schemas.openxmlformats.org/officeDocument/2006/relationships/hyperlink" Target="https://som.yale.edu/story/2024/building-community-and-soccer-pitch" TargetMode="External" Id="rId199"/><Relationship Type="http://schemas.openxmlformats.org/officeDocument/2006/relationships/hyperlink" Target="https://som.yale.edu/story/2024/friendsgiving-photos" TargetMode="External" Id="rId200"/><Relationship Type="http://schemas.openxmlformats.org/officeDocument/2006/relationships/hyperlink" Target="https://som.yale.edu/story/2025/admissions-committees-top-tips-masters-asset-management-applicants" TargetMode="External" Id="rId201"/><Relationship Type="http://schemas.openxmlformats.org/officeDocument/2006/relationships/hyperlink" Target="https://som.yale.edu/story/2025/baltimore-city-public-schools-ceo-sonja-santelises-named-superintendent-residence-broad" TargetMode="External" Id="rId202"/><Relationship Type="http://schemas.openxmlformats.org/officeDocument/2006/relationships/hyperlink" Target="https://som.yale.edu/story/2025/building-brands-dot-dot-todd-kaplan-som-06-art-marketing" TargetMode="External" Id="rId203"/><Relationship Type="http://schemas.openxmlformats.org/officeDocument/2006/relationships/hyperlink" Target="https://som.yale.edu/story/2025/crafting-curriculum-jon-golde-26" TargetMode="External" Id="rId204"/><Relationship Type="http://schemas.openxmlformats.org/officeDocument/2006/relationships/hyperlink" Target="https://som.yale.edu/story/2025/curriculum-focus-generative-ai-entrepreneurship" TargetMode="External" Id="rId205"/><Relationship Type="http://schemas.openxmlformats.org/officeDocument/2006/relationships/hyperlink" Target="https://som.yale.edu/story/2025/faculty-research-and-honors-2024" TargetMode="External" Id="rId206"/><Relationship Type="http://schemas.openxmlformats.org/officeDocument/2006/relationships/hyperlink" Target="https://som.yale.edu/story/2025/health-veritas-podcast-marks-200-episodes" TargetMode="External" Id="rId207"/><Relationship Type="http://schemas.openxmlformats.org/officeDocument/2006/relationships/hyperlink" Target="https://som.yale.edu/story/2025/heritage-awareness-celebrating-latine-hispanic-roots" TargetMode="External" Id="rId208"/><Relationship Type="http://schemas.openxmlformats.org/officeDocument/2006/relationships/hyperlink" Target="https://som.yale.edu/story/2025/highlights-2025-yale-impact-investing-conference" TargetMode="External" Id="rId209"/><Relationship Type="http://schemas.openxmlformats.org/officeDocument/2006/relationships/hyperlink" Target="https://som.yale.edu/story/2025/inclusive-growth-fellows-share-recommendations-economic-development-new-haven" TargetMode="External" Id="rId210"/><Relationship Type="http://schemas.openxmlformats.org/officeDocument/2006/relationships/hyperlink" Target="https://som.yale.edu/story/2025/inclusive-growth-fellowship-spotlight-hannah-hua-26" TargetMode="External" Id="rId211"/><Relationship Type="http://schemas.openxmlformats.org/officeDocument/2006/relationships/hyperlink" Target="https://som.yale.edu/story/2025/meet-masters-degree-systemic-risk-class-2026" TargetMode="External" Id="rId212"/><Relationship Type="http://schemas.openxmlformats.org/officeDocument/2006/relationships/hyperlink" Target="https://som.yale.edu/story/2025/meet-masters-technology-management-class-2026" TargetMode="External" Id="rId213"/><Relationship Type="http://schemas.openxmlformats.org/officeDocument/2006/relationships/hyperlink" Target="https://som.yale.edu/story/2025/prof-roger-ibbotson-honored-investments-wealth-institute" TargetMode="External" Id="rId214"/><Relationship Type="http://schemas.openxmlformats.org/officeDocument/2006/relationships/hyperlink" Target="https://som.yale.edu/story/2025/swensen-symposium-celebrates-yale-cios-lasting-legacy" TargetMode="External" Id="rId215"/><Relationship Type="http://schemas.openxmlformats.org/officeDocument/2006/relationships/hyperlink" Target="https://som.yale.edu/story/2025/volunteers-teach-business-and-life-lessons-new-haven-school" TargetMode="External" Id="rId216"/><Relationship Type="http://schemas.openxmlformats.org/officeDocument/2006/relationships/hyperlink" Target="https://som.yale.edu/story/2025/y-sim-welcomes-mars-incorporated-cfo-claus-aagaard-advisory-board" TargetMode="External" Id="rId217"/><Relationship Type="http://schemas.openxmlformats.org/officeDocument/2006/relationships/hyperlink" Target="https://som.yale.edu/story/2025/yale-program-financial-stability-presents-financial-crisis-fighting-playbook" TargetMode="External" Id="rId218"/><Relationship Type="http://schemas.openxmlformats.org/officeDocument/2006/relationships/hyperlink" Target="https://som.yale.edu/story/2026/dean-kerwin-charles-visits-alumni-communities-west-coast" TargetMode="External" Id="rId219"/><Relationship Type="http://schemas.openxmlformats.org/officeDocument/2006/relationships/hyperlink" Target="https://som.yale.edu/story/2026/event-dispatch-learning-self-defense-skills" TargetMode="External" Id="rId220"/><Relationship Type="http://schemas.openxmlformats.org/officeDocument/2006/relationships/hyperlink" Target="https://som.yale.edu/story/2026/event-dispatch-snagging-free-reads-black-authors" TargetMode="External" Id="rId221"/><Relationship Type="http://schemas.openxmlformats.org/officeDocument/2006/relationships/hyperlink" Target="https://som.yale.edu/story/2026/news-systemic-risk-friday-march-6-2026-945-am" TargetMode="External" Id="rId222"/><Relationship Type="http://schemas.openxmlformats.org/officeDocument/2006/relationships/hyperlink" Target="https://som.yale.edu/story/2026/yale-som-student-team-places-first-uncs-alpha-challenge" TargetMode="External" Id="rId223"/><Relationship Type="http://schemas.openxmlformats.org/officeDocument/2006/relationships/hyperlink" Target="https://som.yale.edu/centers/chief-executive-leadership-institute/media/russia" TargetMode="External" Id="rId224"/><Relationship Type="http://schemas.openxmlformats.org/officeDocument/2006/relationships/hyperlink" Target="https://som.yale.edu/about/headlines/startup-stories" TargetMode="External" Id="rId225"/><Relationship Type="http://schemas.openxmlformats.org/officeDocument/2006/relationships/hyperlink" Target="https://som.yale.edu/programs/mba/admissions/student-ambassadors" TargetMode="External" Id="rId226"/><Relationship Type="http://schemas.openxmlformats.org/officeDocument/2006/relationships/hyperlink" Target="https://som.yale.edu/programs/mba/student-experience/student-and-alumni-profiles" TargetMode="External" Id="rId227"/><Relationship Type="http://schemas.openxmlformats.org/officeDocument/2006/relationships/hyperlink" Target="https://som.yale.edu/about/headlines/student-pov" TargetMode="External" Id="rId228"/><Relationship Type="http://schemas.openxmlformats.org/officeDocument/2006/relationships/hyperlink" Target="https://som.yale.edu/programs/mam/the-student-experience/student-profiles" TargetMode="External" Id="rId229"/><Relationship Type="http://schemas.openxmlformats.org/officeDocument/2006/relationships/hyperlink" Target="https://som.yale.edu/programs/mms-global-business-and-society/community/student-profiles" TargetMode="External" Id="rId230"/><Relationship Type="http://schemas.openxmlformats.org/officeDocument/2006/relationships/hyperlink" Target="https://som.yale.edu/about/headlines/all-headlines/historians-notebook" TargetMode="External" Id="rId231"/><Relationship Type="http://schemas.openxmlformats.org/officeDocument/2006/relationships/hyperlink" Target="https://som.yale.edu/about/headlines/podcasts" TargetMode="External" Id="rId232"/><Relationship Type="http://schemas.openxmlformats.org/officeDocument/2006/relationships/hyperlink" Target="https://som.yale.edu/centers/program-on-financial-stability/ypfs-news" TargetMode="External" Id="rId233"/></Relationships>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8" customWidth="1" min="1" max="1"/>
    <col width="46" customWidth="1" min="2" max="2"/>
    <col width="28" customWidth="1" min="3" max="3"/>
    <col width="18" customWidth="1" min="4" max="4"/>
  </cols>
  <sheetData>
    <row r="1">
      <c r="A1" s="1" t="inlineStr">
        <is>
          <t>Content Placement Advisor Workbook</t>
        </is>
      </c>
      <c r="B1" s="1" t="n"/>
      <c r="C1" s="1" t="n"/>
      <c r="D1" s="1" t="n"/>
    </row>
    <row r="2">
      <c r="A2" s="2" t="inlineStr">
        <is>
          <t>Purpose</t>
        </is>
      </c>
      <c r="B2" s="3" t="inlineStr">
        <is>
          <t>Spreadsheet-based scenario tester for the current placement map and supporting audit outputs.</t>
        </is>
      </c>
    </row>
    <row r="3">
      <c r="A3" s="4" t="inlineStr">
        <is>
          <t>How to use</t>
        </is>
      </c>
      <c r="B3" s="3" t="inlineStr">
        <is>
          <t>1) Go to Inputs  2) choose a content type  3) enter comma-separated term IDs  4) filter Placement Rules by Status.</t>
        </is>
      </c>
    </row>
    <row r="4">
      <c r="A4" s="2" t="inlineStr">
        <is>
          <t>Supporting artifacts</t>
        </is>
      </c>
      <c r="B4" s="3" t="inlineStr">
        <is>
          <t>Use the Inferred Review sheet for section/manual rules that need human review.</t>
        </is>
      </c>
    </row>
    <row r="5">
      <c r="A5" s="5" t="inlineStr">
        <is>
          <t>Eligible but limited - matches the current rule set, but the view is capped by a result limit.</t>
        </is>
      </c>
      <c r="B5" s="5" t="n"/>
    </row>
    <row r="6">
      <c r="A6" s="6" t="inlineStr">
        <is>
          <t>Open Inputs sheet</t>
        </is>
      </c>
      <c r="B6" s="6" t="inlineStr">
        <is>
          <t>Open Placement Rules sheet</t>
        </is>
      </c>
      <c r="C6" s="7" t="inlineStr">
        <is>
          <t>Open Inferred Review sheet</t>
        </is>
      </c>
    </row>
    <row r="7">
      <c r="A7" s="5" t="inlineStr">
        <is>
          <t>This workbook relies on modern Excel formulas such as TEXTSPLIT and is designed for Excel 365.</t>
        </is>
      </c>
      <c r="B7" s="5" t="n"/>
    </row>
    <row r="8">
      <c r="A8" s="5" t="n"/>
      <c r="B8" s="5" t="n"/>
    </row>
    <row r="9"/>
    <row r="10">
      <c r="A10" s="8" t="inlineStr">
        <is>
          <t>Current rule inventory</t>
        </is>
      </c>
    </row>
    <row r="11">
      <c r="A11" s="9" t="inlineStr">
        <is>
          <t>Grouped/page rule rows</t>
        </is>
      </c>
      <c r="B11" t="n">
        <v>233</v>
      </c>
    </row>
    <row r="12">
      <c r="A12" s="8" t="inlineStr">
        <is>
          <t>Unique view/display definitions</t>
        </is>
      </c>
      <c r="B12" t="n">
        <v>42</v>
      </c>
    </row>
    <row r="13">
      <c r="A13" s="8" t="inlineStr">
        <is>
          <t>Inferred/manual review rows</t>
        </is>
      </c>
      <c r="B13" t="n">
        <v>44</v>
      </c>
    </row>
    <row r="14">
      <c r="A14" s="8" t="n"/>
    </row>
    <row r="15">
      <c r="A15" s="8" t="inlineStr">
        <is>
          <t>Status counts (recalculate after editing Inputs)</t>
        </is>
      </c>
    </row>
    <row r="16">
      <c r="A16" s="9" t="inlineStr">
        <is>
          <t>Will appear</t>
        </is>
      </c>
      <c r="B16">
        <f>COUNTIF('Placement Rules'!$A:$A,"Will appear")</f>
        <v/>
      </c>
    </row>
    <row r="17">
      <c r="A17" s="10" t="inlineStr">
        <is>
          <t>Eligible but limited</t>
        </is>
      </c>
      <c r="B17" s="11">
        <f>COUNTIF('Placement Rules'!$A:$A,"Eligible but limited")</f>
        <v/>
      </c>
    </row>
    <row r="18">
      <c r="A18" s="12" t="inlineStr">
        <is>
          <t>Excluded</t>
        </is>
      </c>
      <c r="B18" s="13">
        <f>COUNTIF('Placement Rules'!$A:$A,"Excluded")</f>
        <v/>
      </c>
    </row>
    <row r="19">
      <c r="A19" s="8" t="n"/>
      <c r="B19" s="14" t="n"/>
    </row>
  </sheetData>
  <mergeCells count="1">
    <mergeCell ref="A1:D1"/>
  </mergeCells>
  <hyperlinks>
    <hyperlink xmlns:r="http://schemas.openxmlformats.org/officeDocument/2006/relationships" ref="A6" r:id="rId1"/>
    <hyperlink xmlns:r="http://schemas.openxmlformats.org/officeDocument/2006/relationships" ref="B6" r:id="rId2"/>
    <hyperlink xmlns:r="http://schemas.openxmlformats.org/officeDocument/2006/relationships" ref="C6"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26" customWidth="1" min="3" max="3"/>
    <col width="44" customWidth="1" min="4" max="4"/>
    <col width="18" customWidth="1" min="5" max="5"/>
    <col width="34" customWidth="1" min="6" max="6"/>
  </cols>
  <sheetData>
    <row r="1">
      <c r="A1" s="15" t="inlineStr">
        <is>
          <t>Scenario Inputs</t>
        </is>
      </c>
      <c r="B1" s="16" t="n"/>
      <c r="C1" s="16" t="n"/>
      <c r="D1" s="16" t="n"/>
      <c r="E1" s="16" t="n"/>
      <c r="F1" s="16" t="n"/>
    </row>
    <row r="2">
      <c r="A2" s="17" t="inlineStr">
        <is>
          <t>Content type</t>
        </is>
      </c>
      <c r="B2" s="18" t="inlineStr">
        <is>
          <t>story</t>
        </is>
      </c>
      <c r="C2" s="19" t="inlineStr">
        <is>
          <t>Choose one content type, then enter comma-separated term IDs in column C.</t>
        </is>
      </c>
      <c r="D2" s="19" t="n"/>
    </row>
    <row r="3">
      <c r="A3" s="19" t="n"/>
      <c r="B3" s="19" t="n"/>
      <c r="C3" s="20" t="inlineStr">
        <is>
          <t>Only enter taxonomy term IDs. The Terms sheet provides lookup values and the app remains the best source for plain-English reasoning.</t>
        </is>
      </c>
    </row>
    <row r="4">
      <c r="A4" s="21" t="inlineStr">
        <is>
          <t>Field label</t>
        </is>
      </c>
      <c r="B4" s="21" t="inlineStr">
        <is>
          <t>Dimension</t>
        </is>
      </c>
      <c r="C4" s="21" t="inlineStr">
        <is>
          <t>Selected term IDs</t>
        </is>
      </c>
      <c r="D4" s="21" t="inlineStr">
        <is>
          <t>Examples</t>
        </is>
      </c>
      <c r="E4" s="21" t="inlineStr">
        <is>
          <t>Available for selected type?</t>
        </is>
      </c>
      <c r="F4" s="21" t="inlineStr">
        <is>
          <t>Content types using this field</t>
        </is>
      </c>
    </row>
    <row r="5">
      <c r="A5" s="22" t="inlineStr">
        <is>
          <t>Affiliation</t>
        </is>
      </c>
      <c r="B5" s="22" t="inlineStr">
        <is>
          <t>affiliations</t>
        </is>
      </c>
      <c r="C5" s="23" t="n"/>
      <c r="D5" s="22" t="inlineStr">
        <is>
          <t>Adam Smith Society (1046), Admissions Ambassadors (297), Africa Business and Society Club (1048)</t>
        </is>
      </c>
      <c r="E5" s="22">
        <f>IF($B$2="","",ISNUMBER(SEARCH(","&amp;LOWER($B$2)&amp;",",","&amp;LOWER(SUBSTITUTE($F5," ",""))&amp;",")))</f>
        <v/>
      </c>
      <c r="F5" s="22" t="inlineStr">
        <is>
          <t>profile</t>
        </is>
      </c>
    </row>
    <row r="6">
      <c r="A6" s="24" t="inlineStr">
        <is>
          <t>Announcement category</t>
        </is>
      </c>
      <c r="B6" s="24" t="inlineStr">
        <is>
          <t>announcement_category</t>
        </is>
      </c>
      <c r="C6" s="23" t="n"/>
      <c r="D6" s="24" t="inlineStr">
        <is>
          <t>CDO Event (1555), Club Event (1501), Club Meeting (1507)</t>
        </is>
      </c>
      <c r="E6" s="24">
        <f>IF($B$2="","",ISNUMBER(SEARCH(","&amp;LOWER($B$2)&amp;",",","&amp;LOWER(SUBSTITUTE($F6," ",""))&amp;",")))</f>
        <v/>
      </c>
      <c r="F6" s="24" t="inlineStr">
        <is>
          <t>enews_announcement</t>
        </is>
      </c>
    </row>
    <row r="7">
      <c r="A7" s="22" t="inlineStr">
        <is>
          <t>Area of Focus</t>
        </is>
      </c>
      <c r="B7" s="22" t="inlineStr">
        <is>
          <t>area_of_focus</t>
        </is>
      </c>
      <c r="C7" s="23" t="n"/>
      <c r="D7" s="22" t="inlineStr">
        <is>
          <t>Asset Management (287), Healthcare (289), Sustainability (288)</t>
        </is>
      </c>
      <c r="E7" s="22">
        <f>IF($B$2="","",ISNUMBER(SEARCH(","&amp;LOWER($B$2)&amp;",",","&amp;LOWER(SUBSTITUTE($F7," ",""))&amp;",")))</f>
        <v/>
      </c>
      <c r="F7" s="22" t="inlineStr">
        <is>
          <t>profile</t>
        </is>
      </c>
    </row>
    <row r="8">
      <c r="A8" s="24" t="inlineStr">
        <is>
          <t>Audience</t>
        </is>
      </c>
      <c r="B8" s="24" t="inlineStr">
        <is>
          <t>audience</t>
        </is>
      </c>
      <c r="C8" s="23" t="n"/>
      <c r="D8" s="24" t="inlineStr">
        <is>
          <t>Alumni (15), Executive Education (16), Prospective Students (17)</t>
        </is>
      </c>
      <c r="E8" s="24">
        <f>IF($B$2="","",ISNUMBER(SEARCH(","&amp;LOWER($B$2)&amp;",",","&amp;LOWER(SUBSTITUTE($F8," ",""))&amp;",")))</f>
        <v/>
      </c>
      <c r="F8" s="24" t="inlineStr">
        <is>
          <t>event</t>
        </is>
      </c>
    </row>
    <row r="9">
      <c r="A9" s="22" t="inlineStr">
        <is>
          <t>Opportunity Type</t>
        </is>
      </c>
      <c r="B9" s="22" t="inlineStr">
        <is>
          <t>challenge_opportunities</t>
        </is>
      </c>
      <c r="C9" s="23" t="n"/>
      <c r="D9" s="22" t="inlineStr">
        <is>
          <t>Building wealth (1646), Culture &amp; creativity (1641), Economic opportunity (1637)</t>
        </is>
      </c>
      <c r="E9" s="22">
        <f>IF($B$2="","",ISNUMBER(SEARCH(","&amp;LOWER($B$2)&amp;",",","&amp;LOWER(SUBSTITUTE($F9," ",""))&amp;",")))</f>
        <v/>
      </c>
      <c r="F9" s="22" t="inlineStr">
        <is>
          <t>impact_story</t>
        </is>
      </c>
    </row>
    <row r="10">
      <c r="A10" s="24" t="inlineStr">
        <is>
          <t>Courses Context</t>
        </is>
      </c>
      <c r="B10" s="24" t="inlineStr">
        <is>
          <t>context</t>
        </is>
      </c>
      <c r="C10" s="23" t="n"/>
      <c r="D10" s="24" t="inlineStr">
        <is>
          <t>Advisory Board Member Highlights (1213), All SOM (77), Alumni (1142)</t>
        </is>
      </c>
      <c r="E10" s="24">
        <f>IF($B$2="","",ISNUMBER(SEARCH(","&amp;LOWER($B$2)&amp;",",","&amp;LOWER(SUBSTITUTE($F10," ",""))&amp;",")))</f>
        <v/>
      </c>
      <c r="F10" s="24" t="inlineStr">
        <is>
          <t>course, event, profile, publications, story</t>
        </is>
      </c>
    </row>
    <row r="11">
      <c r="A11" s="22" t="inlineStr">
        <is>
          <t>Announcement type</t>
        </is>
      </c>
      <c r="B11" s="22" t="inlineStr">
        <is>
          <t>enews_announcement_type</t>
        </is>
      </c>
      <c r="C11" s="23" t="n"/>
      <c r="D11" s="22" t="inlineStr">
        <is>
          <t>Announcements (1199), Events around Yale (1204), Events at SOM (1198)</t>
        </is>
      </c>
      <c r="E11" s="22">
        <f>IF($B$2="","",ISNUMBER(SEARCH(","&amp;LOWER($B$2)&amp;",",","&amp;LOWER(SUBSTITUTE($F11," ",""))&amp;",")))</f>
        <v/>
      </c>
      <c r="F11" s="22" t="inlineStr">
        <is>
          <t>enews_announcement</t>
        </is>
      </c>
    </row>
    <row r="12">
      <c r="A12" s="24" t="inlineStr">
        <is>
          <t>eNews audience</t>
        </is>
      </c>
      <c r="B12" s="24" t="inlineStr">
        <is>
          <t>enews_audience</t>
        </is>
      </c>
      <c r="C12" s="23" t="n"/>
      <c r="D12" s="24" t="inlineStr">
        <is>
          <t>Doctoral (1195), EMBA (1196), Faculty &amp; Staff (1197)</t>
        </is>
      </c>
      <c r="E12" s="24">
        <f>IF($B$2="","",ISNUMBER(SEARCH(","&amp;LOWER($B$2)&amp;",",","&amp;LOWER(SUBSTITUTE($F12," ",""))&amp;",")))</f>
        <v/>
      </c>
      <c r="F12" s="24" t="inlineStr">
        <is>
          <t>enews_announcement</t>
        </is>
      </c>
    </row>
    <row r="13">
      <c r="A13" s="22" t="inlineStr">
        <is>
          <t>Event Region</t>
        </is>
      </c>
      <c r="B13" s="22" t="inlineStr">
        <is>
          <t>event_location</t>
        </is>
      </c>
      <c r="C13" s="23" t="n"/>
      <c r="D13" s="22" t="inlineStr">
        <is>
          <t>Africa (1032), Asia Pacific (1033), Australia (1034)</t>
        </is>
      </c>
      <c r="E13" s="22">
        <f>IF($B$2="","",ISNUMBER(SEARCH(","&amp;LOWER($B$2)&amp;",",","&amp;LOWER(SUBSTITUTE($F13," ",""))&amp;",")))</f>
        <v/>
      </c>
      <c r="F13" s="22" t="inlineStr">
        <is>
          <t>event</t>
        </is>
      </c>
    </row>
    <row r="14">
      <c r="A14" s="24" t="inlineStr">
        <is>
          <t>Event Type</t>
        </is>
      </c>
      <c r="B14" s="24" t="inlineStr">
        <is>
          <t>event_type</t>
        </is>
      </c>
      <c r="C14" s="23" t="n"/>
      <c r="D14" s="24" t="inlineStr">
        <is>
          <t>Admissions Events (994), Admissions Officer-hosted Event (1206), Admissions Panels (997)</t>
        </is>
      </c>
      <c r="E14" s="24">
        <f>IF($B$2="","",ISNUMBER(SEARCH(","&amp;LOWER($B$2)&amp;",",","&amp;LOWER(SUBSTITUTE($F14," ",""))&amp;",")))</f>
        <v/>
      </c>
      <c r="F14" s="24" t="inlineStr">
        <is>
          <t>event</t>
        </is>
      </c>
    </row>
    <row r="15">
      <c r="A15" s="22" t="inlineStr">
        <is>
          <t>Executive Education Focus</t>
        </is>
      </c>
      <c r="B15" s="22" t="inlineStr">
        <is>
          <t>executive_education_focus</t>
        </is>
      </c>
      <c r="C15" s="23" t="n"/>
      <c r="D15" s="22" t="inlineStr">
        <is>
          <t>Education (1022), Finance (1023), Global Business (1024)</t>
        </is>
      </c>
      <c r="E15" s="22">
        <f>IF($B$2="","",ISNUMBER(SEARCH(","&amp;LOWER($B$2)&amp;",",","&amp;LOWER(SUBSTITUTE($F15," ",""))&amp;",")))</f>
        <v/>
      </c>
      <c r="F15" s="22" t="inlineStr">
        <is>
          <t>course</t>
        </is>
      </c>
    </row>
    <row r="16">
      <c r="A16" s="24" t="inlineStr">
        <is>
          <t>Faculty Category</t>
        </is>
      </c>
      <c r="B16" s="24" t="inlineStr">
        <is>
          <t>faculty_category</t>
        </is>
      </c>
      <c r="C16" s="23" t="n"/>
      <c r="D16" s="24" t="inlineStr">
        <is>
          <t>Affiliated Faculty (224), Emeriti Faculty (192), Visiting Instructors &amp; Scholars (225)</t>
        </is>
      </c>
      <c r="E16" s="24">
        <f>IF($B$2="","",ISNUMBER(SEARCH(","&amp;LOWER($B$2)&amp;",",","&amp;LOWER(SUBSTITUTE($F16," ",""))&amp;",")))</f>
        <v/>
      </c>
      <c r="F16" s="24" t="inlineStr">
        <is>
          <t>faculty</t>
        </is>
      </c>
    </row>
    <row r="17">
      <c r="A17" s="22" t="inlineStr">
        <is>
          <t>Faculty Discipline</t>
        </is>
      </c>
      <c r="B17" s="22" t="inlineStr">
        <is>
          <t>faculty_discipline</t>
        </is>
      </c>
      <c r="C17" s="23" t="n"/>
      <c r="D17" s="22" t="inlineStr">
        <is>
          <t>Accounting (136), Economics (157), Finance (142)</t>
        </is>
      </c>
      <c r="E17" s="22">
        <f>IF($B$2="","",ISNUMBER(SEARCH(","&amp;LOWER($B$2)&amp;",",","&amp;LOWER(SUBSTITUTE($F17," ",""))&amp;",")))</f>
        <v/>
      </c>
      <c r="F17" s="22" t="inlineStr">
        <is>
          <t>faculty</t>
        </is>
      </c>
    </row>
    <row r="18">
      <c r="A18" s="24" t="inlineStr">
        <is>
          <t>Expertise</t>
        </is>
      </c>
      <c r="B18" s="24" t="inlineStr">
        <is>
          <t>faculty_expertise</t>
        </is>
      </c>
      <c r="C18" s="23" t="n"/>
      <c r="D18" s="24" t="inlineStr">
        <is>
          <t>Accounting (137), Activist Investors (248), Advertising (231)</t>
        </is>
      </c>
      <c r="E18" s="24">
        <f>IF($B$2="","",ISNUMBER(SEARCH(","&amp;LOWER($B$2)&amp;",",","&amp;LOWER(SUBSTITUTE($F18," ",""))&amp;",")))</f>
        <v/>
      </c>
      <c r="F18" s="24" t="inlineStr">
        <is>
          <t>faculty</t>
        </is>
      </c>
    </row>
    <row r="19">
      <c r="A19" s="22" t="inlineStr">
        <is>
          <t>Global Network</t>
        </is>
      </c>
      <c r="B19" s="22" t="inlineStr">
        <is>
          <t>global_network_school</t>
        </is>
      </c>
      <c r="C19" s="23" t="n"/>
      <c r="D19" s="22" t="inlineStr">
        <is>
          <t>Asian Institute of Management (270), Business School, Renmin University of China (1162), Cambridge Judge Business School (1163)</t>
        </is>
      </c>
      <c r="E19" s="22">
        <f>IF($B$2="","",ISNUMBER(SEARCH(","&amp;LOWER($B$2)&amp;",",","&amp;LOWER(SUBSTITUTE($F19," ",""))&amp;",")))</f>
        <v/>
      </c>
      <c r="F19" s="22" t="inlineStr">
        <is>
          <t>profile</t>
        </is>
      </c>
    </row>
    <row r="20">
      <c r="A20" s="24" t="inlineStr">
        <is>
          <t>Industry</t>
        </is>
      </c>
      <c r="B20" s="24" t="inlineStr">
        <is>
          <t>industry</t>
        </is>
      </c>
      <c r="C20" s="23" t="n"/>
      <c r="D20" s="24" t="inlineStr">
        <is>
          <t>Arts Management (306), Automotive (282), Construction (276)</t>
        </is>
      </c>
      <c r="E20" s="24">
        <f>IF($B$2="","",ISNUMBER(SEARCH(","&amp;LOWER($B$2)&amp;",",","&amp;LOWER(SUBSTITUTE($F20," ",""))&amp;",")))</f>
        <v/>
      </c>
      <c r="F20" s="24" t="inlineStr">
        <is>
          <t>profile</t>
        </is>
      </c>
    </row>
    <row r="21">
      <c r="A21" s="22" t="inlineStr">
        <is>
          <t>Citizenship</t>
        </is>
      </c>
      <c r="B21" s="22" t="inlineStr">
        <is>
          <t>location</t>
        </is>
      </c>
      <c r="C21" s="23" t="n"/>
      <c r="D21" s="22" t="inlineStr">
        <is>
          <t>Africa (1112), Asia (1113), Australia (1114)</t>
        </is>
      </c>
      <c r="E21" s="22">
        <f>IF($B$2="","",ISNUMBER(SEARCH(","&amp;LOWER($B$2)&amp;",",","&amp;LOWER(SUBSTITUTE($F21," ",""))&amp;",")))</f>
        <v/>
      </c>
      <c r="F21" s="22" t="inlineStr">
        <is>
          <t>profile</t>
        </is>
      </c>
    </row>
    <row r="22">
      <c r="A22" s="24" t="inlineStr">
        <is>
          <t>Modality</t>
        </is>
      </c>
      <c r="B22" s="24" t="inlineStr">
        <is>
          <t>modality</t>
        </is>
      </c>
      <c r="C22" s="23" t="n"/>
      <c r="D22" s="24" t="inlineStr">
        <is>
          <t>Blended (1292), In-Person (1293), Live Online (1294)</t>
        </is>
      </c>
      <c r="E22" s="24">
        <f>IF($B$2="","",ISNUMBER(SEARCH(","&amp;LOWER($B$2)&amp;",",","&amp;LOWER(SUBSTITUTE($F22," ",""))&amp;",")))</f>
        <v/>
      </c>
      <c r="F22" s="24" t="inlineStr">
        <is>
          <t>course, event</t>
        </is>
      </c>
    </row>
    <row r="23">
      <c r="A23" s="22" t="inlineStr">
        <is>
          <t>Organizer</t>
        </is>
      </c>
      <c r="B23" s="22" t="inlineStr">
        <is>
          <t>organizer</t>
        </is>
      </c>
      <c r="C23" s="23" t="n"/>
      <c r="D23" s="22" t="inlineStr">
        <is>
          <t>1stGenYale (1379), Academic Affairs &amp; Student Life (1221), Academic Affairs and Student Life (1297)</t>
        </is>
      </c>
      <c r="E23" s="22">
        <f>IF($B$2="","",ISNUMBER(SEARCH(","&amp;LOWER($B$2)&amp;",",","&amp;LOWER(SUBSTITUTE($F23," ",""))&amp;",")))</f>
        <v/>
      </c>
      <c r="F23" s="22" t="inlineStr">
        <is>
          <t>enews_announcement</t>
        </is>
      </c>
    </row>
    <row r="24">
      <c r="A24" s="24" t="inlineStr">
        <is>
          <t>Profile Type</t>
        </is>
      </c>
      <c r="B24" s="24" t="inlineStr">
        <is>
          <t>profile_type</t>
        </is>
      </c>
      <c r="C24" s="23" t="n"/>
      <c r="D24" s="24" t="inlineStr">
        <is>
          <t>Alumni (1549), Ambassador (1552), Faculty (1550)</t>
        </is>
      </c>
      <c r="E24" s="24">
        <f>IF($B$2="","",ISNUMBER(SEARCH(","&amp;LOWER($B$2)&amp;",",","&amp;LOWER(SUBSTITUTE($F24," ",""))&amp;",")))</f>
        <v/>
      </c>
      <c r="F24" s="24" t="inlineStr">
        <is>
          <t>profile</t>
        </is>
      </c>
    </row>
    <row r="25">
      <c r="A25" s="22" t="inlineStr">
        <is>
          <t>Program</t>
        </is>
      </c>
      <c r="B25" s="22" t="inlineStr">
        <is>
          <t>program</t>
        </is>
      </c>
      <c r="C25" s="23" t="n"/>
      <c r="D25" s="22" t="inlineStr">
        <is>
          <t>Doctoral Programs (79), Double Degrees (1635), Joint Programs (87)</t>
        </is>
      </c>
      <c r="E25" s="22">
        <f>IF($B$2="","",ISNUMBER(SEARCH(","&amp;LOWER($B$2)&amp;",",","&amp;LOWER(SUBSTITUTE($F25," ",""))&amp;",")))</f>
        <v/>
      </c>
      <c r="F25" s="22" t="inlineStr">
        <is>
          <t>profile</t>
        </is>
      </c>
    </row>
    <row r="26">
      <c r="A26" s="24" t="inlineStr">
        <is>
          <t>Story Categories</t>
        </is>
      </c>
      <c r="B26" s="24" t="inlineStr">
        <is>
          <t>story_categories</t>
        </is>
      </c>
      <c r="C26" s="23" t="n"/>
      <c r="D26" s="24" t="n"/>
      <c r="E26" s="24">
        <f>IF($B$2="","",ISNUMBER(SEARCH(","&amp;LOWER($B$2)&amp;",",","&amp;LOWER(SUBSTITUTE($F26," ",""))&amp;",")))</f>
        <v/>
      </c>
      <c r="F26" s="24" t="inlineStr">
        <is>
          <t>story</t>
        </is>
      </c>
    </row>
    <row r="27">
      <c r="A27" s="22" t="inlineStr">
        <is>
          <t>Story Type</t>
        </is>
      </c>
      <c r="B27" s="22" t="inlineStr">
        <is>
          <t>story_type</t>
        </is>
      </c>
      <c r="C27" s="23" t="n"/>
      <c r="D27" s="22" t="inlineStr">
        <is>
          <t>Announcement (1170), Blog (974), Five questions (1157)</t>
        </is>
      </c>
      <c r="E27" s="22">
        <f>IF($B$2="","",ISNUMBER(SEARCH(","&amp;LOWER($B$2)&amp;",",","&amp;LOWER(SUBSTITUTE($F27," ",""))&amp;",")))</f>
        <v/>
      </c>
      <c r="F27" s="22" t="inlineStr">
        <is>
          <t>story</t>
        </is>
      </c>
    </row>
    <row r="28">
      <c r="A28" s="24" t="inlineStr">
        <is>
          <t>Topics</t>
        </is>
      </c>
      <c r="B28" s="24" t="inlineStr">
        <is>
          <t>topics</t>
        </is>
      </c>
      <c r="C28" s="23" t="n"/>
      <c r="D28" s="24" t="inlineStr">
        <is>
          <t>Accounting (130), Admissions (109), AI (Artificial Intelligence) (1749)</t>
        </is>
      </c>
      <c r="E28" s="24">
        <f>IF($B$2="","",ISNUMBER(SEARCH(","&amp;LOWER($B$2)&amp;",",","&amp;LOWER(SUBSTITUTE($F28," ",""))&amp;",")))</f>
        <v/>
      </c>
      <c r="F28" s="24" t="inlineStr">
        <is>
          <t>ampersand_story, landing_page, page, podcast, podcast_series, profile, publications, story</t>
        </is>
      </c>
    </row>
  </sheetData>
  <mergeCells count="2">
    <mergeCell ref="A1:F1"/>
    <mergeCell ref="C3:F3"/>
  </mergeCells>
  <dataValidations count="1">
    <dataValidation sqref="B2" showDropDown="0" showInputMessage="0" showErrorMessage="0" allowBlank="1" type="list">
      <formula1>=Lists!$A$1:$A$14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Q234"/>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42" customWidth="1" min="3" max="3"/>
    <col width="48" customWidth="1" min="4" max="4"/>
    <col width="10" customWidth="1" min="5" max="5"/>
    <col width="18" customWidth="1" min="6" max="6"/>
    <col width="18" customWidth="1" min="7" max="7"/>
    <col width="18" customWidth="1" min="8" max="8"/>
    <col width="10" customWidth="1" min="9" max="9"/>
    <col width="18" customWidth="1" min="10" max="10"/>
    <col width="16" customWidth="1" min="11" max="11"/>
    <col width="72"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 hidden="1" width="13" customWidth="1" min="120" max="120"/>
    <col hidden="1" width="13" customWidth="1" min="121" max="121"/>
    <col hidden="1" width="13" customWidth="1" min="122" max="122"/>
    <col hidden="1" width="13" customWidth="1" min="123" max="123"/>
    <col hidden="1" width="13" customWidth="1" min="124" max="124"/>
    <col hidden="1" width="13" customWidth="1" min="125" max="125"/>
    <col hidden="1" width="13" customWidth="1" min="126" max="126"/>
    <col hidden="1" width="13" customWidth="1" min="127" max="127"/>
    <col hidden="1" width="13" customWidth="1" min="128" max="128"/>
    <col hidden="1" width="13" customWidth="1" min="129" max="129"/>
    <col hidden="1" width="13" customWidth="1" min="130" max="130"/>
    <col hidden="1" width="13" customWidth="1" min="131" max="131"/>
    <col hidden="1" width="13" customWidth="1" min="132" max="132"/>
    <col hidden="1" width="13" customWidth="1" min="133" max="133"/>
    <col hidden="1" width="13" customWidth="1" min="134" max="134"/>
    <col hidden="1" width="13" customWidth="1" min="135" max="135"/>
    <col hidden="1" width="13" customWidth="1" min="136" max="136"/>
    <col hidden="1" width="13" customWidth="1" min="137" max="137"/>
    <col hidden="1" width="13" customWidth="1" min="138" max="138"/>
    <col hidden="1" width="13" customWidth="1" min="139" max="139"/>
    <col hidden="1" width="13" customWidth="1" min="140" max="140"/>
    <col hidden="1" width="13" customWidth="1" min="141" max="141"/>
    <col hidden="1" width="13" customWidth="1" min="142" max="142"/>
    <col hidden="1" width="13" customWidth="1" min="143" max="143"/>
    <col hidden="1" width="13" customWidth="1" min="144" max="144"/>
    <col hidden="1" width="13" customWidth="1" min="145" max="145"/>
    <col hidden="1" width="13" customWidth="1" min="146" max="146"/>
    <col hidden="1" width="13" customWidth="1" min="147" max="147"/>
    <col hidden="1" width="13" customWidth="1" min="148" max="148"/>
    <col hidden="1" width="13" customWidth="1" min="149" max="149"/>
    <col hidden="1" width="13" customWidth="1" min="150" max="150"/>
    <col hidden="1" width="13" customWidth="1" min="151" max="151"/>
    <col hidden="1" width="13" customWidth="1" min="152" max="152"/>
    <col hidden="1" width="13" customWidth="1" min="153" max="153"/>
    <col hidden="1" width="13" customWidth="1" min="154" max="154"/>
    <col hidden="1" width="13" customWidth="1" min="155" max="155"/>
    <col hidden="1" width="13" customWidth="1" min="156" max="156"/>
    <col hidden="1" width="13" customWidth="1" min="157" max="157"/>
    <col hidden="1" width="13" customWidth="1" min="158" max="158"/>
    <col hidden="1" width="13" customWidth="1" min="159" max="159"/>
    <col hidden="1" width="13" customWidth="1" min="160" max="160"/>
    <col hidden="1" width="13" customWidth="1" min="161" max="161"/>
    <col hidden="1" width="13" customWidth="1" min="162" max="162"/>
    <col hidden="1" width="13" customWidth="1" min="163" max="163"/>
    <col hidden="1" width="13" customWidth="1" min="164" max="164"/>
    <col hidden="1" width="13" customWidth="1" min="165" max="165"/>
    <col hidden="1" width="13" customWidth="1" min="166" max="166"/>
    <col hidden="1" width="13" customWidth="1" min="167" max="167"/>
    <col hidden="1" width="13" customWidth="1" min="168" max="168"/>
    <col hidden="1" width="13" customWidth="1" min="169" max="169"/>
    <col hidden="1" width="13" customWidth="1" min="170" max="170"/>
    <col hidden="1" width="13" customWidth="1" min="171" max="171"/>
    <col hidden="1" width="13" customWidth="1" min="172" max="172"/>
    <col hidden="1" width="13" customWidth="1" min="173" max="173"/>
    <col hidden="1" width="13" customWidth="1" min="174" max="174"/>
    <col hidden="1" width="13" customWidth="1" min="175" max="175"/>
    <col hidden="1" width="13" customWidth="1" min="176" max="176"/>
    <col hidden="1" width="13" customWidth="1" min="177" max="177"/>
    <col hidden="1" width="13" customWidth="1" min="178" max="178"/>
    <col hidden="1" width="13" customWidth="1" min="179" max="179"/>
    <col hidden="1" width="13" customWidth="1" min="180" max="180"/>
    <col hidden="1" width="13" customWidth="1" min="181" max="181"/>
    <col hidden="1" width="13" customWidth="1" min="182" max="182"/>
    <col hidden="1" width="13" customWidth="1" min="183" max="183"/>
    <col hidden="1" width="13" customWidth="1" min="184" max="184"/>
    <col hidden="1" width="13" customWidth="1" min="185" max="185"/>
    <col hidden="1" width="13" customWidth="1" min="186" max="186"/>
    <col hidden="1" width="13" customWidth="1" min="187" max="187"/>
    <col hidden="1" width="13" customWidth="1" min="188" max="188"/>
    <col hidden="1" width="13" customWidth="1" min="189" max="189"/>
    <col hidden="1" width="13" customWidth="1" min="190" max="190"/>
    <col hidden="1" width="13" customWidth="1" min="191" max="191"/>
    <col hidden="1" width="13" customWidth="1" min="192" max="192"/>
    <col hidden="1" width="13" customWidth="1" min="193" max="193"/>
    <col hidden="1" width="13" customWidth="1" min="194" max="194"/>
    <col hidden="1" width="13" customWidth="1" min="195" max="195"/>
    <col hidden="1" width="13" customWidth="1" min="196" max="196"/>
    <col hidden="1" width="13" customWidth="1" min="197" max="197"/>
    <col hidden="1" width="13" customWidth="1" min="198" max="198"/>
    <col hidden="1" width="13" customWidth="1" min="199" max="199"/>
    <col hidden="1" width="13" customWidth="1" min="200" max="200"/>
    <col hidden="1" width="13" customWidth="1" min="201" max="201"/>
    <col hidden="1" width="13" customWidth="1" min="202" max="202"/>
    <col hidden="1" width="13" customWidth="1" min="203" max="203"/>
    <col hidden="1" width="13" customWidth="1" min="204" max="204"/>
    <col hidden="1" width="13" customWidth="1" min="205" max="205"/>
    <col hidden="1" width="13" customWidth="1" min="206" max="206"/>
    <col hidden="1" width="13" customWidth="1" min="207" max="207"/>
    <col hidden="1" width="13" customWidth="1" min="208" max="208"/>
    <col hidden="1" width="13" customWidth="1" min="209" max="209"/>
    <col hidden="1" width="13" customWidth="1" min="210" max="210"/>
    <col hidden="1" width="13" customWidth="1" min="211" max="211"/>
    <col hidden="1" width="13" customWidth="1" min="212" max="212"/>
    <col hidden="1" width="13" customWidth="1" min="213" max="213"/>
    <col hidden="1" width="13" customWidth="1" min="214" max="214"/>
    <col hidden="1" width="13" customWidth="1" min="215" max="215"/>
    <col hidden="1" width="13" customWidth="1" min="216" max="216"/>
    <col hidden="1" width="13" customWidth="1" min="217" max="217"/>
    <col hidden="1" width="13" customWidth="1" min="218" max="218"/>
    <col hidden="1" width="13" customWidth="1" min="219" max="219"/>
    <col hidden="1" width="13" customWidth="1" min="220" max="220"/>
    <col hidden="1" width="13" customWidth="1" min="221" max="221"/>
    <col hidden="1" width="13" customWidth="1" min="222" max="222"/>
    <col hidden="1" width="13" customWidth="1" min="223" max="223"/>
    <col hidden="1" width="13" customWidth="1" min="224" max="224"/>
    <col hidden="1" width="13" customWidth="1" min="225" max="225"/>
    <col hidden="1" width="13" customWidth="1" min="226" max="226"/>
    <col hidden="1" width="13" customWidth="1" min="227" max="227"/>
    <col hidden="1" width="13" customWidth="1" min="228" max="228"/>
    <col hidden="1" width="13" customWidth="1" min="229" max="229"/>
    <col hidden="1" width="13" customWidth="1" min="230" max="230"/>
    <col hidden="1" width="13" customWidth="1" min="231" max="231"/>
    <col hidden="1" width="13" customWidth="1" min="232" max="232"/>
    <col hidden="1" width="13" customWidth="1" min="233" max="233"/>
    <col hidden="1" width="13" customWidth="1" min="234" max="234"/>
    <col hidden="1" width="13" customWidth="1" min="235" max="235"/>
    <col hidden="1" width="13" customWidth="1" min="236" max="236"/>
    <col hidden="1" width="13" customWidth="1" min="237" max="237"/>
    <col hidden="1" width="13" customWidth="1" min="238" max="238"/>
    <col hidden="1" width="13" customWidth="1" min="239" max="239"/>
    <col hidden="1" width="13" customWidth="1" min="240" max="240"/>
    <col hidden="1" width="13" customWidth="1" min="241" max="241"/>
    <col hidden="1" width="13" customWidth="1" min="242" max="242"/>
    <col hidden="1" width="13" customWidth="1" min="243" max="243"/>
    <col hidden="1" width="13" customWidth="1" min="244" max="244"/>
    <col hidden="1" width="13" customWidth="1" min="245" max="245"/>
    <col hidden="1" width="13" customWidth="1" min="246" max="246"/>
    <col hidden="1" width="13" customWidth="1" min="247" max="247"/>
    <col hidden="1" width="13" customWidth="1" min="248" max="248"/>
    <col hidden="1" width="13" customWidth="1" min="249" max="249"/>
    <col hidden="1" width="13" customWidth="1" min="250" max="250"/>
    <col hidden="1" width="13" customWidth="1" min="251" max="251"/>
    <col hidden="1" width="13" customWidth="1" min="252" max="252"/>
    <col hidden="1" width="13" customWidth="1" min="253" max="253"/>
    <col hidden="1" width="13" customWidth="1" min="254" max="254"/>
    <col hidden="1" width="13" customWidth="1" min="255" max="255"/>
    <col hidden="1" width="13" customWidth="1" min="256" max="256"/>
    <col hidden="1" width="13" customWidth="1" min="257" max="257"/>
    <col hidden="1" width="13" customWidth="1" min="258" max="258"/>
    <col hidden="1" width="13" customWidth="1" min="259" max="259"/>
    <col hidden="1" width="13" customWidth="1" min="260" max="260"/>
    <col hidden="1" width="13" customWidth="1" min="261" max="261"/>
    <col hidden="1" width="13" customWidth="1" min="262" max="262"/>
    <col hidden="1" width="13" customWidth="1" min="263" max="263"/>
    <col hidden="1" width="13" customWidth="1" min="264" max="264"/>
    <col hidden="1" width="13" customWidth="1" min="265" max="265"/>
    <col hidden="1" width="13" customWidth="1" min="266" max="266"/>
    <col hidden="1" width="13" customWidth="1" min="267" max="267"/>
    <col hidden="1" width="13" customWidth="1" min="268" max="268"/>
    <col hidden="1" width="13" customWidth="1" min="269" max="269"/>
    <col hidden="1" width="13" customWidth="1" min="270" max="270"/>
    <col hidden="1" width="13" customWidth="1" min="271" max="271"/>
    <col hidden="1" width="13" customWidth="1" min="272" max="272"/>
    <col hidden="1" width="13" customWidth="1" min="273" max="273"/>
    <col hidden="1" width="13" customWidth="1" min="274" max="274"/>
    <col hidden="1" width="13" customWidth="1" min="275" max="275"/>
    <col hidden="1" width="13" customWidth="1" min="276" max="276"/>
    <col hidden="1" width="13" customWidth="1" min="277" max="277"/>
  </cols>
  <sheetData>
    <row r="1">
      <c r="A1" s="25" t="inlineStr">
        <is>
          <t>Status</t>
        </is>
      </c>
      <c r="B1" s="25" t="inlineStr">
        <is>
          <t>Surface label</t>
        </is>
      </c>
      <c r="C1" s="25" t="inlineStr">
        <is>
          <t>Sample page</t>
        </is>
      </c>
      <c r="D1" s="25" t="inlineStr">
        <is>
          <t>Sample pages</t>
        </is>
      </c>
      <c r="E1" s="25" t="inlineStr">
        <is>
          <t>Page count</t>
        </is>
      </c>
      <c r="F1" s="25" t="inlineStr">
        <is>
          <t>Content types</t>
        </is>
      </c>
      <c r="G1" s="25" t="inlineStr">
        <is>
          <t>View ID</t>
        </is>
      </c>
      <c r="H1" s="25" t="inlineStr">
        <is>
          <t>Display ID</t>
        </is>
      </c>
      <c r="I1" s="25" t="inlineStr">
        <is>
          <t>Limit</t>
        </is>
      </c>
      <c r="J1" s="25" t="inlineStr">
        <is>
          <t>Source</t>
        </is>
      </c>
      <c r="K1" s="25" t="inlineStr">
        <is>
          <t>Location type</t>
        </is>
      </c>
      <c r="L1" s="25" t="inlineStr">
        <is>
          <t>Rule summary</t>
        </is>
      </c>
      <c r="M1" s="26" t="inlineStr">
        <is>
          <t>req_any__affiliations</t>
        </is>
      </c>
      <c r="N1" s="26" t="inlineStr">
        <is>
          <t>req_any_labels__affiliations</t>
        </is>
      </c>
      <c r="O1" s="26" t="inlineStr">
        <is>
          <t>req_all__affiliations</t>
        </is>
      </c>
      <c r="P1" s="26" t="inlineStr">
        <is>
          <t>req_all_labels__affiliations</t>
        </is>
      </c>
      <c r="Q1" s="26" t="inlineStr">
        <is>
          <t>exclude__affiliations</t>
        </is>
      </c>
      <c r="R1" s="26" t="inlineStr">
        <is>
          <t>exclude_labels__affiliations</t>
        </is>
      </c>
      <c r="S1" s="26" t="inlineStr">
        <is>
          <t>ctx_any__affiliations</t>
        </is>
      </c>
      <c r="T1" s="26" t="inlineStr">
        <is>
          <t>ctx_any_labels__affiliations</t>
        </is>
      </c>
      <c r="U1" s="26" t="inlineStr">
        <is>
          <t>ctx_all__affiliations</t>
        </is>
      </c>
      <c r="V1" s="26" t="inlineStr">
        <is>
          <t>ctx_all_labels__affiliations</t>
        </is>
      </c>
      <c r="W1" s="26" t="inlineStr">
        <is>
          <t>req_any__announcement_category</t>
        </is>
      </c>
      <c r="X1" s="26" t="inlineStr">
        <is>
          <t>req_any_labels__announcement_category</t>
        </is>
      </c>
      <c r="Y1" s="26" t="inlineStr">
        <is>
          <t>req_all__announcement_category</t>
        </is>
      </c>
      <c r="Z1" s="26" t="inlineStr">
        <is>
          <t>req_all_labels__announcement_category</t>
        </is>
      </c>
      <c r="AA1" s="26" t="inlineStr">
        <is>
          <t>exclude__announcement_category</t>
        </is>
      </c>
      <c r="AB1" s="26" t="inlineStr">
        <is>
          <t>exclude_labels__announcement_category</t>
        </is>
      </c>
      <c r="AC1" s="26" t="inlineStr">
        <is>
          <t>ctx_any__announcement_category</t>
        </is>
      </c>
      <c r="AD1" s="26" t="inlineStr">
        <is>
          <t>ctx_any_labels__announcement_category</t>
        </is>
      </c>
      <c r="AE1" s="26" t="inlineStr">
        <is>
          <t>ctx_all__announcement_category</t>
        </is>
      </c>
      <c r="AF1" s="26" t="inlineStr">
        <is>
          <t>ctx_all_labels__announcement_category</t>
        </is>
      </c>
      <c r="AG1" s="26" t="inlineStr">
        <is>
          <t>req_any__area_of_focus</t>
        </is>
      </c>
      <c r="AH1" s="26" t="inlineStr">
        <is>
          <t>req_any_labels__area_of_focus</t>
        </is>
      </c>
      <c r="AI1" s="26" t="inlineStr">
        <is>
          <t>req_all__area_of_focus</t>
        </is>
      </c>
      <c r="AJ1" s="26" t="inlineStr">
        <is>
          <t>req_all_labels__area_of_focus</t>
        </is>
      </c>
      <c r="AK1" s="26" t="inlineStr">
        <is>
          <t>exclude__area_of_focus</t>
        </is>
      </c>
      <c r="AL1" s="26" t="inlineStr">
        <is>
          <t>exclude_labels__area_of_focus</t>
        </is>
      </c>
      <c r="AM1" s="26" t="inlineStr">
        <is>
          <t>ctx_any__area_of_focus</t>
        </is>
      </c>
      <c r="AN1" s="26" t="inlineStr">
        <is>
          <t>ctx_any_labels__area_of_focus</t>
        </is>
      </c>
      <c r="AO1" s="26" t="inlineStr">
        <is>
          <t>ctx_all__area_of_focus</t>
        </is>
      </c>
      <c r="AP1" s="26" t="inlineStr">
        <is>
          <t>ctx_all_labels__area_of_focus</t>
        </is>
      </c>
      <c r="AQ1" s="26" t="inlineStr">
        <is>
          <t>req_any__audience</t>
        </is>
      </c>
      <c r="AR1" s="26" t="inlineStr">
        <is>
          <t>req_any_labels__audience</t>
        </is>
      </c>
      <c r="AS1" s="26" t="inlineStr">
        <is>
          <t>req_all__audience</t>
        </is>
      </c>
      <c r="AT1" s="26" t="inlineStr">
        <is>
          <t>req_all_labels__audience</t>
        </is>
      </c>
      <c r="AU1" s="26" t="inlineStr">
        <is>
          <t>exclude__audience</t>
        </is>
      </c>
      <c r="AV1" s="26" t="inlineStr">
        <is>
          <t>exclude_labels__audience</t>
        </is>
      </c>
      <c r="AW1" s="26" t="inlineStr">
        <is>
          <t>ctx_any__audience</t>
        </is>
      </c>
      <c r="AX1" s="26" t="inlineStr">
        <is>
          <t>ctx_any_labels__audience</t>
        </is>
      </c>
      <c r="AY1" s="26" t="inlineStr">
        <is>
          <t>ctx_all__audience</t>
        </is>
      </c>
      <c r="AZ1" s="26" t="inlineStr">
        <is>
          <t>ctx_all_labels__audience</t>
        </is>
      </c>
      <c r="BA1" s="26" t="inlineStr">
        <is>
          <t>req_any__challenge_opportunities</t>
        </is>
      </c>
      <c r="BB1" s="26" t="inlineStr">
        <is>
          <t>req_any_labels__challenge_opportunities</t>
        </is>
      </c>
      <c r="BC1" s="26" t="inlineStr">
        <is>
          <t>req_all__challenge_opportunities</t>
        </is>
      </c>
      <c r="BD1" s="26" t="inlineStr">
        <is>
          <t>req_all_labels__challenge_opportunities</t>
        </is>
      </c>
      <c r="BE1" s="26" t="inlineStr">
        <is>
          <t>exclude__challenge_opportunities</t>
        </is>
      </c>
      <c r="BF1" s="26" t="inlineStr">
        <is>
          <t>exclude_labels__challenge_opportunities</t>
        </is>
      </c>
      <c r="BG1" s="26" t="inlineStr">
        <is>
          <t>ctx_any__challenge_opportunities</t>
        </is>
      </c>
      <c r="BH1" s="26" t="inlineStr">
        <is>
          <t>ctx_any_labels__challenge_opportunities</t>
        </is>
      </c>
      <c r="BI1" s="26" t="inlineStr">
        <is>
          <t>ctx_all__challenge_opportunities</t>
        </is>
      </c>
      <c r="BJ1" s="26" t="inlineStr">
        <is>
          <t>ctx_all_labels__challenge_opportunities</t>
        </is>
      </c>
      <c r="BK1" s="26" t="inlineStr">
        <is>
          <t>req_any__context</t>
        </is>
      </c>
      <c r="BL1" s="26" t="inlineStr">
        <is>
          <t>req_any_labels__context</t>
        </is>
      </c>
      <c r="BM1" s="26" t="inlineStr">
        <is>
          <t>req_all__context</t>
        </is>
      </c>
      <c r="BN1" s="26" t="inlineStr">
        <is>
          <t>req_all_labels__context</t>
        </is>
      </c>
      <c r="BO1" s="26" t="inlineStr">
        <is>
          <t>exclude__context</t>
        </is>
      </c>
      <c r="BP1" s="26" t="inlineStr">
        <is>
          <t>exclude_labels__context</t>
        </is>
      </c>
      <c r="BQ1" s="26" t="inlineStr">
        <is>
          <t>ctx_any__context</t>
        </is>
      </c>
      <c r="BR1" s="26" t="inlineStr">
        <is>
          <t>ctx_any_labels__context</t>
        </is>
      </c>
      <c r="BS1" s="26" t="inlineStr">
        <is>
          <t>ctx_all__context</t>
        </is>
      </c>
      <c r="BT1" s="26" t="inlineStr">
        <is>
          <t>ctx_all_labels__context</t>
        </is>
      </c>
      <c r="BU1" s="26" t="inlineStr">
        <is>
          <t>req_any__enews_announcement_type</t>
        </is>
      </c>
      <c r="BV1" s="26" t="inlineStr">
        <is>
          <t>req_any_labels__enews_announcement_type</t>
        </is>
      </c>
      <c r="BW1" s="26" t="inlineStr">
        <is>
          <t>req_all__enews_announcement_type</t>
        </is>
      </c>
      <c r="BX1" s="26" t="inlineStr">
        <is>
          <t>req_all_labels__enews_announcement_type</t>
        </is>
      </c>
      <c r="BY1" s="26" t="inlineStr">
        <is>
          <t>exclude__enews_announcement_type</t>
        </is>
      </c>
      <c r="BZ1" s="26" t="inlineStr">
        <is>
          <t>exclude_labels__enews_announcement_type</t>
        </is>
      </c>
      <c r="CA1" s="26" t="inlineStr">
        <is>
          <t>ctx_any__enews_announcement_type</t>
        </is>
      </c>
      <c r="CB1" s="26" t="inlineStr">
        <is>
          <t>ctx_any_labels__enews_announcement_type</t>
        </is>
      </c>
      <c r="CC1" s="26" t="inlineStr">
        <is>
          <t>ctx_all__enews_announcement_type</t>
        </is>
      </c>
      <c r="CD1" s="26" t="inlineStr">
        <is>
          <t>ctx_all_labels__enews_announcement_type</t>
        </is>
      </c>
      <c r="CE1" s="26" t="inlineStr">
        <is>
          <t>req_any__enews_audience</t>
        </is>
      </c>
      <c r="CF1" s="26" t="inlineStr">
        <is>
          <t>req_any_labels__enews_audience</t>
        </is>
      </c>
      <c r="CG1" s="26" t="inlineStr">
        <is>
          <t>req_all__enews_audience</t>
        </is>
      </c>
      <c r="CH1" s="26" t="inlineStr">
        <is>
          <t>req_all_labels__enews_audience</t>
        </is>
      </c>
      <c r="CI1" s="26" t="inlineStr">
        <is>
          <t>exclude__enews_audience</t>
        </is>
      </c>
      <c r="CJ1" s="26" t="inlineStr">
        <is>
          <t>exclude_labels__enews_audience</t>
        </is>
      </c>
      <c r="CK1" s="26" t="inlineStr">
        <is>
          <t>ctx_any__enews_audience</t>
        </is>
      </c>
      <c r="CL1" s="26" t="inlineStr">
        <is>
          <t>ctx_any_labels__enews_audience</t>
        </is>
      </c>
      <c r="CM1" s="26" t="inlineStr">
        <is>
          <t>ctx_all__enews_audience</t>
        </is>
      </c>
      <c r="CN1" s="26" t="inlineStr">
        <is>
          <t>ctx_all_labels__enews_audience</t>
        </is>
      </c>
      <c r="CO1" s="26" t="inlineStr">
        <is>
          <t>req_any__event_location</t>
        </is>
      </c>
      <c r="CP1" s="26" t="inlineStr">
        <is>
          <t>req_any_labels__event_location</t>
        </is>
      </c>
      <c r="CQ1" s="26" t="inlineStr">
        <is>
          <t>req_all__event_location</t>
        </is>
      </c>
      <c r="CR1" s="26" t="inlineStr">
        <is>
          <t>req_all_labels__event_location</t>
        </is>
      </c>
      <c r="CS1" s="26" t="inlineStr">
        <is>
          <t>exclude__event_location</t>
        </is>
      </c>
      <c r="CT1" s="26" t="inlineStr">
        <is>
          <t>exclude_labels__event_location</t>
        </is>
      </c>
      <c r="CU1" s="26" t="inlineStr">
        <is>
          <t>ctx_any__event_location</t>
        </is>
      </c>
      <c r="CV1" s="26" t="inlineStr">
        <is>
          <t>ctx_any_labels__event_location</t>
        </is>
      </c>
      <c r="CW1" s="26" t="inlineStr">
        <is>
          <t>ctx_all__event_location</t>
        </is>
      </c>
      <c r="CX1" s="26" t="inlineStr">
        <is>
          <t>ctx_all_labels__event_location</t>
        </is>
      </c>
      <c r="CY1" s="26" t="inlineStr">
        <is>
          <t>req_any__event_type</t>
        </is>
      </c>
      <c r="CZ1" s="26" t="inlineStr">
        <is>
          <t>req_any_labels__event_type</t>
        </is>
      </c>
      <c r="DA1" s="26" t="inlineStr">
        <is>
          <t>req_all__event_type</t>
        </is>
      </c>
      <c r="DB1" s="26" t="inlineStr">
        <is>
          <t>req_all_labels__event_type</t>
        </is>
      </c>
      <c r="DC1" s="26" t="inlineStr">
        <is>
          <t>exclude__event_type</t>
        </is>
      </c>
      <c r="DD1" s="26" t="inlineStr">
        <is>
          <t>exclude_labels__event_type</t>
        </is>
      </c>
      <c r="DE1" s="26" t="inlineStr">
        <is>
          <t>ctx_any__event_type</t>
        </is>
      </c>
      <c r="DF1" s="26" t="inlineStr">
        <is>
          <t>ctx_any_labels__event_type</t>
        </is>
      </c>
      <c r="DG1" s="26" t="inlineStr">
        <is>
          <t>ctx_all__event_type</t>
        </is>
      </c>
      <c r="DH1" s="26" t="inlineStr">
        <is>
          <t>ctx_all_labels__event_type</t>
        </is>
      </c>
      <c r="DI1" s="26" t="inlineStr">
        <is>
          <t>req_any__executive_education_focus</t>
        </is>
      </c>
      <c r="DJ1" s="26" t="inlineStr">
        <is>
          <t>req_any_labels__executive_education_focus</t>
        </is>
      </c>
      <c r="DK1" s="26" t="inlineStr">
        <is>
          <t>req_all__executive_education_focus</t>
        </is>
      </c>
      <c r="DL1" s="26" t="inlineStr">
        <is>
          <t>req_all_labels__executive_education_focus</t>
        </is>
      </c>
      <c r="DM1" s="26" t="inlineStr">
        <is>
          <t>exclude__executive_education_focus</t>
        </is>
      </c>
      <c r="DN1" s="26" t="inlineStr">
        <is>
          <t>exclude_labels__executive_education_focus</t>
        </is>
      </c>
      <c r="DO1" s="26" t="inlineStr">
        <is>
          <t>ctx_any__executive_education_focus</t>
        </is>
      </c>
      <c r="DP1" s="26" t="inlineStr">
        <is>
          <t>ctx_any_labels__executive_education_focus</t>
        </is>
      </c>
      <c r="DQ1" s="26" t="inlineStr">
        <is>
          <t>ctx_all__executive_education_focus</t>
        </is>
      </c>
      <c r="DR1" s="26" t="inlineStr">
        <is>
          <t>ctx_all_labels__executive_education_focus</t>
        </is>
      </c>
      <c r="DS1" s="26" t="inlineStr">
        <is>
          <t>req_any__faculty_category</t>
        </is>
      </c>
      <c r="DT1" s="26" t="inlineStr">
        <is>
          <t>req_any_labels__faculty_category</t>
        </is>
      </c>
      <c r="DU1" s="26" t="inlineStr">
        <is>
          <t>req_all__faculty_category</t>
        </is>
      </c>
      <c r="DV1" s="26" t="inlineStr">
        <is>
          <t>req_all_labels__faculty_category</t>
        </is>
      </c>
      <c r="DW1" s="26" t="inlineStr">
        <is>
          <t>exclude__faculty_category</t>
        </is>
      </c>
      <c r="DX1" s="26" t="inlineStr">
        <is>
          <t>exclude_labels__faculty_category</t>
        </is>
      </c>
      <c r="DY1" s="26" t="inlineStr">
        <is>
          <t>ctx_any__faculty_category</t>
        </is>
      </c>
      <c r="DZ1" s="26" t="inlineStr">
        <is>
          <t>ctx_any_labels__faculty_category</t>
        </is>
      </c>
      <c r="EA1" s="26" t="inlineStr">
        <is>
          <t>ctx_all__faculty_category</t>
        </is>
      </c>
      <c r="EB1" s="26" t="inlineStr">
        <is>
          <t>ctx_all_labels__faculty_category</t>
        </is>
      </c>
      <c r="EC1" s="26" t="inlineStr">
        <is>
          <t>req_any__faculty_discipline</t>
        </is>
      </c>
      <c r="ED1" s="26" t="inlineStr">
        <is>
          <t>req_any_labels__faculty_discipline</t>
        </is>
      </c>
      <c r="EE1" s="26" t="inlineStr">
        <is>
          <t>req_all__faculty_discipline</t>
        </is>
      </c>
      <c r="EF1" s="26" t="inlineStr">
        <is>
          <t>req_all_labels__faculty_discipline</t>
        </is>
      </c>
      <c r="EG1" s="26" t="inlineStr">
        <is>
          <t>exclude__faculty_discipline</t>
        </is>
      </c>
      <c r="EH1" s="26" t="inlineStr">
        <is>
          <t>exclude_labels__faculty_discipline</t>
        </is>
      </c>
      <c r="EI1" s="26" t="inlineStr">
        <is>
          <t>ctx_any__faculty_discipline</t>
        </is>
      </c>
      <c r="EJ1" s="26" t="inlineStr">
        <is>
          <t>ctx_any_labels__faculty_discipline</t>
        </is>
      </c>
      <c r="EK1" s="26" t="inlineStr">
        <is>
          <t>ctx_all__faculty_discipline</t>
        </is>
      </c>
      <c r="EL1" s="26" t="inlineStr">
        <is>
          <t>ctx_all_labels__faculty_discipline</t>
        </is>
      </c>
      <c r="EM1" s="26" t="inlineStr">
        <is>
          <t>req_any__faculty_expertise</t>
        </is>
      </c>
      <c r="EN1" s="26" t="inlineStr">
        <is>
          <t>req_any_labels__faculty_expertise</t>
        </is>
      </c>
      <c r="EO1" s="26" t="inlineStr">
        <is>
          <t>req_all__faculty_expertise</t>
        </is>
      </c>
      <c r="EP1" s="26" t="inlineStr">
        <is>
          <t>req_all_labels__faculty_expertise</t>
        </is>
      </c>
      <c r="EQ1" s="26" t="inlineStr">
        <is>
          <t>exclude__faculty_expertise</t>
        </is>
      </c>
      <c r="ER1" s="26" t="inlineStr">
        <is>
          <t>exclude_labels__faculty_expertise</t>
        </is>
      </c>
      <c r="ES1" s="26" t="inlineStr">
        <is>
          <t>ctx_any__faculty_expertise</t>
        </is>
      </c>
      <c r="ET1" s="26" t="inlineStr">
        <is>
          <t>ctx_any_labels__faculty_expertise</t>
        </is>
      </c>
      <c r="EU1" s="26" t="inlineStr">
        <is>
          <t>ctx_all__faculty_expertise</t>
        </is>
      </c>
      <c r="EV1" s="26" t="inlineStr">
        <is>
          <t>ctx_all_labels__faculty_expertise</t>
        </is>
      </c>
      <c r="EW1" s="26" t="inlineStr">
        <is>
          <t>req_any__global_network_school</t>
        </is>
      </c>
      <c r="EX1" s="26" t="inlineStr">
        <is>
          <t>req_any_labels__global_network_school</t>
        </is>
      </c>
      <c r="EY1" s="26" t="inlineStr">
        <is>
          <t>req_all__global_network_school</t>
        </is>
      </c>
      <c r="EZ1" s="26" t="inlineStr">
        <is>
          <t>req_all_labels__global_network_school</t>
        </is>
      </c>
      <c r="FA1" s="26" t="inlineStr">
        <is>
          <t>exclude__global_network_school</t>
        </is>
      </c>
      <c r="FB1" s="26" t="inlineStr">
        <is>
          <t>exclude_labels__global_network_school</t>
        </is>
      </c>
      <c r="FC1" s="26" t="inlineStr">
        <is>
          <t>ctx_any__global_network_school</t>
        </is>
      </c>
      <c r="FD1" s="26" t="inlineStr">
        <is>
          <t>ctx_any_labels__global_network_school</t>
        </is>
      </c>
      <c r="FE1" s="26" t="inlineStr">
        <is>
          <t>ctx_all__global_network_school</t>
        </is>
      </c>
      <c r="FF1" s="26" t="inlineStr">
        <is>
          <t>ctx_all_labels__global_network_school</t>
        </is>
      </c>
      <c r="FG1" s="26" t="inlineStr">
        <is>
          <t>req_any__industry</t>
        </is>
      </c>
      <c r="FH1" s="26" t="inlineStr">
        <is>
          <t>req_any_labels__industry</t>
        </is>
      </c>
      <c r="FI1" s="26" t="inlineStr">
        <is>
          <t>req_all__industry</t>
        </is>
      </c>
      <c r="FJ1" s="26" t="inlineStr">
        <is>
          <t>req_all_labels__industry</t>
        </is>
      </c>
      <c r="FK1" s="26" t="inlineStr">
        <is>
          <t>exclude__industry</t>
        </is>
      </c>
      <c r="FL1" s="26" t="inlineStr">
        <is>
          <t>exclude_labels__industry</t>
        </is>
      </c>
      <c r="FM1" s="26" t="inlineStr">
        <is>
          <t>ctx_any__industry</t>
        </is>
      </c>
      <c r="FN1" s="26" t="inlineStr">
        <is>
          <t>ctx_any_labels__industry</t>
        </is>
      </c>
      <c r="FO1" s="26" t="inlineStr">
        <is>
          <t>ctx_all__industry</t>
        </is>
      </c>
      <c r="FP1" s="26" t="inlineStr">
        <is>
          <t>ctx_all_labels__industry</t>
        </is>
      </c>
      <c r="FQ1" s="26" t="inlineStr">
        <is>
          <t>req_any__location</t>
        </is>
      </c>
      <c r="FR1" s="26" t="inlineStr">
        <is>
          <t>req_any_labels__location</t>
        </is>
      </c>
      <c r="FS1" s="26" t="inlineStr">
        <is>
          <t>req_all__location</t>
        </is>
      </c>
      <c r="FT1" s="26" t="inlineStr">
        <is>
          <t>req_all_labels__location</t>
        </is>
      </c>
      <c r="FU1" s="26" t="inlineStr">
        <is>
          <t>exclude__location</t>
        </is>
      </c>
      <c r="FV1" s="26" t="inlineStr">
        <is>
          <t>exclude_labels__location</t>
        </is>
      </c>
      <c r="FW1" s="26" t="inlineStr">
        <is>
          <t>ctx_any__location</t>
        </is>
      </c>
      <c r="FX1" s="26" t="inlineStr">
        <is>
          <t>ctx_any_labels__location</t>
        </is>
      </c>
      <c r="FY1" s="26" t="inlineStr">
        <is>
          <t>ctx_all__location</t>
        </is>
      </c>
      <c r="FZ1" s="26" t="inlineStr">
        <is>
          <t>ctx_all_labels__location</t>
        </is>
      </c>
      <c r="GA1" s="26" t="inlineStr">
        <is>
          <t>req_any__modality</t>
        </is>
      </c>
      <c r="GB1" s="26" t="inlineStr">
        <is>
          <t>req_any_labels__modality</t>
        </is>
      </c>
      <c r="GC1" s="26" t="inlineStr">
        <is>
          <t>req_all__modality</t>
        </is>
      </c>
      <c r="GD1" s="26" t="inlineStr">
        <is>
          <t>req_all_labels__modality</t>
        </is>
      </c>
      <c r="GE1" s="26" t="inlineStr">
        <is>
          <t>exclude__modality</t>
        </is>
      </c>
      <c r="GF1" s="26" t="inlineStr">
        <is>
          <t>exclude_labels__modality</t>
        </is>
      </c>
      <c r="GG1" s="26" t="inlineStr">
        <is>
          <t>ctx_any__modality</t>
        </is>
      </c>
      <c r="GH1" s="26" t="inlineStr">
        <is>
          <t>ctx_any_labels__modality</t>
        </is>
      </c>
      <c r="GI1" s="26" t="inlineStr">
        <is>
          <t>ctx_all__modality</t>
        </is>
      </c>
      <c r="GJ1" s="26" t="inlineStr">
        <is>
          <t>ctx_all_labels__modality</t>
        </is>
      </c>
      <c r="GK1" s="26" t="inlineStr">
        <is>
          <t>req_any__organizer</t>
        </is>
      </c>
      <c r="GL1" s="26" t="inlineStr">
        <is>
          <t>req_any_labels__organizer</t>
        </is>
      </c>
      <c r="GM1" s="26" t="inlineStr">
        <is>
          <t>req_all__organizer</t>
        </is>
      </c>
      <c r="GN1" s="26" t="inlineStr">
        <is>
          <t>req_all_labels__organizer</t>
        </is>
      </c>
      <c r="GO1" s="26" t="inlineStr">
        <is>
          <t>exclude__organizer</t>
        </is>
      </c>
      <c r="GP1" s="26" t="inlineStr">
        <is>
          <t>exclude_labels__organizer</t>
        </is>
      </c>
      <c r="GQ1" s="26" t="inlineStr">
        <is>
          <t>ctx_any__organizer</t>
        </is>
      </c>
      <c r="GR1" s="26" t="inlineStr">
        <is>
          <t>ctx_any_labels__organizer</t>
        </is>
      </c>
      <c r="GS1" s="26" t="inlineStr">
        <is>
          <t>ctx_all__organizer</t>
        </is>
      </c>
      <c r="GT1" s="26" t="inlineStr">
        <is>
          <t>ctx_all_labels__organizer</t>
        </is>
      </c>
      <c r="GU1" s="26" t="inlineStr">
        <is>
          <t>req_any__profile_type</t>
        </is>
      </c>
      <c r="GV1" s="26" t="inlineStr">
        <is>
          <t>req_any_labels__profile_type</t>
        </is>
      </c>
      <c r="GW1" s="26" t="inlineStr">
        <is>
          <t>req_all__profile_type</t>
        </is>
      </c>
      <c r="GX1" s="26" t="inlineStr">
        <is>
          <t>req_all_labels__profile_type</t>
        </is>
      </c>
      <c r="GY1" s="26" t="inlineStr">
        <is>
          <t>exclude__profile_type</t>
        </is>
      </c>
      <c r="GZ1" s="26" t="inlineStr">
        <is>
          <t>exclude_labels__profile_type</t>
        </is>
      </c>
      <c r="HA1" s="26" t="inlineStr">
        <is>
          <t>ctx_any__profile_type</t>
        </is>
      </c>
      <c r="HB1" s="26" t="inlineStr">
        <is>
          <t>ctx_any_labels__profile_type</t>
        </is>
      </c>
      <c r="HC1" s="26" t="inlineStr">
        <is>
          <t>ctx_all__profile_type</t>
        </is>
      </c>
      <c r="HD1" s="26" t="inlineStr">
        <is>
          <t>ctx_all_labels__profile_type</t>
        </is>
      </c>
      <c r="HE1" s="26" t="inlineStr">
        <is>
          <t>req_any__program</t>
        </is>
      </c>
      <c r="HF1" s="26" t="inlineStr">
        <is>
          <t>req_any_labels__program</t>
        </is>
      </c>
      <c r="HG1" s="26" t="inlineStr">
        <is>
          <t>req_all__program</t>
        </is>
      </c>
      <c r="HH1" s="26" t="inlineStr">
        <is>
          <t>req_all_labels__program</t>
        </is>
      </c>
      <c r="HI1" s="26" t="inlineStr">
        <is>
          <t>exclude__program</t>
        </is>
      </c>
      <c r="HJ1" s="26" t="inlineStr">
        <is>
          <t>exclude_labels__program</t>
        </is>
      </c>
      <c r="HK1" s="26" t="inlineStr">
        <is>
          <t>ctx_any__program</t>
        </is>
      </c>
      <c r="HL1" s="26" t="inlineStr">
        <is>
          <t>ctx_any_labels__program</t>
        </is>
      </c>
      <c r="HM1" s="26" t="inlineStr">
        <is>
          <t>ctx_all__program</t>
        </is>
      </c>
      <c r="HN1" s="26" t="inlineStr">
        <is>
          <t>ctx_all_labels__program</t>
        </is>
      </c>
      <c r="HO1" s="26" t="inlineStr">
        <is>
          <t>req_any__story_categories</t>
        </is>
      </c>
      <c r="HP1" s="26" t="inlineStr">
        <is>
          <t>req_any_labels__story_categories</t>
        </is>
      </c>
      <c r="HQ1" s="26" t="inlineStr">
        <is>
          <t>req_all__story_categories</t>
        </is>
      </c>
      <c r="HR1" s="26" t="inlineStr">
        <is>
          <t>req_all_labels__story_categories</t>
        </is>
      </c>
      <c r="HS1" s="26" t="inlineStr">
        <is>
          <t>exclude__story_categories</t>
        </is>
      </c>
      <c r="HT1" s="26" t="inlineStr">
        <is>
          <t>exclude_labels__story_categories</t>
        </is>
      </c>
      <c r="HU1" s="26" t="inlineStr">
        <is>
          <t>ctx_any__story_categories</t>
        </is>
      </c>
      <c r="HV1" s="26" t="inlineStr">
        <is>
          <t>ctx_any_labels__story_categories</t>
        </is>
      </c>
      <c r="HW1" s="26" t="inlineStr">
        <is>
          <t>ctx_all__story_categories</t>
        </is>
      </c>
      <c r="HX1" s="26" t="inlineStr">
        <is>
          <t>ctx_all_labels__story_categories</t>
        </is>
      </c>
      <c r="HY1" s="26" t="inlineStr">
        <is>
          <t>req_any__story_type</t>
        </is>
      </c>
      <c r="HZ1" s="26" t="inlineStr">
        <is>
          <t>req_any_labels__story_type</t>
        </is>
      </c>
      <c r="IA1" s="26" t="inlineStr">
        <is>
          <t>req_all__story_type</t>
        </is>
      </c>
      <c r="IB1" s="26" t="inlineStr">
        <is>
          <t>req_all_labels__story_type</t>
        </is>
      </c>
      <c r="IC1" s="26" t="inlineStr">
        <is>
          <t>exclude__story_type</t>
        </is>
      </c>
      <c r="ID1" s="26" t="inlineStr">
        <is>
          <t>exclude_labels__story_type</t>
        </is>
      </c>
      <c r="IE1" s="26" t="inlineStr">
        <is>
          <t>ctx_any__story_type</t>
        </is>
      </c>
      <c r="IF1" s="26" t="inlineStr">
        <is>
          <t>ctx_any_labels__story_type</t>
        </is>
      </c>
      <c r="IG1" s="26" t="inlineStr">
        <is>
          <t>ctx_all__story_type</t>
        </is>
      </c>
      <c r="IH1" s="26" t="inlineStr">
        <is>
          <t>ctx_all_labels__story_type</t>
        </is>
      </c>
      <c r="II1" s="26" t="inlineStr">
        <is>
          <t>req_any__topics</t>
        </is>
      </c>
      <c r="IJ1" s="26" t="inlineStr">
        <is>
          <t>req_any_labels__topics</t>
        </is>
      </c>
      <c r="IK1" s="26" t="inlineStr">
        <is>
          <t>req_all__topics</t>
        </is>
      </c>
      <c r="IL1" s="26" t="inlineStr">
        <is>
          <t>req_all_labels__topics</t>
        </is>
      </c>
      <c r="IM1" s="26" t="inlineStr">
        <is>
          <t>exclude__topics</t>
        </is>
      </c>
      <c r="IN1" s="26" t="inlineStr">
        <is>
          <t>exclude_labels__topics</t>
        </is>
      </c>
      <c r="IO1" s="26" t="inlineStr">
        <is>
          <t>ctx_any__topics</t>
        </is>
      </c>
      <c r="IP1" s="26" t="inlineStr">
        <is>
          <t>ctx_any_labels__topics</t>
        </is>
      </c>
      <c r="IQ1" s="26" t="inlineStr">
        <is>
          <t>ctx_all__topics</t>
        </is>
      </c>
      <c r="IR1" s="26" t="inlineStr">
        <is>
          <t>ctx_all_labels__topics</t>
        </is>
      </c>
      <c r="IS1" s="26" t="inlineStr">
        <is>
          <t>helper_content_type_match</t>
        </is>
      </c>
      <c r="IT1" s="26" t="inlineStr">
        <is>
          <t>helper_match__affiliations</t>
        </is>
      </c>
      <c r="IU1" s="26" t="inlineStr">
        <is>
          <t>helper_match__announcement_category</t>
        </is>
      </c>
      <c r="IV1" s="26" t="inlineStr">
        <is>
          <t>helper_match__area_of_focus</t>
        </is>
      </c>
      <c r="IW1" s="26" t="inlineStr">
        <is>
          <t>helper_match__audience</t>
        </is>
      </c>
      <c r="IX1" s="26" t="inlineStr">
        <is>
          <t>helper_match__challenge_opportunities</t>
        </is>
      </c>
      <c r="IY1" s="26" t="inlineStr">
        <is>
          <t>helper_match__context</t>
        </is>
      </c>
      <c r="IZ1" s="26" t="inlineStr">
        <is>
          <t>helper_match__enews_announcement_type</t>
        </is>
      </c>
      <c r="JA1" s="26" t="inlineStr">
        <is>
          <t>helper_match__enews_audience</t>
        </is>
      </c>
      <c r="JB1" s="26" t="inlineStr">
        <is>
          <t>helper_match__event_location</t>
        </is>
      </c>
      <c r="JC1" s="26" t="inlineStr">
        <is>
          <t>helper_match__event_type</t>
        </is>
      </c>
      <c r="JD1" s="26" t="inlineStr">
        <is>
          <t>helper_match__executive_education_focus</t>
        </is>
      </c>
      <c r="JE1" s="26" t="inlineStr">
        <is>
          <t>helper_match__faculty_category</t>
        </is>
      </c>
      <c r="JF1" s="26" t="inlineStr">
        <is>
          <t>helper_match__faculty_discipline</t>
        </is>
      </c>
      <c r="JG1" s="26" t="inlineStr">
        <is>
          <t>helper_match__faculty_expertise</t>
        </is>
      </c>
      <c r="JH1" s="26" t="inlineStr">
        <is>
          <t>helper_match__global_network_school</t>
        </is>
      </c>
      <c r="JI1" s="26" t="inlineStr">
        <is>
          <t>helper_match__industry</t>
        </is>
      </c>
      <c r="JJ1" s="26" t="inlineStr">
        <is>
          <t>helper_match__location</t>
        </is>
      </c>
      <c r="JK1" s="26" t="inlineStr">
        <is>
          <t>helper_match__modality</t>
        </is>
      </c>
      <c r="JL1" s="26" t="inlineStr">
        <is>
          <t>helper_match__organizer</t>
        </is>
      </c>
      <c r="JM1" s="26" t="inlineStr">
        <is>
          <t>helper_match__profile_type</t>
        </is>
      </c>
      <c r="JN1" s="26" t="inlineStr">
        <is>
          <t>helper_match__program</t>
        </is>
      </c>
      <c r="JO1" s="26" t="inlineStr">
        <is>
          <t>helper_match__story_categories</t>
        </is>
      </c>
      <c r="JP1" s="26" t="inlineStr">
        <is>
          <t>helper_match__story_type</t>
        </is>
      </c>
      <c r="JQ1" s="26" t="inlineStr">
        <is>
          <t>helper_match__topics</t>
        </is>
      </c>
    </row>
    <row r="2">
      <c r="A2" s="24">
        <f>IF(NOT(IS2),"Excluded",IF(AND(IT2,IU2,IV2,IW2,IX2,IY2,IZ2,JA2,JB2,JC2,JD2,JE2,JF2,JG2,JH2,JI2,JJ2,JK2,JL2,JM2,JN2,JO2,JP2,JQ2),IF(I2&gt;0,"Eligible but limited","Will appear"),"Excluded"))</f>
        <v/>
      </c>
      <c r="B2" s="24" t="inlineStr">
        <is>
          <t>A Day in the Life</t>
        </is>
      </c>
      <c r="C2" s="27" t="inlineStr">
        <is>
          <t>/about/headlines/all-headlines/day-life</t>
        </is>
      </c>
      <c r="D2" s="24" t="inlineStr">
        <is>
          <t>/about/headlines/all-headlines/day-life</t>
        </is>
      </c>
      <c r="E2" s="24" t="n">
        <v>1</v>
      </c>
      <c r="F2" s="24" t="inlineStr">
        <is>
          <t>story</t>
        </is>
      </c>
      <c r="G2" s="24" t="inlineStr">
        <is>
          <t>stories_list</t>
        </is>
      </c>
      <c r="H2" s="24" t="inlineStr">
        <is>
          <t>embed_1</t>
        </is>
      </c>
      <c r="I2" s="24" t="n">
        <v>10</v>
      </c>
      <c r="J2" s="28" t="inlineStr">
        <is>
          <t>Explicit args</t>
        </is>
      </c>
      <c r="K2" s="24" t="inlineStr">
        <is>
          <t>Page placement</t>
        </is>
      </c>
      <c r="L2" s="24" t="inlineStr">
        <is>
          <t>Content type: story; Context uses Courses Context: Day in the Life (1485); Limited to 10 item(s); Source: Explicit args</t>
        </is>
      </c>
      <c r="BQ2" s="19" t="inlineStr">
        <is>
          <t>1485</t>
        </is>
      </c>
      <c r="BR2" s="19" t="inlineStr">
        <is>
          <t>Day in the Life (1485)</t>
        </is>
      </c>
      <c r="IS2" s="19">
        <f>IF(input_content_type="",FALSE,ISNUMBER(SEARCH(","&amp;LOWER(input_content_type)&amp;",",","&amp;LOWER(SUBSTITUTE(F2," ",""))&amp;",")))</f>
        <v/>
      </c>
      <c r="IT2" s="19">
        <f>AND(IF(M2="",TRUE,IF(input_affiliations="",FALSE,SUMPRODUCT(--ISNUMBER(SEARCH(","&amp;TRIM(TEXTSPLIT(M2,","))&amp;",",","&amp;SUBSTITUTE(input_affiliations," ","")&amp;",")))&gt;0)),IF(O2="",TRUE,IF(input_affiliations="",FALSE,SUMPRODUCT(--ISNUMBER(SEARCH(","&amp;TRIM(TEXTSPLIT(O2,","))&amp;",",","&amp;SUBSTITUTE(input_affiliations," ","")&amp;",")))=COUNTA(TEXTSPLIT(O2,",")))),IF(Q2="",TRUE,IF(input_affiliations="",TRUE,SUMPRODUCT(--ISNUMBER(SEARCH(","&amp;TRIM(TEXTSPLIT(Q2,","))&amp;",",","&amp;SUBSTITUTE(input_affiliations," ","")&amp;",")))=0)),IF(S2="",TRUE,IF(input_affiliations="",FALSE,SUMPRODUCT(--ISNUMBER(SEARCH(","&amp;TRIM(TEXTSPLIT(S2,","))&amp;",",","&amp;SUBSTITUTE(input_affiliations," ","")&amp;",")))&gt;0)),IF(U2="",TRUE,IF(input_affiliations="",FALSE,SUMPRODUCT(--ISNUMBER(SEARCH(","&amp;TRIM(TEXTSPLIT(U2,","))&amp;",",","&amp;SUBSTITUTE(input_affiliations," ","")&amp;",")))=COUNTA(TEXTSPLIT(U2,",")))))</f>
        <v/>
      </c>
      <c r="IU2" s="19">
        <f>AND(IF(W2="",TRUE,IF(input_announcement_category="",FALSE,SUMPRODUCT(--ISNUMBER(SEARCH(","&amp;TRIM(TEXTSPLIT(W2,","))&amp;",",","&amp;SUBSTITUTE(input_announcement_category," ","")&amp;",")))&gt;0)),IF(Y2="",TRUE,IF(input_announcement_category="",FALSE,SUMPRODUCT(--ISNUMBER(SEARCH(","&amp;TRIM(TEXTSPLIT(Y2,","))&amp;",",","&amp;SUBSTITUTE(input_announcement_category," ","")&amp;",")))=COUNTA(TEXTSPLIT(Y2,",")))),IF(AA2="",TRUE,IF(input_announcement_category="",TRUE,SUMPRODUCT(--ISNUMBER(SEARCH(","&amp;TRIM(TEXTSPLIT(AA2,","))&amp;",",","&amp;SUBSTITUTE(input_announcement_category," ","")&amp;",")))=0)),IF(AC2="",TRUE,IF(input_announcement_category="",FALSE,SUMPRODUCT(--ISNUMBER(SEARCH(","&amp;TRIM(TEXTSPLIT(AC2,","))&amp;",",","&amp;SUBSTITUTE(input_announcement_category," ","")&amp;",")))&gt;0)),IF(AE2="",TRUE,IF(input_announcement_category="",FALSE,SUMPRODUCT(--ISNUMBER(SEARCH(","&amp;TRIM(TEXTSPLIT(AE2,","))&amp;",",","&amp;SUBSTITUTE(input_announcement_category," ","")&amp;",")))=COUNTA(TEXTSPLIT(AE2,",")))))</f>
        <v/>
      </c>
      <c r="IV2" s="19">
        <f>AND(IF(AG2="",TRUE,IF(input_area_of_focus="",FALSE,SUMPRODUCT(--ISNUMBER(SEARCH(","&amp;TRIM(TEXTSPLIT(AG2,","))&amp;",",","&amp;SUBSTITUTE(input_area_of_focus," ","")&amp;",")))&gt;0)),IF(AI2="",TRUE,IF(input_area_of_focus="",FALSE,SUMPRODUCT(--ISNUMBER(SEARCH(","&amp;TRIM(TEXTSPLIT(AI2,","))&amp;",",","&amp;SUBSTITUTE(input_area_of_focus," ","")&amp;",")))=COUNTA(TEXTSPLIT(AI2,",")))),IF(AK2="",TRUE,IF(input_area_of_focus="",TRUE,SUMPRODUCT(--ISNUMBER(SEARCH(","&amp;TRIM(TEXTSPLIT(AK2,","))&amp;",",","&amp;SUBSTITUTE(input_area_of_focus," ","")&amp;",")))=0)),IF(AM2="",TRUE,IF(input_area_of_focus="",FALSE,SUMPRODUCT(--ISNUMBER(SEARCH(","&amp;TRIM(TEXTSPLIT(AM2,","))&amp;",",","&amp;SUBSTITUTE(input_area_of_focus," ","")&amp;",")))&gt;0)),IF(AO2="",TRUE,IF(input_area_of_focus="",FALSE,SUMPRODUCT(--ISNUMBER(SEARCH(","&amp;TRIM(TEXTSPLIT(AO2,","))&amp;",",","&amp;SUBSTITUTE(input_area_of_focus," ","")&amp;",")))=COUNTA(TEXTSPLIT(AO2,",")))))</f>
        <v/>
      </c>
      <c r="IW2" s="19">
        <f>AND(IF(AQ2="",TRUE,IF(input_audience="",FALSE,SUMPRODUCT(--ISNUMBER(SEARCH(","&amp;TRIM(TEXTSPLIT(AQ2,","))&amp;",",","&amp;SUBSTITUTE(input_audience," ","")&amp;",")))&gt;0)),IF(AS2="",TRUE,IF(input_audience="",FALSE,SUMPRODUCT(--ISNUMBER(SEARCH(","&amp;TRIM(TEXTSPLIT(AS2,","))&amp;",",","&amp;SUBSTITUTE(input_audience," ","")&amp;",")))=COUNTA(TEXTSPLIT(AS2,",")))),IF(AU2="",TRUE,IF(input_audience="",TRUE,SUMPRODUCT(--ISNUMBER(SEARCH(","&amp;TRIM(TEXTSPLIT(AU2,","))&amp;",",","&amp;SUBSTITUTE(input_audience," ","")&amp;",")))=0)),IF(AW2="",TRUE,IF(input_audience="",FALSE,SUMPRODUCT(--ISNUMBER(SEARCH(","&amp;TRIM(TEXTSPLIT(AW2,","))&amp;",",","&amp;SUBSTITUTE(input_audience," ","")&amp;",")))&gt;0)),IF(AY2="",TRUE,IF(input_audience="",FALSE,SUMPRODUCT(--ISNUMBER(SEARCH(","&amp;TRIM(TEXTSPLIT(AY2,","))&amp;",",","&amp;SUBSTITUTE(input_audience," ","")&amp;",")))=COUNTA(TEXTSPLIT(AY2,",")))))</f>
        <v/>
      </c>
      <c r="IX2" s="19">
        <f>AND(IF(BA2="",TRUE,IF(input_challenge_opportunities="",FALSE,SUMPRODUCT(--ISNUMBER(SEARCH(","&amp;TRIM(TEXTSPLIT(BA2,","))&amp;",",","&amp;SUBSTITUTE(input_challenge_opportunities," ","")&amp;",")))&gt;0)),IF(BC2="",TRUE,IF(input_challenge_opportunities="",FALSE,SUMPRODUCT(--ISNUMBER(SEARCH(","&amp;TRIM(TEXTSPLIT(BC2,","))&amp;",",","&amp;SUBSTITUTE(input_challenge_opportunities," ","")&amp;",")))=COUNTA(TEXTSPLIT(BC2,",")))),IF(BE2="",TRUE,IF(input_challenge_opportunities="",TRUE,SUMPRODUCT(--ISNUMBER(SEARCH(","&amp;TRIM(TEXTSPLIT(BE2,","))&amp;",",","&amp;SUBSTITUTE(input_challenge_opportunities," ","")&amp;",")))=0)),IF(BG2="",TRUE,IF(input_challenge_opportunities="",FALSE,SUMPRODUCT(--ISNUMBER(SEARCH(","&amp;TRIM(TEXTSPLIT(BG2,","))&amp;",",","&amp;SUBSTITUTE(input_challenge_opportunities," ","")&amp;",")))&gt;0)),IF(BI2="",TRUE,IF(input_challenge_opportunities="",FALSE,SUMPRODUCT(--ISNUMBER(SEARCH(","&amp;TRIM(TEXTSPLIT(BI2,","))&amp;",",","&amp;SUBSTITUTE(input_challenge_opportunities," ","")&amp;",")))=COUNTA(TEXTSPLIT(BI2,",")))))</f>
        <v/>
      </c>
      <c r="IY2" s="19">
        <f>AND(IF(BK2="",TRUE,IF(input_context="",FALSE,SUMPRODUCT(--ISNUMBER(SEARCH(","&amp;TRIM(TEXTSPLIT(BK2,","))&amp;",",","&amp;SUBSTITUTE(input_context," ","")&amp;",")))&gt;0)),IF(BM2="",TRUE,IF(input_context="",FALSE,SUMPRODUCT(--ISNUMBER(SEARCH(","&amp;TRIM(TEXTSPLIT(BM2,","))&amp;",",","&amp;SUBSTITUTE(input_context," ","")&amp;",")))=COUNTA(TEXTSPLIT(BM2,",")))),IF(BO2="",TRUE,IF(input_context="",TRUE,SUMPRODUCT(--ISNUMBER(SEARCH(","&amp;TRIM(TEXTSPLIT(BO2,","))&amp;",",","&amp;SUBSTITUTE(input_context," ","")&amp;",")))=0)),IF(BQ2="",TRUE,IF(input_context="",FALSE,SUMPRODUCT(--ISNUMBER(SEARCH(","&amp;TRIM(TEXTSPLIT(BQ2,","))&amp;",",","&amp;SUBSTITUTE(input_context," ","")&amp;",")))&gt;0)),IF(BS2="",TRUE,IF(input_context="",FALSE,SUMPRODUCT(--ISNUMBER(SEARCH(","&amp;TRIM(TEXTSPLIT(BS2,","))&amp;",",","&amp;SUBSTITUTE(input_context," ","")&amp;",")))=COUNTA(TEXTSPLIT(BS2,",")))))</f>
        <v/>
      </c>
      <c r="IZ2" s="19">
        <f>AND(IF(BU2="",TRUE,IF(input_enews_announcement_type="",FALSE,SUMPRODUCT(--ISNUMBER(SEARCH(","&amp;TRIM(TEXTSPLIT(BU2,","))&amp;",",","&amp;SUBSTITUTE(input_enews_announcement_type," ","")&amp;",")))&gt;0)),IF(BW2="",TRUE,IF(input_enews_announcement_type="",FALSE,SUMPRODUCT(--ISNUMBER(SEARCH(","&amp;TRIM(TEXTSPLIT(BW2,","))&amp;",",","&amp;SUBSTITUTE(input_enews_announcement_type," ","")&amp;",")))=COUNTA(TEXTSPLIT(BW2,",")))),IF(BY2="",TRUE,IF(input_enews_announcement_type="",TRUE,SUMPRODUCT(--ISNUMBER(SEARCH(","&amp;TRIM(TEXTSPLIT(BY2,","))&amp;",",","&amp;SUBSTITUTE(input_enews_announcement_type," ","")&amp;",")))=0)),IF(CA2="",TRUE,IF(input_enews_announcement_type="",FALSE,SUMPRODUCT(--ISNUMBER(SEARCH(","&amp;TRIM(TEXTSPLIT(CA2,","))&amp;",",","&amp;SUBSTITUTE(input_enews_announcement_type," ","")&amp;",")))&gt;0)),IF(CC2="",TRUE,IF(input_enews_announcement_type="",FALSE,SUMPRODUCT(--ISNUMBER(SEARCH(","&amp;TRIM(TEXTSPLIT(CC2,","))&amp;",",","&amp;SUBSTITUTE(input_enews_announcement_type," ","")&amp;",")))=COUNTA(TEXTSPLIT(CC2,",")))))</f>
        <v/>
      </c>
      <c r="JA2" s="19">
        <f>AND(IF(CE2="",TRUE,IF(input_enews_audience="",FALSE,SUMPRODUCT(--ISNUMBER(SEARCH(","&amp;TRIM(TEXTSPLIT(CE2,","))&amp;",",","&amp;SUBSTITUTE(input_enews_audience," ","")&amp;",")))&gt;0)),IF(CG2="",TRUE,IF(input_enews_audience="",FALSE,SUMPRODUCT(--ISNUMBER(SEARCH(","&amp;TRIM(TEXTSPLIT(CG2,","))&amp;",",","&amp;SUBSTITUTE(input_enews_audience," ","")&amp;",")))=COUNTA(TEXTSPLIT(CG2,",")))),IF(CI2="",TRUE,IF(input_enews_audience="",TRUE,SUMPRODUCT(--ISNUMBER(SEARCH(","&amp;TRIM(TEXTSPLIT(CI2,","))&amp;",",","&amp;SUBSTITUTE(input_enews_audience," ","")&amp;",")))=0)),IF(CK2="",TRUE,IF(input_enews_audience="",FALSE,SUMPRODUCT(--ISNUMBER(SEARCH(","&amp;TRIM(TEXTSPLIT(CK2,","))&amp;",",","&amp;SUBSTITUTE(input_enews_audience," ","")&amp;",")))&gt;0)),IF(CM2="",TRUE,IF(input_enews_audience="",FALSE,SUMPRODUCT(--ISNUMBER(SEARCH(","&amp;TRIM(TEXTSPLIT(CM2,","))&amp;",",","&amp;SUBSTITUTE(input_enews_audience," ","")&amp;",")))=COUNTA(TEXTSPLIT(CM2,",")))))</f>
        <v/>
      </c>
      <c r="JB2" s="19">
        <f>AND(IF(CO2="",TRUE,IF(input_event_location="",FALSE,SUMPRODUCT(--ISNUMBER(SEARCH(","&amp;TRIM(TEXTSPLIT(CO2,","))&amp;",",","&amp;SUBSTITUTE(input_event_location," ","")&amp;",")))&gt;0)),IF(CQ2="",TRUE,IF(input_event_location="",FALSE,SUMPRODUCT(--ISNUMBER(SEARCH(","&amp;TRIM(TEXTSPLIT(CQ2,","))&amp;",",","&amp;SUBSTITUTE(input_event_location," ","")&amp;",")))=COUNTA(TEXTSPLIT(CQ2,",")))),IF(CS2="",TRUE,IF(input_event_location="",TRUE,SUMPRODUCT(--ISNUMBER(SEARCH(","&amp;TRIM(TEXTSPLIT(CS2,","))&amp;",",","&amp;SUBSTITUTE(input_event_location," ","")&amp;",")))=0)),IF(CU2="",TRUE,IF(input_event_location="",FALSE,SUMPRODUCT(--ISNUMBER(SEARCH(","&amp;TRIM(TEXTSPLIT(CU2,","))&amp;",",","&amp;SUBSTITUTE(input_event_location," ","")&amp;",")))&gt;0)),IF(CW2="",TRUE,IF(input_event_location="",FALSE,SUMPRODUCT(--ISNUMBER(SEARCH(","&amp;TRIM(TEXTSPLIT(CW2,","))&amp;",",","&amp;SUBSTITUTE(input_event_location," ","")&amp;",")))=COUNTA(TEXTSPLIT(CW2,",")))))</f>
        <v/>
      </c>
      <c r="JC2" s="19">
        <f>AND(IF(CY2="",TRUE,IF(input_event_type="",FALSE,SUMPRODUCT(--ISNUMBER(SEARCH(","&amp;TRIM(TEXTSPLIT(CY2,","))&amp;",",","&amp;SUBSTITUTE(input_event_type," ","")&amp;",")))&gt;0)),IF(DA2="",TRUE,IF(input_event_type="",FALSE,SUMPRODUCT(--ISNUMBER(SEARCH(","&amp;TRIM(TEXTSPLIT(DA2,","))&amp;",",","&amp;SUBSTITUTE(input_event_type," ","")&amp;",")))=COUNTA(TEXTSPLIT(DA2,",")))),IF(DC2="",TRUE,IF(input_event_type="",TRUE,SUMPRODUCT(--ISNUMBER(SEARCH(","&amp;TRIM(TEXTSPLIT(DC2,","))&amp;",",","&amp;SUBSTITUTE(input_event_type," ","")&amp;",")))=0)),IF(DE2="",TRUE,IF(input_event_type="",FALSE,SUMPRODUCT(--ISNUMBER(SEARCH(","&amp;TRIM(TEXTSPLIT(DE2,","))&amp;",",","&amp;SUBSTITUTE(input_event_type," ","")&amp;",")))&gt;0)),IF(DG2="",TRUE,IF(input_event_type="",FALSE,SUMPRODUCT(--ISNUMBER(SEARCH(","&amp;TRIM(TEXTSPLIT(DG2,","))&amp;",",","&amp;SUBSTITUTE(input_event_type," ","")&amp;",")))=COUNTA(TEXTSPLIT(DG2,",")))))</f>
        <v/>
      </c>
      <c r="JD2" s="19">
        <f>AND(IF(DI2="",TRUE,IF(input_executive_education_focus="",FALSE,SUMPRODUCT(--ISNUMBER(SEARCH(","&amp;TRIM(TEXTSPLIT(DI2,","))&amp;",",","&amp;SUBSTITUTE(input_executive_education_focus," ","")&amp;",")))&gt;0)),IF(DK2="",TRUE,IF(input_executive_education_focus="",FALSE,SUMPRODUCT(--ISNUMBER(SEARCH(","&amp;TRIM(TEXTSPLIT(DK2,","))&amp;",",","&amp;SUBSTITUTE(input_executive_education_focus," ","")&amp;",")))=COUNTA(TEXTSPLIT(DK2,",")))),IF(DM2="",TRUE,IF(input_executive_education_focus="",TRUE,SUMPRODUCT(--ISNUMBER(SEARCH(","&amp;TRIM(TEXTSPLIT(DM2,","))&amp;",",","&amp;SUBSTITUTE(input_executive_education_focus," ","")&amp;",")))=0)),IF(DO2="",TRUE,IF(input_executive_education_focus="",FALSE,SUMPRODUCT(--ISNUMBER(SEARCH(","&amp;TRIM(TEXTSPLIT(DO2,","))&amp;",",","&amp;SUBSTITUTE(input_executive_education_focus," ","")&amp;",")))&gt;0)),IF(DQ2="",TRUE,IF(input_executive_education_focus="",FALSE,SUMPRODUCT(--ISNUMBER(SEARCH(","&amp;TRIM(TEXTSPLIT(DQ2,","))&amp;",",","&amp;SUBSTITUTE(input_executive_education_focus," ","")&amp;",")))=COUNTA(TEXTSPLIT(DQ2,",")))))</f>
        <v/>
      </c>
      <c r="JE2" s="19">
        <f>AND(IF(DS2="",TRUE,IF(input_faculty_category="",FALSE,SUMPRODUCT(--ISNUMBER(SEARCH(","&amp;TRIM(TEXTSPLIT(DS2,","))&amp;",",","&amp;SUBSTITUTE(input_faculty_category," ","")&amp;",")))&gt;0)),IF(DU2="",TRUE,IF(input_faculty_category="",FALSE,SUMPRODUCT(--ISNUMBER(SEARCH(","&amp;TRIM(TEXTSPLIT(DU2,","))&amp;",",","&amp;SUBSTITUTE(input_faculty_category," ","")&amp;",")))=COUNTA(TEXTSPLIT(DU2,",")))),IF(DW2="",TRUE,IF(input_faculty_category="",TRUE,SUMPRODUCT(--ISNUMBER(SEARCH(","&amp;TRIM(TEXTSPLIT(DW2,","))&amp;",",","&amp;SUBSTITUTE(input_faculty_category," ","")&amp;",")))=0)),IF(DY2="",TRUE,IF(input_faculty_category="",FALSE,SUMPRODUCT(--ISNUMBER(SEARCH(","&amp;TRIM(TEXTSPLIT(DY2,","))&amp;",",","&amp;SUBSTITUTE(input_faculty_category," ","")&amp;",")))&gt;0)),IF(EA2="",TRUE,IF(input_faculty_category="",FALSE,SUMPRODUCT(--ISNUMBER(SEARCH(","&amp;TRIM(TEXTSPLIT(EA2,","))&amp;",",","&amp;SUBSTITUTE(input_faculty_category," ","")&amp;",")))=COUNTA(TEXTSPLIT(EA2,",")))))</f>
        <v/>
      </c>
      <c r="JF2" s="19">
        <f>AND(IF(EC2="",TRUE,IF(input_faculty_discipline="",FALSE,SUMPRODUCT(--ISNUMBER(SEARCH(","&amp;TRIM(TEXTSPLIT(EC2,","))&amp;",",","&amp;SUBSTITUTE(input_faculty_discipline," ","")&amp;",")))&gt;0)),IF(EE2="",TRUE,IF(input_faculty_discipline="",FALSE,SUMPRODUCT(--ISNUMBER(SEARCH(","&amp;TRIM(TEXTSPLIT(EE2,","))&amp;",",","&amp;SUBSTITUTE(input_faculty_discipline," ","")&amp;",")))=COUNTA(TEXTSPLIT(EE2,",")))),IF(EG2="",TRUE,IF(input_faculty_discipline="",TRUE,SUMPRODUCT(--ISNUMBER(SEARCH(","&amp;TRIM(TEXTSPLIT(EG2,","))&amp;",",","&amp;SUBSTITUTE(input_faculty_discipline," ","")&amp;",")))=0)),IF(EI2="",TRUE,IF(input_faculty_discipline="",FALSE,SUMPRODUCT(--ISNUMBER(SEARCH(","&amp;TRIM(TEXTSPLIT(EI2,","))&amp;",",","&amp;SUBSTITUTE(input_faculty_discipline," ","")&amp;",")))&gt;0)),IF(EK2="",TRUE,IF(input_faculty_discipline="",FALSE,SUMPRODUCT(--ISNUMBER(SEARCH(","&amp;TRIM(TEXTSPLIT(EK2,","))&amp;",",","&amp;SUBSTITUTE(input_faculty_discipline," ","")&amp;",")))=COUNTA(TEXTSPLIT(EK2,",")))))</f>
        <v/>
      </c>
      <c r="JG2" s="19">
        <f>AND(IF(EM2="",TRUE,IF(input_faculty_expertise="",FALSE,SUMPRODUCT(--ISNUMBER(SEARCH(","&amp;TRIM(TEXTSPLIT(EM2,","))&amp;",",","&amp;SUBSTITUTE(input_faculty_expertise," ","")&amp;",")))&gt;0)),IF(EO2="",TRUE,IF(input_faculty_expertise="",FALSE,SUMPRODUCT(--ISNUMBER(SEARCH(","&amp;TRIM(TEXTSPLIT(EO2,","))&amp;",",","&amp;SUBSTITUTE(input_faculty_expertise," ","")&amp;",")))=COUNTA(TEXTSPLIT(EO2,",")))),IF(EQ2="",TRUE,IF(input_faculty_expertise="",TRUE,SUMPRODUCT(--ISNUMBER(SEARCH(","&amp;TRIM(TEXTSPLIT(EQ2,","))&amp;",",","&amp;SUBSTITUTE(input_faculty_expertise," ","")&amp;",")))=0)),IF(ES2="",TRUE,IF(input_faculty_expertise="",FALSE,SUMPRODUCT(--ISNUMBER(SEARCH(","&amp;TRIM(TEXTSPLIT(ES2,","))&amp;",",","&amp;SUBSTITUTE(input_faculty_expertise," ","")&amp;",")))&gt;0)),IF(EU2="",TRUE,IF(input_faculty_expertise="",FALSE,SUMPRODUCT(--ISNUMBER(SEARCH(","&amp;TRIM(TEXTSPLIT(EU2,","))&amp;",",","&amp;SUBSTITUTE(input_faculty_expertise," ","")&amp;",")))=COUNTA(TEXTSPLIT(EU2,",")))))</f>
        <v/>
      </c>
      <c r="JH2" s="19">
        <f>AND(IF(EW2="",TRUE,IF(input_global_network_school="",FALSE,SUMPRODUCT(--ISNUMBER(SEARCH(","&amp;TRIM(TEXTSPLIT(EW2,","))&amp;",",","&amp;SUBSTITUTE(input_global_network_school," ","")&amp;",")))&gt;0)),IF(EY2="",TRUE,IF(input_global_network_school="",FALSE,SUMPRODUCT(--ISNUMBER(SEARCH(","&amp;TRIM(TEXTSPLIT(EY2,","))&amp;",",","&amp;SUBSTITUTE(input_global_network_school," ","")&amp;",")))=COUNTA(TEXTSPLIT(EY2,",")))),IF(FA2="",TRUE,IF(input_global_network_school="",TRUE,SUMPRODUCT(--ISNUMBER(SEARCH(","&amp;TRIM(TEXTSPLIT(FA2,","))&amp;",",","&amp;SUBSTITUTE(input_global_network_school," ","")&amp;",")))=0)),IF(FC2="",TRUE,IF(input_global_network_school="",FALSE,SUMPRODUCT(--ISNUMBER(SEARCH(","&amp;TRIM(TEXTSPLIT(FC2,","))&amp;",",","&amp;SUBSTITUTE(input_global_network_school," ","")&amp;",")))&gt;0)),IF(FE2="",TRUE,IF(input_global_network_school="",FALSE,SUMPRODUCT(--ISNUMBER(SEARCH(","&amp;TRIM(TEXTSPLIT(FE2,","))&amp;",",","&amp;SUBSTITUTE(input_global_network_school," ","")&amp;",")))=COUNTA(TEXTSPLIT(FE2,",")))))</f>
        <v/>
      </c>
      <c r="JI2" s="19">
        <f>AND(IF(FG2="",TRUE,IF(input_industry="",FALSE,SUMPRODUCT(--ISNUMBER(SEARCH(","&amp;TRIM(TEXTSPLIT(FG2,","))&amp;",",","&amp;SUBSTITUTE(input_industry," ","")&amp;",")))&gt;0)),IF(FI2="",TRUE,IF(input_industry="",FALSE,SUMPRODUCT(--ISNUMBER(SEARCH(","&amp;TRIM(TEXTSPLIT(FI2,","))&amp;",",","&amp;SUBSTITUTE(input_industry," ","")&amp;",")))=COUNTA(TEXTSPLIT(FI2,",")))),IF(FK2="",TRUE,IF(input_industry="",TRUE,SUMPRODUCT(--ISNUMBER(SEARCH(","&amp;TRIM(TEXTSPLIT(FK2,","))&amp;",",","&amp;SUBSTITUTE(input_industry," ","")&amp;",")))=0)),IF(FM2="",TRUE,IF(input_industry="",FALSE,SUMPRODUCT(--ISNUMBER(SEARCH(","&amp;TRIM(TEXTSPLIT(FM2,","))&amp;",",","&amp;SUBSTITUTE(input_industry," ","")&amp;",")))&gt;0)),IF(FO2="",TRUE,IF(input_industry="",FALSE,SUMPRODUCT(--ISNUMBER(SEARCH(","&amp;TRIM(TEXTSPLIT(FO2,","))&amp;",",","&amp;SUBSTITUTE(input_industry," ","")&amp;",")))=COUNTA(TEXTSPLIT(FO2,",")))))</f>
        <v/>
      </c>
      <c r="JJ2" s="19">
        <f>AND(IF(FQ2="",TRUE,IF(input_location="",FALSE,SUMPRODUCT(--ISNUMBER(SEARCH(","&amp;TRIM(TEXTSPLIT(FQ2,","))&amp;",",","&amp;SUBSTITUTE(input_location," ","")&amp;",")))&gt;0)),IF(FS2="",TRUE,IF(input_location="",FALSE,SUMPRODUCT(--ISNUMBER(SEARCH(","&amp;TRIM(TEXTSPLIT(FS2,","))&amp;",",","&amp;SUBSTITUTE(input_location," ","")&amp;",")))=COUNTA(TEXTSPLIT(FS2,",")))),IF(FU2="",TRUE,IF(input_location="",TRUE,SUMPRODUCT(--ISNUMBER(SEARCH(","&amp;TRIM(TEXTSPLIT(FU2,","))&amp;",",","&amp;SUBSTITUTE(input_location," ","")&amp;",")))=0)),IF(FW2="",TRUE,IF(input_location="",FALSE,SUMPRODUCT(--ISNUMBER(SEARCH(","&amp;TRIM(TEXTSPLIT(FW2,","))&amp;",",","&amp;SUBSTITUTE(input_location," ","")&amp;",")))&gt;0)),IF(FY2="",TRUE,IF(input_location="",FALSE,SUMPRODUCT(--ISNUMBER(SEARCH(","&amp;TRIM(TEXTSPLIT(FY2,","))&amp;",",","&amp;SUBSTITUTE(input_location," ","")&amp;",")))=COUNTA(TEXTSPLIT(FY2,",")))))</f>
        <v/>
      </c>
      <c r="JK2" s="19">
        <f>AND(IF(GA2="",TRUE,IF(input_modality="",FALSE,SUMPRODUCT(--ISNUMBER(SEARCH(","&amp;TRIM(TEXTSPLIT(GA2,","))&amp;",",","&amp;SUBSTITUTE(input_modality," ","")&amp;",")))&gt;0)),IF(GC2="",TRUE,IF(input_modality="",FALSE,SUMPRODUCT(--ISNUMBER(SEARCH(","&amp;TRIM(TEXTSPLIT(GC2,","))&amp;",",","&amp;SUBSTITUTE(input_modality," ","")&amp;",")))=COUNTA(TEXTSPLIT(GC2,",")))),IF(GE2="",TRUE,IF(input_modality="",TRUE,SUMPRODUCT(--ISNUMBER(SEARCH(","&amp;TRIM(TEXTSPLIT(GE2,","))&amp;",",","&amp;SUBSTITUTE(input_modality," ","")&amp;",")))=0)),IF(GG2="",TRUE,IF(input_modality="",FALSE,SUMPRODUCT(--ISNUMBER(SEARCH(","&amp;TRIM(TEXTSPLIT(GG2,","))&amp;",",","&amp;SUBSTITUTE(input_modality," ","")&amp;",")))&gt;0)),IF(GI2="",TRUE,IF(input_modality="",FALSE,SUMPRODUCT(--ISNUMBER(SEARCH(","&amp;TRIM(TEXTSPLIT(GI2,","))&amp;",",","&amp;SUBSTITUTE(input_modality," ","")&amp;",")))=COUNTA(TEXTSPLIT(GI2,",")))))</f>
        <v/>
      </c>
      <c r="JL2" s="19">
        <f>AND(IF(GK2="",TRUE,IF(input_organizer="",FALSE,SUMPRODUCT(--ISNUMBER(SEARCH(","&amp;TRIM(TEXTSPLIT(GK2,","))&amp;",",","&amp;SUBSTITUTE(input_organizer," ","")&amp;",")))&gt;0)),IF(GM2="",TRUE,IF(input_organizer="",FALSE,SUMPRODUCT(--ISNUMBER(SEARCH(","&amp;TRIM(TEXTSPLIT(GM2,","))&amp;",",","&amp;SUBSTITUTE(input_organizer," ","")&amp;",")))=COUNTA(TEXTSPLIT(GM2,",")))),IF(GO2="",TRUE,IF(input_organizer="",TRUE,SUMPRODUCT(--ISNUMBER(SEARCH(","&amp;TRIM(TEXTSPLIT(GO2,","))&amp;",",","&amp;SUBSTITUTE(input_organizer," ","")&amp;",")))=0)),IF(GQ2="",TRUE,IF(input_organizer="",FALSE,SUMPRODUCT(--ISNUMBER(SEARCH(","&amp;TRIM(TEXTSPLIT(GQ2,","))&amp;",",","&amp;SUBSTITUTE(input_organizer," ","")&amp;",")))&gt;0)),IF(GS2="",TRUE,IF(input_organizer="",FALSE,SUMPRODUCT(--ISNUMBER(SEARCH(","&amp;TRIM(TEXTSPLIT(GS2,","))&amp;",",","&amp;SUBSTITUTE(input_organizer," ","")&amp;",")))=COUNTA(TEXTSPLIT(GS2,",")))))</f>
        <v/>
      </c>
      <c r="JM2" s="19">
        <f>AND(IF(GU2="",TRUE,IF(input_profile_type="",FALSE,SUMPRODUCT(--ISNUMBER(SEARCH(","&amp;TRIM(TEXTSPLIT(GU2,","))&amp;",",","&amp;SUBSTITUTE(input_profile_type," ","")&amp;",")))&gt;0)),IF(GW2="",TRUE,IF(input_profile_type="",FALSE,SUMPRODUCT(--ISNUMBER(SEARCH(","&amp;TRIM(TEXTSPLIT(GW2,","))&amp;",",","&amp;SUBSTITUTE(input_profile_type," ","")&amp;",")))=COUNTA(TEXTSPLIT(GW2,",")))),IF(GY2="",TRUE,IF(input_profile_type="",TRUE,SUMPRODUCT(--ISNUMBER(SEARCH(","&amp;TRIM(TEXTSPLIT(GY2,","))&amp;",",","&amp;SUBSTITUTE(input_profile_type," ","")&amp;",")))=0)),IF(HA2="",TRUE,IF(input_profile_type="",FALSE,SUMPRODUCT(--ISNUMBER(SEARCH(","&amp;TRIM(TEXTSPLIT(HA2,","))&amp;",",","&amp;SUBSTITUTE(input_profile_type," ","")&amp;",")))&gt;0)),IF(HC2="",TRUE,IF(input_profile_type="",FALSE,SUMPRODUCT(--ISNUMBER(SEARCH(","&amp;TRIM(TEXTSPLIT(HC2,","))&amp;",",","&amp;SUBSTITUTE(input_profile_type," ","")&amp;",")))=COUNTA(TEXTSPLIT(HC2,",")))))</f>
        <v/>
      </c>
      <c r="JN2" s="19">
        <f>AND(IF(HE2="",TRUE,IF(input_program="",FALSE,SUMPRODUCT(--ISNUMBER(SEARCH(","&amp;TRIM(TEXTSPLIT(HE2,","))&amp;",",","&amp;SUBSTITUTE(input_program," ","")&amp;",")))&gt;0)),IF(HG2="",TRUE,IF(input_program="",FALSE,SUMPRODUCT(--ISNUMBER(SEARCH(","&amp;TRIM(TEXTSPLIT(HG2,","))&amp;",",","&amp;SUBSTITUTE(input_program," ","")&amp;",")))=COUNTA(TEXTSPLIT(HG2,",")))),IF(HI2="",TRUE,IF(input_program="",TRUE,SUMPRODUCT(--ISNUMBER(SEARCH(","&amp;TRIM(TEXTSPLIT(HI2,","))&amp;",",","&amp;SUBSTITUTE(input_program," ","")&amp;",")))=0)),IF(HK2="",TRUE,IF(input_program="",FALSE,SUMPRODUCT(--ISNUMBER(SEARCH(","&amp;TRIM(TEXTSPLIT(HK2,","))&amp;",",","&amp;SUBSTITUTE(input_program," ","")&amp;",")))&gt;0)),IF(HM2="",TRUE,IF(input_program="",FALSE,SUMPRODUCT(--ISNUMBER(SEARCH(","&amp;TRIM(TEXTSPLIT(HM2,","))&amp;",",","&amp;SUBSTITUTE(input_program," ","")&amp;",")))=COUNTA(TEXTSPLIT(HM2,",")))))</f>
        <v/>
      </c>
      <c r="JO2" s="19">
        <f>AND(IF(HO2="",TRUE,IF(input_story_categories="",FALSE,SUMPRODUCT(--ISNUMBER(SEARCH(","&amp;TRIM(TEXTSPLIT(HO2,","))&amp;",",","&amp;SUBSTITUTE(input_story_categories," ","")&amp;",")))&gt;0)),IF(HQ2="",TRUE,IF(input_story_categories="",FALSE,SUMPRODUCT(--ISNUMBER(SEARCH(","&amp;TRIM(TEXTSPLIT(HQ2,","))&amp;",",","&amp;SUBSTITUTE(input_story_categories," ","")&amp;",")))=COUNTA(TEXTSPLIT(HQ2,",")))),IF(HS2="",TRUE,IF(input_story_categories="",TRUE,SUMPRODUCT(--ISNUMBER(SEARCH(","&amp;TRIM(TEXTSPLIT(HS2,","))&amp;",",","&amp;SUBSTITUTE(input_story_categories," ","")&amp;",")))=0)),IF(HU2="",TRUE,IF(input_story_categories="",FALSE,SUMPRODUCT(--ISNUMBER(SEARCH(","&amp;TRIM(TEXTSPLIT(HU2,","))&amp;",",","&amp;SUBSTITUTE(input_story_categories," ","")&amp;",")))&gt;0)),IF(HW2="",TRUE,IF(input_story_categories="",FALSE,SUMPRODUCT(--ISNUMBER(SEARCH(","&amp;TRIM(TEXTSPLIT(HW2,","))&amp;",",","&amp;SUBSTITUTE(input_story_categories," ","")&amp;",")))=COUNTA(TEXTSPLIT(HW2,",")))))</f>
        <v/>
      </c>
      <c r="JP2" s="19">
        <f>AND(IF(HY2="",TRUE,IF(input_story_type="",FALSE,SUMPRODUCT(--ISNUMBER(SEARCH(","&amp;TRIM(TEXTSPLIT(HY2,","))&amp;",",","&amp;SUBSTITUTE(input_story_type," ","")&amp;",")))&gt;0)),IF(IA2="",TRUE,IF(input_story_type="",FALSE,SUMPRODUCT(--ISNUMBER(SEARCH(","&amp;TRIM(TEXTSPLIT(IA2,","))&amp;",",","&amp;SUBSTITUTE(input_story_type," ","")&amp;",")))=COUNTA(TEXTSPLIT(IA2,",")))),IF(IC2="",TRUE,IF(input_story_type="",TRUE,SUMPRODUCT(--ISNUMBER(SEARCH(","&amp;TRIM(TEXTSPLIT(IC2,","))&amp;",",","&amp;SUBSTITUTE(input_story_type," ","")&amp;",")))=0)),IF(IE2="",TRUE,IF(input_story_type="",FALSE,SUMPRODUCT(--ISNUMBER(SEARCH(","&amp;TRIM(TEXTSPLIT(IE2,","))&amp;",",","&amp;SUBSTITUTE(input_story_type," ","")&amp;",")))&gt;0)),IF(IG2="",TRUE,IF(input_story_type="",FALSE,SUMPRODUCT(--ISNUMBER(SEARCH(","&amp;TRIM(TEXTSPLIT(IG2,","))&amp;",",","&amp;SUBSTITUTE(input_story_type," ","")&amp;",")))=COUNTA(TEXTSPLIT(IG2,",")))))</f>
        <v/>
      </c>
      <c r="JQ2" s="19">
        <f>AND(IF(II2="",TRUE,IF(input_topics="",FALSE,SUMPRODUCT(--ISNUMBER(SEARCH(","&amp;TRIM(TEXTSPLIT(II2,","))&amp;",",","&amp;SUBSTITUTE(input_topics," ","")&amp;",")))&gt;0)),IF(IK2="",TRUE,IF(input_topics="",FALSE,SUMPRODUCT(--ISNUMBER(SEARCH(","&amp;TRIM(TEXTSPLIT(IK2,","))&amp;",",","&amp;SUBSTITUTE(input_topics," ","")&amp;",")))=COUNTA(TEXTSPLIT(IK2,",")))),IF(IM2="",TRUE,IF(input_topics="",TRUE,SUMPRODUCT(--ISNUMBER(SEARCH(","&amp;TRIM(TEXTSPLIT(IM2,","))&amp;",",","&amp;SUBSTITUTE(input_topics," ","")&amp;",")))=0)),IF(IO2="",TRUE,IF(input_topics="",FALSE,SUMPRODUCT(--ISNUMBER(SEARCH(","&amp;TRIM(TEXTSPLIT(IO2,","))&amp;",",","&amp;SUBSTITUTE(input_topics," ","")&amp;",")))&gt;0)),IF(IQ2="",TRUE,IF(input_topics="",FALSE,SUMPRODUCT(--ISNUMBER(SEARCH(","&amp;TRIM(TEXTSPLIT(IQ2,","))&amp;",",","&amp;SUBSTITUTE(input_topics," ","")&amp;",")))=COUNTA(TEXTSPLIT(IQ2,",")))))</f>
        <v/>
      </c>
    </row>
    <row r="3">
      <c r="A3" s="24">
        <f>IF(NOT(IS3),"Excluded",IF(AND(IT3,IU3,IV3,IW3,IX3,IY3,IZ3,JA3,JB3,JC3,JD3,JE3,JF3,JG3,JH3,JI3,JJ3,JK3,JL3,JM3,JN3,JO3,JP3,JQ3),IF(I3&gt;0,"Eligible but limited","Will appear"),"Excluded"))</f>
        <v/>
      </c>
      <c r="B3" s="24" t="inlineStr">
        <is>
          <t>A Day in the Life</t>
        </is>
      </c>
      <c r="C3" s="27" t="inlineStr">
        <is>
          <t>/programs/mba/student-experience/day-life</t>
        </is>
      </c>
      <c r="D3" s="24" t="inlineStr">
        <is>
          <t>/programs/mba/student-experience/day-life</t>
        </is>
      </c>
      <c r="E3" s="24" t="n">
        <v>1</v>
      </c>
      <c r="F3" s="24" t="inlineStr">
        <is>
          <t>story</t>
        </is>
      </c>
      <c r="G3" s="24" t="inlineStr">
        <is>
          <t>stories_list</t>
        </is>
      </c>
      <c r="H3" s="24" t="inlineStr">
        <is>
          <t>embed_1</t>
        </is>
      </c>
      <c r="I3" s="24" t="n">
        <v>10</v>
      </c>
      <c r="J3" s="28" t="inlineStr">
        <is>
          <t>Explicit args</t>
        </is>
      </c>
      <c r="K3" s="24" t="inlineStr">
        <is>
          <t>Page placement</t>
        </is>
      </c>
      <c r="L3" s="24" t="inlineStr">
        <is>
          <t>Content type: story; Context needs all Courses Context: Day in the Life (1485), MBA (92); Limited to 10 item(s); Source: Explicit args</t>
        </is>
      </c>
      <c r="BS3" s="19" t="inlineStr">
        <is>
          <t>1485, 92</t>
        </is>
      </c>
      <c r="BT3" s="19" t="inlineStr">
        <is>
          <t>Day in the Life (1485), MBA (92)</t>
        </is>
      </c>
      <c r="IS3" s="19">
        <f>IF(input_content_type="",FALSE,ISNUMBER(SEARCH(","&amp;LOWER(input_content_type)&amp;",",","&amp;LOWER(SUBSTITUTE(F3," ",""))&amp;",")))</f>
        <v/>
      </c>
      <c r="IT3" s="19">
        <f>AND(IF(M3="",TRUE,IF(input_affiliations="",FALSE,SUMPRODUCT(--ISNUMBER(SEARCH(","&amp;TRIM(TEXTSPLIT(M3,","))&amp;",",","&amp;SUBSTITUTE(input_affiliations," ","")&amp;",")))&gt;0)),IF(O3="",TRUE,IF(input_affiliations="",FALSE,SUMPRODUCT(--ISNUMBER(SEARCH(","&amp;TRIM(TEXTSPLIT(O3,","))&amp;",",","&amp;SUBSTITUTE(input_affiliations," ","")&amp;",")))=COUNTA(TEXTSPLIT(O3,",")))),IF(Q3="",TRUE,IF(input_affiliations="",TRUE,SUMPRODUCT(--ISNUMBER(SEARCH(","&amp;TRIM(TEXTSPLIT(Q3,","))&amp;",",","&amp;SUBSTITUTE(input_affiliations," ","")&amp;",")))=0)),IF(S3="",TRUE,IF(input_affiliations="",FALSE,SUMPRODUCT(--ISNUMBER(SEARCH(","&amp;TRIM(TEXTSPLIT(S3,","))&amp;",",","&amp;SUBSTITUTE(input_affiliations," ","")&amp;",")))&gt;0)),IF(U3="",TRUE,IF(input_affiliations="",FALSE,SUMPRODUCT(--ISNUMBER(SEARCH(","&amp;TRIM(TEXTSPLIT(U3,","))&amp;",",","&amp;SUBSTITUTE(input_affiliations," ","")&amp;",")))=COUNTA(TEXTSPLIT(U3,",")))))</f>
        <v/>
      </c>
      <c r="IU3" s="19">
        <f>AND(IF(W3="",TRUE,IF(input_announcement_category="",FALSE,SUMPRODUCT(--ISNUMBER(SEARCH(","&amp;TRIM(TEXTSPLIT(W3,","))&amp;",",","&amp;SUBSTITUTE(input_announcement_category," ","")&amp;",")))&gt;0)),IF(Y3="",TRUE,IF(input_announcement_category="",FALSE,SUMPRODUCT(--ISNUMBER(SEARCH(","&amp;TRIM(TEXTSPLIT(Y3,","))&amp;",",","&amp;SUBSTITUTE(input_announcement_category," ","")&amp;",")))=COUNTA(TEXTSPLIT(Y3,",")))),IF(AA3="",TRUE,IF(input_announcement_category="",TRUE,SUMPRODUCT(--ISNUMBER(SEARCH(","&amp;TRIM(TEXTSPLIT(AA3,","))&amp;",",","&amp;SUBSTITUTE(input_announcement_category," ","")&amp;",")))=0)),IF(AC3="",TRUE,IF(input_announcement_category="",FALSE,SUMPRODUCT(--ISNUMBER(SEARCH(","&amp;TRIM(TEXTSPLIT(AC3,","))&amp;",",","&amp;SUBSTITUTE(input_announcement_category," ","")&amp;",")))&gt;0)),IF(AE3="",TRUE,IF(input_announcement_category="",FALSE,SUMPRODUCT(--ISNUMBER(SEARCH(","&amp;TRIM(TEXTSPLIT(AE3,","))&amp;",",","&amp;SUBSTITUTE(input_announcement_category," ","")&amp;",")))=COUNTA(TEXTSPLIT(AE3,",")))))</f>
        <v/>
      </c>
      <c r="IV3" s="19">
        <f>AND(IF(AG3="",TRUE,IF(input_area_of_focus="",FALSE,SUMPRODUCT(--ISNUMBER(SEARCH(","&amp;TRIM(TEXTSPLIT(AG3,","))&amp;",",","&amp;SUBSTITUTE(input_area_of_focus," ","")&amp;",")))&gt;0)),IF(AI3="",TRUE,IF(input_area_of_focus="",FALSE,SUMPRODUCT(--ISNUMBER(SEARCH(","&amp;TRIM(TEXTSPLIT(AI3,","))&amp;",",","&amp;SUBSTITUTE(input_area_of_focus," ","")&amp;",")))=COUNTA(TEXTSPLIT(AI3,",")))),IF(AK3="",TRUE,IF(input_area_of_focus="",TRUE,SUMPRODUCT(--ISNUMBER(SEARCH(","&amp;TRIM(TEXTSPLIT(AK3,","))&amp;",",","&amp;SUBSTITUTE(input_area_of_focus," ","")&amp;",")))=0)),IF(AM3="",TRUE,IF(input_area_of_focus="",FALSE,SUMPRODUCT(--ISNUMBER(SEARCH(","&amp;TRIM(TEXTSPLIT(AM3,","))&amp;",",","&amp;SUBSTITUTE(input_area_of_focus," ","")&amp;",")))&gt;0)),IF(AO3="",TRUE,IF(input_area_of_focus="",FALSE,SUMPRODUCT(--ISNUMBER(SEARCH(","&amp;TRIM(TEXTSPLIT(AO3,","))&amp;",",","&amp;SUBSTITUTE(input_area_of_focus," ","")&amp;",")))=COUNTA(TEXTSPLIT(AO3,",")))))</f>
        <v/>
      </c>
      <c r="IW3" s="19">
        <f>AND(IF(AQ3="",TRUE,IF(input_audience="",FALSE,SUMPRODUCT(--ISNUMBER(SEARCH(","&amp;TRIM(TEXTSPLIT(AQ3,","))&amp;",",","&amp;SUBSTITUTE(input_audience," ","")&amp;",")))&gt;0)),IF(AS3="",TRUE,IF(input_audience="",FALSE,SUMPRODUCT(--ISNUMBER(SEARCH(","&amp;TRIM(TEXTSPLIT(AS3,","))&amp;",",","&amp;SUBSTITUTE(input_audience," ","")&amp;",")))=COUNTA(TEXTSPLIT(AS3,",")))),IF(AU3="",TRUE,IF(input_audience="",TRUE,SUMPRODUCT(--ISNUMBER(SEARCH(","&amp;TRIM(TEXTSPLIT(AU3,","))&amp;",",","&amp;SUBSTITUTE(input_audience," ","")&amp;",")))=0)),IF(AW3="",TRUE,IF(input_audience="",FALSE,SUMPRODUCT(--ISNUMBER(SEARCH(","&amp;TRIM(TEXTSPLIT(AW3,","))&amp;",",","&amp;SUBSTITUTE(input_audience," ","")&amp;",")))&gt;0)),IF(AY3="",TRUE,IF(input_audience="",FALSE,SUMPRODUCT(--ISNUMBER(SEARCH(","&amp;TRIM(TEXTSPLIT(AY3,","))&amp;",",","&amp;SUBSTITUTE(input_audience," ","")&amp;",")))=COUNTA(TEXTSPLIT(AY3,",")))))</f>
        <v/>
      </c>
      <c r="IX3" s="19">
        <f>AND(IF(BA3="",TRUE,IF(input_challenge_opportunities="",FALSE,SUMPRODUCT(--ISNUMBER(SEARCH(","&amp;TRIM(TEXTSPLIT(BA3,","))&amp;",",","&amp;SUBSTITUTE(input_challenge_opportunities," ","")&amp;",")))&gt;0)),IF(BC3="",TRUE,IF(input_challenge_opportunities="",FALSE,SUMPRODUCT(--ISNUMBER(SEARCH(","&amp;TRIM(TEXTSPLIT(BC3,","))&amp;",",","&amp;SUBSTITUTE(input_challenge_opportunities," ","")&amp;",")))=COUNTA(TEXTSPLIT(BC3,",")))),IF(BE3="",TRUE,IF(input_challenge_opportunities="",TRUE,SUMPRODUCT(--ISNUMBER(SEARCH(","&amp;TRIM(TEXTSPLIT(BE3,","))&amp;",",","&amp;SUBSTITUTE(input_challenge_opportunities," ","")&amp;",")))=0)),IF(BG3="",TRUE,IF(input_challenge_opportunities="",FALSE,SUMPRODUCT(--ISNUMBER(SEARCH(","&amp;TRIM(TEXTSPLIT(BG3,","))&amp;",",","&amp;SUBSTITUTE(input_challenge_opportunities," ","")&amp;",")))&gt;0)),IF(BI3="",TRUE,IF(input_challenge_opportunities="",FALSE,SUMPRODUCT(--ISNUMBER(SEARCH(","&amp;TRIM(TEXTSPLIT(BI3,","))&amp;",",","&amp;SUBSTITUTE(input_challenge_opportunities," ","")&amp;",")))=COUNTA(TEXTSPLIT(BI3,",")))))</f>
        <v/>
      </c>
      <c r="IY3" s="19">
        <f>AND(IF(BK3="",TRUE,IF(input_context="",FALSE,SUMPRODUCT(--ISNUMBER(SEARCH(","&amp;TRIM(TEXTSPLIT(BK3,","))&amp;",",","&amp;SUBSTITUTE(input_context," ","")&amp;",")))&gt;0)),IF(BM3="",TRUE,IF(input_context="",FALSE,SUMPRODUCT(--ISNUMBER(SEARCH(","&amp;TRIM(TEXTSPLIT(BM3,","))&amp;",",","&amp;SUBSTITUTE(input_context," ","")&amp;",")))=COUNTA(TEXTSPLIT(BM3,",")))),IF(BO3="",TRUE,IF(input_context="",TRUE,SUMPRODUCT(--ISNUMBER(SEARCH(","&amp;TRIM(TEXTSPLIT(BO3,","))&amp;",",","&amp;SUBSTITUTE(input_context," ","")&amp;",")))=0)),IF(BQ3="",TRUE,IF(input_context="",FALSE,SUMPRODUCT(--ISNUMBER(SEARCH(","&amp;TRIM(TEXTSPLIT(BQ3,","))&amp;",",","&amp;SUBSTITUTE(input_context," ","")&amp;",")))&gt;0)),IF(BS3="",TRUE,IF(input_context="",FALSE,SUMPRODUCT(--ISNUMBER(SEARCH(","&amp;TRIM(TEXTSPLIT(BS3,","))&amp;",",","&amp;SUBSTITUTE(input_context," ","")&amp;",")))=COUNTA(TEXTSPLIT(BS3,",")))))</f>
        <v/>
      </c>
      <c r="IZ3" s="19">
        <f>AND(IF(BU3="",TRUE,IF(input_enews_announcement_type="",FALSE,SUMPRODUCT(--ISNUMBER(SEARCH(","&amp;TRIM(TEXTSPLIT(BU3,","))&amp;",",","&amp;SUBSTITUTE(input_enews_announcement_type," ","")&amp;",")))&gt;0)),IF(BW3="",TRUE,IF(input_enews_announcement_type="",FALSE,SUMPRODUCT(--ISNUMBER(SEARCH(","&amp;TRIM(TEXTSPLIT(BW3,","))&amp;",",","&amp;SUBSTITUTE(input_enews_announcement_type," ","")&amp;",")))=COUNTA(TEXTSPLIT(BW3,",")))),IF(BY3="",TRUE,IF(input_enews_announcement_type="",TRUE,SUMPRODUCT(--ISNUMBER(SEARCH(","&amp;TRIM(TEXTSPLIT(BY3,","))&amp;",",","&amp;SUBSTITUTE(input_enews_announcement_type," ","")&amp;",")))=0)),IF(CA3="",TRUE,IF(input_enews_announcement_type="",FALSE,SUMPRODUCT(--ISNUMBER(SEARCH(","&amp;TRIM(TEXTSPLIT(CA3,","))&amp;",",","&amp;SUBSTITUTE(input_enews_announcement_type," ","")&amp;",")))&gt;0)),IF(CC3="",TRUE,IF(input_enews_announcement_type="",FALSE,SUMPRODUCT(--ISNUMBER(SEARCH(","&amp;TRIM(TEXTSPLIT(CC3,","))&amp;",",","&amp;SUBSTITUTE(input_enews_announcement_type," ","")&amp;",")))=COUNTA(TEXTSPLIT(CC3,",")))))</f>
        <v/>
      </c>
      <c r="JA3" s="19">
        <f>AND(IF(CE3="",TRUE,IF(input_enews_audience="",FALSE,SUMPRODUCT(--ISNUMBER(SEARCH(","&amp;TRIM(TEXTSPLIT(CE3,","))&amp;",",","&amp;SUBSTITUTE(input_enews_audience," ","")&amp;",")))&gt;0)),IF(CG3="",TRUE,IF(input_enews_audience="",FALSE,SUMPRODUCT(--ISNUMBER(SEARCH(","&amp;TRIM(TEXTSPLIT(CG3,","))&amp;",",","&amp;SUBSTITUTE(input_enews_audience," ","")&amp;",")))=COUNTA(TEXTSPLIT(CG3,",")))),IF(CI3="",TRUE,IF(input_enews_audience="",TRUE,SUMPRODUCT(--ISNUMBER(SEARCH(","&amp;TRIM(TEXTSPLIT(CI3,","))&amp;",",","&amp;SUBSTITUTE(input_enews_audience," ","")&amp;",")))=0)),IF(CK3="",TRUE,IF(input_enews_audience="",FALSE,SUMPRODUCT(--ISNUMBER(SEARCH(","&amp;TRIM(TEXTSPLIT(CK3,","))&amp;",",","&amp;SUBSTITUTE(input_enews_audience," ","")&amp;",")))&gt;0)),IF(CM3="",TRUE,IF(input_enews_audience="",FALSE,SUMPRODUCT(--ISNUMBER(SEARCH(","&amp;TRIM(TEXTSPLIT(CM3,","))&amp;",",","&amp;SUBSTITUTE(input_enews_audience," ","")&amp;",")))=COUNTA(TEXTSPLIT(CM3,",")))))</f>
        <v/>
      </c>
      <c r="JB3" s="19">
        <f>AND(IF(CO3="",TRUE,IF(input_event_location="",FALSE,SUMPRODUCT(--ISNUMBER(SEARCH(","&amp;TRIM(TEXTSPLIT(CO3,","))&amp;",",","&amp;SUBSTITUTE(input_event_location," ","")&amp;",")))&gt;0)),IF(CQ3="",TRUE,IF(input_event_location="",FALSE,SUMPRODUCT(--ISNUMBER(SEARCH(","&amp;TRIM(TEXTSPLIT(CQ3,","))&amp;",",","&amp;SUBSTITUTE(input_event_location," ","")&amp;",")))=COUNTA(TEXTSPLIT(CQ3,",")))),IF(CS3="",TRUE,IF(input_event_location="",TRUE,SUMPRODUCT(--ISNUMBER(SEARCH(","&amp;TRIM(TEXTSPLIT(CS3,","))&amp;",",","&amp;SUBSTITUTE(input_event_location," ","")&amp;",")))=0)),IF(CU3="",TRUE,IF(input_event_location="",FALSE,SUMPRODUCT(--ISNUMBER(SEARCH(","&amp;TRIM(TEXTSPLIT(CU3,","))&amp;",",","&amp;SUBSTITUTE(input_event_location," ","")&amp;",")))&gt;0)),IF(CW3="",TRUE,IF(input_event_location="",FALSE,SUMPRODUCT(--ISNUMBER(SEARCH(","&amp;TRIM(TEXTSPLIT(CW3,","))&amp;",",","&amp;SUBSTITUTE(input_event_location," ","")&amp;",")))=COUNTA(TEXTSPLIT(CW3,",")))))</f>
        <v/>
      </c>
      <c r="JC3" s="19">
        <f>AND(IF(CY3="",TRUE,IF(input_event_type="",FALSE,SUMPRODUCT(--ISNUMBER(SEARCH(","&amp;TRIM(TEXTSPLIT(CY3,","))&amp;",",","&amp;SUBSTITUTE(input_event_type," ","")&amp;",")))&gt;0)),IF(DA3="",TRUE,IF(input_event_type="",FALSE,SUMPRODUCT(--ISNUMBER(SEARCH(","&amp;TRIM(TEXTSPLIT(DA3,","))&amp;",",","&amp;SUBSTITUTE(input_event_type," ","")&amp;",")))=COUNTA(TEXTSPLIT(DA3,",")))),IF(DC3="",TRUE,IF(input_event_type="",TRUE,SUMPRODUCT(--ISNUMBER(SEARCH(","&amp;TRIM(TEXTSPLIT(DC3,","))&amp;",",","&amp;SUBSTITUTE(input_event_type," ","")&amp;",")))=0)),IF(DE3="",TRUE,IF(input_event_type="",FALSE,SUMPRODUCT(--ISNUMBER(SEARCH(","&amp;TRIM(TEXTSPLIT(DE3,","))&amp;",",","&amp;SUBSTITUTE(input_event_type," ","")&amp;",")))&gt;0)),IF(DG3="",TRUE,IF(input_event_type="",FALSE,SUMPRODUCT(--ISNUMBER(SEARCH(","&amp;TRIM(TEXTSPLIT(DG3,","))&amp;",",","&amp;SUBSTITUTE(input_event_type," ","")&amp;",")))=COUNTA(TEXTSPLIT(DG3,",")))))</f>
        <v/>
      </c>
      <c r="JD3" s="19">
        <f>AND(IF(DI3="",TRUE,IF(input_executive_education_focus="",FALSE,SUMPRODUCT(--ISNUMBER(SEARCH(","&amp;TRIM(TEXTSPLIT(DI3,","))&amp;",",","&amp;SUBSTITUTE(input_executive_education_focus," ","")&amp;",")))&gt;0)),IF(DK3="",TRUE,IF(input_executive_education_focus="",FALSE,SUMPRODUCT(--ISNUMBER(SEARCH(","&amp;TRIM(TEXTSPLIT(DK3,","))&amp;",",","&amp;SUBSTITUTE(input_executive_education_focus," ","")&amp;",")))=COUNTA(TEXTSPLIT(DK3,",")))),IF(DM3="",TRUE,IF(input_executive_education_focus="",TRUE,SUMPRODUCT(--ISNUMBER(SEARCH(","&amp;TRIM(TEXTSPLIT(DM3,","))&amp;",",","&amp;SUBSTITUTE(input_executive_education_focus," ","")&amp;",")))=0)),IF(DO3="",TRUE,IF(input_executive_education_focus="",FALSE,SUMPRODUCT(--ISNUMBER(SEARCH(","&amp;TRIM(TEXTSPLIT(DO3,","))&amp;",",","&amp;SUBSTITUTE(input_executive_education_focus," ","")&amp;",")))&gt;0)),IF(DQ3="",TRUE,IF(input_executive_education_focus="",FALSE,SUMPRODUCT(--ISNUMBER(SEARCH(","&amp;TRIM(TEXTSPLIT(DQ3,","))&amp;",",","&amp;SUBSTITUTE(input_executive_education_focus," ","")&amp;",")))=COUNTA(TEXTSPLIT(DQ3,",")))))</f>
        <v/>
      </c>
      <c r="JE3" s="19">
        <f>AND(IF(DS3="",TRUE,IF(input_faculty_category="",FALSE,SUMPRODUCT(--ISNUMBER(SEARCH(","&amp;TRIM(TEXTSPLIT(DS3,","))&amp;",",","&amp;SUBSTITUTE(input_faculty_category," ","")&amp;",")))&gt;0)),IF(DU3="",TRUE,IF(input_faculty_category="",FALSE,SUMPRODUCT(--ISNUMBER(SEARCH(","&amp;TRIM(TEXTSPLIT(DU3,","))&amp;",",","&amp;SUBSTITUTE(input_faculty_category," ","")&amp;",")))=COUNTA(TEXTSPLIT(DU3,",")))),IF(DW3="",TRUE,IF(input_faculty_category="",TRUE,SUMPRODUCT(--ISNUMBER(SEARCH(","&amp;TRIM(TEXTSPLIT(DW3,","))&amp;",",","&amp;SUBSTITUTE(input_faculty_category," ","")&amp;",")))=0)),IF(DY3="",TRUE,IF(input_faculty_category="",FALSE,SUMPRODUCT(--ISNUMBER(SEARCH(","&amp;TRIM(TEXTSPLIT(DY3,","))&amp;",",","&amp;SUBSTITUTE(input_faculty_category," ","")&amp;",")))&gt;0)),IF(EA3="",TRUE,IF(input_faculty_category="",FALSE,SUMPRODUCT(--ISNUMBER(SEARCH(","&amp;TRIM(TEXTSPLIT(EA3,","))&amp;",",","&amp;SUBSTITUTE(input_faculty_category," ","")&amp;",")))=COUNTA(TEXTSPLIT(EA3,",")))))</f>
        <v/>
      </c>
      <c r="JF3" s="19">
        <f>AND(IF(EC3="",TRUE,IF(input_faculty_discipline="",FALSE,SUMPRODUCT(--ISNUMBER(SEARCH(","&amp;TRIM(TEXTSPLIT(EC3,","))&amp;",",","&amp;SUBSTITUTE(input_faculty_discipline," ","")&amp;",")))&gt;0)),IF(EE3="",TRUE,IF(input_faculty_discipline="",FALSE,SUMPRODUCT(--ISNUMBER(SEARCH(","&amp;TRIM(TEXTSPLIT(EE3,","))&amp;",",","&amp;SUBSTITUTE(input_faculty_discipline," ","")&amp;",")))=COUNTA(TEXTSPLIT(EE3,",")))),IF(EG3="",TRUE,IF(input_faculty_discipline="",TRUE,SUMPRODUCT(--ISNUMBER(SEARCH(","&amp;TRIM(TEXTSPLIT(EG3,","))&amp;",",","&amp;SUBSTITUTE(input_faculty_discipline," ","")&amp;",")))=0)),IF(EI3="",TRUE,IF(input_faculty_discipline="",FALSE,SUMPRODUCT(--ISNUMBER(SEARCH(","&amp;TRIM(TEXTSPLIT(EI3,","))&amp;",",","&amp;SUBSTITUTE(input_faculty_discipline," ","")&amp;",")))&gt;0)),IF(EK3="",TRUE,IF(input_faculty_discipline="",FALSE,SUMPRODUCT(--ISNUMBER(SEARCH(","&amp;TRIM(TEXTSPLIT(EK3,","))&amp;",",","&amp;SUBSTITUTE(input_faculty_discipline," ","")&amp;",")))=COUNTA(TEXTSPLIT(EK3,",")))))</f>
        <v/>
      </c>
      <c r="JG3" s="19">
        <f>AND(IF(EM3="",TRUE,IF(input_faculty_expertise="",FALSE,SUMPRODUCT(--ISNUMBER(SEARCH(","&amp;TRIM(TEXTSPLIT(EM3,","))&amp;",",","&amp;SUBSTITUTE(input_faculty_expertise," ","")&amp;",")))&gt;0)),IF(EO3="",TRUE,IF(input_faculty_expertise="",FALSE,SUMPRODUCT(--ISNUMBER(SEARCH(","&amp;TRIM(TEXTSPLIT(EO3,","))&amp;",",","&amp;SUBSTITUTE(input_faculty_expertise," ","")&amp;",")))=COUNTA(TEXTSPLIT(EO3,",")))),IF(EQ3="",TRUE,IF(input_faculty_expertise="",TRUE,SUMPRODUCT(--ISNUMBER(SEARCH(","&amp;TRIM(TEXTSPLIT(EQ3,","))&amp;",",","&amp;SUBSTITUTE(input_faculty_expertise," ","")&amp;",")))=0)),IF(ES3="",TRUE,IF(input_faculty_expertise="",FALSE,SUMPRODUCT(--ISNUMBER(SEARCH(","&amp;TRIM(TEXTSPLIT(ES3,","))&amp;",",","&amp;SUBSTITUTE(input_faculty_expertise," ","")&amp;",")))&gt;0)),IF(EU3="",TRUE,IF(input_faculty_expertise="",FALSE,SUMPRODUCT(--ISNUMBER(SEARCH(","&amp;TRIM(TEXTSPLIT(EU3,","))&amp;",",","&amp;SUBSTITUTE(input_faculty_expertise," ","")&amp;",")))=COUNTA(TEXTSPLIT(EU3,",")))))</f>
        <v/>
      </c>
      <c r="JH3" s="19">
        <f>AND(IF(EW3="",TRUE,IF(input_global_network_school="",FALSE,SUMPRODUCT(--ISNUMBER(SEARCH(","&amp;TRIM(TEXTSPLIT(EW3,","))&amp;",",","&amp;SUBSTITUTE(input_global_network_school," ","")&amp;",")))&gt;0)),IF(EY3="",TRUE,IF(input_global_network_school="",FALSE,SUMPRODUCT(--ISNUMBER(SEARCH(","&amp;TRIM(TEXTSPLIT(EY3,","))&amp;",",","&amp;SUBSTITUTE(input_global_network_school," ","")&amp;",")))=COUNTA(TEXTSPLIT(EY3,",")))),IF(FA3="",TRUE,IF(input_global_network_school="",TRUE,SUMPRODUCT(--ISNUMBER(SEARCH(","&amp;TRIM(TEXTSPLIT(FA3,","))&amp;",",","&amp;SUBSTITUTE(input_global_network_school," ","")&amp;",")))=0)),IF(FC3="",TRUE,IF(input_global_network_school="",FALSE,SUMPRODUCT(--ISNUMBER(SEARCH(","&amp;TRIM(TEXTSPLIT(FC3,","))&amp;",",","&amp;SUBSTITUTE(input_global_network_school," ","")&amp;",")))&gt;0)),IF(FE3="",TRUE,IF(input_global_network_school="",FALSE,SUMPRODUCT(--ISNUMBER(SEARCH(","&amp;TRIM(TEXTSPLIT(FE3,","))&amp;",",","&amp;SUBSTITUTE(input_global_network_school," ","")&amp;",")))=COUNTA(TEXTSPLIT(FE3,",")))))</f>
        <v/>
      </c>
      <c r="JI3" s="19">
        <f>AND(IF(FG3="",TRUE,IF(input_industry="",FALSE,SUMPRODUCT(--ISNUMBER(SEARCH(","&amp;TRIM(TEXTSPLIT(FG3,","))&amp;",",","&amp;SUBSTITUTE(input_industry," ","")&amp;",")))&gt;0)),IF(FI3="",TRUE,IF(input_industry="",FALSE,SUMPRODUCT(--ISNUMBER(SEARCH(","&amp;TRIM(TEXTSPLIT(FI3,","))&amp;",",","&amp;SUBSTITUTE(input_industry," ","")&amp;",")))=COUNTA(TEXTSPLIT(FI3,",")))),IF(FK3="",TRUE,IF(input_industry="",TRUE,SUMPRODUCT(--ISNUMBER(SEARCH(","&amp;TRIM(TEXTSPLIT(FK3,","))&amp;",",","&amp;SUBSTITUTE(input_industry," ","")&amp;",")))=0)),IF(FM3="",TRUE,IF(input_industry="",FALSE,SUMPRODUCT(--ISNUMBER(SEARCH(","&amp;TRIM(TEXTSPLIT(FM3,","))&amp;",",","&amp;SUBSTITUTE(input_industry," ","")&amp;",")))&gt;0)),IF(FO3="",TRUE,IF(input_industry="",FALSE,SUMPRODUCT(--ISNUMBER(SEARCH(","&amp;TRIM(TEXTSPLIT(FO3,","))&amp;",",","&amp;SUBSTITUTE(input_industry," ","")&amp;",")))=COUNTA(TEXTSPLIT(FO3,",")))))</f>
        <v/>
      </c>
      <c r="JJ3" s="19">
        <f>AND(IF(FQ3="",TRUE,IF(input_location="",FALSE,SUMPRODUCT(--ISNUMBER(SEARCH(","&amp;TRIM(TEXTSPLIT(FQ3,","))&amp;",",","&amp;SUBSTITUTE(input_location," ","")&amp;",")))&gt;0)),IF(FS3="",TRUE,IF(input_location="",FALSE,SUMPRODUCT(--ISNUMBER(SEARCH(","&amp;TRIM(TEXTSPLIT(FS3,","))&amp;",",","&amp;SUBSTITUTE(input_location," ","")&amp;",")))=COUNTA(TEXTSPLIT(FS3,",")))),IF(FU3="",TRUE,IF(input_location="",TRUE,SUMPRODUCT(--ISNUMBER(SEARCH(","&amp;TRIM(TEXTSPLIT(FU3,","))&amp;",",","&amp;SUBSTITUTE(input_location," ","")&amp;",")))=0)),IF(FW3="",TRUE,IF(input_location="",FALSE,SUMPRODUCT(--ISNUMBER(SEARCH(","&amp;TRIM(TEXTSPLIT(FW3,","))&amp;",",","&amp;SUBSTITUTE(input_location," ","")&amp;",")))&gt;0)),IF(FY3="",TRUE,IF(input_location="",FALSE,SUMPRODUCT(--ISNUMBER(SEARCH(","&amp;TRIM(TEXTSPLIT(FY3,","))&amp;",",","&amp;SUBSTITUTE(input_location," ","")&amp;",")))=COUNTA(TEXTSPLIT(FY3,",")))))</f>
        <v/>
      </c>
      <c r="JK3" s="19">
        <f>AND(IF(GA3="",TRUE,IF(input_modality="",FALSE,SUMPRODUCT(--ISNUMBER(SEARCH(","&amp;TRIM(TEXTSPLIT(GA3,","))&amp;",",","&amp;SUBSTITUTE(input_modality," ","")&amp;",")))&gt;0)),IF(GC3="",TRUE,IF(input_modality="",FALSE,SUMPRODUCT(--ISNUMBER(SEARCH(","&amp;TRIM(TEXTSPLIT(GC3,","))&amp;",",","&amp;SUBSTITUTE(input_modality," ","")&amp;",")))=COUNTA(TEXTSPLIT(GC3,",")))),IF(GE3="",TRUE,IF(input_modality="",TRUE,SUMPRODUCT(--ISNUMBER(SEARCH(","&amp;TRIM(TEXTSPLIT(GE3,","))&amp;",",","&amp;SUBSTITUTE(input_modality," ","")&amp;",")))=0)),IF(GG3="",TRUE,IF(input_modality="",FALSE,SUMPRODUCT(--ISNUMBER(SEARCH(","&amp;TRIM(TEXTSPLIT(GG3,","))&amp;",",","&amp;SUBSTITUTE(input_modality," ","")&amp;",")))&gt;0)),IF(GI3="",TRUE,IF(input_modality="",FALSE,SUMPRODUCT(--ISNUMBER(SEARCH(","&amp;TRIM(TEXTSPLIT(GI3,","))&amp;",",","&amp;SUBSTITUTE(input_modality," ","")&amp;",")))=COUNTA(TEXTSPLIT(GI3,",")))))</f>
        <v/>
      </c>
      <c r="JL3" s="19">
        <f>AND(IF(GK3="",TRUE,IF(input_organizer="",FALSE,SUMPRODUCT(--ISNUMBER(SEARCH(","&amp;TRIM(TEXTSPLIT(GK3,","))&amp;",",","&amp;SUBSTITUTE(input_organizer," ","")&amp;",")))&gt;0)),IF(GM3="",TRUE,IF(input_organizer="",FALSE,SUMPRODUCT(--ISNUMBER(SEARCH(","&amp;TRIM(TEXTSPLIT(GM3,","))&amp;",",","&amp;SUBSTITUTE(input_organizer," ","")&amp;",")))=COUNTA(TEXTSPLIT(GM3,",")))),IF(GO3="",TRUE,IF(input_organizer="",TRUE,SUMPRODUCT(--ISNUMBER(SEARCH(","&amp;TRIM(TEXTSPLIT(GO3,","))&amp;",",","&amp;SUBSTITUTE(input_organizer," ","")&amp;",")))=0)),IF(GQ3="",TRUE,IF(input_organizer="",FALSE,SUMPRODUCT(--ISNUMBER(SEARCH(","&amp;TRIM(TEXTSPLIT(GQ3,","))&amp;",",","&amp;SUBSTITUTE(input_organizer," ","")&amp;",")))&gt;0)),IF(GS3="",TRUE,IF(input_organizer="",FALSE,SUMPRODUCT(--ISNUMBER(SEARCH(","&amp;TRIM(TEXTSPLIT(GS3,","))&amp;",",","&amp;SUBSTITUTE(input_organizer," ","")&amp;",")))=COUNTA(TEXTSPLIT(GS3,",")))))</f>
        <v/>
      </c>
      <c r="JM3" s="19">
        <f>AND(IF(GU3="",TRUE,IF(input_profile_type="",FALSE,SUMPRODUCT(--ISNUMBER(SEARCH(","&amp;TRIM(TEXTSPLIT(GU3,","))&amp;",",","&amp;SUBSTITUTE(input_profile_type," ","")&amp;",")))&gt;0)),IF(GW3="",TRUE,IF(input_profile_type="",FALSE,SUMPRODUCT(--ISNUMBER(SEARCH(","&amp;TRIM(TEXTSPLIT(GW3,","))&amp;",",","&amp;SUBSTITUTE(input_profile_type," ","")&amp;",")))=COUNTA(TEXTSPLIT(GW3,",")))),IF(GY3="",TRUE,IF(input_profile_type="",TRUE,SUMPRODUCT(--ISNUMBER(SEARCH(","&amp;TRIM(TEXTSPLIT(GY3,","))&amp;",",","&amp;SUBSTITUTE(input_profile_type," ","")&amp;",")))=0)),IF(HA3="",TRUE,IF(input_profile_type="",FALSE,SUMPRODUCT(--ISNUMBER(SEARCH(","&amp;TRIM(TEXTSPLIT(HA3,","))&amp;",",","&amp;SUBSTITUTE(input_profile_type," ","")&amp;",")))&gt;0)),IF(HC3="",TRUE,IF(input_profile_type="",FALSE,SUMPRODUCT(--ISNUMBER(SEARCH(","&amp;TRIM(TEXTSPLIT(HC3,","))&amp;",",","&amp;SUBSTITUTE(input_profile_type," ","")&amp;",")))=COUNTA(TEXTSPLIT(HC3,",")))))</f>
        <v/>
      </c>
      <c r="JN3" s="19">
        <f>AND(IF(HE3="",TRUE,IF(input_program="",FALSE,SUMPRODUCT(--ISNUMBER(SEARCH(","&amp;TRIM(TEXTSPLIT(HE3,","))&amp;",",","&amp;SUBSTITUTE(input_program," ","")&amp;",")))&gt;0)),IF(HG3="",TRUE,IF(input_program="",FALSE,SUMPRODUCT(--ISNUMBER(SEARCH(","&amp;TRIM(TEXTSPLIT(HG3,","))&amp;",",","&amp;SUBSTITUTE(input_program," ","")&amp;",")))=COUNTA(TEXTSPLIT(HG3,",")))),IF(HI3="",TRUE,IF(input_program="",TRUE,SUMPRODUCT(--ISNUMBER(SEARCH(","&amp;TRIM(TEXTSPLIT(HI3,","))&amp;",",","&amp;SUBSTITUTE(input_program," ","")&amp;",")))=0)),IF(HK3="",TRUE,IF(input_program="",FALSE,SUMPRODUCT(--ISNUMBER(SEARCH(","&amp;TRIM(TEXTSPLIT(HK3,","))&amp;",",","&amp;SUBSTITUTE(input_program," ","")&amp;",")))&gt;0)),IF(HM3="",TRUE,IF(input_program="",FALSE,SUMPRODUCT(--ISNUMBER(SEARCH(","&amp;TRIM(TEXTSPLIT(HM3,","))&amp;",",","&amp;SUBSTITUTE(input_program," ","")&amp;",")))=COUNTA(TEXTSPLIT(HM3,",")))))</f>
        <v/>
      </c>
      <c r="JO3" s="19">
        <f>AND(IF(HO3="",TRUE,IF(input_story_categories="",FALSE,SUMPRODUCT(--ISNUMBER(SEARCH(","&amp;TRIM(TEXTSPLIT(HO3,","))&amp;",",","&amp;SUBSTITUTE(input_story_categories," ","")&amp;",")))&gt;0)),IF(HQ3="",TRUE,IF(input_story_categories="",FALSE,SUMPRODUCT(--ISNUMBER(SEARCH(","&amp;TRIM(TEXTSPLIT(HQ3,","))&amp;",",","&amp;SUBSTITUTE(input_story_categories," ","")&amp;",")))=COUNTA(TEXTSPLIT(HQ3,",")))),IF(HS3="",TRUE,IF(input_story_categories="",TRUE,SUMPRODUCT(--ISNUMBER(SEARCH(","&amp;TRIM(TEXTSPLIT(HS3,","))&amp;",",","&amp;SUBSTITUTE(input_story_categories," ","")&amp;",")))=0)),IF(HU3="",TRUE,IF(input_story_categories="",FALSE,SUMPRODUCT(--ISNUMBER(SEARCH(","&amp;TRIM(TEXTSPLIT(HU3,","))&amp;",",","&amp;SUBSTITUTE(input_story_categories," ","")&amp;",")))&gt;0)),IF(HW3="",TRUE,IF(input_story_categories="",FALSE,SUMPRODUCT(--ISNUMBER(SEARCH(","&amp;TRIM(TEXTSPLIT(HW3,","))&amp;",",","&amp;SUBSTITUTE(input_story_categories," ","")&amp;",")))=COUNTA(TEXTSPLIT(HW3,",")))))</f>
        <v/>
      </c>
      <c r="JP3" s="19">
        <f>AND(IF(HY3="",TRUE,IF(input_story_type="",FALSE,SUMPRODUCT(--ISNUMBER(SEARCH(","&amp;TRIM(TEXTSPLIT(HY3,","))&amp;",",","&amp;SUBSTITUTE(input_story_type," ","")&amp;",")))&gt;0)),IF(IA3="",TRUE,IF(input_story_type="",FALSE,SUMPRODUCT(--ISNUMBER(SEARCH(","&amp;TRIM(TEXTSPLIT(IA3,","))&amp;",",","&amp;SUBSTITUTE(input_story_type," ","")&amp;",")))=COUNTA(TEXTSPLIT(IA3,",")))),IF(IC3="",TRUE,IF(input_story_type="",TRUE,SUMPRODUCT(--ISNUMBER(SEARCH(","&amp;TRIM(TEXTSPLIT(IC3,","))&amp;",",","&amp;SUBSTITUTE(input_story_type," ","")&amp;",")))=0)),IF(IE3="",TRUE,IF(input_story_type="",FALSE,SUMPRODUCT(--ISNUMBER(SEARCH(","&amp;TRIM(TEXTSPLIT(IE3,","))&amp;",",","&amp;SUBSTITUTE(input_story_type," ","")&amp;",")))&gt;0)),IF(IG3="",TRUE,IF(input_story_type="",FALSE,SUMPRODUCT(--ISNUMBER(SEARCH(","&amp;TRIM(TEXTSPLIT(IG3,","))&amp;",",","&amp;SUBSTITUTE(input_story_type," ","")&amp;",")))=COUNTA(TEXTSPLIT(IG3,",")))))</f>
        <v/>
      </c>
      <c r="JQ3" s="19">
        <f>AND(IF(II3="",TRUE,IF(input_topics="",FALSE,SUMPRODUCT(--ISNUMBER(SEARCH(","&amp;TRIM(TEXTSPLIT(II3,","))&amp;",",","&amp;SUBSTITUTE(input_topics," ","")&amp;",")))&gt;0)),IF(IK3="",TRUE,IF(input_topics="",FALSE,SUMPRODUCT(--ISNUMBER(SEARCH(","&amp;TRIM(TEXTSPLIT(IK3,","))&amp;",",","&amp;SUBSTITUTE(input_topics," ","")&amp;",")))=COUNTA(TEXTSPLIT(IK3,",")))),IF(IM3="",TRUE,IF(input_topics="",TRUE,SUMPRODUCT(--ISNUMBER(SEARCH(","&amp;TRIM(TEXTSPLIT(IM3,","))&amp;",",","&amp;SUBSTITUTE(input_topics," ","")&amp;",")))=0)),IF(IO3="",TRUE,IF(input_topics="",FALSE,SUMPRODUCT(--ISNUMBER(SEARCH(","&amp;TRIM(TEXTSPLIT(IO3,","))&amp;",",","&amp;SUBSTITUTE(input_topics," ","")&amp;",")))&gt;0)),IF(IQ3="",TRUE,IF(input_topics="",FALSE,SUMPRODUCT(--ISNUMBER(SEARCH(","&amp;TRIM(TEXTSPLIT(IQ3,","))&amp;",",","&amp;SUBSTITUTE(input_topics," ","")&amp;",")))=COUNTA(TEXTSPLIT(IQ3,",")))))</f>
        <v/>
      </c>
    </row>
    <row r="4">
      <c r="A4" s="24">
        <f>IF(NOT(IS4),"Excluded",IF(AND(IT4,IU4,IV4,IW4,IX4,IY4,IZ4,JA4,JB4,JC4,JD4,JE4,JF4,JG4,JH4,JI4,JJ4,JK4,JL4,JM4,JN4,JO4,JP4,JQ4),IF(I4&gt;0,"Eligible but limited","Will appear"),"Excluded"))</f>
        <v/>
      </c>
      <c r="B4" s="24" t="inlineStr">
        <is>
          <t>Admissions Events</t>
        </is>
      </c>
      <c r="C4" s="27" t="inlineStr">
        <is>
          <t>/centers/the-broad-center/masters-degree-in-public-education-management/admissions-events</t>
        </is>
      </c>
      <c r="D4" s="24" t="inlineStr">
        <is>
          <t>/centers/the-broad-center/masters-degree-in-public-education-management/admissions-events</t>
        </is>
      </c>
      <c r="E4" s="24" t="n">
        <v>1</v>
      </c>
      <c r="F4" s="24" t="inlineStr">
        <is>
          <t>event</t>
        </is>
      </c>
      <c r="G4" s="24" t="inlineStr">
        <is>
          <t>event_list</t>
        </is>
      </c>
      <c r="H4" s="24" t="inlineStr">
        <is>
          <t>embed_no_filters</t>
        </is>
      </c>
      <c r="I4" s="24" t="n">
        <v>8</v>
      </c>
      <c r="J4" s="28" t="inlineStr">
        <is>
          <t>Explicit args</t>
        </is>
      </c>
      <c r="K4" s="24" t="inlineStr">
        <is>
          <t>Page placement</t>
        </is>
      </c>
      <c r="L4" s="24" t="inlineStr">
        <is>
          <t>Content type: event; Context uses Program: Master’s Degree in Public Education Management (85), Master's Degree in Public Education Management (1011); Limited to 8 item(s); Source: Explicit args</t>
        </is>
      </c>
      <c r="HK4" s="19" t="inlineStr">
        <is>
          <t>85, 1011</t>
        </is>
      </c>
      <c r="HL4" s="19" t="inlineStr">
        <is>
          <t>Master’s Degree in Public Education Management (85), Master's Degree in Public Education Management (1011)</t>
        </is>
      </c>
      <c r="IS4" s="19">
        <f>IF(input_content_type="",FALSE,ISNUMBER(SEARCH(","&amp;LOWER(input_content_type)&amp;",",","&amp;LOWER(SUBSTITUTE(F4," ",""))&amp;",")))</f>
        <v/>
      </c>
      <c r="IT4" s="19">
        <f>AND(IF(M4="",TRUE,IF(input_affiliations="",FALSE,SUMPRODUCT(--ISNUMBER(SEARCH(","&amp;TRIM(TEXTSPLIT(M4,","))&amp;",",","&amp;SUBSTITUTE(input_affiliations," ","")&amp;",")))&gt;0)),IF(O4="",TRUE,IF(input_affiliations="",FALSE,SUMPRODUCT(--ISNUMBER(SEARCH(","&amp;TRIM(TEXTSPLIT(O4,","))&amp;",",","&amp;SUBSTITUTE(input_affiliations," ","")&amp;",")))=COUNTA(TEXTSPLIT(O4,",")))),IF(Q4="",TRUE,IF(input_affiliations="",TRUE,SUMPRODUCT(--ISNUMBER(SEARCH(","&amp;TRIM(TEXTSPLIT(Q4,","))&amp;",",","&amp;SUBSTITUTE(input_affiliations," ","")&amp;",")))=0)),IF(S4="",TRUE,IF(input_affiliations="",FALSE,SUMPRODUCT(--ISNUMBER(SEARCH(","&amp;TRIM(TEXTSPLIT(S4,","))&amp;",",","&amp;SUBSTITUTE(input_affiliations," ","")&amp;",")))&gt;0)),IF(U4="",TRUE,IF(input_affiliations="",FALSE,SUMPRODUCT(--ISNUMBER(SEARCH(","&amp;TRIM(TEXTSPLIT(U4,","))&amp;",",","&amp;SUBSTITUTE(input_affiliations," ","")&amp;",")))=COUNTA(TEXTSPLIT(U4,",")))))</f>
        <v/>
      </c>
      <c r="IU4" s="19">
        <f>AND(IF(W4="",TRUE,IF(input_announcement_category="",FALSE,SUMPRODUCT(--ISNUMBER(SEARCH(","&amp;TRIM(TEXTSPLIT(W4,","))&amp;",",","&amp;SUBSTITUTE(input_announcement_category," ","")&amp;",")))&gt;0)),IF(Y4="",TRUE,IF(input_announcement_category="",FALSE,SUMPRODUCT(--ISNUMBER(SEARCH(","&amp;TRIM(TEXTSPLIT(Y4,","))&amp;",",","&amp;SUBSTITUTE(input_announcement_category," ","")&amp;",")))=COUNTA(TEXTSPLIT(Y4,",")))),IF(AA4="",TRUE,IF(input_announcement_category="",TRUE,SUMPRODUCT(--ISNUMBER(SEARCH(","&amp;TRIM(TEXTSPLIT(AA4,","))&amp;",",","&amp;SUBSTITUTE(input_announcement_category," ","")&amp;",")))=0)),IF(AC4="",TRUE,IF(input_announcement_category="",FALSE,SUMPRODUCT(--ISNUMBER(SEARCH(","&amp;TRIM(TEXTSPLIT(AC4,","))&amp;",",","&amp;SUBSTITUTE(input_announcement_category," ","")&amp;",")))&gt;0)),IF(AE4="",TRUE,IF(input_announcement_category="",FALSE,SUMPRODUCT(--ISNUMBER(SEARCH(","&amp;TRIM(TEXTSPLIT(AE4,","))&amp;",",","&amp;SUBSTITUTE(input_announcement_category," ","")&amp;",")))=COUNTA(TEXTSPLIT(AE4,",")))))</f>
        <v/>
      </c>
      <c r="IV4" s="19">
        <f>AND(IF(AG4="",TRUE,IF(input_area_of_focus="",FALSE,SUMPRODUCT(--ISNUMBER(SEARCH(","&amp;TRIM(TEXTSPLIT(AG4,","))&amp;",",","&amp;SUBSTITUTE(input_area_of_focus," ","")&amp;",")))&gt;0)),IF(AI4="",TRUE,IF(input_area_of_focus="",FALSE,SUMPRODUCT(--ISNUMBER(SEARCH(","&amp;TRIM(TEXTSPLIT(AI4,","))&amp;",",","&amp;SUBSTITUTE(input_area_of_focus," ","")&amp;",")))=COUNTA(TEXTSPLIT(AI4,",")))),IF(AK4="",TRUE,IF(input_area_of_focus="",TRUE,SUMPRODUCT(--ISNUMBER(SEARCH(","&amp;TRIM(TEXTSPLIT(AK4,","))&amp;",",","&amp;SUBSTITUTE(input_area_of_focus," ","")&amp;",")))=0)),IF(AM4="",TRUE,IF(input_area_of_focus="",FALSE,SUMPRODUCT(--ISNUMBER(SEARCH(","&amp;TRIM(TEXTSPLIT(AM4,","))&amp;",",","&amp;SUBSTITUTE(input_area_of_focus," ","")&amp;",")))&gt;0)),IF(AO4="",TRUE,IF(input_area_of_focus="",FALSE,SUMPRODUCT(--ISNUMBER(SEARCH(","&amp;TRIM(TEXTSPLIT(AO4,","))&amp;",",","&amp;SUBSTITUTE(input_area_of_focus," ","")&amp;",")))=COUNTA(TEXTSPLIT(AO4,",")))))</f>
        <v/>
      </c>
      <c r="IW4" s="19">
        <f>AND(IF(AQ4="",TRUE,IF(input_audience="",FALSE,SUMPRODUCT(--ISNUMBER(SEARCH(","&amp;TRIM(TEXTSPLIT(AQ4,","))&amp;",",","&amp;SUBSTITUTE(input_audience," ","")&amp;",")))&gt;0)),IF(AS4="",TRUE,IF(input_audience="",FALSE,SUMPRODUCT(--ISNUMBER(SEARCH(","&amp;TRIM(TEXTSPLIT(AS4,","))&amp;",",","&amp;SUBSTITUTE(input_audience," ","")&amp;",")))=COUNTA(TEXTSPLIT(AS4,",")))),IF(AU4="",TRUE,IF(input_audience="",TRUE,SUMPRODUCT(--ISNUMBER(SEARCH(","&amp;TRIM(TEXTSPLIT(AU4,","))&amp;",",","&amp;SUBSTITUTE(input_audience," ","")&amp;",")))=0)),IF(AW4="",TRUE,IF(input_audience="",FALSE,SUMPRODUCT(--ISNUMBER(SEARCH(","&amp;TRIM(TEXTSPLIT(AW4,","))&amp;",",","&amp;SUBSTITUTE(input_audience," ","")&amp;",")))&gt;0)),IF(AY4="",TRUE,IF(input_audience="",FALSE,SUMPRODUCT(--ISNUMBER(SEARCH(","&amp;TRIM(TEXTSPLIT(AY4,","))&amp;",",","&amp;SUBSTITUTE(input_audience," ","")&amp;",")))=COUNTA(TEXTSPLIT(AY4,",")))))</f>
        <v/>
      </c>
      <c r="IX4" s="19">
        <f>AND(IF(BA4="",TRUE,IF(input_challenge_opportunities="",FALSE,SUMPRODUCT(--ISNUMBER(SEARCH(","&amp;TRIM(TEXTSPLIT(BA4,","))&amp;",",","&amp;SUBSTITUTE(input_challenge_opportunities," ","")&amp;",")))&gt;0)),IF(BC4="",TRUE,IF(input_challenge_opportunities="",FALSE,SUMPRODUCT(--ISNUMBER(SEARCH(","&amp;TRIM(TEXTSPLIT(BC4,","))&amp;",",","&amp;SUBSTITUTE(input_challenge_opportunities," ","")&amp;",")))=COUNTA(TEXTSPLIT(BC4,",")))),IF(BE4="",TRUE,IF(input_challenge_opportunities="",TRUE,SUMPRODUCT(--ISNUMBER(SEARCH(","&amp;TRIM(TEXTSPLIT(BE4,","))&amp;",",","&amp;SUBSTITUTE(input_challenge_opportunities," ","")&amp;",")))=0)),IF(BG4="",TRUE,IF(input_challenge_opportunities="",FALSE,SUMPRODUCT(--ISNUMBER(SEARCH(","&amp;TRIM(TEXTSPLIT(BG4,","))&amp;",",","&amp;SUBSTITUTE(input_challenge_opportunities," ","")&amp;",")))&gt;0)),IF(BI4="",TRUE,IF(input_challenge_opportunities="",FALSE,SUMPRODUCT(--ISNUMBER(SEARCH(","&amp;TRIM(TEXTSPLIT(BI4,","))&amp;",",","&amp;SUBSTITUTE(input_challenge_opportunities," ","")&amp;",")))=COUNTA(TEXTSPLIT(BI4,",")))))</f>
        <v/>
      </c>
      <c r="IY4" s="19">
        <f>AND(IF(BK4="",TRUE,IF(input_context="",FALSE,SUMPRODUCT(--ISNUMBER(SEARCH(","&amp;TRIM(TEXTSPLIT(BK4,","))&amp;",",","&amp;SUBSTITUTE(input_context," ","")&amp;",")))&gt;0)),IF(BM4="",TRUE,IF(input_context="",FALSE,SUMPRODUCT(--ISNUMBER(SEARCH(","&amp;TRIM(TEXTSPLIT(BM4,","))&amp;",",","&amp;SUBSTITUTE(input_context," ","")&amp;",")))=COUNTA(TEXTSPLIT(BM4,",")))),IF(BO4="",TRUE,IF(input_context="",TRUE,SUMPRODUCT(--ISNUMBER(SEARCH(","&amp;TRIM(TEXTSPLIT(BO4,","))&amp;",",","&amp;SUBSTITUTE(input_context," ","")&amp;",")))=0)),IF(BQ4="",TRUE,IF(input_context="",FALSE,SUMPRODUCT(--ISNUMBER(SEARCH(","&amp;TRIM(TEXTSPLIT(BQ4,","))&amp;",",","&amp;SUBSTITUTE(input_context," ","")&amp;",")))&gt;0)),IF(BS4="",TRUE,IF(input_context="",FALSE,SUMPRODUCT(--ISNUMBER(SEARCH(","&amp;TRIM(TEXTSPLIT(BS4,","))&amp;",",","&amp;SUBSTITUTE(input_context," ","")&amp;",")))=COUNTA(TEXTSPLIT(BS4,",")))))</f>
        <v/>
      </c>
      <c r="IZ4" s="19">
        <f>AND(IF(BU4="",TRUE,IF(input_enews_announcement_type="",FALSE,SUMPRODUCT(--ISNUMBER(SEARCH(","&amp;TRIM(TEXTSPLIT(BU4,","))&amp;",",","&amp;SUBSTITUTE(input_enews_announcement_type," ","")&amp;",")))&gt;0)),IF(BW4="",TRUE,IF(input_enews_announcement_type="",FALSE,SUMPRODUCT(--ISNUMBER(SEARCH(","&amp;TRIM(TEXTSPLIT(BW4,","))&amp;",",","&amp;SUBSTITUTE(input_enews_announcement_type," ","")&amp;",")))=COUNTA(TEXTSPLIT(BW4,",")))),IF(BY4="",TRUE,IF(input_enews_announcement_type="",TRUE,SUMPRODUCT(--ISNUMBER(SEARCH(","&amp;TRIM(TEXTSPLIT(BY4,","))&amp;",",","&amp;SUBSTITUTE(input_enews_announcement_type," ","")&amp;",")))=0)),IF(CA4="",TRUE,IF(input_enews_announcement_type="",FALSE,SUMPRODUCT(--ISNUMBER(SEARCH(","&amp;TRIM(TEXTSPLIT(CA4,","))&amp;",",","&amp;SUBSTITUTE(input_enews_announcement_type," ","")&amp;",")))&gt;0)),IF(CC4="",TRUE,IF(input_enews_announcement_type="",FALSE,SUMPRODUCT(--ISNUMBER(SEARCH(","&amp;TRIM(TEXTSPLIT(CC4,","))&amp;",",","&amp;SUBSTITUTE(input_enews_announcement_type," ","")&amp;",")))=COUNTA(TEXTSPLIT(CC4,",")))))</f>
        <v/>
      </c>
      <c r="JA4" s="19">
        <f>AND(IF(CE4="",TRUE,IF(input_enews_audience="",FALSE,SUMPRODUCT(--ISNUMBER(SEARCH(","&amp;TRIM(TEXTSPLIT(CE4,","))&amp;",",","&amp;SUBSTITUTE(input_enews_audience," ","")&amp;",")))&gt;0)),IF(CG4="",TRUE,IF(input_enews_audience="",FALSE,SUMPRODUCT(--ISNUMBER(SEARCH(","&amp;TRIM(TEXTSPLIT(CG4,","))&amp;",",","&amp;SUBSTITUTE(input_enews_audience," ","")&amp;",")))=COUNTA(TEXTSPLIT(CG4,",")))),IF(CI4="",TRUE,IF(input_enews_audience="",TRUE,SUMPRODUCT(--ISNUMBER(SEARCH(","&amp;TRIM(TEXTSPLIT(CI4,","))&amp;",",","&amp;SUBSTITUTE(input_enews_audience," ","")&amp;",")))=0)),IF(CK4="",TRUE,IF(input_enews_audience="",FALSE,SUMPRODUCT(--ISNUMBER(SEARCH(","&amp;TRIM(TEXTSPLIT(CK4,","))&amp;",",","&amp;SUBSTITUTE(input_enews_audience," ","")&amp;",")))&gt;0)),IF(CM4="",TRUE,IF(input_enews_audience="",FALSE,SUMPRODUCT(--ISNUMBER(SEARCH(","&amp;TRIM(TEXTSPLIT(CM4,","))&amp;",",","&amp;SUBSTITUTE(input_enews_audience," ","")&amp;",")))=COUNTA(TEXTSPLIT(CM4,",")))))</f>
        <v/>
      </c>
      <c r="JB4" s="19">
        <f>AND(IF(CO4="",TRUE,IF(input_event_location="",FALSE,SUMPRODUCT(--ISNUMBER(SEARCH(","&amp;TRIM(TEXTSPLIT(CO4,","))&amp;",",","&amp;SUBSTITUTE(input_event_location," ","")&amp;",")))&gt;0)),IF(CQ4="",TRUE,IF(input_event_location="",FALSE,SUMPRODUCT(--ISNUMBER(SEARCH(","&amp;TRIM(TEXTSPLIT(CQ4,","))&amp;",",","&amp;SUBSTITUTE(input_event_location," ","")&amp;",")))=COUNTA(TEXTSPLIT(CQ4,",")))),IF(CS4="",TRUE,IF(input_event_location="",TRUE,SUMPRODUCT(--ISNUMBER(SEARCH(","&amp;TRIM(TEXTSPLIT(CS4,","))&amp;",",","&amp;SUBSTITUTE(input_event_location," ","")&amp;",")))=0)),IF(CU4="",TRUE,IF(input_event_location="",FALSE,SUMPRODUCT(--ISNUMBER(SEARCH(","&amp;TRIM(TEXTSPLIT(CU4,","))&amp;",",","&amp;SUBSTITUTE(input_event_location," ","")&amp;",")))&gt;0)),IF(CW4="",TRUE,IF(input_event_location="",FALSE,SUMPRODUCT(--ISNUMBER(SEARCH(","&amp;TRIM(TEXTSPLIT(CW4,","))&amp;",",","&amp;SUBSTITUTE(input_event_location," ","")&amp;",")))=COUNTA(TEXTSPLIT(CW4,",")))))</f>
        <v/>
      </c>
      <c r="JC4" s="19">
        <f>AND(IF(CY4="",TRUE,IF(input_event_type="",FALSE,SUMPRODUCT(--ISNUMBER(SEARCH(","&amp;TRIM(TEXTSPLIT(CY4,","))&amp;",",","&amp;SUBSTITUTE(input_event_type," ","")&amp;",")))&gt;0)),IF(DA4="",TRUE,IF(input_event_type="",FALSE,SUMPRODUCT(--ISNUMBER(SEARCH(","&amp;TRIM(TEXTSPLIT(DA4,","))&amp;",",","&amp;SUBSTITUTE(input_event_type," ","")&amp;",")))=COUNTA(TEXTSPLIT(DA4,",")))),IF(DC4="",TRUE,IF(input_event_type="",TRUE,SUMPRODUCT(--ISNUMBER(SEARCH(","&amp;TRIM(TEXTSPLIT(DC4,","))&amp;",",","&amp;SUBSTITUTE(input_event_type," ","")&amp;",")))=0)),IF(DE4="",TRUE,IF(input_event_type="",FALSE,SUMPRODUCT(--ISNUMBER(SEARCH(","&amp;TRIM(TEXTSPLIT(DE4,","))&amp;",",","&amp;SUBSTITUTE(input_event_type," ","")&amp;",")))&gt;0)),IF(DG4="",TRUE,IF(input_event_type="",FALSE,SUMPRODUCT(--ISNUMBER(SEARCH(","&amp;TRIM(TEXTSPLIT(DG4,","))&amp;",",","&amp;SUBSTITUTE(input_event_type," ","")&amp;",")))=COUNTA(TEXTSPLIT(DG4,",")))))</f>
        <v/>
      </c>
      <c r="JD4" s="19">
        <f>AND(IF(DI4="",TRUE,IF(input_executive_education_focus="",FALSE,SUMPRODUCT(--ISNUMBER(SEARCH(","&amp;TRIM(TEXTSPLIT(DI4,","))&amp;",",","&amp;SUBSTITUTE(input_executive_education_focus," ","")&amp;",")))&gt;0)),IF(DK4="",TRUE,IF(input_executive_education_focus="",FALSE,SUMPRODUCT(--ISNUMBER(SEARCH(","&amp;TRIM(TEXTSPLIT(DK4,","))&amp;",",","&amp;SUBSTITUTE(input_executive_education_focus," ","")&amp;",")))=COUNTA(TEXTSPLIT(DK4,",")))),IF(DM4="",TRUE,IF(input_executive_education_focus="",TRUE,SUMPRODUCT(--ISNUMBER(SEARCH(","&amp;TRIM(TEXTSPLIT(DM4,","))&amp;",",","&amp;SUBSTITUTE(input_executive_education_focus," ","")&amp;",")))=0)),IF(DO4="",TRUE,IF(input_executive_education_focus="",FALSE,SUMPRODUCT(--ISNUMBER(SEARCH(","&amp;TRIM(TEXTSPLIT(DO4,","))&amp;",",","&amp;SUBSTITUTE(input_executive_education_focus," ","")&amp;",")))&gt;0)),IF(DQ4="",TRUE,IF(input_executive_education_focus="",FALSE,SUMPRODUCT(--ISNUMBER(SEARCH(","&amp;TRIM(TEXTSPLIT(DQ4,","))&amp;",",","&amp;SUBSTITUTE(input_executive_education_focus," ","")&amp;",")))=COUNTA(TEXTSPLIT(DQ4,",")))))</f>
        <v/>
      </c>
      <c r="JE4" s="19">
        <f>AND(IF(DS4="",TRUE,IF(input_faculty_category="",FALSE,SUMPRODUCT(--ISNUMBER(SEARCH(","&amp;TRIM(TEXTSPLIT(DS4,","))&amp;",",","&amp;SUBSTITUTE(input_faculty_category," ","")&amp;",")))&gt;0)),IF(DU4="",TRUE,IF(input_faculty_category="",FALSE,SUMPRODUCT(--ISNUMBER(SEARCH(","&amp;TRIM(TEXTSPLIT(DU4,","))&amp;",",","&amp;SUBSTITUTE(input_faculty_category," ","")&amp;",")))=COUNTA(TEXTSPLIT(DU4,",")))),IF(DW4="",TRUE,IF(input_faculty_category="",TRUE,SUMPRODUCT(--ISNUMBER(SEARCH(","&amp;TRIM(TEXTSPLIT(DW4,","))&amp;",",","&amp;SUBSTITUTE(input_faculty_category," ","")&amp;",")))=0)),IF(DY4="",TRUE,IF(input_faculty_category="",FALSE,SUMPRODUCT(--ISNUMBER(SEARCH(","&amp;TRIM(TEXTSPLIT(DY4,","))&amp;",",","&amp;SUBSTITUTE(input_faculty_category," ","")&amp;",")))&gt;0)),IF(EA4="",TRUE,IF(input_faculty_category="",FALSE,SUMPRODUCT(--ISNUMBER(SEARCH(","&amp;TRIM(TEXTSPLIT(EA4,","))&amp;",",","&amp;SUBSTITUTE(input_faculty_category," ","")&amp;",")))=COUNTA(TEXTSPLIT(EA4,",")))))</f>
        <v/>
      </c>
      <c r="JF4" s="19">
        <f>AND(IF(EC4="",TRUE,IF(input_faculty_discipline="",FALSE,SUMPRODUCT(--ISNUMBER(SEARCH(","&amp;TRIM(TEXTSPLIT(EC4,","))&amp;",",","&amp;SUBSTITUTE(input_faculty_discipline," ","")&amp;",")))&gt;0)),IF(EE4="",TRUE,IF(input_faculty_discipline="",FALSE,SUMPRODUCT(--ISNUMBER(SEARCH(","&amp;TRIM(TEXTSPLIT(EE4,","))&amp;",",","&amp;SUBSTITUTE(input_faculty_discipline," ","")&amp;",")))=COUNTA(TEXTSPLIT(EE4,",")))),IF(EG4="",TRUE,IF(input_faculty_discipline="",TRUE,SUMPRODUCT(--ISNUMBER(SEARCH(","&amp;TRIM(TEXTSPLIT(EG4,","))&amp;",",","&amp;SUBSTITUTE(input_faculty_discipline," ","")&amp;",")))=0)),IF(EI4="",TRUE,IF(input_faculty_discipline="",FALSE,SUMPRODUCT(--ISNUMBER(SEARCH(","&amp;TRIM(TEXTSPLIT(EI4,","))&amp;",",","&amp;SUBSTITUTE(input_faculty_discipline," ","")&amp;",")))&gt;0)),IF(EK4="",TRUE,IF(input_faculty_discipline="",FALSE,SUMPRODUCT(--ISNUMBER(SEARCH(","&amp;TRIM(TEXTSPLIT(EK4,","))&amp;",",","&amp;SUBSTITUTE(input_faculty_discipline," ","")&amp;",")))=COUNTA(TEXTSPLIT(EK4,",")))))</f>
        <v/>
      </c>
      <c r="JG4" s="19">
        <f>AND(IF(EM4="",TRUE,IF(input_faculty_expertise="",FALSE,SUMPRODUCT(--ISNUMBER(SEARCH(","&amp;TRIM(TEXTSPLIT(EM4,","))&amp;",",","&amp;SUBSTITUTE(input_faculty_expertise," ","")&amp;",")))&gt;0)),IF(EO4="",TRUE,IF(input_faculty_expertise="",FALSE,SUMPRODUCT(--ISNUMBER(SEARCH(","&amp;TRIM(TEXTSPLIT(EO4,","))&amp;",",","&amp;SUBSTITUTE(input_faculty_expertise," ","")&amp;",")))=COUNTA(TEXTSPLIT(EO4,",")))),IF(EQ4="",TRUE,IF(input_faculty_expertise="",TRUE,SUMPRODUCT(--ISNUMBER(SEARCH(","&amp;TRIM(TEXTSPLIT(EQ4,","))&amp;",",","&amp;SUBSTITUTE(input_faculty_expertise," ","")&amp;",")))=0)),IF(ES4="",TRUE,IF(input_faculty_expertise="",FALSE,SUMPRODUCT(--ISNUMBER(SEARCH(","&amp;TRIM(TEXTSPLIT(ES4,","))&amp;",",","&amp;SUBSTITUTE(input_faculty_expertise," ","")&amp;",")))&gt;0)),IF(EU4="",TRUE,IF(input_faculty_expertise="",FALSE,SUMPRODUCT(--ISNUMBER(SEARCH(","&amp;TRIM(TEXTSPLIT(EU4,","))&amp;",",","&amp;SUBSTITUTE(input_faculty_expertise," ","")&amp;",")))=COUNTA(TEXTSPLIT(EU4,",")))))</f>
        <v/>
      </c>
      <c r="JH4" s="19">
        <f>AND(IF(EW4="",TRUE,IF(input_global_network_school="",FALSE,SUMPRODUCT(--ISNUMBER(SEARCH(","&amp;TRIM(TEXTSPLIT(EW4,","))&amp;",",","&amp;SUBSTITUTE(input_global_network_school," ","")&amp;",")))&gt;0)),IF(EY4="",TRUE,IF(input_global_network_school="",FALSE,SUMPRODUCT(--ISNUMBER(SEARCH(","&amp;TRIM(TEXTSPLIT(EY4,","))&amp;",",","&amp;SUBSTITUTE(input_global_network_school," ","")&amp;",")))=COUNTA(TEXTSPLIT(EY4,",")))),IF(FA4="",TRUE,IF(input_global_network_school="",TRUE,SUMPRODUCT(--ISNUMBER(SEARCH(","&amp;TRIM(TEXTSPLIT(FA4,","))&amp;",",","&amp;SUBSTITUTE(input_global_network_school," ","")&amp;",")))=0)),IF(FC4="",TRUE,IF(input_global_network_school="",FALSE,SUMPRODUCT(--ISNUMBER(SEARCH(","&amp;TRIM(TEXTSPLIT(FC4,","))&amp;",",","&amp;SUBSTITUTE(input_global_network_school," ","")&amp;",")))&gt;0)),IF(FE4="",TRUE,IF(input_global_network_school="",FALSE,SUMPRODUCT(--ISNUMBER(SEARCH(","&amp;TRIM(TEXTSPLIT(FE4,","))&amp;",",","&amp;SUBSTITUTE(input_global_network_school," ","")&amp;",")))=COUNTA(TEXTSPLIT(FE4,",")))))</f>
        <v/>
      </c>
      <c r="JI4" s="19">
        <f>AND(IF(FG4="",TRUE,IF(input_industry="",FALSE,SUMPRODUCT(--ISNUMBER(SEARCH(","&amp;TRIM(TEXTSPLIT(FG4,","))&amp;",",","&amp;SUBSTITUTE(input_industry," ","")&amp;",")))&gt;0)),IF(FI4="",TRUE,IF(input_industry="",FALSE,SUMPRODUCT(--ISNUMBER(SEARCH(","&amp;TRIM(TEXTSPLIT(FI4,","))&amp;",",","&amp;SUBSTITUTE(input_industry," ","")&amp;",")))=COUNTA(TEXTSPLIT(FI4,",")))),IF(FK4="",TRUE,IF(input_industry="",TRUE,SUMPRODUCT(--ISNUMBER(SEARCH(","&amp;TRIM(TEXTSPLIT(FK4,","))&amp;",",","&amp;SUBSTITUTE(input_industry," ","")&amp;",")))=0)),IF(FM4="",TRUE,IF(input_industry="",FALSE,SUMPRODUCT(--ISNUMBER(SEARCH(","&amp;TRIM(TEXTSPLIT(FM4,","))&amp;",",","&amp;SUBSTITUTE(input_industry," ","")&amp;",")))&gt;0)),IF(FO4="",TRUE,IF(input_industry="",FALSE,SUMPRODUCT(--ISNUMBER(SEARCH(","&amp;TRIM(TEXTSPLIT(FO4,","))&amp;",",","&amp;SUBSTITUTE(input_industry," ","")&amp;",")))=COUNTA(TEXTSPLIT(FO4,",")))))</f>
        <v/>
      </c>
      <c r="JJ4" s="19">
        <f>AND(IF(FQ4="",TRUE,IF(input_location="",FALSE,SUMPRODUCT(--ISNUMBER(SEARCH(","&amp;TRIM(TEXTSPLIT(FQ4,","))&amp;",",","&amp;SUBSTITUTE(input_location," ","")&amp;",")))&gt;0)),IF(FS4="",TRUE,IF(input_location="",FALSE,SUMPRODUCT(--ISNUMBER(SEARCH(","&amp;TRIM(TEXTSPLIT(FS4,","))&amp;",",","&amp;SUBSTITUTE(input_location," ","")&amp;",")))=COUNTA(TEXTSPLIT(FS4,",")))),IF(FU4="",TRUE,IF(input_location="",TRUE,SUMPRODUCT(--ISNUMBER(SEARCH(","&amp;TRIM(TEXTSPLIT(FU4,","))&amp;",",","&amp;SUBSTITUTE(input_location," ","")&amp;",")))=0)),IF(FW4="",TRUE,IF(input_location="",FALSE,SUMPRODUCT(--ISNUMBER(SEARCH(","&amp;TRIM(TEXTSPLIT(FW4,","))&amp;",",","&amp;SUBSTITUTE(input_location," ","")&amp;",")))&gt;0)),IF(FY4="",TRUE,IF(input_location="",FALSE,SUMPRODUCT(--ISNUMBER(SEARCH(","&amp;TRIM(TEXTSPLIT(FY4,","))&amp;",",","&amp;SUBSTITUTE(input_location," ","")&amp;",")))=COUNTA(TEXTSPLIT(FY4,",")))))</f>
        <v/>
      </c>
      <c r="JK4" s="19">
        <f>AND(IF(GA4="",TRUE,IF(input_modality="",FALSE,SUMPRODUCT(--ISNUMBER(SEARCH(","&amp;TRIM(TEXTSPLIT(GA4,","))&amp;",",","&amp;SUBSTITUTE(input_modality," ","")&amp;",")))&gt;0)),IF(GC4="",TRUE,IF(input_modality="",FALSE,SUMPRODUCT(--ISNUMBER(SEARCH(","&amp;TRIM(TEXTSPLIT(GC4,","))&amp;",",","&amp;SUBSTITUTE(input_modality," ","")&amp;",")))=COUNTA(TEXTSPLIT(GC4,",")))),IF(GE4="",TRUE,IF(input_modality="",TRUE,SUMPRODUCT(--ISNUMBER(SEARCH(","&amp;TRIM(TEXTSPLIT(GE4,","))&amp;",",","&amp;SUBSTITUTE(input_modality," ","")&amp;",")))=0)),IF(GG4="",TRUE,IF(input_modality="",FALSE,SUMPRODUCT(--ISNUMBER(SEARCH(","&amp;TRIM(TEXTSPLIT(GG4,","))&amp;",",","&amp;SUBSTITUTE(input_modality," ","")&amp;",")))&gt;0)),IF(GI4="",TRUE,IF(input_modality="",FALSE,SUMPRODUCT(--ISNUMBER(SEARCH(","&amp;TRIM(TEXTSPLIT(GI4,","))&amp;",",","&amp;SUBSTITUTE(input_modality," ","")&amp;",")))=COUNTA(TEXTSPLIT(GI4,",")))))</f>
        <v/>
      </c>
      <c r="JL4" s="19">
        <f>AND(IF(GK4="",TRUE,IF(input_organizer="",FALSE,SUMPRODUCT(--ISNUMBER(SEARCH(","&amp;TRIM(TEXTSPLIT(GK4,","))&amp;",",","&amp;SUBSTITUTE(input_organizer," ","")&amp;",")))&gt;0)),IF(GM4="",TRUE,IF(input_organizer="",FALSE,SUMPRODUCT(--ISNUMBER(SEARCH(","&amp;TRIM(TEXTSPLIT(GM4,","))&amp;",",","&amp;SUBSTITUTE(input_organizer," ","")&amp;",")))=COUNTA(TEXTSPLIT(GM4,",")))),IF(GO4="",TRUE,IF(input_organizer="",TRUE,SUMPRODUCT(--ISNUMBER(SEARCH(","&amp;TRIM(TEXTSPLIT(GO4,","))&amp;",",","&amp;SUBSTITUTE(input_organizer," ","")&amp;",")))=0)),IF(GQ4="",TRUE,IF(input_organizer="",FALSE,SUMPRODUCT(--ISNUMBER(SEARCH(","&amp;TRIM(TEXTSPLIT(GQ4,","))&amp;",",","&amp;SUBSTITUTE(input_organizer," ","")&amp;",")))&gt;0)),IF(GS4="",TRUE,IF(input_organizer="",FALSE,SUMPRODUCT(--ISNUMBER(SEARCH(","&amp;TRIM(TEXTSPLIT(GS4,","))&amp;",",","&amp;SUBSTITUTE(input_organizer," ","")&amp;",")))=COUNTA(TEXTSPLIT(GS4,",")))))</f>
        <v/>
      </c>
      <c r="JM4" s="19">
        <f>AND(IF(GU4="",TRUE,IF(input_profile_type="",FALSE,SUMPRODUCT(--ISNUMBER(SEARCH(","&amp;TRIM(TEXTSPLIT(GU4,","))&amp;",",","&amp;SUBSTITUTE(input_profile_type," ","")&amp;",")))&gt;0)),IF(GW4="",TRUE,IF(input_profile_type="",FALSE,SUMPRODUCT(--ISNUMBER(SEARCH(","&amp;TRIM(TEXTSPLIT(GW4,","))&amp;",",","&amp;SUBSTITUTE(input_profile_type," ","")&amp;",")))=COUNTA(TEXTSPLIT(GW4,",")))),IF(GY4="",TRUE,IF(input_profile_type="",TRUE,SUMPRODUCT(--ISNUMBER(SEARCH(","&amp;TRIM(TEXTSPLIT(GY4,","))&amp;",",","&amp;SUBSTITUTE(input_profile_type," ","")&amp;",")))=0)),IF(HA4="",TRUE,IF(input_profile_type="",FALSE,SUMPRODUCT(--ISNUMBER(SEARCH(","&amp;TRIM(TEXTSPLIT(HA4,","))&amp;",",","&amp;SUBSTITUTE(input_profile_type," ","")&amp;",")))&gt;0)),IF(HC4="",TRUE,IF(input_profile_type="",FALSE,SUMPRODUCT(--ISNUMBER(SEARCH(","&amp;TRIM(TEXTSPLIT(HC4,","))&amp;",",","&amp;SUBSTITUTE(input_profile_type," ","")&amp;",")))=COUNTA(TEXTSPLIT(HC4,",")))))</f>
        <v/>
      </c>
      <c r="JN4" s="19">
        <f>AND(IF(HE4="",TRUE,IF(input_program="",FALSE,SUMPRODUCT(--ISNUMBER(SEARCH(","&amp;TRIM(TEXTSPLIT(HE4,","))&amp;",",","&amp;SUBSTITUTE(input_program," ","")&amp;",")))&gt;0)),IF(HG4="",TRUE,IF(input_program="",FALSE,SUMPRODUCT(--ISNUMBER(SEARCH(","&amp;TRIM(TEXTSPLIT(HG4,","))&amp;",",","&amp;SUBSTITUTE(input_program," ","")&amp;",")))=COUNTA(TEXTSPLIT(HG4,",")))),IF(HI4="",TRUE,IF(input_program="",TRUE,SUMPRODUCT(--ISNUMBER(SEARCH(","&amp;TRIM(TEXTSPLIT(HI4,","))&amp;",",","&amp;SUBSTITUTE(input_program," ","")&amp;",")))=0)),IF(HK4="",TRUE,IF(input_program="",FALSE,SUMPRODUCT(--ISNUMBER(SEARCH(","&amp;TRIM(TEXTSPLIT(HK4,","))&amp;",",","&amp;SUBSTITUTE(input_program," ","")&amp;",")))&gt;0)),IF(HM4="",TRUE,IF(input_program="",FALSE,SUMPRODUCT(--ISNUMBER(SEARCH(","&amp;TRIM(TEXTSPLIT(HM4,","))&amp;",",","&amp;SUBSTITUTE(input_program," ","")&amp;",")))=COUNTA(TEXTSPLIT(HM4,",")))))</f>
        <v/>
      </c>
      <c r="JO4" s="19">
        <f>AND(IF(HO4="",TRUE,IF(input_story_categories="",FALSE,SUMPRODUCT(--ISNUMBER(SEARCH(","&amp;TRIM(TEXTSPLIT(HO4,","))&amp;",",","&amp;SUBSTITUTE(input_story_categories," ","")&amp;",")))&gt;0)),IF(HQ4="",TRUE,IF(input_story_categories="",FALSE,SUMPRODUCT(--ISNUMBER(SEARCH(","&amp;TRIM(TEXTSPLIT(HQ4,","))&amp;",",","&amp;SUBSTITUTE(input_story_categories," ","")&amp;",")))=COUNTA(TEXTSPLIT(HQ4,",")))),IF(HS4="",TRUE,IF(input_story_categories="",TRUE,SUMPRODUCT(--ISNUMBER(SEARCH(","&amp;TRIM(TEXTSPLIT(HS4,","))&amp;",",","&amp;SUBSTITUTE(input_story_categories," ","")&amp;",")))=0)),IF(HU4="",TRUE,IF(input_story_categories="",FALSE,SUMPRODUCT(--ISNUMBER(SEARCH(","&amp;TRIM(TEXTSPLIT(HU4,","))&amp;",",","&amp;SUBSTITUTE(input_story_categories," ","")&amp;",")))&gt;0)),IF(HW4="",TRUE,IF(input_story_categories="",FALSE,SUMPRODUCT(--ISNUMBER(SEARCH(","&amp;TRIM(TEXTSPLIT(HW4,","))&amp;",",","&amp;SUBSTITUTE(input_story_categories," ","")&amp;",")))=COUNTA(TEXTSPLIT(HW4,",")))))</f>
        <v/>
      </c>
      <c r="JP4" s="19">
        <f>AND(IF(HY4="",TRUE,IF(input_story_type="",FALSE,SUMPRODUCT(--ISNUMBER(SEARCH(","&amp;TRIM(TEXTSPLIT(HY4,","))&amp;",",","&amp;SUBSTITUTE(input_story_type," ","")&amp;",")))&gt;0)),IF(IA4="",TRUE,IF(input_story_type="",FALSE,SUMPRODUCT(--ISNUMBER(SEARCH(","&amp;TRIM(TEXTSPLIT(IA4,","))&amp;",",","&amp;SUBSTITUTE(input_story_type," ","")&amp;",")))=COUNTA(TEXTSPLIT(IA4,",")))),IF(IC4="",TRUE,IF(input_story_type="",TRUE,SUMPRODUCT(--ISNUMBER(SEARCH(","&amp;TRIM(TEXTSPLIT(IC4,","))&amp;",",","&amp;SUBSTITUTE(input_story_type," ","")&amp;",")))=0)),IF(IE4="",TRUE,IF(input_story_type="",FALSE,SUMPRODUCT(--ISNUMBER(SEARCH(","&amp;TRIM(TEXTSPLIT(IE4,","))&amp;",",","&amp;SUBSTITUTE(input_story_type," ","")&amp;",")))&gt;0)),IF(IG4="",TRUE,IF(input_story_type="",FALSE,SUMPRODUCT(--ISNUMBER(SEARCH(","&amp;TRIM(TEXTSPLIT(IG4,","))&amp;",",","&amp;SUBSTITUTE(input_story_type," ","")&amp;",")))=COUNTA(TEXTSPLIT(IG4,",")))))</f>
        <v/>
      </c>
      <c r="JQ4" s="19">
        <f>AND(IF(II4="",TRUE,IF(input_topics="",FALSE,SUMPRODUCT(--ISNUMBER(SEARCH(","&amp;TRIM(TEXTSPLIT(II4,","))&amp;",",","&amp;SUBSTITUTE(input_topics," ","")&amp;",")))&gt;0)),IF(IK4="",TRUE,IF(input_topics="",FALSE,SUMPRODUCT(--ISNUMBER(SEARCH(","&amp;TRIM(TEXTSPLIT(IK4,","))&amp;",",","&amp;SUBSTITUTE(input_topics," ","")&amp;",")))=COUNTA(TEXTSPLIT(IK4,",")))),IF(IM4="",TRUE,IF(input_topics="",TRUE,SUMPRODUCT(--ISNUMBER(SEARCH(","&amp;TRIM(TEXTSPLIT(IM4,","))&amp;",",","&amp;SUBSTITUTE(input_topics," ","")&amp;",")))=0)),IF(IO4="",TRUE,IF(input_topics="",FALSE,SUMPRODUCT(--ISNUMBER(SEARCH(","&amp;TRIM(TEXTSPLIT(IO4,","))&amp;",",","&amp;SUBSTITUTE(input_topics," ","")&amp;",")))&gt;0)),IF(IQ4="",TRUE,IF(input_topics="",FALSE,SUMPRODUCT(--ISNUMBER(SEARCH(","&amp;TRIM(TEXTSPLIT(IQ4,","))&amp;",",","&amp;SUBSTITUTE(input_topics," ","")&amp;",")))=COUNTA(TEXTSPLIT(IQ4,",")))))</f>
        <v/>
      </c>
    </row>
    <row r="5">
      <c r="A5" s="24">
        <f>IF(NOT(IS5),"Excluded",IF(AND(IT5,IU5,IV5,IW5,IX5,IY5,IZ5,JA5,JB5,JC5,JD5,JE5,JF5,JG5,JH5,JI5,JJ5,JK5,JL5,JM5,JN5,JO5,JP5,JQ5),IF(I5&gt;0,"Eligible but limited","Will appear"),"Excluded"))</f>
        <v/>
      </c>
      <c r="B5" s="24" t="inlineStr">
        <is>
          <t>Admissions Events</t>
        </is>
      </c>
      <c r="C5" s="27" t="inlineStr">
        <is>
          <t>/programs/mms-asset-management/admissions/admissions-events</t>
        </is>
      </c>
      <c r="D5" s="24" t="inlineStr">
        <is>
          <t>/programs/mms-asset-management/admissions/admissions-events</t>
        </is>
      </c>
      <c r="E5" s="24" t="n">
        <v>1</v>
      </c>
      <c r="F5" s="24" t="inlineStr">
        <is>
          <t>event</t>
        </is>
      </c>
      <c r="G5" s="24" t="inlineStr">
        <is>
          <t>external_event_list</t>
        </is>
      </c>
      <c r="H5" s="24" t="inlineStr">
        <is>
          <t>embed_filter_modality_type_location</t>
        </is>
      </c>
      <c r="I5" s="24" t="n">
        <v>8</v>
      </c>
      <c r="J5" s="28" t="inlineStr">
        <is>
          <t>Explicit args</t>
        </is>
      </c>
      <c r="K5" s="24" t="inlineStr">
        <is>
          <t>Page placement</t>
        </is>
      </c>
      <c r="L5" s="24" t="inlineStr">
        <is>
          <t>Content type: event; Context needs all Courses Context: Master's Degree in Asset Management (930), Admissions Events (994); Needs any Event Type: Admissions Events (994); Limited to 8 item(s); Source: Explicit args</t>
        </is>
      </c>
      <c r="BS5" s="19" t="inlineStr">
        <is>
          <t>930, 994</t>
        </is>
      </c>
      <c r="BT5" s="19" t="inlineStr">
        <is>
          <t>Master's Degree in Asset Management (930), Admissions Events (994)</t>
        </is>
      </c>
      <c r="CY5" s="19" t="inlineStr">
        <is>
          <t>994</t>
        </is>
      </c>
      <c r="CZ5" s="19" t="inlineStr">
        <is>
          <t>Admissions Events (994)</t>
        </is>
      </c>
      <c r="IS5" s="19">
        <f>IF(input_content_type="",FALSE,ISNUMBER(SEARCH(","&amp;LOWER(input_content_type)&amp;",",","&amp;LOWER(SUBSTITUTE(F5," ",""))&amp;",")))</f>
        <v/>
      </c>
      <c r="IT5" s="19">
        <f>AND(IF(M5="",TRUE,IF(input_affiliations="",FALSE,SUMPRODUCT(--ISNUMBER(SEARCH(","&amp;TRIM(TEXTSPLIT(M5,","))&amp;",",","&amp;SUBSTITUTE(input_affiliations," ","")&amp;",")))&gt;0)),IF(O5="",TRUE,IF(input_affiliations="",FALSE,SUMPRODUCT(--ISNUMBER(SEARCH(","&amp;TRIM(TEXTSPLIT(O5,","))&amp;",",","&amp;SUBSTITUTE(input_affiliations," ","")&amp;",")))=COUNTA(TEXTSPLIT(O5,",")))),IF(Q5="",TRUE,IF(input_affiliations="",TRUE,SUMPRODUCT(--ISNUMBER(SEARCH(","&amp;TRIM(TEXTSPLIT(Q5,","))&amp;",",","&amp;SUBSTITUTE(input_affiliations," ","")&amp;",")))=0)),IF(S5="",TRUE,IF(input_affiliations="",FALSE,SUMPRODUCT(--ISNUMBER(SEARCH(","&amp;TRIM(TEXTSPLIT(S5,","))&amp;",",","&amp;SUBSTITUTE(input_affiliations," ","")&amp;",")))&gt;0)),IF(U5="",TRUE,IF(input_affiliations="",FALSE,SUMPRODUCT(--ISNUMBER(SEARCH(","&amp;TRIM(TEXTSPLIT(U5,","))&amp;",",","&amp;SUBSTITUTE(input_affiliations," ","")&amp;",")))=COUNTA(TEXTSPLIT(U5,",")))))</f>
        <v/>
      </c>
      <c r="IU5" s="19">
        <f>AND(IF(W5="",TRUE,IF(input_announcement_category="",FALSE,SUMPRODUCT(--ISNUMBER(SEARCH(","&amp;TRIM(TEXTSPLIT(W5,","))&amp;",",","&amp;SUBSTITUTE(input_announcement_category," ","")&amp;",")))&gt;0)),IF(Y5="",TRUE,IF(input_announcement_category="",FALSE,SUMPRODUCT(--ISNUMBER(SEARCH(","&amp;TRIM(TEXTSPLIT(Y5,","))&amp;",",","&amp;SUBSTITUTE(input_announcement_category," ","")&amp;",")))=COUNTA(TEXTSPLIT(Y5,",")))),IF(AA5="",TRUE,IF(input_announcement_category="",TRUE,SUMPRODUCT(--ISNUMBER(SEARCH(","&amp;TRIM(TEXTSPLIT(AA5,","))&amp;",",","&amp;SUBSTITUTE(input_announcement_category," ","")&amp;",")))=0)),IF(AC5="",TRUE,IF(input_announcement_category="",FALSE,SUMPRODUCT(--ISNUMBER(SEARCH(","&amp;TRIM(TEXTSPLIT(AC5,","))&amp;",",","&amp;SUBSTITUTE(input_announcement_category," ","")&amp;",")))&gt;0)),IF(AE5="",TRUE,IF(input_announcement_category="",FALSE,SUMPRODUCT(--ISNUMBER(SEARCH(","&amp;TRIM(TEXTSPLIT(AE5,","))&amp;",",","&amp;SUBSTITUTE(input_announcement_category," ","")&amp;",")))=COUNTA(TEXTSPLIT(AE5,",")))))</f>
        <v/>
      </c>
      <c r="IV5" s="19">
        <f>AND(IF(AG5="",TRUE,IF(input_area_of_focus="",FALSE,SUMPRODUCT(--ISNUMBER(SEARCH(","&amp;TRIM(TEXTSPLIT(AG5,","))&amp;",",","&amp;SUBSTITUTE(input_area_of_focus," ","")&amp;",")))&gt;0)),IF(AI5="",TRUE,IF(input_area_of_focus="",FALSE,SUMPRODUCT(--ISNUMBER(SEARCH(","&amp;TRIM(TEXTSPLIT(AI5,","))&amp;",",","&amp;SUBSTITUTE(input_area_of_focus," ","")&amp;",")))=COUNTA(TEXTSPLIT(AI5,",")))),IF(AK5="",TRUE,IF(input_area_of_focus="",TRUE,SUMPRODUCT(--ISNUMBER(SEARCH(","&amp;TRIM(TEXTSPLIT(AK5,","))&amp;",",","&amp;SUBSTITUTE(input_area_of_focus," ","")&amp;",")))=0)),IF(AM5="",TRUE,IF(input_area_of_focus="",FALSE,SUMPRODUCT(--ISNUMBER(SEARCH(","&amp;TRIM(TEXTSPLIT(AM5,","))&amp;",",","&amp;SUBSTITUTE(input_area_of_focus," ","")&amp;",")))&gt;0)),IF(AO5="",TRUE,IF(input_area_of_focus="",FALSE,SUMPRODUCT(--ISNUMBER(SEARCH(","&amp;TRIM(TEXTSPLIT(AO5,","))&amp;",",","&amp;SUBSTITUTE(input_area_of_focus," ","")&amp;",")))=COUNTA(TEXTSPLIT(AO5,",")))))</f>
        <v/>
      </c>
      <c r="IW5" s="19">
        <f>AND(IF(AQ5="",TRUE,IF(input_audience="",FALSE,SUMPRODUCT(--ISNUMBER(SEARCH(","&amp;TRIM(TEXTSPLIT(AQ5,","))&amp;",",","&amp;SUBSTITUTE(input_audience," ","")&amp;",")))&gt;0)),IF(AS5="",TRUE,IF(input_audience="",FALSE,SUMPRODUCT(--ISNUMBER(SEARCH(","&amp;TRIM(TEXTSPLIT(AS5,","))&amp;",",","&amp;SUBSTITUTE(input_audience," ","")&amp;",")))=COUNTA(TEXTSPLIT(AS5,",")))),IF(AU5="",TRUE,IF(input_audience="",TRUE,SUMPRODUCT(--ISNUMBER(SEARCH(","&amp;TRIM(TEXTSPLIT(AU5,","))&amp;",",","&amp;SUBSTITUTE(input_audience," ","")&amp;",")))=0)),IF(AW5="",TRUE,IF(input_audience="",FALSE,SUMPRODUCT(--ISNUMBER(SEARCH(","&amp;TRIM(TEXTSPLIT(AW5,","))&amp;",",","&amp;SUBSTITUTE(input_audience," ","")&amp;",")))&gt;0)),IF(AY5="",TRUE,IF(input_audience="",FALSE,SUMPRODUCT(--ISNUMBER(SEARCH(","&amp;TRIM(TEXTSPLIT(AY5,","))&amp;",",","&amp;SUBSTITUTE(input_audience," ","")&amp;",")))=COUNTA(TEXTSPLIT(AY5,",")))))</f>
        <v/>
      </c>
      <c r="IX5" s="19">
        <f>AND(IF(BA5="",TRUE,IF(input_challenge_opportunities="",FALSE,SUMPRODUCT(--ISNUMBER(SEARCH(","&amp;TRIM(TEXTSPLIT(BA5,","))&amp;",",","&amp;SUBSTITUTE(input_challenge_opportunities," ","")&amp;",")))&gt;0)),IF(BC5="",TRUE,IF(input_challenge_opportunities="",FALSE,SUMPRODUCT(--ISNUMBER(SEARCH(","&amp;TRIM(TEXTSPLIT(BC5,","))&amp;",",","&amp;SUBSTITUTE(input_challenge_opportunities," ","")&amp;",")))=COUNTA(TEXTSPLIT(BC5,",")))),IF(BE5="",TRUE,IF(input_challenge_opportunities="",TRUE,SUMPRODUCT(--ISNUMBER(SEARCH(","&amp;TRIM(TEXTSPLIT(BE5,","))&amp;",",","&amp;SUBSTITUTE(input_challenge_opportunities," ","")&amp;",")))=0)),IF(BG5="",TRUE,IF(input_challenge_opportunities="",FALSE,SUMPRODUCT(--ISNUMBER(SEARCH(","&amp;TRIM(TEXTSPLIT(BG5,","))&amp;",",","&amp;SUBSTITUTE(input_challenge_opportunities," ","")&amp;",")))&gt;0)),IF(BI5="",TRUE,IF(input_challenge_opportunities="",FALSE,SUMPRODUCT(--ISNUMBER(SEARCH(","&amp;TRIM(TEXTSPLIT(BI5,","))&amp;",",","&amp;SUBSTITUTE(input_challenge_opportunities," ","")&amp;",")))=COUNTA(TEXTSPLIT(BI5,",")))))</f>
        <v/>
      </c>
      <c r="IY5" s="19">
        <f>AND(IF(BK5="",TRUE,IF(input_context="",FALSE,SUMPRODUCT(--ISNUMBER(SEARCH(","&amp;TRIM(TEXTSPLIT(BK5,","))&amp;",",","&amp;SUBSTITUTE(input_context," ","")&amp;",")))&gt;0)),IF(BM5="",TRUE,IF(input_context="",FALSE,SUMPRODUCT(--ISNUMBER(SEARCH(","&amp;TRIM(TEXTSPLIT(BM5,","))&amp;",",","&amp;SUBSTITUTE(input_context," ","")&amp;",")))=COUNTA(TEXTSPLIT(BM5,",")))),IF(BO5="",TRUE,IF(input_context="",TRUE,SUMPRODUCT(--ISNUMBER(SEARCH(","&amp;TRIM(TEXTSPLIT(BO5,","))&amp;",",","&amp;SUBSTITUTE(input_context," ","")&amp;",")))=0)),IF(BQ5="",TRUE,IF(input_context="",FALSE,SUMPRODUCT(--ISNUMBER(SEARCH(","&amp;TRIM(TEXTSPLIT(BQ5,","))&amp;",",","&amp;SUBSTITUTE(input_context," ","")&amp;",")))&gt;0)),IF(BS5="",TRUE,IF(input_context="",FALSE,SUMPRODUCT(--ISNUMBER(SEARCH(","&amp;TRIM(TEXTSPLIT(BS5,","))&amp;",",","&amp;SUBSTITUTE(input_context," ","")&amp;",")))=COUNTA(TEXTSPLIT(BS5,",")))))</f>
        <v/>
      </c>
      <c r="IZ5" s="19">
        <f>AND(IF(BU5="",TRUE,IF(input_enews_announcement_type="",FALSE,SUMPRODUCT(--ISNUMBER(SEARCH(","&amp;TRIM(TEXTSPLIT(BU5,","))&amp;",",","&amp;SUBSTITUTE(input_enews_announcement_type," ","")&amp;",")))&gt;0)),IF(BW5="",TRUE,IF(input_enews_announcement_type="",FALSE,SUMPRODUCT(--ISNUMBER(SEARCH(","&amp;TRIM(TEXTSPLIT(BW5,","))&amp;",",","&amp;SUBSTITUTE(input_enews_announcement_type," ","")&amp;",")))=COUNTA(TEXTSPLIT(BW5,",")))),IF(BY5="",TRUE,IF(input_enews_announcement_type="",TRUE,SUMPRODUCT(--ISNUMBER(SEARCH(","&amp;TRIM(TEXTSPLIT(BY5,","))&amp;",",","&amp;SUBSTITUTE(input_enews_announcement_type," ","")&amp;",")))=0)),IF(CA5="",TRUE,IF(input_enews_announcement_type="",FALSE,SUMPRODUCT(--ISNUMBER(SEARCH(","&amp;TRIM(TEXTSPLIT(CA5,","))&amp;",",","&amp;SUBSTITUTE(input_enews_announcement_type," ","")&amp;",")))&gt;0)),IF(CC5="",TRUE,IF(input_enews_announcement_type="",FALSE,SUMPRODUCT(--ISNUMBER(SEARCH(","&amp;TRIM(TEXTSPLIT(CC5,","))&amp;",",","&amp;SUBSTITUTE(input_enews_announcement_type," ","")&amp;",")))=COUNTA(TEXTSPLIT(CC5,",")))))</f>
        <v/>
      </c>
      <c r="JA5" s="19">
        <f>AND(IF(CE5="",TRUE,IF(input_enews_audience="",FALSE,SUMPRODUCT(--ISNUMBER(SEARCH(","&amp;TRIM(TEXTSPLIT(CE5,","))&amp;",",","&amp;SUBSTITUTE(input_enews_audience," ","")&amp;",")))&gt;0)),IF(CG5="",TRUE,IF(input_enews_audience="",FALSE,SUMPRODUCT(--ISNUMBER(SEARCH(","&amp;TRIM(TEXTSPLIT(CG5,","))&amp;",",","&amp;SUBSTITUTE(input_enews_audience," ","")&amp;",")))=COUNTA(TEXTSPLIT(CG5,",")))),IF(CI5="",TRUE,IF(input_enews_audience="",TRUE,SUMPRODUCT(--ISNUMBER(SEARCH(","&amp;TRIM(TEXTSPLIT(CI5,","))&amp;",",","&amp;SUBSTITUTE(input_enews_audience," ","")&amp;",")))=0)),IF(CK5="",TRUE,IF(input_enews_audience="",FALSE,SUMPRODUCT(--ISNUMBER(SEARCH(","&amp;TRIM(TEXTSPLIT(CK5,","))&amp;",",","&amp;SUBSTITUTE(input_enews_audience," ","")&amp;",")))&gt;0)),IF(CM5="",TRUE,IF(input_enews_audience="",FALSE,SUMPRODUCT(--ISNUMBER(SEARCH(","&amp;TRIM(TEXTSPLIT(CM5,","))&amp;",",","&amp;SUBSTITUTE(input_enews_audience," ","")&amp;",")))=COUNTA(TEXTSPLIT(CM5,",")))))</f>
        <v/>
      </c>
      <c r="JB5" s="19">
        <f>AND(IF(CO5="",TRUE,IF(input_event_location="",FALSE,SUMPRODUCT(--ISNUMBER(SEARCH(","&amp;TRIM(TEXTSPLIT(CO5,","))&amp;",",","&amp;SUBSTITUTE(input_event_location," ","")&amp;",")))&gt;0)),IF(CQ5="",TRUE,IF(input_event_location="",FALSE,SUMPRODUCT(--ISNUMBER(SEARCH(","&amp;TRIM(TEXTSPLIT(CQ5,","))&amp;",",","&amp;SUBSTITUTE(input_event_location," ","")&amp;",")))=COUNTA(TEXTSPLIT(CQ5,",")))),IF(CS5="",TRUE,IF(input_event_location="",TRUE,SUMPRODUCT(--ISNUMBER(SEARCH(","&amp;TRIM(TEXTSPLIT(CS5,","))&amp;",",","&amp;SUBSTITUTE(input_event_location," ","")&amp;",")))=0)),IF(CU5="",TRUE,IF(input_event_location="",FALSE,SUMPRODUCT(--ISNUMBER(SEARCH(","&amp;TRIM(TEXTSPLIT(CU5,","))&amp;",",","&amp;SUBSTITUTE(input_event_location," ","")&amp;",")))&gt;0)),IF(CW5="",TRUE,IF(input_event_location="",FALSE,SUMPRODUCT(--ISNUMBER(SEARCH(","&amp;TRIM(TEXTSPLIT(CW5,","))&amp;",",","&amp;SUBSTITUTE(input_event_location," ","")&amp;",")))=COUNTA(TEXTSPLIT(CW5,",")))))</f>
        <v/>
      </c>
      <c r="JC5" s="19">
        <f>AND(IF(CY5="",TRUE,IF(input_event_type="",FALSE,SUMPRODUCT(--ISNUMBER(SEARCH(","&amp;TRIM(TEXTSPLIT(CY5,","))&amp;",",","&amp;SUBSTITUTE(input_event_type," ","")&amp;",")))&gt;0)),IF(DA5="",TRUE,IF(input_event_type="",FALSE,SUMPRODUCT(--ISNUMBER(SEARCH(","&amp;TRIM(TEXTSPLIT(DA5,","))&amp;",",","&amp;SUBSTITUTE(input_event_type," ","")&amp;",")))=COUNTA(TEXTSPLIT(DA5,",")))),IF(DC5="",TRUE,IF(input_event_type="",TRUE,SUMPRODUCT(--ISNUMBER(SEARCH(","&amp;TRIM(TEXTSPLIT(DC5,","))&amp;",",","&amp;SUBSTITUTE(input_event_type," ","")&amp;",")))=0)),IF(DE5="",TRUE,IF(input_event_type="",FALSE,SUMPRODUCT(--ISNUMBER(SEARCH(","&amp;TRIM(TEXTSPLIT(DE5,","))&amp;",",","&amp;SUBSTITUTE(input_event_type," ","")&amp;",")))&gt;0)),IF(DG5="",TRUE,IF(input_event_type="",FALSE,SUMPRODUCT(--ISNUMBER(SEARCH(","&amp;TRIM(TEXTSPLIT(DG5,","))&amp;",",","&amp;SUBSTITUTE(input_event_type," ","")&amp;",")))=COUNTA(TEXTSPLIT(DG5,",")))))</f>
        <v/>
      </c>
      <c r="JD5" s="19">
        <f>AND(IF(DI5="",TRUE,IF(input_executive_education_focus="",FALSE,SUMPRODUCT(--ISNUMBER(SEARCH(","&amp;TRIM(TEXTSPLIT(DI5,","))&amp;",",","&amp;SUBSTITUTE(input_executive_education_focus," ","")&amp;",")))&gt;0)),IF(DK5="",TRUE,IF(input_executive_education_focus="",FALSE,SUMPRODUCT(--ISNUMBER(SEARCH(","&amp;TRIM(TEXTSPLIT(DK5,","))&amp;",",","&amp;SUBSTITUTE(input_executive_education_focus," ","")&amp;",")))=COUNTA(TEXTSPLIT(DK5,",")))),IF(DM5="",TRUE,IF(input_executive_education_focus="",TRUE,SUMPRODUCT(--ISNUMBER(SEARCH(","&amp;TRIM(TEXTSPLIT(DM5,","))&amp;",",","&amp;SUBSTITUTE(input_executive_education_focus," ","")&amp;",")))=0)),IF(DO5="",TRUE,IF(input_executive_education_focus="",FALSE,SUMPRODUCT(--ISNUMBER(SEARCH(","&amp;TRIM(TEXTSPLIT(DO5,","))&amp;",",","&amp;SUBSTITUTE(input_executive_education_focus," ","")&amp;",")))&gt;0)),IF(DQ5="",TRUE,IF(input_executive_education_focus="",FALSE,SUMPRODUCT(--ISNUMBER(SEARCH(","&amp;TRIM(TEXTSPLIT(DQ5,","))&amp;",",","&amp;SUBSTITUTE(input_executive_education_focus," ","")&amp;",")))=COUNTA(TEXTSPLIT(DQ5,",")))))</f>
        <v/>
      </c>
      <c r="JE5" s="19">
        <f>AND(IF(DS5="",TRUE,IF(input_faculty_category="",FALSE,SUMPRODUCT(--ISNUMBER(SEARCH(","&amp;TRIM(TEXTSPLIT(DS5,","))&amp;",",","&amp;SUBSTITUTE(input_faculty_category," ","")&amp;",")))&gt;0)),IF(DU5="",TRUE,IF(input_faculty_category="",FALSE,SUMPRODUCT(--ISNUMBER(SEARCH(","&amp;TRIM(TEXTSPLIT(DU5,","))&amp;",",","&amp;SUBSTITUTE(input_faculty_category," ","")&amp;",")))=COUNTA(TEXTSPLIT(DU5,",")))),IF(DW5="",TRUE,IF(input_faculty_category="",TRUE,SUMPRODUCT(--ISNUMBER(SEARCH(","&amp;TRIM(TEXTSPLIT(DW5,","))&amp;",",","&amp;SUBSTITUTE(input_faculty_category," ","")&amp;",")))=0)),IF(DY5="",TRUE,IF(input_faculty_category="",FALSE,SUMPRODUCT(--ISNUMBER(SEARCH(","&amp;TRIM(TEXTSPLIT(DY5,","))&amp;",",","&amp;SUBSTITUTE(input_faculty_category," ","")&amp;",")))&gt;0)),IF(EA5="",TRUE,IF(input_faculty_category="",FALSE,SUMPRODUCT(--ISNUMBER(SEARCH(","&amp;TRIM(TEXTSPLIT(EA5,","))&amp;",",","&amp;SUBSTITUTE(input_faculty_category," ","")&amp;",")))=COUNTA(TEXTSPLIT(EA5,",")))))</f>
        <v/>
      </c>
      <c r="JF5" s="19">
        <f>AND(IF(EC5="",TRUE,IF(input_faculty_discipline="",FALSE,SUMPRODUCT(--ISNUMBER(SEARCH(","&amp;TRIM(TEXTSPLIT(EC5,","))&amp;",",","&amp;SUBSTITUTE(input_faculty_discipline," ","")&amp;",")))&gt;0)),IF(EE5="",TRUE,IF(input_faculty_discipline="",FALSE,SUMPRODUCT(--ISNUMBER(SEARCH(","&amp;TRIM(TEXTSPLIT(EE5,","))&amp;",",","&amp;SUBSTITUTE(input_faculty_discipline," ","")&amp;",")))=COUNTA(TEXTSPLIT(EE5,",")))),IF(EG5="",TRUE,IF(input_faculty_discipline="",TRUE,SUMPRODUCT(--ISNUMBER(SEARCH(","&amp;TRIM(TEXTSPLIT(EG5,","))&amp;",",","&amp;SUBSTITUTE(input_faculty_discipline," ","")&amp;",")))=0)),IF(EI5="",TRUE,IF(input_faculty_discipline="",FALSE,SUMPRODUCT(--ISNUMBER(SEARCH(","&amp;TRIM(TEXTSPLIT(EI5,","))&amp;",",","&amp;SUBSTITUTE(input_faculty_discipline," ","")&amp;",")))&gt;0)),IF(EK5="",TRUE,IF(input_faculty_discipline="",FALSE,SUMPRODUCT(--ISNUMBER(SEARCH(","&amp;TRIM(TEXTSPLIT(EK5,","))&amp;",",","&amp;SUBSTITUTE(input_faculty_discipline," ","")&amp;",")))=COUNTA(TEXTSPLIT(EK5,",")))))</f>
        <v/>
      </c>
      <c r="JG5" s="19">
        <f>AND(IF(EM5="",TRUE,IF(input_faculty_expertise="",FALSE,SUMPRODUCT(--ISNUMBER(SEARCH(","&amp;TRIM(TEXTSPLIT(EM5,","))&amp;",",","&amp;SUBSTITUTE(input_faculty_expertise," ","")&amp;",")))&gt;0)),IF(EO5="",TRUE,IF(input_faculty_expertise="",FALSE,SUMPRODUCT(--ISNUMBER(SEARCH(","&amp;TRIM(TEXTSPLIT(EO5,","))&amp;",",","&amp;SUBSTITUTE(input_faculty_expertise," ","")&amp;",")))=COUNTA(TEXTSPLIT(EO5,",")))),IF(EQ5="",TRUE,IF(input_faculty_expertise="",TRUE,SUMPRODUCT(--ISNUMBER(SEARCH(","&amp;TRIM(TEXTSPLIT(EQ5,","))&amp;",",","&amp;SUBSTITUTE(input_faculty_expertise," ","")&amp;",")))=0)),IF(ES5="",TRUE,IF(input_faculty_expertise="",FALSE,SUMPRODUCT(--ISNUMBER(SEARCH(","&amp;TRIM(TEXTSPLIT(ES5,","))&amp;",",","&amp;SUBSTITUTE(input_faculty_expertise," ","")&amp;",")))&gt;0)),IF(EU5="",TRUE,IF(input_faculty_expertise="",FALSE,SUMPRODUCT(--ISNUMBER(SEARCH(","&amp;TRIM(TEXTSPLIT(EU5,","))&amp;",",","&amp;SUBSTITUTE(input_faculty_expertise," ","")&amp;",")))=COUNTA(TEXTSPLIT(EU5,",")))))</f>
        <v/>
      </c>
      <c r="JH5" s="19">
        <f>AND(IF(EW5="",TRUE,IF(input_global_network_school="",FALSE,SUMPRODUCT(--ISNUMBER(SEARCH(","&amp;TRIM(TEXTSPLIT(EW5,","))&amp;",",","&amp;SUBSTITUTE(input_global_network_school," ","")&amp;",")))&gt;0)),IF(EY5="",TRUE,IF(input_global_network_school="",FALSE,SUMPRODUCT(--ISNUMBER(SEARCH(","&amp;TRIM(TEXTSPLIT(EY5,","))&amp;",",","&amp;SUBSTITUTE(input_global_network_school," ","")&amp;",")))=COUNTA(TEXTSPLIT(EY5,",")))),IF(FA5="",TRUE,IF(input_global_network_school="",TRUE,SUMPRODUCT(--ISNUMBER(SEARCH(","&amp;TRIM(TEXTSPLIT(FA5,","))&amp;",",","&amp;SUBSTITUTE(input_global_network_school," ","")&amp;",")))=0)),IF(FC5="",TRUE,IF(input_global_network_school="",FALSE,SUMPRODUCT(--ISNUMBER(SEARCH(","&amp;TRIM(TEXTSPLIT(FC5,","))&amp;",",","&amp;SUBSTITUTE(input_global_network_school," ","")&amp;",")))&gt;0)),IF(FE5="",TRUE,IF(input_global_network_school="",FALSE,SUMPRODUCT(--ISNUMBER(SEARCH(","&amp;TRIM(TEXTSPLIT(FE5,","))&amp;",",","&amp;SUBSTITUTE(input_global_network_school," ","")&amp;",")))=COUNTA(TEXTSPLIT(FE5,",")))))</f>
        <v/>
      </c>
      <c r="JI5" s="19">
        <f>AND(IF(FG5="",TRUE,IF(input_industry="",FALSE,SUMPRODUCT(--ISNUMBER(SEARCH(","&amp;TRIM(TEXTSPLIT(FG5,","))&amp;",",","&amp;SUBSTITUTE(input_industry," ","")&amp;",")))&gt;0)),IF(FI5="",TRUE,IF(input_industry="",FALSE,SUMPRODUCT(--ISNUMBER(SEARCH(","&amp;TRIM(TEXTSPLIT(FI5,","))&amp;",",","&amp;SUBSTITUTE(input_industry," ","")&amp;",")))=COUNTA(TEXTSPLIT(FI5,",")))),IF(FK5="",TRUE,IF(input_industry="",TRUE,SUMPRODUCT(--ISNUMBER(SEARCH(","&amp;TRIM(TEXTSPLIT(FK5,","))&amp;",",","&amp;SUBSTITUTE(input_industry," ","")&amp;",")))=0)),IF(FM5="",TRUE,IF(input_industry="",FALSE,SUMPRODUCT(--ISNUMBER(SEARCH(","&amp;TRIM(TEXTSPLIT(FM5,","))&amp;",",","&amp;SUBSTITUTE(input_industry," ","")&amp;",")))&gt;0)),IF(FO5="",TRUE,IF(input_industry="",FALSE,SUMPRODUCT(--ISNUMBER(SEARCH(","&amp;TRIM(TEXTSPLIT(FO5,","))&amp;",",","&amp;SUBSTITUTE(input_industry," ","")&amp;",")))=COUNTA(TEXTSPLIT(FO5,",")))))</f>
        <v/>
      </c>
      <c r="JJ5" s="19">
        <f>AND(IF(FQ5="",TRUE,IF(input_location="",FALSE,SUMPRODUCT(--ISNUMBER(SEARCH(","&amp;TRIM(TEXTSPLIT(FQ5,","))&amp;",",","&amp;SUBSTITUTE(input_location," ","")&amp;",")))&gt;0)),IF(FS5="",TRUE,IF(input_location="",FALSE,SUMPRODUCT(--ISNUMBER(SEARCH(","&amp;TRIM(TEXTSPLIT(FS5,","))&amp;",",","&amp;SUBSTITUTE(input_location," ","")&amp;",")))=COUNTA(TEXTSPLIT(FS5,",")))),IF(FU5="",TRUE,IF(input_location="",TRUE,SUMPRODUCT(--ISNUMBER(SEARCH(","&amp;TRIM(TEXTSPLIT(FU5,","))&amp;",",","&amp;SUBSTITUTE(input_location," ","")&amp;",")))=0)),IF(FW5="",TRUE,IF(input_location="",FALSE,SUMPRODUCT(--ISNUMBER(SEARCH(","&amp;TRIM(TEXTSPLIT(FW5,","))&amp;",",","&amp;SUBSTITUTE(input_location," ","")&amp;",")))&gt;0)),IF(FY5="",TRUE,IF(input_location="",FALSE,SUMPRODUCT(--ISNUMBER(SEARCH(","&amp;TRIM(TEXTSPLIT(FY5,","))&amp;",",","&amp;SUBSTITUTE(input_location," ","")&amp;",")))=COUNTA(TEXTSPLIT(FY5,",")))))</f>
        <v/>
      </c>
      <c r="JK5" s="19">
        <f>AND(IF(GA5="",TRUE,IF(input_modality="",FALSE,SUMPRODUCT(--ISNUMBER(SEARCH(","&amp;TRIM(TEXTSPLIT(GA5,","))&amp;",",","&amp;SUBSTITUTE(input_modality," ","")&amp;",")))&gt;0)),IF(GC5="",TRUE,IF(input_modality="",FALSE,SUMPRODUCT(--ISNUMBER(SEARCH(","&amp;TRIM(TEXTSPLIT(GC5,","))&amp;",",","&amp;SUBSTITUTE(input_modality," ","")&amp;",")))=COUNTA(TEXTSPLIT(GC5,",")))),IF(GE5="",TRUE,IF(input_modality="",TRUE,SUMPRODUCT(--ISNUMBER(SEARCH(","&amp;TRIM(TEXTSPLIT(GE5,","))&amp;",",","&amp;SUBSTITUTE(input_modality," ","")&amp;",")))=0)),IF(GG5="",TRUE,IF(input_modality="",FALSE,SUMPRODUCT(--ISNUMBER(SEARCH(","&amp;TRIM(TEXTSPLIT(GG5,","))&amp;",",","&amp;SUBSTITUTE(input_modality," ","")&amp;",")))&gt;0)),IF(GI5="",TRUE,IF(input_modality="",FALSE,SUMPRODUCT(--ISNUMBER(SEARCH(","&amp;TRIM(TEXTSPLIT(GI5,","))&amp;",",","&amp;SUBSTITUTE(input_modality," ","")&amp;",")))=COUNTA(TEXTSPLIT(GI5,",")))))</f>
        <v/>
      </c>
      <c r="JL5" s="19">
        <f>AND(IF(GK5="",TRUE,IF(input_organizer="",FALSE,SUMPRODUCT(--ISNUMBER(SEARCH(","&amp;TRIM(TEXTSPLIT(GK5,","))&amp;",",","&amp;SUBSTITUTE(input_organizer," ","")&amp;",")))&gt;0)),IF(GM5="",TRUE,IF(input_organizer="",FALSE,SUMPRODUCT(--ISNUMBER(SEARCH(","&amp;TRIM(TEXTSPLIT(GM5,","))&amp;",",","&amp;SUBSTITUTE(input_organizer," ","")&amp;",")))=COUNTA(TEXTSPLIT(GM5,",")))),IF(GO5="",TRUE,IF(input_organizer="",TRUE,SUMPRODUCT(--ISNUMBER(SEARCH(","&amp;TRIM(TEXTSPLIT(GO5,","))&amp;",",","&amp;SUBSTITUTE(input_organizer," ","")&amp;",")))=0)),IF(GQ5="",TRUE,IF(input_organizer="",FALSE,SUMPRODUCT(--ISNUMBER(SEARCH(","&amp;TRIM(TEXTSPLIT(GQ5,","))&amp;",",","&amp;SUBSTITUTE(input_organizer," ","")&amp;",")))&gt;0)),IF(GS5="",TRUE,IF(input_organizer="",FALSE,SUMPRODUCT(--ISNUMBER(SEARCH(","&amp;TRIM(TEXTSPLIT(GS5,","))&amp;",",","&amp;SUBSTITUTE(input_organizer," ","")&amp;",")))=COUNTA(TEXTSPLIT(GS5,",")))))</f>
        <v/>
      </c>
      <c r="JM5" s="19">
        <f>AND(IF(GU5="",TRUE,IF(input_profile_type="",FALSE,SUMPRODUCT(--ISNUMBER(SEARCH(","&amp;TRIM(TEXTSPLIT(GU5,","))&amp;",",","&amp;SUBSTITUTE(input_profile_type," ","")&amp;",")))&gt;0)),IF(GW5="",TRUE,IF(input_profile_type="",FALSE,SUMPRODUCT(--ISNUMBER(SEARCH(","&amp;TRIM(TEXTSPLIT(GW5,","))&amp;",",","&amp;SUBSTITUTE(input_profile_type," ","")&amp;",")))=COUNTA(TEXTSPLIT(GW5,",")))),IF(GY5="",TRUE,IF(input_profile_type="",TRUE,SUMPRODUCT(--ISNUMBER(SEARCH(","&amp;TRIM(TEXTSPLIT(GY5,","))&amp;",",","&amp;SUBSTITUTE(input_profile_type," ","")&amp;",")))=0)),IF(HA5="",TRUE,IF(input_profile_type="",FALSE,SUMPRODUCT(--ISNUMBER(SEARCH(","&amp;TRIM(TEXTSPLIT(HA5,","))&amp;",",","&amp;SUBSTITUTE(input_profile_type," ","")&amp;",")))&gt;0)),IF(HC5="",TRUE,IF(input_profile_type="",FALSE,SUMPRODUCT(--ISNUMBER(SEARCH(","&amp;TRIM(TEXTSPLIT(HC5,","))&amp;",",","&amp;SUBSTITUTE(input_profile_type," ","")&amp;",")))=COUNTA(TEXTSPLIT(HC5,",")))))</f>
        <v/>
      </c>
      <c r="JN5" s="19">
        <f>AND(IF(HE5="",TRUE,IF(input_program="",FALSE,SUMPRODUCT(--ISNUMBER(SEARCH(","&amp;TRIM(TEXTSPLIT(HE5,","))&amp;",",","&amp;SUBSTITUTE(input_program," ","")&amp;",")))&gt;0)),IF(HG5="",TRUE,IF(input_program="",FALSE,SUMPRODUCT(--ISNUMBER(SEARCH(","&amp;TRIM(TEXTSPLIT(HG5,","))&amp;",",","&amp;SUBSTITUTE(input_program," ","")&amp;",")))=COUNTA(TEXTSPLIT(HG5,",")))),IF(HI5="",TRUE,IF(input_program="",TRUE,SUMPRODUCT(--ISNUMBER(SEARCH(","&amp;TRIM(TEXTSPLIT(HI5,","))&amp;",",","&amp;SUBSTITUTE(input_program," ","")&amp;",")))=0)),IF(HK5="",TRUE,IF(input_program="",FALSE,SUMPRODUCT(--ISNUMBER(SEARCH(","&amp;TRIM(TEXTSPLIT(HK5,","))&amp;",",","&amp;SUBSTITUTE(input_program," ","")&amp;",")))&gt;0)),IF(HM5="",TRUE,IF(input_program="",FALSE,SUMPRODUCT(--ISNUMBER(SEARCH(","&amp;TRIM(TEXTSPLIT(HM5,","))&amp;",",","&amp;SUBSTITUTE(input_program," ","")&amp;",")))=COUNTA(TEXTSPLIT(HM5,",")))))</f>
        <v/>
      </c>
      <c r="JO5" s="19">
        <f>AND(IF(HO5="",TRUE,IF(input_story_categories="",FALSE,SUMPRODUCT(--ISNUMBER(SEARCH(","&amp;TRIM(TEXTSPLIT(HO5,","))&amp;",",","&amp;SUBSTITUTE(input_story_categories," ","")&amp;",")))&gt;0)),IF(HQ5="",TRUE,IF(input_story_categories="",FALSE,SUMPRODUCT(--ISNUMBER(SEARCH(","&amp;TRIM(TEXTSPLIT(HQ5,","))&amp;",",","&amp;SUBSTITUTE(input_story_categories," ","")&amp;",")))=COUNTA(TEXTSPLIT(HQ5,",")))),IF(HS5="",TRUE,IF(input_story_categories="",TRUE,SUMPRODUCT(--ISNUMBER(SEARCH(","&amp;TRIM(TEXTSPLIT(HS5,","))&amp;",",","&amp;SUBSTITUTE(input_story_categories," ","")&amp;",")))=0)),IF(HU5="",TRUE,IF(input_story_categories="",FALSE,SUMPRODUCT(--ISNUMBER(SEARCH(","&amp;TRIM(TEXTSPLIT(HU5,","))&amp;",",","&amp;SUBSTITUTE(input_story_categories," ","")&amp;",")))&gt;0)),IF(HW5="",TRUE,IF(input_story_categories="",FALSE,SUMPRODUCT(--ISNUMBER(SEARCH(","&amp;TRIM(TEXTSPLIT(HW5,","))&amp;",",","&amp;SUBSTITUTE(input_story_categories," ","")&amp;",")))=COUNTA(TEXTSPLIT(HW5,",")))))</f>
        <v/>
      </c>
      <c r="JP5" s="19">
        <f>AND(IF(HY5="",TRUE,IF(input_story_type="",FALSE,SUMPRODUCT(--ISNUMBER(SEARCH(","&amp;TRIM(TEXTSPLIT(HY5,","))&amp;",",","&amp;SUBSTITUTE(input_story_type," ","")&amp;",")))&gt;0)),IF(IA5="",TRUE,IF(input_story_type="",FALSE,SUMPRODUCT(--ISNUMBER(SEARCH(","&amp;TRIM(TEXTSPLIT(IA5,","))&amp;",",","&amp;SUBSTITUTE(input_story_type," ","")&amp;",")))=COUNTA(TEXTSPLIT(IA5,",")))),IF(IC5="",TRUE,IF(input_story_type="",TRUE,SUMPRODUCT(--ISNUMBER(SEARCH(","&amp;TRIM(TEXTSPLIT(IC5,","))&amp;",",","&amp;SUBSTITUTE(input_story_type," ","")&amp;",")))=0)),IF(IE5="",TRUE,IF(input_story_type="",FALSE,SUMPRODUCT(--ISNUMBER(SEARCH(","&amp;TRIM(TEXTSPLIT(IE5,","))&amp;",",","&amp;SUBSTITUTE(input_story_type," ","")&amp;",")))&gt;0)),IF(IG5="",TRUE,IF(input_story_type="",FALSE,SUMPRODUCT(--ISNUMBER(SEARCH(","&amp;TRIM(TEXTSPLIT(IG5,","))&amp;",",","&amp;SUBSTITUTE(input_story_type," ","")&amp;",")))=COUNTA(TEXTSPLIT(IG5,",")))))</f>
        <v/>
      </c>
      <c r="JQ5" s="19">
        <f>AND(IF(II5="",TRUE,IF(input_topics="",FALSE,SUMPRODUCT(--ISNUMBER(SEARCH(","&amp;TRIM(TEXTSPLIT(II5,","))&amp;",",","&amp;SUBSTITUTE(input_topics," ","")&amp;",")))&gt;0)),IF(IK5="",TRUE,IF(input_topics="",FALSE,SUMPRODUCT(--ISNUMBER(SEARCH(","&amp;TRIM(TEXTSPLIT(IK5,","))&amp;",",","&amp;SUBSTITUTE(input_topics," ","")&amp;",")))=COUNTA(TEXTSPLIT(IK5,",")))),IF(IM5="",TRUE,IF(input_topics="",TRUE,SUMPRODUCT(--ISNUMBER(SEARCH(","&amp;TRIM(TEXTSPLIT(IM5,","))&amp;",",","&amp;SUBSTITUTE(input_topics," ","")&amp;",")))=0)),IF(IO5="",TRUE,IF(input_topics="",FALSE,SUMPRODUCT(--ISNUMBER(SEARCH(","&amp;TRIM(TEXTSPLIT(IO5,","))&amp;",",","&amp;SUBSTITUTE(input_topics," ","")&amp;",")))&gt;0)),IF(IQ5="",TRUE,IF(input_topics="",FALSE,SUMPRODUCT(--ISNUMBER(SEARCH(","&amp;TRIM(TEXTSPLIT(IQ5,","))&amp;",",","&amp;SUBSTITUTE(input_topics," ","")&amp;",")))=COUNTA(TEXTSPLIT(IQ5,",")))))</f>
        <v/>
      </c>
    </row>
    <row r="6">
      <c r="A6" s="24">
        <f>IF(NOT(IS6),"Excluded",IF(AND(IT6,IU6,IV6,IW6,IX6,IY6,IZ6,JA6,JB6,JC6,JD6,JE6,JF6,JG6,JH6,JI6,JJ6,JK6,JL6,JM6,JN6,JO6,JP6,JQ6),IF(I6&gt;0,"Eligible but limited","Will appear"),"Excluded"))</f>
        <v/>
      </c>
      <c r="B6" s="24" t="inlineStr">
        <is>
          <t>AI &amp; Data Analytics</t>
        </is>
      </c>
      <c r="C6" s="27" t="inlineStr">
        <is>
          <t>/the-som-experience/interests-and-industries/ai-data-analytics</t>
        </is>
      </c>
      <c r="D6" s="24" t="inlineStr">
        <is>
          <t>/the-som-experience/interests-and-industries/ai-data-analytics</t>
        </is>
      </c>
      <c r="E6" s="24" t="n">
        <v>1</v>
      </c>
      <c r="F6" s="24" t="inlineStr">
        <is>
          <t>story</t>
        </is>
      </c>
      <c r="G6" s="24" t="inlineStr">
        <is>
          <t>stories_list</t>
        </is>
      </c>
      <c r="H6" s="24" t="inlineStr">
        <is>
          <t>embed_1</t>
        </is>
      </c>
      <c r="I6" s="24" t="n">
        <v>10</v>
      </c>
      <c r="J6" s="28" t="inlineStr">
        <is>
          <t>Explicit args</t>
        </is>
      </c>
      <c r="K6" s="24" t="inlineStr">
        <is>
          <t>Page placement</t>
        </is>
      </c>
      <c r="L6" s="24" t="inlineStr">
        <is>
          <t>Content type: story; Context needs all Courses Context: Startup Stories (1166), AI (Artificial Intelligence) (1749); Limited to 10 item(s); Source: Explicit args</t>
        </is>
      </c>
      <c r="BS6" s="19" t="inlineStr">
        <is>
          <t>1166, 1749</t>
        </is>
      </c>
      <c r="BT6" s="19" t="inlineStr">
        <is>
          <t>Startup Stories (1166), AI (Artificial Intelligence) (1749)</t>
        </is>
      </c>
      <c r="IS6" s="19">
        <f>IF(input_content_type="",FALSE,ISNUMBER(SEARCH(","&amp;LOWER(input_content_type)&amp;",",","&amp;LOWER(SUBSTITUTE(F6," ",""))&amp;",")))</f>
        <v/>
      </c>
      <c r="IT6" s="19">
        <f>AND(IF(M6="",TRUE,IF(input_affiliations="",FALSE,SUMPRODUCT(--ISNUMBER(SEARCH(","&amp;TRIM(TEXTSPLIT(M6,","))&amp;",",","&amp;SUBSTITUTE(input_affiliations," ","")&amp;",")))&gt;0)),IF(O6="",TRUE,IF(input_affiliations="",FALSE,SUMPRODUCT(--ISNUMBER(SEARCH(","&amp;TRIM(TEXTSPLIT(O6,","))&amp;",",","&amp;SUBSTITUTE(input_affiliations," ","")&amp;",")))=COUNTA(TEXTSPLIT(O6,",")))),IF(Q6="",TRUE,IF(input_affiliations="",TRUE,SUMPRODUCT(--ISNUMBER(SEARCH(","&amp;TRIM(TEXTSPLIT(Q6,","))&amp;",",","&amp;SUBSTITUTE(input_affiliations," ","")&amp;",")))=0)),IF(S6="",TRUE,IF(input_affiliations="",FALSE,SUMPRODUCT(--ISNUMBER(SEARCH(","&amp;TRIM(TEXTSPLIT(S6,","))&amp;",",","&amp;SUBSTITUTE(input_affiliations," ","")&amp;",")))&gt;0)),IF(U6="",TRUE,IF(input_affiliations="",FALSE,SUMPRODUCT(--ISNUMBER(SEARCH(","&amp;TRIM(TEXTSPLIT(U6,","))&amp;",",","&amp;SUBSTITUTE(input_affiliations," ","")&amp;",")))=COUNTA(TEXTSPLIT(U6,",")))))</f>
        <v/>
      </c>
      <c r="IU6" s="19">
        <f>AND(IF(W6="",TRUE,IF(input_announcement_category="",FALSE,SUMPRODUCT(--ISNUMBER(SEARCH(","&amp;TRIM(TEXTSPLIT(W6,","))&amp;",",","&amp;SUBSTITUTE(input_announcement_category," ","")&amp;",")))&gt;0)),IF(Y6="",TRUE,IF(input_announcement_category="",FALSE,SUMPRODUCT(--ISNUMBER(SEARCH(","&amp;TRIM(TEXTSPLIT(Y6,","))&amp;",",","&amp;SUBSTITUTE(input_announcement_category," ","")&amp;",")))=COUNTA(TEXTSPLIT(Y6,",")))),IF(AA6="",TRUE,IF(input_announcement_category="",TRUE,SUMPRODUCT(--ISNUMBER(SEARCH(","&amp;TRIM(TEXTSPLIT(AA6,","))&amp;",",","&amp;SUBSTITUTE(input_announcement_category," ","")&amp;",")))=0)),IF(AC6="",TRUE,IF(input_announcement_category="",FALSE,SUMPRODUCT(--ISNUMBER(SEARCH(","&amp;TRIM(TEXTSPLIT(AC6,","))&amp;",",","&amp;SUBSTITUTE(input_announcement_category," ","")&amp;",")))&gt;0)),IF(AE6="",TRUE,IF(input_announcement_category="",FALSE,SUMPRODUCT(--ISNUMBER(SEARCH(","&amp;TRIM(TEXTSPLIT(AE6,","))&amp;",",","&amp;SUBSTITUTE(input_announcement_category," ","")&amp;",")))=COUNTA(TEXTSPLIT(AE6,",")))))</f>
        <v/>
      </c>
      <c r="IV6" s="19">
        <f>AND(IF(AG6="",TRUE,IF(input_area_of_focus="",FALSE,SUMPRODUCT(--ISNUMBER(SEARCH(","&amp;TRIM(TEXTSPLIT(AG6,","))&amp;",",","&amp;SUBSTITUTE(input_area_of_focus," ","")&amp;",")))&gt;0)),IF(AI6="",TRUE,IF(input_area_of_focus="",FALSE,SUMPRODUCT(--ISNUMBER(SEARCH(","&amp;TRIM(TEXTSPLIT(AI6,","))&amp;",",","&amp;SUBSTITUTE(input_area_of_focus," ","")&amp;",")))=COUNTA(TEXTSPLIT(AI6,",")))),IF(AK6="",TRUE,IF(input_area_of_focus="",TRUE,SUMPRODUCT(--ISNUMBER(SEARCH(","&amp;TRIM(TEXTSPLIT(AK6,","))&amp;",",","&amp;SUBSTITUTE(input_area_of_focus," ","")&amp;",")))=0)),IF(AM6="",TRUE,IF(input_area_of_focus="",FALSE,SUMPRODUCT(--ISNUMBER(SEARCH(","&amp;TRIM(TEXTSPLIT(AM6,","))&amp;",",","&amp;SUBSTITUTE(input_area_of_focus," ","")&amp;",")))&gt;0)),IF(AO6="",TRUE,IF(input_area_of_focus="",FALSE,SUMPRODUCT(--ISNUMBER(SEARCH(","&amp;TRIM(TEXTSPLIT(AO6,","))&amp;",",","&amp;SUBSTITUTE(input_area_of_focus," ","")&amp;",")))=COUNTA(TEXTSPLIT(AO6,",")))))</f>
        <v/>
      </c>
      <c r="IW6" s="19">
        <f>AND(IF(AQ6="",TRUE,IF(input_audience="",FALSE,SUMPRODUCT(--ISNUMBER(SEARCH(","&amp;TRIM(TEXTSPLIT(AQ6,","))&amp;",",","&amp;SUBSTITUTE(input_audience," ","")&amp;",")))&gt;0)),IF(AS6="",TRUE,IF(input_audience="",FALSE,SUMPRODUCT(--ISNUMBER(SEARCH(","&amp;TRIM(TEXTSPLIT(AS6,","))&amp;",",","&amp;SUBSTITUTE(input_audience," ","")&amp;",")))=COUNTA(TEXTSPLIT(AS6,",")))),IF(AU6="",TRUE,IF(input_audience="",TRUE,SUMPRODUCT(--ISNUMBER(SEARCH(","&amp;TRIM(TEXTSPLIT(AU6,","))&amp;",",","&amp;SUBSTITUTE(input_audience," ","")&amp;",")))=0)),IF(AW6="",TRUE,IF(input_audience="",FALSE,SUMPRODUCT(--ISNUMBER(SEARCH(","&amp;TRIM(TEXTSPLIT(AW6,","))&amp;",",","&amp;SUBSTITUTE(input_audience," ","")&amp;",")))&gt;0)),IF(AY6="",TRUE,IF(input_audience="",FALSE,SUMPRODUCT(--ISNUMBER(SEARCH(","&amp;TRIM(TEXTSPLIT(AY6,","))&amp;",",","&amp;SUBSTITUTE(input_audience," ","")&amp;",")))=COUNTA(TEXTSPLIT(AY6,",")))))</f>
        <v/>
      </c>
      <c r="IX6" s="19">
        <f>AND(IF(BA6="",TRUE,IF(input_challenge_opportunities="",FALSE,SUMPRODUCT(--ISNUMBER(SEARCH(","&amp;TRIM(TEXTSPLIT(BA6,","))&amp;",",","&amp;SUBSTITUTE(input_challenge_opportunities," ","")&amp;",")))&gt;0)),IF(BC6="",TRUE,IF(input_challenge_opportunities="",FALSE,SUMPRODUCT(--ISNUMBER(SEARCH(","&amp;TRIM(TEXTSPLIT(BC6,","))&amp;",",","&amp;SUBSTITUTE(input_challenge_opportunities," ","")&amp;",")))=COUNTA(TEXTSPLIT(BC6,",")))),IF(BE6="",TRUE,IF(input_challenge_opportunities="",TRUE,SUMPRODUCT(--ISNUMBER(SEARCH(","&amp;TRIM(TEXTSPLIT(BE6,","))&amp;",",","&amp;SUBSTITUTE(input_challenge_opportunities," ","")&amp;",")))=0)),IF(BG6="",TRUE,IF(input_challenge_opportunities="",FALSE,SUMPRODUCT(--ISNUMBER(SEARCH(","&amp;TRIM(TEXTSPLIT(BG6,","))&amp;",",","&amp;SUBSTITUTE(input_challenge_opportunities," ","")&amp;",")))&gt;0)),IF(BI6="",TRUE,IF(input_challenge_opportunities="",FALSE,SUMPRODUCT(--ISNUMBER(SEARCH(","&amp;TRIM(TEXTSPLIT(BI6,","))&amp;",",","&amp;SUBSTITUTE(input_challenge_opportunities," ","")&amp;",")))=COUNTA(TEXTSPLIT(BI6,",")))))</f>
        <v/>
      </c>
      <c r="IY6" s="19">
        <f>AND(IF(BK6="",TRUE,IF(input_context="",FALSE,SUMPRODUCT(--ISNUMBER(SEARCH(","&amp;TRIM(TEXTSPLIT(BK6,","))&amp;",",","&amp;SUBSTITUTE(input_context," ","")&amp;",")))&gt;0)),IF(BM6="",TRUE,IF(input_context="",FALSE,SUMPRODUCT(--ISNUMBER(SEARCH(","&amp;TRIM(TEXTSPLIT(BM6,","))&amp;",",","&amp;SUBSTITUTE(input_context," ","")&amp;",")))=COUNTA(TEXTSPLIT(BM6,",")))),IF(BO6="",TRUE,IF(input_context="",TRUE,SUMPRODUCT(--ISNUMBER(SEARCH(","&amp;TRIM(TEXTSPLIT(BO6,","))&amp;",",","&amp;SUBSTITUTE(input_context," ","")&amp;",")))=0)),IF(BQ6="",TRUE,IF(input_context="",FALSE,SUMPRODUCT(--ISNUMBER(SEARCH(","&amp;TRIM(TEXTSPLIT(BQ6,","))&amp;",",","&amp;SUBSTITUTE(input_context," ","")&amp;",")))&gt;0)),IF(BS6="",TRUE,IF(input_context="",FALSE,SUMPRODUCT(--ISNUMBER(SEARCH(","&amp;TRIM(TEXTSPLIT(BS6,","))&amp;",",","&amp;SUBSTITUTE(input_context," ","")&amp;",")))=COUNTA(TEXTSPLIT(BS6,",")))))</f>
        <v/>
      </c>
      <c r="IZ6" s="19">
        <f>AND(IF(BU6="",TRUE,IF(input_enews_announcement_type="",FALSE,SUMPRODUCT(--ISNUMBER(SEARCH(","&amp;TRIM(TEXTSPLIT(BU6,","))&amp;",",","&amp;SUBSTITUTE(input_enews_announcement_type," ","")&amp;",")))&gt;0)),IF(BW6="",TRUE,IF(input_enews_announcement_type="",FALSE,SUMPRODUCT(--ISNUMBER(SEARCH(","&amp;TRIM(TEXTSPLIT(BW6,","))&amp;",",","&amp;SUBSTITUTE(input_enews_announcement_type," ","")&amp;",")))=COUNTA(TEXTSPLIT(BW6,",")))),IF(BY6="",TRUE,IF(input_enews_announcement_type="",TRUE,SUMPRODUCT(--ISNUMBER(SEARCH(","&amp;TRIM(TEXTSPLIT(BY6,","))&amp;",",","&amp;SUBSTITUTE(input_enews_announcement_type," ","")&amp;",")))=0)),IF(CA6="",TRUE,IF(input_enews_announcement_type="",FALSE,SUMPRODUCT(--ISNUMBER(SEARCH(","&amp;TRIM(TEXTSPLIT(CA6,","))&amp;",",","&amp;SUBSTITUTE(input_enews_announcement_type," ","")&amp;",")))&gt;0)),IF(CC6="",TRUE,IF(input_enews_announcement_type="",FALSE,SUMPRODUCT(--ISNUMBER(SEARCH(","&amp;TRIM(TEXTSPLIT(CC6,","))&amp;",",","&amp;SUBSTITUTE(input_enews_announcement_type," ","")&amp;",")))=COUNTA(TEXTSPLIT(CC6,",")))))</f>
        <v/>
      </c>
      <c r="JA6" s="19">
        <f>AND(IF(CE6="",TRUE,IF(input_enews_audience="",FALSE,SUMPRODUCT(--ISNUMBER(SEARCH(","&amp;TRIM(TEXTSPLIT(CE6,","))&amp;",",","&amp;SUBSTITUTE(input_enews_audience," ","")&amp;",")))&gt;0)),IF(CG6="",TRUE,IF(input_enews_audience="",FALSE,SUMPRODUCT(--ISNUMBER(SEARCH(","&amp;TRIM(TEXTSPLIT(CG6,","))&amp;",",","&amp;SUBSTITUTE(input_enews_audience," ","")&amp;",")))=COUNTA(TEXTSPLIT(CG6,",")))),IF(CI6="",TRUE,IF(input_enews_audience="",TRUE,SUMPRODUCT(--ISNUMBER(SEARCH(","&amp;TRIM(TEXTSPLIT(CI6,","))&amp;",",","&amp;SUBSTITUTE(input_enews_audience," ","")&amp;",")))=0)),IF(CK6="",TRUE,IF(input_enews_audience="",FALSE,SUMPRODUCT(--ISNUMBER(SEARCH(","&amp;TRIM(TEXTSPLIT(CK6,","))&amp;",",","&amp;SUBSTITUTE(input_enews_audience," ","")&amp;",")))&gt;0)),IF(CM6="",TRUE,IF(input_enews_audience="",FALSE,SUMPRODUCT(--ISNUMBER(SEARCH(","&amp;TRIM(TEXTSPLIT(CM6,","))&amp;",",","&amp;SUBSTITUTE(input_enews_audience," ","")&amp;",")))=COUNTA(TEXTSPLIT(CM6,",")))))</f>
        <v/>
      </c>
      <c r="JB6" s="19">
        <f>AND(IF(CO6="",TRUE,IF(input_event_location="",FALSE,SUMPRODUCT(--ISNUMBER(SEARCH(","&amp;TRIM(TEXTSPLIT(CO6,","))&amp;",",","&amp;SUBSTITUTE(input_event_location," ","")&amp;",")))&gt;0)),IF(CQ6="",TRUE,IF(input_event_location="",FALSE,SUMPRODUCT(--ISNUMBER(SEARCH(","&amp;TRIM(TEXTSPLIT(CQ6,","))&amp;",",","&amp;SUBSTITUTE(input_event_location," ","")&amp;",")))=COUNTA(TEXTSPLIT(CQ6,",")))),IF(CS6="",TRUE,IF(input_event_location="",TRUE,SUMPRODUCT(--ISNUMBER(SEARCH(","&amp;TRIM(TEXTSPLIT(CS6,","))&amp;",",","&amp;SUBSTITUTE(input_event_location," ","")&amp;",")))=0)),IF(CU6="",TRUE,IF(input_event_location="",FALSE,SUMPRODUCT(--ISNUMBER(SEARCH(","&amp;TRIM(TEXTSPLIT(CU6,","))&amp;",",","&amp;SUBSTITUTE(input_event_location," ","")&amp;",")))&gt;0)),IF(CW6="",TRUE,IF(input_event_location="",FALSE,SUMPRODUCT(--ISNUMBER(SEARCH(","&amp;TRIM(TEXTSPLIT(CW6,","))&amp;",",","&amp;SUBSTITUTE(input_event_location," ","")&amp;",")))=COUNTA(TEXTSPLIT(CW6,",")))))</f>
        <v/>
      </c>
      <c r="JC6" s="19">
        <f>AND(IF(CY6="",TRUE,IF(input_event_type="",FALSE,SUMPRODUCT(--ISNUMBER(SEARCH(","&amp;TRIM(TEXTSPLIT(CY6,","))&amp;",",","&amp;SUBSTITUTE(input_event_type," ","")&amp;",")))&gt;0)),IF(DA6="",TRUE,IF(input_event_type="",FALSE,SUMPRODUCT(--ISNUMBER(SEARCH(","&amp;TRIM(TEXTSPLIT(DA6,","))&amp;",",","&amp;SUBSTITUTE(input_event_type," ","")&amp;",")))=COUNTA(TEXTSPLIT(DA6,",")))),IF(DC6="",TRUE,IF(input_event_type="",TRUE,SUMPRODUCT(--ISNUMBER(SEARCH(","&amp;TRIM(TEXTSPLIT(DC6,","))&amp;",",","&amp;SUBSTITUTE(input_event_type," ","")&amp;",")))=0)),IF(DE6="",TRUE,IF(input_event_type="",FALSE,SUMPRODUCT(--ISNUMBER(SEARCH(","&amp;TRIM(TEXTSPLIT(DE6,","))&amp;",",","&amp;SUBSTITUTE(input_event_type," ","")&amp;",")))&gt;0)),IF(DG6="",TRUE,IF(input_event_type="",FALSE,SUMPRODUCT(--ISNUMBER(SEARCH(","&amp;TRIM(TEXTSPLIT(DG6,","))&amp;",",","&amp;SUBSTITUTE(input_event_type," ","")&amp;",")))=COUNTA(TEXTSPLIT(DG6,",")))))</f>
        <v/>
      </c>
      <c r="JD6" s="19">
        <f>AND(IF(DI6="",TRUE,IF(input_executive_education_focus="",FALSE,SUMPRODUCT(--ISNUMBER(SEARCH(","&amp;TRIM(TEXTSPLIT(DI6,","))&amp;",",","&amp;SUBSTITUTE(input_executive_education_focus," ","")&amp;",")))&gt;0)),IF(DK6="",TRUE,IF(input_executive_education_focus="",FALSE,SUMPRODUCT(--ISNUMBER(SEARCH(","&amp;TRIM(TEXTSPLIT(DK6,","))&amp;",",","&amp;SUBSTITUTE(input_executive_education_focus," ","")&amp;",")))=COUNTA(TEXTSPLIT(DK6,",")))),IF(DM6="",TRUE,IF(input_executive_education_focus="",TRUE,SUMPRODUCT(--ISNUMBER(SEARCH(","&amp;TRIM(TEXTSPLIT(DM6,","))&amp;",",","&amp;SUBSTITUTE(input_executive_education_focus," ","")&amp;",")))=0)),IF(DO6="",TRUE,IF(input_executive_education_focus="",FALSE,SUMPRODUCT(--ISNUMBER(SEARCH(","&amp;TRIM(TEXTSPLIT(DO6,","))&amp;",",","&amp;SUBSTITUTE(input_executive_education_focus," ","")&amp;",")))&gt;0)),IF(DQ6="",TRUE,IF(input_executive_education_focus="",FALSE,SUMPRODUCT(--ISNUMBER(SEARCH(","&amp;TRIM(TEXTSPLIT(DQ6,","))&amp;",",","&amp;SUBSTITUTE(input_executive_education_focus," ","")&amp;",")))=COUNTA(TEXTSPLIT(DQ6,",")))))</f>
        <v/>
      </c>
      <c r="JE6" s="19">
        <f>AND(IF(DS6="",TRUE,IF(input_faculty_category="",FALSE,SUMPRODUCT(--ISNUMBER(SEARCH(","&amp;TRIM(TEXTSPLIT(DS6,","))&amp;",",","&amp;SUBSTITUTE(input_faculty_category," ","")&amp;",")))&gt;0)),IF(DU6="",TRUE,IF(input_faculty_category="",FALSE,SUMPRODUCT(--ISNUMBER(SEARCH(","&amp;TRIM(TEXTSPLIT(DU6,","))&amp;",",","&amp;SUBSTITUTE(input_faculty_category," ","")&amp;",")))=COUNTA(TEXTSPLIT(DU6,",")))),IF(DW6="",TRUE,IF(input_faculty_category="",TRUE,SUMPRODUCT(--ISNUMBER(SEARCH(","&amp;TRIM(TEXTSPLIT(DW6,","))&amp;",",","&amp;SUBSTITUTE(input_faculty_category," ","")&amp;",")))=0)),IF(DY6="",TRUE,IF(input_faculty_category="",FALSE,SUMPRODUCT(--ISNUMBER(SEARCH(","&amp;TRIM(TEXTSPLIT(DY6,","))&amp;",",","&amp;SUBSTITUTE(input_faculty_category," ","")&amp;",")))&gt;0)),IF(EA6="",TRUE,IF(input_faculty_category="",FALSE,SUMPRODUCT(--ISNUMBER(SEARCH(","&amp;TRIM(TEXTSPLIT(EA6,","))&amp;",",","&amp;SUBSTITUTE(input_faculty_category," ","")&amp;",")))=COUNTA(TEXTSPLIT(EA6,",")))))</f>
        <v/>
      </c>
      <c r="JF6" s="19">
        <f>AND(IF(EC6="",TRUE,IF(input_faculty_discipline="",FALSE,SUMPRODUCT(--ISNUMBER(SEARCH(","&amp;TRIM(TEXTSPLIT(EC6,","))&amp;",",","&amp;SUBSTITUTE(input_faculty_discipline," ","")&amp;",")))&gt;0)),IF(EE6="",TRUE,IF(input_faculty_discipline="",FALSE,SUMPRODUCT(--ISNUMBER(SEARCH(","&amp;TRIM(TEXTSPLIT(EE6,","))&amp;",",","&amp;SUBSTITUTE(input_faculty_discipline," ","")&amp;",")))=COUNTA(TEXTSPLIT(EE6,",")))),IF(EG6="",TRUE,IF(input_faculty_discipline="",TRUE,SUMPRODUCT(--ISNUMBER(SEARCH(","&amp;TRIM(TEXTSPLIT(EG6,","))&amp;",",","&amp;SUBSTITUTE(input_faculty_discipline," ","")&amp;",")))=0)),IF(EI6="",TRUE,IF(input_faculty_discipline="",FALSE,SUMPRODUCT(--ISNUMBER(SEARCH(","&amp;TRIM(TEXTSPLIT(EI6,","))&amp;",",","&amp;SUBSTITUTE(input_faculty_discipline," ","")&amp;",")))&gt;0)),IF(EK6="",TRUE,IF(input_faculty_discipline="",FALSE,SUMPRODUCT(--ISNUMBER(SEARCH(","&amp;TRIM(TEXTSPLIT(EK6,","))&amp;",",","&amp;SUBSTITUTE(input_faculty_discipline," ","")&amp;",")))=COUNTA(TEXTSPLIT(EK6,",")))))</f>
        <v/>
      </c>
      <c r="JG6" s="19">
        <f>AND(IF(EM6="",TRUE,IF(input_faculty_expertise="",FALSE,SUMPRODUCT(--ISNUMBER(SEARCH(","&amp;TRIM(TEXTSPLIT(EM6,","))&amp;",",","&amp;SUBSTITUTE(input_faculty_expertise," ","")&amp;",")))&gt;0)),IF(EO6="",TRUE,IF(input_faculty_expertise="",FALSE,SUMPRODUCT(--ISNUMBER(SEARCH(","&amp;TRIM(TEXTSPLIT(EO6,","))&amp;",",","&amp;SUBSTITUTE(input_faculty_expertise," ","")&amp;",")))=COUNTA(TEXTSPLIT(EO6,",")))),IF(EQ6="",TRUE,IF(input_faculty_expertise="",TRUE,SUMPRODUCT(--ISNUMBER(SEARCH(","&amp;TRIM(TEXTSPLIT(EQ6,","))&amp;",",","&amp;SUBSTITUTE(input_faculty_expertise," ","")&amp;",")))=0)),IF(ES6="",TRUE,IF(input_faculty_expertise="",FALSE,SUMPRODUCT(--ISNUMBER(SEARCH(","&amp;TRIM(TEXTSPLIT(ES6,","))&amp;",",","&amp;SUBSTITUTE(input_faculty_expertise," ","")&amp;",")))&gt;0)),IF(EU6="",TRUE,IF(input_faculty_expertise="",FALSE,SUMPRODUCT(--ISNUMBER(SEARCH(","&amp;TRIM(TEXTSPLIT(EU6,","))&amp;",",","&amp;SUBSTITUTE(input_faculty_expertise," ","")&amp;",")))=COUNTA(TEXTSPLIT(EU6,",")))))</f>
        <v/>
      </c>
      <c r="JH6" s="19">
        <f>AND(IF(EW6="",TRUE,IF(input_global_network_school="",FALSE,SUMPRODUCT(--ISNUMBER(SEARCH(","&amp;TRIM(TEXTSPLIT(EW6,","))&amp;",",","&amp;SUBSTITUTE(input_global_network_school," ","")&amp;",")))&gt;0)),IF(EY6="",TRUE,IF(input_global_network_school="",FALSE,SUMPRODUCT(--ISNUMBER(SEARCH(","&amp;TRIM(TEXTSPLIT(EY6,","))&amp;",",","&amp;SUBSTITUTE(input_global_network_school," ","")&amp;",")))=COUNTA(TEXTSPLIT(EY6,",")))),IF(FA6="",TRUE,IF(input_global_network_school="",TRUE,SUMPRODUCT(--ISNUMBER(SEARCH(","&amp;TRIM(TEXTSPLIT(FA6,","))&amp;",",","&amp;SUBSTITUTE(input_global_network_school," ","")&amp;",")))=0)),IF(FC6="",TRUE,IF(input_global_network_school="",FALSE,SUMPRODUCT(--ISNUMBER(SEARCH(","&amp;TRIM(TEXTSPLIT(FC6,","))&amp;",",","&amp;SUBSTITUTE(input_global_network_school," ","")&amp;",")))&gt;0)),IF(FE6="",TRUE,IF(input_global_network_school="",FALSE,SUMPRODUCT(--ISNUMBER(SEARCH(","&amp;TRIM(TEXTSPLIT(FE6,","))&amp;",",","&amp;SUBSTITUTE(input_global_network_school," ","")&amp;",")))=COUNTA(TEXTSPLIT(FE6,",")))))</f>
        <v/>
      </c>
      <c r="JI6" s="19">
        <f>AND(IF(FG6="",TRUE,IF(input_industry="",FALSE,SUMPRODUCT(--ISNUMBER(SEARCH(","&amp;TRIM(TEXTSPLIT(FG6,","))&amp;",",","&amp;SUBSTITUTE(input_industry," ","")&amp;",")))&gt;0)),IF(FI6="",TRUE,IF(input_industry="",FALSE,SUMPRODUCT(--ISNUMBER(SEARCH(","&amp;TRIM(TEXTSPLIT(FI6,","))&amp;",",","&amp;SUBSTITUTE(input_industry," ","")&amp;",")))=COUNTA(TEXTSPLIT(FI6,",")))),IF(FK6="",TRUE,IF(input_industry="",TRUE,SUMPRODUCT(--ISNUMBER(SEARCH(","&amp;TRIM(TEXTSPLIT(FK6,","))&amp;",",","&amp;SUBSTITUTE(input_industry," ","")&amp;",")))=0)),IF(FM6="",TRUE,IF(input_industry="",FALSE,SUMPRODUCT(--ISNUMBER(SEARCH(","&amp;TRIM(TEXTSPLIT(FM6,","))&amp;",",","&amp;SUBSTITUTE(input_industry," ","")&amp;",")))&gt;0)),IF(FO6="",TRUE,IF(input_industry="",FALSE,SUMPRODUCT(--ISNUMBER(SEARCH(","&amp;TRIM(TEXTSPLIT(FO6,","))&amp;",",","&amp;SUBSTITUTE(input_industry," ","")&amp;",")))=COUNTA(TEXTSPLIT(FO6,",")))))</f>
        <v/>
      </c>
      <c r="JJ6" s="19">
        <f>AND(IF(FQ6="",TRUE,IF(input_location="",FALSE,SUMPRODUCT(--ISNUMBER(SEARCH(","&amp;TRIM(TEXTSPLIT(FQ6,","))&amp;",",","&amp;SUBSTITUTE(input_location," ","")&amp;",")))&gt;0)),IF(FS6="",TRUE,IF(input_location="",FALSE,SUMPRODUCT(--ISNUMBER(SEARCH(","&amp;TRIM(TEXTSPLIT(FS6,","))&amp;",",","&amp;SUBSTITUTE(input_location," ","")&amp;",")))=COUNTA(TEXTSPLIT(FS6,",")))),IF(FU6="",TRUE,IF(input_location="",TRUE,SUMPRODUCT(--ISNUMBER(SEARCH(","&amp;TRIM(TEXTSPLIT(FU6,","))&amp;",",","&amp;SUBSTITUTE(input_location," ","")&amp;",")))=0)),IF(FW6="",TRUE,IF(input_location="",FALSE,SUMPRODUCT(--ISNUMBER(SEARCH(","&amp;TRIM(TEXTSPLIT(FW6,","))&amp;",",","&amp;SUBSTITUTE(input_location," ","")&amp;",")))&gt;0)),IF(FY6="",TRUE,IF(input_location="",FALSE,SUMPRODUCT(--ISNUMBER(SEARCH(","&amp;TRIM(TEXTSPLIT(FY6,","))&amp;",",","&amp;SUBSTITUTE(input_location," ","")&amp;",")))=COUNTA(TEXTSPLIT(FY6,",")))))</f>
        <v/>
      </c>
      <c r="JK6" s="19">
        <f>AND(IF(GA6="",TRUE,IF(input_modality="",FALSE,SUMPRODUCT(--ISNUMBER(SEARCH(","&amp;TRIM(TEXTSPLIT(GA6,","))&amp;",",","&amp;SUBSTITUTE(input_modality," ","")&amp;",")))&gt;0)),IF(GC6="",TRUE,IF(input_modality="",FALSE,SUMPRODUCT(--ISNUMBER(SEARCH(","&amp;TRIM(TEXTSPLIT(GC6,","))&amp;",",","&amp;SUBSTITUTE(input_modality," ","")&amp;",")))=COUNTA(TEXTSPLIT(GC6,",")))),IF(GE6="",TRUE,IF(input_modality="",TRUE,SUMPRODUCT(--ISNUMBER(SEARCH(","&amp;TRIM(TEXTSPLIT(GE6,","))&amp;",",","&amp;SUBSTITUTE(input_modality," ","")&amp;",")))=0)),IF(GG6="",TRUE,IF(input_modality="",FALSE,SUMPRODUCT(--ISNUMBER(SEARCH(","&amp;TRIM(TEXTSPLIT(GG6,","))&amp;",",","&amp;SUBSTITUTE(input_modality," ","")&amp;",")))&gt;0)),IF(GI6="",TRUE,IF(input_modality="",FALSE,SUMPRODUCT(--ISNUMBER(SEARCH(","&amp;TRIM(TEXTSPLIT(GI6,","))&amp;",",","&amp;SUBSTITUTE(input_modality," ","")&amp;",")))=COUNTA(TEXTSPLIT(GI6,",")))))</f>
        <v/>
      </c>
      <c r="JL6" s="19">
        <f>AND(IF(GK6="",TRUE,IF(input_organizer="",FALSE,SUMPRODUCT(--ISNUMBER(SEARCH(","&amp;TRIM(TEXTSPLIT(GK6,","))&amp;",",","&amp;SUBSTITUTE(input_organizer," ","")&amp;",")))&gt;0)),IF(GM6="",TRUE,IF(input_organizer="",FALSE,SUMPRODUCT(--ISNUMBER(SEARCH(","&amp;TRIM(TEXTSPLIT(GM6,","))&amp;",",","&amp;SUBSTITUTE(input_organizer," ","")&amp;",")))=COUNTA(TEXTSPLIT(GM6,",")))),IF(GO6="",TRUE,IF(input_organizer="",TRUE,SUMPRODUCT(--ISNUMBER(SEARCH(","&amp;TRIM(TEXTSPLIT(GO6,","))&amp;",",","&amp;SUBSTITUTE(input_organizer," ","")&amp;",")))=0)),IF(GQ6="",TRUE,IF(input_organizer="",FALSE,SUMPRODUCT(--ISNUMBER(SEARCH(","&amp;TRIM(TEXTSPLIT(GQ6,","))&amp;",",","&amp;SUBSTITUTE(input_organizer," ","")&amp;",")))&gt;0)),IF(GS6="",TRUE,IF(input_organizer="",FALSE,SUMPRODUCT(--ISNUMBER(SEARCH(","&amp;TRIM(TEXTSPLIT(GS6,","))&amp;",",","&amp;SUBSTITUTE(input_organizer," ","")&amp;",")))=COUNTA(TEXTSPLIT(GS6,",")))))</f>
        <v/>
      </c>
      <c r="JM6" s="19">
        <f>AND(IF(GU6="",TRUE,IF(input_profile_type="",FALSE,SUMPRODUCT(--ISNUMBER(SEARCH(","&amp;TRIM(TEXTSPLIT(GU6,","))&amp;",",","&amp;SUBSTITUTE(input_profile_type," ","")&amp;",")))&gt;0)),IF(GW6="",TRUE,IF(input_profile_type="",FALSE,SUMPRODUCT(--ISNUMBER(SEARCH(","&amp;TRIM(TEXTSPLIT(GW6,","))&amp;",",","&amp;SUBSTITUTE(input_profile_type," ","")&amp;",")))=COUNTA(TEXTSPLIT(GW6,",")))),IF(GY6="",TRUE,IF(input_profile_type="",TRUE,SUMPRODUCT(--ISNUMBER(SEARCH(","&amp;TRIM(TEXTSPLIT(GY6,","))&amp;",",","&amp;SUBSTITUTE(input_profile_type," ","")&amp;",")))=0)),IF(HA6="",TRUE,IF(input_profile_type="",FALSE,SUMPRODUCT(--ISNUMBER(SEARCH(","&amp;TRIM(TEXTSPLIT(HA6,","))&amp;",",","&amp;SUBSTITUTE(input_profile_type," ","")&amp;",")))&gt;0)),IF(HC6="",TRUE,IF(input_profile_type="",FALSE,SUMPRODUCT(--ISNUMBER(SEARCH(","&amp;TRIM(TEXTSPLIT(HC6,","))&amp;",",","&amp;SUBSTITUTE(input_profile_type," ","")&amp;",")))=COUNTA(TEXTSPLIT(HC6,",")))))</f>
        <v/>
      </c>
      <c r="JN6" s="19">
        <f>AND(IF(HE6="",TRUE,IF(input_program="",FALSE,SUMPRODUCT(--ISNUMBER(SEARCH(","&amp;TRIM(TEXTSPLIT(HE6,","))&amp;",",","&amp;SUBSTITUTE(input_program," ","")&amp;",")))&gt;0)),IF(HG6="",TRUE,IF(input_program="",FALSE,SUMPRODUCT(--ISNUMBER(SEARCH(","&amp;TRIM(TEXTSPLIT(HG6,","))&amp;",",","&amp;SUBSTITUTE(input_program," ","")&amp;",")))=COUNTA(TEXTSPLIT(HG6,",")))),IF(HI6="",TRUE,IF(input_program="",TRUE,SUMPRODUCT(--ISNUMBER(SEARCH(","&amp;TRIM(TEXTSPLIT(HI6,","))&amp;",",","&amp;SUBSTITUTE(input_program," ","")&amp;",")))=0)),IF(HK6="",TRUE,IF(input_program="",FALSE,SUMPRODUCT(--ISNUMBER(SEARCH(","&amp;TRIM(TEXTSPLIT(HK6,","))&amp;",",","&amp;SUBSTITUTE(input_program," ","")&amp;",")))&gt;0)),IF(HM6="",TRUE,IF(input_program="",FALSE,SUMPRODUCT(--ISNUMBER(SEARCH(","&amp;TRIM(TEXTSPLIT(HM6,","))&amp;",",","&amp;SUBSTITUTE(input_program," ","")&amp;",")))=COUNTA(TEXTSPLIT(HM6,",")))))</f>
        <v/>
      </c>
      <c r="JO6" s="19">
        <f>AND(IF(HO6="",TRUE,IF(input_story_categories="",FALSE,SUMPRODUCT(--ISNUMBER(SEARCH(","&amp;TRIM(TEXTSPLIT(HO6,","))&amp;",",","&amp;SUBSTITUTE(input_story_categories," ","")&amp;",")))&gt;0)),IF(HQ6="",TRUE,IF(input_story_categories="",FALSE,SUMPRODUCT(--ISNUMBER(SEARCH(","&amp;TRIM(TEXTSPLIT(HQ6,","))&amp;",",","&amp;SUBSTITUTE(input_story_categories," ","")&amp;",")))=COUNTA(TEXTSPLIT(HQ6,",")))),IF(HS6="",TRUE,IF(input_story_categories="",TRUE,SUMPRODUCT(--ISNUMBER(SEARCH(","&amp;TRIM(TEXTSPLIT(HS6,","))&amp;",",","&amp;SUBSTITUTE(input_story_categories," ","")&amp;",")))=0)),IF(HU6="",TRUE,IF(input_story_categories="",FALSE,SUMPRODUCT(--ISNUMBER(SEARCH(","&amp;TRIM(TEXTSPLIT(HU6,","))&amp;",",","&amp;SUBSTITUTE(input_story_categories," ","")&amp;",")))&gt;0)),IF(HW6="",TRUE,IF(input_story_categories="",FALSE,SUMPRODUCT(--ISNUMBER(SEARCH(","&amp;TRIM(TEXTSPLIT(HW6,","))&amp;",",","&amp;SUBSTITUTE(input_story_categories," ","")&amp;",")))=COUNTA(TEXTSPLIT(HW6,",")))))</f>
        <v/>
      </c>
      <c r="JP6" s="19">
        <f>AND(IF(HY6="",TRUE,IF(input_story_type="",FALSE,SUMPRODUCT(--ISNUMBER(SEARCH(","&amp;TRIM(TEXTSPLIT(HY6,","))&amp;",",","&amp;SUBSTITUTE(input_story_type," ","")&amp;",")))&gt;0)),IF(IA6="",TRUE,IF(input_story_type="",FALSE,SUMPRODUCT(--ISNUMBER(SEARCH(","&amp;TRIM(TEXTSPLIT(IA6,","))&amp;",",","&amp;SUBSTITUTE(input_story_type," ","")&amp;",")))=COUNTA(TEXTSPLIT(IA6,",")))),IF(IC6="",TRUE,IF(input_story_type="",TRUE,SUMPRODUCT(--ISNUMBER(SEARCH(","&amp;TRIM(TEXTSPLIT(IC6,","))&amp;",",","&amp;SUBSTITUTE(input_story_type," ","")&amp;",")))=0)),IF(IE6="",TRUE,IF(input_story_type="",FALSE,SUMPRODUCT(--ISNUMBER(SEARCH(","&amp;TRIM(TEXTSPLIT(IE6,","))&amp;",",","&amp;SUBSTITUTE(input_story_type," ","")&amp;",")))&gt;0)),IF(IG6="",TRUE,IF(input_story_type="",FALSE,SUMPRODUCT(--ISNUMBER(SEARCH(","&amp;TRIM(TEXTSPLIT(IG6,","))&amp;",",","&amp;SUBSTITUTE(input_story_type," ","")&amp;",")))=COUNTA(TEXTSPLIT(IG6,",")))))</f>
        <v/>
      </c>
      <c r="JQ6" s="19">
        <f>AND(IF(II6="",TRUE,IF(input_topics="",FALSE,SUMPRODUCT(--ISNUMBER(SEARCH(","&amp;TRIM(TEXTSPLIT(II6,","))&amp;",",","&amp;SUBSTITUTE(input_topics," ","")&amp;",")))&gt;0)),IF(IK6="",TRUE,IF(input_topics="",FALSE,SUMPRODUCT(--ISNUMBER(SEARCH(","&amp;TRIM(TEXTSPLIT(IK6,","))&amp;",",","&amp;SUBSTITUTE(input_topics," ","")&amp;",")))=COUNTA(TEXTSPLIT(IK6,",")))),IF(IM6="",TRUE,IF(input_topics="",TRUE,SUMPRODUCT(--ISNUMBER(SEARCH(","&amp;TRIM(TEXTSPLIT(IM6,","))&amp;",",","&amp;SUBSTITUTE(input_topics," ","")&amp;",")))=0)),IF(IO6="",TRUE,IF(input_topics="",FALSE,SUMPRODUCT(--ISNUMBER(SEARCH(","&amp;TRIM(TEXTSPLIT(IO6,","))&amp;",",","&amp;SUBSTITUTE(input_topics," ","")&amp;",")))&gt;0)),IF(IQ6="",TRUE,IF(input_topics="",FALSE,SUMPRODUCT(--ISNUMBER(SEARCH(","&amp;TRIM(TEXTSPLIT(IQ6,","))&amp;",",","&amp;SUBSTITUTE(input_topics," ","")&amp;",")))=COUNTA(TEXTSPLIT(IQ6,",")))))</f>
        <v/>
      </c>
    </row>
    <row r="7">
      <c r="A7" s="24">
        <f>IF(NOT(IS7),"Excluded",IF(AND(IT7,IU7,IV7,IW7,IX7,IY7,IZ7,JA7,JB7,JC7,JD7,JE7,JF7,JG7,JH7,JI7,JJ7,JK7,JL7,JM7,JN7,JO7,JP7,JQ7),IF(I7&gt;0,"Eligible but limited","Will appear"),"Excluded"))</f>
        <v/>
      </c>
      <c r="B7" s="24" t="inlineStr">
        <is>
          <t>All blogs</t>
        </is>
      </c>
      <c r="C7" s="27" t="inlineStr">
        <is>
          <t>/centers/center-for-customer-insights</t>
        </is>
      </c>
      <c r="D7" s="24" t="inlineStr">
        <is>
          <t>/centers/center-for-customer-insights</t>
        </is>
      </c>
      <c r="E7" s="24" t="n">
        <v>1</v>
      </c>
      <c r="F7" s="24" t="inlineStr">
        <is>
          <t>story</t>
        </is>
      </c>
      <c r="G7" s="24" t="inlineStr">
        <is>
          <t>stories_grid_with_images</t>
        </is>
      </c>
      <c r="H7" s="24" t="inlineStr">
        <is>
          <t>embed_blog</t>
        </is>
      </c>
      <c r="I7" s="24" t="n">
        <v>3</v>
      </c>
      <c r="J7" s="29" t="inlineStr">
        <is>
          <t>Section inferred</t>
        </is>
      </c>
      <c r="K7" s="24" t="inlineStr">
        <is>
          <t>Page placement</t>
        </is>
      </c>
      <c r="L7" s="24" t="inlineStr">
        <is>
          <t>Content type: story; Context uses Courses Context: Center for Customer Insights (944); Needs any Story Type: Blog (974); Limited to 3 item(s); Source: Section inferred</t>
        </is>
      </c>
      <c r="BQ7" s="19" t="inlineStr">
        <is>
          <t>944</t>
        </is>
      </c>
      <c r="BR7" s="19" t="inlineStr">
        <is>
          <t>Center for Customer Insights (944)</t>
        </is>
      </c>
      <c r="HY7" s="19" t="inlineStr">
        <is>
          <t>974</t>
        </is>
      </c>
      <c r="HZ7" s="19" t="inlineStr">
        <is>
          <t>Blog (974)</t>
        </is>
      </c>
      <c r="IS7" s="19">
        <f>IF(input_content_type="",FALSE,ISNUMBER(SEARCH(","&amp;LOWER(input_content_type)&amp;",",","&amp;LOWER(SUBSTITUTE(F7," ",""))&amp;",")))</f>
        <v/>
      </c>
      <c r="IT7" s="19">
        <f>AND(IF(M7="",TRUE,IF(input_affiliations="",FALSE,SUMPRODUCT(--ISNUMBER(SEARCH(","&amp;TRIM(TEXTSPLIT(M7,","))&amp;",",","&amp;SUBSTITUTE(input_affiliations," ","")&amp;",")))&gt;0)),IF(O7="",TRUE,IF(input_affiliations="",FALSE,SUMPRODUCT(--ISNUMBER(SEARCH(","&amp;TRIM(TEXTSPLIT(O7,","))&amp;",",","&amp;SUBSTITUTE(input_affiliations," ","")&amp;",")))=COUNTA(TEXTSPLIT(O7,",")))),IF(Q7="",TRUE,IF(input_affiliations="",TRUE,SUMPRODUCT(--ISNUMBER(SEARCH(","&amp;TRIM(TEXTSPLIT(Q7,","))&amp;",",","&amp;SUBSTITUTE(input_affiliations," ","")&amp;",")))=0)),IF(S7="",TRUE,IF(input_affiliations="",FALSE,SUMPRODUCT(--ISNUMBER(SEARCH(","&amp;TRIM(TEXTSPLIT(S7,","))&amp;",",","&amp;SUBSTITUTE(input_affiliations," ","")&amp;",")))&gt;0)),IF(U7="",TRUE,IF(input_affiliations="",FALSE,SUMPRODUCT(--ISNUMBER(SEARCH(","&amp;TRIM(TEXTSPLIT(U7,","))&amp;",",","&amp;SUBSTITUTE(input_affiliations," ","")&amp;",")))=COUNTA(TEXTSPLIT(U7,",")))))</f>
        <v/>
      </c>
      <c r="IU7" s="19">
        <f>AND(IF(W7="",TRUE,IF(input_announcement_category="",FALSE,SUMPRODUCT(--ISNUMBER(SEARCH(","&amp;TRIM(TEXTSPLIT(W7,","))&amp;",",","&amp;SUBSTITUTE(input_announcement_category," ","")&amp;",")))&gt;0)),IF(Y7="",TRUE,IF(input_announcement_category="",FALSE,SUMPRODUCT(--ISNUMBER(SEARCH(","&amp;TRIM(TEXTSPLIT(Y7,","))&amp;",",","&amp;SUBSTITUTE(input_announcement_category," ","")&amp;",")))=COUNTA(TEXTSPLIT(Y7,",")))),IF(AA7="",TRUE,IF(input_announcement_category="",TRUE,SUMPRODUCT(--ISNUMBER(SEARCH(","&amp;TRIM(TEXTSPLIT(AA7,","))&amp;",",","&amp;SUBSTITUTE(input_announcement_category," ","")&amp;",")))=0)),IF(AC7="",TRUE,IF(input_announcement_category="",FALSE,SUMPRODUCT(--ISNUMBER(SEARCH(","&amp;TRIM(TEXTSPLIT(AC7,","))&amp;",",","&amp;SUBSTITUTE(input_announcement_category," ","")&amp;",")))&gt;0)),IF(AE7="",TRUE,IF(input_announcement_category="",FALSE,SUMPRODUCT(--ISNUMBER(SEARCH(","&amp;TRIM(TEXTSPLIT(AE7,","))&amp;",",","&amp;SUBSTITUTE(input_announcement_category," ","")&amp;",")))=COUNTA(TEXTSPLIT(AE7,",")))))</f>
        <v/>
      </c>
      <c r="IV7" s="19">
        <f>AND(IF(AG7="",TRUE,IF(input_area_of_focus="",FALSE,SUMPRODUCT(--ISNUMBER(SEARCH(","&amp;TRIM(TEXTSPLIT(AG7,","))&amp;",",","&amp;SUBSTITUTE(input_area_of_focus," ","")&amp;",")))&gt;0)),IF(AI7="",TRUE,IF(input_area_of_focus="",FALSE,SUMPRODUCT(--ISNUMBER(SEARCH(","&amp;TRIM(TEXTSPLIT(AI7,","))&amp;",",","&amp;SUBSTITUTE(input_area_of_focus," ","")&amp;",")))=COUNTA(TEXTSPLIT(AI7,",")))),IF(AK7="",TRUE,IF(input_area_of_focus="",TRUE,SUMPRODUCT(--ISNUMBER(SEARCH(","&amp;TRIM(TEXTSPLIT(AK7,","))&amp;",",","&amp;SUBSTITUTE(input_area_of_focus," ","")&amp;",")))=0)),IF(AM7="",TRUE,IF(input_area_of_focus="",FALSE,SUMPRODUCT(--ISNUMBER(SEARCH(","&amp;TRIM(TEXTSPLIT(AM7,","))&amp;",",","&amp;SUBSTITUTE(input_area_of_focus," ","")&amp;",")))&gt;0)),IF(AO7="",TRUE,IF(input_area_of_focus="",FALSE,SUMPRODUCT(--ISNUMBER(SEARCH(","&amp;TRIM(TEXTSPLIT(AO7,","))&amp;",",","&amp;SUBSTITUTE(input_area_of_focus," ","")&amp;",")))=COUNTA(TEXTSPLIT(AO7,",")))))</f>
        <v/>
      </c>
      <c r="IW7" s="19">
        <f>AND(IF(AQ7="",TRUE,IF(input_audience="",FALSE,SUMPRODUCT(--ISNUMBER(SEARCH(","&amp;TRIM(TEXTSPLIT(AQ7,","))&amp;",",","&amp;SUBSTITUTE(input_audience," ","")&amp;",")))&gt;0)),IF(AS7="",TRUE,IF(input_audience="",FALSE,SUMPRODUCT(--ISNUMBER(SEARCH(","&amp;TRIM(TEXTSPLIT(AS7,","))&amp;",",","&amp;SUBSTITUTE(input_audience," ","")&amp;",")))=COUNTA(TEXTSPLIT(AS7,",")))),IF(AU7="",TRUE,IF(input_audience="",TRUE,SUMPRODUCT(--ISNUMBER(SEARCH(","&amp;TRIM(TEXTSPLIT(AU7,","))&amp;",",","&amp;SUBSTITUTE(input_audience," ","")&amp;",")))=0)),IF(AW7="",TRUE,IF(input_audience="",FALSE,SUMPRODUCT(--ISNUMBER(SEARCH(","&amp;TRIM(TEXTSPLIT(AW7,","))&amp;",",","&amp;SUBSTITUTE(input_audience," ","")&amp;",")))&gt;0)),IF(AY7="",TRUE,IF(input_audience="",FALSE,SUMPRODUCT(--ISNUMBER(SEARCH(","&amp;TRIM(TEXTSPLIT(AY7,","))&amp;",",","&amp;SUBSTITUTE(input_audience," ","")&amp;",")))=COUNTA(TEXTSPLIT(AY7,",")))))</f>
        <v/>
      </c>
      <c r="IX7" s="19">
        <f>AND(IF(BA7="",TRUE,IF(input_challenge_opportunities="",FALSE,SUMPRODUCT(--ISNUMBER(SEARCH(","&amp;TRIM(TEXTSPLIT(BA7,","))&amp;",",","&amp;SUBSTITUTE(input_challenge_opportunities," ","")&amp;",")))&gt;0)),IF(BC7="",TRUE,IF(input_challenge_opportunities="",FALSE,SUMPRODUCT(--ISNUMBER(SEARCH(","&amp;TRIM(TEXTSPLIT(BC7,","))&amp;",",","&amp;SUBSTITUTE(input_challenge_opportunities," ","")&amp;",")))=COUNTA(TEXTSPLIT(BC7,",")))),IF(BE7="",TRUE,IF(input_challenge_opportunities="",TRUE,SUMPRODUCT(--ISNUMBER(SEARCH(","&amp;TRIM(TEXTSPLIT(BE7,","))&amp;",",","&amp;SUBSTITUTE(input_challenge_opportunities," ","")&amp;",")))=0)),IF(BG7="",TRUE,IF(input_challenge_opportunities="",FALSE,SUMPRODUCT(--ISNUMBER(SEARCH(","&amp;TRIM(TEXTSPLIT(BG7,","))&amp;",",","&amp;SUBSTITUTE(input_challenge_opportunities," ","")&amp;",")))&gt;0)),IF(BI7="",TRUE,IF(input_challenge_opportunities="",FALSE,SUMPRODUCT(--ISNUMBER(SEARCH(","&amp;TRIM(TEXTSPLIT(BI7,","))&amp;",",","&amp;SUBSTITUTE(input_challenge_opportunities," ","")&amp;",")))=COUNTA(TEXTSPLIT(BI7,",")))))</f>
        <v/>
      </c>
      <c r="IY7" s="19">
        <f>AND(IF(BK7="",TRUE,IF(input_context="",FALSE,SUMPRODUCT(--ISNUMBER(SEARCH(","&amp;TRIM(TEXTSPLIT(BK7,","))&amp;",",","&amp;SUBSTITUTE(input_context," ","")&amp;",")))&gt;0)),IF(BM7="",TRUE,IF(input_context="",FALSE,SUMPRODUCT(--ISNUMBER(SEARCH(","&amp;TRIM(TEXTSPLIT(BM7,","))&amp;",",","&amp;SUBSTITUTE(input_context," ","")&amp;",")))=COUNTA(TEXTSPLIT(BM7,",")))),IF(BO7="",TRUE,IF(input_context="",TRUE,SUMPRODUCT(--ISNUMBER(SEARCH(","&amp;TRIM(TEXTSPLIT(BO7,","))&amp;",",","&amp;SUBSTITUTE(input_context," ","")&amp;",")))=0)),IF(BQ7="",TRUE,IF(input_context="",FALSE,SUMPRODUCT(--ISNUMBER(SEARCH(","&amp;TRIM(TEXTSPLIT(BQ7,","))&amp;",",","&amp;SUBSTITUTE(input_context," ","")&amp;",")))&gt;0)),IF(BS7="",TRUE,IF(input_context="",FALSE,SUMPRODUCT(--ISNUMBER(SEARCH(","&amp;TRIM(TEXTSPLIT(BS7,","))&amp;",",","&amp;SUBSTITUTE(input_context," ","")&amp;",")))=COUNTA(TEXTSPLIT(BS7,",")))))</f>
        <v/>
      </c>
      <c r="IZ7" s="19">
        <f>AND(IF(BU7="",TRUE,IF(input_enews_announcement_type="",FALSE,SUMPRODUCT(--ISNUMBER(SEARCH(","&amp;TRIM(TEXTSPLIT(BU7,","))&amp;",",","&amp;SUBSTITUTE(input_enews_announcement_type," ","")&amp;",")))&gt;0)),IF(BW7="",TRUE,IF(input_enews_announcement_type="",FALSE,SUMPRODUCT(--ISNUMBER(SEARCH(","&amp;TRIM(TEXTSPLIT(BW7,","))&amp;",",","&amp;SUBSTITUTE(input_enews_announcement_type," ","")&amp;",")))=COUNTA(TEXTSPLIT(BW7,",")))),IF(BY7="",TRUE,IF(input_enews_announcement_type="",TRUE,SUMPRODUCT(--ISNUMBER(SEARCH(","&amp;TRIM(TEXTSPLIT(BY7,","))&amp;",",","&amp;SUBSTITUTE(input_enews_announcement_type," ","")&amp;",")))=0)),IF(CA7="",TRUE,IF(input_enews_announcement_type="",FALSE,SUMPRODUCT(--ISNUMBER(SEARCH(","&amp;TRIM(TEXTSPLIT(CA7,","))&amp;",",","&amp;SUBSTITUTE(input_enews_announcement_type," ","")&amp;",")))&gt;0)),IF(CC7="",TRUE,IF(input_enews_announcement_type="",FALSE,SUMPRODUCT(--ISNUMBER(SEARCH(","&amp;TRIM(TEXTSPLIT(CC7,","))&amp;",",","&amp;SUBSTITUTE(input_enews_announcement_type," ","")&amp;",")))=COUNTA(TEXTSPLIT(CC7,",")))))</f>
        <v/>
      </c>
      <c r="JA7" s="19">
        <f>AND(IF(CE7="",TRUE,IF(input_enews_audience="",FALSE,SUMPRODUCT(--ISNUMBER(SEARCH(","&amp;TRIM(TEXTSPLIT(CE7,","))&amp;",",","&amp;SUBSTITUTE(input_enews_audience," ","")&amp;",")))&gt;0)),IF(CG7="",TRUE,IF(input_enews_audience="",FALSE,SUMPRODUCT(--ISNUMBER(SEARCH(","&amp;TRIM(TEXTSPLIT(CG7,","))&amp;",",","&amp;SUBSTITUTE(input_enews_audience," ","")&amp;",")))=COUNTA(TEXTSPLIT(CG7,",")))),IF(CI7="",TRUE,IF(input_enews_audience="",TRUE,SUMPRODUCT(--ISNUMBER(SEARCH(","&amp;TRIM(TEXTSPLIT(CI7,","))&amp;",",","&amp;SUBSTITUTE(input_enews_audience," ","")&amp;",")))=0)),IF(CK7="",TRUE,IF(input_enews_audience="",FALSE,SUMPRODUCT(--ISNUMBER(SEARCH(","&amp;TRIM(TEXTSPLIT(CK7,","))&amp;",",","&amp;SUBSTITUTE(input_enews_audience," ","")&amp;",")))&gt;0)),IF(CM7="",TRUE,IF(input_enews_audience="",FALSE,SUMPRODUCT(--ISNUMBER(SEARCH(","&amp;TRIM(TEXTSPLIT(CM7,","))&amp;",",","&amp;SUBSTITUTE(input_enews_audience," ","")&amp;",")))=COUNTA(TEXTSPLIT(CM7,",")))))</f>
        <v/>
      </c>
      <c r="JB7" s="19">
        <f>AND(IF(CO7="",TRUE,IF(input_event_location="",FALSE,SUMPRODUCT(--ISNUMBER(SEARCH(","&amp;TRIM(TEXTSPLIT(CO7,","))&amp;",",","&amp;SUBSTITUTE(input_event_location," ","")&amp;",")))&gt;0)),IF(CQ7="",TRUE,IF(input_event_location="",FALSE,SUMPRODUCT(--ISNUMBER(SEARCH(","&amp;TRIM(TEXTSPLIT(CQ7,","))&amp;",",","&amp;SUBSTITUTE(input_event_location," ","")&amp;",")))=COUNTA(TEXTSPLIT(CQ7,",")))),IF(CS7="",TRUE,IF(input_event_location="",TRUE,SUMPRODUCT(--ISNUMBER(SEARCH(","&amp;TRIM(TEXTSPLIT(CS7,","))&amp;",",","&amp;SUBSTITUTE(input_event_location," ","")&amp;",")))=0)),IF(CU7="",TRUE,IF(input_event_location="",FALSE,SUMPRODUCT(--ISNUMBER(SEARCH(","&amp;TRIM(TEXTSPLIT(CU7,","))&amp;",",","&amp;SUBSTITUTE(input_event_location," ","")&amp;",")))&gt;0)),IF(CW7="",TRUE,IF(input_event_location="",FALSE,SUMPRODUCT(--ISNUMBER(SEARCH(","&amp;TRIM(TEXTSPLIT(CW7,","))&amp;",",","&amp;SUBSTITUTE(input_event_location," ","")&amp;",")))=COUNTA(TEXTSPLIT(CW7,",")))))</f>
        <v/>
      </c>
      <c r="JC7" s="19">
        <f>AND(IF(CY7="",TRUE,IF(input_event_type="",FALSE,SUMPRODUCT(--ISNUMBER(SEARCH(","&amp;TRIM(TEXTSPLIT(CY7,","))&amp;",",","&amp;SUBSTITUTE(input_event_type," ","")&amp;",")))&gt;0)),IF(DA7="",TRUE,IF(input_event_type="",FALSE,SUMPRODUCT(--ISNUMBER(SEARCH(","&amp;TRIM(TEXTSPLIT(DA7,","))&amp;",",","&amp;SUBSTITUTE(input_event_type," ","")&amp;",")))=COUNTA(TEXTSPLIT(DA7,",")))),IF(DC7="",TRUE,IF(input_event_type="",TRUE,SUMPRODUCT(--ISNUMBER(SEARCH(","&amp;TRIM(TEXTSPLIT(DC7,","))&amp;",",","&amp;SUBSTITUTE(input_event_type," ","")&amp;",")))=0)),IF(DE7="",TRUE,IF(input_event_type="",FALSE,SUMPRODUCT(--ISNUMBER(SEARCH(","&amp;TRIM(TEXTSPLIT(DE7,","))&amp;",",","&amp;SUBSTITUTE(input_event_type," ","")&amp;",")))&gt;0)),IF(DG7="",TRUE,IF(input_event_type="",FALSE,SUMPRODUCT(--ISNUMBER(SEARCH(","&amp;TRIM(TEXTSPLIT(DG7,","))&amp;",",","&amp;SUBSTITUTE(input_event_type," ","")&amp;",")))=COUNTA(TEXTSPLIT(DG7,",")))))</f>
        <v/>
      </c>
      <c r="JD7" s="19">
        <f>AND(IF(DI7="",TRUE,IF(input_executive_education_focus="",FALSE,SUMPRODUCT(--ISNUMBER(SEARCH(","&amp;TRIM(TEXTSPLIT(DI7,","))&amp;",",","&amp;SUBSTITUTE(input_executive_education_focus," ","")&amp;",")))&gt;0)),IF(DK7="",TRUE,IF(input_executive_education_focus="",FALSE,SUMPRODUCT(--ISNUMBER(SEARCH(","&amp;TRIM(TEXTSPLIT(DK7,","))&amp;",",","&amp;SUBSTITUTE(input_executive_education_focus," ","")&amp;",")))=COUNTA(TEXTSPLIT(DK7,",")))),IF(DM7="",TRUE,IF(input_executive_education_focus="",TRUE,SUMPRODUCT(--ISNUMBER(SEARCH(","&amp;TRIM(TEXTSPLIT(DM7,","))&amp;",",","&amp;SUBSTITUTE(input_executive_education_focus," ","")&amp;",")))=0)),IF(DO7="",TRUE,IF(input_executive_education_focus="",FALSE,SUMPRODUCT(--ISNUMBER(SEARCH(","&amp;TRIM(TEXTSPLIT(DO7,","))&amp;",",","&amp;SUBSTITUTE(input_executive_education_focus," ","")&amp;",")))&gt;0)),IF(DQ7="",TRUE,IF(input_executive_education_focus="",FALSE,SUMPRODUCT(--ISNUMBER(SEARCH(","&amp;TRIM(TEXTSPLIT(DQ7,","))&amp;",",","&amp;SUBSTITUTE(input_executive_education_focus," ","")&amp;",")))=COUNTA(TEXTSPLIT(DQ7,",")))))</f>
        <v/>
      </c>
      <c r="JE7" s="19">
        <f>AND(IF(DS7="",TRUE,IF(input_faculty_category="",FALSE,SUMPRODUCT(--ISNUMBER(SEARCH(","&amp;TRIM(TEXTSPLIT(DS7,","))&amp;",",","&amp;SUBSTITUTE(input_faculty_category," ","")&amp;",")))&gt;0)),IF(DU7="",TRUE,IF(input_faculty_category="",FALSE,SUMPRODUCT(--ISNUMBER(SEARCH(","&amp;TRIM(TEXTSPLIT(DU7,","))&amp;",",","&amp;SUBSTITUTE(input_faculty_category," ","")&amp;",")))=COUNTA(TEXTSPLIT(DU7,",")))),IF(DW7="",TRUE,IF(input_faculty_category="",TRUE,SUMPRODUCT(--ISNUMBER(SEARCH(","&amp;TRIM(TEXTSPLIT(DW7,","))&amp;",",","&amp;SUBSTITUTE(input_faculty_category," ","")&amp;",")))=0)),IF(DY7="",TRUE,IF(input_faculty_category="",FALSE,SUMPRODUCT(--ISNUMBER(SEARCH(","&amp;TRIM(TEXTSPLIT(DY7,","))&amp;",",","&amp;SUBSTITUTE(input_faculty_category," ","")&amp;",")))&gt;0)),IF(EA7="",TRUE,IF(input_faculty_category="",FALSE,SUMPRODUCT(--ISNUMBER(SEARCH(","&amp;TRIM(TEXTSPLIT(EA7,","))&amp;",",","&amp;SUBSTITUTE(input_faculty_category," ","")&amp;",")))=COUNTA(TEXTSPLIT(EA7,",")))))</f>
        <v/>
      </c>
      <c r="JF7" s="19">
        <f>AND(IF(EC7="",TRUE,IF(input_faculty_discipline="",FALSE,SUMPRODUCT(--ISNUMBER(SEARCH(","&amp;TRIM(TEXTSPLIT(EC7,","))&amp;",",","&amp;SUBSTITUTE(input_faculty_discipline," ","")&amp;",")))&gt;0)),IF(EE7="",TRUE,IF(input_faculty_discipline="",FALSE,SUMPRODUCT(--ISNUMBER(SEARCH(","&amp;TRIM(TEXTSPLIT(EE7,","))&amp;",",","&amp;SUBSTITUTE(input_faculty_discipline," ","")&amp;",")))=COUNTA(TEXTSPLIT(EE7,",")))),IF(EG7="",TRUE,IF(input_faculty_discipline="",TRUE,SUMPRODUCT(--ISNUMBER(SEARCH(","&amp;TRIM(TEXTSPLIT(EG7,","))&amp;",",","&amp;SUBSTITUTE(input_faculty_discipline," ","")&amp;",")))=0)),IF(EI7="",TRUE,IF(input_faculty_discipline="",FALSE,SUMPRODUCT(--ISNUMBER(SEARCH(","&amp;TRIM(TEXTSPLIT(EI7,","))&amp;",",","&amp;SUBSTITUTE(input_faculty_discipline," ","")&amp;",")))&gt;0)),IF(EK7="",TRUE,IF(input_faculty_discipline="",FALSE,SUMPRODUCT(--ISNUMBER(SEARCH(","&amp;TRIM(TEXTSPLIT(EK7,","))&amp;",",","&amp;SUBSTITUTE(input_faculty_discipline," ","")&amp;",")))=COUNTA(TEXTSPLIT(EK7,",")))))</f>
        <v/>
      </c>
      <c r="JG7" s="19">
        <f>AND(IF(EM7="",TRUE,IF(input_faculty_expertise="",FALSE,SUMPRODUCT(--ISNUMBER(SEARCH(","&amp;TRIM(TEXTSPLIT(EM7,","))&amp;",",","&amp;SUBSTITUTE(input_faculty_expertise," ","")&amp;",")))&gt;0)),IF(EO7="",TRUE,IF(input_faculty_expertise="",FALSE,SUMPRODUCT(--ISNUMBER(SEARCH(","&amp;TRIM(TEXTSPLIT(EO7,","))&amp;",",","&amp;SUBSTITUTE(input_faculty_expertise," ","")&amp;",")))=COUNTA(TEXTSPLIT(EO7,",")))),IF(EQ7="",TRUE,IF(input_faculty_expertise="",TRUE,SUMPRODUCT(--ISNUMBER(SEARCH(","&amp;TRIM(TEXTSPLIT(EQ7,","))&amp;",",","&amp;SUBSTITUTE(input_faculty_expertise," ","")&amp;",")))=0)),IF(ES7="",TRUE,IF(input_faculty_expertise="",FALSE,SUMPRODUCT(--ISNUMBER(SEARCH(","&amp;TRIM(TEXTSPLIT(ES7,","))&amp;",",","&amp;SUBSTITUTE(input_faculty_expertise," ","")&amp;",")))&gt;0)),IF(EU7="",TRUE,IF(input_faculty_expertise="",FALSE,SUMPRODUCT(--ISNUMBER(SEARCH(","&amp;TRIM(TEXTSPLIT(EU7,","))&amp;",",","&amp;SUBSTITUTE(input_faculty_expertise," ","")&amp;",")))=COUNTA(TEXTSPLIT(EU7,",")))))</f>
        <v/>
      </c>
      <c r="JH7" s="19">
        <f>AND(IF(EW7="",TRUE,IF(input_global_network_school="",FALSE,SUMPRODUCT(--ISNUMBER(SEARCH(","&amp;TRIM(TEXTSPLIT(EW7,","))&amp;",",","&amp;SUBSTITUTE(input_global_network_school," ","")&amp;",")))&gt;0)),IF(EY7="",TRUE,IF(input_global_network_school="",FALSE,SUMPRODUCT(--ISNUMBER(SEARCH(","&amp;TRIM(TEXTSPLIT(EY7,","))&amp;",",","&amp;SUBSTITUTE(input_global_network_school," ","")&amp;",")))=COUNTA(TEXTSPLIT(EY7,",")))),IF(FA7="",TRUE,IF(input_global_network_school="",TRUE,SUMPRODUCT(--ISNUMBER(SEARCH(","&amp;TRIM(TEXTSPLIT(FA7,","))&amp;",",","&amp;SUBSTITUTE(input_global_network_school," ","")&amp;",")))=0)),IF(FC7="",TRUE,IF(input_global_network_school="",FALSE,SUMPRODUCT(--ISNUMBER(SEARCH(","&amp;TRIM(TEXTSPLIT(FC7,","))&amp;",",","&amp;SUBSTITUTE(input_global_network_school," ","")&amp;",")))&gt;0)),IF(FE7="",TRUE,IF(input_global_network_school="",FALSE,SUMPRODUCT(--ISNUMBER(SEARCH(","&amp;TRIM(TEXTSPLIT(FE7,","))&amp;",",","&amp;SUBSTITUTE(input_global_network_school," ","")&amp;",")))=COUNTA(TEXTSPLIT(FE7,",")))))</f>
        <v/>
      </c>
      <c r="JI7" s="19">
        <f>AND(IF(FG7="",TRUE,IF(input_industry="",FALSE,SUMPRODUCT(--ISNUMBER(SEARCH(","&amp;TRIM(TEXTSPLIT(FG7,","))&amp;",",","&amp;SUBSTITUTE(input_industry," ","")&amp;",")))&gt;0)),IF(FI7="",TRUE,IF(input_industry="",FALSE,SUMPRODUCT(--ISNUMBER(SEARCH(","&amp;TRIM(TEXTSPLIT(FI7,","))&amp;",",","&amp;SUBSTITUTE(input_industry," ","")&amp;",")))=COUNTA(TEXTSPLIT(FI7,",")))),IF(FK7="",TRUE,IF(input_industry="",TRUE,SUMPRODUCT(--ISNUMBER(SEARCH(","&amp;TRIM(TEXTSPLIT(FK7,","))&amp;",",","&amp;SUBSTITUTE(input_industry," ","")&amp;",")))=0)),IF(FM7="",TRUE,IF(input_industry="",FALSE,SUMPRODUCT(--ISNUMBER(SEARCH(","&amp;TRIM(TEXTSPLIT(FM7,","))&amp;",",","&amp;SUBSTITUTE(input_industry," ","")&amp;",")))&gt;0)),IF(FO7="",TRUE,IF(input_industry="",FALSE,SUMPRODUCT(--ISNUMBER(SEARCH(","&amp;TRIM(TEXTSPLIT(FO7,","))&amp;",",","&amp;SUBSTITUTE(input_industry," ","")&amp;",")))=COUNTA(TEXTSPLIT(FO7,",")))))</f>
        <v/>
      </c>
      <c r="JJ7" s="19">
        <f>AND(IF(FQ7="",TRUE,IF(input_location="",FALSE,SUMPRODUCT(--ISNUMBER(SEARCH(","&amp;TRIM(TEXTSPLIT(FQ7,","))&amp;",",","&amp;SUBSTITUTE(input_location," ","")&amp;",")))&gt;0)),IF(FS7="",TRUE,IF(input_location="",FALSE,SUMPRODUCT(--ISNUMBER(SEARCH(","&amp;TRIM(TEXTSPLIT(FS7,","))&amp;",",","&amp;SUBSTITUTE(input_location," ","")&amp;",")))=COUNTA(TEXTSPLIT(FS7,",")))),IF(FU7="",TRUE,IF(input_location="",TRUE,SUMPRODUCT(--ISNUMBER(SEARCH(","&amp;TRIM(TEXTSPLIT(FU7,","))&amp;",",","&amp;SUBSTITUTE(input_location," ","")&amp;",")))=0)),IF(FW7="",TRUE,IF(input_location="",FALSE,SUMPRODUCT(--ISNUMBER(SEARCH(","&amp;TRIM(TEXTSPLIT(FW7,","))&amp;",",","&amp;SUBSTITUTE(input_location," ","")&amp;",")))&gt;0)),IF(FY7="",TRUE,IF(input_location="",FALSE,SUMPRODUCT(--ISNUMBER(SEARCH(","&amp;TRIM(TEXTSPLIT(FY7,","))&amp;",",","&amp;SUBSTITUTE(input_location," ","")&amp;",")))=COUNTA(TEXTSPLIT(FY7,",")))))</f>
        <v/>
      </c>
      <c r="JK7" s="19">
        <f>AND(IF(GA7="",TRUE,IF(input_modality="",FALSE,SUMPRODUCT(--ISNUMBER(SEARCH(","&amp;TRIM(TEXTSPLIT(GA7,","))&amp;",",","&amp;SUBSTITUTE(input_modality," ","")&amp;",")))&gt;0)),IF(GC7="",TRUE,IF(input_modality="",FALSE,SUMPRODUCT(--ISNUMBER(SEARCH(","&amp;TRIM(TEXTSPLIT(GC7,","))&amp;",",","&amp;SUBSTITUTE(input_modality," ","")&amp;",")))=COUNTA(TEXTSPLIT(GC7,",")))),IF(GE7="",TRUE,IF(input_modality="",TRUE,SUMPRODUCT(--ISNUMBER(SEARCH(","&amp;TRIM(TEXTSPLIT(GE7,","))&amp;",",","&amp;SUBSTITUTE(input_modality," ","")&amp;",")))=0)),IF(GG7="",TRUE,IF(input_modality="",FALSE,SUMPRODUCT(--ISNUMBER(SEARCH(","&amp;TRIM(TEXTSPLIT(GG7,","))&amp;",",","&amp;SUBSTITUTE(input_modality," ","")&amp;",")))&gt;0)),IF(GI7="",TRUE,IF(input_modality="",FALSE,SUMPRODUCT(--ISNUMBER(SEARCH(","&amp;TRIM(TEXTSPLIT(GI7,","))&amp;",",","&amp;SUBSTITUTE(input_modality," ","")&amp;",")))=COUNTA(TEXTSPLIT(GI7,",")))))</f>
        <v/>
      </c>
      <c r="JL7" s="19">
        <f>AND(IF(GK7="",TRUE,IF(input_organizer="",FALSE,SUMPRODUCT(--ISNUMBER(SEARCH(","&amp;TRIM(TEXTSPLIT(GK7,","))&amp;",",","&amp;SUBSTITUTE(input_organizer," ","")&amp;",")))&gt;0)),IF(GM7="",TRUE,IF(input_organizer="",FALSE,SUMPRODUCT(--ISNUMBER(SEARCH(","&amp;TRIM(TEXTSPLIT(GM7,","))&amp;",",","&amp;SUBSTITUTE(input_organizer," ","")&amp;",")))=COUNTA(TEXTSPLIT(GM7,",")))),IF(GO7="",TRUE,IF(input_organizer="",TRUE,SUMPRODUCT(--ISNUMBER(SEARCH(","&amp;TRIM(TEXTSPLIT(GO7,","))&amp;",",","&amp;SUBSTITUTE(input_organizer," ","")&amp;",")))=0)),IF(GQ7="",TRUE,IF(input_organizer="",FALSE,SUMPRODUCT(--ISNUMBER(SEARCH(","&amp;TRIM(TEXTSPLIT(GQ7,","))&amp;",",","&amp;SUBSTITUTE(input_organizer," ","")&amp;",")))&gt;0)),IF(GS7="",TRUE,IF(input_organizer="",FALSE,SUMPRODUCT(--ISNUMBER(SEARCH(","&amp;TRIM(TEXTSPLIT(GS7,","))&amp;",",","&amp;SUBSTITUTE(input_organizer," ","")&amp;",")))=COUNTA(TEXTSPLIT(GS7,",")))))</f>
        <v/>
      </c>
      <c r="JM7" s="19">
        <f>AND(IF(GU7="",TRUE,IF(input_profile_type="",FALSE,SUMPRODUCT(--ISNUMBER(SEARCH(","&amp;TRIM(TEXTSPLIT(GU7,","))&amp;",",","&amp;SUBSTITUTE(input_profile_type," ","")&amp;",")))&gt;0)),IF(GW7="",TRUE,IF(input_profile_type="",FALSE,SUMPRODUCT(--ISNUMBER(SEARCH(","&amp;TRIM(TEXTSPLIT(GW7,","))&amp;",",","&amp;SUBSTITUTE(input_profile_type," ","")&amp;",")))=COUNTA(TEXTSPLIT(GW7,",")))),IF(GY7="",TRUE,IF(input_profile_type="",TRUE,SUMPRODUCT(--ISNUMBER(SEARCH(","&amp;TRIM(TEXTSPLIT(GY7,","))&amp;",",","&amp;SUBSTITUTE(input_profile_type," ","")&amp;",")))=0)),IF(HA7="",TRUE,IF(input_profile_type="",FALSE,SUMPRODUCT(--ISNUMBER(SEARCH(","&amp;TRIM(TEXTSPLIT(HA7,","))&amp;",",","&amp;SUBSTITUTE(input_profile_type," ","")&amp;",")))&gt;0)),IF(HC7="",TRUE,IF(input_profile_type="",FALSE,SUMPRODUCT(--ISNUMBER(SEARCH(","&amp;TRIM(TEXTSPLIT(HC7,","))&amp;",",","&amp;SUBSTITUTE(input_profile_type," ","")&amp;",")))=COUNTA(TEXTSPLIT(HC7,",")))))</f>
        <v/>
      </c>
      <c r="JN7" s="19">
        <f>AND(IF(HE7="",TRUE,IF(input_program="",FALSE,SUMPRODUCT(--ISNUMBER(SEARCH(","&amp;TRIM(TEXTSPLIT(HE7,","))&amp;",",","&amp;SUBSTITUTE(input_program," ","")&amp;",")))&gt;0)),IF(HG7="",TRUE,IF(input_program="",FALSE,SUMPRODUCT(--ISNUMBER(SEARCH(","&amp;TRIM(TEXTSPLIT(HG7,","))&amp;",",","&amp;SUBSTITUTE(input_program," ","")&amp;",")))=COUNTA(TEXTSPLIT(HG7,",")))),IF(HI7="",TRUE,IF(input_program="",TRUE,SUMPRODUCT(--ISNUMBER(SEARCH(","&amp;TRIM(TEXTSPLIT(HI7,","))&amp;",",","&amp;SUBSTITUTE(input_program," ","")&amp;",")))=0)),IF(HK7="",TRUE,IF(input_program="",FALSE,SUMPRODUCT(--ISNUMBER(SEARCH(","&amp;TRIM(TEXTSPLIT(HK7,","))&amp;",",","&amp;SUBSTITUTE(input_program," ","")&amp;",")))&gt;0)),IF(HM7="",TRUE,IF(input_program="",FALSE,SUMPRODUCT(--ISNUMBER(SEARCH(","&amp;TRIM(TEXTSPLIT(HM7,","))&amp;",",","&amp;SUBSTITUTE(input_program," ","")&amp;",")))=COUNTA(TEXTSPLIT(HM7,",")))))</f>
        <v/>
      </c>
      <c r="JO7" s="19">
        <f>AND(IF(HO7="",TRUE,IF(input_story_categories="",FALSE,SUMPRODUCT(--ISNUMBER(SEARCH(","&amp;TRIM(TEXTSPLIT(HO7,","))&amp;",",","&amp;SUBSTITUTE(input_story_categories," ","")&amp;",")))&gt;0)),IF(HQ7="",TRUE,IF(input_story_categories="",FALSE,SUMPRODUCT(--ISNUMBER(SEARCH(","&amp;TRIM(TEXTSPLIT(HQ7,","))&amp;",",","&amp;SUBSTITUTE(input_story_categories," ","")&amp;",")))=COUNTA(TEXTSPLIT(HQ7,",")))),IF(HS7="",TRUE,IF(input_story_categories="",TRUE,SUMPRODUCT(--ISNUMBER(SEARCH(","&amp;TRIM(TEXTSPLIT(HS7,","))&amp;",",","&amp;SUBSTITUTE(input_story_categories," ","")&amp;",")))=0)),IF(HU7="",TRUE,IF(input_story_categories="",FALSE,SUMPRODUCT(--ISNUMBER(SEARCH(","&amp;TRIM(TEXTSPLIT(HU7,","))&amp;",",","&amp;SUBSTITUTE(input_story_categories," ","")&amp;",")))&gt;0)),IF(HW7="",TRUE,IF(input_story_categories="",FALSE,SUMPRODUCT(--ISNUMBER(SEARCH(","&amp;TRIM(TEXTSPLIT(HW7,","))&amp;",",","&amp;SUBSTITUTE(input_story_categories," ","")&amp;",")))=COUNTA(TEXTSPLIT(HW7,",")))))</f>
        <v/>
      </c>
      <c r="JP7" s="19">
        <f>AND(IF(HY7="",TRUE,IF(input_story_type="",FALSE,SUMPRODUCT(--ISNUMBER(SEARCH(","&amp;TRIM(TEXTSPLIT(HY7,","))&amp;",",","&amp;SUBSTITUTE(input_story_type," ","")&amp;",")))&gt;0)),IF(IA7="",TRUE,IF(input_story_type="",FALSE,SUMPRODUCT(--ISNUMBER(SEARCH(","&amp;TRIM(TEXTSPLIT(IA7,","))&amp;",",","&amp;SUBSTITUTE(input_story_type," ","")&amp;",")))=COUNTA(TEXTSPLIT(IA7,",")))),IF(IC7="",TRUE,IF(input_story_type="",TRUE,SUMPRODUCT(--ISNUMBER(SEARCH(","&amp;TRIM(TEXTSPLIT(IC7,","))&amp;",",","&amp;SUBSTITUTE(input_story_type," ","")&amp;",")))=0)),IF(IE7="",TRUE,IF(input_story_type="",FALSE,SUMPRODUCT(--ISNUMBER(SEARCH(","&amp;TRIM(TEXTSPLIT(IE7,","))&amp;",",","&amp;SUBSTITUTE(input_story_type," ","")&amp;",")))&gt;0)),IF(IG7="",TRUE,IF(input_story_type="",FALSE,SUMPRODUCT(--ISNUMBER(SEARCH(","&amp;TRIM(TEXTSPLIT(IG7,","))&amp;",",","&amp;SUBSTITUTE(input_story_type," ","")&amp;",")))=COUNTA(TEXTSPLIT(IG7,",")))))</f>
        <v/>
      </c>
      <c r="JQ7" s="19">
        <f>AND(IF(II7="",TRUE,IF(input_topics="",FALSE,SUMPRODUCT(--ISNUMBER(SEARCH(","&amp;TRIM(TEXTSPLIT(II7,","))&amp;",",","&amp;SUBSTITUTE(input_topics," ","")&amp;",")))&gt;0)),IF(IK7="",TRUE,IF(input_topics="",FALSE,SUMPRODUCT(--ISNUMBER(SEARCH(","&amp;TRIM(TEXTSPLIT(IK7,","))&amp;",",","&amp;SUBSTITUTE(input_topics," ","")&amp;",")))=COUNTA(TEXTSPLIT(IK7,",")))),IF(IM7="",TRUE,IF(input_topics="",TRUE,SUMPRODUCT(--ISNUMBER(SEARCH(","&amp;TRIM(TEXTSPLIT(IM7,","))&amp;",",","&amp;SUBSTITUTE(input_topics," ","")&amp;",")))=0)),IF(IO7="",TRUE,IF(input_topics="",FALSE,SUMPRODUCT(--ISNUMBER(SEARCH(","&amp;TRIM(TEXTSPLIT(IO7,","))&amp;",",","&amp;SUBSTITUTE(input_topics," ","")&amp;",")))&gt;0)),IF(IQ7="",TRUE,IF(input_topics="",FALSE,SUMPRODUCT(--ISNUMBER(SEARCH(","&amp;TRIM(TEXTSPLIT(IQ7,","))&amp;",",","&amp;SUBSTITUTE(input_topics," ","")&amp;",")))=COUNTA(TEXTSPLIT(IQ7,",")))))</f>
        <v/>
      </c>
    </row>
    <row r="8">
      <c r="A8" s="24">
        <f>IF(NOT(IS8),"Excluded",IF(AND(IT8,IU8,IV8,IW8,IX8,IY8,IZ8,JA8,JB8,JC8,JD8,JE8,JF8,JG8,JH8,JI8,JJ8,JK8,JL8,JM8,JN8,JO8,JP8,JQ8),IF(I8&gt;0,"Eligible but limited","Will appear"),"Excluded"))</f>
        <v/>
      </c>
      <c r="B8" s="24" t="inlineStr">
        <is>
          <t>All blogs</t>
        </is>
      </c>
      <c r="C8" s="27" t="inlineStr">
        <is>
          <t>/programs/mba/admissions</t>
        </is>
      </c>
      <c r="D8" s="24" t="inlineStr">
        <is>
          <t>/programs/mba/admissions</t>
        </is>
      </c>
      <c r="E8" s="24" t="n">
        <v>1</v>
      </c>
      <c r="F8" s="24" t="inlineStr">
        <is>
          <t>story</t>
        </is>
      </c>
      <c r="G8" s="24" t="inlineStr">
        <is>
          <t>stories_grid_with_images</t>
        </is>
      </c>
      <c r="H8" s="24" t="inlineStr">
        <is>
          <t>embed_blog</t>
        </is>
      </c>
      <c r="I8" s="24" t="n">
        <v>3</v>
      </c>
      <c r="J8" s="29" t="inlineStr">
        <is>
          <t>Section inferred</t>
        </is>
      </c>
      <c r="K8" s="24" t="inlineStr">
        <is>
          <t>Page placement</t>
        </is>
      </c>
      <c r="L8" s="24" t="inlineStr">
        <is>
          <t>Content type: story; Context uses Courses Context: MBA (92); Needs any Story Type: Blog (974); Limited to 3 item(s); Source: Section inferred</t>
        </is>
      </c>
      <c r="BQ8" s="19" t="inlineStr">
        <is>
          <t>92</t>
        </is>
      </c>
      <c r="BR8" s="19" t="inlineStr">
        <is>
          <t>MBA (92)</t>
        </is>
      </c>
      <c r="HY8" s="19" t="inlineStr">
        <is>
          <t>974</t>
        </is>
      </c>
      <c r="HZ8" s="19" t="inlineStr">
        <is>
          <t>Blog (974)</t>
        </is>
      </c>
      <c r="IS8" s="19">
        <f>IF(input_content_type="",FALSE,ISNUMBER(SEARCH(","&amp;LOWER(input_content_type)&amp;",",","&amp;LOWER(SUBSTITUTE(F8," ",""))&amp;",")))</f>
        <v/>
      </c>
      <c r="IT8" s="19">
        <f>AND(IF(M8="",TRUE,IF(input_affiliations="",FALSE,SUMPRODUCT(--ISNUMBER(SEARCH(","&amp;TRIM(TEXTSPLIT(M8,","))&amp;",",","&amp;SUBSTITUTE(input_affiliations," ","")&amp;",")))&gt;0)),IF(O8="",TRUE,IF(input_affiliations="",FALSE,SUMPRODUCT(--ISNUMBER(SEARCH(","&amp;TRIM(TEXTSPLIT(O8,","))&amp;",",","&amp;SUBSTITUTE(input_affiliations," ","")&amp;",")))=COUNTA(TEXTSPLIT(O8,",")))),IF(Q8="",TRUE,IF(input_affiliations="",TRUE,SUMPRODUCT(--ISNUMBER(SEARCH(","&amp;TRIM(TEXTSPLIT(Q8,","))&amp;",",","&amp;SUBSTITUTE(input_affiliations," ","")&amp;",")))=0)),IF(S8="",TRUE,IF(input_affiliations="",FALSE,SUMPRODUCT(--ISNUMBER(SEARCH(","&amp;TRIM(TEXTSPLIT(S8,","))&amp;",",","&amp;SUBSTITUTE(input_affiliations," ","")&amp;",")))&gt;0)),IF(U8="",TRUE,IF(input_affiliations="",FALSE,SUMPRODUCT(--ISNUMBER(SEARCH(","&amp;TRIM(TEXTSPLIT(U8,","))&amp;",",","&amp;SUBSTITUTE(input_affiliations," ","")&amp;",")))=COUNTA(TEXTSPLIT(U8,",")))))</f>
        <v/>
      </c>
      <c r="IU8" s="19">
        <f>AND(IF(W8="",TRUE,IF(input_announcement_category="",FALSE,SUMPRODUCT(--ISNUMBER(SEARCH(","&amp;TRIM(TEXTSPLIT(W8,","))&amp;",",","&amp;SUBSTITUTE(input_announcement_category," ","")&amp;",")))&gt;0)),IF(Y8="",TRUE,IF(input_announcement_category="",FALSE,SUMPRODUCT(--ISNUMBER(SEARCH(","&amp;TRIM(TEXTSPLIT(Y8,","))&amp;",",","&amp;SUBSTITUTE(input_announcement_category," ","")&amp;",")))=COUNTA(TEXTSPLIT(Y8,",")))),IF(AA8="",TRUE,IF(input_announcement_category="",TRUE,SUMPRODUCT(--ISNUMBER(SEARCH(","&amp;TRIM(TEXTSPLIT(AA8,","))&amp;",",","&amp;SUBSTITUTE(input_announcement_category," ","")&amp;",")))=0)),IF(AC8="",TRUE,IF(input_announcement_category="",FALSE,SUMPRODUCT(--ISNUMBER(SEARCH(","&amp;TRIM(TEXTSPLIT(AC8,","))&amp;",",","&amp;SUBSTITUTE(input_announcement_category," ","")&amp;",")))&gt;0)),IF(AE8="",TRUE,IF(input_announcement_category="",FALSE,SUMPRODUCT(--ISNUMBER(SEARCH(","&amp;TRIM(TEXTSPLIT(AE8,","))&amp;",",","&amp;SUBSTITUTE(input_announcement_category," ","")&amp;",")))=COUNTA(TEXTSPLIT(AE8,",")))))</f>
        <v/>
      </c>
      <c r="IV8" s="19">
        <f>AND(IF(AG8="",TRUE,IF(input_area_of_focus="",FALSE,SUMPRODUCT(--ISNUMBER(SEARCH(","&amp;TRIM(TEXTSPLIT(AG8,","))&amp;",",","&amp;SUBSTITUTE(input_area_of_focus," ","")&amp;",")))&gt;0)),IF(AI8="",TRUE,IF(input_area_of_focus="",FALSE,SUMPRODUCT(--ISNUMBER(SEARCH(","&amp;TRIM(TEXTSPLIT(AI8,","))&amp;",",","&amp;SUBSTITUTE(input_area_of_focus," ","")&amp;",")))=COUNTA(TEXTSPLIT(AI8,",")))),IF(AK8="",TRUE,IF(input_area_of_focus="",TRUE,SUMPRODUCT(--ISNUMBER(SEARCH(","&amp;TRIM(TEXTSPLIT(AK8,","))&amp;",",","&amp;SUBSTITUTE(input_area_of_focus," ","")&amp;",")))=0)),IF(AM8="",TRUE,IF(input_area_of_focus="",FALSE,SUMPRODUCT(--ISNUMBER(SEARCH(","&amp;TRIM(TEXTSPLIT(AM8,","))&amp;",",","&amp;SUBSTITUTE(input_area_of_focus," ","")&amp;",")))&gt;0)),IF(AO8="",TRUE,IF(input_area_of_focus="",FALSE,SUMPRODUCT(--ISNUMBER(SEARCH(","&amp;TRIM(TEXTSPLIT(AO8,","))&amp;",",","&amp;SUBSTITUTE(input_area_of_focus," ","")&amp;",")))=COUNTA(TEXTSPLIT(AO8,",")))))</f>
        <v/>
      </c>
      <c r="IW8" s="19">
        <f>AND(IF(AQ8="",TRUE,IF(input_audience="",FALSE,SUMPRODUCT(--ISNUMBER(SEARCH(","&amp;TRIM(TEXTSPLIT(AQ8,","))&amp;",",","&amp;SUBSTITUTE(input_audience," ","")&amp;",")))&gt;0)),IF(AS8="",TRUE,IF(input_audience="",FALSE,SUMPRODUCT(--ISNUMBER(SEARCH(","&amp;TRIM(TEXTSPLIT(AS8,","))&amp;",",","&amp;SUBSTITUTE(input_audience," ","")&amp;",")))=COUNTA(TEXTSPLIT(AS8,",")))),IF(AU8="",TRUE,IF(input_audience="",TRUE,SUMPRODUCT(--ISNUMBER(SEARCH(","&amp;TRIM(TEXTSPLIT(AU8,","))&amp;",",","&amp;SUBSTITUTE(input_audience," ","")&amp;",")))=0)),IF(AW8="",TRUE,IF(input_audience="",FALSE,SUMPRODUCT(--ISNUMBER(SEARCH(","&amp;TRIM(TEXTSPLIT(AW8,","))&amp;",",","&amp;SUBSTITUTE(input_audience," ","")&amp;",")))&gt;0)),IF(AY8="",TRUE,IF(input_audience="",FALSE,SUMPRODUCT(--ISNUMBER(SEARCH(","&amp;TRIM(TEXTSPLIT(AY8,","))&amp;",",","&amp;SUBSTITUTE(input_audience," ","")&amp;",")))=COUNTA(TEXTSPLIT(AY8,",")))))</f>
        <v/>
      </c>
      <c r="IX8" s="19">
        <f>AND(IF(BA8="",TRUE,IF(input_challenge_opportunities="",FALSE,SUMPRODUCT(--ISNUMBER(SEARCH(","&amp;TRIM(TEXTSPLIT(BA8,","))&amp;",",","&amp;SUBSTITUTE(input_challenge_opportunities," ","")&amp;",")))&gt;0)),IF(BC8="",TRUE,IF(input_challenge_opportunities="",FALSE,SUMPRODUCT(--ISNUMBER(SEARCH(","&amp;TRIM(TEXTSPLIT(BC8,","))&amp;",",","&amp;SUBSTITUTE(input_challenge_opportunities," ","")&amp;",")))=COUNTA(TEXTSPLIT(BC8,",")))),IF(BE8="",TRUE,IF(input_challenge_opportunities="",TRUE,SUMPRODUCT(--ISNUMBER(SEARCH(","&amp;TRIM(TEXTSPLIT(BE8,","))&amp;",",","&amp;SUBSTITUTE(input_challenge_opportunities," ","")&amp;",")))=0)),IF(BG8="",TRUE,IF(input_challenge_opportunities="",FALSE,SUMPRODUCT(--ISNUMBER(SEARCH(","&amp;TRIM(TEXTSPLIT(BG8,","))&amp;",",","&amp;SUBSTITUTE(input_challenge_opportunities," ","")&amp;",")))&gt;0)),IF(BI8="",TRUE,IF(input_challenge_opportunities="",FALSE,SUMPRODUCT(--ISNUMBER(SEARCH(","&amp;TRIM(TEXTSPLIT(BI8,","))&amp;",",","&amp;SUBSTITUTE(input_challenge_opportunities," ","")&amp;",")))=COUNTA(TEXTSPLIT(BI8,",")))))</f>
        <v/>
      </c>
      <c r="IY8" s="19">
        <f>AND(IF(BK8="",TRUE,IF(input_context="",FALSE,SUMPRODUCT(--ISNUMBER(SEARCH(","&amp;TRIM(TEXTSPLIT(BK8,","))&amp;",",","&amp;SUBSTITUTE(input_context," ","")&amp;",")))&gt;0)),IF(BM8="",TRUE,IF(input_context="",FALSE,SUMPRODUCT(--ISNUMBER(SEARCH(","&amp;TRIM(TEXTSPLIT(BM8,","))&amp;",",","&amp;SUBSTITUTE(input_context," ","")&amp;",")))=COUNTA(TEXTSPLIT(BM8,",")))),IF(BO8="",TRUE,IF(input_context="",TRUE,SUMPRODUCT(--ISNUMBER(SEARCH(","&amp;TRIM(TEXTSPLIT(BO8,","))&amp;",",","&amp;SUBSTITUTE(input_context," ","")&amp;",")))=0)),IF(BQ8="",TRUE,IF(input_context="",FALSE,SUMPRODUCT(--ISNUMBER(SEARCH(","&amp;TRIM(TEXTSPLIT(BQ8,","))&amp;",",","&amp;SUBSTITUTE(input_context," ","")&amp;",")))&gt;0)),IF(BS8="",TRUE,IF(input_context="",FALSE,SUMPRODUCT(--ISNUMBER(SEARCH(","&amp;TRIM(TEXTSPLIT(BS8,","))&amp;",",","&amp;SUBSTITUTE(input_context," ","")&amp;",")))=COUNTA(TEXTSPLIT(BS8,",")))))</f>
        <v/>
      </c>
      <c r="IZ8" s="19">
        <f>AND(IF(BU8="",TRUE,IF(input_enews_announcement_type="",FALSE,SUMPRODUCT(--ISNUMBER(SEARCH(","&amp;TRIM(TEXTSPLIT(BU8,","))&amp;",",","&amp;SUBSTITUTE(input_enews_announcement_type," ","")&amp;",")))&gt;0)),IF(BW8="",TRUE,IF(input_enews_announcement_type="",FALSE,SUMPRODUCT(--ISNUMBER(SEARCH(","&amp;TRIM(TEXTSPLIT(BW8,","))&amp;",",","&amp;SUBSTITUTE(input_enews_announcement_type," ","")&amp;",")))=COUNTA(TEXTSPLIT(BW8,",")))),IF(BY8="",TRUE,IF(input_enews_announcement_type="",TRUE,SUMPRODUCT(--ISNUMBER(SEARCH(","&amp;TRIM(TEXTSPLIT(BY8,","))&amp;",",","&amp;SUBSTITUTE(input_enews_announcement_type," ","")&amp;",")))=0)),IF(CA8="",TRUE,IF(input_enews_announcement_type="",FALSE,SUMPRODUCT(--ISNUMBER(SEARCH(","&amp;TRIM(TEXTSPLIT(CA8,","))&amp;",",","&amp;SUBSTITUTE(input_enews_announcement_type," ","")&amp;",")))&gt;0)),IF(CC8="",TRUE,IF(input_enews_announcement_type="",FALSE,SUMPRODUCT(--ISNUMBER(SEARCH(","&amp;TRIM(TEXTSPLIT(CC8,","))&amp;",",","&amp;SUBSTITUTE(input_enews_announcement_type," ","")&amp;",")))=COUNTA(TEXTSPLIT(CC8,",")))))</f>
        <v/>
      </c>
      <c r="JA8" s="19">
        <f>AND(IF(CE8="",TRUE,IF(input_enews_audience="",FALSE,SUMPRODUCT(--ISNUMBER(SEARCH(","&amp;TRIM(TEXTSPLIT(CE8,","))&amp;",",","&amp;SUBSTITUTE(input_enews_audience," ","")&amp;",")))&gt;0)),IF(CG8="",TRUE,IF(input_enews_audience="",FALSE,SUMPRODUCT(--ISNUMBER(SEARCH(","&amp;TRIM(TEXTSPLIT(CG8,","))&amp;",",","&amp;SUBSTITUTE(input_enews_audience," ","")&amp;",")))=COUNTA(TEXTSPLIT(CG8,",")))),IF(CI8="",TRUE,IF(input_enews_audience="",TRUE,SUMPRODUCT(--ISNUMBER(SEARCH(","&amp;TRIM(TEXTSPLIT(CI8,","))&amp;",",","&amp;SUBSTITUTE(input_enews_audience," ","")&amp;",")))=0)),IF(CK8="",TRUE,IF(input_enews_audience="",FALSE,SUMPRODUCT(--ISNUMBER(SEARCH(","&amp;TRIM(TEXTSPLIT(CK8,","))&amp;",",","&amp;SUBSTITUTE(input_enews_audience," ","")&amp;",")))&gt;0)),IF(CM8="",TRUE,IF(input_enews_audience="",FALSE,SUMPRODUCT(--ISNUMBER(SEARCH(","&amp;TRIM(TEXTSPLIT(CM8,","))&amp;",",","&amp;SUBSTITUTE(input_enews_audience," ","")&amp;",")))=COUNTA(TEXTSPLIT(CM8,",")))))</f>
        <v/>
      </c>
      <c r="JB8" s="19">
        <f>AND(IF(CO8="",TRUE,IF(input_event_location="",FALSE,SUMPRODUCT(--ISNUMBER(SEARCH(","&amp;TRIM(TEXTSPLIT(CO8,","))&amp;",",","&amp;SUBSTITUTE(input_event_location," ","")&amp;",")))&gt;0)),IF(CQ8="",TRUE,IF(input_event_location="",FALSE,SUMPRODUCT(--ISNUMBER(SEARCH(","&amp;TRIM(TEXTSPLIT(CQ8,","))&amp;",",","&amp;SUBSTITUTE(input_event_location," ","")&amp;",")))=COUNTA(TEXTSPLIT(CQ8,",")))),IF(CS8="",TRUE,IF(input_event_location="",TRUE,SUMPRODUCT(--ISNUMBER(SEARCH(","&amp;TRIM(TEXTSPLIT(CS8,","))&amp;",",","&amp;SUBSTITUTE(input_event_location," ","")&amp;",")))=0)),IF(CU8="",TRUE,IF(input_event_location="",FALSE,SUMPRODUCT(--ISNUMBER(SEARCH(","&amp;TRIM(TEXTSPLIT(CU8,","))&amp;",",","&amp;SUBSTITUTE(input_event_location," ","")&amp;",")))&gt;0)),IF(CW8="",TRUE,IF(input_event_location="",FALSE,SUMPRODUCT(--ISNUMBER(SEARCH(","&amp;TRIM(TEXTSPLIT(CW8,","))&amp;",",","&amp;SUBSTITUTE(input_event_location," ","")&amp;",")))=COUNTA(TEXTSPLIT(CW8,",")))))</f>
        <v/>
      </c>
      <c r="JC8" s="19">
        <f>AND(IF(CY8="",TRUE,IF(input_event_type="",FALSE,SUMPRODUCT(--ISNUMBER(SEARCH(","&amp;TRIM(TEXTSPLIT(CY8,","))&amp;",",","&amp;SUBSTITUTE(input_event_type," ","")&amp;",")))&gt;0)),IF(DA8="",TRUE,IF(input_event_type="",FALSE,SUMPRODUCT(--ISNUMBER(SEARCH(","&amp;TRIM(TEXTSPLIT(DA8,","))&amp;",",","&amp;SUBSTITUTE(input_event_type," ","")&amp;",")))=COUNTA(TEXTSPLIT(DA8,",")))),IF(DC8="",TRUE,IF(input_event_type="",TRUE,SUMPRODUCT(--ISNUMBER(SEARCH(","&amp;TRIM(TEXTSPLIT(DC8,","))&amp;",",","&amp;SUBSTITUTE(input_event_type," ","")&amp;",")))=0)),IF(DE8="",TRUE,IF(input_event_type="",FALSE,SUMPRODUCT(--ISNUMBER(SEARCH(","&amp;TRIM(TEXTSPLIT(DE8,","))&amp;",",","&amp;SUBSTITUTE(input_event_type," ","")&amp;",")))&gt;0)),IF(DG8="",TRUE,IF(input_event_type="",FALSE,SUMPRODUCT(--ISNUMBER(SEARCH(","&amp;TRIM(TEXTSPLIT(DG8,","))&amp;",",","&amp;SUBSTITUTE(input_event_type," ","")&amp;",")))=COUNTA(TEXTSPLIT(DG8,",")))))</f>
        <v/>
      </c>
      <c r="JD8" s="19">
        <f>AND(IF(DI8="",TRUE,IF(input_executive_education_focus="",FALSE,SUMPRODUCT(--ISNUMBER(SEARCH(","&amp;TRIM(TEXTSPLIT(DI8,","))&amp;",",","&amp;SUBSTITUTE(input_executive_education_focus," ","")&amp;",")))&gt;0)),IF(DK8="",TRUE,IF(input_executive_education_focus="",FALSE,SUMPRODUCT(--ISNUMBER(SEARCH(","&amp;TRIM(TEXTSPLIT(DK8,","))&amp;",",","&amp;SUBSTITUTE(input_executive_education_focus," ","")&amp;",")))=COUNTA(TEXTSPLIT(DK8,",")))),IF(DM8="",TRUE,IF(input_executive_education_focus="",TRUE,SUMPRODUCT(--ISNUMBER(SEARCH(","&amp;TRIM(TEXTSPLIT(DM8,","))&amp;",",","&amp;SUBSTITUTE(input_executive_education_focus," ","")&amp;",")))=0)),IF(DO8="",TRUE,IF(input_executive_education_focus="",FALSE,SUMPRODUCT(--ISNUMBER(SEARCH(","&amp;TRIM(TEXTSPLIT(DO8,","))&amp;",",","&amp;SUBSTITUTE(input_executive_education_focus," ","")&amp;",")))&gt;0)),IF(DQ8="",TRUE,IF(input_executive_education_focus="",FALSE,SUMPRODUCT(--ISNUMBER(SEARCH(","&amp;TRIM(TEXTSPLIT(DQ8,","))&amp;",",","&amp;SUBSTITUTE(input_executive_education_focus," ","")&amp;",")))=COUNTA(TEXTSPLIT(DQ8,",")))))</f>
        <v/>
      </c>
      <c r="JE8" s="19">
        <f>AND(IF(DS8="",TRUE,IF(input_faculty_category="",FALSE,SUMPRODUCT(--ISNUMBER(SEARCH(","&amp;TRIM(TEXTSPLIT(DS8,","))&amp;",",","&amp;SUBSTITUTE(input_faculty_category," ","")&amp;",")))&gt;0)),IF(DU8="",TRUE,IF(input_faculty_category="",FALSE,SUMPRODUCT(--ISNUMBER(SEARCH(","&amp;TRIM(TEXTSPLIT(DU8,","))&amp;",",","&amp;SUBSTITUTE(input_faculty_category," ","")&amp;",")))=COUNTA(TEXTSPLIT(DU8,",")))),IF(DW8="",TRUE,IF(input_faculty_category="",TRUE,SUMPRODUCT(--ISNUMBER(SEARCH(","&amp;TRIM(TEXTSPLIT(DW8,","))&amp;",",","&amp;SUBSTITUTE(input_faculty_category," ","")&amp;",")))=0)),IF(DY8="",TRUE,IF(input_faculty_category="",FALSE,SUMPRODUCT(--ISNUMBER(SEARCH(","&amp;TRIM(TEXTSPLIT(DY8,","))&amp;",",","&amp;SUBSTITUTE(input_faculty_category," ","")&amp;",")))&gt;0)),IF(EA8="",TRUE,IF(input_faculty_category="",FALSE,SUMPRODUCT(--ISNUMBER(SEARCH(","&amp;TRIM(TEXTSPLIT(EA8,","))&amp;",",","&amp;SUBSTITUTE(input_faculty_category," ","")&amp;",")))=COUNTA(TEXTSPLIT(EA8,",")))))</f>
        <v/>
      </c>
      <c r="JF8" s="19">
        <f>AND(IF(EC8="",TRUE,IF(input_faculty_discipline="",FALSE,SUMPRODUCT(--ISNUMBER(SEARCH(","&amp;TRIM(TEXTSPLIT(EC8,","))&amp;",",","&amp;SUBSTITUTE(input_faculty_discipline," ","")&amp;",")))&gt;0)),IF(EE8="",TRUE,IF(input_faculty_discipline="",FALSE,SUMPRODUCT(--ISNUMBER(SEARCH(","&amp;TRIM(TEXTSPLIT(EE8,","))&amp;",",","&amp;SUBSTITUTE(input_faculty_discipline," ","")&amp;",")))=COUNTA(TEXTSPLIT(EE8,",")))),IF(EG8="",TRUE,IF(input_faculty_discipline="",TRUE,SUMPRODUCT(--ISNUMBER(SEARCH(","&amp;TRIM(TEXTSPLIT(EG8,","))&amp;",",","&amp;SUBSTITUTE(input_faculty_discipline," ","")&amp;",")))=0)),IF(EI8="",TRUE,IF(input_faculty_discipline="",FALSE,SUMPRODUCT(--ISNUMBER(SEARCH(","&amp;TRIM(TEXTSPLIT(EI8,","))&amp;",",","&amp;SUBSTITUTE(input_faculty_discipline," ","")&amp;",")))&gt;0)),IF(EK8="",TRUE,IF(input_faculty_discipline="",FALSE,SUMPRODUCT(--ISNUMBER(SEARCH(","&amp;TRIM(TEXTSPLIT(EK8,","))&amp;",",","&amp;SUBSTITUTE(input_faculty_discipline," ","")&amp;",")))=COUNTA(TEXTSPLIT(EK8,",")))))</f>
        <v/>
      </c>
      <c r="JG8" s="19">
        <f>AND(IF(EM8="",TRUE,IF(input_faculty_expertise="",FALSE,SUMPRODUCT(--ISNUMBER(SEARCH(","&amp;TRIM(TEXTSPLIT(EM8,","))&amp;",",","&amp;SUBSTITUTE(input_faculty_expertise," ","")&amp;",")))&gt;0)),IF(EO8="",TRUE,IF(input_faculty_expertise="",FALSE,SUMPRODUCT(--ISNUMBER(SEARCH(","&amp;TRIM(TEXTSPLIT(EO8,","))&amp;",",","&amp;SUBSTITUTE(input_faculty_expertise," ","")&amp;",")))=COUNTA(TEXTSPLIT(EO8,",")))),IF(EQ8="",TRUE,IF(input_faculty_expertise="",TRUE,SUMPRODUCT(--ISNUMBER(SEARCH(","&amp;TRIM(TEXTSPLIT(EQ8,","))&amp;",",","&amp;SUBSTITUTE(input_faculty_expertise," ","")&amp;",")))=0)),IF(ES8="",TRUE,IF(input_faculty_expertise="",FALSE,SUMPRODUCT(--ISNUMBER(SEARCH(","&amp;TRIM(TEXTSPLIT(ES8,","))&amp;",",","&amp;SUBSTITUTE(input_faculty_expertise," ","")&amp;",")))&gt;0)),IF(EU8="",TRUE,IF(input_faculty_expertise="",FALSE,SUMPRODUCT(--ISNUMBER(SEARCH(","&amp;TRIM(TEXTSPLIT(EU8,","))&amp;",",","&amp;SUBSTITUTE(input_faculty_expertise," ","")&amp;",")))=COUNTA(TEXTSPLIT(EU8,",")))))</f>
        <v/>
      </c>
      <c r="JH8" s="19">
        <f>AND(IF(EW8="",TRUE,IF(input_global_network_school="",FALSE,SUMPRODUCT(--ISNUMBER(SEARCH(","&amp;TRIM(TEXTSPLIT(EW8,","))&amp;",",","&amp;SUBSTITUTE(input_global_network_school," ","")&amp;",")))&gt;0)),IF(EY8="",TRUE,IF(input_global_network_school="",FALSE,SUMPRODUCT(--ISNUMBER(SEARCH(","&amp;TRIM(TEXTSPLIT(EY8,","))&amp;",",","&amp;SUBSTITUTE(input_global_network_school," ","")&amp;",")))=COUNTA(TEXTSPLIT(EY8,",")))),IF(FA8="",TRUE,IF(input_global_network_school="",TRUE,SUMPRODUCT(--ISNUMBER(SEARCH(","&amp;TRIM(TEXTSPLIT(FA8,","))&amp;",",","&amp;SUBSTITUTE(input_global_network_school," ","")&amp;",")))=0)),IF(FC8="",TRUE,IF(input_global_network_school="",FALSE,SUMPRODUCT(--ISNUMBER(SEARCH(","&amp;TRIM(TEXTSPLIT(FC8,","))&amp;",",","&amp;SUBSTITUTE(input_global_network_school," ","")&amp;",")))&gt;0)),IF(FE8="",TRUE,IF(input_global_network_school="",FALSE,SUMPRODUCT(--ISNUMBER(SEARCH(","&amp;TRIM(TEXTSPLIT(FE8,","))&amp;",",","&amp;SUBSTITUTE(input_global_network_school," ","")&amp;",")))=COUNTA(TEXTSPLIT(FE8,",")))))</f>
        <v/>
      </c>
      <c r="JI8" s="19">
        <f>AND(IF(FG8="",TRUE,IF(input_industry="",FALSE,SUMPRODUCT(--ISNUMBER(SEARCH(","&amp;TRIM(TEXTSPLIT(FG8,","))&amp;",",","&amp;SUBSTITUTE(input_industry," ","")&amp;",")))&gt;0)),IF(FI8="",TRUE,IF(input_industry="",FALSE,SUMPRODUCT(--ISNUMBER(SEARCH(","&amp;TRIM(TEXTSPLIT(FI8,","))&amp;",",","&amp;SUBSTITUTE(input_industry," ","")&amp;",")))=COUNTA(TEXTSPLIT(FI8,",")))),IF(FK8="",TRUE,IF(input_industry="",TRUE,SUMPRODUCT(--ISNUMBER(SEARCH(","&amp;TRIM(TEXTSPLIT(FK8,","))&amp;",",","&amp;SUBSTITUTE(input_industry," ","")&amp;",")))=0)),IF(FM8="",TRUE,IF(input_industry="",FALSE,SUMPRODUCT(--ISNUMBER(SEARCH(","&amp;TRIM(TEXTSPLIT(FM8,","))&amp;",",","&amp;SUBSTITUTE(input_industry," ","")&amp;",")))&gt;0)),IF(FO8="",TRUE,IF(input_industry="",FALSE,SUMPRODUCT(--ISNUMBER(SEARCH(","&amp;TRIM(TEXTSPLIT(FO8,","))&amp;",",","&amp;SUBSTITUTE(input_industry," ","")&amp;",")))=COUNTA(TEXTSPLIT(FO8,",")))))</f>
        <v/>
      </c>
      <c r="JJ8" s="19">
        <f>AND(IF(FQ8="",TRUE,IF(input_location="",FALSE,SUMPRODUCT(--ISNUMBER(SEARCH(","&amp;TRIM(TEXTSPLIT(FQ8,","))&amp;",",","&amp;SUBSTITUTE(input_location," ","")&amp;",")))&gt;0)),IF(FS8="",TRUE,IF(input_location="",FALSE,SUMPRODUCT(--ISNUMBER(SEARCH(","&amp;TRIM(TEXTSPLIT(FS8,","))&amp;",",","&amp;SUBSTITUTE(input_location," ","")&amp;",")))=COUNTA(TEXTSPLIT(FS8,",")))),IF(FU8="",TRUE,IF(input_location="",TRUE,SUMPRODUCT(--ISNUMBER(SEARCH(","&amp;TRIM(TEXTSPLIT(FU8,","))&amp;",",","&amp;SUBSTITUTE(input_location," ","")&amp;",")))=0)),IF(FW8="",TRUE,IF(input_location="",FALSE,SUMPRODUCT(--ISNUMBER(SEARCH(","&amp;TRIM(TEXTSPLIT(FW8,","))&amp;",",","&amp;SUBSTITUTE(input_location," ","")&amp;",")))&gt;0)),IF(FY8="",TRUE,IF(input_location="",FALSE,SUMPRODUCT(--ISNUMBER(SEARCH(","&amp;TRIM(TEXTSPLIT(FY8,","))&amp;",",","&amp;SUBSTITUTE(input_location," ","")&amp;",")))=COUNTA(TEXTSPLIT(FY8,",")))))</f>
        <v/>
      </c>
      <c r="JK8" s="19">
        <f>AND(IF(GA8="",TRUE,IF(input_modality="",FALSE,SUMPRODUCT(--ISNUMBER(SEARCH(","&amp;TRIM(TEXTSPLIT(GA8,","))&amp;",",","&amp;SUBSTITUTE(input_modality," ","")&amp;",")))&gt;0)),IF(GC8="",TRUE,IF(input_modality="",FALSE,SUMPRODUCT(--ISNUMBER(SEARCH(","&amp;TRIM(TEXTSPLIT(GC8,","))&amp;",",","&amp;SUBSTITUTE(input_modality," ","")&amp;",")))=COUNTA(TEXTSPLIT(GC8,",")))),IF(GE8="",TRUE,IF(input_modality="",TRUE,SUMPRODUCT(--ISNUMBER(SEARCH(","&amp;TRIM(TEXTSPLIT(GE8,","))&amp;",",","&amp;SUBSTITUTE(input_modality," ","")&amp;",")))=0)),IF(GG8="",TRUE,IF(input_modality="",FALSE,SUMPRODUCT(--ISNUMBER(SEARCH(","&amp;TRIM(TEXTSPLIT(GG8,","))&amp;",",","&amp;SUBSTITUTE(input_modality," ","")&amp;",")))&gt;0)),IF(GI8="",TRUE,IF(input_modality="",FALSE,SUMPRODUCT(--ISNUMBER(SEARCH(","&amp;TRIM(TEXTSPLIT(GI8,","))&amp;",",","&amp;SUBSTITUTE(input_modality," ","")&amp;",")))=COUNTA(TEXTSPLIT(GI8,",")))))</f>
        <v/>
      </c>
      <c r="JL8" s="19">
        <f>AND(IF(GK8="",TRUE,IF(input_organizer="",FALSE,SUMPRODUCT(--ISNUMBER(SEARCH(","&amp;TRIM(TEXTSPLIT(GK8,","))&amp;",",","&amp;SUBSTITUTE(input_organizer," ","")&amp;",")))&gt;0)),IF(GM8="",TRUE,IF(input_organizer="",FALSE,SUMPRODUCT(--ISNUMBER(SEARCH(","&amp;TRIM(TEXTSPLIT(GM8,","))&amp;",",","&amp;SUBSTITUTE(input_organizer," ","")&amp;",")))=COUNTA(TEXTSPLIT(GM8,",")))),IF(GO8="",TRUE,IF(input_organizer="",TRUE,SUMPRODUCT(--ISNUMBER(SEARCH(","&amp;TRIM(TEXTSPLIT(GO8,","))&amp;",",","&amp;SUBSTITUTE(input_organizer," ","")&amp;",")))=0)),IF(GQ8="",TRUE,IF(input_organizer="",FALSE,SUMPRODUCT(--ISNUMBER(SEARCH(","&amp;TRIM(TEXTSPLIT(GQ8,","))&amp;",",","&amp;SUBSTITUTE(input_organizer," ","")&amp;",")))&gt;0)),IF(GS8="",TRUE,IF(input_organizer="",FALSE,SUMPRODUCT(--ISNUMBER(SEARCH(","&amp;TRIM(TEXTSPLIT(GS8,","))&amp;",",","&amp;SUBSTITUTE(input_organizer," ","")&amp;",")))=COUNTA(TEXTSPLIT(GS8,",")))))</f>
        <v/>
      </c>
      <c r="JM8" s="19">
        <f>AND(IF(GU8="",TRUE,IF(input_profile_type="",FALSE,SUMPRODUCT(--ISNUMBER(SEARCH(","&amp;TRIM(TEXTSPLIT(GU8,","))&amp;",",","&amp;SUBSTITUTE(input_profile_type," ","")&amp;",")))&gt;0)),IF(GW8="",TRUE,IF(input_profile_type="",FALSE,SUMPRODUCT(--ISNUMBER(SEARCH(","&amp;TRIM(TEXTSPLIT(GW8,","))&amp;",",","&amp;SUBSTITUTE(input_profile_type," ","")&amp;",")))=COUNTA(TEXTSPLIT(GW8,",")))),IF(GY8="",TRUE,IF(input_profile_type="",TRUE,SUMPRODUCT(--ISNUMBER(SEARCH(","&amp;TRIM(TEXTSPLIT(GY8,","))&amp;",",","&amp;SUBSTITUTE(input_profile_type," ","")&amp;",")))=0)),IF(HA8="",TRUE,IF(input_profile_type="",FALSE,SUMPRODUCT(--ISNUMBER(SEARCH(","&amp;TRIM(TEXTSPLIT(HA8,","))&amp;",",","&amp;SUBSTITUTE(input_profile_type," ","")&amp;",")))&gt;0)),IF(HC8="",TRUE,IF(input_profile_type="",FALSE,SUMPRODUCT(--ISNUMBER(SEARCH(","&amp;TRIM(TEXTSPLIT(HC8,","))&amp;",",","&amp;SUBSTITUTE(input_profile_type," ","")&amp;",")))=COUNTA(TEXTSPLIT(HC8,",")))))</f>
        <v/>
      </c>
      <c r="JN8" s="19">
        <f>AND(IF(HE8="",TRUE,IF(input_program="",FALSE,SUMPRODUCT(--ISNUMBER(SEARCH(","&amp;TRIM(TEXTSPLIT(HE8,","))&amp;",",","&amp;SUBSTITUTE(input_program," ","")&amp;",")))&gt;0)),IF(HG8="",TRUE,IF(input_program="",FALSE,SUMPRODUCT(--ISNUMBER(SEARCH(","&amp;TRIM(TEXTSPLIT(HG8,","))&amp;",",","&amp;SUBSTITUTE(input_program," ","")&amp;",")))=COUNTA(TEXTSPLIT(HG8,",")))),IF(HI8="",TRUE,IF(input_program="",TRUE,SUMPRODUCT(--ISNUMBER(SEARCH(","&amp;TRIM(TEXTSPLIT(HI8,","))&amp;",",","&amp;SUBSTITUTE(input_program," ","")&amp;",")))=0)),IF(HK8="",TRUE,IF(input_program="",FALSE,SUMPRODUCT(--ISNUMBER(SEARCH(","&amp;TRIM(TEXTSPLIT(HK8,","))&amp;",",","&amp;SUBSTITUTE(input_program," ","")&amp;",")))&gt;0)),IF(HM8="",TRUE,IF(input_program="",FALSE,SUMPRODUCT(--ISNUMBER(SEARCH(","&amp;TRIM(TEXTSPLIT(HM8,","))&amp;",",","&amp;SUBSTITUTE(input_program," ","")&amp;",")))=COUNTA(TEXTSPLIT(HM8,",")))))</f>
        <v/>
      </c>
      <c r="JO8" s="19">
        <f>AND(IF(HO8="",TRUE,IF(input_story_categories="",FALSE,SUMPRODUCT(--ISNUMBER(SEARCH(","&amp;TRIM(TEXTSPLIT(HO8,","))&amp;",",","&amp;SUBSTITUTE(input_story_categories," ","")&amp;",")))&gt;0)),IF(HQ8="",TRUE,IF(input_story_categories="",FALSE,SUMPRODUCT(--ISNUMBER(SEARCH(","&amp;TRIM(TEXTSPLIT(HQ8,","))&amp;",",","&amp;SUBSTITUTE(input_story_categories," ","")&amp;",")))=COUNTA(TEXTSPLIT(HQ8,",")))),IF(HS8="",TRUE,IF(input_story_categories="",TRUE,SUMPRODUCT(--ISNUMBER(SEARCH(","&amp;TRIM(TEXTSPLIT(HS8,","))&amp;",",","&amp;SUBSTITUTE(input_story_categories," ","")&amp;",")))=0)),IF(HU8="",TRUE,IF(input_story_categories="",FALSE,SUMPRODUCT(--ISNUMBER(SEARCH(","&amp;TRIM(TEXTSPLIT(HU8,","))&amp;",",","&amp;SUBSTITUTE(input_story_categories," ","")&amp;",")))&gt;0)),IF(HW8="",TRUE,IF(input_story_categories="",FALSE,SUMPRODUCT(--ISNUMBER(SEARCH(","&amp;TRIM(TEXTSPLIT(HW8,","))&amp;",",","&amp;SUBSTITUTE(input_story_categories," ","")&amp;",")))=COUNTA(TEXTSPLIT(HW8,",")))))</f>
        <v/>
      </c>
      <c r="JP8" s="19">
        <f>AND(IF(HY8="",TRUE,IF(input_story_type="",FALSE,SUMPRODUCT(--ISNUMBER(SEARCH(","&amp;TRIM(TEXTSPLIT(HY8,","))&amp;",",","&amp;SUBSTITUTE(input_story_type," ","")&amp;",")))&gt;0)),IF(IA8="",TRUE,IF(input_story_type="",FALSE,SUMPRODUCT(--ISNUMBER(SEARCH(","&amp;TRIM(TEXTSPLIT(IA8,","))&amp;",",","&amp;SUBSTITUTE(input_story_type," ","")&amp;",")))=COUNTA(TEXTSPLIT(IA8,",")))),IF(IC8="",TRUE,IF(input_story_type="",TRUE,SUMPRODUCT(--ISNUMBER(SEARCH(","&amp;TRIM(TEXTSPLIT(IC8,","))&amp;",",","&amp;SUBSTITUTE(input_story_type," ","")&amp;",")))=0)),IF(IE8="",TRUE,IF(input_story_type="",FALSE,SUMPRODUCT(--ISNUMBER(SEARCH(","&amp;TRIM(TEXTSPLIT(IE8,","))&amp;",",","&amp;SUBSTITUTE(input_story_type," ","")&amp;",")))&gt;0)),IF(IG8="",TRUE,IF(input_story_type="",FALSE,SUMPRODUCT(--ISNUMBER(SEARCH(","&amp;TRIM(TEXTSPLIT(IG8,","))&amp;",",","&amp;SUBSTITUTE(input_story_type," ","")&amp;",")))=COUNTA(TEXTSPLIT(IG8,",")))))</f>
        <v/>
      </c>
      <c r="JQ8" s="19">
        <f>AND(IF(II8="",TRUE,IF(input_topics="",FALSE,SUMPRODUCT(--ISNUMBER(SEARCH(","&amp;TRIM(TEXTSPLIT(II8,","))&amp;",",","&amp;SUBSTITUTE(input_topics," ","")&amp;",")))&gt;0)),IF(IK8="",TRUE,IF(input_topics="",FALSE,SUMPRODUCT(--ISNUMBER(SEARCH(","&amp;TRIM(TEXTSPLIT(IK8,","))&amp;",",","&amp;SUBSTITUTE(input_topics," ","")&amp;",")))=COUNTA(TEXTSPLIT(IK8,",")))),IF(IM8="",TRUE,IF(input_topics="",TRUE,SUMPRODUCT(--ISNUMBER(SEARCH(","&amp;TRIM(TEXTSPLIT(IM8,","))&amp;",",","&amp;SUBSTITUTE(input_topics," ","")&amp;",")))=0)),IF(IO8="",TRUE,IF(input_topics="",FALSE,SUMPRODUCT(--ISNUMBER(SEARCH(","&amp;TRIM(TEXTSPLIT(IO8,","))&amp;",",","&amp;SUBSTITUTE(input_topics," ","")&amp;",")))&gt;0)),IF(IQ8="",TRUE,IF(input_topics="",FALSE,SUMPRODUCT(--ISNUMBER(SEARCH(","&amp;TRIM(TEXTSPLIT(IQ8,","))&amp;",",","&amp;SUBSTITUTE(input_topics," ","")&amp;",")))=COUNTA(TEXTSPLIT(IQ8,",")))))</f>
        <v/>
      </c>
    </row>
    <row r="9">
      <c r="A9" s="24">
        <f>IF(NOT(IS9),"Excluded",IF(AND(IT9,IU9,IV9,IW9,IX9,IY9,IZ9,JA9,JB9,JC9,JD9,JE9,JF9,JG9,JH9,JI9,JJ9,JK9,JL9,JM9,JN9,JO9,JP9,JQ9),IF(I9&gt;0,"Eligible but limited","Will appear"),"Excluded"))</f>
        <v/>
      </c>
      <c r="B9" s="24" t="inlineStr">
        <is>
          <t>All blogs</t>
        </is>
      </c>
      <c r="C9" s="27" t="inlineStr">
        <is>
          <t>/programs/mba/admissions/application-information/application-guide</t>
        </is>
      </c>
      <c r="D9" s="24" t="inlineStr">
        <is>
          <t>/programs/mba/admissions/application-information/application-guide</t>
        </is>
      </c>
      <c r="E9" s="24" t="n">
        <v>1</v>
      </c>
      <c r="F9" s="24" t="inlineStr">
        <is>
          <t>story</t>
        </is>
      </c>
      <c r="G9" s="24" t="inlineStr">
        <is>
          <t>stories_grid_with_images</t>
        </is>
      </c>
      <c r="H9" s="24" t="inlineStr">
        <is>
          <t>embed_blog</t>
        </is>
      </c>
      <c r="I9" s="24" t="n">
        <v>3</v>
      </c>
      <c r="J9" s="29" t="inlineStr">
        <is>
          <t>Section inferred</t>
        </is>
      </c>
      <c r="K9" s="24" t="inlineStr">
        <is>
          <t>Page placement</t>
        </is>
      </c>
      <c r="L9" s="24" t="inlineStr">
        <is>
          <t>Content type: story; Context uses Courses Context: MBA (92); Needs any Story Type: Blog (974); Limited to 3 item(s); Source: Section inferred</t>
        </is>
      </c>
      <c r="BQ9" s="19" t="inlineStr">
        <is>
          <t>92</t>
        </is>
      </c>
      <c r="BR9" s="19" t="inlineStr">
        <is>
          <t>MBA (92)</t>
        </is>
      </c>
      <c r="HY9" s="19" t="inlineStr">
        <is>
          <t>974</t>
        </is>
      </c>
      <c r="HZ9" s="19" t="inlineStr">
        <is>
          <t>Blog (974)</t>
        </is>
      </c>
      <c r="IS9" s="19">
        <f>IF(input_content_type="",FALSE,ISNUMBER(SEARCH(","&amp;LOWER(input_content_type)&amp;",",","&amp;LOWER(SUBSTITUTE(F9," ",""))&amp;",")))</f>
        <v/>
      </c>
      <c r="IT9" s="19">
        <f>AND(IF(M9="",TRUE,IF(input_affiliations="",FALSE,SUMPRODUCT(--ISNUMBER(SEARCH(","&amp;TRIM(TEXTSPLIT(M9,","))&amp;",",","&amp;SUBSTITUTE(input_affiliations," ","")&amp;",")))&gt;0)),IF(O9="",TRUE,IF(input_affiliations="",FALSE,SUMPRODUCT(--ISNUMBER(SEARCH(","&amp;TRIM(TEXTSPLIT(O9,","))&amp;",",","&amp;SUBSTITUTE(input_affiliations," ","")&amp;",")))=COUNTA(TEXTSPLIT(O9,",")))),IF(Q9="",TRUE,IF(input_affiliations="",TRUE,SUMPRODUCT(--ISNUMBER(SEARCH(","&amp;TRIM(TEXTSPLIT(Q9,","))&amp;",",","&amp;SUBSTITUTE(input_affiliations," ","")&amp;",")))=0)),IF(S9="",TRUE,IF(input_affiliations="",FALSE,SUMPRODUCT(--ISNUMBER(SEARCH(","&amp;TRIM(TEXTSPLIT(S9,","))&amp;",",","&amp;SUBSTITUTE(input_affiliations," ","")&amp;",")))&gt;0)),IF(U9="",TRUE,IF(input_affiliations="",FALSE,SUMPRODUCT(--ISNUMBER(SEARCH(","&amp;TRIM(TEXTSPLIT(U9,","))&amp;",",","&amp;SUBSTITUTE(input_affiliations," ","")&amp;",")))=COUNTA(TEXTSPLIT(U9,",")))))</f>
        <v/>
      </c>
      <c r="IU9" s="19">
        <f>AND(IF(W9="",TRUE,IF(input_announcement_category="",FALSE,SUMPRODUCT(--ISNUMBER(SEARCH(","&amp;TRIM(TEXTSPLIT(W9,","))&amp;",",","&amp;SUBSTITUTE(input_announcement_category," ","")&amp;",")))&gt;0)),IF(Y9="",TRUE,IF(input_announcement_category="",FALSE,SUMPRODUCT(--ISNUMBER(SEARCH(","&amp;TRIM(TEXTSPLIT(Y9,","))&amp;",",","&amp;SUBSTITUTE(input_announcement_category," ","")&amp;",")))=COUNTA(TEXTSPLIT(Y9,",")))),IF(AA9="",TRUE,IF(input_announcement_category="",TRUE,SUMPRODUCT(--ISNUMBER(SEARCH(","&amp;TRIM(TEXTSPLIT(AA9,","))&amp;",",","&amp;SUBSTITUTE(input_announcement_category," ","")&amp;",")))=0)),IF(AC9="",TRUE,IF(input_announcement_category="",FALSE,SUMPRODUCT(--ISNUMBER(SEARCH(","&amp;TRIM(TEXTSPLIT(AC9,","))&amp;",",","&amp;SUBSTITUTE(input_announcement_category," ","")&amp;",")))&gt;0)),IF(AE9="",TRUE,IF(input_announcement_category="",FALSE,SUMPRODUCT(--ISNUMBER(SEARCH(","&amp;TRIM(TEXTSPLIT(AE9,","))&amp;",",","&amp;SUBSTITUTE(input_announcement_category," ","")&amp;",")))=COUNTA(TEXTSPLIT(AE9,",")))))</f>
        <v/>
      </c>
      <c r="IV9" s="19">
        <f>AND(IF(AG9="",TRUE,IF(input_area_of_focus="",FALSE,SUMPRODUCT(--ISNUMBER(SEARCH(","&amp;TRIM(TEXTSPLIT(AG9,","))&amp;",",","&amp;SUBSTITUTE(input_area_of_focus," ","")&amp;",")))&gt;0)),IF(AI9="",TRUE,IF(input_area_of_focus="",FALSE,SUMPRODUCT(--ISNUMBER(SEARCH(","&amp;TRIM(TEXTSPLIT(AI9,","))&amp;",",","&amp;SUBSTITUTE(input_area_of_focus," ","")&amp;",")))=COUNTA(TEXTSPLIT(AI9,",")))),IF(AK9="",TRUE,IF(input_area_of_focus="",TRUE,SUMPRODUCT(--ISNUMBER(SEARCH(","&amp;TRIM(TEXTSPLIT(AK9,","))&amp;",",","&amp;SUBSTITUTE(input_area_of_focus," ","")&amp;",")))=0)),IF(AM9="",TRUE,IF(input_area_of_focus="",FALSE,SUMPRODUCT(--ISNUMBER(SEARCH(","&amp;TRIM(TEXTSPLIT(AM9,","))&amp;",",","&amp;SUBSTITUTE(input_area_of_focus," ","")&amp;",")))&gt;0)),IF(AO9="",TRUE,IF(input_area_of_focus="",FALSE,SUMPRODUCT(--ISNUMBER(SEARCH(","&amp;TRIM(TEXTSPLIT(AO9,","))&amp;",",","&amp;SUBSTITUTE(input_area_of_focus," ","")&amp;",")))=COUNTA(TEXTSPLIT(AO9,",")))))</f>
        <v/>
      </c>
      <c r="IW9" s="19">
        <f>AND(IF(AQ9="",TRUE,IF(input_audience="",FALSE,SUMPRODUCT(--ISNUMBER(SEARCH(","&amp;TRIM(TEXTSPLIT(AQ9,","))&amp;",",","&amp;SUBSTITUTE(input_audience," ","")&amp;",")))&gt;0)),IF(AS9="",TRUE,IF(input_audience="",FALSE,SUMPRODUCT(--ISNUMBER(SEARCH(","&amp;TRIM(TEXTSPLIT(AS9,","))&amp;",",","&amp;SUBSTITUTE(input_audience," ","")&amp;",")))=COUNTA(TEXTSPLIT(AS9,",")))),IF(AU9="",TRUE,IF(input_audience="",TRUE,SUMPRODUCT(--ISNUMBER(SEARCH(","&amp;TRIM(TEXTSPLIT(AU9,","))&amp;",",","&amp;SUBSTITUTE(input_audience," ","")&amp;",")))=0)),IF(AW9="",TRUE,IF(input_audience="",FALSE,SUMPRODUCT(--ISNUMBER(SEARCH(","&amp;TRIM(TEXTSPLIT(AW9,","))&amp;",",","&amp;SUBSTITUTE(input_audience," ","")&amp;",")))&gt;0)),IF(AY9="",TRUE,IF(input_audience="",FALSE,SUMPRODUCT(--ISNUMBER(SEARCH(","&amp;TRIM(TEXTSPLIT(AY9,","))&amp;",",","&amp;SUBSTITUTE(input_audience," ","")&amp;",")))=COUNTA(TEXTSPLIT(AY9,",")))))</f>
        <v/>
      </c>
      <c r="IX9" s="19">
        <f>AND(IF(BA9="",TRUE,IF(input_challenge_opportunities="",FALSE,SUMPRODUCT(--ISNUMBER(SEARCH(","&amp;TRIM(TEXTSPLIT(BA9,","))&amp;",",","&amp;SUBSTITUTE(input_challenge_opportunities," ","")&amp;",")))&gt;0)),IF(BC9="",TRUE,IF(input_challenge_opportunities="",FALSE,SUMPRODUCT(--ISNUMBER(SEARCH(","&amp;TRIM(TEXTSPLIT(BC9,","))&amp;",",","&amp;SUBSTITUTE(input_challenge_opportunities," ","")&amp;",")))=COUNTA(TEXTSPLIT(BC9,",")))),IF(BE9="",TRUE,IF(input_challenge_opportunities="",TRUE,SUMPRODUCT(--ISNUMBER(SEARCH(","&amp;TRIM(TEXTSPLIT(BE9,","))&amp;",",","&amp;SUBSTITUTE(input_challenge_opportunities," ","")&amp;",")))=0)),IF(BG9="",TRUE,IF(input_challenge_opportunities="",FALSE,SUMPRODUCT(--ISNUMBER(SEARCH(","&amp;TRIM(TEXTSPLIT(BG9,","))&amp;",",","&amp;SUBSTITUTE(input_challenge_opportunities," ","")&amp;",")))&gt;0)),IF(BI9="",TRUE,IF(input_challenge_opportunities="",FALSE,SUMPRODUCT(--ISNUMBER(SEARCH(","&amp;TRIM(TEXTSPLIT(BI9,","))&amp;",",","&amp;SUBSTITUTE(input_challenge_opportunities," ","")&amp;",")))=COUNTA(TEXTSPLIT(BI9,",")))))</f>
        <v/>
      </c>
      <c r="IY9" s="19">
        <f>AND(IF(BK9="",TRUE,IF(input_context="",FALSE,SUMPRODUCT(--ISNUMBER(SEARCH(","&amp;TRIM(TEXTSPLIT(BK9,","))&amp;",",","&amp;SUBSTITUTE(input_context," ","")&amp;",")))&gt;0)),IF(BM9="",TRUE,IF(input_context="",FALSE,SUMPRODUCT(--ISNUMBER(SEARCH(","&amp;TRIM(TEXTSPLIT(BM9,","))&amp;",",","&amp;SUBSTITUTE(input_context," ","")&amp;",")))=COUNTA(TEXTSPLIT(BM9,",")))),IF(BO9="",TRUE,IF(input_context="",TRUE,SUMPRODUCT(--ISNUMBER(SEARCH(","&amp;TRIM(TEXTSPLIT(BO9,","))&amp;",",","&amp;SUBSTITUTE(input_context," ","")&amp;",")))=0)),IF(BQ9="",TRUE,IF(input_context="",FALSE,SUMPRODUCT(--ISNUMBER(SEARCH(","&amp;TRIM(TEXTSPLIT(BQ9,","))&amp;",",","&amp;SUBSTITUTE(input_context," ","")&amp;",")))&gt;0)),IF(BS9="",TRUE,IF(input_context="",FALSE,SUMPRODUCT(--ISNUMBER(SEARCH(","&amp;TRIM(TEXTSPLIT(BS9,","))&amp;",",","&amp;SUBSTITUTE(input_context," ","")&amp;",")))=COUNTA(TEXTSPLIT(BS9,",")))))</f>
        <v/>
      </c>
      <c r="IZ9" s="19">
        <f>AND(IF(BU9="",TRUE,IF(input_enews_announcement_type="",FALSE,SUMPRODUCT(--ISNUMBER(SEARCH(","&amp;TRIM(TEXTSPLIT(BU9,","))&amp;",",","&amp;SUBSTITUTE(input_enews_announcement_type," ","")&amp;",")))&gt;0)),IF(BW9="",TRUE,IF(input_enews_announcement_type="",FALSE,SUMPRODUCT(--ISNUMBER(SEARCH(","&amp;TRIM(TEXTSPLIT(BW9,","))&amp;",",","&amp;SUBSTITUTE(input_enews_announcement_type," ","")&amp;",")))=COUNTA(TEXTSPLIT(BW9,",")))),IF(BY9="",TRUE,IF(input_enews_announcement_type="",TRUE,SUMPRODUCT(--ISNUMBER(SEARCH(","&amp;TRIM(TEXTSPLIT(BY9,","))&amp;",",","&amp;SUBSTITUTE(input_enews_announcement_type," ","")&amp;",")))=0)),IF(CA9="",TRUE,IF(input_enews_announcement_type="",FALSE,SUMPRODUCT(--ISNUMBER(SEARCH(","&amp;TRIM(TEXTSPLIT(CA9,","))&amp;",",","&amp;SUBSTITUTE(input_enews_announcement_type," ","")&amp;",")))&gt;0)),IF(CC9="",TRUE,IF(input_enews_announcement_type="",FALSE,SUMPRODUCT(--ISNUMBER(SEARCH(","&amp;TRIM(TEXTSPLIT(CC9,","))&amp;",",","&amp;SUBSTITUTE(input_enews_announcement_type," ","")&amp;",")))=COUNTA(TEXTSPLIT(CC9,",")))))</f>
        <v/>
      </c>
      <c r="JA9" s="19">
        <f>AND(IF(CE9="",TRUE,IF(input_enews_audience="",FALSE,SUMPRODUCT(--ISNUMBER(SEARCH(","&amp;TRIM(TEXTSPLIT(CE9,","))&amp;",",","&amp;SUBSTITUTE(input_enews_audience," ","")&amp;",")))&gt;0)),IF(CG9="",TRUE,IF(input_enews_audience="",FALSE,SUMPRODUCT(--ISNUMBER(SEARCH(","&amp;TRIM(TEXTSPLIT(CG9,","))&amp;",",","&amp;SUBSTITUTE(input_enews_audience," ","")&amp;",")))=COUNTA(TEXTSPLIT(CG9,",")))),IF(CI9="",TRUE,IF(input_enews_audience="",TRUE,SUMPRODUCT(--ISNUMBER(SEARCH(","&amp;TRIM(TEXTSPLIT(CI9,","))&amp;",",","&amp;SUBSTITUTE(input_enews_audience," ","")&amp;",")))=0)),IF(CK9="",TRUE,IF(input_enews_audience="",FALSE,SUMPRODUCT(--ISNUMBER(SEARCH(","&amp;TRIM(TEXTSPLIT(CK9,","))&amp;",",","&amp;SUBSTITUTE(input_enews_audience," ","")&amp;",")))&gt;0)),IF(CM9="",TRUE,IF(input_enews_audience="",FALSE,SUMPRODUCT(--ISNUMBER(SEARCH(","&amp;TRIM(TEXTSPLIT(CM9,","))&amp;",",","&amp;SUBSTITUTE(input_enews_audience," ","")&amp;",")))=COUNTA(TEXTSPLIT(CM9,",")))))</f>
        <v/>
      </c>
      <c r="JB9" s="19">
        <f>AND(IF(CO9="",TRUE,IF(input_event_location="",FALSE,SUMPRODUCT(--ISNUMBER(SEARCH(","&amp;TRIM(TEXTSPLIT(CO9,","))&amp;",",","&amp;SUBSTITUTE(input_event_location," ","")&amp;",")))&gt;0)),IF(CQ9="",TRUE,IF(input_event_location="",FALSE,SUMPRODUCT(--ISNUMBER(SEARCH(","&amp;TRIM(TEXTSPLIT(CQ9,","))&amp;",",","&amp;SUBSTITUTE(input_event_location," ","")&amp;",")))=COUNTA(TEXTSPLIT(CQ9,",")))),IF(CS9="",TRUE,IF(input_event_location="",TRUE,SUMPRODUCT(--ISNUMBER(SEARCH(","&amp;TRIM(TEXTSPLIT(CS9,","))&amp;",",","&amp;SUBSTITUTE(input_event_location," ","")&amp;",")))=0)),IF(CU9="",TRUE,IF(input_event_location="",FALSE,SUMPRODUCT(--ISNUMBER(SEARCH(","&amp;TRIM(TEXTSPLIT(CU9,","))&amp;",",","&amp;SUBSTITUTE(input_event_location," ","")&amp;",")))&gt;0)),IF(CW9="",TRUE,IF(input_event_location="",FALSE,SUMPRODUCT(--ISNUMBER(SEARCH(","&amp;TRIM(TEXTSPLIT(CW9,","))&amp;",",","&amp;SUBSTITUTE(input_event_location," ","")&amp;",")))=COUNTA(TEXTSPLIT(CW9,",")))))</f>
        <v/>
      </c>
      <c r="JC9" s="19">
        <f>AND(IF(CY9="",TRUE,IF(input_event_type="",FALSE,SUMPRODUCT(--ISNUMBER(SEARCH(","&amp;TRIM(TEXTSPLIT(CY9,","))&amp;",",","&amp;SUBSTITUTE(input_event_type," ","")&amp;",")))&gt;0)),IF(DA9="",TRUE,IF(input_event_type="",FALSE,SUMPRODUCT(--ISNUMBER(SEARCH(","&amp;TRIM(TEXTSPLIT(DA9,","))&amp;",",","&amp;SUBSTITUTE(input_event_type," ","")&amp;",")))=COUNTA(TEXTSPLIT(DA9,",")))),IF(DC9="",TRUE,IF(input_event_type="",TRUE,SUMPRODUCT(--ISNUMBER(SEARCH(","&amp;TRIM(TEXTSPLIT(DC9,","))&amp;",",","&amp;SUBSTITUTE(input_event_type," ","")&amp;",")))=0)),IF(DE9="",TRUE,IF(input_event_type="",FALSE,SUMPRODUCT(--ISNUMBER(SEARCH(","&amp;TRIM(TEXTSPLIT(DE9,","))&amp;",",","&amp;SUBSTITUTE(input_event_type," ","")&amp;",")))&gt;0)),IF(DG9="",TRUE,IF(input_event_type="",FALSE,SUMPRODUCT(--ISNUMBER(SEARCH(","&amp;TRIM(TEXTSPLIT(DG9,","))&amp;",",","&amp;SUBSTITUTE(input_event_type," ","")&amp;",")))=COUNTA(TEXTSPLIT(DG9,",")))))</f>
        <v/>
      </c>
      <c r="JD9" s="19">
        <f>AND(IF(DI9="",TRUE,IF(input_executive_education_focus="",FALSE,SUMPRODUCT(--ISNUMBER(SEARCH(","&amp;TRIM(TEXTSPLIT(DI9,","))&amp;",",","&amp;SUBSTITUTE(input_executive_education_focus," ","")&amp;",")))&gt;0)),IF(DK9="",TRUE,IF(input_executive_education_focus="",FALSE,SUMPRODUCT(--ISNUMBER(SEARCH(","&amp;TRIM(TEXTSPLIT(DK9,","))&amp;",",","&amp;SUBSTITUTE(input_executive_education_focus," ","")&amp;",")))=COUNTA(TEXTSPLIT(DK9,",")))),IF(DM9="",TRUE,IF(input_executive_education_focus="",TRUE,SUMPRODUCT(--ISNUMBER(SEARCH(","&amp;TRIM(TEXTSPLIT(DM9,","))&amp;",",","&amp;SUBSTITUTE(input_executive_education_focus," ","")&amp;",")))=0)),IF(DO9="",TRUE,IF(input_executive_education_focus="",FALSE,SUMPRODUCT(--ISNUMBER(SEARCH(","&amp;TRIM(TEXTSPLIT(DO9,","))&amp;",",","&amp;SUBSTITUTE(input_executive_education_focus," ","")&amp;",")))&gt;0)),IF(DQ9="",TRUE,IF(input_executive_education_focus="",FALSE,SUMPRODUCT(--ISNUMBER(SEARCH(","&amp;TRIM(TEXTSPLIT(DQ9,","))&amp;",",","&amp;SUBSTITUTE(input_executive_education_focus," ","")&amp;",")))=COUNTA(TEXTSPLIT(DQ9,",")))))</f>
        <v/>
      </c>
      <c r="JE9" s="19">
        <f>AND(IF(DS9="",TRUE,IF(input_faculty_category="",FALSE,SUMPRODUCT(--ISNUMBER(SEARCH(","&amp;TRIM(TEXTSPLIT(DS9,","))&amp;",",","&amp;SUBSTITUTE(input_faculty_category," ","")&amp;",")))&gt;0)),IF(DU9="",TRUE,IF(input_faculty_category="",FALSE,SUMPRODUCT(--ISNUMBER(SEARCH(","&amp;TRIM(TEXTSPLIT(DU9,","))&amp;",",","&amp;SUBSTITUTE(input_faculty_category," ","")&amp;",")))=COUNTA(TEXTSPLIT(DU9,",")))),IF(DW9="",TRUE,IF(input_faculty_category="",TRUE,SUMPRODUCT(--ISNUMBER(SEARCH(","&amp;TRIM(TEXTSPLIT(DW9,","))&amp;",",","&amp;SUBSTITUTE(input_faculty_category," ","")&amp;",")))=0)),IF(DY9="",TRUE,IF(input_faculty_category="",FALSE,SUMPRODUCT(--ISNUMBER(SEARCH(","&amp;TRIM(TEXTSPLIT(DY9,","))&amp;",",","&amp;SUBSTITUTE(input_faculty_category," ","")&amp;",")))&gt;0)),IF(EA9="",TRUE,IF(input_faculty_category="",FALSE,SUMPRODUCT(--ISNUMBER(SEARCH(","&amp;TRIM(TEXTSPLIT(EA9,","))&amp;",",","&amp;SUBSTITUTE(input_faculty_category," ","")&amp;",")))=COUNTA(TEXTSPLIT(EA9,",")))))</f>
        <v/>
      </c>
      <c r="JF9" s="19">
        <f>AND(IF(EC9="",TRUE,IF(input_faculty_discipline="",FALSE,SUMPRODUCT(--ISNUMBER(SEARCH(","&amp;TRIM(TEXTSPLIT(EC9,","))&amp;",",","&amp;SUBSTITUTE(input_faculty_discipline," ","")&amp;",")))&gt;0)),IF(EE9="",TRUE,IF(input_faculty_discipline="",FALSE,SUMPRODUCT(--ISNUMBER(SEARCH(","&amp;TRIM(TEXTSPLIT(EE9,","))&amp;",",","&amp;SUBSTITUTE(input_faculty_discipline," ","")&amp;",")))=COUNTA(TEXTSPLIT(EE9,",")))),IF(EG9="",TRUE,IF(input_faculty_discipline="",TRUE,SUMPRODUCT(--ISNUMBER(SEARCH(","&amp;TRIM(TEXTSPLIT(EG9,","))&amp;",",","&amp;SUBSTITUTE(input_faculty_discipline," ","")&amp;",")))=0)),IF(EI9="",TRUE,IF(input_faculty_discipline="",FALSE,SUMPRODUCT(--ISNUMBER(SEARCH(","&amp;TRIM(TEXTSPLIT(EI9,","))&amp;",",","&amp;SUBSTITUTE(input_faculty_discipline," ","")&amp;",")))&gt;0)),IF(EK9="",TRUE,IF(input_faculty_discipline="",FALSE,SUMPRODUCT(--ISNUMBER(SEARCH(","&amp;TRIM(TEXTSPLIT(EK9,","))&amp;",",","&amp;SUBSTITUTE(input_faculty_discipline," ","")&amp;",")))=COUNTA(TEXTSPLIT(EK9,",")))))</f>
        <v/>
      </c>
      <c r="JG9" s="19">
        <f>AND(IF(EM9="",TRUE,IF(input_faculty_expertise="",FALSE,SUMPRODUCT(--ISNUMBER(SEARCH(","&amp;TRIM(TEXTSPLIT(EM9,","))&amp;",",","&amp;SUBSTITUTE(input_faculty_expertise," ","")&amp;",")))&gt;0)),IF(EO9="",TRUE,IF(input_faculty_expertise="",FALSE,SUMPRODUCT(--ISNUMBER(SEARCH(","&amp;TRIM(TEXTSPLIT(EO9,","))&amp;",",","&amp;SUBSTITUTE(input_faculty_expertise," ","")&amp;",")))=COUNTA(TEXTSPLIT(EO9,",")))),IF(EQ9="",TRUE,IF(input_faculty_expertise="",TRUE,SUMPRODUCT(--ISNUMBER(SEARCH(","&amp;TRIM(TEXTSPLIT(EQ9,","))&amp;",",","&amp;SUBSTITUTE(input_faculty_expertise," ","")&amp;",")))=0)),IF(ES9="",TRUE,IF(input_faculty_expertise="",FALSE,SUMPRODUCT(--ISNUMBER(SEARCH(","&amp;TRIM(TEXTSPLIT(ES9,","))&amp;",",","&amp;SUBSTITUTE(input_faculty_expertise," ","")&amp;",")))&gt;0)),IF(EU9="",TRUE,IF(input_faculty_expertise="",FALSE,SUMPRODUCT(--ISNUMBER(SEARCH(","&amp;TRIM(TEXTSPLIT(EU9,","))&amp;",",","&amp;SUBSTITUTE(input_faculty_expertise," ","")&amp;",")))=COUNTA(TEXTSPLIT(EU9,",")))))</f>
        <v/>
      </c>
      <c r="JH9" s="19">
        <f>AND(IF(EW9="",TRUE,IF(input_global_network_school="",FALSE,SUMPRODUCT(--ISNUMBER(SEARCH(","&amp;TRIM(TEXTSPLIT(EW9,","))&amp;",",","&amp;SUBSTITUTE(input_global_network_school," ","")&amp;",")))&gt;0)),IF(EY9="",TRUE,IF(input_global_network_school="",FALSE,SUMPRODUCT(--ISNUMBER(SEARCH(","&amp;TRIM(TEXTSPLIT(EY9,","))&amp;",",","&amp;SUBSTITUTE(input_global_network_school," ","")&amp;",")))=COUNTA(TEXTSPLIT(EY9,",")))),IF(FA9="",TRUE,IF(input_global_network_school="",TRUE,SUMPRODUCT(--ISNUMBER(SEARCH(","&amp;TRIM(TEXTSPLIT(FA9,","))&amp;",",","&amp;SUBSTITUTE(input_global_network_school," ","")&amp;",")))=0)),IF(FC9="",TRUE,IF(input_global_network_school="",FALSE,SUMPRODUCT(--ISNUMBER(SEARCH(","&amp;TRIM(TEXTSPLIT(FC9,","))&amp;",",","&amp;SUBSTITUTE(input_global_network_school," ","")&amp;",")))&gt;0)),IF(FE9="",TRUE,IF(input_global_network_school="",FALSE,SUMPRODUCT(--ISNUMBER(SEARCH(","&amp;TRIM(TEXTSPLIT(FE9,","))&amp;",",","&amp;SUBSTITUTE(input_global_network_school," ","")&amp;",")))=COUNTA(TEXTSPLIT(FE9,",")))))</f>
        <v/>
      </c>
      <c r="JI9" s="19">
        <f>AND(IF(FG9="",TRUE,IF(input_industry="",FALSE,SUMPRODUCT(--ISNUMBER(SEARCH(","&amp;TRIM(TEXTSPLIT(FG9,","))&amp;",",","&amp;SUBSTITUTE(input_industry," ","")&amp;",")))&gt;0)),IF(FI9="",TRUE,IF(input_industry="",FALSE,SUMPRODUCT(--ISNUMBER(SEARCH(","&amp;TRIM(TEXTSPLIT(FI9,","))&amp;",",","&amp;SUBSTITUTE(input_industry," ","")&amp;",")))=COUNTA(TEXTSPLIT(FI9,",")))),IF(FK9="",TRUE,IF(input_industry="",TRUE,SUMPRODUCT(--ISNUMBER(SEARCH(","&amp;TRIM(TEXTSPLIT(FK9,","))&amp;",",","&amp;SUBSTITUTE(input_industry," ","")&amp;",")))=0)),IF(FM9="",TRUE,IF(input_industry="",FALSE,SUMPRODUCT(--ISNUMBER(SEARCH(","&amp;TRIM(TEXTSPLIT(FM9,","))&amp;",",","&amp;SUBSTITUTE(input_industry," ","")&amp;",")))&gt;0)),IF(FO9="",TRUE,IF(input_industry="",FALSE,SUMPRODUCT(--ISNUMBER(SEARCH(","&amp;TRIM(TEXTSPLIT(FO9,","))&amp;",",","&amp;SUBSTITUTE(input_industry," ","")&amp;",")))=COUNTA(TEXTSPLIT(FO9,",")))))</f>
        <v/>
      </c>
      <c r="JJ9" s="19">
        <f>AND(IF(FQ9="",TRUE,IF(input_location="",FALSE,SUMPRODUCT(--ISNUMBER(SEARCH(","&amp;TRIM(TEXTSPLIT(FQ9,","))&amp;",",","&amp;SUBSTITUTE(input_location," ","")&amp;",")))&gt;0)),IF(FS9="",TRUE,IF(input_location="",FALSE,SUMPRODUCT(--ISNUMBER(SEARCH(","&amp;TRIM(TEXTSPLIT(FS9,","))&amp;",",","&amp;SUBSTITUTE(input_location," ","")&amp;",")))=COUNTA(TEXTSPLIT(FS9,",")))),IF(FU9="",TRUE,IF(input_location="",TRUE,SUMPRODUCT(--ISNUMBER(SEARCH(","&amp;TRIM(TEXTSPLIT(FU9,","))&amp;",",","&amp;SUBSTITUTE(input_location," ","")&amp;",")))=0)),IF(FW9="",TRUE,IF(input_location="",FALSE,SUMPRODUCT(--ISNUMBER(SEARCH(","&amp;TRIM(TEXTSPLIT(FW9,","))&amp;",",","&amp;SUBSTITUTE(input_location," ","")&amp;",")))&gt;0)),IF(FY9="",TRUE,IF(input_location="",FALSE,SUMPRODUCT(--ISNUMBER(SEARCH(","&amp;TRIM(TEXTSPLIT(FY9,","))&amp;",",","&amp;SUBSTITUTE(input_location," ","")&amp;",")))=COUNTA(TEXTSPLIT(FY9,",")))))</f>
        <v/>
      </c>
      <c r="JK9" s="19">
        <f>AND(IF(GA9="",TRUE,IF(input_modality="",FALSE,SUMPRODUCT(--ISNUMBER(SEARCH(","&amp;TRIM(TEXTSPLIT(GA9,","))&amp;",",","&amp;SUBSTITUTE(input_modality," ","")&amp;",")))&gt;0)),IF(GC9="",TRUE,IF(input_modality="",FALSE,SUMPRODUCT(--ISNUMBER(SEARCH(","&amp;TRIM(TEXTSPLIT(GC9,","))&amp;",",","&amp;SUBSTITUTE(input_modality," ","")&amp;",")))=COUNTA(TEXTSPLIT(GC9,",")))),IF(GE9="",TRUE,IF(input_modality="",TRUE,SUMPRODUCT(--ISNUMBER(SEARCH(","&amp;TRIM(TEXTSPLIT(GE9,","))&amp;",",","&amp;SUBSTITUTE(input_modality," ","")&amp;",")))=0)),IF(GG9="",TRUE,IF(input_modality="",FALSE,SUMPRODUCT(--ISNUMBER(SEARCH(","&amp;TRIM(TEXTSPLIT(GG9,","))&amp;",",","&amp;SUBSTITUTE(input_modality," ","")&amp;",")))&gt;0)),IF(GI9="",TRUE,IF(input_modality="",FALSE,SUMPRODUCT(--ISNUMBER(SEARCH(","&amp;TRIM(TEXTSPLIT(GI9,","))&amp;",",","&amp;SUBSTITUTE(input_modality," ","")&amp;",")))=COUNTA(TEXTSPLIT(GI9,",")))))</f>
        <v/>
      </c>
      <c r="JL9" s="19">
        <f>AND(IF(GK9="",TRUE,IF(input_organizer="",FALSE,SUMPRODUCT(--ISNUMBER(SEARCH(","&amp;TRIM(TEXTSPLIT(GK9,","))&amp;",",","&amp;SUBSTITUTE(input_organizer," ","")&amp;",")))&gt;0)),IF(GM9="",TRUE,IF(input_organizer="",FALSE,SUMPRODUCT(--ISNUMBER(SEARCH(","&amp;TRIM(TEXTSPLIT(GM9,","))&amp;",",","&amp;SUBSTITUTE(input_organizer," ","")&amp;",")))=COUNTA(TEXTSPLIT(GM9,",")))),IF(GO9="",TRUE,IF(input_organizer="",TRUE,SUMPRODUCT(--ISNUMBER(SEARCH(","&amp;TRIM(TEXTSPLIT(GO9,","))&amp;",",","&amp;SUBSTITUTE(input_organizer," ","")&amp;",")))=0)),IF(GQ9="",TRUE,IF(input_organizer="",FALSE,SUMPRODUCT(--ISNUMBER(SEARCH(","&amp;TRIM(TEXTSPLIT(GQ9,","))&amp;",",","&amp;SUBSTITUTE(input_organizer," ","")&amp;",")))&gt;0)),IF(GS9="",TRUE,IF(input_organizer="",FALSE,SUMPRODUCT(--ISNUMBER(SEARCH(","&amp;TRIM(TEXTSPLIT(GS9,","))&amp;",",","&amp;SUBSTITUTE(input_organizer," ","")&amp;",")))=COUNTA(TEXTSPLIT(GS9,",")))))</f>
        <v/>
      </c>
      <c r="JM9" s="19">
        <f>AND(IF(GU9="",TRUE,IF(input_profile_type="",FALSE,SUMPRODUCT(--ISNUMBER(SEARCH(","&amp;TRIM(TEXTSPLIT(GU9,","))&amp;",",","&amp;SUBSTITUTE(input_profile_type," ","")&amp;",")))&gt;0)),IF(GW9="",TRUE,IF(input_profile_type="",FALSE,SUMPRODUCT(--ISNUMBER(SEARCH(","&amp;TRIM(TEXTSPLIT(GW9,","))&amp;",",","&amp;SUBSTITUTE(input_profile_type," ","")&amp;",")))=COUNTA(TEXTSPLIT(GW9,",")))),IF(GY9="",TRUE,IF(input_profile_type="",TRUE,SUMPRODUCT(--ISNUMBER(SEARCH(","&amp;TRIM(TEXTSPLIT(GY9,","))&amp;",",","&amp;SUBSTITUTE(input_profile_type," ","")&amp;",")))=0)),IF(HA9="",TRUE,IF(input_profile_type="",FALSE,SUMPRODUCT(--ISNUMBER(SEARCH(","&amp;TRIM(TEXTSPLIT(HA9,","))&amp;",",","&amp;SUBSTITUTE(input_profile_type," ","")&amp;",")))&gt;0)),IF(HC9="",TRUE,IF(input_profile_type="",FALSE,SUMPRODUCT(--ISNUMBER(SEARCH(","&amp;TRIM(TEXTSPLIT(HC9,","))&amp;",",","&amp;SUBSTITUTE(input_profile_type," ","")&amp;",")))=COUNTA(TEXTSPLIT(HC9,",")))))</f>
        <v/>
      </c>
      <c r="JN9" s="19">
        <f>AND(IF(HE9="",TRUE,IF(input_program="",FALSE,SUMPRODUCT(--ISNUMBER(SEARCH(","&amp;TRIM(TEXTSPLIT(HE9,","))&amp;",",","&amp;SUBSTITUTE(input_program," ","")&amp;",")))&gt;0)),IF(HG9="",TRUE,IF(input_program="",FALSE,SUMPRODUCT(--ISNUMBER(SEARCH(","&amp;TRIM(TEXTSPLIT(HG9,","))&amp;",",","&amp;SUBSTITUTE(input_program," ","")&amp;",")))=COUNTA(TEXTSPLIT(HG9,",")))),IF(HI9="",TRUE,IF(input_program="",TRUE,SUMPRODUCT(--ISNUMBER(SEARCH(","&amp;TRIM(TEXTSPLIT(HI9,","))&amp;",",","&amp;SUBSTITUTE(input_program," ","")&amp;",")))=0)),IF(HK9="",TRUE,IF(input_program="",FALSE,SUMPRODUCT(--ISNUMBER(SEARCH(","&amp;TRIM(TEXTSPLIT(HK9,","))&amp;",",","&amp;SUBSTITUTE(input_program," ","")&amp;",")))&gt;0)),IF(HM9="",TRUE,IF(input_program="",FALSE,SUMPRODUCT(--ISNUMBER(SEARCH(","&amp;TRIM(TEXTSPLIT(HM9,","))&amp;",",","&amp;SUBSTITUTE(input_program," ","")&amp;",")))=COUNTA(TEXTSPLIT(HM9,",")))))</f>
        <v/>
      </c>
      <c r="JO9" s="19">
        <f>AND(IF(HO9="",TRUE,IF(input_story_categories="",FALSE,SUMPRODUCT(--ISNUMBER(SEARCH(","&amp;TRIM(TEXTSPLIT(HO9,","))&amp;",",","&amp;SUBSTITUTE(input_story_categories," ","")&amp;",")))&gt;0)),IF(HQ9="",TRUE,IF(input_story_categories="",FALSE,SUMPRODUCT(--ISNUMBER(SEARCH(","&amp;TRIM(TEXTSPLIT(HQ9,","))&amp;",",","&amp;SUBSTITUTE(input_story_categories," ","")&amp;",")))=COUNTA(TEXTSPLIT(HQ9,",")))),IF(HS9="",TRUE,IF(input_story_categories="",TRUE,SUMPRODUCT(--ISNUMBER(SEARCH(","&amp;TRIM(TEXTSPLIT(HS9,","))&amp;",",","&amp;SUBSTITUTE(input_story_categories," ","")&amp;",")))=0)),IF(HU9="",TRUE,IF(input_story_categories="",FALSE,SUMPRODUCT(--ISNUMBER(SEARCH(","&amp;TRIM(TEXTSPLIT(HU9,","))&amp;",",","&amp;SUBSTITUTE(input_story_categories," ","")&amp;",")))&gt;0)),IF(HW9="",TRUE,IF(input_story_categories="",FALSE,SUMPRODUCT(--ISNUMBER(SEARCH(","&amp;TRIM(TEXTSPLIT(HW9,","))&amp;",",","&amp;SUBSTITUTE(input_story_categories," ","")&amp;",")))=COUNTA(TEXTSPLIT(HW9,",")))))</f>
        <v/>
      </c>
      <c r="JP9" s="19">
        <f>AND(IF(HY9="",TRUE,IF(input_story_type="",FALSE,SUMPRODUCT(--ISNUMBER(SEARCH(","&amp;TRIM(TEXTSPLIT(HY9,","))&amp;",",","&amp;SUBSTITUTE(input_story_type," ","")&amp;",")))&gt;0)),IF(IA9="",TRUE,IF(input_story_type="",FALSE,SUMPRODUCT(--ISNUMBER(SEARCH(","&amp;TRIM(TEXTSPLIT(IA9,","))&amp;",",","&amp;SUBSTITUTE(input_story_type," ","")&amp;",")))=COUNTA(TEXTSPLIT(IA9,",")))),IF(IC9="",TRUE,IF(input_story_type="",TRUE,SUMPRODUCT(--ISNUMBER(SEARCH(","&amp;TRIM(TEXTSPLIT(IC9,","))&amp;",",","&amp;SUBSTITUTE(input_story_type," ","")&amp;",")))=0)),IF(IE9="",TRUE,IF(input_story_type="",FALSE,SUMPRODUCT(--ISNUMBER(SEARCH(","&amp;TRIM(TEXTSPLIT(IE9,","))&amp;",",","&amp;SUBSTITUTE(input_story_type," ","")&amp;",")))&gt;0)),IF(IG9="",TRUE,IF(input_story_type="",FALSE,SUMPRODUCT(--ISNUMBER(SEARCH(","&amp;TRIM(TEXTSPLIT(IG9,","))&amp;",",","&amp;SUBSTITUTE(input_story_type," ","")&amp;",")))=COUNTA(TEXTSPLIT(IG9,",")))))</f>
        <v/>
      </c>
      <c r="JQ9" s="19">
        <f>AND(IF(II9="",TRUE,IF(input_topics="",FALSE,SUMPRODUCT(--ISNUMBER(SEARCH(","&amp;TRIM(TEXTSPLIT(II9,","))&amp;",",","&amp;SUBSTITUTE(input_topics," ","")&amp;",")))&gt;0)),IF(IK9="",TRUE,IF(input_topics="",FALSE,SUMPRODUCT(--ISNUMBER(SEARCH(","&amp;TRIM(TEXTSPLIT(IK9,","))&amp;",",","&amp;SUBSTITUTE(input_topics," ","")&amp;",")))=COUNTA(TEXTSPLIT(IK9,",")))),IF(IM9="",TRUE,IF(input_topics="",TRUE,SUMPRODUCT(--ISNUMBER(SEARCH(","&amp;TRIM(TEXTSPLIT(IM9,","))&amp;",",","&amp;SUBSTITUTE(input_topics," ","")&amp;",")))=0)),IF(IO9="",TRUE,IF(input_topics="",FALSE,SUMPRODUCT(--ISNUMBER(SEARCH(","&amp;TRIM(TEXTSPLIT(IO9,","))&amp;",",","&amp;SUBSTITUTE(input_topics," ","")&amp;",")))&gt;0)),IF(IQ9="",TRUE,IF(input_topics="",FALSE,SUMPRODUCT(--ISNUMBER(SEARCH(","&amp;TRIM(TEXTSPLIT(IQ9,","))&amp;",",","&amp;SUBSTITUTE(input_topics," ","")&amp;",")))=COUNTA(TEXTSPLIT(IQ9,",")))))</f>
        <v/>
      </c>
    </row>
    <row r="10">
      <c r="A10" s="24">
        <f>IF(NOT(IS10),"Excluded",IF(AND(IT10,IU10,IV10,IW10,IX10,IY10,IZ10,JA10,JB10,JC10,JD10,JE10,JF10,JG10,JH10,JI10,JJ10,JK10,JL10,JM10,JN10,JO10,JP10,JQ10),IF(I10&gt;0,"Eligible but limited","Will appear"),"Excluded"))</f>
        <v/>
      </c>
      <c r="B10" s="24" t="inlineStr">
        <is>
          <t>All blogs</t>
        </is>
      </c>
      <c r="C10" s="27" t="inlineStr">
        <is>
          <t>/programs/mba/career-paths</t>
        </is>
      </c>
      <c r="D10" s="24" t="inlineStr">
        <is>
          <t>/programs/mba/career-paths</t>
        </is>
      </c>
      <c r="E10" s="24" t="n">
        <v>1</v>
      </c>
      <c r="F10" s="24" t="inlineStr">
        <is>
          <t>story</t>
        </is>
      </c>
      <c r="G10" s="24" t="inlineStr">
        <is>
          <t>stories_grid_with_images</t>
        </is>
      </c>
      <c r="H10" s="24" t="inlineStr">
        <is>
          <t>embed_blog</t>
        </is>
      </c>
      <c r="I10" s="24" t="n">
        <v>3</v>
      </c>
      <c r="J10" s="29" t="inlineStr">
        <is>
          <t>Section inferred</t>
        </is>
      </c>
      <c r="K10" s="24" t="inlineStr">
        <is>
          <t>Page placement</t>
        </is>
      </c>
      <c r="L10" s="24" t="inlineStr">
        <is>
          <t>Content type: story; Context uses Courses Context: MBA (92); Needs any Story Type: Blog (974); Limited to 3 item(s); Source: Section inferred</t>
        </is>
      </c>
      <c r="BQ10" s="19" t="inlineStr">
        <is>
          <t>92</t>
        </is>
      </c>
      <c r="BR10" s="19" t="inlineStr">
        <is>
          <t>MBA (92)</t>
        </is>
      </c>
      <c r="HY10" s="19" t="inlineStr">
        <is>
          <t>974</t>
        </is>
      </c>
      <c r="HZ10" s="19" t="inlineStr">
        <is>
          <t>Blog (974)</t>
        </is>
      </c>
      <c r="IS10" s="19">
        <f>IF(input_content_type="",FALSE,ISNUMBER(SEARCH(","&amp;LOWER(input_content_type)&amp;",",","&amp;LOWER(SUBSTITUTE(F10," ",""))&amp;",")))</f>
        <v/>
      </c>
      <c r="IT10" s="19">
        <f>AND(IF(M10="",TRUE,IF(input_affiliations="",FALSE,SUMPRODUCT(--ISNUMBER(SEARCH(","&amp;TRIM(TEXTSPLIT(M10,","))&amp;",",","&amp;SUBSTITUTE(input_affiliations," ","")&amp;",")))&gt;0)),IF(O10="",TRUE,IF(input_affiliations="",FALSE,SUMPRODUCT(--ISNUMBER(SEARCH(","&amp;TRIM(TEXTSPLIT(O10,","))&amp;",",","&amp;SUBSTITUTE(input_affiliations," ","")&amp;",")))=COUNTA(TEXTSPLIT(O10,",")))),IF(Q10="",TRUE,IF(input_affiliations="",TRUE,SUMPRODUCT(--ISNUMBER(SEARCH(","&amp;TRIM(TEXTSPLIT(Q10,","))&amp;",",","&amp;SUBSTITUTE(input_affiliations," ","")&amp;",")))=0)),IF(S10="",TRUE,IF(input_affiliations="",FALSE,SUMPRODUCT(--ISNUMBER(SEARCH(","&amp;TRIM(TEXTSPLIT(S10,","))&amp;",",","&amp;SUBSTITUTE(input_affiliations," ","")&amp;",")))&gt;0)),IF(U10="",TRUE,IF(input_affiliations="",FALSE,SUMPRODUCT(--ISNUMBER(SEARCH(","&amp;TRIM(TEXTSPLIT(U10,","))&amp;",",","&amp;SUBSTITUTE(input_affiliations," ","")&amp;",")))=COUNTA(TEXTSPLIT(U10,",")))))</f>
        <v/>
      </c>
      <c r="IU10" s="19">
        <f>AND(IF(W10="",TRUE,IF(input_announcement_category="",FALSE,SUMPRODUCT(--ISNUMBER(SEARCH(","&amp;TRIM(TEXTSPLIT(W10,","))&amp;",",","&amp;SUBSTITUTE(input_announcement_category," ","")&amp;",")))&gt;0)),IF(Y10="",TRUE,IF(input_announcement_category="",FALSE,SUMPRODUCT(--ISNUMBER(SEARCH(","&amp;TRIM(TEXTSPLIT(Y10,","))&amp;",",","&amp;SUBSTITUTE(input_announcement_category," ","")&amp;",")))=COUNTA(TEXTSPLIT(Y10,",")))),IF(AA10="",TRUE,IF(input_announcement_category="",TRUE,SUMPRODUCT(--ISNUMBER(SEARCH(","&amp;TRIM(TEXTSPLIT(AA10,","))&amp;",",","&amp;SUBSTITUTE(input_announcement_category," ","")&amp;",")))=0)),IF(AC10="",TRUE,IF(input_announcement_category="",FALSE,SUMPRODUCT(--ISNUMBER(SEARCH(","&amp;TRIM(TEXTSPLIT(AC10,","))&amp;",",","&amp;SUBSTITUTE(input_announcement_category," ","")&amp;",")))&gt;0)),IF(AE10="",TRUE,IF(input_announcement_category="",FALSE,SUMPRODUCT(--ISNUMBER(SEARCH(","&amp;TRIM(TEXTSPLIT(AE10,","))&amp;",",","&amp;SUBSTITUTE(input_announcement_category," ","")&amp;",")))=COUNTA(TEXTSPLIT(AE10,",")))))</f>
        <v/>
      </c>
      <c r="IV10" s="19">
        <f>AND(IF(AG10="",TRUE,IF(input_area_of_focus="",FALSE,SUMPRODUCT(--ISNUMBER(SEARCH(","&amp;TRIM(TEXTSPLIT(AG10,","))&amp;",",","&amp;SUBSTITUTE(input_area_of_focus," ","")&amp;",")))&gt;0)),IF(AI10="",TRUE,IF(input_area_of_focus="",FALSE,SUMPRODUCT(--ISNUMBER(SEARCH(","&amp;TRIM(TEXTSPLIT(AI10,","))&amp;",",","&amp;SUBSTITUTE(input_area_of_focus," ","")&amp;",")))=COUNTA(TEXTSPLIT(AI10,",")))),IF(AK10="",TRUE,IF(input_area_of_focus="",TRUE,SUMPRODUCT(--ISNUMBER(SEARCH(","&amp;TRIM(TEXTSPLIT(AK10,","))&amp;",",","&amp;SUBSTITUTE(input_area_of_focus," ","")&amp;",")))=0)),IF(AM10="",TRUE,IF(input_area_of_focus="",FALSE,SUMPRODUCT(--ISNUMBER(SEARCH(","&amp;TRIM(TEXTSPLIT(AM10,","))&amp;",",","&amp;SUBSTITUTE(input_area_of_focus," ","")&amp;",")))&gt;0)),IF(AO10="",TRUE,IF(input_area_of_focus="",FALSE,SUMPRODUCT(--ISNUMBER(SEARCH(","&amp;TRIM(TEXTSPLIT(AO10,","))&amp;",",","&amp;SUBSTITUTE(input_area_of_focus," ","")&amp;",")))=COUNTA(TEXTSPLIT(AO10,",")))))</f>
        <v/>
      </c>
      <c r="IW10" s="19">
        <f>AND(IF(AQ10="",TRUE,IF(input_audience="",FALSE,SUMPRODUCT(--ISNUMBER(SEARCH(","&amp;TRIM(TEXTSPLIT(AQ10,","))&amp;",",","&amp;SUBSTITUTE(input_audience," ","")&amp;",")))&gt;0)),IF(AS10="",TRUE,IF(input_audience="",FALSE,SUMPRODUCT(--ISNUMBER(SEARCH(","&amp;TRIM(TEXTSPLIT(AS10,","))&amp;",",","&amp;SUBSTITUTE(input_audience," ","")&amp;",")))=COUNTA(TEXTSPLIT(AS10,",")))),IF(AU10="",TRUE,IF(input_audience="",TRUE,SUMPRODUCT(--ISNUMBER(SEARCH(","&amp;TRIM(TEXTSPLIT(AU10,","))&amp;",",","&amp;SUBSTITUTE(input_audience," ","")&amp;",")))=0)),IF(AW10="",TRUE,IF(input_audience="",FALSE,SUMPRODUCT(--ISNUMBER(SEARCH(","&amp;TRIM(TEXTSPLIT(AW10,","))&amp;",",","&amp;SUBSTITUTE(input_audience," ","")&amp;",")))&gt;0)),IF(AY10="",TRUE,IF(input_audience="",FALSE,SUMPRODUCT(--ISNUMBER(SEARCH(","&amp;TRIM(TEXTSPLIT(AY10,","))&amp;",",","&amp;SUBSTITUTE(input_audience," ","")&amp;",")))=COUNTA(TEXTSPLIT(AY10,",")))))</f>
        <v/>
      </c>
      <c r="IX10" s="19">
        <f>AND(IF(BA10="",TRUE,IF(input_challenge_opportunities="",FALSE,SUMPRODUCT(--ISNUMBER(SEARCH(","&amp;TRIM(TEXTSPLIT(BA10,","))&amp;",",","&amp;SUBSTITUTE(input_challenge_opportunities," ","")&amp;",")))&gt;0)),IF(BC10="",TRUE,IF(input_challenge_opportunities="",FALSE,SUMPRODUCT(--ISNUMBER(SEARCH(","&amp;TRIM(TEXTSPLIT(BC10,","))&amp;",",","&amp;SUBSTITUTE(input_challenge_opportunities," ","")&amp;",")))=COUNTA(TEXTSPLIT(BC10,",")))),IF(BE10="",TRUE,IF(input_challenge_opportunities="",TRUE,SUMPRODUCT(--ISNUMBER(SEARCH(","&amp;TRIM(TEXTSPLIT(BE10,","))&amp;",",","&amp;SUBSTITUTE(input_challenge_opportunities," ","")&amp;",")))=0)),IF(BG10="",TRUE,IF(input_challenge_opportunities="",FALSE,SUMPRODUCT(--ISNUMBER(SEARCH(","&amp;TRIM(TEXTSPLIT(BG10,","))&amp;",",","&amp;SUBSTITUTE(input_challenge_opportunities," ","")&amp;",")))&gt;0)),IF(BI10="",TRUE,IF(input_challenge_opportunities="",FALSE,SUMPRODUCT(--ISNUMBER(SEARCH(","&amp;TRIM(TEXTSPLIT(BI10,","))&amp;",",","&amp;SUBSTITUTE(input_challenge_opportunities," ","")&amp;",")))=COUNTA(TEXTSPLIT(BI10,",")))))</f>
        <v/>
      </c>
      <c r="IY10" s="19">
        <f>AND(IF(BK10="",TRUE,IF(input_context="",FALSE,SUMPRODUCT(--ISNUMBER(SEARCH(","&amp;TRIM(TEXTSPLIT(BK10,","))&amp;",",","&amp;SUBSTITUTE(input_context," ","")&amp;",")))&gt;0)),IF(BM10="",TRUE,IF(input_context="",FALSE,SUMPRODUCT(--ISNUMBER(SEARCH(","&amp;TRIM(TEXTSPLIT(BM10,","))&amp;",",","&amp;SUBSTITUTE(input_context," ","")&amp;",")))=COUNTA(TEXTSPLIT(BM10,",")))),IF(BO10="",TRUE,IF(input_context="",TRUE,SUMPRODUCT(--ISNUMBER(SEARCH(","&amp;TRIM(TEXTSPLIT(BO10,","))&amp;",",","&amp;SUBSTITUTE(input_context," ","")&amp;",")))=0)),IF(BQ10="",TRUE,IF(input_context="",FALSE,SUMPRODUCT(--ISNUMBER(SEARCH(","&amp;TRIM(TEXTSPLIT(BQ10,","))&amp;",",","&amp;SUBSTITUTE(input_context," ","")&amp;",")))&gt;0)),IF(BS10="",TRUE,IF(input_context="",FALSE,SUMPRODUCT(--ISNUMBER(SEARCH(","&amp;TRIM(TEXTSPLIT(BS10,","))&amp;",",","&amp;SUBSTITUTE(input_context," ","")&amp;",")))=COUNTA(TEXTSPLIT(BS10,",")))))</f>
        <v/>
      </c>
      <c r="IZ10" s="19">
        <f>AND(IF(BU10="",TRUE,IF(input_enews_announcement_type="",FALSE,SUMPRODUCT(--ISNUMBER(SEARCH(","&amp;TRIM(TEXTSPLIT(BU10,","))&amp;",",","&amp;SUBSTITUTE(input_enews_announcement_type," ","")&amp;",")))&gt;0)),IF(BW10="",TRUE,IF(input_enews_announcement_type="",FALSE,SUMPRODUCT(--ISNUMBER(SEARCH(","&amp;TRIM(TEXTSPLIT(BW10,","))&amp;",",","&amp;SUBSTITUTE(input_enews_announcement_type," ","")&amp;",")))=COUNTA(TEXTSPLIT(BW10,",")))),IF(BY10="",TRUE,IF(input_enews_announcement_type="",TRUE,SUMPRODUCT(--ISNUMBER(SEARCH(","&amp;TRIM(TEXTSPLIT(BY10,","))&amp;",",","&amp;SUBSTITUTE(input_enews_announcement_type," ","")&amp;",")))=0)),IF(CA10="",TRUE,IF(input_enews_announcement_type="",FALSE,SUMPRODUCT(--ISNUMBER(SEARCH(","&amp;TRIM(TEXTSPLIT(CA10,","))&amp;",",","&amp;SUBSTITUTE(input_enews_announcement_type," ","")&amp;",")))&gt;0)),IF(CC10="",TRUE,IF(input_enews_announcement_type="",FALSE,SUMPRODUCT(--ISNUMBER(SEARCH(","&amp;TRIM(TEXTSPLIT(CC10,","))&amp;",",","&amp;SUBSTITUTE(input_enews_announcement_type," ","")&amp;",")))=COUNTA(TEXTSPLIT(CC10,",")))))</f>
        <v/>
      </c>
      <c r="JA10" s="19">
        <f>AND(IF(CE10="",TRUE,IF(input_enews_audience="",FALSE,SUMPRODUCT(--ISNUMBER(SEARCH(","&amp;TRIM(TEXTSPLIT(CE10,","))&amp;",",","&amp;SUBSTITUTE(input_enews_audience," ","")&amp;",")))&gt;0)),IF(CG10="",TRUE,IF(input_enews_audience="",FALSE,SUMPRODUCT(--ISNUMBER(SEARCH(","&amp;TRIM(TEXTSPLIT(CG10,","))&amp;",",","&amp;SUBSTITUTE(input_enews_audience," ","")&amp;",")))=COUNTA(TEXTSPLIT(CG10,",")))),IF(CI10="",TRUE,IF(input_enews_audience="",TRUE,SUMPRODUCT(--ISNUMBER(SEARCH(","&amp;TRIM(TEXTSPLIT(CI10,","))&amp;",",","&amp;SUBSTITUTE(input_enews_audience," ","")&amp;",")))=0)),IF(CK10="",TRUE,IF(input_enews_audience="",FALSE,SUMPRODUCT(--ISNUMBER(SEARCH(","&amp;TRIM(TEXTSPLIT(CK10,","))&amp;",",","&amp;SUBSTITUTE(input_enews_audience," ","")&amp;",")))&gt;0)),IF(CM10="",TRUE,IF(input_enews_audience="",FALSE,SUMPRODUCT(--ISNUMBER(SEARCH(","&amp;TRIM(TEXTSPLIT(CM10,","))&amp;",",","&amp;SUBSTITUTE(input_enews_audience," ","")&amp;",")))=COUNTA(TEXTSPLIT(CM10,",")))))</f>
        <v/>
      </c>
      <c r="JB10" s="19">
        <f>AND(IF(CO10="",TRUE,IF(input_event_location="",FALSE,SUMPRODUCT(--ISNUMBER(SEARCH(","&amp;TRIM(TEXTSPLIT(CO10,","))&amp;",",","&amp;SUBSTITUTE(input_event_location," ","")&amp;",")))&gt;0)),IF(CQ10="",TRUE,IF(input_event_location="",FALSE,SUMPRODUCT(--ISNUMBER(SEARCH(","&amp;TRIM(TEXTSPLIT(CQ10,","))&amp;",",","&amp;SUBSTITUTE(input_event_location," ","")&amp;",")))=COUNTA(TEXTSPLIT(CQ10,",")))),IF(CS10="",TRUE,IF(input_event_location="",TRUE,SUMPRODUCT(--ISNUMBER(SEARCH(","&amp;TRIM(TEXTSPLIT(CS10,","))&amp;",",","&amp;SUBSTITUTE(input_event_location," ","")&amp;",")))=0)),IF(CU10="",TRUE,IF(input_event_location="",FALSE,SUMPRODUCT(--ISNUMBER(SEARCH(","&amp;TRIM(TEXTSPLIT(CU10,","))&amp;",",","&amp;SUBSTITUTE(input_event_location," ","")&amp;",")))&gt;0)),IF(CW10="",TRUE,IF(input_event_location="",FALSE,SUMPRODUCT(--ISNUMBER(SEARCH(","&amp;TRIM(TEXTSPLIT(CW10,","))&amp;",",","&amp;SUBSTITUTE(input_event_location," ","")&amp;",")))=COUNTA(TEXTSPLIT(CW10,",")))))</f>
        <v/>
      </c>
      <c r="JC10" s="19">
        <f>AND(IF(CY10="",TRUE,IF(input_event_type="",FALSE,SUMPRODUCT(--ISNUMBER(SEARCH(","&amp;TRIM(TEXTSPLIT(CY10,","))&amp;",",","&amp;SUBSTITUTE(input_event_type," ","")&amp;",")))&gt;0)),IF(DA10="",TRUE,IF(input_event_type="",FALSE,SUMPRODUCT(--ISNUMBER(SEARCH(","&amp;TRIM(TEXTSPLIT(DA10,","))&amp;",",","&amp;SUBSTITUTE(input_event_type," ","")&amp;",")))=COUNTA(TEXTSPLIT(DA10,",")))),IF(DC10="",TRUE,IF(input_event_type="",TRUE,SUMPRODUCT(--ISNUMBER(SEARCH(","&amp;TRIM(TEXTSPLIT(DC10,","))&amp;",",","&amp;SUBSTITUTE(input_event_type," ","")&amp;",")))=0)),IF(DE10="",TRUE,IF(input_event_type="",FALSE,SUMPRODUCT(--ISNUMBER(SEARCH(","&amp;TRIM(TEXTSPLIT(DE10,","))&amp;",",","&amp;SUBSTITUTE(input_event_type," ","")&amp;",")))&gt;0)),IF(DG10="",TRUE,IF(input_event_type="",FALSE,SUMPRODUCT(--ISNUMBER(SEARCH(","&amp;TRIM(TEXTSPLIT(DG10,","))&amp;",",","&amp;SUBSTITUTE(input_event_type," ","")&amp;",")))=COUNTA(TEXTSPLIT(DG10,",")))))</f>
        <v/>
      </c>
      <c r="JD10" s="19">
        <f>AND(IF(DI10="",TRUE,IF(input_executive_education_focus="",FALSE,SUMPRODUCT(--ISNUMBER(SEARCH(","&amp;TRIM(TEXTSPLIT(DI10,","))&amp;",",","&amp;SUBSTITUTE(input_executive_education_focus," ","")&amp;",")))&gt;0)),IF(DK10="",TRUE,IF(input_executive_education_focus="",FALSE,SUMPRODUCT(--ISNUMBER(SEARCH(","&amp;TRIM(TEXTSPLIT(DK10,","))&amp;",",","&amp;SUBSTITUTE(input_executive_education_focus," ","")&amp;",")))=COUNTA(TEXTSPLIT(DK10,",")))),IF(DM10="",TRUE,IF(input_executive_education_focus="",TRUE,SUMPRODUCT(--ISNUMBER(SEARCH(","&amp;TRIM(TEXTSPLIT(DM10,","))&amp;",",","&amp;SUBSTITUTE(input_executive_education_focus," ","")&amp;",")))=0)),IF(DO10="",TRUE,IF(input_executive_education_focus="",FALSE,SUMPRODUCT(--ISNUMBER(SEARCH(","&amp;TRIM(TEXTSPLIT(DO10,","))&amp;",",","&amp;SUBSTITUTE(input_executive_education_focus," ","")&amp;",")))&gt;0)),IF(DQ10="",TRUE,IF(input_executive_education_focus="",FALSE,SUMPRODUCT(--ISNUMBER(SEARCH(","&amp;TRIM(TEXTSPLIT(DQ10,","))&amp;",",","&amp;SUBSTITUTE(input_executive_education_focus," ","")&amp;",")))=COUNTA(TEXTSPLIT(DQ10,",")))))</f>
        <v/>
      </c>
      <c r="JE10" s="19">
        <f>AND(IF(DS10="",TRUE,IF(input_faculty_category="",FALSE,SUMPRODUCT(--ISNUMBER(SEARCH(","&amp;TRIM(TEXTSPLIT(DS10,","))&amp;",",","&amp;SUBSTITUTE(input_faculty_category," ","")&amp;",")))&gt;0)),IF(DU10="",TRUE,IF(input_faculty_category="",FALSE,SUMPRODUCT(--ISNUMBER(SEARCH(","&amp;TRIM(TEXTSPLIT(DU10,","))&amp;",",","&amp;SUBSTITUTE(input_faculty_category," ","")&amp;",")))=COUNTA(TEXTSPLIT(DU10,",")))),IF(DW10="",TRUE,IF(input_faculty_category="",TRUE,SUMPRODUCT(--ISNUMBER(SEARCH(","&amp;TRIM(TEXTSPLIT(DW10,","))&amp;",",","&amp;SUBSTITUTE(input_faculty_category," ","")&amp;",")))=0)),IF(DY10="",TRUE,IF(input_faculty_category="",FALSE,SUMPRODUCT(--ISNUMBER(SEARCH(","&amp;TRIM(TEXTSPLIT(DY10,","))&amp;",",","&amp;SUBSTITUTE(input_faculty_category," ","")&amp;",")))&gt;0)),IF(EA10="",TRUE,IF(input_faculty_category="",FALSE,SUMPRODUCT(--ISNUMBER(SEARCH(","&amp;TRIM(TEXTSPLIT(EA10,","))&amp;",",","&amp;SUBSTITUTE(input_faculty_category," ","")&amp;",")))=COUNTA(TEXTSPLIT(EA10,",")))))</f>
        <v/>
      </c>
      <c r="JF10" s="19">
        <f>AND(IF(EC10="",TRUE,IF(input_faculty_discipline="",FALSE,SUMPRODUCT(--ISNUMBER(SEARCH(","&amp;TRIM(TEXTSPLIT(EC10,","))&amp;",",","&amp;SUBSTITUTE(input_faculty_discipline," ","")&amp;",")))&gt;0)),IF(EE10="",TRUE,IF(input_faculty_discipline="",FALSE,SUMPRODUCT(--ISNUMBER(SEARCH(","&amp;TRIM(TEXTSPLIT(EE10,","))&amp;",",","&amp;SUBSTITUTE(input_faculty_discipline," ","")&amp;",")))=COUNTA(TEXTSPLIT(EE10,",")))),IF(EG10="",TRUE,IF(input_faculty_discipline="",TRUE,SUMPRODUCT(--ISNUMBER(SEARCH(","&amp;TRIM(TEXTSPLIT(EG10,","))&amp;",",","&amp;SUBSTITUTE(input_faculty_discipline," ","")&amp;",")))=0)),IF(EI10="",TRUE,IF(input_faculty_discipline="",FALSE,SUMPRODUCT(--ISNUMBER(SEARCH(","&amp;TRIM(TEXTSPLIT(EI10,","))&amp;",",","&amp;SUBSTITUTE(input_faculty_discipline," ","")&amp;",")))&gt;0)),IF(EK10="",TRUE,IF(input_faculty_discipline="",FALSE,SUMPRODUCT(--ISNUMBER(SEARCH(","&amp;TRIM(TEXTSPLIT(EK10,","))&amp;",",","&amp;SUBSTITUTE(input_faculty_discipline," ","")&amp;",")))=COUNTA(TEXTSPLIT(EK10,",")))))</f>
        <v/>
      </c>
      <c r="JG10" s="19">
        <f>AND(IF(EM10="",TRUE,IF(input_faculty_expertise="",FALSE,SUMPRODUCT(--ISNUMBER(SEARCH(","&amp;TRIM(TEXTSPLIT(EM10,","))&amp;",",","&amp;SUBSTITUTE(input_faculty_expertise," ","")&amp;",")))&gt;0)),IF(EO10="",TRUE,IF(input_faculty_expertise="",FALSE,SUMPRODUCT(--ISNUMBER(SEARCH(","&amp;TRIM(TEXTSPLIT(EO10,","))&amp;",",","&amp;SUBSTITUTE(input_faculty_expertise," ","")&amp;",")))=COUNTA(TEXTSPLIT(EO10,",")))),IF(EQ10="",TRUE,IF(input_faculty_expertise="",TRUE,SUMPRODUCT(--ISNUMBER(SEARCH(","&amp;TRIM(TEXTSPLIT(EQ10,","))&amp;",",","&amp;SUBSTITUTE(input_faculty_expertise," ","")&amp;",")))=0)),IF(ES10="",TRUE,IF(input_faculty_expertise="",FALSE,SUMPRODUCT(--ISNUMBER(SEARCH(","&amp;TRIM(TEXTSPLIT(ES10,","))&amp;",",","&amp;SUBSTITUTE(input_faculty_expertise," ","")&amp;",")))&gt;0)),IF(EU10="",TRUE,IF(input_faculty_expertise="",FALSE,SUMPRODUCT(--ISNUMBER(SEARCH(","&amp;TRIM(TEXTSPLIT(EU10,","))&amp;",",","&amp;SUBSTITUTE(input_faculty_expertise," ","")&amp;",")))=COUNTA(TEXTSPLIT(EU10,",")))))</f>
        <v/>
      </c>
      <c r="JH10" s="19">
        <f>AND(IF(EW10="",TRUE,IF(input_global_network_school="",FALSE,SUMPRODUCT(--ISNUMBER(SEARCH(","&amp;TRIM(TEXTSPLIT(EW10,","))&amp;",",","&amp;SUBSTITUTE(input_global_network_school," ","")&amp;",")))&gt;0)),IF(EY10="",TRUE,IF(input_global_network_school="",FALSE,SUMPRODUCT(--ISNUMBER(SEARCH(","&amp;TRIM(TEXTSPLIT(EY10,","))&amp;",",","&amp;SUBSTITUTE(input_global_network_school," ","")&amp;",")))=COUNTA(TEXTSPLIT(EY10,",")))),IF(FA10="",TRUE,IF(input_global_network_school="",TRUE,SUMPRODUCT(--ISNUMBER(SEARCH(","&amp;TRIM(TEXTSPLIT(FA10,","))&amp;",",","&amp;SUBSTITUTE(input_global_network_school," ","")&amp;",")))=0)),IF(FC10="",TRUE,IF(input_global_network_school="",FALSE,SUMPRODUCT(--ISNUMBER(SEARCH(","&amp;TRIM(TEXTSPLIT(FC10,","))&amp;",",","&amp;SUBSTITUTE(input_global_network_school," ","")&amp;",")))&gt;0)),IF(FE10="",TRUE,IF(input_global_network_school="",FALSE,SUMPRODUCT(--ISNUMBER(SEARCH(","&amp;TRIM(TEXTSPLIT(FE10,","))&amp;",",","&amp;SUBSTITUTE(input_global_network_school," ","")&amp;",")))=COUNTA(TEXTSPLIT(FE10,",")))))</f>
        <v/>
      </c>
      <c r="JI10" s="19">
        <f>AND(IF(FG10="",TRUE,IF(input_industry="",FALSE,SUMPRODUCT(--ISNUMBER(SEARCH(","&amp;TRIM(TEXTSPLIT(FG10,","))&amp;",",","&amp;SUBSTITUTE(input_industry," ","")&amp;",")))&gt;0)),IF(FI10="",TRUE,IF(input_industry="",FALSE,SUMPRODUCT(--ISNUMBER(SEARCH(","&amp;TRIM(TEXTSPLIT(FI10,","))&amp;",",","&amp;SUBSTITUTE(input_industry," ","")&amp;",")))=COUNTA(TEXTSPLIT(FI10,",")))),IF(FK10="",TRUE,IF(input_industry="",TRUE,SUMPRODUCT(--ISNUMBER(SEARCH(","&amp;TRIM(TEXTSPLIT(FK10,","))&amp;",",","&amp;SUBSTITUTE(input_industry," ","")&amp;",")))=0)),IF(FM10="",TRUE,IF(input_industry="",FALSE,SUMPRODUCT(--ISNUMBER(SEARCH(","&amp;TRIM(TEXTSPLIT(FM10,","))&amp;",",","&amp;SUBSTITUTE(input_industry," ","")&amp;",")))&gt;0)),IF(FO10="",TRUE,IF(input_industry="",FALSE,SUMPRODUCT(--ISNUMBER(SEARCH(","&amp;TRIM(TEXTSPLIT(FO10,","))&amp;",",","&amp;SUBSTITUTE(input_industry," ","")&amp;",")))=COUNTA(TEXTSPLIT(FO10,",")))))</f>
        <v/>
      </c>
      <c r="JJ10" s="19">
        <f>AND(IF(FQ10="",TRUE,IF(input_location="",FALSE,SUMPRODUCT(--ISNUMBER(SEARCH(","&amp;TRIM(TEXTSPLIT(FQ10,","))&amp;",",","&amp;SUBSTITUTE(input_location," ","")&amp;",")))&gt;0)),IF(FS10="",TRUE,IF(input_location="",FALSE,SUMPRODUCT(--ISNUMBER(SEARCH(","&amp;TRIM(TEXTSPLIT(FS10,","))&amp;",",","&amp;SUBSTITUTE(input_location," ","")&amp;",")))=COUNTA(TEXTSPLIT(FS10,",")))),IF(FU10="",TRUE,IF(input_location="",TRUE,SUMPRODUCT(--ISNUMBER(SEARCH(","&amp;TRIM(TEXTSPLIT(FU10,","))&amp;",",","&amp;SUBSTITUTE(input_location," ","")&amp;",")))=0)),IF(FW10="",TRUE,IF(input_location="",FALSE,SUMPRODUCT(--ISNUMBER(SEARCH(","&amp;TRIM(TEXTSPLIT(FW10,","))&amp;",",","&amp;SUBSTITUTE(input_location," ","")&amp;",")))&gt;0)),IF(FY10="",TRUE,IF(input_location="",FALSE,SUMPRODUCT(--ISNUMBER(SEARCH(","&amp;TRIM(TEXTSPLIT(FY10,","))&amp;",",","&amp;SUBSTITUTE(input_location," ","")&amp;",")))=COUNTA(TEXTSPLIT(FY10,",")))))</f>
        <v/>
      </c>
      <c r="JK10" s="19">
        <f>AND(IF(GA10="",TRUE,IF(input_modality="",FALSE,SUMPRODUCT(--ISNUMBER(SEARCH(","&amp;TRIM(TEXTSPLIT(GA10,","))&amp;",",","&amp;SUBSTITUTE(input_modality," ","")&amp;",")))&gt;0)),IF(GC10="",TRUE,IF(input_modality="",FALSE,SUMPRODUCT(--ISNUMBER(SEARCH(","&amp;TRIM(TEXTSPLIT(GC10,","))&amp;",",","&amp;SUBSTITUTE(input_modality," ","")&amp;",")))=COUNTA(TEXTSPLIT(GC10,",")))),IF(GE10="",TRUE,IF(input_modality="",TRUE,SUMPRODUCT(--ISNUMBER(SEARCH(","&amp;TRIM(TEXTSPLIT(GE10,","))&amp;",",","&amp;SUBSTITUTE(input_modality," ","")&amp;",")))=0)),IF(GG10="",TRUE,IF(input_modality="",FALSE,SUMPRODUCT(--ISNUMBER(SEARCH(","&amp;TRIM(TEXTSPLIT(GG10,","))&amp;",",","&amp;SUBSTITUTE(input_modality," ","")&amp;",")))&gt;0)),IF(GI10="",TRUE,IF(input_modality="",FALSE,SUMPRODUCT(--ISNUMBER(SEARCH(","&amp;TRIM(TEXTSPLIT(GI10,","))&amp;",",","&amp;SUBSTITUTE(input_modality," ","")&amp;",")))=COUNTA(TEXTSPLIT(GI10,",")))))</f>
        <v/>
      </c>
      <c r="JL10" s="19">
        <f>AND(IF(GK10="",TRUE,IF(input_organizer="",FALSE,SUMPRODUCT(--ISNUMBER(SEARCH(","&amp;TRIM(TEXTSPLIT(GK10,","))&amp;",",","&amp;SUBSTITUTE(input_organizer," ","")&amp;",")))&gt;0)),IF(GM10="",TRUE,IF(input_organizer="",FALSE,SUMPRODUCT(--ISNUMBER(SEARCH(","&amp;TRIM(TEXTSPLIT(GM10,","))&amp;",",","&amp;SUBSTITUTE(input_organizer," ","")&amp;",")))=COUNTA(TEXTSPLIT(GM10,",")))),IF(GO10="",TRUE,IF(input_organizer="",TRUE,SUMPRODUCT(--ISNUMBER(SEARCH(","&amp;TRIM(TEXTSPLIT(GO10,","))&amp;",",","&amp;SUBSTITUTE(input_organizer," ","")&amp;",")))=0)),IF(GQ10="",TRUE,IF(input_organizer="",FALSE,SUMPRODUCT(--ISNUMBER(SEARCH(","&amp;TRIM(TEXTSPLIT(GQ10,","))&amp;",",","&amp;SUBSTITUTE(input_organizer," ","")&amp;",")))&gt;0)),IF(GS10="",TRUE,IF(input_organizer="",FALSE,SUMPRODUCT(--ISNUMBER(SEARCH(","&amp;TRIM(TEXTSPLIT(GS10,","))&amp;",",","&amp;SUBSTITUTE(input_organizer," ","")&amp;",")))=COUNTA(TEXTSPLIT(GS10,",")))))</f>
        <v/>
      </c>
      <c r="JM10" s="19">
        <f>AND(IF(GU10="",TRUE,IF(input_profile_type="",FALSE,SUMPRODUCT(--ISNUMBER(SEARCH(","&amp;TRIM(TEXTSPLIT(GU10,","))&amp;",",","&amp;SUBSTITUTE(input_profile_type," ","")&amp;",")))&gt;0)),IF(GW10="",TRUE,IF(input_profile_type="",FALSE,SUMPRODUCT(--ISNUMBER(SEARCH(","&amp;TRIM(TEXTSPLIT(GW10,","))&amp;",",","&amp;SUBSTITUTE(input_profile_type," ","")&amp;",")))=COUNTA(TEXTSPLIT(GW10,",")))),IF(GY10="",TRUE,IF(input_profile_type="",TRUE,SUMPRODUCT(--ISNUMBER(SEARCH(","&amp;TRIM(TEXTSPLIT(GY10,","))&amp;",",","&amp;SUBSTITUTE(input_profile_type," ","")&amp;",")))=0)),IF(HA10="",TRUE,IF(input_profile_type="",FALSE,SUMPRODUCT(--ISNUMBER(SEARCH(","&amp;TRIM(TEXTSPLIT(HA10,","))&amp;",",","&amp;SUBSTITUTE(input_profile_type," ","")&amp;",")))&gt;0)),IF(HC10="",TRUE,IF(input_profile_type="",FALSE,SUMPRODUCT(--ISNUMBER(SEARCH(","&amp;TRIM(TEXTSPLIT(HC10,","))&amp;",",","&amp;SUBSTITUTE(input_profile_type," ","")&amp;",")))=COUNTA(TEXTSPLIT(HC10,",")))))</f>
        <v/>
      </c>
      <c r="JN10" s="19">
        <f>AND(IF(HE10="",TRUE,IF(input_program="",FALSE,SUMPRODUCT(--ISNUMBER(SEARCH(","&amp;TRIM(TEXTSPLIT(HE10,","))&amp;",",","&amp;SUBSTITUTE(input_program," ","")&amp;",")))&gt;0)),IF(HG10="",TRUE,IF(input_program="",FALSE,SUMPRODUCT(--ISNUMBER(SEARCH(","&amp;TRIM(TEXTSPLIT(HG10,","))&amp;",",","&amp;SUBSTITUTE(input_program," ","")&amp;",")))=COUNTA(TEXTSPLIT(HG10,",")))),IF(HI10="",TRUE,IF(input_program="",TRUE,SUMPRODUCT(--ISNUMBER(SEARCH(","&amp;TRIM(TEXTSPLIT(HI10,","))&amp;",",","&amp;SUBSTITUTE(input_program," ","")&amp;",")))=0)),IF(HK10="",TRUE,IF(input_program="",FALSE,SUMPRODUCT(--ISNUMBER(SEARCH(","&amp;TRIM(TEXTSPLIT(HK10,","))&amp;",",","&amp;SUBSTITUTE(input_program," ","")&amp;",")))&gt;0)),IF(HM10="",TRUE,IF(input_program="",FALSE,SUMPRODUCT(--ISNUMBER(SEARCH(","&amp;TRIM(TEXTSPLIT(HM10,","))&amp;",",","&amp;SUBSTITUTE(input_program," ","")&amp;",")))=COUNTA(TEXTSPLIT(HM10,",")))))</f>
        <v/>
      </c>
      <c r="JO10" s="19">
        <f>AND(IF(HO10="",TRUE,IF(input_story_categories="",FALSE,SUMPRODUCT(--ISNUMBER(SEARCH(","&amp;TRIM(TEXTSPLIT(HO10,","))&amp;",",","&amp;SUBSTITUTE(input_story_categories," ","")&amp;",")))&gt;0)),IF(HQ10="",TRUE,IF(input_story_categories="",FALSE,SUMPRODUCT(--ISNUMBER(SEARCH(","&amp;TRIM(TEXTSPLIT(HQ10,","))&amp;",",","&amp;SUBSTITUTE(input_story_categories," ","")&amp;",")))=COUNTA(TEXTSPLIT(HQ10,",")))),IF(HS10="",TRUE,IF(input_story_categories="",TRUE,SUMPRODUCT(--ISNUMBER(SEARCH(","&amp;TRIM(TEXTSPLIT(HS10,","))&amp;",",","&amp;SUBSTITUTE(input_story_categories," ","")&amp;",")))=0)),IF(HU10="",TRUE,IF(input_story_categories="",FALSE,SUMPRODUCT(--ISNUMBER(SEARCH(","&amp;TRIM(TEXTSPLIT(HU10,","))&amp;",",","&amp;SUBSTITUTE(input_story_categories," ","")&amp;",")))&gt;0)),IF(HW10="",TRUE,IF(input_story_categories="",FALSE,SUMPRODUCT(--ISNUMBER(SEARCH(","&amp;TRIM(TEXTSPLIT(HW10,","))&amp;",",","&amp;SUBSTITUTE(input_story_categories," ","")&amp;",")))=COUNTA(TEXTSPLIT(HW10,",")))))</f>
        <v/>
      </c>
      <c r="JP10" s="19">
        <f>AND(IF(HY10="",TRUE,IF(input_story_type="",FALSE,SUMPRODUCT(--ISNUMBER(SEARCH(","&amp;TRIM(TEXTSPLIT(HY10,","))&amp;",",","&amp;SUBSTITUTE(input_story_type," ","")&amp;",")))&gt;0)),IF(IA10="",TRUE,IF(input_story_type="",FALSE,SUMPRODUCT(--ISNUMBER(SEARCH(","&amp;TRIM(TEXTSPLIT(IA10,","))&amp;",",","&amp;SUBSTITUTE(input_story_type," ","")&amp;",")))=COUNTA(TEXTSPLIT(IA10,",")))),IF(IC10="",TRUE,IF(input_story_type="",TRUE,SUMPRODUCT(--ISNUMBER(SEARCH(","&amp;TRIM(TEXTSPLIT(IC10,","))&amp;",",","&amp;SUBSTITUTE(input_story_type," ","")&amp;",")))=0)),IF(IE10="",TRUE,IF(input_story_type="",FALSE,SUMPRODUCT(--ISNUMBER(SEARCH(","&amp;TRIM(TEXTSPLIT(IE10,","))&amp;",",","&amp;SUBSTITUTE(input_story_type," ","")&amp;",")))&gt;0)),IF(IG10="",TRUE,IF(input_story_type="",FALSE,SUMPRODUCT(--ISNUMBER(SEARCH(","&amp;TRIM(TEXTSPLIT(IG10,","))&amp;",",","&amp;SUBSTITUTE(input_story_type," ","")&amp;",")))=COUNTA(TEXTSPLIT(IG10,",")))))</f>
        <v/>
      </c>
      <c r="JQ10" s="19">
        <f>AND(IF(II10="",TRUE,IF(input_topics="",FALSE,SUMPRODUCT(--ISNUMBER(SEARCH(","&amp;TRIM(TEXTSPLIT(II10,","))&amp;",",","&amp;SUBSTITUTE(input_topics," ","")&amp;",")))&gt;0)),IF(IK10="",TRUE,IF(input_topics="",FALSE,SUMPRODUCT(--ISNUMBER(SEARCH(","&amp;TRIM(TEXTSPLIT(IK10,","))&amp;",",","&amp;SUBSTITUTE(input_topics," ","")&amp;",")))=COUNTA(TEXTSPLIT(IK10,",")))),IF(IM10="",TRUE,IF(input_topics="",TRUE,SUMPRODUCT(--ISNUMBER(SEARCH(","&amp;TRIM(TEXTSPLIT(IM10,","))&amp;",",","&amp;SUBSTITUTE(input_topics," ","")&amp;",")))=0)),IF(IO10="",TRUE,IF(input_topics="",FALSE,SUMPRODUCT(--ISNUMBER(SEARCH(","&amp;TRIM(TEXTSPLIT(IO10,","))&amp;",",","&amp;SUBSTITUTE(input_topics," ","")&amp;",")))&gt;0)),IF(IQ10="",TRUE,IF(input_topics="",FALSE,SUMPRODUCT(--ISNUMBER(SEARCH(","&amp;TRIM(TEXTSPLIT(IQ10,","))&amp;",",","&amp;SUBSTITUTE(input_topics," ","")&amp;",")))=COUNTA(TEXTSPLIT(IQ10,",")))))</f>
        <v/>
      </c>
    </row>
    <row r="11">
      <c r="A11" s="24">
        <f>IF(NOT(IS11),"Excluded",IF(AND(IT11,IU11,IV11,IW11,IX11,IY11,IZ11,JA11,JB11,JC11,JD11,JE11,JF11,JG11,JH11,JI11,JJ11,JK11,JL11,JM11,JN11,JO11,JP11,JQ11),IF(I11&gt;0,"Eligible but limited","Will appear"),"Excluded"))</f>
        <v/>
      </c>
      <c r="B11" s="24" t="inlineStr">
        <is>
          <t>All blogs</t>
        </is>
      </c>
      <c r="C11" s="27" t="inlineStr">
        <is>
          <t>/the-som-experience</t>
        </is>
      </c>
      <c r="D11" s="24" t="inlineStr">
        <is>
          <t>/the-som-experience</t>
        </is>
      </c>
      <c r="E11" s="24" t="n">
        <v>1</v>
      </c>
      <c r="F11" s="24" t="inlineStr">
        <is>
          <t>story</t>
        </is>
      </c>
      <c r="G11" s="24" t="inlineStr">
        <is>
          <t>stories_grid_with_images</t>
        </is>
      </c>
      <c r="H11" s="24" t="inlineStr">
        <is>
          <t>embed_blog</t>
        </is>
      </c>
      <c r="I11" s="24" t="n">
        <v>3</v>
      </c>
      <c r="J11" s="24" t="inlineStr">
        <is>
          <t>View/config rules</t>
        </is>
      </c>
      <c r="K11" s="24" t="inlineStr">
        <is>
          <t>Page placement</t>
        </is>
      </c>
      <c r="L11" s="24" t="inlineStr">
        <is>
          <t>Content type: story; Needs any Story Type: Blog (974); Limited to 3 item(s); Source: View/config rules</t>
        </is>
      </c>
      <c r="HY11" s="19" t="inlineStr">
        <is>
          <t>974</t>
        </is>
      </c>
      <c r="HZ11" s="19" t="inlineStr">
        <is>
          <t>Blog (974)</t>
        </is>
      </c>
      <c r="IS11" s="19">
        <f>IF(input_content_type="",FALSE,ISNUMBER(SEARCH(","&amp;LOWER(input_content_type)&amp;",",","&amp;LOWER(SUBSTITUTE(F11," ",""))&amp;",")))</f>
        <v/>
      </c>
      <c r="IT11" s="19">
        <f>AND(IF(M11="",TRUE,IF(input_affiliations="",FALSE,SUMPRODUCT(--ISNUMBER(SEARCH(","&amp;TRIM(TEXTSPLIT(M11,","))&amp;",",","&amp;SUBSTITUTE(input_affiliations," ","")&amp;",")))&gt;0)),IF(O11="",TRUE,IF(input_affiliations="",FALSE,SUMPRODUCT(--ISNUMBER(SEARCH(","&amp;TRIM(TEXTSPLIT(O11,","))&amp;",",","&amp;SUBSTITUTE(input_affiliations," ","")&amp;",")))=COUNTA(TEXTSPLIT(O11,",")))),IF(Q11="",TRUE,IF(input_affiliations="",TRUE,SUMPRODUCT(--ISNUMBER(SEARCH(","&amp;TRIM(TEXTSPLIT(Q11,","))&amp;",",","&amp;SUBSTITUTE(input_affiliations," ","")&amp;",")))=0)),IF(S11="",TRUE,IF(input_affiliations="",FALSE,SUMPRODUCT(--ISNUMBER(SEARCH(","&amp;TRIM(TEXTSPLIT(S11,","))&amp;",",","&amp;SUBSTITUTE(input_affiliations," ","")&amp;",")))&gt;0)),IF(U11="",TRUE,IF(input_affiliations="",FALSE,SUMPRODUCT(--ISNUMBER(SEARCH(","&amp;TRIM(TEXTSPLIT(U11,","))&amp;",",","&amp;SUBSTITUTE(input_affiliations," ","")&amp;",")))=COUNTA(TEXTSPLIT(U11,",")))))</f>
        <v/>
      </c>
      <c r="IU11" s="19">
        <f>AND(IF(W11="",TRUE,IF(input_announcement_category="",FALSE,SUMPRODUCT(--ISNUMBER(SEARCH(","&amp;TRIM(TEXTSPLIT(W11,","))&amp;",",","&amp;SUBSTITUTE(input_announcement_category," ","")&amp;",")))&gt;0)),IF(Y11="",TRUE,IF(input_announcement_category="",FALSE,SUMPRODUCT(--ISNUMBER(SEARCH(","&amp;TRIM(TEXTSPLIT(Y11,","))&amp;",",","&amp;SUBSTITUTE(input_announcement_category," ","")&amp;",")))=COUNTA(TEXTSPLIT(Y11,",")))),IF(AA11="",TRUE,IF(input_announcement_category="",TRUE,SUMPRODUCT(--ISNUMBER(SEARCH(","&amp;TRIM(TEXTSPLIT(AA11,","))&amp;",",","&amp;SUBSTITUTE(input_announcement_category," ","")&amp;",")))=0)),IF(AC11="",TRUE,IF(input_announcement_category="",FALSE,SUMPRODUCT(--ISNUMBER(SEARCH(","&amp;TRIM(TEXTSPLIT(AC11,","))&amp;",",","&amp;SUBSTITUTE(input_announcement_category," ","")&amp;",")))&gt;0)),IF(AE11="",TRUE,IF(input_announcement_category="",FALSE,SUMPRODUCT(--ISNUMBER(SEARCH(","&amp;TRIM(TEXTSPLIT(AE11,","))&amp;",",","&amp;SUBSTITUTE(input_announcement_category," ","")&amp;",")))=COUNTA(TEXTSPLIT(AE11,",")))))</f>
        <v/>
      </c>
      <c r="IV11" s="19">
        <f>AND(IF(AG11="",TRUE,IF(input_area_of_focus="",FALSE,SUMPRODUCT(--ISNUMBER(SEARCH(","&amp;TRIM(TEXTSPLIT(AG11,","))&amp;",",","&amp;SUBSTITUTE(input_area_of_focus," ","")&amp;",")))&gt;0)),IF(AI11="",TRUE,IF(input_area_of_focus="",FALSE,SUMPRODUCT(--ISNUMBER(SEARCH(","&amp;TRIM(TEXTSPLIT(AI11,","))&amp;",",","&amp;SUBSTITUTE(input_area_of_focus," ","")&amp;",")))=COUNTA(TEXTSPLIT(AI11,",")))),IF(AK11="",TRUE,IF(input_area_of_focus="",TRUE,SUMPRODUCT(--ISNUMBER(SEARCH(","&amp;TRIM(TEXTSPLIT(AK11,","))&amp;",",","&amp;SUBSTITUTE(input_area_of_focus," ","")&amp;",")))=0)),IF(AM11="",TRUE,IF(input_area_of_focus="",FALSE,SUMPRODUCT(--ISNUMBER(SEARCH(","&amp;TRIM(TEXTSPLIT(AM11,","))&amp;",",","&amp;SUBSTITUTE(input_area_of_focus," ","")&amp;",")))&gt;0)),IF(AO11="",TRUE,IF(input_area_of_focus="",FALSE,SUMPRODUCT(--ISNUMBER(SEARCH(","&amp;TRIM(TEXTSPLIT(AO11,","))&amp;",",","&amp;SUBSTITUTE(input_area_of_focus," ","")&amp;",")))=COUNTA(TEXTSPLIT(AO11,",")))))</f>
        <v/>
      </c>
      <c r="IW11" s="19">
        <f>AND(IF(AQ11="",TRUE,IF(input_audience="",FALSE,SUMPRODUCT(--ISNUMBER(SEARCH(","&amp;TRIM(TEXTSPLIT(AQ11,","))&amp;",",","&amp;SUBSTITUTE(input_audience," ","")&amp;",")))&gt;0)),IF(AS11="",TRUE,IF(input_audience="",FALSE,SUMPRODUCT(--ISNUMBER(SEARCH(","&amp;TRIM(TEXTSPLIT(AS11,","))&amp;",",","&amp;SUBSTITUTE(input_audience," ","")&amp;",")))=COUNTA(TEXTSPLIT(AS11,",")))),IF(AU11="",TRUE,IF(input_audience="",TRUE,SUMPRODUCT(--ISNUMBER(SEARCH(","&amp;TRIM(TEXTSPLIT(AU11,","))&amp;",",","&amp;SUBSTITUTE(input_audience," ","")&amp;",")))=0)),IF(AW11="",TRUE,IF(input_audience="",FALSE,SUMPRODUCT(--ISNUMBER(SEARCH(","&amp;TRIM(TEXTSPLIT(AW11,","))&amp;",",","&amp;SUBSTITUTE(input_audience," ","")&amp;",")))&gt;0)),IF(AY11="",TRUE,IF(input_audience="",FALSE,SUMPRODUCT(--ISNUMBER(SEARCH(","&amp;TRIM(TEXTSPLIT(AY11,","))&amp;",",","&amp;SUBSTITUTE(input_audience," ","")&amp;",")))=COUNTA(TEXTSPLIT(AY11,",")))))</f>
        <v/>
      </c>
      <c r="IX11" s="19">
        <f>AND(IF(BA11="",TRUE,IF(input_challenge_opportunities="",FALSE,SUMPRODUCT(--ISNUMBER(SEARCH(","&amp;TRIM(TEXTSPLIT(BA11,","))&amp;",",","&amp;SUBSTITUTE(input_challenge_opportunities," ","")&amp;",")))&gt;0)),IF(BC11="",TRUE,IF(input_challenge_opportunities="",FALSE,SUMPRODUCT(--ISNUMBER(SEARCH(","&amp;TRIM(TEXTSPLIT(BC11,","))&amp;",",","&amp;SUBSTITUTE(input_challenge_opportunities," ","")&amp;",")))=COUNTA(TEXTSPLIT(BC11,",")))),IF(BE11="",TRUE,IF(input_challenge_opportunities="",TRUE,SUMPRODUCT(--ISNUMBER(SEARCH(","&amp;TRIM(TEXTSPLIT(BE11,","))&amp;",",","&amp;SUBSTITUTE(input_challenge_opportunities," ","")&amp;",")))=0)),IF(BG11="",TRUE,IF(input_challenge_opportunities="",FALSE,SUMPRODUCT(--ISNUMBER(SEARCH(","&amp;TRIM(TEXTSPLIT(BG11,","))&amp;",",","&amp;SUBSTITUTE(input_challenge_opportunities," ","")&amp;",")))&gt;0)),IF(BI11="",TRUE,IF(input_challenge_opportunities="",FALSE,SUMPRODUCT(--ISNUMBER(SEARCH(","&amp;TRIM(TEXTSPLIT(BI11,","))&amp;",",","&amp;SUBSTITUTE(input_challenge_opportunities," ","")&amp;",")))=COUNTA(TEXTSPLIT(BI11,",")))))</f>
        <v/>
      </c>
      <c r="IY11" s="19">
        <f>AND(IF(BK11="",TRUE,IF(input_context="",FALSE,SUMPRODUCT(--ISNUMBER(SEARCH(","&amp;TRIM(TEXTSPLIT(BK11,","))&amp;",",","&amp;SUBSTITUTE(input_context," ","")&amp;",")))&gt;0)),IF(BM11="",TRUE,IF(input_context="",FALSE,SUMPRODUCT(--ISNUMBER(SEARCH(","&amp;TRIM(TEXTSPLIT(BM11,","))&amp;",",","&amp;SUBSTITUTE(input_context," ","")&amp;",")))=COUNTA(TEXTSPLIT(BM11,",")))),IF(BO11="",TRUE,IF(input_context="",TRUE,SUMPRODUCT(--ISNUMBER(SEARCH(","&amp;TRIM(TEXTSPLIT(BO11,","))&amp;",",","&amp;SUBSTITUTE(input_context," ","")&amp;",")))=0)),IF(BQ11="",TRUE,IF(input_context="",FALSE,SUMPRODUCT(--ISNUMBER(SEARCH(","&amp;TRIM(TEXTSPLIT(BQ11,","))&amp;",",","&amp;SUBSTITUTE(input_context," ","")&amp;",")))&gt;0)),IF(BS11="",TRUE,IF(input_context="",FALSE,SUMPRODUCT(--ISNUMBER(SEARCH(","&amp;TRIM(TEXTSPLIT(BS11,","))&amp;",",","&amp;SUBSTITUTE(input_context," ","")&amp;",")))=COUNTA(TEXTSPLIT(BS11,",")))))</f>
        <v/>
      </c>
      <c r="IZ11" s="19">
        <f>AND(IF(BU11="",TRUE,IF(input_enews_announcement_type="",FALSE,SUMPRODUCT(--ISNUMBER(SEARCH(","&amp;TRIM(TEXTSPLIT(BU11,","))&amp;",",","&amp;SUBSTITUTE(input_enews_announcement_type," ","")&amp;",")))&gt;0)),IF(BW11="",TRUE,IF(input_enews_announcement_type="",FALSE,SUMPRODUCT(--ISNUMBER(SEARCH(","&amp;TRIM(TEXTSPLIT(BW11,","))&amp;",",","&amp;SUBSTITUTE(input_enews_announcement_type," ","")&amp;",")))=COUNTA(TEXTSPLIT(BW11,",")))),IF(BY11="",TRUE,IF(input_enews_announcement_type="",TRUE,SUMPRODUCT(--ISNUMBER(SEARCH(","&amp;TRIM(TEXTSPLIT(BY11,","))&amp;",",","&amp;SUBSTITUTE(input_enews_announcement_type," ","")&amp;",")))=0)),IF(CA11="",TRUE,IF(input_enews_announcement_type="",FALSE,SUMPRODUCT(--ISNUMBER(SEARCH(","&amp;TRIM(TEXTSPLIT(CA11,","))&amp;",",","&amp;SUBSTITUTE(input_enews_announcement_type," ","")&amp;",")))&gt;0)),IF(CC11="",TRUE,IF(input_enews_announcement_type="",FALSE,SUMPRODUCT(--ISNUMBER(SEARCH(","&amp;TRIM(TEXTSPLIT(CC11,","))&amp;",",","&amp;SUBSTITUTE(input_enews_announcement_type," ","")&amp;",")))=COUNTA(TEXTSPLIT(CC11,",")))))</f>
        <v/>
      </c>
      <c r="JA11" s="19">
        <f>AND(IF(CE11="",TRUE,IF(input_enews_audience="",FALSE,SUMPRODUCT(--ISNUMBER(SEARCH(","&amp;TRIM(TEXTSPLIT(CE11,","))&amp;",",","&amp;SUBSTITUTE(input_enews_audience," ","")&amp;",")))&gt;0)),IF(CG11="",TRUE,IF(input_enews_audience="",FALSE,SUMPRODUCT(--ISNUMBER(SEARCH(","&amp;TRIM(TEXTSPLIT(CG11,","))&amp;",",","&amp;SUBSTITUTE(input_enews_audience," ","")&amp;",")))=COUNTA(TEXTSPLIT(CG11,",")))),IF(CI11="",TRUE,IF(input_enews_audience="",TRUE,SUMPRODUCT(--ISNUMBER(SEARCH(","&amp;TRIM(TEXTSPLIT(CI11,","))&amp;",",","&amp;SUBSTITUTE(input_enews_audience," ","")&amp;",")))=0)),IF(CK11="",TRUE,IF(input_enews_audience="",FALSE,SUMPRODUCT(--ISNUMBER(SEARCH(","&amp;TRIM(TEXTSPLIT(CK11,","))&amp;",",","&amp;SUBSTITUTE(input_enews_audience," ","")&amp;",")))&gt;0)),IF(CM11="",TRUE,IF(input_enews_audience="",FALSE,SUMPRODUCT(--ISNUMBER(SEARCH(","&amp;TRIM(TEXTSPLIT(CM11,","))&amp;",",","&amp;SUBSTITUTE(input_enews_audience," ","")&amp;",")))=COUNTA(TEXTSPLIT(CM11,",")))))</f>
        <v/>
      </c>
      <c r="JB11" s="19">
        <f>AND(IF(CO11="",TRUE,IF(input_event_location="",FALSE,SUMPRODUCT(--ISNUMBER(SEARCH(","&amp;TRIM(TEXTSPLIT(CO11,","))&amp;",",","&amp;SUBSTITUTE(input_event_location," ","")&amp;",")))&gt;0)),IF(CQ11="",TRUE,IF(input_event_location="",FALSE,SUMPRODUCT(--ISNUMBER(SEARCH(","&amp;TRIM(TEXTSPLIT(CQ11,","))&amp;",",","&amp;SUBSTITUTE(input_event_location," ","")&amp;",")))=COUNTA(TEXTSPLIT(CQ11,",")))),IF(CS11="",TRUE,IF(input_event_location="",TRUE,SUMPRODUCT(--ISNUMBER(SEARCH(","&amp;TRIM(TEXTSPLIT(CS11,","))&amp;",",","&amp;SUBSTITUTE(input_event_location," ","")&amp;",")))=0)),IF(CU11="",TRUE,IF(input_event_location="",FALSE,SUMPRODUCT(--ISNUMBER(SEARCH(","&amp;TRIM(TEXTSPLIT(CU11,","))&amp;",",","&amp;SUBSTITUTE(input_event_location," ","")&amp;",")))&gt;0)),IF(CW11="",TRUE,IF(input_event_location="",FALSE,SUMPRODUCT(--ISNUMBER(SEARCH(","&amp;TRIM(TEXTSPLIT(CW11,","))&amp;",",","&amp;SUBSTITUTE(input_event_location," ","")&amp;",")))=COUNTA(TEXTSPLIT(CW11,",")))))</f>
        <v/>
      </c>
      <c r="JC11" s="19">
        <f>AND(IF(CY11="",TRUE,IF(input_event_type="",FALSE,SUMPRODUCT(--ISNUMBER(SEARCH(","&amp;TRIM(TEXTSPLIT(CY11,","))&amp;",",","&amp;SUBSTITUTE(input_event_type," ","")&amp;",")))&gt;0)),IF(DA11="",TRUE,IF(input_event_type="",FALSE,SUMPRODUCT(--ISNUMBER(SEARCH(","&amp;TRIM(TEXTSPLIT(DA11,","))&amp;",",","&amp;SUBSTITUTE(input_event_type," ","")&amp;",")))=COUNTA(TEXTSPLIT(DA11,",")))),IF(DC11="",TRUE,IF(input_event_type="",TRUE,SUMPRODUCT(--ISNUMBER(SEARCH(","&amp;TRIM(TEXTSPLIT(DC11,","))&amp;",",","&amp;SUBSTITUTE(input_event_type," ","")&amp;",")))=0)),IF(DE11="",TRUE,IF(input_event_type="",FALSE,SUMPRODUCT(--ISNUMBER(SEARCH(","&amp;TRIM(TEXTSPLIT(DE11,","))&amp;",",","&amp;SUBSTITUTE(input_event_type," ","")&amp;",")))&gt;0)),IF(DG11="",TRUE,IF(input_event_type="",FALSE,SUMPRODUCT(--ISNUMBER(SEARCH(","&amp;TRIM(TEXTSPLIT(DG11,","))&amp;",",","&amp;SUBSTITUTE(input_event_type," ","")&amp;",")))=COUNTA(TEXTSPLIT(DG11,",")))))</f>
        <v/>
      </c>
      <c r="JD11" s="19">
        <f>AND(IF(DI11="",TRUE,IF(input_executive_education_focus="",FALSE,SUMPRODUCT(--ISNUMBER(SEARCH(","&amp;TRIM(TEXTSPLIT(DI11,","))&amp;",",","&amp;SUBSTITUTE(input_executive_education_focus," ","")&amp;",")))&gt;0)),IF(DK11="",TRUE,IF(input_executive_education_focus="",FALSE,SUMPRODUCT(--ISNUMBER(SEARCH(","&amp;TRIM(TEXTSPLIT(DK11,","))&amp;",",","&amp;SUBSTITUTE(input_executive_education_focus," ","")&amp;",")))=COUNTA(TEXTSPLIT(DK11,",")))),IF(DM11="",TRUE,IF(input_executive_education_focus="",TRUE,SUMPRODUCT(--ISNUMBER(SEARCH(","&amp;TRIM(TEXTSPLIT(DM11,","))&amp;",",","&amp;SUBSTITUTE(input_executive_education_focus," ","")&amp;",")))=0)),IF(DO11="",TRUE,IF(input_executive_education_focus="",FALSE,SUMPRODUCT(--ISNUMBER(SEARCH(","&amp;TRIM(TEXTSPLIT(DO11,","))&amp;",",","&amp;SUBSTITUTE(input_executive_education_focus," ","")&amp;",")))&gt;0)),IF(DQ11="",TRUE,IF(input_executive_education_focus="",FALSE,SUMPRODUCT(--ISNUMBER(SEARCH(","&amp;TRIM(TEXTSPLIT(DQ11,","))&amp;",",","&amp;SUBSTITUTE(input_executive_education_focus," ","")&amp;",")))=COUNTA(TEXTSPLIT(DQ11,",")))))</f>
        <v/>
      </c>
      <c r="JE11" s="19">
        <f>AND(IF(DS11="",TRUE,IF(input_faculty_category="",FALSE,SUMPRODUCT(--ISNUMBER(SEARCH(","&amp;TRIM(TEXTSPLIT(DS11,","))&amp;",",","&amp;SUBSTITUTE(input_faculty_category," ","")&amp;",")))&gt;0)),IF(DU11="",TRUE,IF(input_faculty_category="",FALSE,SUMPRODUCT(--ISNUMBER(SEARCH(","&amp;TRIM(TEXTSPLIT(DU11,","))&amp;",",","&amp;SUBSTITUTE(input_faculty_category," ","")&amp;",")))=COUNTA(TEXTSPLIT(DU11,",")))),IF(DW11="",TRUE,IF(input_faculty_category="",TRUE,SUMPRODUCT(--ISNUMBER(SEARCH(","&amp;TRIM(TEXTSPLIT(DW11,","))&amp;",",","&amp;SUBSTITUTE(input_faculty_category," ","")&amp;",")))=0)),IF(DY11="",TRUE,IF(input_faculty_category="",FALSE,SUMPRODUCT(--ISNUMBER(SEARCH(","&amp;TRIM(TEXTSPLIT(DY11,","))&amp;",",","&amp;SUBSTITUTE(input_faculty_category," ","")&amp;",")))&gt;0)),IF(EA11="",TRUE,IF(input_faculty_category="",FALSE,SUMPRODUCT(--ISNUMBER(SEARCH(","&amp;TRIM(TEXTSPLIT(EA11,","))&amp;",",","&amp;SUBSTITUTE(input_faculty_category," ","")&amp;",")))=COUNTA(TEXTSPLIT(EA11,",")))))</f>
        <v/>
      </c>
      <c r="JF11" s="19">
        <f>AND(IF(EC11="",TRUE,IF(input_faculty_discipline="",FALSE,SUMPRODUCT(--ISNUMBER(SEARCH(","&amp;TRIM(TEXTSPLIT(EC11,","))&amp;",",","&amp;SUBSTITUTE(input_faculty_discipline," ","")&amp;",")))&gt;0)),IF(EE11="",TRUE,IF(input_faculty_discipline="",FALSE,SUMPRODUCT(--ISNUMBER(SEARCH(","&amp;TRIM(TEXTSPLIT(EE11,","))&amp;",",","&amp;SUBSTITUTE(input_faculty_discipline," ","")&amp;",")))=COUNTA(TEXTSPLIT(EE11,",")))),IF(EG11="",TRUE,IF(input_faculty_discipline="",TRUE,SUMPRODUCT(--ISNUMBER(SEARCH(","&amp;TRIM(TEXTSPLIT(EG11,","))&amp;",",","&amp;SUBSTITUTE(input_faculty_discipline," ","")&amp;",")))=0)),IF(EI11="",TRUE,IF(input_faculty_discipline="",FALSE,SUMPRODUCT(--ISNUMBER(SEARCH(","&amp;TRIM(TEXTSPLIT(EI11,","))&amp;",",","&amp;SUBSTITUTE(input_faculty_discipline," ","")&amp;",")))&gt;0)),IF(EK11="",TRUE,IF(input_faculty_discipline="",FALSE,SUMPRODUCT(--ISNUMBER(SEARCH(","&amp;TRIM(TEXTSPLIT(EK11,","))&amp;",",","&amp;SUBSTITUTE(input_faculty_discipline," ","")&amp;",")))=COUNTA(TEXTSPLIT(EK11,",")))))</f>
        <v/>
      </c>
      <c r="JG11" s="19">
        <f>AND(IF(EM11="",TRUE,IF(input_faculty_expertise="",FALSE,SUMPRODUCT(--ISNUMBER(SEARCH(","&amp;TRIM(TEXTSPLIT(EM11,","))&amp;",",","&amp;SUBSTITUTE(input_faculty_expertise," ","")&amp;",")))&gt;0)),IF(EO11="",TRUE,IF(input_faculty_expertise="",FALSE,SUMPRODUCT(--ISNUMBER(SEARCH(","&amp;TRIM(TEXTSPLIT(EO11,","))&amp;",",","&amp;SUBSTITUTE(input_faculty_expertise," ","")&amp;",")))=COUNTA(TEXTSPLIT(EO11,",")))),IF(EQ11="",TRUE,IF(input_faculty_expertise="",TRUE,SUMPRODUCT(--ISNUMBER(SEARCH(","&amp;TRIM(TEXTSPLIT(EQ11,","))&amp;",",","&amp;SUBSTITUTE(input_faculty_expertise," ","")&amp;",")))=0)),IF(ES11="",TRUE,IF(input_faculty_expertise="",FALSE,SUMPRODUCT(--ISNUMBER(SEARCH(","&amp;TRIM(TEXTSPLIT(ES11,","))&amp;",",","&amp;SUBSTITUTE(input_faculty_expertise," ","")&amp;",")))&gt;0)),IF(EU11="",TRUE,IF(input_faculty_expertise="",FALSE,SUMPRODUCT(--ISNUMBER(SEARCH(","&amp;TRIM(TEXTSPLIT(EU11,","))&amp;",",","&amp;SUBSTITUTE(input_faculty_expertise," ","")&amp;",")))=COUNTA(TEXTSPLIT(EU11,",")))))</f>
        <v/>
      </c>
      <c r="JH11" s="19">
        <f>AND(IF(EW11="",TRUE,IF(input_global_network_school="",FALSE,SUMPRODUCT(--ISNUMBER(SEARCH(","&amp;TRIM(TEXTSPLIT(EW11,","))&amp;",",","&amp;SUBSTITUTE(input_global_network_school," ","")&amp;",")))&gt;0)),IF(EY11="",TRUE,IF(input_global_network_school="",FALSE,SUMPRODUCT(--ISNUMBER(SEARCH(","&amp;TRIM(TEXTSPLIT(EY11,","))&amp;",",","&amp;SUBSTITUTE(input_global_network_school," ","")&amp;",")))=COUNTA(TEXTSPLIT(EY11,",")))),IF(FA11="",TRUE,IF(input_global_network_school="",TRUE,SUMPRODUCT(--ISNUMBER(SEARCH(","&amp;TRIM(TEXTSPLIT(FA11,","))&amp;",",","&amp;SUBSTITUTE(input_global_network_school," ","")&amp;",")))=0)),IF(FC11="",TRUE,IF(input_global_network_school="",FALSE,SUMPRODUCT(--ISNUMBER(SEARCH(","&amp;TRIM(TEXTSPLIT(FC11,","))&amp;",",","&amp;SUBSTITUTE(input_global_network_school," ","")&amp;",")))&gt;0)),IF(FE11="",TRUE,IF(input_global_network_school="",FALSE,SUMPRODUCT(--ISNUMBER(SEARCH(","&amp;TRIM(TEXTSPLIT(FE11,","))&amp;",",","&amp;SUBSTITUTE(input_global_network_school," ","")&amp;",")))=COUNTA(TEXTSPLIT(FE11,",")))))</f>
        <v/>
      </c>
      <c r="JI11" s="19">
        <f>AND(IF(FG11="",TRUE,IF(input_industry="",FALSE,SUMPRODUCT(--ISNUMBER(SEARCH(","&amp;TRIM(TEXTSPLIT(FG11,","))&amp;",",","&amp;SUBSTITUTE(input_industry," ","")&amp;",")))&gt;0)),IF(FI11="",TRUE,IF(input_industry="",FALSE,SUMPRODUCT(--ISNUMBER(SEARCH(","&amp;TRIM(TEXTSPLIT(FI11,","))&amp;",",","&amp;SUBSTITUTE(input_industry," ","")&amp;",")))=COUNTA(TEXTSPLIT(FI11,",")))),IF(FK11="",TRUE,IF(input_industry="",TRUE,SUMPRODUCT(--ISNUMBER(SEARCH(","&amp;TRIM(TEXTSPLIT(FK11,","))&amp;",",","&amp;SUBSTITUTE(input_industry," ","")&amp;",")))=0)),IF(FM11="",TRUE,IF(input_industry="",FALSE,SUMPRODUCT(--ISNUMBER(SEARCH(","&amp;TRIM(TEXTSPLIT(FM11,","))&amp;",",","&amp;SUBSTITUTE(input_industry," ","")&amp;",")))&gt;0)),IF(FO11="",TRUE,IF(input_industry="",FALSE,SUMPRODUCT(--ISNUMBER(SEARCH(","&amp;TRIM(TEXTSPLIT(FO11,","))&amp;",",","&amp;SUBSTITUTE(input_industry," ","")&amp;",")))=COUNTA(TEXTSPLIT(FO11,",")))))</f>
        <v/>
      </c>
      <c r="JJ11" s="19">
        <f>AND(IF(FQ11="",TRUE,IF(input_location="",FALSE,SUMPRODUCT(--ISNUMBER(SEARCH(","&amp;TRIM(TEXTSPLIT(FQ11,","))&amp;",",","&amp;SUBSTITUTE(input_location," ","")&amp;",")))&gt;0)),IF(FS11="",TRUE,IF(input_location="",FALSE,SUMPRODUCT(--ISNUMBER(SEARCH(","&amp;TRIM(TEXTSPLIT(FS11,","))&amp;",",","&amp;SUBSTITUTE(input_location," ","")&amp;",")))=COUNTA(TEXTSPLIT(FS11,",")))),IF(FU11="",TRUE,IF(input_location="",TRUE,SUMPRODUCT(--ISNUMBER(SEARCH(","&amp;TRIM(TEXTSPLIT(FU11,","))&amp;",",","&amp;SUBSTITUTE(input_location," ","")&amp;",")))=0)),IF(FW11="",TRUE,IF(input_location="",FALSE,SUMPRODUCT(--ISNUMBER(SEARCH(","&amp;TRIM(TEXTSPLIT(FW11,","))&amp;",",","&amp;SUBSTITUTE(input_location," ","")&amp;",")))&gt;0)),IF(FY11="",TRUE,IF(input_location="",FALSE,SUMPRODUCT(--ISNUMBER(SEARCH(","&amp;TRIM(TEXTSPLIT(FY11,","))&amp;",",","&amp;SUBSTITUTE(input_location," ","")&amp;",")))=COUNTA(TEXTSPLIT(FY11,",")))))</f>
        <v/>
      </c>
      <c r="JK11" s="19">
        <f>AND(IF(GA11="",TRUE,IF(input_modality="",FALSE,SUMPRODUCT(--ISNUMBER(SEARCH(","&amp;TRIM(TEXTSPLIT(GA11,","))&amp;",",","&amp;SUBSTITUTE(input_modality," ","")&amp;",")))&gt;0)),IF(GC11="",TRUE,IF(input_modality="",FALSE,SUMPRODUCT(--ISNUMBER(SEARCH(","&amp;TRIM(TEXTSPLIT(GC11,","))&amp;",",","&amp;SUBSTITUTE(input_modality," ","")&amp;",")))=COUNTA(TEXTSPLIT(GC11,",")))),IF(GE11="",TRUE,IF(input_modality="",TRUE,SUMPRODUCT(--ISNUMBER(SEARCH(","&amp;TRIM(TEXTSPLIT(GE11,","))&amp;",",","&amp;SUBSTITUTE(input_modality," ","")&amp;",")))=0)),IF(GG11="",TRUE,IF(input_modality="",FALSE,SUMPRODUCT(--ISNUMBER(SEARCH(","&amp;TRIM(TEXTSPLIT(GG11,","))&amp;",",","&amp;SUBSTITUTE(input_modality," ","")&amp;",")))&gt;0)),IF(GI11="",TRUE,IF(input_modality="",FALSE,SUMPRODUCT(--ISNUMBER(SEARCH(","&amp;TRIM(TEXTSPLIT(GI11,","))&amp;",",","&amp;SUBSTITUTE(input_modality," ","")&amp;",")))=COUNTA(TEXTSPLIT(GI11,",")))))</f>
        <v/>
      </c>
      <c r="JL11" s="19">
        <f>AND(IF(GK11="",TRUE,IF(input_organizer="",FALSE,SUMPRODUCT(--ISNUMBER(SEARCH(","&amp;TRIM(TEXTSPLIT(GK11,","))&amp;",",","&amp;SUBSTITUTE(input_organizer," ","")&amp;",")))&gt;0)),IF(GM11="",TRUE,IF(input_organizer="",FALSE,SUMPRODUCT(--ISNUMBER(SEARCH(","&amp;TRIM(TEXTSPLIT(GM11,","))&amp;",",","&amp;SUBSTITUTE(input_organizer," ","")&amp;",")))=COUNTA(TEXTSPLIT(GM11,",")))),IF(GO11="",TRUE,IF(input_organizer="",TRUE,SUMPRODUCT(--ISNUMBER(SEARCH(","&amp;TRIM(TEXTSPLIT(GO11,","))&amp;",",","&amp;SUBSTITUTE(input_organizer," ","")&amp;",")))=0)),IF(GQ11="",TRUE,IF(input_organizer="",FALSE,SUMPRODUCT(--ISNUMBER(SEARCH(","&amp;TRIM(TEXTSPLIT(GQ11,","))&amp;",",","&amp;SUBSTITUTE(input_organizer," ","")&amp;",")))&gt;0)),IF(GS11="",TRUE,IF(input_organizer="",FALSE,SUMPRODUCT(--ISNUMBER(SEARCH(","&amp;TRIM(TEXTSPLIT(GS11,","))&amp;",",","&amp;SUBSTITUTE(input_organizer," ","")&amp;",")))=COUNTA(TEXTSPLIT(GS11,",")))))</f>
        <v/>
      </c>
      <c r="JM11" s="19">
        <f>AND(IF(GU11="",TRUE,IF(input_profile_type="",FALSE,SUMPRODUCT(--ISNUMBER(SEARCH(","&amp;TRIM(TEXTSPLIT(GU11,","))&amp;",",","&amp;SUBSTITUTE(input_profile_type," ","")&amp;",")))&gt;0)),IF(GW11="",TRUE,IF(input_profile_type="",FALSE,SUMPRODUCT(--ISNUMBER(SEARCH(","&amp;TRIM(TEXTSPLIT(GW11,","))&amp;",",","&amp;SUBSTITUTE(input_profile_type," ","")&amp;",")))=COUNTA(TEXTSPLIT(GW11,",")))),IF(GY11="",TRUE,IF(input_profile_type="",TRUE,SUMPRODUCT(--ISNUMBER(SEARCH(","&amp;TRIM(TEXTSPLIT(GY11,","))&amp;",",","&amp;SUBSTITUTE(input_profile_type," ","")&amp;",")))=0)),IF(HA11="",TRUE,IF(input_profile_type="",FALSE,SUMPRODUCT(--ISNUMBER(SEARCH(","&amp;TRIM(TEXTSPLIT(HA11,","))&amp;",",","&amp;SUBSTITUTE(input_profile_type," ","")&amp;",")))&gt;0)),IF(HC11="",TRUE,IF(input_profile_type="",FALSE,SUMPRODUCT(--ISNUMBER(SEARCH(","&amp;TRIM(TEXTSPLIT(HC11,","))&amp;",",","&amp;SUBSTITUTE(input_profile_type," ","")&amp;",")))=COUNTA(TEXTSPLIT(HC11,",")))))</f>
        <v/>
      </c>
      <c r="JN11" s="19">
        <f>AND(IF(HE11="",TRUE,IF(input_program="",FALSE,SUMPRODUCT(--ISNUMBER(SEARCH(","&amp;TRIM(TEXTSPLIT(HE11,","))&amp;",",","&amp;SUBSTITUTE(input_program," ","")&amp;",")))&gt;0)),IF(HG11="",TRUE,IF(input_program="",FALSE,SUMPRODUCT(--ISNUMBER(SEARCH(","&amp;TRIM(TEXTSPLIT(HG11,","))&amp;",",","&amp;SUBSTITUTE(input_program," ","")&amp;",")))=COUNTA(TEXTSPLIT(HG11,",")))),IF(HI11="",TRUE,IF(input_program="",TRUE,SUMPRODUCT(--ISNUMBER(SEARCH(","&amp;TRIM(TEXTSPLIT(HI11,","))&amp;",",","&amp;SUBSTITUTE(input_program," ","")&amp;",")))=0)),IF(HK11="",TRUE,IF(input_program="",FALSE,SUMPRODUCT(--ISNUMBER(SEARCH(","&amp;TRIM(TEXTSPLIT(HK11,","))&amp;",",","&amp;SUBSTITUTE(input_program," ","")&amp;",")))&gt;0)),IF(HM11="",TRUE,IF(input_program="",FALSE,SUMPRODUCT(--ISNUMBER(SEARCH(","&amp;TRIM(TEXTSPLIT(HM11,","))&amp;",",","&amp;SUBSTITUTE(input_program," ","")&amp;",")))=COUNTA(TEXTSPLIT(HM11,",")))))</f>
        <v/>
      </c>
      <c r="JO11" s="19">
        <f>AND(IF(HO11="",TRUE,IF(input_story_categories="",FALSE,SUMPRODUCT(--ISNUMBER(SEARCH(","&amp;TRIM(TEXTSPLIT(HO11,","))&amp;",",","&amp;SUBSTITUTE(input_story_categories," ","")&amp;",")))&gt;0)),IF(HQ11="",TRUE,IF(input_story_categories="",FALSE,SUMPRODUCT(--ISNUMBER(SEARCH(","&amp;TRIM(TEXTSPLIT(HQ11,","))&amp;",",","&amp;SUBSTITUTE(input_story_categories," ","")&amp;",")))=COUNTA(TEXTSPLIT(HQ11,",")))),IF(HS11="",TRUE,IF(input_story_categories="",TRUE,SUMPRODUCT(--ISNUMBER(SEARCH(","&amp;TRIM(TEXTSPLIT(HS11,","))&amp;",",","&amp;SUBSTITUTE(input_story_categories," ","")&amp;",")))=0)),IF(HU11="",TRUE,IF(input_story_categories="",FALSE,SUMPRODUCT(--ISNUMBER(SEARCH(","&amp;TRIM(TEXTSPLIT(HU11,","))&amp;",",","&amp;SUBSTITUTE(input_story_categories," ","")&amp;",")))&gt;0)),IF(HW11="",TRUE,IF(input_story_categories="",FALSE,SUMPRODUCT(--ISNUMBER(SEARCH(","&amp;TRIM(TEXTSPLIT(HW11,","))&amp;",",","&amp;SUBSTITUTE(input_story_categories," ","")&amp;",")))=COUNTA(TEXTSPLIT(HW11,",")))))</f>
        <v/>
      </c>
      <c r="JP11" s="19">
        <f>AND(IF(HY11="",TRUE,IF(input_story_type="",FALSE,SUMPRODUCT(--ISNUMBER(SEARCH(","&amp;TRIM(TEXTSPLIT(HY11,","))&amp;",",","&amp;SUBSTITUTE(input_story_type," ","")&amp;",")))&gt;0)),IF(IA11="",TRUE,IF(input_story_type="",FALSE,SUMPRODUCT(--ISNUMBER(SEARCH(","&amp;TRIM(TEXTSPLIT(IA11,","))&amp;",",","&amp;SUBSTITUTE(input_story_type," ","")&amp;",")))=COUNTA(TEXTSPLIT(IA11,",")))),IF(IC11="",TRUE,IF(input_story_type="",TRUE,SUMPRODUCT(--ISNUMBER(SEARCH(","&amp;TRIM(TEXTSPLIT(IC11,","))&amp;",",","&amp;SUBSTITUTE(input_story_type," ","")&amp;",")))=0)),IF(IE11="",TRUE,IF(input_story_type="",FALSE,SUMPRODUCT(--ISNUMBER(SEARCH(","&amp;TRIM(TEXTSPLIT(IE11,","))&amp;",",","&amp;SUBSTITUTE(input_story_type," ","")&amp;",")))&gt;0)),IF(IG11="",TRUE,IF(input_story_type="",FALSE,SUMPRODUCT(--ISNUMBER(SEARCH(","&amp;TRIM(TEXTSPLIT(IG11,","))&amp;",",","&amp;SUBSTITUTE(input_story_type," ","")&amp;",")))=COUNTA(TEXTSPLIT(IG11,",")))))</f>
        <v/>
      </c>
      <c r="JQ11" s="19">
        <f>AND(IF(II11="",TRUE,IF(input_topics="",FALSE,SUMPRODUCT(--ISNUMBER(SEARCH(","&amp;TRIM(TEXTSPLIT(II11,","))&amp;",",","&amp;SUBSTITUTE(input_topics," ","")&amp;",")))&gt;0)),IF(IK11="",TRUE,IF(input_topics="",FALSE,SUMPRODUCT(--ISNUMBER(SEARCH(","&amp;TRIM(TEXTSPLIT(IK11,","))&amp;",",","&amp;SUBSTITUTE(input_topics," ","")&amp;",")))=COUNTA(TEXTSPLIT(IK11,",")))),IF(IM11="",TRUE,IF(input_topics="",TRUE,SUMPRODUCT(--ISNUMBER(SEARCH(","&amp;TRIM(TEXTSPLIT(IM11,","))&amp;",",","&amp;SUBSTITUTE(input_topics," ","")&amp;",")))=0)),IF(IO11="",TRUE,IF(input_topics="",FALSE,SUMPRODUCT(--ISNUMBER(SEARCH(","&amp;TRIM(TEXTSPLIT(IO11,","))&amp;",",","&amp;SUBSTITUTE(input_topics," ","")&amp;",")))&gt;0)),IF(IQ11="",TRUE,IF(input_topics="",FALSE,SUMPRODUCT(--ISNUMBER(SEARCH(","&amp;TRIM(TEXTSPLIT(IQ11,","))&amp;",",","&amp;SUBSTITUTE(input_topics," ","")&amp;",")))=COUNTA(TEXTSPLIT(IQ11,",")))))</f>
        <v/>
      </c>
    </row>
    <row r="12">
      <c r="A12" s="24">
        <f>IF(NOT(IS12),"Excluded",IF(AND(IT12,IU12,IV12,IW12,IX12,IY12,IZ12,JA12,JB12,JC12,JD12,JE12,JF12,JG12,JH12,JI12,JJ12,JK12,JL12,JM12,JN12,JO12,JP12,JQ12),IF(I12&gt;0,"Eligible but limited","Will appear"),"Excluded"))</f>
        <v/>
      </c>
      <c r="B12" s="24" t="inlineStr">
        <is>
          <t>All Headlines</t>
        </is>
      </c>
      <c r="C12" s="27" t="inlineStr">
        <is>
          <t>/about/headlines</t>
        </is>
      </c>
      <c r="D12" s="24" t="inlineStr">
        <is>
          <t>/about/headlines</t>
        </is>
      </c>
      <c r="E12" s="24" t="n">
        <v>1</v>
      </c>
      <c r="F12" s="24" t="inlineStr">
        <is>
          <t>story</t>
        </is>
      </c>
      <c r="G12" s="24" t="inlineStr">
        <is>
          <t>stories_list</t>
        </is>
      </c>
      <c r="H12" s="24" t="inlineStr">
        <is>
          <t>embed_1</t>
        </is>
      </c>
      <c r="I12" s="24" t="n">
        <v>10</v>
      </c>
      <c r="J12" s="28" t="inlineStr">
        <is>
          <t>Explicit args</t>
        </is>
      </c>
      <c r="K12" s="24" t="inlineStr">
        <is>
          <t>Page placement</t>
        </is>
      </c>
      <c r="L12" s="24" t="inlineStr">
        <is>
          <t>Content type: story; Context uses Courses Context: Executive Education (967), Joint Degrees (973), Master of Advanced Management (932), Master's Degree in Asset Management (930), Master's Degree in Global Business and Society (950), Master's Degree in Systemic Risk (949), MBA (92), MBA For Executives (928), 93, Programs (94), Yale Global Executive Leadership Program (968), All SOM (77), Headlines (1390); Limited to 10 item(s); Source: Explicit args</t>
        </is>
      </c>
      <c r="BQ12" s="19" t="inlineStr">
        <is>
          <t>967, 973, 932, 930, 950, 949, 92, 928, 93, 94, 968, 77, 1390</t>
        </is>
      </c>
      <c r="BR12" s="19" t="inlineStr">
        <is>
          <t>Executive Education (967), Joint Degrees (973), Master of Advanced Management (932), Master's Degree in Asset Management (930), Master's Degree in Global Business and Society (950), Master's Degree in Systemic Risk (949), MBA (92), MBA For Executives (928), 93, Programs (94), Yale Global Executive Leadership Program (968), All SOM (77), Headlines (1390)</t>
        </is>
      </c>
      <c r="IS12" s="19">
        <f>IF(input_content_type="",FALSE,ISNUMBER(SEARCH(","&amp;LOWER(input_content_type)&amp;",",","&amp;LOWER(SUBSTITUTE(F12," ",""))&amp;",")))</f>
        <v/>
      </c>
      <c r="IT12" s="19">
        <f>AND(IF(M12="",TRUE,IF(input_affiliations="",FALSE,SUMPRODUCT(--ISNUMBER(SEARCH(","&amp;TRIM(TEXTSPLIT(M12,","))&amp;",",","&amp;SUBSTITUTE(input_affiliations," ","")&amp;",")))&gt;0)),IF(O12="",TRUE,IF(input_affiliations="",FALSE,SUMPRODUCT(--ISNUMBER(SEARCH(","&amp;TRIM(TEXTSPLIT(O12,","))&amp;",",","&amp;SUBSTITUTE(input_affiliations," ","")&amp;",")))=COUNTA(TEXTSPLIT(O12,",")))),IF(Q12="",TRUE,IF(input_affiliations="",TRUE,SUMPRODUCT(--ISNUMBER(SEARCH(","&amp;TRIM(TEXTSPLIT(Q12,","))&amp;",",","&amp;SUBSTITUTE(input_affiliations," ","")&amp;",")))=0)),IF(S12="",TRUE,IF(input_affiliations="",FALSE,SUMPRODUCT(--ISNUMBER(SEARCH(","&amp;TRIM(TEXTSPLIT(S12,","))&amp;",",","&amp;SUBSTITUTE(input_affiliations," ","")&amp;",")))&gt;0)),IF(U12="",TRUE,IF(input_affiliations="",FALSE,SUMPRODUCT(--ISNUMBER(SEARCH(","&amp;TRIM(TEXTSPLIT(U12,","))&amp;",",","&amp;SUBSTITUTE(input_affiliations," ","")&amp;",")))=COUNTA(TEXTSPLIT(U12,",")))))</f>
        <v/>
      </c>
      <c r="IU12" s="19">
        <f>AND(IF(W12="",TRUE,IF(input_announcement_category="",FALSE,SUMPRODUCT(--ISNUMBER(SEARCH(","&amp;TRIM(TEXTSPLIT(W12,","))&amp;",",","&amp;SUBSTITUTE(input_announcement_category," ","")&amp;",")))&gt;0)),IF(Y12="",TRUE,IF(input_announcement_category="",FALSE,SUMPRODUCT(--ISNUMBER(SEARCH(","&amp;TRIM(TEXTSPLIT(Y12,","))&amp;",",","&amp;SUBSTITUTE(input_announcement_category," ","")&amp;",")))=COUNTA(TEXTSPLIT(Y12,",")))),IF(AA12="",TRUE,IF(input_announcement_category="",TRUE,SUMPRODUCT(--ISNUMBER(SEARCH(","&amp;TRIM(TEXTSPLIT(AA12,","))&amp;",",","&amp;SUBSTITUTE(input_announcement_category," ","")&amp;",")))=0)),IF(AC12="",TRUE,IF(input_announcement_category="",FALSE,SUMPRODUCT(--ISNUMBER(SEARCH(","&amp;TRIM(TEXTSPLIT(AC12,","))&amp;",",","&amp;SUBSTITUTE(input_announcement_category," ","")&amp;",")))&gt;0)),IF(AE12="",TRUE,IF(input_announcement_category="",FALSE,SUMPRODUCT(--ISNUMBER(SEARCH(","&amp;TRIM(TEXTSPLIT(AE12,","))&amp;",",","&amp;SUBSTITUTE(input_announcement_category," ","")&amp;",")))=COUNTA(TEXTSPLIT(AE12,",")))))</f>
        <v/>
      </c>
      <c r="IV12" s="19">
        <f>AND(IF(AG12="",TRUE,IF(input_area_of_focus="",FALSE,SUMPRODUCT(--ISNUMBER(SEARCH(","&amp;TRIM(TEXTSPLIT(AG12,","))&amp;",",","&amp;SUBSTITUTE(input_area_of_focus," ","")&amp;",")))&gt;0)),IF(AI12="",TRUE,IF(input_area_of_focus="",FALSE,SUMPRODUCT(--ISNUMBER(SEARCH(","&amp;TRIM(TEXTSPLIT(AI12,","))&amp;",",","&amp;SUBSTITUTE(input_area_of_focus," ","")&amp;",")))=COUNTA(TEXTSPLIT(AI12,",")))),IF(AK12="",TRUE,IF(input_area_of_focus="",TRUE,SUMPRODUCT(--ISNUMBER(SEARCH(","&amp;TRIM(TEXTSPLIT(AK12,","))&amp;",",","&amp;SUBSTITUTE(input_area_of_focus," ","")&amp;",")))=0)),IF(AM12="",TRUE,IF(input_area_of_focus="",FALSE,SUMPRODUCT(--ISNUMBER(SEARCH(","&amp;TRIM(TEXTSPLIT(AM12,","))&amp;",",","&amp;SUBSTITUTE(input_area_of_focus," ","")&amp;",")))&gt;0)),IF(AO12="",TRUE,IF(input_area_of_focus="",FALSE,SUMPRODUCT(--ISNUMBER(SEARCH(","&amp;TRIM(TEXTSPLIT(AO12,","))&amp;",",","&amp;SUBSTITUTE(input_area_of_focus," ","")&amp;",")))=COUNTA(TEXTSPLIT(AO12,",")))))</f>
        <v/>
      </c>
      <c r="IW12" s="19">
        <f>AND(IF(AQ12="",TRUE,IF(input_audience="",FALSE,SUMPRODUCT(--ISNUMBER(SEARCH(","&amp;TRIM(TEXTSPLIT(AQ12,","))&amp;",",","&amp;SUBSTITUTE(input_audience," ","")&amp;",")))&gt;0)),IF(AS12="",TRUE,IF(input_audience="",FALSE,SUMPRODUCT(--ISNUMBER(SEARCH(","&amp;TRIM(TEXTSPLIT(AS12,","))&amp;",",","&amp;SUBSTITUTE(input_audience," ","")&amp;",")))=COUNTA(TEXTSPLIT(AS12,",")))),IF(AU12="",TRUE,IF(input_audience="",TRUE,SUMPRODUCT(--ISNUMBER(SEARCH(","&amp;TRIM(TEXTSPLIT(AU12,","))&amp;",",","&amp;SUBSTITUTE(input_audience," ","")&amp;",")))=0)),IF(AW12="",TRUE,IF(input_audience="",FALSE,SUMPRODUCT(--ISNUMBER(SEARCH(","&amp;TRIM(TEXTSPLIT(AW12,","))&amp;",",","&amp;SUBSTITUTE(input_audience," ","")&amp;",")))&gt;0)),IF(AY12="",TRUE,IF(input_audience="",FALSE,SUMPRODUCT(--ISNUMBER(SEARCH(","&amp;TRIM(TEXTSPLIT(AY12,","))&amp;",",","&amp;SUBSTITUTE(input_audience," ","")&amp;",")))=COUNTA(TEXTSPLIT(AY12,",")))))</f>
        <v/>
      </c>
      <c r="IX12" s="19">
        <f>AND(IF(BA12="",TRUE,IF(input_challenge_opportunities="",FALSE,SUMPRODUCT(--ISNUMBER(SEARCH(","&amp;TRIM(TEXTSPLIT(BA12,","))&amp;",",","&amp;SUBSTITUTE(input_challenge_opportunities," ","")&amp;",")))&gt;0)),IF(BC12="",TRUE,IF(input_challenge_opportunities="",FALSE,SUMPRODUCT(--ISNUMBER(SEARCH(","&amp;TRIM(TEXTSPLIT(BC12,","))&amp;",",","&amp;SUBSTITUTE(input_challenge_opportunities," ","")&amp;",")))=COUNTA(TEXTSPLIT(BC12,",")))),IF(BE12="",TRUE,IF(input_challenge_opportunities="",TRUE,SUMPRODUCT(--ISNUMBER(SEARCH(","&amp;TRIM(TEXTSPLIT(BE12,","))&amp;",",","&amp;SUBSTITUTE(input_challenge_opportunities," ","")&amp;",")))=0)),IF(BG12="",TRUE,IF(input_challenge_opportunities="",FALSE,SUMPRODUCT(--ISNUMBER(SEARCH(","&amp;TRIM(TEXTSPLIT(BG12,","))&amp;",",","&amp;SUBSTITUTE(input_challenge_opportunities," ","")&amp;",")))&gt;0)),IF(BI12="",TRUE,IF(input_challenge_opportunities="",FALSE,SUMPRODUCT(--ISNUMBER(SEARCH(","&amp;TRIM(TEXTSPLIT(BI12,","))&amp;",",","&amp;SUBSTITUTE(input_challenge_opportunities," ","")&amp;",")))=COUNTA(TEXTSPLIT(BI12,",")))))</f>
        <v/>
      </c>
      <c r="IY12" s="19">
        <f>AND(IF(BK12="",TRUE,IF(input_context="",FALSE,SUMPRODUCT(--ISNUMBER(SEARCH(","&amp;TRIM(TEXTSPLIT(BK12,","))&amp;",",","&amp;SUBSTITUTE(input_context," ","")&amp;",")))&gt;0)),IF(BM12="",TRUE,IF(input_context="",FALSE,SUMPRODUCT(--ISNUMBER(SEARCH(","&amp;TRIM(TEXTSPLIT(BM12,","))&amp;",",","&amp;SUBSTITUTE(input_context," ","")&amp;",")))=COUNTA(TEXTSPLIT(BM12,",")))),IF(BO12="",TRUE,IF(input_context="",TRUE,SUMPRODUCT(--ISNUMBER(SEARCH(","&amp;TRIM(TEXTSPLIT(BO12,","))&amp;",",","&amp;SUBSTITUTE(input_context," ","")&amp;",")))=0)),IF(BQ12="",TRUE,IF(input_context="",FALSE,SUMPRODUCT(--ISNUMBER(SEARCH(","&amp;TRIM(TEXTSPLIT(BQ12,","))&amp;",",","&amp;SUBSTITUTE(input_context," ","")&amp;",")))&gt;0)),IF(BS12="",TRUE,IF(input_context="",FALSE,SUMPRODUCT(--ISNUMBER(SEARCH(","&amp;TRIM(TEXTSPLIT(BS12,","))&amp;",",","&amp;SUBSTITUTE(input_context," ","")&amp;",")))=COUNTA(TEXTSPLIT(BS12,",")))))</f>
        <v/>
      </c>
      <c r="IZ12" s="19">
        <f>AND(IF(BU12="",TRUE,IF(input_enews_announcement_type="",FALSE,SUMPRODUCT(--ISNUMBER(SEARCH(","&amp;TRIM(TEXTSPLIT(BU12,","))&amp;",",","&amp;SUBSTITUTE(input_enews_announcement_type," ","")&amp;",")))&gt;0)),IF(BW12="",TRUE,IF(input_enews_announcement_type="",FALSE,SUMPRODUCT(--ISNUMBER(SEARCH(","&amp;TRIM(TEXTSPLIT(BW12,","))&amp;",",","&amp;SUBSTITUTE(input_enews_announcement_type," ","")&amp;",")))=COUNTA(TEXTSPLIT(BW12,",")))),IF(BY12="",TRUE,IF(input_enews_announcement_type="",TRUE,SUMPRODUCT(--ISNUMBER(SEARCH(","&amp;TRIM(TEXTSPLIT(BY12,","))&amp;",",","&amp;SUBSTITUTE(input_enews_announcement_type," ","")&amp;",")))=0)),IF(CA12="",TRUE,IF(input_enews_announcement_type="",FALSE,SUMPRODUCT(--ISNUMBER(SEARCH(","&amp;TRIM(TEXTSPLIT(CA12,","))&amp;",",","&amp;SUBSTITUTE(input_enews_announcement_type," ","")&amp;",")))&gt;0)),IF(CC12="",TRUE,IF(input_enews_announcement_type="",FALSE,SUMPRODUCT(--ISNUMBER(SEARCH(","&amp;TRIM(TEXTSPLIT(CC12,","))&amp;",",","&amp;SUBSTITUTE(input_enews_announcement_type," ","")&amp;",")))=COUNTA(TEXTSPLIT(CC12,",")))))</f>
        <v/>
      </c>
      <c r="JA12" s="19">
        <f>AND(IF(CE12="",TRUE,IF(input_enews_audience="",FALSE,SUMPRODUCT(--ISNUMBER(SEARCH(","&amp;TRIM(TEXTSPLIT(CE12,","))&amp;",",","&amp;SUBSTITUTE(input_enews_audience," ","")&amp;",")))&gt;0)),IF(CG12="",TRUE,IF(input_enews_audience="",FALSE,SUMPRODUCT(--ISNUMBER(SEARCH(","&amp;TRIM(TEXTSPLIT(CG12,","))&amp;",",","&amp;SUBSTITUTE(input_enews_audience," ","")&amp;",")))=COUNTA(TEXTSPLIT(CG12,",")))),IF(CI12="",TRUE,IF(input_enews_audience="",TRUE,SUMPRODUCT(--ISNUMBER(SEARCH(","&amp;TRIM(TEXTSPLIT(CI12,","))&amp;",",","&amp;SUBSTITUTE(input_enews_audience," ","")&amp;",")))=0)),IF(CK12="",TRUE,IF(input_enews_audience="",FALSE,SUMPRODUCT(--ISNUMBER(SEARCH(","&amp;TRIM(TEXTSPLIT(CK12,","))&amp;",",","&amp;SUBSTITUTE(input_enews_audience," ","")&amp;",")))&gt;0)),IF(CM12="",TRUE,IF(input_enews_audience="",FALSE,SUMPRODUCT(--ISNUMBER(SEARCH(","&amp;TRIM(TEXTSPLIT(CM12,","))&amp;",",","&amp;SUBSTITUTE(input_enews_audience," ","")&amp;",")))=COUNTA(TEXTSPLIT(CM12,",")))))</f>
        <v/>
      </c>
      <c r="JB12" s="19">
        <f>AND(IF(CO12="",TRUE,IF(input_event_location="",FALSE,SUMPRODUCT(--ISNUMBER(SEARCH(","&amp;TRIM(TEXTSPLIT(CO12,","))&amp;",",","&amp;SUBSTITUTE(input_event_location," ","")&amp;",")))&gt;0)),IF(CQ12="",TRUE,IF(input_event_location="",FALSE,SUMPRODUCT(--ISNUMBER(SEARCH(","&amp;TRIM(TEXTSPLIT(CQ12,","))&amp;",",","&amp;SUBSTITUTE(input_event_location," ","")&amp;",")))=COUNTA(TEXTSPLIT(CQ12,",")))),IF(CS12="",TRUE,IF(input_event_location="",TRUE,SUMPRODUCT(--ISNUMBER(SEARCH(","&amp;TRIM(TEXTSPLIT(CS12,","))&amp;",",","&amp;SUBSTITUTE(input_event_location," ","")&amp;",")))=0)),IF(CU12="",TRUE,IF(input_event_location="",FALSE,SUMPRODUCT(--ISNUMBER(SEARCH(","&amp;TRIM(TEXTSPLIT(CU12,","))&amp;",",","&amp;SUBSTITUTE(input_event_location," ","")&amp;",")))&gt;0)),IF(CW12="",TRUE,IF(input_event_location="",FALSE,SUMPRODUCT(--ISNUMBER(SEARCH(","&amp;TRIM(TEXTSPLIT(CW12,","))&amp;",",","&amp;SUBSTITUTE(input_event_location," ","")&amp;",")))=COUNTA(TEXTSPLIT(CW12,",")))))</f>
        <v/>
      </c>
      <c r="JC12" s="19">
        <f>AND(IF(CY12="",TRUE,IF(input_event_type="",FALSE,SUMPRODUCT(--ISNUMBER(SEARCH(","&amp;TRIM(TEXTSPLIT(CY12,","))&amp;",",","&amp;SUBSTITUTE(input_event_type," ","")&amp;",")))&gt;0)),IF(DA12="",TRUE,IF(input_event_type="",FALSE,SUMPRODUCT(--ISNUMBER(SEARCH(","&amp;TRIM(TEXTSPLIT(DA12,","))&amp;",",","&amp;SUBSTITUTE(input_event_type," ","")&amp;",")))=COUNTA(TEXTSPLIT(DA12,",")))),IF(DC12="",TRUE,IF(input_event_type="",TRUE,SUMPRODUCT(--ISNUMBER(SEARCH(","&amp;TRIM(TEXTSPLIT(DC12,","))&amp;",",","&amp;SUBSTITUTE(input_event_type," ","")&amp;",")))=0)),IF(DE12="",TRUE,IF(input_event_type="",FALSE,SUMPRODUCT(--ISNUMBER(SEARCH(","&amp;TRIM(TEXTSPLIT(DE12,","))&amp;",",","&amp;SUBSTITUTE(input_event_type," ","")&amp;",")))&gt;0)),IF(DG12="",TRUE,IF(input_event_type="",FALSE,SUMPRODUCT(--ISNUMBER(SEARCH(","&amp;TRIM(TEXTSPLIT(DG12,","))&amp;",",","&amp;SUBSTITUTE(input_event_type," ","")&amp;",")))=COUNTA(TEXTSPLIT(DG12,",")))))</f>
        <v/>
      </c>
      <c r="JD12" s="19">
        <f>AND(IF(DI12="",TRUE,IF(input_executive_education_focus="",FALSE,SUMPRODUCT(--ISNUMBER(SEARCH(","&amp;TRIM(TEXTSPLIT(DI12,","))&amp;",",","&amp;SUBSTITUTE(input_executive_education_focus," ","")&amp;",")))&gt;0)),IF(DK12="",TRUE,IF(input_executive_education_focus="",FALSE,SUMPRODUCT(--ISNUMBER(SEARCH(","&amp;TRIM(TEXTSPLIT(DK12,","))&amp;",",","&amp;SUBSTITUTE(input_executive_education_focus," ","")&amp;",")))=COUNTA(TEXTSPLIT(DK12,",")))),IF(DM12="",TRUE,IF(input_executive_education_focus="",TRUE,SUMPRODUCT(--ISNUMBER(SEARCH(","&amp;TRIM(TEXTSPLIT(DM12,","))&amp;",",","&amp;SUBSTITUTE(input_executive_education_focus," ","")&amp;",")))=0)),IF(DO12="",TRUE,IF(input_executive_education_focus="",FALSE,SUMPRODUCT(--ISNUMBER(SEARCH(","&amp;TRIM(TEXTSPLIT(DO12,","))&amp;",",","&amp;SUBSTITUTE(input_executive_education_focus," ","")&amp;",")))&gt;0)),IF(DQ12="",TRUE,IF(input_executive_education_focus="",FALSE,SUMPRODUCT(--ISNUMBER(SEARCH(","&amp;TRIM(TEXTSPLIT(DQ12,","))&amp;",",","&amp;SUBSTITUTE(input_executive_education_focus," ","")&amp;",")))=COUNTA(TEXTSPLIT(DQ12,",")))))</f>
        <v/>
      </c>
      <c r="JE12" s="19">
        <f>AND(IF(DS12="",TRUE,IF(input_faculty_category="",FALSE,SUMPRODUCT(--ISNUMBER(SEARCH(","&amp;TRIM(TEXTSPLIT(DS12,","))&amp;",",","&amp;SUBSTITUTE(input_faculty_category," ","")&amp;",")))&gt;0)),IF(DU12="",TRUE,IF(input_faculty_category="",FALSE,SUMPRODUCT(--ISNUMBER(SEARCH(","&amp;TRIM(TEXTSPLIT(DU12,","))&amp;",",","&amp;SUBSTITUTE(input_faculty_category," ","")&amp;",")))=COUNTA(TEXTSPLIT(DU12,",")))),IF(DW12="",TRUE,IF(input_faculty_category="",TRUE,SUMPRODUCT(--ISNUMBER(SEARCH(","&amp;TRIM(TEXTSPLIT(DW12,","))&amp;",",","&amp;SUBSTITUTE(input_faculty_category," ","")&amp;",")))=0)),IF(DY12="",TRUE,IF(input_faculty_category="",FALSE,SUMPRODUCT(--ISNUMBER(SEARCH(","&amp;TRIM(TEXTSPLIT(DY12,","))&amp;",",","&amp;SUBSTITUTE(input_faculty_category," ","")&amp;",")))&gt;0)),IF(EA12="",TRUE,IF(input_faculty_category="",FALSE,SUMPRODUCT(--ISNUMBER(SEARCH(","&amp;TRIM(TEXTSPLIT(EA12,","))&amp;",",","&amp;SUBSTITUTE(input_faculty_category," ","")&amp;",")))=COUNTA(TEXTSPLIT(EA12,",")))))</f>
        <v/>
      </c>
      <c r="JF12" s="19">
        <f>AND(IF(EC12="",TRUE,IF(input_faculty_discipline="",FALSE,SUMPRODUCT(--ISNUMBER(SEARCH(","&amp;TRIM(TEXTSPLIT(EC12,","))&amp;",",","&amp;SUBSTITUTE(input_faculty_discipline," ","")&amp;",")))&gt;0)),IF(EE12="",TRUE,IF(input_faculty_discipline="",FALSE,SUMPRODUCT(--ISNUMBER(SEARCH(","&amp;TRIM(TEXTSPLIT(EE12,","))&amp;",",","&amp;SUBSTITUTE(input_faculty_discipline," ","")&amp;",")))=COUNTA(TEXTSPLIT(EE12,",")))),IF(EG12="",TRUE,IF(input_faculty_discipline="",TRUE,SUMPRODUCT(--ISNUMBER(SEARCH(","&amp;TRIM(TEXTSPLIT(EG12,","))&amp;",",","&amp;SUBSTITUTE(input_faculty_discipline," ","")&amp;",")))=0)),IF(EI12="",TRUE,IF(input_faculty_discipline="",FALSE,SUMPRODUCT(--ISNUMBER(SEARCH(","&amp;TRIM(TEXTSPLIT(EI12,","))&amp;",",","&amp;SUBSTITUTE(input_faculty_discipline," ","")&amp;",")))&gt;0)),IF(EK12="",TRUE,IF(input_faculty_discipline="",FALSE,SUMPRODUCT(--ISNUMBER(SEARCH(","&amp;TRIM(TEXTSPLIT(EK12,","))&amp;",",","&amp;SUBSTITUTE(input_faculty_discipline," ","")&amp;",")))=COUNTA(TEXTSPLIT(EK12,",")))))</f>
        <v/>
      </c>
      <c r="JG12" s="19">
        <f>AND(IF(EM12="",TRUE,IF(input_faculty_expertise="",FALSE,SUMPRODUCT(--ISNUMBER(SEARCH(","&amp;TRIM(TEXTSPLIT(EM12,","))&amp;",",","&amp;SUBSTITUTE(input_faculty_expertise," ","")&amp;",")))&gt;0)),IF(EO12="",TRUE,IF(input_faculty_expertise="",FALSE,SUMPRODUCT(--ISNUMBER(SEARCH(","&amp;TRIM(TEXTSPLIT(EO12,","))&amp;",",","&amp;SUBSTITUTE(input_faculty_expertise," ","")&amp;",")))=COUNTA(TEXTSPLIT(EO12,",")))),IF(EQ12="",TRUE,IF(input_faculty_expertise="",TRUE,SUMPRODUCT(--ISNUMBER(SEARCH(","&amp;TRIM(TEXTSPLIT(EQ12,","))&amp;",",","&amp;SUBSTITUTE(input_faculty_expertise," ","")&amp;",")))=0)),IF(ES12="",TRUE,IF(input_faculty_expertise="",FALSE,SUMPRODUCT(--ISNUMBER(SEARCH(","&amp;TRIM(TEXTSPLIT(ES12,","))&amp;",",","&amp;SUBSTITUTE(input_faculty_expertise," ","")&amp;",")))&gt;0)),IF(EU12="",TRUE,IF(input_faculty_expertise="",FALSE,SUMPRODUCT(--ISNUMBER(SEARCH(","&amp;TRIM(TEXTSPLIT(EU12,","))&amp;",",","&amp;SUBSTITUTE(input_faculty_expertise," ","")&amp;",")))=COUNTA(TEXTSPLIT(EU12,",")))))</f>
        <v/>
      </c>
      <c r="JH12" s="19">
        <f>AND(IF(EW12="",TRUE,IF(input_global_network_school="",FALSE,SUMPRODUCT(--ISNUMBER(SEARCH(","&amp;TRIM(TEXTSPLIT(EW12,","))&amp;",",","&amp;SUBSTITUTE(input_global_network_school," ","")&amp;",")))&gt;0)),IF(EY12="",TRUE,IF(input_global_network_school="",FALSE,SUMPRODUCT(--ISNUMBER(SEARCH(","&amp;TRIM(TEXTSPLIT(EY12,","))&amp;",",","&amp;SUBSTITUTE(input_global_network_school," ","")&amp;",")))=COUNTA(TEXTSPLIT(EY12,",")))),IF(FA12="",TRUE,IF(input_global_network_school="",TRUE,SUMPRODUCT(--ISNUMBER(SEARCH(","&amp;TRIM(TEXTSPLIT(FA12,","))&amp;",",","&amp;SUBSTITUTE(input_global_network_school," ","")&amp;",")))=0)),IF(FC12="",TRUE,IF(input_global_network_school="",FALSE,SUMPRODUCT(--ISNUMBER(SEARCH(","&amp;TRIM(TEXTSPLIT(FC12,","))&amp;",",","&amp;SUBSTITUTE(input_global_network_school," ","")&amp;",")))&gt;0)),IF(FE12="",TRUE,IF(input_global_network_school="",FALSE,SUMPRODUCT(--ISNUMBER(SEARCH(","&amp;TRIM(TEXTSPLIT(FE12,","))&amp;",",","&amp;SUBSTITUTE(input_global_network_school," ","")&amp;",")))=COUNTA(TEXTSPLIT(FE12,",")))))</f>
        <v/>
      </c>
      <c r="JI12" s="19">
        <f>AND(IF(FG12="",TRUE,IF(input_industry="",FALSE,SUMPRODUCT(--ISNUMBER(SEARCH(","&amp;TRIM(TEXTSPLIT(FG12,","))&amp;",",","&amp;SUBSTITUTE(input_industry," ","")&amp;",")))&gt;0)),IF(FI12="",TRUE,IF(input_industry="",FALSE,SUMPRODUCT(--ISNUMBER(SEARCH(","&amp;TRIM(TEXTSPLIT(FI12,","))&amp;",",","&amp;SUBSTITUTE(input_industry," ","")&amp;",")))=COUNTA(TEXTSPLIT(FI12,",")))),IF(FK12="",TRUE,IF(input_industry="",TRUE,SUMPRODUCT(--ISNUMBER(SEARCH(","&amp;TRIM(TEXTSPLIT(FK12,","))&amp;",",","&amp;SUBSTITUTE(input_industry," ","")&amp;",")))=0)),IF(FM12="",TRUE,IF(input_industry="",FALSE,SUMPRODUCT(--ISNUMBER(SEARCH(","&amp;TRIM(TEXTSPLIT(FM12,","))&amp;",",","&amp;SUBSTITUTE(input_industry," ","")&amp;",")))&gt;0)),IF(FO12="",TRUE,IF(input_industry="",FALSE,SUMPRODUCT(--ISNUMBER(SEARCH(","&amp;TRIM(TEXTSPLIT(FO12,","))&amp;",",","&amp;SUBSTITUTE(input_industry," ","")&amp;",")))=COUNTA(TEXTSPLIT(FO12,",")))))</f>
        <v/>
      </c>
      <c r="JJ12" s="19">
        <f>AND(IF(FQ12="",TRUE,IF(input_location="",FALSE,SUMPRODUCT(--ISNUMBER(SEARCH(","&amp;TRIM(TEXTSPLIT(FQ12,","))&amp;",",","&amp;SUBSTITUTE(input_location," ","")&amp;",")))&gt;0)),IF(FS12="",TRUE,IF(input_location="",FALSE,SUMPRODUCT(--ISNUMBER(SEARCH(","&amp;TRIM(TEXTSPLIT(FS12,","))&amp;",",","&amp;SUBSTITUTE(input_location," ","")&amp;",")))=COUNTA(TEXTSPLIT(FS12,",")))),IF(FU12="",TRUE,IF(input_location="",TRUE,SUMPRODUCT(--ISNUMBER(SEARCH(","&amp;TRIM(TEXTSPLIT(FU12,","))&amp;",",","&amp;SUBSTITUTE(input_location," ","")&amp;",")))=0)),IF(FW12="",TRUE,IF(input_location="",FALSE,SUMPRODUCT(--ISNUMBER(SEARCH(","&amp;TRIM(TEXTSPLIT(FW12,","))&amp;",",","&amp;SUBSTITUTE(input_location," ","")&amp;",")))&gt;0)),IF(FY12="",TRUE,IF(input_location="",FALSE,SUMPRODUCT(--ISNUMBER(SEARCH(","&amp;TRIM(TEXTSPLIT(FY12,","))&amp;",",","&amp;SUBSTITUTE(input_location," ","")&amp;",")))=COUNTA(TEXTSPLIT(FY12,",")))))</f>
        <v/>
      </c>
      <c r="JK12" s="19">
        <f>AND(IF(GA12="",TRUE,IF(input_modality="",FALSE,SUMPRODUCT(--ISNUMBER(SEARCH(","&amp;TRIM(TEXTSPLIT(GA12,","))&amp;",",","&amp;SUBSTITUTE(input_modality," ","")&amp;",")))&gt;0)),IF(GC12="",TRUE,IF(input_modality="",FALSE,SUMPRODUCT(--ISNUMBER(SEARCH(","&amp;TRIM(TEXTSPLIT(GC12,","))&amp;",",","&amp;SUBSTITUTE(input_modality," ","")&amp;",")))=COUNTA(TEXTSPLIT(GC12,",")))),IF(GE12="",TRUE,IF(input_modality="",TRUE,SUMPRODUCT(--ISNUMBER(SEARCH(","&amp;TRIM(TEXTSPLIT(GE12,","))&amp;",",","&amp;SUBSTITUTE(input_modality," ","")&amp;",")))=0)),IF(GG12="",TRUE,IF(input_modality="",FALSE,SUMPRODUCT(--ISNUMBER(SEARCH(","&amp;TRIM(TEXTSPLIT(GG12,","))&amp;",",","&amp;SUBSTITUTE(input_modality," ","")&amp;",")))&gt;0)),IF(GI12="",TRUE,IF(input_modality="",FALSE,SUMPRODUCT(--ISNUMBER(SEARCH(","&amp;TRIM(TEXTSPLIT(GI12,","))&amp;",",","&amp;SUBSTITUTE(input_modality," ","")&amp;",")))=COUNTA(TEXTSPLIT(GI12,",")))))</f>
        <v/>
      </c>
      <c r="JL12" s="19">
        <f>AND(IF(GK12="",TRUE,IF(input_organizer="",FALSE,SUMPRODUCT(--ISNUMBER(SEARCH(","&amp;TRIM(TEXTSPLIT(GK12,","))&amp;",",","&amp;SUBSTITUTE(input_organizer," ","")&amp;",")))&gt;0)),IF(GM12="",TRUE,IF(input_organizer="",FALSE,SUMPRODUCT(--ISNUMBER(SEARCH(","&amp;TRIM(TEXTSPLIT(GM12,","))&amp;",",","&amp;SUBSTITUTE(input_organizer," ","")&amp;",")))=COUNTA(TEXTSPLIT(GM12,",")))),IF(GO12="",TRUE,IF(input_organizer="",TRUE,SUMPRODUCT(--ISNUMBER(SEARCH(","&amp;TRIM(TEXTSPLIT(GO12,","))&amp;",",","&amp;SUBSTITUTE(input_organizer," ","")&amp;",")))=0)),IF(GQ12="",TRUE,IF(input_organizer="",FALSE,SUMPRODUCT(--ISNUMBER(SEARCH(","&amp;TRIM(TEXTSPLIT(GQ12,","))&amp;",",","&amp;SUBSTITUTE(input_organizer," ","")&amp;",")))&gt;0)),IF(GS12="",TRUE,IF(input_organizer="",FALSE,SUMPRODUCT(--ISNUMBER(SEARCH(","&amp;TRIM(TEXTSPLIT(GS12,","))&amp;",",","&amp;SUBSTITUTE(input_organizer," ","")&amp;",")))=COUNTA(TEXTSPLIT(GS12,",")))))</f>
        <v/>
      </c>
      <c r="JM12" s="19">
        <f>AND(IF(GU12="",TRUE,IF(input_profile_type="",FALSE,SUMPRODUCT(--ISNUMBER(SEARCH(","&amp;TRIM(TEXTSPLIT(GU12,","))&amp;",",","&amp;SUBSTITUTE(input_profile_type," ","")&amp;",")))&gt;0)),IF(GW12="",TRUE,IF(input_profile_type="",FALSE,SUMPRODUCT(--ISNUMBER(SEARCH(","&amp;TRIM(TEXTSPLIT(GW12,","))&amp;",",","&amp;SUBSTITUTE(input_profile_type," ","")&amp;",")))=COUNTA(TEXTSPLIT(GW12,",")))),IF(GY12="",TRUE,IF(input_profile_type="",TRUE,SUMPRODUCT(--ISNUMBER(SEARCH(","&amp;TRIM(TEXTSPLIT(GY12,","))&amp;",",","&amp;SUBSTITUTE(input_profile_type," ","")&amp;",")))=0)),IF(HA12="",TRUE,IF(input_profile_type="",FALSE,SUMPRODUCT(--ISNUMBER(SEARCH(","&amp;TRIM(TEXTSPLIT(HA12,","))&amp;",",","&amp;SUBSTITUTE(input_profile_type," ","")&amp;",")))&gt;0)),IF(HC12="",TRUE,IF(input_profile_type="",FALSE,SUMPRODUCT(--ISNUMBER(SEARCH(","&amp;TRIM(TEXTSPLIT(HC12,","))&amp;",",","&amp;SUBSTITUTE(input_profile_type," ","")&amp;",")))=COUNTA(TEXTSPLIT(HC12,",")))))</f>
        <v/>
      </c>
      <c r="JN12" s="19">
        <f>AND(IF(HE12="",TRUE,IF(input_program="",FALSE,SUMPRODUCT(--ISNUMBER(SEARCH(","&amp;TRIM(TEXTSPLIT(HE12,","))&amp;",",","&amp;SUBSTITUTE(input_program," ","")&amp;",")))&gt;0)),IF(HG12="",TRUE,IF(input_program="",FALSE,SUMPRODUCT(--ISNUMBER(SEARCH(","&amp;TRIM(TEXTSPLIT(HG12,","))&amp;",",","&amp;SUBSTITUTE(input_program," ","")&amp;",")))=COUNTA(TEXTSPLIT(HG12,",")))),IF(HI12="",TRUE,IF(input_program="",TRUE,SUMPRODUCT(--ISNUMBER(SEARCH(","&amp;TRIM(TEXTSPLIT(HI12,","))&amp;",",","&amp;SUBSTITUTE(input_program," ","")&amp;",")))=0)),IF(HK12="",TRUE,IF(input_program="",FALSE,SUMPRODUCT(--ISNUMBER(SEARCH(","&amp;TRIM(TEXTSPLIT(HK12,","))&amp;",",","&amp;SUBSTITUTE(input_program," ","")&amp;",")))&gt;0)),IF(HM12="",TRUE,IF(input_program="",FALSE,SUMPRODUCT(--ISNUMBER(SEARCH(","&amp;TRIM(TEXTSPLIT(HM12,","))&amp;",",","&amp;SUBSTITUTE(input_program," ","")&amp;",")))=COUNTA(TEXTSPLIT(HM12,",")))))</f>
        <v/>
      </c>
      <c r="JO12" s="19">
        <f>AND(IF(HO12="",TRUE,IF(input_story_categories="",FALSE,SUMPRODUCT(--ISNUMBER(SEARCH(","&amp;TRIM(TEXTSPLIT(HO12,","))&amp;",",","&amp;SUBSTITUTE(input_story_categories," ","")&amp;",")))&gt;0)),IF(HQ12="",TRUE,IF(input_story_categories="",FALSE,SUMPRODUCT(--ISNUMBER(SEARCH(","&amp;TRIM(TEXTSPLIT(HQ12,","))&amp;",",","&amp;SUBSTITUTE(input_story_categories," ","")&amp;",")))=COUNTA(TEXTSPLIT(HQ12,",")))),IF(HS12="",TRUE,IF(input_story_categories="",TRUE,SUMPRODUCT(--ISNUMBER(SEARCH(","&amp;TRIM(TEXTSPLIT(HS12,","))&amp;",",","&amp;SUBSTITUTE(input_story_categories," ","")&amp;",")))=0)),IF(HU12="",TRUE,IF(input_story_categories="",FALSE,SUMPRODUCT(--ISNUMBER(SEARCH(","&amp;TRIM(TEXTSPLIT(HU12,","))&amp;",",","&amp;SUBSTITUTE(input_story_categories," ","")&amp;",")))&gt;0)),IF(HW12="",TRUE,IF(input_story_categories="",FALSE,SUMPRODUCT(--ISNUMBER(SEARCH(","&amp;TRIM(TEXTSPLIT(HW12,","))&amp;",",","&amp;SUBSTITUTE(input_story_categories," ","")&amp;",")))=COUNTA(TEXTSPLIT(HW12,",")))))</f>
        <v/>
      </c>
      <c r="JP12" s="19">
        <f>AND(IF(HY12="",TRUE,IF(input_story_type="",FALSE,SUMPRODUCT(--ISNUMBER(SEARCH(","&amp;TRIM(TEXTSPLIT(HY12,","))&amp;",",","&amp;SUBSTITUTE(input_story_type," ","")&amp;",")))&gt;0)),IF(IA12="",TRUE,IF(input_story_type="",FALSE,SUMPRODUCT(--ISNUMBER(SEARCH(","&amp;TRIM(TEXTSPLIT(IA12,","))&amp;",",","&amp;SUBSTITUTE(input_story_type," ","")&amp;",")))=COUNTA(TEXTSPLIT(IA12,",")))),IF(IC12="",TRUE,IF(input_story_type="",TRUE,SUMPRODUCT(--ISNUMBER(SEARCH(","&amp;TRIM(TEXTSPLIT(IC12,","))&amp;",",","&amp;SUBSTITUTE(input_story_type," ","")&amp;",")))=0)),IF(IE12="",TRUE,IF(input_story_type="",FALSE,SUMPRODUCT(--ISNUMBER(SEARCH(","&amp;TRIM(TEXTSPLIT(IE12,","))&amp;",",","&amp;SUBSTITUTE(input_story_type," ","")&amp;",")))&gt;0)),IF(IG12="",TRUE,IF(input_story_type="",FALSE,SUMPRODUCT(--ISNUMBER(SEARCH(","&amp;TRIM(TEXTSPLIT(IG12,","))&amp;",",","&amp;SUBSTITUTE(input_story_type," ","")&amp;",")))=COUNTA(TEXTSPLIT(IG12,",")))))</f>
        <v/>
      </c>
      <c r="JQ12" s="19">
        <f>AND(IF(II12="",TRUE,IF(input_topics="",FALSE,SUMPRODUCT(--ISNUMBER(SEARCH(","&amp;TRIM(TEXTSPLIT(II12,","))&amp;",",","&amp;SUBSTITUTE(input_topics," ","")&amp;",")))&gt;0)),IF(IK12="",TRUE,IF(input_topics="",FALSE,SUMPRODUCT(--ISNUMBER(SEARCH(","&amp;TRIM(TEXTSPLIT(IK12,","))&amp;",",","&amp;SUBSTITUTE(input_topics," ","")&amp;",")))=COUNTA(TEXTSPLIT(IK12,",")))),IF(IM12="",TRUE,IF(input_topics="",TRUE,SUMPRODUCT(--ISNUMBER(SEARCH(","&amp;TRIM(TEXTSPLIT(IM12,","))&amp;",",","&amp;SUBSTITUTE(input_topics," ","")&amp;",")))=0)),IF(IO12="",TRUE,IF(input_topics="",FALSE,SUMPRODUCT(--ISNUMBER(SEARCH(","&amp;TRIM(TEXTSPLIT(IO12,","))&amp;",",","&amp;SUBSTITUTE(input_topics," ","")&amp;",")))&gt;0)),IF(IQ12="",TRUE,IF(input_topics="",FALSE,SUMPRODUCT(--ISNUMBER(SEARCH(","&amp;TRIM(TEXTSPLIT(IQ12,","))&amp;",",","&amp;SUBSTITUTE(input_topics," ","")&amp;",")))=COUNTA(TEXTSPLIT(IQ12,",")))))</f>
        <v/>
      </c>
    </row>
    <row r="13">
      <c r="A13" s="24">
        <f>IF(NOT(IS13),"Excluded",IF(AND(IT13,IU13,IV13,IW13,IX13,IY13,IZ13,JA13,JB13,JC13,JD13,JE13,JF13,JG13,JH13,JI13,JJ13,JK13,JL13,JM13,JN13,JO13,JP13,JQ13),IF(I13&gt;0,"Eligible but limited","Will appear"),"Excluded"))</f>
        <v/>
      </c>
      <c r="B13" s="24" t="inlineStr">
        <is>
          <t>All news</t>
        </is>
      </c>
      <c r="C13" s="27" t="inlineStr">
        <is>
          <t>/case-studies</t>
        </is>
      </c>
      <c r="D13" s="24" t="inlineStr">
        <is>
          <t>/case-studies</t>
        </is>
      </c>
      <c r="E13" s="24" t="n">
        <v>1</v>
      </c>
      <c r="F13" s="24" t="inlineStr">
        <is>
          <t>story</t>
        </is>
      </c>
      <c r="G13" s="24" t="inlineStr">
        <is>
          <t>stories_grid_without_images</t>
        </is>
      </c>
      <c r="H13" s="24" t="inlineStr">
        <is>
          <t>embed_news</t>
        </is>
      </c>
      <c r="I13" s="24" t="n">
        <v>3</v>
      </c>
      <c r="J13" s="30" t="inlineStr">
        <is>
          <t>Manual override</t>
        </is>
      </c>
      <c r="K13" s="24" t="inlineStr">
        <is>
          <t>Page placement</t>
        </is>
      </c>
      <c r="L13" s="24" t="inlineStr">
        <is>
          <t>Content type: story; Context uses Courses Context: Case Study Research and Development (942); Needs any Story Type: News (924); Limited to 3 item(s); Source: Manual override</t>
        </is>
      </c>
      <c r="BQ13" s="19" t="inlineStr">
        <is>
          <t>942</t>
        </is>
      </c>
      <c r="BR13" s="19" t="inlineStr">
        <is>
          <t>Case Study Research and Development (942)</t>
        </is>
      </c>
      <c r="HY13" s="19" t="inlineStr">
        <is>
          <t>924</t>
        </is>
      </c>
      <c r="HZ13" s="19" t="inlineStr">
        <is>
          <t>News (924)</t>
        </is>
      </c>
      <c r="IS13" s="19">
        <f>IF(input_content_type="",FALSE,ISNUMBER(SEARCH(","&amp;LOWER(input_content_type)&amp;",",","&amp;LOWER(SUBSTITUTE(F13," ",""))&amp;",")))</f>
        <v/>
      </c>
      <c r="IT13" s="19">
        <f>AND(IF(M13="",TRUE,IF(input_affiliations="",FALSE,SUMPRODUCT(--ISNUMBER(SEARCH(","&amp;TRIM(TEXTSPLIT(M13,","))&amp;",",","&amp;SUBSTITUTE(input_affiliations," ","")&amp;",")))&gt;0)),IF(O13="",TRUE,IF(input_affiliations="",FALSE,SUMPRODUCT(--ISNUMBER(SEARCH(","&amp;TRIM(TEXTSPLIT(O13,","))&amp;",",","&amp;SUBSTITUTE(input_affiliations," ","")&amp;",")))=COUNTA(TEXTSPLIT(O13,",")))),IF(Q13="",TRUE,IF(input_affiliations="",TRUE,SUMPRODUCT(--ISNUMBER(SEARCH(","&amp;TRIM(TEXTSPLIT(Q13,","))&amp;",",","&amp;SUBSTITUTE(input_affiliations," ","")&amp;",")))=0)),IF(S13="",TRUE,IF(input_affiliations="",FALSE,SUMPRODUCT(--ISNUMBER(SEARCH(","&amp;TRIM(TEXTSPLIT(S13,","))&amp;",",","&amp;SUBSTITUTE(input_affiliations," ","")&amp;",")))&gt;0)),IF(U13="",TRUE,IF(input_affiliations="",FALSE,SUMPRODUCT(--ISNUMBER(SEARCH(","&amp;TRIM(TEXTSPLIT(U13,","))&amp;",",","&amp;SUBSTITUTE(input_affiliations," ","")&amp;",")))=COUNTA(TEXTSPLIT(U13,",")))))</f>
        <v/>
      </c>
      <c r="IU13" s="19">
        <f>AND(IF(W13="",TRUE,IF(input_announcement_category="",FALSE,SUMPRODUCT(--ISNUMBER(SEARCH(","&amp;TRIM(TEXTSPLIT(W13,","))&amp;",",","&amp;SUBSTITUTE(input_announcement_category," ","")&amp;",")))&gt;0)),IF(Y13="",TRUE,IF(input_announcement_category="",FALSE,SUMPRODUCT(--ISNUMBER(SEARCH(","&amp;TRIM(TEXTSPLIT(Y13,","))&amp;",",","&amp;SUBSTITUTE(input_announcement_category," ","")&amp;",")))=COUNTA(TEXTSPLIT(Y13,",")))),IF(AA13="",TRUE,IF(input_announcement_category="",TRUE,SUMPRODUCT(--ISNUMBER(SEARCH(","&amp;TRIM(TEXTSPLIT(AA13,","))&amp;",",","&amp;SUBSTITUTE(input_announcement_category," ","")&amp;",")))=0)),IF(AC13="",TRUE,IF(input_announcement_category="",FALSE,SUMPRODUCT(--ISNUMBER(SEARCH(","&amp;TRIM(TEXTSPLIT(AC13,","))&amp;",",","&amp;SUBSTITUTE(input_announcement_category," ","")&amp;",")))&gt;0)),IF(AE13="",TRUE,IF(input_announcement_category="",FALSE,SUMPRODUCT(--ISNUMBER(SEARCH(","&amp;TRIM(TEXTSPLIT(AE13,","))&amp;",",","&amp;SUBSTITUTE(input_announcement_category," ","")&amp;",")))=COUNTA(TEXTSPLIT(AE13,",")))))</f>
        <v/>
      </c>
      <c r="IV13" s="19">
        <f>AND(IF(AG13="",TRUE,IF(input_area_of_focus="",FALSE,SUMPRODUCT(--ISNUMBER(SEARCH(","&amp;TRIM(TEXTSPLIT(AG13,","))&amp;",",","&amp;SUBSTITUTE(input_area_of_focus," ","")&amp;",")))&gt;0)),IF(AI13="",TRUE,IF(input_area_of_focus="",FALSE,SUMPRODUCT(--ISNUMBER(SEARCH(","&amp;TRIM(TEXTSPLIT(AI13,","))&amp;",",","&amp;SUBSTITUTE(input_area_of_focus," ","")&amp;",")))=COUNTA(TEXTSPLIT(AI13,",")))),IF(AK13="",TRUE,IF(input_area_of_focus="",TRUE,SUMPRODUCT(--ISNUMBER(SEARCH(","&amp;TRIM(TEXTSPLIT(AK13,","))&amp;",",","&amp;SUBSTITUTE(input_area_of_focus," ","")&amp;",")))=0)),IF(AM13="",TRUE,IF(input_area_of_focus="",FALSE,SUMPRODUCT(--ISNUMBER(SEARCH(","&amp;TRIM(TEXTSPLIT(AM13,","))&amp;",",","&amp;SUBSTITUTE(input_area_of_focus," ","")&amp;",")))&gt;0)),IF(AO13="",TRUE,IF(input_area_of_focus="",FALSE,SUMPRODUCT(--ISNUMBER(SEARCH(","&amp;TRIM(TEXTSPLIT(AO13,","))&amp;",",","&amp;SUBSTITUTE(input_area_of_focus," ","")&amp;",")))=COUNTA(TEXTSPLIT(AO13,",")))))</f>
        <v/>
      </c>
      <c r="IW13" s="19">
        <f>AND(IF(AQ13="",TRUE,IF(input_audience="",FALSE,SUMPRODUCT(--ISNUMBER(SEARCH(","&amp;TRIM(TEXTSPLIT(AQ13,","))&amp;",",","&amp;SUBSTITUTE(input_audience," ","")&amp;",")))&gt;0)),IF(AS13="",TRUE,IF(input_audience="",FALSE,SUMPRODUCT(--ISNUMBER(SEARCH(","&amp;TRIM(TEXTSPLIT(AS13,","))&amp;",",","&amp;SUBSTITUTE(input_audience," ","")&amp;",")))=COUNTA(TEXTSPLIT(AS13,",")))),IF(AU13="",TRUE,IF(input_audience="",TRUE,SUMPRODUCT(--ISNUMBER(SEARCH(","&amp;TRIM(TEXTSPLIT(AU13,","))&amp;",",","&amp;SUBSTITUTE(input_audience," ","")&amp;",")))=0)),IF(AW13="",TRUE,IF(input_audience="",FALSE,SUMPRODUCT(--ISNUMBER(SEARCH(","&amp;TRIM(TEXTSPLIT(AW13,","))&amp;",",","&amp;SUBSTITUTE(input_audience," ","")&amp;",")))&gt;0)),IF(AY13="",TRUE,IF(input_audience="",FALSE,SUMPRODUCT(--ISNUMBER(SEARCH(","&amp;TRIM(TEXTSPLIT(AY13,","))&amp;",",","&amp;SUBSTITUTE(input_audience," ","")&amp;",")))=COUNTA(TEXTSPLIT(AY13,",")))))</f>
        <v/>
      </c>
      <c r="IX13" s="19">
        <f>AND(IF(BA13="",TRUE,IF(input_challenge_opportunities="",FALSE,SUMPRODUCT(--ISNUMBER(SEARCH(","&amp;TRIM(TEXTSPLIT(BA13,","))&amp;",",","&amp;SUBSTITUTE(input_challenge_opportunities," ","")&amp;",")))&gt;0)),IF(BC13="",TRUE,IF(input_challenge_opportunities="",FALSE,SUMPRODUCT(--ISNUMBER(SEARCH(","&amp;TRIM(TEXTSPLIT(BC13,","))&amp;",",","&amp;SUBSTITUTE(input_challenge_opportunities," ","")&amp;",")))=COUNTA(TEXTSPLIT(BC13,",")))),IF(BE13="",TRUE,IF(input_challenge_opportunities="",TRUE,SUMPRODUCT(--ISNUMBER(SEARCH(","&amp;TRIM(TEXTSPLIT(BE13,","))&amp;",",","&amp;SUBSTITUTE(input_challenge_opportunities," ","")&amp;",")))=0)),IF(BG13="",TRUE,IF(input_challenge_opportunities="",FALSE,SUMPRODUCT(--ISNUMBER(SEARCH(","&amp;TRIM(TEXTSPLIT(BG13,","))&amp;",",","&amp;SUBSTITUTE(input_challenge_opportunities," ","")&amp;",")))&gt;0)),IF(BI13="",TRUE,IF(input_challenge_opportunities="",FALSE,SUMPRODUCT(--ISNUMBER(SEARCH(","&amp;TRIM(TEXTSPLIT(BI13,","))&amp;",",","&amp;SUBSTITUTE(input_challenge_opportunities," ","")&amp;",")))=COUNTA(TEXTSPLIT(BI13,",")))))</f>
        <v/>
      </c>
      <c r="IY13" s="19">
        <f>AND(IF(BK13="",TRUE,IF(input_context="",FALSE,SUMPRODUCT(--ISNUMBER(SEARCH(","&amp;TRIM(TEXTSPLIT(BK13,","))&amp;",",","&amp;SUBSTITUTE(input_context," ","")&amp;",")))&gt;0)),IF(BM13="",TRUE,IF(input_context="",FALSE,SUMPRODUCT(--ISNUMBER(SEARCH(","&amp;TRIM(TEXTSPLIT(BM13,","))&amp;",",","&amp;SUBSTITUTE(input_context," ","")&amp;",")))=COUNTA(TEXTSPLIT(BM13,",")))),IF(BO13="",TRUE,IF(input_context="",TRUE,SUMPRODUCT(--ISNUMBER(SEARCH(","&amp;TRIM(TEXTSPLIT(BO13,","))&amp;",",","&amp;SUBSTITUTE(input_context," ","")&amp;",")))=0)),IF(BQ13="",TRUE,IF(input_context="",FALSE,SUMPRODUCT(--ISNUMBER(SEARCH(","&amp;TRIM(TEXTSPLIT(BQ13,","))&amp;",",","&amp;SUBSTITUTE(input_context," ","")&amp;",")))&gt;0)),IF(BS13="",TRUE,IF(input_context="",FALSE,SUMPRODUCT(--ISNUMBER(SEARCH(","&amp;TRIM(TEXTSPLIT(BS13,","))&amp;",",","&amp;SUBSTITUTE(input_context," ","")&amp;",")))=COUNTA(TEXTSPLIT(BS13,",")))))</f>
        <v/>
      </c>
      <c r="IZ13" s="19">
        <f>AND(IF(BU13="",TRUE,IF(input_enews_announcement_type="",FALSE,SUMPRODUCT(--ISNUMBER(SEARCH(","&amp;TRIM(TEXTSPLIT(BU13,","))&amp;",",","&amp;SUBSTITUTE(input_enews_announcement_type," ","")&amp;",")))&gt;0)),IF(BW13="",TRUE,IF(input_enews_announcement_type="",FALSE,SUMPRODUCT(--ISNUMBER(SEARCH(","&amp;TRIM(TEXTSPLIT(BW13,","))&amp;",",","&amp;SUBSTITUTE(input_enews_announcement_type," ","")&amp;",")))=COUNTA(TEXTSPLIT(BW13,",")))),IF(BY13="",TRUE,IF(input_enews_announcement_type="",TRUE,SUMPRODUCT(--ISNUMBER(SEARCH(","&amp;TRIM(TEXTSPLIT(BY13,","))&amp;",",","&amp;SUBSTITUTE(input_enews_announcement_type," ","")&amp;",")))=0)),IF(CA13="",TRUE,IF(input_enews_announcement_type="",FALSE,SUMPRODUCT(--ISNUMBER(SEARCH(","&amp;TRIM(TEXTSPLIT(CA13,","))&amp;",",","&amp;SUBSTITUTE(input_enews_announcement_type," ","")&amp;",")))&gt;0)),IF(CC13="",TRUE,IF(input_enews_announcement_type="",FALSE,SUMPRODUCT(--ISNUMBER(SEARCH(","&amp;TRIM(TEXTSPLIT(CC13,","))&amp;",",","&amp;SUBSTITUTE(input_enews_announcement_type," ","")&amp;",")))=COUNTA(TEXTSPLIT(CC13,",")))))</f>
        <v/>
      </c>
      <c r="JA13" s="19">
        <f>AND(IF(CE13="",TRUE,IF(input_enews_audience="",FALSE,SUMPRODUCT(--ISNUMBER(SEARCH(","&amp;TRIM(TEXTSPLIT(CE13,","))&amp;",",","&amp;SUBSTITUTE(input_enews_audience," ","")&amp;",")))&gt;0)),IF(CG13="",TRUE,IF(input_enews_audience="",FALSE,SUMPRODUCT(--ISNUMBER(SEARCH(","&amp;TRIM(TEXTSPLIT(CG13,","))&amp;",",","&amp;SUBSTITUTE(input_enews_audience," ","")&amp;",")))=COUNTA(TEXTSPLIT(CG13,",")))),IF(CI13="",TRUE,IF(input_enews_audience="",TRUE,SUMPRODUCT(--ISNUMBER(SEARCH(","&amp;TRIM(TEXTSPLIT(CI13,","))&amp;",",","&amp;SUBSTITUTE(input_enews_audience," ","")&amp;",")))=0)),IF(CK13="",TRUE,IF(input_enews_audience="",FALSE,SUMPRODUCT(--ISNUMBER(SEARCH(","&amp;TRIM(TEXTSPLIT(CK13,","))&amp;",",","&amp;SUBSTITUTE(input_enews_audience," ","")&amp;",")))&gt;0)),IF(CM13="",TRUE,IF(input_enews_audience="",FALSE,SUMPRODUCT(--ISNUMBER(SEARCH(","&amp;TRIM(TEXTSPLIT(CM13,","))&amp;",",","&amp;SUBSTITUTE(input_enews_audience," ","")&amp;",")))=COUNTA(TEXTSPLIT(CM13,",")))))</f>
        <v/>
      </c>
      <c r="JB13" s="19">
        <f>AND(IF(CO13="",TRUE,IF(input_event_location="",FALSE,SUMPRODUCT(--ISNUMBER(SEARCH(","&amp;TRIM(TEXTSPLIT(CO13,","))&amp;",",","&amp;SUBSTITUTE(input_event_location," ","")&amp;",")))&gt;0)),IF(CQ13="",TRUE,IF(input_event_location="",FALSE,SUMPRODUCT(--ISNUMBER(SEARCH(","&amp;TRIM(TEXTSPLIT(CQ13,","))&amp;",",","&amp;SUBSTITUTE(input_event_location," ","")&amp;",")))=COUNTA(TEXTSPLIT(CQ13,",")))),IF(CS13="",TRUE,IF(input_event_location="",TRUE,SUMPRODUCT(--ISNUMBER(SEARCH(","&amp;TRIM(TEXTSPLIT(CS13,","))&amp;",",","&amp;SUBSTITUTE(input_event_location," ","")&amp;",")))=0)),IF(CU13="",TRUE,IF(input_event_location="",FALSE,SUMPRODUCT(--ISNUMBER(SEARCH(","&amp;TRIM(TEXTSPLIT(CU13,","))&amp;",",","&amp;SUBSTITUTE(input_event_location," ","")&amp;",")))&gt;0)),IF(CW13="",TRUE,IF(input_event_location="",FALSE,SUMPRODUCT(--ISNUMBER(SEARCH(","&amp;TRIM(TEXTSPLIT(CW13,","))&amp;",",","&amp;SUBSTITUTE(input_event_location," ","")&amp;",")))=COUNTA(TEXTSPLIT(CW13,",")))))</f>
        <v/>
      </c>
      <c r="JC13" s="19">
        <f>AND(IF(CY13="",TRUE,IF(input_event_type="",FALSE,SUMPRODUCT(--ISNUMBER(SEARCH(","&amp;TRIM(TEXTSPLIT(CY13,","))&amp;",",","&amp;SUBSTITUTE(input_event_type," ","")&amp;",")))&gt;0)),IF(DA13="",TRUE,IF(input_event_type="",FALSE,SUMPRODUCT(--ISNUMBER(SEARCH(","&amp;TRIM(TEXTSPLIT(DA13,","))&amp;",",","&amp;SUBSTITUTE(input_event_type," ","")&amp;",")))=COUNTA(TEXTSPLIT(DA13,",")))),IF(DC13="",TRUE,IF(input_event_type="",TRUE,SUMPRODUCT(--ISNUMBER(SEARCH(","&amp;TRIM(TEXTSPLIT(DC13,","))&amp;",",","&amp;SUBSTITUTE(input_event_type," ","")&amp;",")))=0)),IF(DE13="",TRUE,IF(input_event_type="",FALSE,SUMPRODUCT(--ISNUMBER(SEARCH(","&amp;TRIM(TEXTSPLIT(DE13,","))&amp;",",","&amp;SUBSTITUTE(input_event_type," ","")&amp;",")))&gt;0)),IF(DG13="",TRUE,IF(input_event_type="",FALSE,SUMPRODUCT(--ISNUMBER(SEARCH(","&amp;TRIM(TEXTSPLIT(DG13,","))&amp;",",","&amp;SUBSTITUTE(input_event_type," ","")&amp;",")))=COUNTA(TEXTSPLIT(DG13,",")))))</f>
        <v/>
      </c>
      <c r="JD13" s="19">
        <f>AND(IF(DI13="",TRUE,IF(input_executive_education_focus="",FALSE,SUMPRODUCT(--ISNUMBER(SEARCH(","&amp;TRIM(TEXTSPLIT(DI13,","))&amp;",",","&amp;SUBSTITUTE(input_executive_education_focus," ","")&amp;",")))&gt;0)),IF(DK13="",TRUE,IF(input_executive_education_focus="",FALSE,SUMPRODUCT(--ISNUMBER(SEARCH(","&amp;TRIM(TEXTSPLIT(DK13,","))&amp;",",","&amp;SUBSTITUTE(input_executive_education_focus," ","")&amp;",")))=COUNTA(TEXTSPLIT(DK13,",")))),IF(DM13="",TRUE,IF(input_executive_education_focus="",TRUE,SUMPRODUCT(--ISNUMBER(SEARCH(","&amp;TRIM(TEXTSPLIT(DM13,","))&amp;",",","&amp;SUBSTITUTE(input_executive_education_focus," ","")&amp;",")))=0)),IF(DO13="",TRUE,IF(input_executive_education_focus="",FALSE,SUMPRODUCT(--ISNUMBER(SEARCH(","&amp;TRIM(TEXTSPLIT(DO13,","))&amp;",",","&amp;SUBSTITUTE(input_executive_education_focus," ","")&amp;",")))&gt;0)),IF(DQ13="",TRUE,IF(input_executive_education_focus="",FALSE,SUMPRODUCT(--ISNUMBER(SEARCH(","&amp;TRIM(TEXTSPLIT(DQ13,","))&amp;",",","&amp;SUBSTITUTE(input_executive_education_focus," ","")&amp;",")))=COUNTA(TEXTSPLIT(DQ13,",")))))</f>
        <v/>
      </c>
      <c r="JE13" s="19">
        <f>AND(IF(DS13="",TRUE,IF(input_faculty_category="",FALSE,SUMPRODUCT(--ISNUMBER(SEARCH(","&amp;TRIM(TEXTSPLIT(DS13,","))&amp;",",","&amp;SUBSTITUTE(input_faculty_category," ","")&amp;",")))&gt;0)),IF(DU13="",TRUE,IF(input_faculty_category="",FALSE,SUMPRODUCT(--ISNUMBER(SEARCH(","&amp;TRIM(TEXTSPLIT(DU13,","))&amp;",",","&amp;SUBSTITUTE(input_faculty_category," ","")&amp;",")))=COUNTA(TEXTSPLIT(DU13,",")))),IF(DW13="",TRUE,IF(input_faculty_category="",TRUE,SUMPRODUCT(--ISNUMBER(SEARCH(","&amp;TRIM(TEXTSPLIT(DW13,","))&amp;",",","&amp;SUBSTITUTE(input_faculty_category," ","")&amp;",")))=0)),IF(DY13="",TRUE,IF(input_faculty_category="",FALSE,SUMPRODUCT(--ISNUMBER(SEARCH(","&amp;TRIM(TEXTSPLIT(DY13,","))&amp;",",","&amp;SUBSTITUTE(input_faculty_category," ","")&amp;",")))&gt;0)),IF(EA13="",TRUE,IF(input_faculty_category="",FALSE,SUMPRODUCT(--ISNUMBER(SEARCH(","&amp;TRIM(TEXTSPLIT(EA13,","))&amp;",",","&amp;SUBSTITUTE(input_faculty_category," ","")&amp;",")))=COUNTA(TEXTSPLIT(EA13,",")))))</f>
        <v/>
      </c>
      <c r="JF13" s="19">
        <f>AND(IF(EC13="",TRUE,IF(input_faculty_discipline="",FALSE,SUMPRODUCT(--ISNUMBER(SEARCH(","&amp;TRIM(TEXTSPLIT(EC13,","))&amp;",",","&amp;SUBSTITUTE(input_faculty_discipline," ","")&amp;",")))&gt;0)),IF(EE13="",TRUE,IF(input_faculty_discipline="",FALSE,SUMPRODUCT(--ISNUMBER(SEARCH(","&amp;TRIM(TEXTSPLIT(EE13,","))&amp;",",","&amp;SUBSTITUTE(input_faculty_discipline," ","")&amp;",")))=COUNTA(TEXTSPLIT(EE13,",")))),IF(EG13="",TRUE,IF(input_faculty_discipline="",TRUE,SUMPRODUCT(--ISNUMBER(SEARCH(","&amp;TRIM(TEXTSPLIT(EG13,","))&amp;",",","&amp;SUBSTITUTE(input_faculty_discipline," ","")&amp;",")))=0)),IF(EI13="",TRUE,IF(input_faculty_discipline="",FALSE,SUMPRODUCT(--ISNUMBER(SEARCH(","&amp;TRIM(TEXTSPLIT(EI13,","))&amp;",",","&amp;SUBSTITUTE(input_faculty_discipline," ","")&amp;",")))&gt;0)),IF(EK13="",TRUE,IF(input_faculty_discipline="",FALSE,SUMPRODUCT(--ISNUMBER(SEARCH(","&amp;TRIM(TEXTSPLIT(EK13,","))&amp;",",","&amp;SUBSTITUTE(input_faculty_discipline," ","")&amp;",")))=COUNTA(TEXTSPLIT(EK13,",")))))</f>
        <v/>
      </c>
      <c r="JG13" s="19">
        <f>AND(IF(EM13="",TRUE,IF(input_faculty_expertise="",FALSE,SUMPRODUCT(--ISNUMBER(SEARCH(","&amp;TRIM(TEXTSPLIT(EM13,","))&amp;",",","&amp;SUBSTITUTE(input_faculty_expertise," ","")&amp;",")))&gt;0)),IF(EO13="",TRUE,IF(input_faculty_expertise="",FALSE,SUMPRODUCT(--ISNUMBER(SEARCH(","&amp;TRIM(TEXTSPLIT(EO13,","))&amp;",",","&amp;SUBSTITUTE(input_faculty_expertise," ","")&amp;",")))=COUNTA(TEXTSPLIT(EO13,",")))),IF(EQ13="",TRUE,IF(input_faculty_expertise="",TRUE,SUMPRODUCT(--ISNUMBER(SEARCH(","&amp;TRIM(TEXTSPLIT(EQ13,","))&amp;",",","&amp;SUBSTITUTE(input_faculty_expertise," ","")&amp;",")))=0)),IF(ES13="",TRUE,IF(input_faculty_expertise="",FALSE,SUMPRODUCT(--ISNUMBER(SEARCH(","&amp;TRIM(TEXTSPLIT(ES13,","))&amp;",",","&amp;SUBSTITUTE(input_faculty_expertise," ","")&amp;",")))&gt;0)),IF(EU13="",TRUE,IF(input_faculty_expertise="",FALSE,SUMPRODUCT(--ISNUMBER(SEARCH(","&amp;TRIM(TEXTSPLIT(EU13,","))&amp;",",","&amp;SUBSTITUTE(input_faculty_expertise," ","")&amp;",")))=COUNTA(TEXTSPLIT(EU13,",")))))</f>
        <v/>
      </c>
      <c r="JH13" s="19">
        <f>AND(IF(EW13="",TRUE,IF(input_global_network_school="",FALSE,SUMPRODUCT(--ISNUMBER(SEARCH(","&amp;TRIM(TEXTSPLIT(EW13,","))&amp;",",","&amp;SUBSTITUTE(input_global_network_school," ","")&amp;",")))&gt;0)),IF(EY13="",TRUE,IF(input_global_network_school="",FALSE,SUMPRODUCT(--ISNUMBER(SEARCH(","&amp;TRIM(TEXTSPLIT(EY13,","))&amp;",",","&amp;SUBSTITUTE(input_global_network_school," ","")&amp;",")))=COUNTA(TEXTSPLIT(EY13,",")))),IF(FA13="",TRUE,IF(input_global_network_school="",TRUE,SUMPRODUCT(--ISNUMBER(SEARCH(","&amp;TRIM(TEXTSPLIT(FA13,","))&amp;",",","&amp;SUBSTITUTE(input_global_network_school," ","")&amp;",")))=0)),IF(FC13="",TRUE,IF(input_global_network_school="",FALSE,SUMPRODUCT(--ISNUMBER(SEARCH(","&amp;TRIM(TEXTSPLIT(FC13,","))&amp;",",","&amp;SUBSTITUTE(input_global_network_school," ","")&amp;",")))&gt;0)),IF(FE13="",TRUE,IF(input_global_network_school="",FALSE,SUMPRODUCT(--ISNUMBER(SEARCH(","&amp;TRIM(TEXTSPLIT(FE13,","))&amp;",",","&amp;SUBSTITUTE(input_global_network_school," ","")&amp;",")))=COUNTA(TEXTSPLIT(FE13,",")))))</f>
        <v/>
      </c>
      <c r="JI13" s="19">
        <f>AND(IF(FG13="",TRUE,IF(input_industry="",FALSE,SUMPRODUCT(--ISNUMBER(SEARCH(","&amp;TRIM(TEXTSPLIT(FG13,","))&amp;",",","&amp;SUBSTITUTE(input_industry," ","")&amp;",")))&gt;0)),IF(FI13="",TRUE,IF(input_industry="",FALSE,SUMPRODUCT(--ISNUMBER(SEARCH(","&amp;TRIM(TEXTSPLIT(FI13,","))&amp;",",","&amp;SUBSTITUTE(input_industry," ","")&amp;",")))=COUNTA(TEXTSPLIT(FI13,",")))),IF(FK13="",TRUE,IF(input_industry="",TRUE,SUMPRODUCT(--ISNUMBER(SEARCH(","&amp;TRIM(TEXTSPLIT(FK13,","))&amp;",",","&amp;SUBSTITUTE(input_industry," ","")&amp;",")))=0)),IF(FM13="",TRUE,IF(input_industry="",FALSE,SUMPRODUCT(--ISNUMBER(SEARCH(","&amp;TRIM(TEXTSPLIT(FM13,","))&amp;",",","&amp;SUBSTITUTE(input_industry," ","")&amp;",")))&gt;0)),IF(FO13="",TRUE,IF(input_industry="",FALSE,SUMPRODUCT(--ISNUMBER(SEARCH(","&amp;TRIM(TEXTSPLIT(FO13,","))&amp;",",","&amp;SUBSTITUTE(input_industry," ","")&amp;",")))=COUNTA(TEXTSPLIT(FO13,",")))))</f>
        <v/>
      </c>
      <c r="JJ13" s="19">
        <f>AND(IF(FQ13="",TRUE,IF(input_location="",FALSE,SUMPRODUCT(--ISNUMBER(SEARCH(","&amp;TRIM(TEXTSPLIT(FQ13,","))&amp;",",","&amp;SUBSTITUTE(input_location," ","")&amp;",")))&gt;0)),IF(FS13="",TRUE,IF(input_location="",FALSE,SUMPRODUCT(--ISNUMBER(SEARCH(","&amp;TRIM(TEXTSPLIT(FS13,","))&amp;",",","&amp;SUBSTITUTE(input_location," ","")&amp;",")))=COUNTA(TEXTSPLIT(FS13,",")))),IF(FU13="",TRUE,IF(input_location="",TRUE,SUMPRODUCT(--ISNUMBER(SEARCH(","&amp;TRIM(TEXTSPLIT(FU13,","))&amp;",",","&amp;SUBSTITUTE(input_location," ","")&amp;",")))=0)),IF(FW13="",TRUE,IF(input_location="",FALSE,SUMPRODUCT(--ISNUMBER(SEARCH(","&amp;TRIM(TEXTSPLIT(FW13,","))&amp;",",","&amp;SUBSTITUTE(input_location," ","")&amp;",")))&gt;0)),IF(FY13="",TRUE,IF(input_location="",FALSE,SUMPRODUCT(--ISNUMBER(SEARCH(","&amp;TRIM(TEXTSPLIT(FY13,","))&amp;",",","&amp;SUBSTITUTE(input_location," ","")&amp;",")))=COUNTA(TEXTSPLIT(FY13,",")))))</f>
        <v/>
      </c>
      <c r="JK13" s="19">
        <f>AND(IF(GA13="",TRUE,IF(input_modality="",FALSE,SUMPRODUCT(--ISNUMBER(SEARCH(","&amp;TRIM(TEXTSPLIT(GA13,","))&amp;",",","&amp;SUBSTITUTE(input_modality," ","")&amp;",")))&gt;0)),IF(GC13="",TRUE,IF(input_modality="",FALSE,SUMPRODUCT(--ISNUMBER(SEARCH(","&amp;TRIM(TEXTSPLIT(GC13,","))&amp;",",","&amp;SUBSTITUTE(input_modality," ","")&amp;",")))=COUNTA(TEXTSPLIT(GC13,",")))),IF(GE13="",TRUE,IF(input_modality="",TRUE,SUMPRODUCT(--ISNUMBER(SEARCH(","&amp;TRIM(TEXTSPLIT(GE13,","))&amp;",",","&amp;SUBSTITUTE(input_modality," ","")&amp;",")))=0)),IF(GG13="",TRUE,IF(input_modality="",FALSE,SUMPRODUCT(--ISNUMBER(SEARCH(","&amp;TRIM(TEXTSPLIT(GG13,","))&amp;",",","&amp;SUBSTITUTE(input_modality," ","")&amp;",")))&gt;0)),IF(GI13="",TRUE,IF(input_modality="",FALSE,SUMPRODUCT(--ISNUMBER(SEARCH(","&amp;TRIM(TEXTSPLIT(GI13,","))&amp;",",","&amp;SUBSTITUTE(input_modality," ","")&amp;",")))=COUNTA(TEXTSPLIT(GI13,",")))))</f>
        <v/>
      </c>
      <c r="JL13" s="19">
        <f>AND(IF(GK13="",TRUE,IF(input_organizer="",FALSE,SUMPRODUCT(--ISNUMBER(SEARCH(","&amp;TRIM(TEXTSPLIT(GK13,","))&amp;",",","&amp;SUBSTITUTE(input_organizer," ","")&amp;",")))&gt;0)),IF(GM13="",TRUE,IF(input_organizer="",FALSE,SUMPRODUCT(--ISNUMBER(SEARCH(","&amp;TRIM(TEXTSPLIT(GM13,","))&amp;",",","&amp;SUBSTITUTE(input_organizer," ","")&amp;",")))=COUNTA(TEXTSPLIT(GM13,",")))),IF(GO13="",TRUE,IF(input_organizer="",TRUE,SUMPRODUCT(--ISNUMBER(SEARCH(","&amp;TRIM(TEXTSPLIT(GO13,","))&amp;",",","&amp;SUBSTITUTE(input_organizer," ","")&amp;",")))=0)),IF(GQ13="",TRUE,IF(input_organizer="",FALSE,SUMPRODUCT(--ISNUMBER(SEARCH(","&amp;TRIM(TEXTSPLIT(GQ13,","))&amp;",",","&amp;SUBSTITUTE(input_organizer," ","")&amp;",")))&gt;0)),IF(GS13="",TRUE,IF(input_organizer="",FALSE,SUMPRODUCT(--ISNUMBER(SEARCH(","&amp;TRIM(TEXTSPLIT(GS13,","))&amp;",",","&amp;SUBSTITUTE(input_organizer," ","")&amp;",")))=COUNTA(TEXTSPLIT(GS13,",")))))</f>
        <v/>
      </c>
      <c r="JM13" s="19">
        <f>AND(IF(GU13="",TRUE,IF(input_profile_type="",FALSE,SUMPRODUCT(--ISNUMBER(SEARCH(","&amp;TRIM(TEXTSPLIT(GU13,","))&amp;",",","&amp;SUBSTITUTE(input_profile_type," ","")&amp;",")))&gt;0)),IF(GW13="",TRUE,IF(input_profile_type="",FALSE,SUMPRODUCT(--ISNUMBER(SEARCH(","&amp;TRIM(TEXTSPLIT(GW13,","))&amp;",",","&amp;SUBSTITUTE(input_profile_type," ","")&amp;",")))=COUNTA(TEXTSPLIT(GW13,",")))),IF(GY13="",TRUE,IF(input_profile_type="",TRUE,SUMPRODUCT(--ISNUMBER(SEARCH(","&amp;TRIM(TEXTSPLIT(GY13,","))&amp;",",","&amp;SUBSTITUTE(input_profile_type," ","")&amp;",")))=0)),IF(HA13="",TRUE,IF(input_profile_type="",FALSE,SUMPRODUCT(--ISNUMBER(SEARCH(","&amp;TRIM(TEXTSPLIT(HA13,","))&amp;",",","&amp;SUBSTITUTE(input_profile_type," ","")&amp;",")))&gt;0)),IF(HC13="",TRUE,IF(input_profile_type="",FALSE,SUMPRODUCT(--ISNUMBER(SEARCH(","&amp;TRIM(TEXTSPLIT(HC13,","))&amp;",",","&amp;SUBSTITUTE(input_profile_type," ","")&amp;",")))=COUNTA(TEXTSPLIT(HC13,",")))))</f>
        <v/>
      </c>
      <c r="JN13" s="19">
        <f>AND(IF(HE13="",TRUE,IF(input_program="",FALSE,SUMPRODUCT(--ISNUMBER(SEARCH(","&amp;TRIM(TEXTSPLIT(HE13,","))&amp;",",","&amp;SUBSTITUTE(input_program," ","")&amp;",")))&gt;0)),IF(HG13="",TRUE,IF(input_program="",FALSE,SUMPRODUCT(--ISNUMBER(SEARCH(","&amp;TRIM(TEXTSPLIT(HG13,","))&amp;",",","&amp;SUBSTITUTE(input_program," ","")&amp;",")))=COUNTA(TEXTSPLIT(HG13,",")))),IF(HI13="",TRUE,IF(input_program="",TRUE,SUMPRODUCT(--ISNUMBER(SEARCH(","&amp;TRIM(TEXTSPLIT(HI13,","))&amp;",",","&amp;SUBSTITUTE(input_program," ","")&amp;",")))=0)),IF(HK13="",TRUE,IF(input_program="",FALSE,SUMPRODUCT(--ISNUMBER(SEARCH(","&amp;TRIM(TEXTSPLIT(HK13,","))&amp;",",","&amp;SUBSTITUTE(input_program," ","")&amp;",")))&gt;0)),IF(HM13="",TRUE,IF(input_program="",FALSE,SUMPRODUCT(--ISNUMBER(SEARCH(","&amp;TRIM(TEXTSPLIT(HM13,","))&amp;",",","&amp;SUBSTITUTE(input_program," ","")&amp;",")))=COUNTA(TEXTSPLIT(HM13,",")))))</f>
        <v/>
      </c>
      <c r="JO13" s="19">
        <f>AND(IF(HO13="",TRUE,IF(input_story_categories="",FALSE,SUMPRODUCT(--ISNUMBER(SEARCH(","&amp;TRIM(TEXTSPLIT(HO13,","))&amp;",",","&amp;SUBSTITUTE(input_story_categories," ","")&amp;",")))&gt;0)),IF(HQ13="",TRUE,IF(input_story_categories="",FALSE,SUMPRODUCT(--ISNUMBER(SEARCH(","&amp;TRIM(TEXTSPLIT(HQ13,","))&amp;",",","&amp;SUBSTITUTE(input_story_categories," ","")&amp;",")))=COUNTA(TEXTSPLIT(HQ13,",")))),IF(HS13="",TRUE,IF(input_story_categories="",TRUE,SUMPRODUCT(--ISNUMBER(SEARCH(","&amp;TRIM(TEXTSPLIT(HS13,","))&amp;",",","&amp;SUBSTITUTE(input_story_categories," ","")&amp;",")))=0)),IF(HU13="",TRUE,IF(input_story_categories="",FALSE,SUMPRODUCT(--ISNUMBER(SEARCH(","&amp;TRIM(TEXTSPLIT(HU13,","))&amp;",",","&amp;SUBSTITUTE(input_story_categories," ","")&amp;",")))&gt;0)),IF(HW13="",TRUE,IF(input_story_categories="",FALSE,SUMPRODUCT(--ISNUMBER(SEARCH(","&amp;TRIM(TEXTSPLIT(HW13,","))&amp;",",","&amp;SUBSTITUTE(input_story_categories," ","")&amp;",")))=COUNTA(TEXTSPLIT(HW13,",")))))</f>
        <v/>
      </c>
      <c r="JP13" s="19">
        <f>AND(IF(HY13="",TRUE,IF(input_story_type="",FALSE,SUMPRODUCT(--ISNUMBER(SEARCH(","&amp;TRIM(TEXTSPLIT(HY13,","))&amp;",",","&amp;SUBSTITUTE(input_story_type," ","")&amp;",")))&gt;0)),IF(IA13="",TRUE,IF(input_story_type="",FALSE,SUMPRODUCT(--ISNUMBER(SEARCH(","&amp;TRIM(TEXTSPLIT(IA13,","))&amp;",",","&amp;SUBSTITUTE(input_story_type," ","")&amp;",")))=COUNTA(TEXTSPLIT(IA13,",")))),IF(IC13="",TRUE,IF(input_story_type="",TRUE,SUMPRODUCT(--ISNUMBER(SEARCH(","&amp;TRIM(TEXTSPLIT(IC13,","))&amp;",",","&amp;SUBSTITUTE(input_story_type," ","")&amp;",")))=0)),IF(IE13="",TRUE,IF(input_story_type="",FALSE,SUMPRODUCT(--ISNUMBER(SEARCH(","&amp;TRIM(TEXTSPLIT(IE13,","))&amp;",",","&amp;SUBSTITUTE(input_story_type," ","")&amp;",")))&gt;0)),IF(IG13="",TRUE,IF(input_story_type="",FALSE,SUMPRODUCT(--ISNUMBER(SEARCH(","&amp;TRIM(TEXTSPLIT(IG13,","))&amp;",",","&amp;SUBSTITUTE(input_story_type," ","")&amp;",")))=COUNTA(TEXTSPLIT(IG13,",")))))</f>
        <v/>
      </c>
      <c r="JQ13" s="19">
        <f>AND(IF(II13="",TRUE,IF(input_topics="",FALSE,SUMPRODUCT(--ISNUMBER(SEARCH(","&amp;TRIM(TEXTSPLIT(II13,","))&amp;",",","&amp;SUBSTITUTE(input_topics," ","")&amp;",")))&gt;0)),IF(IK13="",TRUE,IF(input_topics="",FALSE,SUMPRODUCT(--ISNUMBER(SEARCH(","&amp;TRIM(TEXTSPLIT(IK13,","))&amp;",",","&amp;SUBSTITUTE(input_topics," ","")&amp;",")))=COUNTA(TEXTSPLIT(IK13,",")))),IF(IM13="",TRUE,IF(input_topics="",TRUE,SUMPRODUCT(--ISNUMBER(SEARCH(","&amp;TRIM(TEXTSPLIT(IM13,","))&amp;",",","&amp;SUBSTITUTE(input_topics," ","")&amp;",")))=0)),IF(IO13="",TRUE,IF(input_topics="",FALSE,SUMPRODUCT(--ISNUMBER(SEARCH(","&amp;TRIM(TEXTSPLIT(IO13,","))&amp;",",","&amp;SUBSTITUTE(input_topics," ","")&amp;",")))&gt;0)),IF(IQ13="",TRUE,IF(input_topics="",FALSE,SUMPRODUCT(--ISNUMBER(SEARCH(","&amp;TRIM(TEXTSPLIT(IQ13,","))&amp;",",","&amp;SUBSTITUTE(input_topics," ","")&amp;",")))=COUNTA(TEXTSPLIT(IQ13,",")))))</f>
        <v/>
      </c>
    </row>
    <row r="14">
      <c r="A14" s="24">
        <f>IF(NOT(IS14),"Excluded",IF(AND(IT14,IU14,IV14,IW14,IX14,IY14,IZ14,JA14,JB14,JC14,JD14,JE14,JF14,JG14,JH14,JI14,JJ14,JK14,JL14,JM14,JN14,JO14,JP14,JQ14),IF(I14&gt;0,"Eligible but limited","Will appear"),"Excluded"))</f>
        <v/>
      </c>
      <c r="B14" s="24" t="inlineStr">
        <is>
          <t>All news</t>
        </is>
      </c>
      <c r="C14" s="27" t="inlineStr">
        <is>
          <t>/centers/chief-executive-leadership-institute</t>
        </is>
      </c>
      <c r="D14" s="24" t="inlineStr">
        <is>
          <t>/centers/chief-executive-leadership-institute</t>
        </is>
      </c>
      <c r="E14" s="24" t="n">
        <v>1</v>
      </c>
      <c r="F14" s="24" t="inlineStr">
        <is>
          <t>story</t>
        </is>
      </c>
      <c r="G14" s="24" t="inlineStr">
        <is>
          <t>stories_grid_with_images</t>
        </is>
      </c>
      <c r="H14" s="24" t="inlineStr">
        <is>
          <t>embed_news</t>
        </is>
      </c>
      <c r="I14" s="24" t="n">
        <v>3</v>
      </c>
      <c r="J14" s="29" t="inlineStr">
        <is>
          <t>Section inferred</t>
        </is>
      </c>
      <c r="K14" s="24" t="inlineStr">
        <is>
          <t>Page placement</t>
        </is>
      </c>
      <c r="L14" s="24" t="inlineStr">
        <is>
          <t>Content type: story; Context uses Courses Context: Chief Executive Leadership Institute (925); Needs any Story Type: News (924); Limited to 3 item(s); Source: Section inferred</t>
        </is>
      </c>
      <c r="BQ14" s="19" t="inlineStr">
        <is>
          <t>925</t>
        </is>
      </c>
      <c r="BR14" s="19" t="inlineStr">
        <is>
          <t>Chief Executive Leadership Institute (925)</t>
        </is>
      </c>
      <c r="HY14" s="19" t="inlineStr">
        <is>
          <t>924</t>
        </is>
      </c>
      <c r="HZ14" s="19" t="inlineStr">
        <is>
          <t>News (924)</t>
        </is>
      </c>
      <c r="IS14" s="19">
        <f>IF(input_content_type="",FALSE,ISNUMBER(SEARCH(","&amp;LOWER(input_content_type)&amp;",",","&amp;LOWER(SUBSTITUTE(F14," ",""))&amp;",")))</f>
        <v/>
      </c>
      <c r="IT14" s="19">
        <f>AND(IF(M14="",TRUE,IF(input_affiliations="",FALSE,SUMPRODUCT(--ISNUMBER(SEARCH(","&amp;TRIM(TEXTSPLIT(M14,","))&amp;",",","&amp;SUBSTITUTE(input_affiliations," ","")&amp;",")))&gt;0)),IF(O14="",TRUE,IF(input_affiliations="",FALSE,SUMPRODUCT(--ISNUMBER(SEARCH(","&amp;TRIM(TEXTSPLIT(O14,","))&amp;",",","&amp;SUBSTITUTE(input_affiliations," ","")&amp;",")))=COUNTA(TEXTSPLIT(O14,",")))),IF(Q14="",TRUE,IF(input_affiliations="",TRUE,SUMPRODUCT(--ISNUMBER(SEARCH(","&amp;TRIM(TEXTSPLIT(Q14,","))&amp;",",","&amp;SUBSTITUTE(input_affiliations," ","")&amp;",")))=0)),IF(S14="",TRUE,IF(input_affiliations="",FALSE,SUMPRODUCT(--ISNUMBER(SEARCH(","&amp;TRIM(TEXTSPLIT(S14,","))&amp;",",","&amp;SUBSTITUTE(input_affiliations," ","")&amp;",")))&gt;0)),IF(U14="",TRUE,IF(input_affiliations="",FALSE,SUMPRODUCT(--ISNUMBER(SEARCH(","&amp;TRIM(TEXTSPLIT(U14,","))&amp;",",","&amp;SUBSTITUTE(input_affiliations," ","")&amp;",")))=COUNTA(TEXTSPLIT(U14,",")))))</f>
        <v/>
      </c>
      <c r="IU14" s="19">
        <f>AND(IF(W14="",TRUE,IF(input_announcement_category="",FALSE,SUMPRODUCT(--ISNUMBER(SEARCH(","&amp;TRIM(TEXTSPLIT(W14,","))&amp;",",","&amp;SUBSTITUTE(input_announcement_category," ","")&amp;",")))&gt;0)),IF(Y14="",TRUE,IF(input_announcement_category="",FALSE,SUMPRODUCT(--ISNUMBER(SEARCH(","&amp;TRIM(TEXTSPLIT(Y14,","))&amp;",",","&amp;SUBSTITUTE(input_announcement_category," ","")&amp;",")))=COUNTA(TEXTSPLIT(Y14,",")))),IF(AA14="",TRUE,IF(input_announcement_category="",TRUE,SUMPRODUCT(--ISNUMBER(SEARCH(","&amp;TRIM(TEXTSPLIT(AA14,","))&amp;",",","&amp;SUBSTITUTE(input_announcement_category," ","")&amp;",")))=0)),IF(AC14="",TRUE,IF(input_announcement_category="",FALSE,SUMPRODUCT(--ISNUMBER(SEARCH(","&amp;TRIM(TEXTSPLIT(AC14,","))&amp;",",","&amp;SUBSTITUTE(input_announcement_category," ","")&amp;",")))&gt;0)),IF(AE14="",TRUE,IF(input_announcement_category="",FALSE,SUMPRODUCT(--ISNUMBER(SEARCH(","&amp;TRIM(TEXTSPLIT(AE14,","))&amp;",",","&amp;SUBSTITUTE(input_announcement_category," ","")&amp;",")))=COUNTA(TEXTSPLIT(AE14,",")))))</f>
        <v/>
      </c>
      <c r="IV14" s="19">
        <f>AND(IF(AG14="",TRUE,IF(input_area_of_focus="",FALSE,SUMPRODUCT(--ISNUMBER(SEARCH(","&amp;TRIM(TEXTSPLIT(AG14,","))&amp;",",","&amp;SUBSTITUTE(input_area_of_focus," ","")&amp;",")))&gt;0)),IF(AI14="",TRUE,IF(input_area_of_focus="",FALSE,SUMPRODUCT(--ISNUMBER(SEARCH(","&amp;TRIM(TEXTSPLIT(AI14,","))&amp;",",","&amp;SUBSTITUTE(input_area_of_focus," ","")&amp;",")))=COUNTA(TEXTSPLIT(AI14,",")))),IF(AK14="",TRUE,IF(input_area_of_focus="",TRUE,SUMPRODUCT(--ISNUMBER(SEARCH(","&amp;TRIM(TEXTSPLIT(AK14,","))&amp;",",","&amp;SUBSTITUTE(input_area_of_focus," ","")&amp;",")))=0)),IF(AM14="",TRUE,IF(input_area_of_focus="",FALSE,SUMPRODUCT(--ISNUMBER(SEARCH(","&amp;TRIM(TEXTSPLIT(AM14,","))&amp;",",","&amp;SUBSTITUTE(input_area_of_focus," ","")&amp;",")))&gt;0)),IF(AO14="",TRUE,IF(input_area_of_focus="",FALSE,SUMPRODUCT(--ISNUMBER(SEARCH(","&amp;TRIM(TEXTSPLIT(AO14,","))&amp;",",","&amp;SUBSTITUTE(input_area_of_focus," ","")&amp;",")))=COUNTA(TEXTSPLIT(AO14,",")))))</f>
        <v/>
      </c>
      <c r="IW14" s="19">
        <f>AND(IF(AQ14="",TRUE,IF(input_audience="",FALSE,SUMPRODUCT(--ISNUMBER(SEARCH(","&amp;TRIM(TEXTSPLIT(AQ14,","))&amp;",",","&amp;SUBSTITUTE(input_audience," ","")&amp;",")))&gt;0)),IF(AS14="",TRUE,IF(input_audience="",FALSE,SUMPRODUCT(--ISNUMBER(SEARCH(","&amp;TRIM(TEXTSPLIT(AS14,","))&amp;",",","&amp;SUBSTITUTE(input_audience," ","")&amp;",")))=COUNTA(TEXTSPLIT(AS14,",")))),IF(AU14="",TRUE,IF(input_audience="",TRUE,SUMPRODUCT(--ISNUMBER(SEARCH(","&amp;TRIM(TEXTSPLIT(AU14,","))&amp;",",","&amp;SUBSTITUTE(input_audience," ","")&amp;",")))=0)),IF(AW14="",TRUE,IF(input_audience="",FALSE,SUMPRODUCT(--ISNUMBER(SEARCH(","&amp;TRIM(TEXTSPLIT(AW14,","))&amp;",",","&amp;SUBSTITUTE(input_audience," ","")&amp;",")))&gt;0)),IF(AY14="",TRUE,IF(input_audience="",FALSE,SUMPRODUCT(--ISNUMBER(SEARCH(","&amp;TRIM(TEXTSPLIT(AY14,","))&amp;",",","&amp;SUBSTITUTE(input_audience," ","")&amp;",")))=COUNTA(TEXTSPLIT(AY14,",")))))</f>
        <v/>
      </c>
      <c r="IX14" s="19">
        <f>AND(IF(BA14="",TRUE,IF(input_challenge_opportunities="",FALSE,SUMPRODUCT(--ISNUMBER(SEARCH(","&amp;TRIM(TEXTSPLIT(BA14,","))&amp;",",","&amp;SUBSTITUTE(input_challenge_opportunities," ","")&amp;",")))&gt;0)),IF(BC14="",TRUE,IF(input_challenge_opportunities="",FALSE,SUMPRODUCT(--ISNUMBER(SEARCH(","&amp;TRIM(TEXTSPLIT(BC14,","))&amp;",",","&amp;SUBSTITUTE(input_challenge_opportunities," ","")&amp;",")))=COUNTA(TEXTSPLIT(BC14,",")))),IF(BE14="",TRUE,IF(input_challenge_opportunities="",TRUE,SUMPRODUCT(--ISNUMBER(SEARCH(","&amp;TRIM(TEXTSPLIT(BE14,","))&amp;",",","&amp;SUBSTITUTE(input_challenge_opportunities," ","")&amp;",")))=0)),IF(BG14="",TRUE,IF(input_challenge_opportunities="",FALSE,SUMPRODUCT(--ISNUMBER(SEARCH(","&amp;TRIM(TEXTSPLIT(BG14,","))&amp;",",","&amp;SUBSTITUTE(input_challenge_opportunities," ","")&amp;",")))&gt;0)),IF(BI14="",TRUE,IF(input_challenge_opportunities="",FALSE,SUMPRODUCT(--ISNUMBER(SEARCH(","&amp;TRIM(TEXTSPLIT(BI14,","))&amp;",",","&amp;SUBSTITUTE(input_challenge_opportunities," ","")&amp;",")))=COUNTA(TEXTSPLIT(BI14,",")))))</f>
        <v/>
      </c>
      <c r="IY14" s="19">
        <f>AND(IF(BK14="",TRUE,IF(input_context="",FALSE,SUMPRODUCT(--ISNUMBER(SEARCH(","&amp;TRIM(TEXTSPLIT(BK14,","))&amp;",",","&amp;SUBSTITUTE(input_context," ","")&amp;",")))&gt;0)),IF(BM14="",TRUE,IF(input_context="",FALSE,SUMPRODUCT(--ISNUMBER(SEARCH(","&amp;TRIM(TEXTSPLIT(BM14,","))&amp;",",","&amp;SUBSTITUTE(input_context," ","")&amp;",")))=COUNTA(TEXTSPLIT(BM14,",")))),IF(BO14="",TRUE,IF(input_context="",TRUE,SUMPRODUCT(--ISNUMBER(SEARCH(","&amp;TRIM(TEXTSPLIT(BO14,","))&amp;",",","&amp;SUBSTITUTE(input_context," ","")&amp;",")))=0)),IF(BQ14="",TRUE,IF(input_context="",FALSE,SUMPRODUCT(--ISNUMBER(SEARCH(","&amp;TRIM(TEXTSPLIT(BQ14,","))&amp;",",","&amp;SUBSTITUTE(input_context," ","")&amp;",")))&gt;0)),IF(BS14="",TRUE,IF(input_context="",FALSE,SUMPRODUCT(--ISNUMBER(SEARCH(","&amp;TRIM(TEXTSPLIT(BS14,","))&amp;",",","&amp;SUBSTITUTE(input_context," ","")&amp;",")))=COUNTA(TEXTSPLIT(BS14,",")))))</f>
        <v/>
      </c>
      <c r="IZ14" s="19">
        <f>AND(IF(BU14="",TRUE,IF(input_enews_announcement_type="",FALSE,SUMPRODUCT(--ISNUMBER(SEARCH(","&amp;TRIM(TEXTSPLIT(BU14,","))&amp;",",","&amp;SUBSTITUTE(input_enews_announcement_type," ","")&amp;",")))&gt;0)),IF(BW14="",TRUE,IF(input_enews_announcement_type="",FALSE,SUMPRODUCT(--ISNUMBER(SEARCH(","&amp;TRIM(TEXTSPLIT(BW14,","))&amp;",",","&amp;SUBSTITUTE(input_enews_announcement_type," ","")&amp;",")))=COUNTA(TEXTSPLIT(BW14,",")))),IF(BY14="",TRUE,IF(input_enews_announcement_type="",TRUE,SUMPRODUCT(--ISNUMBER(SEARCH(","&amp;TRIM(TEXTSPLIT(BY14,","))&amp;",",","&amp;SUBSTITUTE(input_enews_announcement_type," ","")&amp;",")))=0)),IF(CA14="",TRUE,IF(input_enews_announcement_type="",FALSE,SUMPRODUCT(--ISNUMBER(SEARCH(","&amp;TRIM(TEXTSPLIT(CA14,","))&amp;",",","&amp;SUBSTITUTE(input_enews_announcement_type," ","")&amp;",")))&gt;0)),IF(CC14="",TRUE,IF(input_enews_announcement_type="",FALSE,SUMPRODUCT(--ISNUMBER(SEARCH(","&amp;TRIM(TEXTSPLIT(CC14,","))&amp;",",","&amp;SUBSTITUTE(input_enews_announcement_type," ","")&amp;",")))=COUNTA(TEXTSPLIT(CC14,",")))))</f>
        <v/>
      </c>
      <c r="JA14" s="19">
        <f>AND(IF(CE14="",TRUE,IF(input_enews_audience="",FALSE,SUMPRODUCT(--ISNUMBER(SEARCH(","&amp;TRIM(TEXTSPLIT(CE14,","))&amp;",",","&amp;SUBSTITUTE(input_enews_audience," ","")&amp;",")))&gt;0)),IF(CG14="",TRUE,IF(input_enews_audience="",FALSE,SUMPRODUCT(--ISNUMBER(SEARCH(","&amp;TRIM(TEXTSPLIT(CG14,","))&amp;",",","&amp;SUBSTITUTE(input_enews_audience," ","")&amp;",")))=COUNTA(TEXTSPLIT(CG14,",")))),IF(CI14="",TRUE,IF(input_enews_audience="",TRUE,SUMPRODUCT(--ISNUMBER(SEARCH(","&amp;TRIM(TEXTSPLIT(CI14,","))&amp;",",","&amp;SUBSTITUTE(input_enews_audience," ","")&amp;",")))=0)),IF(CK14="",TRUE,IF(input_enews_audience="",FALSE,SUMPRODUCT(--ISNUMBER(SEARCH(","&amp;TRIM(TEXTSPLIT(CK14,","))&amp;",",","&amp;SUBSTITUTE(input_enews_audience," ","")&amp;",")))&gt;0)),IF(CM14="",TRUE,IF(input_enews_audience="",FALSE,SUMPRODUCT(--ISNUMBER(SEARCH(","&amp;TRIM(TEXTSPLIT(CM14,","))&amp;",",","&amp;SUBSTITUTE(input_enews_audience," ","")&amp;",")))=COUNTA(TEXTSPLIT(CM14,",")))))</f>
        <v/>
      </c>
      <c r="JB14" s="19">
        <f>AND(IF(CO14="",TRUE,IF(input_event_location="",FALSE,SUMPRODUCT(--ISNUMBER(SEARCH(","&amp;TRIM(TEXTSPLIT(CO14,","))&amp;",",","&amp;SUBSTITUTE(input_event_location," ","")&amp;",")))&gt;0)),IF(CQ14="",TRUE,IF(input_event_location="",FALSE,SUMPRODUCT(--ISNUMBER(SEARCH(","&amp;TRIM(TEXTSPLIT(CQ14,","))&amp;",",","&amp;SUBSTITUTE(input_event_location," ","")&amp;",")))=COUNTA(TEXTSPLIT(CQ14,",")))),IF(CS14="",TRUE,IF(input_event_location="",TRUE,SUMPRODUCT(--ISNUMBER(SEARCH(","&amp;TRIM(TEXTSPLIT(CS14,","))&amp;",",","&amp;SUBSTITUTE(input_event_location," ","")&amp;",")))=0)),IF(CU14="",TRUE,IF(input_event_location="",FALSE,SUMPRODUCT(--ISNUMBER(SEARCH(","&amp;TRIM(TEXTSPLIT(CU14,","))&amp;",",","&amp;SUBSTITUTE(input_event_location," ","")&amp;",")))&gt;0)),IF(CW14="",TRUE,IF(input_event_location="",FALSE,SUMPRODUCT(--ISNUMBER(SEARCH(","&amp;TRIM(TEXTSPLIT(CW14,","))&amp;",",","&amp;SUBSTITUTE(input_event_location," ","")&amp;",")))=COUNTA(TEXTSPLIT(CW14,",")))))</f>
        <v/>
      </c>
      <c r="JC14" s="19">
        <f>AND(IF(CY14="",TRUE,IF(input_event_type="",FALSE,SUMPRODUCT(--ISNUMBER(SEARCH(","&amp;TRIM(TEXTSPLIT(CY14,","))&amp;",",","&amp;SUBSTITUTE(input_event_type," ","")&amp;",")))&gt;0)),IF(DA14="",TRUE,IF(input_event_type="",FALSE,SUMPRODUCT(--ISNUMBER(SEARCH(","&amp;TRIM(TEXTSPLIT(DA14,","))&amp;",",","&amp;SUBSTITUTE(input_event_type," ","")&amp;",")))=COUNTA(TEXTSPLIT(DA14,",")))),IF(DC14="",TRUE,IF(input_event_type="",TRUE,SUMPRODUCT(--ISNUMBER(SEARCH(","&amp;TRIM(TEXTSPLIT(DC14,","))&amp;",",","&amp;SUBSTITUTE(input_event_type," ","")&amp;",")))=0)),IF(DE14="",TRUE,IF(input_event_type="",FALSE,SUMPRODUCT(--ISNUMBER(SEARCH(","&amp;TRIM(TEXTSPLIT(DE14,","))&amp;",",","&amp;SUBSTITUTE(input_event_type," ","")&amp;",")))&gt;0)),IF(DG14="",TRUE,IF(input_event_type="",FALSE,SUMPRODUCT(--ISNUMBER(SEARCH(","&amp;TRIM(TEXTSPLIT(DG14,","))&amp;",",","&amp;SUBSTITUTE(input_event_type," ","")&amp;",")))=COUNTA(TEXTSPLIT(DG14,",")))))</f>
        <v/>
      </c>
      <c r="JD14" s="19">
        <f>AND(IF(DI14="",TRUE,IF(input_executive_education_focus="",FALSE,SUMPRODUCT(--ISNUMBER(SEARCH(","&amp;TRIM(TEXTSPLIT(DI14,","))&amp;",",","&amp;SUBSTITUTE(input_executive_education_focus," ","")&amp;",")))&gt;0)),IF(DK14="",TRUE,IF(input_executive_education_focus="",FALSE,SUMPRODUCT(--ISNUMBER(SEARCH(","&amp;TRIM(TEXTSPLIT(DK14,","))&amp;",",","&amp;SUBSTITUTE(input_executive_education_focus," ","")&amp;",")))=COUNTA(TEXTSPLIT(DK14,",")))),IF(DM14="",TRUE,IF(input_executive_education_focus="",TRUE,SUMPRODUCT(--ISNUMBER(SEARCH(","&amp;TRIM(TEXTSPLIT(DM14,","))&amp;",",","&amp;SUBSTITUTE(input_executive_education_focus," ","")&amp;",")))=0)),IF(DO14="",TRUE,IF(input_executive_education_focus="",FALSE,SUMPRODUCT(--ISNUMBER(SEARCH(","&amp;TRIM(TEXTSPLIT(DO14,","))&amp;",",","&amp;SUBSTITUTE(input_executive_education_focus," ","")&amp;",")))&gt;0)),IF(DQ14="",TRUE,IF(input_executive_education_focus="",FALSE,SUMPRODUCT(--ISNUMBER(SEARCH(","&amp;TRIM(TEXTSPLIT(DQ14,","))&amp;",",","&amp;SUBSTITUTE(input_executive_education_focus," ","")&amp;",")))=COUNTA(TEXTSPLIT(DQ14,",")))))</f>
        <v/>
      </c>
      <c r="JE14" s="19">
        <f>AND(IF(DS14="",TRUE,IF(input_faculty_category="",FALSE,SUMPRODUCT(--ISNUMBER(SEARCH(","&amp;TRIM(TEXTSPLIT(DS14,","))&amp;",",","&amp;SUBSTITUTE(input_faculty_category," ","")&amp;",")))&gt;0)),IF(DU14="",TRUE,IF(input_faculty_category="",FALSE,SUMPRODUCT(--ISNUMBER(SEARCH(","&amp;TRIM(TEXTSPLIT(DU14,","))&amp;",",","&amp;SUBSTITUTE(input_faculty_category," ","")&amp;",")))=COUNTA(TEXTSPLIT(DU14,",")))),IF(DW14="",TRUE,IF(input_faculty_category="",TRUE,SUMPRODUCT(--ISNUMBER(SEARCH(","&amp;TRIM(TEXTSPLIT(DW14,","))&amp;",",","&amp;SUBSTITUTE(input_faculty_category," ","")&amp;",")))=0)),IF(DY14="",TRUE,IF(input_faculty_category="",FALSE,SUMPRODUCT(--ISNUMBER(SEARCH(","&amp;TRIM(TEXTSPLIT(DY14,","))&amp;",",","&amp;SUBSTITUTE(input_faculty_category," ","")&amp;",")))&gt;0)),IF(EA14="",TRUE,IF(input_faculty_category="",FALSE,SUMPRODUCT(--ISNUMBER(SEARCH(","&amp;TRIM(TEXTSPLIT(EA14,","))&amp;",",","&amp;SUBSTITUTE(input_faculty_category," ","")&amp;",")))=COUNTA(TEXTSPLIT(EA14,",")))))</f>
        <v/>
      </c>
      <c r="JF14" s="19">
        <f>AND(IF(EC14="",TRUE,IF(input_faculty_discipline="",FALSE,SUMPRODUCT(--ISNUMBER(SEARCH(","&amp;TRIM(TEXTSPLIT(EC14,","))&amp;",",","&amp;SUBSTITUTE(input_faculty_discipline," ","")&amp;",")))&gt;0)),IF(EE14="",TRUE,IF(input_faculty_discipline="",FALSE,SUMPRODUCT(--ISNUMBER(SEARCH(","&amp;TRIM(TEXTSPLIT(EE14,","))&amp;",",","&amp;SUBSTITUTE(input_faculty_discipline," ","")&amp;",")))=COUNTA(TEXTSPLIT(EE14,",")))),IF(EG14="",TRUE,IF(input_faculty_discipline="",TRUE,SUMPRODUCT(--ISNUMBER(SEARCH(","&amp;TRIM(TEXTSPLIT(EG14,","))&amp;",",","&amp;SUBSTITUTE(input_faculty_discipline," ","")&amp;",")))=0)),IF(EI14="",TRUE,IF(input_faculty_discipline="",FALSE,SUMPRODUCT(--ISNUMBER(SEARCH(","&amp;TRIM(TEXTSPLIT(EI14,","))&amp;",",","&amp;SUBSTITUTE(input_faculty_discipline," ","")&amp;",")))&gt;0)),IF(EK14="",TRUE,IF(input_faculty_discipline="",FALSE,SUMPRODUCT(--ISNUMBER(SEARCH(","&amp;TRIM(TEXTSPLIT(EK14,","))&amp;",",","&amp;SUBSTITUTE(input_faculty_discipline," ","")&amp;",")))=COUNTA(TEXTSPLIT(EK14,",")))))</f>
        <v/>
      </c>
      <c r="JG14" s="19">
        <f>AND(IF(EM14="",TRUE,IF(input_faculty_expertise="",FALSE,SUMPRODUCT(--ISNUMBER(SEARCH(","&amp;TRIM(TEXTSPLIT(EM14,","))&amp;",",","&amp;SUBSTITUTE(input_faculty_expertise," ","")&amp;",")))&gt;0)),IF(EO14="",TRUE,IF(input_faculty_expertise="",FALSE,SUMPRODUCT(--ISNUMBER(SEARCH(","&amp;TRIM(TEXTSPLIT(EO14,","))&amp;",",","&amp;SUBSTITUTE(input_faculty_expertise," ","")&amp;",")))=COUNTA(TEXTSPLIT(EO14,",")))),IF(EQ14="",TRUE,IF(input_faculty_expertise="",TRUE,SUMPRODUCT(--ISNUMBER(SEARCH(","&amp;TRIM(TEXTSPLIT(EQ14,","))&amp;",",","&amp;SUBSTITUTE(input_faculty_expertise," ","")&amp;",")))=0)),IF(ES14="",TRUE,IF(input_faculty_expertise="",FALSE,SUMPRODUCT(--ISNUMBER(SEARCH(","&amp;TRIM(TEXTSPLIT(ES14,","))&amp;",",","&amp;SUBSTITUTE(input_faculty_expertise," ","")&amp;",")))&gt;0)),IF(EU14="",TRUE,IF(input_faculty_expertise="",FALSE,SUMPRODUCT(--ISNUMBER(SEARCH(","&amp;TRIM(TEXTSPLIT(EU14,","))&amp;",",","&amp;SUBSTITUTE(input_faculty_expertise," ","")&amp;",")))=COUNTA(TEXTSPLIT(EU14,",")))))</f>
        <v/>
      </c>
      <c r="JH14" s="19">
        <f>AND(IF(EW14="",TRUE,IF(input_global_network_school="",FALSE,SUMPRODUCT(--ISNUMBER(SEARCH(","&amp;TRIM(TEXTSPLIT(EW14,","))&amp;",",","&amp;SUBSTITUTE(input_global_network_school," ","")&amp;",")))&gt;0)),IF(EY14="",TRUE,IF(input_global_network_school="",FALSE,SUMPRODUCT(--ISNUMBER(SEARCH(","&amp;TRIM(TEXTSPLIT(EY14,","))&amp;",",","&amp;SUBSTITUTE(input_global_network_school," ","")&amp;",")))=COUNTA(TEXTSPLIT(EY14,",")))),IF(FA14="",TRUE,IF(input_global_network_school="",TRUE,SUMPRODUCT(--ISNUMBER(SEARCH(","&amp;TRIM(TEXTSPLIT(FA14,","))&amp;",",","&amp;SUBSTITUTE(input_global_network_school," ","")&amp;",")))=0)),IF(FC14="",TRUE,IF(input_global_network_school="",FALSE,SUMPRODUCT(--ISNUMBER(SEARCH(","&amp;TRIM(TEXTSPLIT(FC14,","))&amp;",",","&amp;SUBSTITUTE(input_global_network_school," ","")&amp;",")))&gt;0)),IF(FE14="",TRUE,IF(input_global_network_school="",FALSE,SUMPRODUCT(--ISNUMBER(SEARCH(","&amp;TRIM(TEXTSPLIT(FE14,","))&amp;",",","&amp;SUBSTITUTE(input_global_network_school," ","")&amp;",")))=COUNTA(TEXTSPLIT(FE14,",")))))</f>
        <v/>
      </c>
      <c r="JI14" s="19">
        <f>AND(IF(FG14="",TRUE,IF(input_industry="",FALSE,SUMPRODUCT(--ISNUMBER(SEARCH(","&amp;TRIM(TEXTSPLIT(FG14,","))&amp;",",","&amp;SUBSTITUTE(input_industry," ","")&amp;",")))&gt;0)),IF(FI14="",TRUE,IF(input_industry="",FALSE,SUMPRODUCT(--ISNUMBER(SEARCH(","&amp;TRIM(TEXTSPLIT(FI14,","))&amp;",",","&amp;SUBSTITUTE(input_industry," ","")&amp;",")))=COUNTA(TEXTSPLIT(FI14,",")))),IF(FK14="",TRUE,IF(input_industry="",TRUE,SUMPRODUCT(--ISNUMBER(SEARCH(","&amp;TRIM(TEXTSPLIT(FK14,","))&amp;",",","&amp;SUBSTITUTE(input_industry," ","")&amp;",")))=0)),IF(FM14="",TRUE,IF(input_industry="",FALSE,SUMPRODUCT(--ISNUMBER(SEARCH(","&amp;TRIM(TEXTSPLIT(FM14,","))&amp;",",","&amp;SUBSTITUTE(input_industry," ","")&amp;",")))&gt;0)),IF(FO14="",TRUE,IF(input_industry="",FALSE,SUMPRODUCT(--ISNUMBER(SEARCH(","&amp;TRIM(TEXTSPLIT(FO14,","))&amp;",",","&amp;SUBSTITUTE(input_industry," ","")&amp;",")))=COUNTA(TEXTSPLIT(FO14,",")))))</f>
        <v/>
      </c>
      <c r="JJ14" s="19">
        <f>AND(IF(FQ14="",TRUE,IF(input_location="",FALSE,SUMPRODUCT(--ISNUMBER(SEARCH(","&amp;TRIM(TEXTSPLIT(FQ14,","))&amp;",",","&amp;SUBSTITUTE(input_location," ","")&amp;",")))&gt;0)),IF(FS14="",TRUE,IF(input_location="",FALSE,SUMPRODUCT(--ISNUMBER(SEARCH(","&amp;TRIM(TEXTSPLIT(FS14,","))&amp;",",","&amp;SUBSTITUTE(input_location," ","")&amp;",")))=COUNTA(TEXTSPLIT(FS14,",")))),IF(FU14="",TRUE,IF(input_location="",TRUE,SUMPRODUCT(--ISNUMBER(SEARCH(","&amp;TRIM(TEXTSPLIT(FU14,","))&amp;",",","&amp;SUBSTITUTE(input_location," ","")&amp;",")))=0)),IF(FW14="",TRUE,IF(input_location="",FALSE,SUMPRODUCT(--ISNUMBER(SEARCH(","&amp;TRIM(TEXTSPLIT(FW14,","))&amp;",",","&amp;SUBSTITUTE(input_location," ","")&amp;",")))&gt;0)),IF(FY14="",TRUE,IF(input_location="",FALSE,SUMPRODUCT(--ISNUMBER(SEARCH(","&amp;TRIM(TEXTSPLIT(FY14,","))&amp;",",","&amp;SUBSTITUTE(input_location," ","")&amp;",")))=COUNTA(TEXTSPLIT(FY14,",")))))</f>
        <v/>
      </c>
      <c r="JK14" s="19">
        <f>AND(IF(GA14="",TRUE,IF(input_modality="",FALSE,SUMPRODUCT(--ISNUMBER(SEARCH(","&amp;TRIM(TEXTSPLIT(GA14,","))&amp;",",","&amp;SUBSTITUTE(input_modality," ","")&amp;",")))&gt;0)),IF(GC14="",TRUE,IF(input_modality="",FALSE,SUMPRODUCT(--ISNUMBER(SEARCH(","&amp;TRIM(TEXTSPLIT(GC14,","))&amp;",",","&amp;SUBSTITUTE(input_modality," ","")&amp;",")))=COUNTA(TEXTSPLIT(GC14,",")))),IF(GE14="",TRUE,IF(input_modality="",TRUE,SUMPRODUCT(--ISNUMBER(SEARCH(","&amp;TRIM(TEXTSPLIT(GE14,","))&amp;",",","&amp;SUBSTITUTE(input_modality," ","")&amp;",")))=0)),IF(GG14="",TRUE,IF(input_modality="",FALSE,SUMPRODUCT(--ISNUMBER(SEARCH(","&amp;TRIM(TEXTSPLIT(GG14,","))&amp;",",","&amp;SUBSTITUTE(input_modality," ","")&amp;",")))&gt;0)),IF(GI14="",TRUE,IF(input_modality="",FALSE,SUMPRODUCT(--ISNUMBER(SEARCH(","&amp;TRIM(TEXTSPLIT(GI14,","))&amp;",",","&amp;SUBSTITUTE(input_modality," ","")&amp;",")))=COUNTA(TEXTSPLIT(GI14,",")))))</f>
        <v/>
      </c>
      <c r="JL14" s="19">
        <f>AND(IF(GK14="",TRUE,IF(input_organizer="",FALSE,SUMPRODUCT(--ISNUMBER(SEARCH(","&amp;TRIM(TEXTSPLIT(GK14,","))&amp;",",","&amp;SUBSTITUTE(input_organizer," ","")&amp;",")))&gt;0)),IF(GM14="",TRUE,IF(input_organizer="",FALSE,SUMPRODUCT(--ISNUMBER(SEARCH(","&amp;TRIM(TEXTSPLIT(GM14,","))&amp;",",","&amp;SUBSTITUTE(input_organizer," ","")&amp;",")))=COUNTA(TEXTSPLIT(GM14,",")))),IF(GO14="",TRUE,IF(input_organizer="",TRUE,SUMPRODUCT(--ISNUMBER(SEARCH(","&amp;TRIM(TEXTSPLIT(GO14,","))&amp;",",","&amp;SUBSTITUTE(input_organizer," ","")&amp;",")))=0)),IF(GQ14="",TRUE,IF(input_organizer="",FALSE,SUMPRODUCT(--ISNUMBER(SEARCH(","&amp;TRIM(TEXTSPLIT(GQ14,","))&amp;",",","&amp;SUBSTITUTE(input_organizer," ","")&amp;",")))&gt;0)),IF(GS14="",TRUE,IF(input_organizer="",FALSE,SUMPRODUCT(--ISNUMBER(SEARCH(","&amp;TRIM(TEXTSPLIT(GS14,","))&amp;",",","&amp;SUBSTITUTE(input_organizer," ","")&amp;",")))=COUNTA(TEXTSPLIT(GS14,",")))))</f>
        <v/>
      </c>
      <c r="JM14" s="19">
        <f>AND(IF(GU14="",TRUE,IF(input_profile_type="",FALSE,SUMPRODUCT(--ISNUMBER(SEARCH(","&amp;TRIM(TEXTSPLIT(GU14,","))&amp;",",","&amp;SUBSTITUTE(input_profile_type," ","")&amp;",")))&gt;0)),IF(GW14="",TRUE,IF(input_profile_type="",FALSE,SUMPRODUCT(--ISNUMBER(SEARCH(","&amp;TRIM(TEXTSPLIT(GW14,","))&amp;",",","&amp;SUBSTITUTE(input_profile_type," ","")&amp;",")))=COUNTA(TEXTSPLIT(GW14,",")))),IF(GY14="",TRUE,IF(input_profile_type="",TRUE,SUMPRODUCT(--ISNUMBER(SEARCH(","&amp;TRIM(TEXTSPLIT(GY14,","))&amp;",",","&amp;SUBSTITUTE(input_profile_type," ","")&amp;",")))=0)),IF(HA14="",TRUE,IF(input_profile_type="",FALSE,SUMPRODUCT(--ISNUMBER(SEARCH(","&amp;TRIM(TEXTSPLIT(HA14,","))&amp;",",","&amp;SUBSTITUTE(input_profile_type," ","")&amp;",")))&gt;0)),IF(HC14="",TRUE,IF(input_profile_type="",FALSE,SUMPRODUCT(--ISNUMBER(SEARCH(","&amp;TRIM(TEXTSPLIT(HC14,","))&amp;",",","&amp;SUBSTITUTE(input_profile_type," ","")&amp;",")))=COUNTA(TEXTSPLIT(HC14,",")))))</f>
        <v/>
      </c>
      <c r="JN14" s="19">
        <f>AND(IF(HE14="",TRUE,IF(input_program="",FALSE,SUMPRODUCT(--ISNUMBER(SEARCH(","&amp;TRIM(TEXTSPLIT(HE14,","))&amp;",",","&amp;SUBSTITUTE(input_program," ","")&amp;",")))&gt;0)),IF(HG14="",TRUE,IF(input_program="",FALSE,SUMPRODUCT(--ISNUMBER(SEARCH(","&amp;TRIM(TEXTSPLIT(HG14,","))&amp;",",","&amp;SUBSTITUTE(input_program," ","")&amp;",")))=COUNTA(TEXTSPLIT(HG14,",")))),IF(HI14="",TRUE,IF(input_program="",TRUE,SUMPRODUCT(--ISNUMBER(SEARCH(","&amp;TRIM(TEXTSPLIT(HI14,","))&amp;",",","&amp;SUBSTITUTE(input_program," ","")&amp;",")))=0)),IF(HK14="",TRUE,IF(input_program="",FALSE,SUMPRODUCT(--ISNUMBER(SEARCH(","&amp;TRIM(TEXTSPLIT(HK14,","))&amp;",",","&amp;SUBSTITUTE(input_program," ","")&amp;",")))&gt;0)),IF(HM14="",TRUE,IF(input_program="",FALSE,SUMPRODUCT(--ISNUMBER(SEARCH(","&amp;TRIM(TEXTSPLIT(HM14,","))&amp;",",","&amp;SUBSTITUTE(input_program," ","")&amp;",")))=COUNTA(TEXTSPLIT(HM14,",")))))</f>
        <v/>
      </c>
      <c r="JO14" s="19">
        <f>AND(IF(HO14="",TRUE,IF(input_story_categories="",FALSE,SUMPRODUCT(--ISNUMBER(SEARCH(","&amp;TRIM(TEXTSPLIT(HO14,","))&amp;",",","&amp;SUBSTITUTE(input_story_categories," ","")&amp;",")))&gt;0)),IF(HQ14="",TRUE,IF(input_story_categories="",FALSE,SUMPRODUCT(--ISNUMBER(SEARCH(","&amp;TRIM(TEXTSPLIT(HQ14,","))&amp;",",","&amp;SUBSTITUTE(input_story_categories," ","")&amp;",")))=COUNTA(TEXTSPLIT(HQ14,",")))),IF(HS14="",TRUE,IF(input_story_categories="",TRUE,SUMPRODUCT(--ISNUMBER(SEARCH(","&amp;TRIM(TEXTSPLIT(HS14,","))&amp;",",","&amp;SUBSTITUTE(input_story_categories," ","")&amp;",")))=0)),IF(HU14="",TRUE,IF(input_story_categories="",FALSE,SUMPRODUCT(--ISNUMBER(SEARCH(","&amp;TRIM(TEXTSPLIT(HU14,","))&amp;",",","&amp;SUBSTITUTE(input_story_categories," ","")&amp;",")))&gt;0)),IF(HW14="",TRUE,IF(input_story_categories="",FALSE,SUMPRODUCT(--ISNUMBER(SEARCH(","&amp;TRIM(TEXTSPLIT(HW14,","))&amp;",",","&amp;SUBSTITUTE(input_story_categories," ","")&amp;",")))=COUNTA(TEXTSPLIT(HW14,",")))))</f>
        <v/>
      </c>
      <c r="JP14" s="19">
        <f>AND(IF(HY14="",TRUE,IF(input_story_type="",FALSE,SUMPRODUCT(--ISNUMBER(SEARCH(","&amp;TRIM(TEXTSPLIT(HY14,","))&amp;",",","&amp;SUBSTITUTE(input_story_type," ","")&amp;",")))&gt;0)),IF(IA14="",TRUE,IF(input_story_type="",FALSE,SUMPRODUCT(--ISNUMBER(SEARCH(","&amp;TRIM(TEXTSPLIT(IA14,","))&amp;",",","&amp;SUBSTITUTE(input_story_type," ","")&amp;",")))=COUNTA(TEXTSPLIT(IA14,",")))),IF(IC14="",TRUE,IF(input_story_type="",TRUE,SUMPRODUCT(--ISNUMBER(SEARCH(","&amp;TRIM(TEXTSPLIT(IC14,","))&amp;",",","&amp;SUBSTITUTE(input_story_type," ","")&amp;",")))=0)),IF(IE14="",TRUE,IF(input_story_type="",FALSE,SUMPRODUCT(--ISNUMBER(SEARCH(","&amp;TRIM(TEXTSPLIT(IE14,","))&amp;",",","&amp;SUBSTITUTE(input_story_type," ","")&amp;",")))&gt;0)),IF(IG14="",TRUE,IF(input_story_type="",FALSE,SUMPRODUCT(--ISNUMBER(SEARCH(","&amp;TRIM(TEXTSPLIT(IG14,","))&amp;",",","&amp;SUBSTITUTE(input_story_type," ","")&amp;",")))=COUNTA(TEXTSPLIT(IG14,",")))))</f>
        <v/>
      </c>
      <c r="JQ14" s="19">
        <f>AND(IF(II14="",TRUE,IF(input_topics="",FALSE,SUMPRODUCT(--ISNUMBER(SEARCH(","&amp;TRIM(TEXTSPLIT(II14,","))&amp;",",","&amp;SUBSTITUTE(input_topics," ","")&amp;",")))&gt;0)),IF(IK14="",TRUE,IF(input_topics="",FALSE,SUMPRODUCT(--ISNUMBER(SEARCH(","&amp;TRIM(TEXTSPLIT(IK14,","))&amp;",",","&amp;SUBSTITUTE(input_topics," ","")&amp;",")))=COUNTA(TEXTSPLIT(IK14,",")))),IF(IM14="",TRUE,IF(input_topics="",TRUE,SUMPRODUCT(--ISNUMBER(SEARCH(","&amp;TRIM(TEXTSPLIT(IM14,","))&amp;",",","&amp;SUBSTITUTE(input_topics," ","")&amp;",")))=0)),IF(IO14="",TRUE,IF(input_topics="",FALSE,SUMPRODUCT(--ISNUMBER(SEARCH(","&amp;TRIM(TEXTSPLIT(IO14,","))&amp;",",","&amp;SUBSTITUTE(input_topics," ","")&amp;",")))&gt;0)),IF(IQ14="",TRUE,IF(input_topics="",FALSE,SUMPRODUCT(--ISNUMBER(SEARCH(","&amp;TRIM(TEXTSPLIT(IQ14,","))&amp;",",","&amp;SUBSTITUTE(input_topics," ","")&amp;",")))=COUNTA(TEXTSPLIT(IQ14,",")))))</f>
        <v/>
      </c>
    </row>
    <row r="15">
      <c r="A15" s="24">
        <f>IF(NOT(IS15),"Excluded",IF(AND(IT15,IU15,IV15,IW15,IX15,IY15,IZ15,JA15,JB15,JC15,JD15,JE15,JF15,JG15,JH15,JI15,JJ15,JK15,JL15,JM15,JN15,JO15,JP15,JQ15),IF(I15&gt;0,"Eligible but limited","Will appear"),"Excluded"))</f>
        <v/>
      </c>
      <c r="B15" s="24" t="inlineStr">
        <is>
          <t>All news</t>
        </is>
      </c>
      <c r="C15" s="27" t="inlineStr">
        <is>
          <t>/faculty-research</t>
        </is>
      </c>
      <c r="D15" s="24" t="inlineStr">
        <is>
          <t>/faculty-research</t>
        </is>
      </c>
      <c r="E15" s="24" t="n">
        <v>1</v>
      </c>
      <c r="F15" s="24" t="inlineStr">
        <is>
          <t>story</t>
        </is>
      </c>
      <c r="G15" s="24" t="inlineStr">
        <is>
          <t>stories_grid_with_images</t>
        </is>
      </c>
      <c r="H15" s="24" t="inlineStr">
        <is>
          <t>embed_news</t>
        </is>
      </c>
      <c r="I15" s="24" t="n">
        <v>3</v>
      </c>
      <c r="J15" s="24" t="inlineStr">
        <is>
          <t>View/config rules</t>
        </is>
      </c>
      <c r="K15" s="24" t="inlineStr">
        <is>
          <t>Page placement</t>
        </is>
      </c>
      <c r="L15" s="24" t="inlineStr">
        <is>
          <t>Content type: story; Needs any Story Type: News (924); Limited to 3 item(s); Source: View/config rules</t>
        </is>
      </c>
      <c r="HY15" s="19" t="inlineStr">
        <is>
          <t>924</t>
        </is>
      </c>
      <c r="HZ15" s="19" t="inlineStr">
        <is>
          <t>News (924)</t>
        </is>
      </c>
      <c r="IS15" s="19">
        <f>IF(input_content_type="",FALSE,ISNUMBER(SEARCH(","&amp;LOWER(input_content_type)&amp;",",","&amp;LOWER(SUBSTITUTE(F15," ",""))&amp;",")))</f>
        <v/>
      </c>
      <c r="IT15" s="19">
        <f>AND(IF(M15="",TRUE,IF(input_affiliations="",FALSE,SUMPRODUCT(--ISNUMBER(SEARCH(","&amp;TRIM(TEXTSPLIT(M15,","))&amp;",",","&amp;SUBSTITUTE(input_affiliations," ","")&amp;",")))&gt;0)),IF(O15="",TRUE,IF(input_affiliations="",FALSE,SUMPRODUCT(--ISNUMBER(SEARCH(","&amp;TRIM(TEXTSPLIT(O15,","))&amp;",",","&amp;SUBSTITUTE(input_affiliations," ","")&amp;",")))=COUNTA(TEXTSPLIT(O15,",")))),IF(Q15="",TRUE,IF(input_affiliations="",TRUE,SUMPRODUCT(--ISNUMBER(SEARCH(","&amp;TRIM(TEXTSPLIT(Q15,","))&amp;",",","&amp;SUBSTITUTE(input_affiliations," ","")&amp;",")))=0)),IF(S15="",TRUE,IF(input_affiliations="",FALSE,SUMPRODUCT(--ISNUMBER(SEARCH(","&amp;TRIM(TEXTSPLIT(S15,","))&amp;",",","&amp;SUBSTITUTE(input_affiliations," ","")&amp;",")))&gt;0)),IF(U15="",TRUE,IF(input_affiliations="",FALSE,SUMPRODUCT(--ISNUMBER(SEARCH(","&amp;TRIM(TEXTSPLIT(U15,","))&amp;",",","&amp;SUBSTITUTE(input_affiliations," ","")&amp;",")))=COUNTA(TEXTSPLIT(U15,",")))))</f>
        <v/>
      </c>
      <c r="IU15" s="19">
        <f>AND(IF(W15="",TRUE,IF(input_announcement_category="",FALSE,SUMPRODUCT(--ISNUMBER(SEARCH(","&amp;TRIM(TEXTSPLIT(W15,","))&amp;",",","&amp;SUBSTITUTE(input_announcement_category," ","")&amp;",")))&gt;0)),IF(Y15="",TRUE,IF(input_announcement_category="",FALSE,SUMPRODUCT(--ISNUMBER(SEARCH(","&amp;TRIM(TEXTSPLIT(Y15,","))&amp;",",","&amp;SUBSTITUTE(input_announcement_category," ","")&amp;",")))=COUNTA(TEXTSPLIT(Y15,",")))),IF(AA15="",TRUE,IF(input_announcement_category="",TRUE,SUMPRODUCT(--ISNUMBER(SEARCH(","&amp;TRIM(TEXTSPLIT(AA15,","))&amp;",",","&amp;SUBSTITUTE(input_announcement_category," ","")&amp;",")))=0)),IF(AC15="",TRUE,IF(input_announcement_category="",FALSE,SUMPRODUCT(--ISNUMBER(SEARCH(","&amp;TRIM(TEXTSPLIT(AC15,","))&amp;",",","&amp;SUBSTITUTE(input_announcement_category," ","")&amp;",")))&gt;0)),IF(AE15="",TRUE,IF(input_announcement_category="",FALSE,SUMPRODUCT(--ISNUMBER(SEARCH(","&amp;TRIM(TEXTSPLIT(AE15,","))&amp;",",","&amp;SUBSTITUTE(input_announcement_category," ","")&amp;",")))=COUNTA(TEXTSPLIT(AE15,",")))))</f>
        <v/>
      </c>
      <c r="IV15" s="19">
        <f>AND(IF(AG15="",TRUE,IF(input_area_of_focus="",FALSE,SUMPRODUCT(--ISNUMBER(SEARCH(","&amp;TRIM(TEXTSPLIT(AG15,","))&amp;",",","&amp;SUBSTITUTE(input_area_of_focus," ","")&amp;",")))&gt;0)),IF(AI15="",TRUE,IF(input_area_of_focus="",FALSE,SUMPRODUCT(--ISNUMBER(SEARCH(","&amp;TRIM(TEXTSPLIT(AI15,","))&amp;",",","&amp;SUBSTITUTE(input_area_of_focus," ","")&amp;",")))=COUNTA(TEXTSPLIT(AI15,",")))),IF(AK15="",TRUE,IF(input_area_of_focus="",TRUE,SUMPRODUCT(--ISNUMBER(SEARCH(","&amp;TRIM(TEXTSPLIT(AK15,","))&amp;",",","&amp;SUBSTITUTE(input_area_of_focus," ","")&amp;",")))=0)),IF(AM15="",TRUE,IF(input_area_of_focus="",FALSE,SUMPRODUCT(--ISNUMBER(SEARCH(","&amp;TRIM(TEXTSPLIT(AM15,","))&amp;",",","&amp;SUBSTITUTE(input_area_of_focus," ","")&amp;",")))&gt;0)),IF(AO15="",TRUE,IF(input_area_of_focus="",FALSE,SUMPRODUCT(--ISNUMBER(SEARCH(","&amp;TRIM(TEXTSPLIT(AO15,","))&amp;",",","&amp;SUBSTITUTE(input_area_of_focus," ","")&amp;",")))=COUNTA(TEXTSPLIT(AO15,",")))))</f>
        <v/>
      </c>
      <c r="IW15" s="19">
        <f>AND(IF(AQ15="",TRUE,IF(input_audience="",FALSE,SUMPRODUCT(--ISNUMBER(SEARCH(","&amp;TRIM(TEXTSPLIT(AQ15,","))&amp;",",","&amp;SUBSTITUTE(input_audience," ","")&amp;",")))&gt;0)),IF(AS15="",TRUE,IF(input_audience="",FALSE,SUMPRODUCT(--ISNUMBER(SEARCH(","&amp;TRIM(TEXTSPLIT(AS15,","))&amp;",",","&amp;SUBSTITUTE(input_audience," ","")&amp;",")))=COUNTA(TEXTSPLIT(AS15,",")))),IF(AU15="",TRUE,IF(input_audience="",TRUE,SUMPRODUCT(--ISNUMBER(SEARCH(","&amp;TRIM(TEXTSPLIT(AU15,","))&amp;",",","&amp;SUBSTITUTE(input_audience," ","")&amp;",")))=0)),IF(AW15="",TRUE,IF(input_audience="",FALSE,SUMPRODUCT(--ISNUMBER(SEARCH(","&amp;TRIM(TEXTSPLIT(AW15,","))&amp;",",","&amp;SUBSTITUTE(input_audience," ","")&amp;",")))&gt;0)),IF(AY15="",TRUE,IF(input_audience="",FALSE,SUMPRODUCT(--ISNUMBER(SEARCH(","&amp;TRIM(TEXTSPLIT(AY15,","))&amp;",",","&amp;SUBSTITUTE(input_audience," ","")&amp;",")))=COUNTA(TEXTSPLIT(AY15,",")))))</f>
        <v/>
      </c>
      <c r="IX15" s="19">
        <f>AND(IF(BA15="",TRUE,IF(input_challenge_opportunities="",FALSE,SUMPRODUCT(--ISNUMBER(SEARCH(","&amp;TRIM(TEXTSPLIT(BA15,","))&amp;",",","&amp;SUBSTITUTE(input_challenge_opportunities," ","")&amp;",")))&gt;0)),IF(BC15="",TRUE,IF(input_challenge_opportunities="",FALSE,SUMPRODUCT(--ISNUMBER(SEARCH(","&amp;TRIM(TEXTSPLIT(BC15,","))&amp;",",","&amp;SUBSTITUTE(input_challenge_opportunities," ","")&amp;",")))=COUNTA(TEXTSPLIT(BC15,",")))),IF(BE15="",TRUE,IF(input_challenge_opportunities="",TRUE,SUMPRODUCT(--ISNUMBER(SEARCH(","&amp;TRIM(TEXTSPLIT(BE15,","))&amp;",",","&amp;SUBSTITUTE(input_challenge_opportunities," ","")&amp;",")))=0)),IF(BG15="",TRUE,IF(input_challenge_opportunities="",FALSE,SUMPRODUCT(--ISNUMBER(SEARCH(","&amp;TRIM(TEXTSPLIT(BG15,","))&amp;",",","&amp;SUBSTITUTE(input_challenge_opportunities," ","")&amp;",")))&gt;0)),IF(BI15="",TRUE,IF(input_challenge_opportunities="",FALSE,SUMPRODUCT(--ISNUMBER(SEARCH(","&amp;TRIM(TEXTSPLIT(BI15,","))&amp;",",","&amp;SUBSTITUTE(input_challenge_opportunities," ","")&amp;",")))=COUNTA(TEXTSPLIT(BI15,",")))))</f>
        <v/>
      </c>
      <c r="IY15" s="19">
        <f>AND(IF(BK15="",TRUE,IF(input_context="",FALSE,SUMPRODUCT(--ISNUMBER(SEARCH(","&amp;TRIM(TEXTSPLIT(BK15,","))&amp;",",","&amp;SUBSTITUTE(input_context," ","")&amp;",")))&gt;0)),IF(BM15="",TRUE,IF(input_context="",FALSE,SUMPRODUCT(--ISNUMBER(SEARCH(","&amp;TRIM(TEXTSPLIT(BM15,","))&amp;",",","&amp;SUBSTITUTE(input_context," ","")&amp;",")))=COUNTA(TEXTSPLIT(BM15,",")))),IF(BO15="",TRUE,IF(input_context="",TRUE,SUMPRODUCT(--ISNUMBER(SEARCH(","&amp;TRIM(TEXTSPLIT(BO15,","))&amp;",",","&amp;SUBSTITUTE(input_context," ","")&amp;",")))=0)),IF(BQ15="",TRUE,IF(input_context="",FALSE,SUMPRODUCT(--ISNUMBER(SEARCH(","&amp;TRIM(TEXTSPLIT(BQ15,","))&amp;",",","&amp;SUBSTITUTE(input_context," ","")&amp;",")))&gt;0)),IF(BS15="",TRUE,IF(input_context="",FALSE,SUMPRODUCT(--ISNUMBER(SEARCH(","&amp;TRIM(TEXTSPLIT(BS15,","))&amp;",",","&amp;SUBSTITUTE(input_context," ","")&amp;",")))=COUNTA(TEXTSPLIT(BS15,",")))))</f>
        <v/>
      </c>
      <c r="IZ15" s="19">
        <f>AND(IF(BU15="",TRUE,IF(input_enews_announcement_type="",FALSE,SUMPRODUCT(--ISNUMBER(SEARCH(","&amp;TRIM(TEXTSPLIT(BU15,","))&amp;",",","&amp;SUBSTITUTE(input_enews_announcement_type," ","")&amp;",")))&gt;0)),IF(BW15="",TRUE,IF(input_enews_announcement_type="",FALSE,SUMPRODUCT(--ISNUMBER(SEARCH(","&amp;TRIM(TEXTSPLIT(BW15,","))&amp;",",","&amp;SUBSTITUTE(input_enews_announcement_type," ","")&amp;",")))=COUNTA(TEXTSPLIT(BW15,",")))),IF(BY15="",TRUE,IF(input_enews_announcement_type="",TRUE,SUMPRODUCT(--ISNUMBER(SEARCH(","&amp;TRIM(TEXTSPLIT(BY15,","))&amp;",",","&amp;SUBSTITUTE(input_enews_announcement_type," ","")&amp;",")))=0)),IF(CA15="",TRUE,IF(input_enews_announcement_type="",FALSE,SUMPRODUCT(--ISNUMBER(SEARCH(","&amp;TRIM(TEXTSPLIT(CA15,","))&amp;",",","&amp;SUBSTITUTE(input_enews_announcement_type," ","")&amp;",")))&gt;0)),IF(CC15="",TRUE,IF(input_enews_announcement_type="",FALSE,SUMPRODUCT(--ISNUMBER(SEARCH(","&amp;TRIM(TEXTSPLIT(CC15,","))&amp;",",","&amp;SUBSTITUTE(input_enews_announcement_type," ","")&amp;",")))=COUNTA(TEXTSPLIT(CC15,",")))))</f>
        <v/>
      </c>
      <c r="JA15" s="19">
        <f>AND(IF(CE15="",TRUE,IF(input_enews_audience="",FALSE,SUMPRODUCT(--ISNUMBER(SEARCH(","&amp;TRIM(TEXTSPLIT(CE15,","))&amp;",",","&amp;SUBSTITUTE(input_enews_audience," ","")&amp;",")))&gt;0)),IF(CG15="",TRUE,IF(input_enews_audience="",FALSE,SUMPRODUCT(--ISNUMBER(SEARCH(","&amp;TRIM(TEXTSPLIT(CG15,","))&amp;",",","&amp;SUBSTITUTE(input_enews_audience," ","")&amp;",")))=COUNTA(TEXTSPLIT(CG15,",")))),IF(CI15="",TRUE,IF(input_enews_audience="",TRUE,SUMPRODUCT(--ISNUMBER(SEARCH(","&amp;TRIM(TEXTSPLIT(CI15,","))&amp;",",","&amp;SUBSTITUTE(input_enews_audience," ","")&amp;",")))=0)),IF(CK15="",TRUE,IF(input_enews_audience="",FALSE,SUMPRODUCT(--ISNUMBER(SEARCH(","&amp;TRIM(TEXTSPLIT(CK15,","))&amp;",",","&amp;SUBSTITUTE(input_enews_audience," ","")&amp;",")))&gt;0)),IF(CM15="",TRUE,IF(input_enews_audience="",FALSE,SUMPRODUCT(--ISNUMBER(SEARCH(","&amp;TRIM(TEXTSPLIT(CM15,","))&amp;",",","&amp;SUBSTITUTE(input_enews_audience," ","")&amp;",")))=COUNTA(TEXTSPLIT(CM15,",")))))</f>
        <v/>
      </c>
      <c r="JB15" s="19">
        <f>AND(IF(CO15="",TRUE,IF(input_event_location="",FALSE,SUMPRODUCT(--ISNUMBER(SEARCH(","&amp;TRIM(TEXTSPLIT(CO15,","))&amp;",",","&amp;SUBSTITUTE(input_event_location," ","")&amp;",")))&gt;0)),IF(CQ15="",TRUE,IF(input_event_location="",FALSE,SUMPRODUCT(--ISNUMBER(SEARCH(","&amp;TRIM(TEXTSPLIT(CQ15,","))&amp;",",","&amp;SUBSTITUTE(input_event_location," ","")&amp;",")))=COUNTA(TEXTSPLIT(CQ15,",")))),IF(CS15="",TRUE,IF(input_event_location="",TRUE,SUMPRODUCT(--ISNUMBER(SEARCH(","&amp;TRIM(TEXTSPLIT(CS15,","))&amp;",",","&amp;SUBSTITUTE(input_event_location," ","")&amp;",")))=0)),IF(CU15="",TRUE,IF(input_event_location="",FALSE,SUMPRODUCT(--ISNUMBER(SEARCH(","&amp;TRIM(TEXTSPLIT(CU15,","))&amp;",",","&amp;SUBSTITUTE(input_event_location," ","")&amp;",")))&gt;0)),IF(CW15="",TRUE,IF(input_event_location="",FALSE,SUMPRODUCT(--ISNUMBER(SEARCH(","&amp;TRIM(TEXTSPLIT(CW15,","))&amp;",",","&amp;SUBSTITUTE(input_event_location," ","")&amp;",")))=COUNTA(TEXTSPLIT(CW15,",")))))</f>
        <v/>
      </c>
      <c r="JC15" s="19">
        <f>AND(IF(CY15="",TRUE,IF(input_event_type="",FALSE,SUMPRODUCT(--ISNUMBER(SEARCH(","&amp;TRIM(TEXTSPLIT(CY15,","))&amp;",",","&amp;SUBSTITUTE(input_event_type," ","")&amp;",")))&gt;0)),IF(DA15="",TRUE,IF(input_event_type="",FALSE,SUMPRODUCT(--ISNUMBER(SEARCH(","&amp;TRIM(TEXTSPLIT(DA15,","))&amp;",",","&amp;SUBSTITUTE(input_event_type," ","")&amp;",")))=COUNTA(TEXTSPLIT(DA15,",")))),IF(DC15="",TRUE,IF(input_event_type="",TRUE,SUMPRODUCT(--ISNUMBER(SEARCH(","&amp;TRIM(TEXTSPLIT(DC15,","))&amp;",",","&amp;SUBSTITUTE(input_event_type," ","")&amp;",")))=0)),IF(DE15="",TRUE,IF(input_event_type="",FALSE,SUMPRODUCT(--ISNUMBER(SEARCH(","&amp;TRIM(TEXTSPLIT(DE15,","))&amp;",",","&amp;SUBSTITUTE(input_event_type," ","")&amp;",")))&gt;0)),IF(DG15="",TRUE,IF(input_event_type="",FALSE,SUMPRODUCT(--ISNUMBER(SEARCH(","&amp;TRIM(TEXTSPLIT(DG15,","))&amp;",",","&amp;SUBSTITUTE(input_event_type," ","")&amp;",")))=COUNTA(TEXTSPLIT(DG15,",")))))</f>
        <v/>
      </c>
      <c r="JD15" s="19">
        <f>AND(IF(DI15="",TRUE,IF(input_executive_education_focus="",FALSE,SUMPRODUCT(--ISNUMBER(SEARCH(","&amp;TRIM(TEXTSPLIT(DI15,","))&amp;",",","&amp;SUBSTITUTE(input_executive_education_focus," ","")&amp;",")))&gt;0)),IF(DK15="",TRUE,IF(input_executive_education_focus="",FALSE,SUMPRODUCT(--ISNUMBER(SEARCH(","&amp;TRIM(TEXTSPLIT(DK15,","))&amp;",",","&amp;SUBSTITUTE(input_executive_education_focus," ","")&amp;",")))=COUNTA(TEXTSPLIT(DK15,",")))),IF(DM15="",TRUE,IF(input_executive_education_focus="",TRUE,SUMPRODUCT(--ISNUMBER(SEARCH(","&amp;TRIM(TEXTSPLIT(DM15,","))&amp;",",","&amp;SUBSTITUTE(input_executive_education_focus," ","")&amp;",")))=0)),IF(DO15="",TRUE,IF(input_executive_education_focus="",FALSE,SUMPRODUCT(--ISNUMBER(SEARCH(","&amp;TRIM(TEXTSPLIT(DO15,","))&amp;",",","&amp;SUBSTITUTE(input_executive_education_focus," ","")&amp;",")))&gt;0)),IF(DQ15="",TRUE,IF(input_executive_education_focus="",FALSE,SUMPRODUCT(--ISNUMBER(SEARCH(","&amp;TRIM(TEXTSPLIT(DQ15,","))&amp;",",","&amp;SUBSTITUTE(input_executive_education_focus," ","")&amp;",")))=COUNTA(TEXTSPLIT(DQ15,",")))))</f>
        <v/>
      </c>
      <c r="JE15" s="19">
        <f>AND(IF(DS15="",TRUE,IF(input_faculty_category="",FALSE,SUMPRODUCT(--ISNUMBER(SEARCH(","&amp;TRIM(TEXTSPLIT(DS15,","))&amp;",",","&amp;SUBSTITUTE(input_faculty_category," ","")&amp;",")))&gt;0)),IF(DU15="",TRUE,IF(input_faculty_category="",FALSE,SUMPRODUCT(--ISNUMBER(SEARCH(","&amp;TRIM(TEXTSPLIT(DU15,","))&amp;",",","&amp;SUBSTITUTE(input_faculty_category," ","")&amp;",")))=COUNTA(TEXTSPLIT(DU15,",")))),IF(DW15="",TRUE,IF(input_faculty_category="",TRUE,SUMPRODUCT(--ISNUMBER(SEARCH(","&amp;TRIM(TEXTSPLIT(DW15,","))&amp;",",","&amp;SUBSTITUTE(input_faculty_category," ","")&amp;",")))=0)),IF(DY15="",TRUE,IF(input_faculty_category="",FALSE,SUMPRODUCT(--ISNUMBER(SEARCH(","&amp;TRIM(TEXTSPLIT(DY15,","))&amp;",",","&amp;SUBSTITUTE(input_faculty_category," ","")&amp;",")))&gt;0)),IF(EA15="",TRUE,IF(input_faculty_category="",FALSE,SUMPRODUCT(--ISNUMBER(SEARCH(","&amp;TRIM(TEXTSPLIT(EA15,","))&amp;",",","&amp;SUBSTITUTE(input_faculty_category," ","")&amp;",")))=COUNTA(TEXTSPLIT(EA15,",")))))</f>
        <v/>
      </c>
      <c r="JF15" s="19">
        <f>AND(IF(EC15="",TRUE,IF(input_faculty_discipline="",FALSE,SUMPRODUCT(--ISNUMBER(SEARCH(","&amp;TRIM(TEXTSPLIT(EC15,","))&amp;",",","&amp;SUBSTITUTE(input_faculty_discipline," ","")&amp;",")))&gt;0)),IF(EE15="",TRUE,IF(input_faculty_discipline="",FALSE,SUMPRODUCT(--ISNUMBER(SEARCH(","&amp;TRIM(TEXTSPLIT(EE15,","))&amp;",",","&amp;SUBSTITUTE(input_faculty_discipline," ","")&amp;",")))=COUNTA(TEXTSPLIT(EE15,",")))),IF(EG15="",TRUE,IF(input_faculty_discipline="",TRUE,SUMPRODUCT(--ISNUMBER(SEARCH(","&amp;TRIM(TEXTSPLIT(EG15,","))&amp;",",","&amp;SUBSTITUTE(input_faculty_discipline," ","")&amp;",")))=0)),IF(EI15="",TRUE,IF(input_faculty_discipline="",FALSE,SUMPRODUCT(--ISNUMBER(SEARCH(","&amp;TRIM(TEXTSPLIT(EI15,","))&amp;",",","&amp;SUBSTITUTE(input_faculty_discipline," ","")&amp;",")))&gt;0)),IF(EK15="",TRUE,IF(input_faculty_discipline="",FALSE,SUMPRODUCT(--ISNUMBER(SEARCH(","&amp;TRIM(TEXTSPLIT(EK15,","))&amp;",",","&amp;SUBSTITUTE(input_faculty_discipline," ","")&amp;",")))=COUNTA(TEXTSPLIT(EK15,",")))))</f>
        <v/>
      </c>
      <c r="JG15" s="19">
        <f>AND(IF(EM15="",TRUE,IF(input_faculty_expertise="",FALSE,SUMPRODUCT(--ISNUMBER(SEARCH(","&amp;TRIM(TEXTSPLIT(EM15,","))&amp;",",","&amp;SUBSTITUTE(input_faculty_expertise," ","")&amp;",")))&gt;0)),IF(EO15="",TRUE,IF(input_faculty_expertise="",FALSE,SUMPRODUCT(--ISNUMBER(SEARCH(","&amp;TRIM(TEXTSPLIT(EO15,","))&amp;",",","&amp;SUBSTITUTE(input_faculty_expertise," ","")&amp;",")))=COUNTA(TEXTSPLIT(EO15,",")))),IF(EQ15="",TRUE,IF(input_faculty_expertise="",TRUE,SUMPRODUCT(--ISNUMBER(SEARCH(","&amp;TRIM(TEXTSPLIT(EQ15,","))&amp;",",","&amp;SUBSTITUTE(input_faculty_expertise," ","")&amp;",")))=0)),IF(ES15="",TRUE,IF(input_faculty_expertise="",FALSE,SUMPRODUCT(--ISNUMBER(SEARCH(","&amp;TRIM(TEXTSPLIT(ES15,","))&amp;",",","&amp;SUBSTITUTE(input_faculty_expertise," ","")&amp;",")))&gt;0)),IF(EU15="",TRUE,IF(input_faculty_expertise="",FALSE,SUMPRODUCT(--ISNUMBER(SEARCH(","&amp;TRIM(TEXTSPLIT(EU15,","))&amp;",",","&amp;SUBSTITUTE(input_faculty_expertise," ","")&amp;",")))=COUNTA(TEXTSPLIT(EU15,",")))))</f>
        <v/>
      </c>
      <c r="JH15" s="19">
        <f>AND(IF(EW15="",TRUE,IF(input_global_network_school="",FALSE,SUMPRODUCT(--ISNUMBER(SEARCH(","&amp;TRIM(TEXTSPLIT(EW15,","))&amp;",",","&amp;SUBSTITUTE(input_global_network_school," ","")&amp;",")))&gt;0)),IF(EY15="",TRUE,IF(input_global_network_school="",FALSE,SUMPRODUCT(--ISNUMBER(SEARCH(","&amp;TRIM(TEXTSPLIT(EY15,","))&amp;",",","&amp;SUBSTITUTE(input_global_network_school," ","")&amp;",")))=COUNTA(TEXTSPLIT(EY15,",")))),IF(FA15="",TRUE,IF(input_global_network_school="",TRUE,SUMPRODUCT(--ISNUMBER(SEARCH(","&amp;TRIM(TEXTSPLIT(FA15,","))&amp;",",","&amp;SUBSTITUTE(input_global_network_school," ","")&amp;",")))=0)),IF(FC15="",TRUE,IF(input_global_network_school="",FALSE,SUMPRODUCT(--ISNUMBER(SEARCH(","&amp;TRIM(TEXTSPLIT(FC15,","))&amp;",",","&amp;SUBSTITUTE(input_global_network_school," ","")&amp;",")))&gt;0)),IF(FE15="",TRUE,IF(input_global_network_school="",FALSE,SUMPRODUCT(--ISNUMBER(SEARCH(","&amp;TRIM(TEXTSPLIT(FE15,","))&amp;",",","&amp;SUBSTITUTE(input_global_network_school," ","")&amp;",")))=COUNTA(TEXTSPLIT(FE15,",")))))</f>
        <v/>
      </c>
      <c r="JI15" s="19">
        <f>AND(IF(FG15="",TRUE,IF(input_industry="",FALSE,SUMPRODUCT(--ISNUMBER(SEARCH(","&amp;TRIM(TEXTSPLIT(FG15,","))&amp;",",","&amp;SUBSTITUTE(input_industry," ","")&amp;",")))&gt;0)),IF(FI15="",TRUE,IF(input_industry="",FALSE,SUMPRODUCT(--ISNUMBER(SEARCH(","&amp;TRIM(TEXTSPLIT(FI15,","))&amp;",",","&amp;SUBSTITUTE(input_industry," ","")&amp;",")))=COUNTA(TEXTSPLIT(FI15,",")))),IF(FK15="",TRUE,IF(input_industry="",TRUE,SUMPRODUCT(--ISNUMBER(SEARCH(","&amp;TRIM(TEXTSPLIT(FK15,","))&amp;",",","&amp;SUBSTITUTE(input_industry," ","")&amp;",")))=0)),IF(FM15="",TRUE,IF(input_industry="",FALSE,SUMPRODUCT(--ISNUMBER(SEARCH(","&amp;TRIM(TEXTSPLIT(FM15,","))&amp;",",","&amp;SUBSTITUTE(input_industry," ","")&amp;",")))&gt;0)),IF(FO15="",TRUE,IF(input_industry="",FALSE,SUMPRODUCT(--ISNUMBER(SEARCH(","&amp;TRIM(TEXTSPLIT(FO15,","))&amp;",",","&amp;SUBSTITUTE(input_industry," ","")&amp;",")))=COUNTA(TEXTSPLIT(FO15,",")))))</f>
        <v/>
      </c>
      <c r="JJ15" s="19">
        <f>AND(IF(FQ15="",TRUE,IF(input_location="",FALSE,SUMPRODUCT(--ISNUMBER(SEARCH(","&amp;TRIM(TEXTSPLIT(FQ15,","))&amp;",",","&amp;SUBSTITUTE(input_location," ","")&amp;",")))&gt;0)),IF(FS15="",TRUE,IF(input_location="",FALSE,SUMPRODUCT(--ISNUMBER(SEARCH(","&amp;TRIM(TEXTSPLIT(FS15,","))&amp;",",","&amp;SUBSTITUTE(input_location," ","")&amp;",")))=COUNTA(TEXTSPLIT(FS15,",")))),IF(FU15="",TRUE,IF(input_location="",TRUE,SUMPRODUCT(--ISNUMBER(SEARCH(","&amp;TRIM(TEXTSPLIT(FU15,","))&amp;",",","&amp;SUBSTITUTE(input_location," ","")&amp;",")))=0)),IF(FW15="",TRUE,IF(input_location="",FALSE,SUMPRODUCT(--ISNUMBER(SEARCH(","&amp;TRIM(TEXTSPLIT(FW15,","))&amp;",",","&amp;SUBSTITUTE(input_location," ","")&amp;",")))&gt;0)),IF(FY15="",TRUE,IF(input_location="",FALSE,SUMPRODUCT(--ISNUMBER(SEARCH(","&amp;TRIM(TEXTSPLIT(FY15,","))&amp;",",","&amp;SUBSTITUTE(input_location," ","")&amp;",")))=COUNTA(TEXTSPLIT(FY15,",")))))</f>
        <v/>
      </c>
      <c r="JK15" s="19">
        <f>AND(IF(GA15="",TRUE,IF(input_modality="",FALSE,SUMPRODUCT(--ISNUMBER(SEARCH(","&amp;TRIM(TEXTSPLIT(GA15,","))&amp;",",","&amp;SUBSTITUTE(input_modality," ","")&amp;",")))&gt;0)),IF(GC15="",TRUE,IF(input_modality="",FALSE,SUMPRODUCT(--ISNUMBER(SEARCH(","&amp;TRIM(TEXTSPLIT(GC15,","))&amp;",",","&amp;SUBSTITUTE(input_modality," ","")&amp;",")))=COUNTA(TEXTSPLIT(GC15,",")))),IF(GE15="",TRUE,IF(input_modality="",TRUE,SUMPRODUCT(--ISNUMBER(SEARCH(","&amp;TRIM(TEXTSPLIT(GE15,","))&amp;",",","&amp;SUBSTITUTE(input_modality," ","")&amp;",")))=0)),IF(GG15="",TRUE,IF(input_modality="",FALSE,SUMPRODUCT(--ISNUMBER(SEARCH(","&amp;TRIM(TEXTSPLIT(GG15,","))&amp;",",","&amp;SUBSTITUTE(input_modality," ","")&amp;",")))&gt;0)),IF(GI15="",TRUE,IF(input_modality="",FALSE,SUMPRODUCT(--ISNUMBER(SEARCH(","&amp;TRIM(TEXTSPLIT(GI15,","))&amp;",",","&amp;SUBSTITUTE(input_modality," ","")&amp;",")))=COUNTA(TEXTSPLIT(GI15,",")))))</f>
        <v/>
      </c>
      <c r="JL15" s="19">
        <f>AND(IF(GK15="",TRUE,IF(input_organizer="",FALSE,SUMPRODUCT(--ISNUMBER(SEARCH(","&amp;TRIM(TEXTSPLIT(GK15,","))&amp;",",","&amp;SUBSTITUTE(input_organizer," ","")&amp;",")))&gt;0)),IF(GM15="",TRUE,IF(input_organizer="",FALSE,SUMPRODUCT(--ISNUMBER(SEARCH(","&amp;TRIM(TEXTSPLIT(GM15,","))&amp;",",","&amp;SUBSTITUTE(input_organizer," ","")&amp;",")))=COUNTA(TEXTSPLIT(GM15,",")))),IF(GO15="",TRUE,IF(input_organizer="",TRUE,SUMPRODUCT(--ISNUMBER(SEARCH(","&amp;TRIM(TEXTSPLIT(GO15,","))&amp;",",","&amp;SUBSTITUTE(input_organizer," ","")&amp;",")))=0)),IF(GQ15="",TRUE,IF(input_organizer="",FALSE,SUMPRODUCT(--ISNUMBER(SEARCH(","&amp;TRIM(TEXTSPLIT(GQ15,","))&amp;",",","&amp;SUBSTITUTE(input_organizer," ","")&amp;",")))&gt;0)),IF(GS15="",TRUE,IF(input_organizer="",FALSE,SUMPRODUCT(--ISNUMBER(SEARCH(","&amp;TRIM(TEXTSPLIT(GS15,","))&amp;",",","&amp;SUBSTITUTE(input_organizer," ","")&amp;",")))=COUNTA(TEXTSPLIT(GS15,",")))))</f>
        <v/>
      </c>
      <c r="JM15" s="19">
        <f>AND(IF(GU15="",TRUE,IF(input_profile_type="",FALSE,SUMPRODUCT(--ISNUMBER(SEARCH(","&amp;TRIM(TEXTSPLIT(GU15,","))&amp;",",","&amp;SUBSTITUTE(input_profile_type," ","")&amp;",")))&gt;0)),IF(GW15="",TRUE,IF(input_profile_type="",FALSE,SUMPRODUCT(--ISNUMBER(SEARCH(","&amp;TRIM(TEXTSPLIT(GW15,","))&amp;",",","&amp;SUBSTITUTE(input_profile_type," ","")&amp;",")))=COUNTA(TEXTSPLIT(GW15,",")))),IF(GY15="",TRUE,IF(input_profile_type="",TRUE,SUMPRODUCT(--ISNUMBER(SEARCH(","&amp;TRIM(TEXTSPLIT(GY15,","))&amp;",",","&amp;SUBSTITUTE(input_profile_type," ","")&amp;",")))=0)),IF(HA15="",TRUE,IF(input_profile_type="",FALSE,SUMPRODUCT(--ISNUMBER(SEARCH(","&amp;TRIM(TEXTSPLIT(HA15,","))&amp;",",","&amp;SUBSTITUTE(input_profile_type," ","")&amp;",")))&gt;0)),IF(HC15="",TRUE,IF(input_profile_type="",FALSE,SUMPRODUCT(--ISNUMBER(SEARCH(","&amp;TRIM(TEXTSPLIT(HC15,","))&amp;",",","&amp;SUBSTITUTE(input_profile_type," ","")&amp;",")))=COUNTA(TEXTSPLIT(HC15,",")))))</f>
        <v/>
      </c>
      <c r="JN15" s="19">
        <f>AND(IF(HE15="",TRUE,IF(input_program="",FALSE,SUMPRODUCT(--ISNUMBER(SEARCH(","&amp;TRIM(TEXTSPLIT(HE15,","))&amp;",",","&amp;SUBSTITUTE(input_program," ","")&amp;",")))&gt;0)),IF(HG15="",TRUE,IF(input_program="",FALSE,SUMPRODUCT(--ISNUMBER(SEARCH(","&amp;TRIM(TEXTSPLIT(HG15,","))&amp;",",","&amp;SUBSTITUTE(input_program," ","")&amp;",")))=COUNTA(TEXTSPLIT(HG15,",")))),IF(HI15="",TRUE,IF(input_program="",TRUE,SUMPRODUCT(--ISNUMBER(SEARCH(","&amp;TRIM(TEXTSPLIT(HI15,","))&amp;",",","&amp;SUBSTITUTE(input_program," ","")&amp;",")))=0)),IF(HK15="",TRUE,IF(input_program="",FALSE,SUMPRODUCT(--ISNUMBER(SEARCH(","&amp;TRIM(TEXTSPLIT(HK15,","))&amp;",",","&amp;SUBSTITUTE(input_program," ","")&amp;",")))&gt;0)),IF(HM15="",TRUE,IF(input_program="",FALSE,SUMPRODUCT(--ISNUMBER(SEARCH(","&amp;TRIM(TEXTSPLIT(HM15,","))&amp;",",","&amp;SUBSTITUTE(input_program," ","")&amp;",")))=COUNTA(TEXTSPLIT(HM15,",")))))</f>
        <v/>
      </c>
      <c r="JO15" s="19">
        <f>AND(IF(HO15="",TRUE,IF(input_story_categories="",FALSE,SUMPRODUCT(--ISNUMBER(SEARCH(","&amp;TRIM(TEXTSPLIT(HO15,","))&amp;",",","&amp;SUBSTITUTE(input_story_categories," ","")&amp;",")))&gt;0)),IF(HQ15="",TRUE,IF(input_story_categories="",FALSE,SUMPRODUCT(--ISNUMBER(SEARCH(","&amp;TRIM(TEXTSPLIT(HQ15,","))&amp;",",","&amp;SUBSTITUTE(input_story_categories," ","")&amp;",")))=COUNTA(TEXTSPLIT(HQ15,",")))),IF(HS15="",TRUE,IF(input_story_categories="",TRUE,SUMPRODUCT(--ISNUMBER(SEARCH(","&amp;TRIM(TEXTSPLIT(HS15,","))&amp;",",","&amp;SUBSTITUTE(input_story_categories," ","")&amp;",")))=0)),IF(HU15="",TRUE,IF(input_story_categories="",FALSE,SUMPRODUCT(--ISNUMBER(SEARCH(","&amp;TRIM(TEXTSPLIT(HU15,","))&amp;",",","&amp;SUBSTITUTE(input_story_categories," ","")&amp;",")))&gt;0)),IF(HW15="",TRUE,IF(input_story_categories="",FALSE,SUMPRODUCT(--ISNUMBER(SEARCH(","&amp;TRIM(TEXTSPLIT(HW15,","))&amp;",",","&amp;SUBSTITUTE(input_story_categories," ","")&amp;",")))=COUNTA(TEXTSPLIT(HW15,",")))))</f>
        <v/>
      </c>
      <c r="JP15" s="19">
        <f>AND(IF(HY15="",TRUE,IF(input_story_type="",FALSE,SUMPRODUCT(--ISNUMBER(SEARCH(","&amp;TRIM(TEXTSPLIT(HY15,","))&amp;",",","&amp;SUBSTITUTE(input_story_type," ","")&amp;",")))&gt;0)),IF(IA15="",TRUE,IF(input_story_type="",FALSE,SUMPRODUCT(--ISNUMBER(SEARCH(","&amp;TRIM(TEXTSPLIT(IA15,","))&amp;",",","&amp;SUBSTITUTE(input_story_type," ","")&amp;",")))=COUNTA(TEXTSPLIT(IA15,",")))),IF(IC15="",TRUE,IF(input_story_type="",TRUE,SUMPRODUCT(--ISNUMBER(SEARCH(","&amp;TRIM(TEXTSPLIT(IC15,","))&amp;",",","&amp;SUBSTITUTE(input_story_type," ","")&amp;",")))=0)),IF(IE15="",TRUE,IF(input_story_type="",FALSE,SUMPRODUCT(--ISNUMBER(SEARCH(","&amp;TRIM(TEXTSPLIT(IE15,","))&amp;",",","&amp;SUBSTITUTE(input_story_type," ","")&amp;",")))&gt;0)),IF(IG15="",TRUE,IF(input_story_type="",FALSE,SUMPRODUCT(--ISNUMBER(SEARCH(","&amp;TRIM(TEXTSPLIT(IG15,","))&amp;",",","&amp;SUBSTITUTE(input_story_type," ","")&amp;",")))=COUNTA(TEXTSPLIT(IG15,",")))))</f>
        <v/>
      </c>
      <c r="JQ15" s="19">
        <f>AND(IF(II15="",TRUE,IF(input_topics="",FALSE,SUMPRODUCT(--ISNUMBER(SEARCH(","&amp;TRIM(TEXTSPLIT(II15,","))&amp;",",","&amp;SUBSTITUTE(input_topics," ","")&amp;",")))&gt;0)),IF(IK15="",TRUE,IF(input_topics="",FALSE,SUMPRODUCT(--ISNUMBER(SEARCH(","&amp;TRIM(TEXTSPLIT(IK15,","))&amp;",",","&amp;SUBSTITUTE(input_topics," ","")&amp;",")))=COUNTA(TEXTSPLIT(IK15,",")))),IF(IM15="",TRUE,IF(input_topics="",TRUE,SUMPRODUCT(--ISNUMBER(SEARCH(","&amp;TRIM(TEXTSPLIT(IM15,","))&amp;",",","&amp;SUBSTITUTE(input_topics," ","")&amp;",")))=0)),IF(IO15="",TRUE,IF(input_topics="",FALSE,SUMPRODUCT(--ISNUMBER(SEARCH(","&amp;TRIM(TEXTSPLIT(IO15,","))&amp;",",","&amp;SUBSTITUTE(input_topics," ","")&amp;",")))&gt;0)),IF(IQ15="",TRUE,IF(input_topics="",FALSE,SUMPRODUCT(--ISNUMBER(SEARCH(","&amp;TRIM(TEXTSPLIT(IQ15,","))&amp;",",","&amp;SUBSTITUTE(input_topics," ","")&amp;",")))=COUNTA(TEXTSPLIT(IQ15,",")))))</f>
        <v/>
      </c>
    </row>
    <row r="16">
      <c r="A16" s="24">
        <f>IF(NOT(IS16),"Excluded",IF(AND(IT16,IU16,IV16,IW16,IX16,IY16,IZ16,JA16,JB16,JC16,JD16,JE16,JF16,JG16,JH16,JI16,JJ16,JK16,JL16,JM16,JN16,JO16,JP16,JQ16),IF(I16&gt;0,"Eligible but limited","Will appear"),"Excluded"))</f>
        <v/>
      </c>
      <c r="B16" s="24" t="inlineStr">
        <is>
          <t>All Publications by Author</t>
        </is>
      </c>
      <c r="C16" s="27" t="inlineStr">
        <is>
          <t>/faculty-research/faculty-directory/alp-simsek</t>
        </is>
      </c>
      <c r="D16" s="24" t="inlineStr">
        <is>
          <t>/faculty-research/faculty-directory/alp-simsek</t>
        </is>
      </c>
      <c r="E16" s="24" t="n">
        <v>1</v>
      </c>
      <c r="F16" s="24" t="inlineStr">
        <is>
          <t>publications</t>
        </is>
      </c>
      <c r="G16" s="24" t="inlineStr">
        <is>
          <t>publication_teaser_list</t>
        </is>
      </c>
      <c r="H16" s="24" t="inlineStr">
        <is>
          <t>publication_teaser_list_all_by_author</t>
        </is>
      </c>
      <c r="I16" s="24" t="n"/>
      <c r="J16" s="24" t="inlineStr">
        <is>
          <t>View/config rules</t>
        </is>
      </c>
      <c r="K16" s="24" t="inlineStr">
        <is>
          <t>Page placement</t>
        </is>
      </c>
      <c r="L16" s="24" t="inlineStr">
        <is>
          <t>Content type: publications; Source: View/config rules</t>
        </is>
      </c>
      <c r="IS16" s="19">
        <f>IF(input_content_type="",FALSE,ISNUMBER(SEARCH(","&amp;LOWER(input_content_type)&amp;",",","&amp;LOWER(SUBSTITUTE(F16," ",""))&amp;",")))</f>
        <v/>
      </c>
      <c r="IT16" s="19">
        <f>AND(IF(M16="",TRUE,IF(input_affiliations="",FALSE,SUMPRODUCT(--ISNUMBER(SEARCH(","&amp;TRIM(TEXTSPLIT(M16,","))&amp;",",","&amp;SUBSTITUTE(input_affiliations," ","")&amp;",")))&gt;0)),IF(O16="",TRUE,IF(input_affiliations="",FALSE,SUMPRODUCT(--ISNUMBER(SEARCH(","&amp;TRIM(TEXTSPLIT(O16,","))&amp;",",","&amp;SUBSTITUTE(input_affiliations," ","")&amp;",")))=COUNTA(TEXTSPLIT(O16,",")))),IF(Q16="",TRUE,IF(input_affiliations="",TRUE,SUMPRODUCT(--ISNUMBER(SEARCH(","&amp;TRIM(TEXTSPLIT(Q16,","))&amp;",",","&amp;SUBSTITUTE(input_affiliations," ","")&amp;",")))=0)),IF(S16="",TRUE,IF(input_affiliations="",FALSE,SUMPRODUCT(--ISNUMBER(SEARCH(","&amp;TRIM(TEXTSPLIT(S16,","))&amp;",",","&amp;SUBSTITUTE(input_affiliations," ","")&amp;",")))&gt;0)),IF(U16="",TRUE,IF(input_affiliations="",FALSE,SUMPRODUCT(--ISNUMBER(SEARCH(","&amp;TRIM(TEXTSPLIT(U16,","))&amp;",",","&amp;SUBSTITUTE(input_affiliations," ","")&amp;",")))=COUNTA(TEXTSPLIT(U16,",")))))</f>
        <v/>
      </c>
      <c r="IU16" s="19">
        <f>AND(IF(W16="",TRUE,IF(input_announcement_category="",FALSE,SUMPRODUCT(--ISNUMBER(SEARCH(","&amp;TRIM(TEXTSPLIT(W16,","))&amp;",",","&amp;SUBSTITUTE(input_announcement_category," ","")&amp;",")))&gt;0)),IF(Y16="",TRUE,IF(input_announcement_category="",FALSE,SUMPRODUCT(--ISNUMBER(SEARCH(","&amp;TRIM(TEXTSPLIT(Y16,","))&amp;",",","&amp;SUBSTITUTE(input_announcement_category," ","")&amp;",")))=COUNTA(TEXTSPLIT(Y16,",")))),IF(AA16="",TRUE,IF(input_announcement_category="",TRUE,SUMPRODUCT(--ISNUMBER(SEARCH(","&amp;TRIM(TEXTSPLIT(AA16,","))&amp;",",","&amp;SUBSTITUTE(input_announcement_category," ","")&amp;",")))=0)),IF(AC16="",TRUE,IF(input_announcement_category="",FALSE,SUMPRODUCT(--ISNUMBER(SEARCH(","&amp;TRIM(TEXTSPLIT(AC16,","))&amp;",",","&amp;SUBSTITUTE(input_announcement_category," ","")&amp;",")))&gt;0)),IF(AE16="",TRUE,IF(input_announcement_category="",FALSE,SUMPRODUCT(--ISNUMBER(SEARCH(","&amp;TRIM(TEXTSPLIT(AE16,","))&amp;",",","&amp;SUBSTITUTE(input_announcement_category," ","")&amp;",")))=COUNTA(TEXTSPLIT(AE16,",")))))</f>
        <v/>
      </c>
      <c r="IV16" s="19">
        <f>AND(IF(AG16="",TRUE,IF(input_area_of_focus="",FALSE,SUMPRODUCT(--ISNUMBER(SEARCH(","&amp;TRIM(TEXTSPLIT(AG16,","))&amp;",",","&amp;SUBSTITUTE(input_area_of_focus," ","")&amp;",")))&gt;0)),IF(AI16="",TRUE,IF(input_area_of_focus="",FALSE,SUMPRODUCT(--ISNUMBER(SEARCH(","&amp;TRIM(TEXTSPLIT(AI16,","))&amp;",",","&amp;SUBSTITUTE(input_area_of_focus," ","")&amp;",")))=COUNTA(TEXTSPLIT(AI16,",")))),IF(AK16="",TRUE,IF(input_area_of_focus="",TRUE,SUMPRODUCT(--ISNUMBER(SEARCH(","&amp;TRIM(TEXTSPLIT(AK16,","))&amp;",",","&amp;SUBSTITUTE(input_area_of_focus," ","")&amp;",")))=0)),IF(AM16="",TRUE,IF(input_area_of_focus="",FALSE,SUMPRODUCT(--ISNUMBER(SEARCH(","&amp;TRIM(TEXTSPLIT(AM16,","))&amp;",",","&amp;SUBSTITUTE(input_area_of_focus," ","")&amp;",")))&gt;0)),IF(AO16="",TRUE,IF(input_area_of_focus="",FALSE,SUMPRODUCT(--ISNUMBER(SEARCH(","&amp;TRIM(TEXTSPLIT(AO16,","))&amp;",",","&amp;SUBSTITUTE(input_area_of_focus," ","")&amp;",")))=COUNTA(TEXTSPLIT(AO16,",")))))</f>
        <v/>
      </c>
      <c r="IW16" s="19">
        <f>AND(IF(AQ16="",TRUE,IF(input_audience="",FALSE,SUMPRODUCT(--ISNUMBER(SEARCH(","&amp;TRIM(TEXTSPLIT(AQ16,","))&amp;",",","&amp;SUBSTITUTE(input_audience," ","")&amp;",")))&gt;0)),IF(AS16="",TRUE,IF(input_audience="",FALSE,SUMPRODUCT(--ISNUMBER(SEARCH(","&amp;TRIM(TEXTSPLIT(AS16,","))&amp;",",","&amp;SUBSTITUTE(input_audience," ","")&amp;",")))=COUNTA(TEXTSPLIT(AS16,",")))),IF(AU16="",TRUE,IF(input_audience="",TRUE,SUMPRODUCT(--ISNUMBER(SEARCH(","&amp;TRIM(TEXTSPLIT(AU16,","))&amp;",",","&amp;SUBSTITUTE(input_audience," ","")&amp;",")))=0)),IF(AW16="",TRUE,IF(input_audience="",FALSE,SUMPRODUCT(--ISNUMBER(SEARCH(","&amp;TRIM(TEXTSPLIT(AW16,","))&amp;",",","&amp;SUBSTITUTE(input_audience," ","")&amp;",")))&gt;0)),IF(AY16="",TRUE,IF(input_audience="",FALSE,SUMPRODUCT(--ISNUMBER(SEARCH(","&amp;TRIM(TEXTSPLIT(AY16,","))&amp;",",","&amp;SUBSTITUTE(input_audience," ","")&amp;",")))=COUNTA(TEXTSPLIT(AY16,",")))))</f>
        <v/>
      </c>
      <c r="IX16" s="19">
        <f>AND(IF(BA16="",TRUE,IF(input_challenge_opportunities="",FALSE,SUMPRODUCT(--ISNUMBER(SEARCH(","&amp;TRIM(TEXTSPLIT(BA16,","))&amp;",",","&amp;SUBSTITUTE(input_challenge_opportunities," ","")&amp;",")))&gt;0)),IF(BC16="",TRUE,IF(input_challenge_opportunities="",FALSE,SUMPRODUCT(--ISNUMBER(SEARCH(","&amp;TRIM(TEXTSPLIT(BC16,","))&amp;",",","&amp;SUBSTITUTE(input_challenge_opportunities," ","")&amp;",")))=COUNTA(TEXTSPLIT(BC16,",")))),IF(BE16="",TRUE,IF(input_challenge_opportunities="",TRUE,SUMPRODUCT(--ISNUMBER(SEARCH(","&amp;TRIM(TEXTSPLIT(BE16,","))&amp;",",","&amp;SUBSTITUTE(input_challenge_opportunities," ","")&amp;",")))=0)),IF(BG16="",TRUE,IF(input_challenge_opportunities="",FALSE,SUMPRODUCT(--ISNUMBER(SEARCH(","&amp;TRIM(TEXTSPLIT(BG16,","))&amp;",",","&amp;SUBSTITUTE(input_challenge_opportunities," ","")&amp;",")))&gt;0)),IF(BI16="",TRUE,IF(input_challenge_opportunities="",FALSE,SUMPRODUCT(--ISNUMBER(SEARCH(","&amp;TRIM(TEXTSPLIT(BI16,","))&amp;",",","&amp;SUBSTITUTE(input_challenge_opportunities," ","")&amp;",")))=COUNTA(TEXTSPLIT(BI16,",")))))</f>
        <v/>
      </c>
      <c r="IY16" s="19">
        <f>AND(IF(BK16="",TRUE,IF(input_context="",FALSE,SUMPRODUCT(--ISNUMBER(SEARCH(","&amp;TRIM(TEXTSPLIT(BK16,","))&amp;",",","&amp;SUBSTITUTE(input_context," ","")&amp;",")))&gt;0)),IF(BM16="",TRUE,IF(input_context="",FALSE,SUMPRODUCT(--ISNUMBER(SEARCH(","&amp;TRIM(TEXTSPLIT(BM16,","))&amp;",",","&amp;SUBSTITUTE(input_context," ","")&amp;",")))=COUNTA(TEXTSPLIT(BM16,",")))),IF(BO16="",TRUE,IF(input_context="",TRUE,SUMPRODUCT(--ISNUMBER(SEARCH(","&amp;TRIM(TEXTSPLIT(BO16,","))&amp;",",","&amp;SUBSTITUTE(input_context," ","")&amp;",")))=0)),IF(BQ16="",TRUE,IF(input_context="",FALSE,SUMPRODUCT(--ISNUMBER(SEARCH(","&amp;TRIM(TEXTSPLIT(BQ16,","))&amp;",",","&amp;SUBSTITUTE(input_context," ","")&amp;",")))&gt;0)),IF(BS16="",TRUE,IF(input_context="",FALSE,SUMPRODUCT(--ISNUMBER(SEARCH(","&amp;TRIM(TEXTSPLIT(BS16,","))&amp;",",","&amp;SUBSTITUTE(input_context," ","")&amp;",")))=COUNTA(TEXTSPLIT(BS16,",")))))</f>
        <v/>
      </c>
      <c r="IZ16" s="19">
        <f>AND(IF(BU16="",TRUE,IF(input_enews_announcement_type="",FALSE,SUMPRODUCT(--ISNUMBER(SEARCH(","&amp;TRIM(TEXTSPLIT(BU16,","))&amp;",",","&amp;SUBSTITUTE(input_enews_announcement_type," ","")&amp;",")))&gt;0)),IF(BW16="",TRUE,IF(input_enews_announcement_type="",FALSE,SUMPRODUCT(--ISNUMBER(SEARCH(","&amp;TRIM(TEXTSPLIT(BW16,","))&amp;",",","&amp;SUBSTITUTE(input_enews_announcement_type," ","")&amp;",")))=COUNTA(TEXTSPLIT(BW16,",")))),IF(BY16="",TRUE,IF(input_enews_announcement_type="",TRUE,SUMPRODUCT(--ISNUMBER(SEARCH(","&amp;TRIM(TEXTSPLIT(BY16,","))&amp;",",","&amp;SUBSTITUTE(input_enews_announcement_type," ","")&amp;",")))=0)),IF(CA16="",TRUE,IF(input_enews_announcement_type="",FALSE,SUMPRODUCT(--ISNUMBER(SEARCH(","&amp;TRIM(TEXTSPLIT(CA16,","))&amp;",",","&amp;SUBSTITUTE(input_enews_announcement_type," ","")&amp;",")))&gt;0)),IF(CC16="",TRUE,IF(input_enews_announcement_type="",FALSE,SUMPRODUCT(--ISNUMBER(SEARCH(","&amp;TRIM(TEXTSPLIT(CC16,","))&amp;",",","&amp;SUBSTITUTE(input_enews_announcement_type," ","")&amp;",")))=COUNTA(TEXTSPLIT(CC16,",")))))</f>
        <v/>
      </c>
      <c r="JA16" s="19">
        <f>AND(IF(CE16="",TRUE,IF(input_enews_audience="",FALSE,SUMPRODUCT(--ISNUMBER(SEARCH(","&amp;TRIM(TEXTSPLIT(CE16,","))&amp;",",","&amp;SUBSTITUTE(input_enews_audience," ","")&amp;",")))&gt;0)),IF(CG16="",TRUE,IF(input_enews_audience="",FALSE,SUMPRODUCT(--ISNUMBER(SEARCH(","&amp;TRIM(TEXTSPLIT(CG16,","))&amp;",",","&amp;SUBSTITUTE(input_enews_audience," ","")&amp;",")))=COUNTA(TEXTSPLIT(CG16,",")))),IF(CI16="",TRUE,IF(input_enews_audience="",TRUE,SUMPRODUCT(--ISNUMBER(SEARCH(","&amp;TRIM(TEXTSPLIT(CI16,","))&amp;",",","&amp;SUBSTITUTE(input_enews_audience," ","")&amp;",")))=0)),IF(CK16="",TRUE,IF(input_enews_audience="",FALSE,SUMPRODUCT(--ISNUMBER(SEARCH(","&amp;TRIM(TEXTSPLIT(CK16,","))&amp;",",","&amp;SUBSTITUTE(input_enews_audience," ","")&amp;",")))&gt;0)),IF(CM16="",TRUE,IF(input_enews_audience="",FALSE,SUMPRODUCT(--ISNUMBER(SEARCH(","&amp;TRIM(TEXTSPLIT(CM16,","))&amp;",",","&amp;SUBSTITUTE(input_enews_audience," ","")&amp;",")))=COUNTA(TEXTSPLIT(CM16,",")))))</f>
        <v/>
      </c>
      <c r="JB16" s="19">
        <f>AND(IF(CO16="",TRUE,IF(input_event_location="",FALSE,SUMPRODUCT(--ISNUMBER(SEARCH(","&amp;TRIM(TEXTSPLIT(CO16,","))&amp;",",","&amp;SUBSTITUTE(input_event_location," ","")&amp;",")))&gt;0)),IF(CQ16="",TRUE,IF(input_event_location="",FALSE,SUMPRODUCT(--ISNUMBER(SEARCH(","&amp;TRIM(TEXTSPLIT(CQ16,","))&amp;",",","&amp;SUBSTITUTE(input_event_location," ","")&amp;",")))=COUNTA(TEXTSPLIT(CQ16,",")))),IF(CS16="",TRUE,IF(input_event_location="",TRUE,SUMPRODUCT(--ISNUMBER(SEARCH(","&amp;TRIM(TEXTSPLIT(CS16,","))&amp;",",","&amp;SUBSTITUTE(input_event_location," ","")&amp;",")))=0)),IF(CU16="",TRUE,IF(input_event_location="",FALSE,SUMPRODUCT(--ISNUMBER(SEARCH(","&amp;TRIM(TEXTSPLIT(CU16,","))&amp;",",","&amp;SUBSTITUTE(input_event_location," ","")&amp;",")))&gt;0)),IF(CW16="",TRUE,IF(input_event_location="",FALSE,SUMPRODUCT(--ISNUMBER(SEARCH(","&amp;TRIM(TEXTSPLIT(CW16,","))&amp;",",","&amp;SUBSTITUTE(input_event_location," ","")&amp;",")))=COUNTA(TEXTSPLIT(CW16,",")))))</f>
        <v/>
      </c>
      <c r="JC16" s="19">
        <f>AND(IF(CY16="",TRUE,IF(input_event_type="",FALSE,SUMPRODUCT(--ISNUMBER(SEARCH(","&amp;TRIM(TEXTSPLIT(CY16,","))&amp;",",","&amp;SUBSTITUTE(input_event_type," ","")&amp;",")))&gt;0)),IF(DA16="",TRUE,IF(input_event_type="",FALSE,SUMPRODUCT(--ISNUMBER(SEARCH(","&amp;TRIM(TEXTSPLIT(DA16,","))&amp;",",","&amp;SUBSTITUTE(input_event_type," ","")&amp;",")))=COUNTA(TEXTSPLIT(DA16,",")))),IF(DC16="",TRUE,IF(input_event_type="",TRUE,SUMPRODUCT(--ISNUMBER(SEARCH(","&amp;TRIM(TEXTSPLIT(DC16,","))&amp;",",","&amp;SUBSTITUTE(input_event_type," ","")&amp;",")))=0)),IF(DE16="",TRUE,IF(input_event_type="",FALSE,SUMPRODUCT(--ISNUMBER(SEARCH(","&amp;TRIM(TEXTSPLIT(DE16,","))&amp;",",","&amp;SUBSTITUTE(input_event_type," ","")&amp;",")))&gt;0)),IF(DG16="",TRUE,IF(input_event_type="",FALSE,SUMPRODUCT(--ISNUMBER(SEARCH(","&amp;TRIM(TEXTSPLIT(DG16,","))&amp;",",","&amp;SUBSTITUTE(input_event_type," ","")&amp;",")))=COUNTA(TEXTSPLIT(DG16,",")))))</f>
        <v/>
      </c>
      <c r="JD16" s="19">
        <f>AND(IF(DI16="",TRUE,IF(input_executive_education_focus="",FALSE,SUMPRODUCT(--ISNUMBER(SEARCH(","&amp;TRIM(TEXTSPLIT(DI16,","))&amp;",",","&amp;SUBSTITUTE(input_executive_education_focus," ","")&amp;",")))&gt;0)),IF(DK16="",TRUE,IF(input_executive_education_focus="",FALSE,SUMPRODUCT(--ISNUMBER(SEARCH(","&amp;TRIM(TEXTSPLIT(DK16,","))&amp;",",","&amp;SUBSTITUTE(input_executive_education_focus," ","")&amp;",")))=COUNTA(TEXTSPLIT(DK16,",")))),IF(DM16="",TRUE,IF(input_executive_education_focus="",TRUE,SUMPRODUCT(--ISNUMBER(SEARCH(","&amp;TRIM(TEXTSPLIT(DM16,","))&amp;",",","&amp;SUBSTITUTE(input_executive_education_focus," ","")&amp;",")))=0)),IF(DO16="",TRUE,IF(input_executive_education_focus="",FALSE,SUMPRODUCT(--ISNUMBER(SEARCH(","&amp;TRIM(TEXTSPLIT(DO16,","))&amp;",",","&amp;SUBSTITUTE(input_executive_education_focus," ","")&amp;",")))&gt;0)),IF(DQ16="",TRUE,IF(input_executive_education_focus="",FALSE,SUMPRODUCT(--ISNUMBER(SEARCH(","&amp;TRIM(TEXTSPLIT(DQ16,","))&amp;",",","&amp;SUBSTITUTE(input_executive_education_focus," ","")&amp;",")))=COUNTA(TEXTSPLIT(DQ16,",")))))</f>
        <v/>
      </c>
      <c r="JE16" s="19">
        <f>AND(IF(DS16="",TRUE,IF(input_faculty_category="",FALSE,SUMPRODUCT(--ISNUMBER(SEARCH(","&amp;TRIM(TEXTSPLIT(DS16,","))&amp;",",","&amp;SUBSTITUTE(input_faculty_category," ","")&amp;",")))&gt;0)),IF(DU16="",TRUE,IF(input_faculty_category="",FALSE,SUMPRODUCT(--ISNUMBER(SEARCH(","&amp;TRIM(TEXTSPLIT(DU16,","))&amp;",",","&amp;SUBSTITUTE(input_faculty_category," ","")&amp;",")))=COUNTA(TEXTSPLIT(DU16,",")))),IF(DW16="",TRUE,IF(input_faculty_category="",TRUE,SUMPRODUCT(--ISNUMBER(SEARCH(","&amp;TRIM(TEXTSPLIT(DW16,","))&amp;",",","&amp;SUBSTITUTE(input_faculty_category," ","")&amp;",")))=0)),IF(DY16="",TRUE,IF(input_faculty_category="",FALSE,SUMPRODUCT(--ISNUMBER(SEARCH(","&amp;TRIM(TEXTSPLIT(DY16,","))&amp;",",","&amp;SUBSTITUTE(input_faculty_category," ","")&amp;",")))&gt;0)),IF(EA16="",TRUE,IF(input_faculty_category="",FALSE,SUMPRODUCT(--ISNUMBER(SEARCH(","&amp;TRIM(TEXTSPLIT(EA16,","))&amp;",",","&amp;SUBSTITUTE(input_faculty_category," ","")&amp;",")))=COUNTA(TEXTSPLIT(EA16,",")))))</f>
        <v/>
      </c>
      <c r="JF16" s="19">
        <f>AND(IF(EC16="",TRUE,IF(input_faculty_discipline="",FALSE,SUMPRODUCT(--ISNUMBER(SEARCH(","&amp;TRIM(TEXTSPLIT(EC16,","))&amp;",",","&amp;SUBSTITUTE(input_faculty_discipline," ","")&amp;",")))&gt;0)),IF(EE16="",TRUE,IF(input_faculty_discipline="",FALSE,SUMPRODUCT(--ISNUMBER(SEARCH(","&amp;TRIM(TEXTSPLIT(EE16,","))&amp;",",","&amp;SUBSTITUTE(input_faculty_discipline," ","")&amp;",")))=COUNTA(TEXTSPLIT(EE16,",")))),IF(EG16="",TRUE,IF(input_faculty_discipline="",TRUE,SUMPRODUCT(--ISNUMBER(SEARCH(","&amp;TRIM(TEXTSPLIT(EG16,","))&amp;",",","&amp;SUBSTITUTE(input_faculty_discipline," ","")&amp;",")))=0)),IF(EI16="",TRUE,IF(input_faculty_discipline="",FALSE,SUMPRODUCT(--ISNUMBER(SEARCH(","&amp;TRIM(TEXTSPLIT(EI16,","))&amp;",",","&amp;SUBSTITUTE(input_faculty_discipline," ","")&amp;",")))&gt;0)),IF(EK16="",TRUE,IF(input_faculty_discipline="",FALSE,SUMPRODUCT(--ISNUMBER(SEARCH(","&amp;TRIM(TEXTSPLIT(EK16,","))&amp;",",","&amp;SUBSTITUTE(input_faculty_discipline," ","")&amp;",")))=COUNTA(TEXTSPLIT(EK16,",")))))</f>
        <v/>
      </c>
      <c r="JG16" s="19">
        <f>AND(IF(EM16="",TRUE,IF(input_faculty_expertise="",FALSE,SUMPRODUCT(--ISNUMBER(SEARCH(","&amp;TRIM(TEXTSPLIT(EM16,","))&amp;",",","&amp;SUBSTITUTE(input_faculty_expertise," ","")&amp;",")))&gt;0)),IF(EO16="",TRUE,IF(input_faculty_expertise="",FALSE,SUMPRODUCT(--ISNUMBER(SEARCH(","&amp;TRIM(TEXTSPLIT(EO16,","))&amp;",",","&amp;SUBSTITUTE(input_faculty_expertise," ","")&amp;",")))=COUNTA(TEXTSPLIT(EO16,",")))),IF(EQ16="",TRUE,IF(input_faculty_expertise="",TRUE,SUMPRODUCT(--ISNUMBER(SEARCH(","&amp;TRIM(TEXTSPLIT(EQ16,","))&amp;",",","&amp;SUBSTITUTE(input_faculty_expertise," ","")&amp;",")))=0)),IF(ES16="",TRUE,IF(input_faculty_expertise="",FALSE,SUMPRODUCT(--ISNUMBER(SEARCH(","&amp;TRIM(TEXTSPLIT(ES16,","))&amp;",",","&amp;SUBSTITUTE(input_faculty_expertise," ","")&amp;",")))&gt;0)),IF(EU16="",TRUE,IF(input_faculty_expertise="",FALSE,SUMPRODUCT(--ISNUMBER(SEARCH(","&amp;TRIM(TEXTSPLIT(EU16,","))&amp;",",","&amp;SUBSTITUTE(input_faculty_expertise," ","")&amp;",")))=COUNTA(TEXTSPLIT(EU16,",")))))</f>
        <v/>
      </c>
      <c r="JH16" s="19">
        <f>AND(IF(EW16="",TRUE,IF(input_global_network_school="",FALSE,SUMPRODUCT(--ISNUMBER(SEARCH(","&amp;TRIM(TEXTSPLIT(EW16,","))&amp;",",","&amp;SUBSTITUTE(input_global_network_school," ","")&amp;",")))&gt;0)),IF(EY16="",TRUE,IF(input_global_network_school="",FALSE,SUMPRODUCT(--ISNUMBER(SEARCH(","&amp;TRIM(TEXTSPLIT(EY16,","))&amp;",",","&amp;SUBSTITUTE(input_global_network_school," ","")&amp;",")))=COUNTA(TEXTSPLIT(EY16,",")))),IF(FA16="",TRUE,IF(input_global_network_school="",TRUE,SUMPRODUCT(--ISNUMBER(SEARCH(","&amp;TRIM(TEXTSPLIT(FA16,","))&amp;",",","&amp;SUBSTITUTE(input_global_network_school," ","")&amp;",")))=0)),IF(FC16="",TRUE,IF(input_global_network_school="",FALSE,SUMPRODUCT(--ISNUMBER(SEARCH(","&amp;TRIM(TEXTSPLIT(FC16,","))&amp;",",","&amp;SUBSTITUTE(input_global_network_school," ","")&amp;",")))&gt;0)),IF(FE16="",TRUE,IF(input_global_network_school="",FALSE,SUMPRODUCT(--ISNUMBER(SEARCH(","&amp;TRIM(TEXTSPLIT(FE16,","))&amp;",",","&amp;SUBSTITUTE(input_global_network_school," ","")&amp;",")))=COUNTA(TEXTSPLIT(FE16,",")))))</f>
        <v/>
      </c>
      <c r="JI16" s="19">
        <f>AND(IF(FG16="",TRUE,IF(input_industry="",FALSE,SUMPRODUCT(--ISNUMBER(SEARCH(","&amp;TRIM(TEXTSPLIT(FG16,","))&amp;",",","&amp;SUBSTITUTE(input_industry," ","")&amp;",")))&gt;0)),IF(FI16="",TRUE,IF(input_industry="",FALSE,SUMPRODUCT(--ISNUMBER(SEARCH(","&amp;TRIM(TEXTSPLIT(FI16,","))&amp;",",","&amp;SUBSTITUTE(input_industry," ","")&amp;",")))=COUNTA(TEXTSPLIT(FI16,",")))),IF(FK16="",TRUE,IF(input_industry="",TRUE,SUMPRODUCT(--ISNUMBER(SEARCH(","&amp;TRIM(TEXTSPLIT(FK16,","))&amp;",",","&amp;SUBSTITUTE(input_industry," ","")&amp;",")))=0)),IF(FM16="",TRUE,IF(input_industry="",FALSE,SUMPRODUCT(--ISNUMBER(SEARCH(","&amp;TRIM(TEXTSPLIT(FM16,","))&amp;",",","&amp;SUBSTITUTE(input_industry," ","")&amp;",")))&gt;0)),IF(FO16="",TRUE,IF(input_industry="",FALSE,SUMPRODUCT(--ISNUMBER(SEARCH(","&amp;TRIM(TEXTSPLIT(FO16,","))&amp;",",","&amp;SUBSTITUTE(input_industry," ","")&amp;",")))=COUNTA(TEXTSPLIT(FO16,",")))))</f>
        <v/>
      </c>
      <c r="JJ16" s="19">
        <f>AND(IF(FQ16="",TRUE,IF(input_location="",FALSE,SUMPRODUCT(--ISNUMBER(SEARCH(","&amp;TRIM(TEXTSPLIT(FQ16,","))&amp;",",","&amp;SUBSTITUTE(input_location," ","")&amp;",")))&gt;0)),IF(FS16="",TRUE,IF(input_location="",FALSE,SUMPRODUCT(--ISNUMBER(SEARCH(","&amp;TRIM(TEXTSPLIT(FS16,","))&amp;",",","&amp;SUBSTITUTE(input_location," ","")&amp;",")))=COUNTA(TEXTSPLIT(FS16,",")))),IF(FU16="",TRUE,IF(input_location="",TRUE,SUMPRODUCT(--ISNUMBER(SEARCH(","&amp;TRIM(TEXTSPLIT(FU16,","))&amp;",",","&amp;SUBSTITUTE(input_location," ","")&amp;",")))=0)),IF(FW16="",TRUE,IF(input_location="",FALSE,SUMPRODUCT(--ISNUMBER(SEARCH(","&amp;TRIM(TEXTSPLIT(FW16,","))&amp;",",","&amp;SUBSTITUTE(input_location," ","")&amp;",")))&gt;0)),IF(FY16="",TRUE,IF(input_location="",FALSE,SUMPRODUCT(--ISNUMBER(SEARCH(","&amp;TRIM(TEXTSPLIT(FY16,","))&amp;",",","&amp;SUBSTITUTE(input_location," ","")&amp;",")))=COUNTA(TEXTSPLIT(FY16,",")))))</f>
        <v/>
      </c>
      <c r="JK16" s="19">
        <f>AND(IF(GA16="",TRUE,IF(input_modality="",FALSE,SUMPRODUCT(--ISNUMBER(SEARCH(","&amp;TRIM(TEXTSPLIT(GA16,","))&amp;",",","&amp;SUBSTITUTE(input_modality," ","")&amp;",")))&gt;0)),IF(GC16="",TRUE,IF(input_modality="",FALSE,SUMPRODUCT(--ISNUMBER(SEARCH(","&amp;TRIM(TEXTSPLIT(GC16,","))&amp;",",","&amp;SUBSTITUTE(input_modality," ","")&amp;",")))=COUNTA(TEXTSPLIT(GC16,",")))),IF(GE16="",TRUE,IF(input_modality="",TRUE,SUMPRODUCT(--ISNUMBER(SEARCH(","&amp;TRIM(TEXTSPLIT(GE16,","))&amp;",",","&amp;SUBSTITUTE(input_modality," ","")&amp;",")))=0)),IF(GG16="",TRUE,IF(input_modality="",FALSE,SUMPRODUCT(--ISNUMBER(SEARCH(","&amp;TRIM(TEXTSPLIT(GG16,","))&amp;",",","&amp;SUBSTITUTE(input_modality," ","")&amp;",")))&gt;0)),IF(GI16="",TRUE,IF(input_modality="",FALSE,SUMPRODUCT(--ISNUMBER(SEARCH(","&amp;TRIM(TEXTSPLIT(GI16,","))&amp;",",","&amp;SUBSTITUTE(input_modality," ","")&amp;",")))=COUNTA(TEXTSPLIT(GI16,",")))))</f>
        <v/>
      </c>
      <c r="JL16" s="19">
        <f>AND(IF(GK16="",TRUE,IF(input_organizer="",FALSE,SUMPRODUCT(--ISNUMBER(SEARCH(","&amp;TRIM(TEXTSPLIT(GK16,","))&amp;",",","&amp;SUBSTITUTE(input_organizer," ","")&amp;",")))&gt;0)),IF(GM16="",TRUE,IF(input_organizer="",FALSE,SUMPRODUCT(--ISNUMBER(SEARCH(","&amp;TRIM(TEXTSPLIT(GM16,","))&amp;",",","&amp;SUBSTITUTE(input_organizer," ","")&amp;",")))=COUNTA(TEXTSPLIT(GM16,",")))),IF(GO16="",TRUE,IF(input_organizer="",TRUE,SUMPRODUCT(--ISNUMBER(SEARCH(","&amp;TRIM(TEXTSPLIT(GO16,","))&amp;",",","&amp;SUBSTITUTE(input_organizer," ","")&amp;",")))=0)),IF(GQ16="",TRUE,IF(input_organizer="",FALSE,SUMPRODUCT(--ISNUMBER(SEARCH(","&amp;TRIM(TEXTSPLIT(GQ16,","))&amp;",",","&amp;SUBSTITUTE(input_organizer," ","")&amp;",")))&gt;0)),IF(GS16="",TRUE,IF(input_organizer="",FALSE,SUMPRODUCT(--ISNUMBER(SEARCH(","&amp;TRIM(TEXTSPLIT(GS16,","))&amp;",",","&amp;SUBSTITUTE(input_organizer," ","")&amp;",")))=COUNTA(TEXTSPLIT(GS16,",")))))</f>
        <v/>
      </c>
      <c r="JM16" s="19">
        <f>AND(IF(GU16="",TRUE,IF(input_profile_type="",FALSE,SUMPRODUCT(--ISNUMBER(SEARCH(","&amp;TRIM(TEXTSPLIT(GU16,","))&amp;",",","&amp;SUBSTITUTE(input_profile_type," ","")&amp;",")))&gt;0)),IF(GW16="",TRUE,IF(input_profile_type="",FALSE,SUMPRODUCT(--ISNUMBER(SEARCH(","&amp;TRIM(TEXTSPLIT(GW16,","))&amp;",",","&amp;SUBSTITUTE(input_profile_type," ","")&amp;",")))=COUNTA(TEXTSPLIT(GW16,",")))),IF(GY16="",TRUE,IF(input_profile_type="",TRUE,SUMPRODUCT(--ISNUMBER(SEARCH(","&amp;TRIM(TEXTSPLIT(GY16,","))&amp;",",","&amp;SUBSTITUTE(input_profile_type," ","")&amp;",")))=0)),IF(HA16="",TRUE,IF(input_profile_type="",FALSE,SUMPRODUCT(--ISNUMBER(SEARCH(","&amp;TRIM(TEXTSPLIT(HA16,","))&amp;",",","&amp;SUBSTITUTE(input_profile_type," ","")&amp;",")))&gt;0)),IF(HC16="",TRUE,IF(input_profile_type="",FALSE,SUMPRODUCT(--ISNUMBER(SEARCH(","&amp;TRIM(TEXTSPLIT(HC16,","))&amp;",",","&amp;SUBSTITUTE(input_profile_type," ","")&amp;",")))=COUNTA(TEXTSPLIT(HC16,",")))))</f>
        <v/>
      </c>
      <c r="JN16" s="19">
        <f>AND(IF(HE16="",TRUE,IF(input_program="",FALSE,SUMPRODUCT(--ISNUMBER(SEARCH(","&amp;TRIM(TEXTSPLIT(HE16,","))&amp;",",","&amp;SUBSTITUTE(input_program," ","")&amp;",")))&gt;0)),IF(HG16="",TRUE,IF(input_program="",FALSE,SUMPRODUCT(--ISNUMBER(SEARCH(","&amp;TRIM(TEXTSPLIT(HG16,","))&amp;",",","&amp;SUBSTITUTE(input_program," ","")&amp;",")))=COUNTA(TEXTSPLIT(HG16,",")))),IF(HI16="",TRUE,IF(input_program="",TRUE,SUMPRODUCT(--ISNUMBER(SEARCH(","&amp;TRIM(TEXTSPLIT(HI16,","))&amp;",",","&amp;SUBSTITUTE(input_program," ","")&amp;",")))=0)),IF(HK16="",TRUE,IF(input_program="",FALSE,SUMPRODUCT(--ISNUMBER(SEARCH(","&amp;TRIM(TEXTSPLIT(HK16,","))&amp;",",","&amp;SUBSTITUTE(input_program," ","")&amp;",")))&gt;0)),IF(HM16="",TRUE,IF(input_program="",FALSE,SUMPRODUCT(--ISNUMBER(SEARCH(","&amp;TRIM(TEXTSPLIT(HM16,","))&amp;",",","&amp;SUBSTITUTE(input_program," ","")&amp;",")))=COUNTA(TEXTSPLIT(HM16,",")))))</f>
        <v/>
      </c>
      <c r="JO16" s="19">
        <f>AND(IF(HO16="",TRUE,IF(input_story_categories="",FALSE,SUMPRODUCT(--ISNUMBER(SEARCH(","&amp;TRIM(TEXTSPLIT(HO16,","))&amp;",",","&amp;SUBSTITUTE(input_story_categories," ","")&amp;",")))&gt;0)),IF(HQ16="",TRUE,IF(input_story_categories="",FALSE,SUMPRODUCT(--ISNUMBER(SEARCH(","&amp;TRIM(TEXTSPLIT(HQ16,","))&amp;",",","&amp;SUBSTITUTE(input_story_categories," ","")&amp;",")))=COUNTA(TEXTSPLIT(HQ16,",")))),IF(HS16="",TRUE,IF(input_story_categories="",TRUE,SUMPRODUCT(--ISNUMBER(SEARCH(","&amp;TRIM(TEXTSPLIT(HS16,","))&amp;",",","&amp;SUBSTITUTE(input_story_categories," ","")&amp;",")))=0)),IF(HU16="",TRUE,IF(input_story_categories="",FALSE,SUMPRODUCT(--ISNUMBER(SEARCH(","&amp;TRIM(TEXTSPLIT(HU16,","))&amp;",",","&amp;SUBSTITUTE(input_story_categories," ","")&amp;",")))&gt;0)),IF(HW16="",TRUE,IF(input_story_categories="",FALSE,SUMPRODUCT(--ISNUMBER(SEARCH(","&amp;TRIM(TEXTSPLIT(HW16,","))&amp;",",","&amp;SUBSTITUTE(input_story_categories," ","")&amp;",")))=COUNTA(TEXTSPLIT(HW16,",")))))</f>
        <v/>
      </c>
      <c r="JP16" s="19">
        <f>AND(IF(HY16="",TRUE,IF(input_story_type="",FALSE,SUMPRODUCT(--ISNUMBER(SEARCH(","&amp;TRIM(TEXTSPLIT(HY16,","))&amp;",",","&amp;SUBSTITUTE(input_story_type," ","")&amp;",")))&gt;0)),IF(IA16="",TRUE,IF(input_story_type="",FALSE,SUMPRODUCT(--ISNUMBER(SEARCH(","&amp;TRIM(TEXTSPLIT(IA16,","))&amp;",",","&amp;SUBSTITUTE(input_story_type," ","")&amp;",")))=COUNTA(TEXTSPLIT(IA16,",")))),IF(IC16="",TRUE,IF(input_story_type="",TRUE,SUMPRODUCT(--ISNUMBER(SEARCH(","&amp;TRIM(TEXTSPLIT(IC16,","))&amp;",",","&amp;SUBSTITUTE(input_story_type," ","")&amp;",")))=0)),IF(IE16="",TRUE,IF(input_story_type="",FALSE,SUMPRODUCT(--ISNUMBER(SEARCH(","&amp;TRIM(TEXTSPLIT(IE16,","))&amp;",",","&amp;SUBSTITUTE(input_story_type," ","")&amp;",")))&gt;0)),IF(IG16="",TRUE,IF(input_story_type="",FALSE,SUMPRODUCT(--ISNUMBER(SEARCH(","&amp;TRIM(TEXTSPLIT(IG16,","))&amp;",",","&amp;SUBSTITUTE(input_story_type," ","")&amp;",")))=COUNTA(TEXTSPLIT(IG16,",")))))</f>
        <v/>
      </c>
      <c r="JQ16" s="19">
        <f>AND(IF(II16="",TRUE,IF(input_topics="",FALSE,SUMPRODUCT(--ISNUMBER(SEARCH(","&amp;TRIM(TEXTSPLIT(II16,","))&amp;",",","&amp;SUBSTITUTE(input_topics," ","")&amp;",")))&gt;0)),IF(IK16="",TRUE,IF(input_topics="",FALSE,SUMPRODUCT(--ISNUMBER(SEARCH(","&amp;TRIM(TEXTSPLIT(IK16,","))&amp;",",","&amp;SUBSTITUTE(input_topics," ","")&amp;",")))=COUNTA(TEXTSPLIT(IK16,",")))),IF(IM16="",TRUE,IF(input_topics="",TRUE,SUMPRODUCT(--ISNUMBER(SEARCH(","&amp;TRIM(TEXTSPLIT(IM16,","))&amp;",",","&amp;SUBSTITUTE(input_topics," ","")&amp;",")))=0)),IF(IO16="",TRUE,IF(input_topics="",FALSE,SUMPRODUCT(--ISNUMBER(SEARCH(","&amp;TRIM(TEXTSPLIT(IO16,","))&amp;",",","&amp;SUBSTITUTE(input_topics," ","")&amp;",")))&gt;0)),IF(IQ16="",TRUE,IF(input_topics="",FALSE,SUMPRODUCT(--ISNUMBER(SEARCH(","&amp;TRIM(TEXTSPLIT(IQ16,","))&amp;",",","&amp;SUBSTITUTE(input_topics," ","")&amp;",")))=COUNTA(TEXTSPLIT(IQ16,",")))))</f>
        <v/>
      </c>
    </row>
    <row r="17">
      <c r="A17" s="24">
        <f>IF(NOT(IS17),"Excluded",IF(AND(IT17,IU17,IV17,IW17,IX17,IY17,IZ17,JA17,JB17,JC17,JD17,JE17,JF17,JG17,JH17,JI17,JJ17,JK17,JL17,JM17,JN17,JO17,JP17,JQ17),IF(I17&gt;0,"Eligible but limited","Will appear"),"Excluded"))</f>
        <v/>
      </c>
      <c r="B17" s="24" t="inlineStr">
        <is>
          <t>All Publications by Author</t>
        </is>
      </c>
      <c r="C17" s="27" t="inlineStr">
        <is>
          <t>/faculty-research/faculty-directory/andrew-metrick</t>
        </is>
      </c>
      <c r="D17" s="24" t="inlineStr">
        <is>
          <t>/faculty-research/faculty-directory/andrew-metrick</t>
        </is>
      </c>
      <c r="E17" s="24" t="n">
        <v>1</v>
      </c>
      <c r="F17" s="24" t="inlineStr">
        <is>
          <t>publications</t>
        </is>
      </c>
      <c r="G17" s="24" t="inlineStr">
        <is>
          <t>publication_teaser_list</t>
        </is>
      </c>
      <c r="H17" s="24" t="inlineStr">
        <is>
          <t>publication_teaser_list_all_by_author</t>
        </is>
      </c>
      <c r="I17" s="24" t="n"/>
      <c r="J17" s="24" t="inlineStr">
        <is>
          <t>View/config rules</t>
        </is>
      </c>
      <c r="K17" s="24" t="inlineStr">
        <is>
          <t>Page placement</t>
        </is>
      </c>
      <c r="L17" s="24" t="inlineStr">
        <is>
          <t>Content type: publications; Source: View/config rules</t>
        </is>
      </c>
      <c r="IS17" s="19">
        <f>IF(input_content_type="",FALSE,ISNUMBER(SEARCH(","&amp;LOWER(input_content_type)&amp;",",","&amp;LOWER(SUBSTITUTE(F17," ",""))&amp;",")))</f>
        <v/>
      </c>
      <c r="IT17" s="19">
        <f>AND(IF(M17="",TRUE,IF(input_affiliations="",FALSE,SUMPRODUCT(--ISNUMBER(SEARCH(","&amp;TRIM(TEXTSPLIT(M17,","))&amp;",",","&amp;SUBSTITUTE(input_affiliations," ","")&amp;",")))&gt;0)),IF(O17="",TRUE,IF(input_affiliations="",FALSE,SUMPRODUCT(--ISNUMBER(SEARCH(","&amp;TRIM(TEXTSPLIT(O17,","))&amp;",",","&amp;SUBSTITUTE(input_affiliations," ","")&amp;",")))=COUNTA(TEXTSPLIT(O17,",")))),IF(Q17="",TRUE,IF(input_affiliations="",TRUE,SUMPRODUCT(--ISNUMBER(SEARCH(","&amp;TRIM(TEXTSPLIT(Q17,","))&amp;",",","&amp;SUBSTITUTE(input_affiliations," ","")&amp;",")))=0)),IF(S17="",TRUE,IF(input_affiliations="",FALSE,SUMPRODUCT(--ISNUMBER(SEARCH(","&amp;TRIM(TEXTSPLIT(S17,","))&amp;",",","&amp;SUBSTITUTE(input_affiliations," ","")&amp;",")))&gt;0)),IF(U17="",TRUE,IF(input_affiliations="",FALSE,SUMPRODUCT(--ISNUMBER(SEARCH(","&amp;TRIM(TEXTSPLIT(U17,","))&amp;",",","&amp;SUBSTITUTE(input_affiliations," ","")&amp;",")))=COUNTA(TEXTSPLIT(U17,",")))))</f>
        <v/>
      </c>
      <c r="IU17" s="19">
        <f>AND(IF(W17="",TRUE,IF(input_announcement_category="",FALSE,SUMPRODUCT(--ISNUMBER(SEARCH(","&amp;TRIM(TEXTSPLIT(W17,","))&amp;",",","&amp;SUBSTITUTE(input_announcement_category," ","")&amp;",")))&gt;0)),IF(Y17="",TRUE,IF(input_announcement_category="",FALSE,SUMPRODUCT(--ISNUMBER(SEARCH(","&amp;TRIM(TEXTSPLIT(Y17,","))&amp;",",","&amp;SUBSTITUTE(input_announcement_category," ","")&amp;",")))=COUNTA(TEXTSPLIT(Y17,",")))),IF(AA17="",TRUE,IF(input_announcement_category="",TRUE,SUMPRODUCT(--ISNUMBER(SEARCH(","&amp;TRIM(TEXTSPLIT(AA17,","))&amp;",",","&amp;SUBSTITUTE(input_announcement_category," ","")&amp;",")))=0)),IF(AC17="",TRUE,IF(input_announcement_category="",FALSE,SUMPRODUCT(--ISNUMBER(SEARCH(","&amp;TRIM(TEXTSPLIT(AC17,","))&amp;",",","&amp;SUBSTITUTE(input_announcement_category," ","")&amp;",")))&gt;0)),IF(AE17="",TRUE,IF(input_announcement_category="",FALSE,SUMPRODUCT(--ISNUMBER(SEARCH(","&amp;TRIM(TEXTSPLIT(AE17,","))&amp;",",","&amp;SUBSTITUTE(input_announcement_category," ","")&amp;",")))=COUNTA(TEXTSPLIT(AE17,",")))))</f>
        <v/>
      </c>
      <c r="IV17" s="19">
        <f>AND(IF(AG17="",TRUE,IF(input_area_of_focus="",FALSE,SUMPRODUCT(--ISNUMBER(SEARCH(","&amp;TRIM(TEXTSPLIT(AG17,","))&amp;",",","&amp;SUBSTITUTE(input_area_of_focus," ","")&amp;",")))&gt;0)),IF(AI17="",TRUE,IF(input_area_of_focus="",FALSE,SUMPRODUCT(--ISNUMBER(SEARCH(","&amp;TRIM(TEXTSPLIT(AI17,","))&amp;",",","&amp;SUBSTITUTE(input_area_of_focus," ","")&amp;",")))=COUNTA(TEXTSPLIT(AI17,",")))),IF(AK17="",TRUE,IF(input_area_of_focus="",TRUE,SUMPRODUCT(--ISNUMBER(SEARCH(","&amp;TRIM(TEXTSPLIT(AK17,","))&amp;",",","&amp;SUBSTITUTE(input_area_of_focus," ","")&amp;",")))=0)),IF(AM17="",TRUE,IF(input_area_of_focus="",FALSE,SUMPRODUCT(--ISNUMBER(SEARCH(","&amp;TRIM(TEXTSPLIT(AM17,","))&amp;",",","&amp;SUBSTITUTE(input_area_of_focus," ","")&amp;",")))&gt;0)),IF(AO17="",TRUE,IF(input_area_of_focus="",FALSE,SUMPRODUCT(--ISNUMBER(SEARCH(","&amp;TRIM(TEXTSPLIT(AO17,","))&amp;",",","&amp;SUBSTITUTE(input_area_of_focus," ","")&amp;",")))=COUNTA(TEXTSPLIT(AO17,",")))))</f>
        <v/>
      </c>
      <c r="IW17" s="19">
        <f>AND(IF(AQ17="",TRUE,IF(input_audience="",FALSE,SUMPRODUCT(--ISNUMBER(SEARCH(","&amp;TRIM(TEXTSPLIT(AQ17,","))&amp;",",","&amp;SUBSTITUTE(input_audience," ","")&amp;",")))&gt;0)),IF(AS17="",TRUE,IF(input_audience="",FALSE,SUMPRODUCT(--ISNUMBER(SEARCH(","&amp;TRIM(TEXTSPLIT(AS17,","))&amp;",",","&amp;SUBSTITUTE(input_audience," ","")&amp;",")))=COUNTA(TEXTSPLIT(AS17,",")))),IF(AU17="",TRUE,IF(input_audience="",TRUE,SUMPRODUCT(--ISNUMBER(SEARCH(","&amp;TRIM(TEXTSPLIT(AU17,","))&amp;",",","&amp;SUBSTITUTE(input_audience," ","")&amp;",")))=0)),IF(AW17="",TRUE,IF(input_audience="",FALSE,SUMPRODUCT(--ISNUMBER(SEARCH(","&amp;TRIM(TEXTSPLIT(AW17,","))&amp;",",","&amp;SUBSTITUTE(input_audience," ","")&amp;",")))&gt;0)),IF(AY17="",TRUE,IF(input_audience="",FALSE,SUMPRODUCT(--ISNUMBER(SEARCH(","&amp;TRIM(TEXTSPLIT(AY17,","))&amp;",",","&amp;SUBSTITUTE(input_audience," ","")&amp;",")))=COUNTA(TEXTSPLIT(AY17,",")))))</f>
        <v/>
      </c>
      <c r="IX17" s="19">
        <f>AND(IF(BA17="",TRUE,IF(input_challenge_opportunities="",FALSE,SUMPRODUCT(--ISNUMBER(SEARCH(","&amp;TRIM(TEXTSPLIT(BA17,","))&amp;",",","&amp;SUBSTITUTE(input_challenge_opportunities," ","")&amp;",")))&gt;0)),IF(BC17="",TRUE,IF(input_challenge_opportunities="",FALSE,SUMPRODUCT(--ISNUMBER(SEARCH(","&amp;TRIM(TEXTSPLIT(BC17,","))&amp;",",","&amp;SUBSTITUTE(input_challenge_opportunities," ","")&amp;",")))=COUNTA(TEXTSPLIT(BC17,",")))),IF(BE17="",TRUE,IF(input_challenge_opportunities="",TRUE,SUMPRODUCT(--ISNUMBER(SEARCH(","&amp;TRIM(TEXTSPLIT(BE17,","))&amp;",",","&amp;SUBSTITUTE(input_challenge_opportunities," ","")&amp;",")))=0)),IF(BG17="",TRUE,IF(input_challenge_opportunities="",FALSE,SUMPRODUCT(--ISNUMBER(SEARCH(","&amp;TRIM(TEXTSPLIT(BG17,","))&amp;",",","&amp;SUBSTITUTE(input_challenge_opportunities," ","")&amp;",")))&gt;0)),IF(BI17="",TRUE,IF(input_challenge_opportunities="",FALSE,SUMPRODUCT(--ISNUMBER(SEARCH(","&amp;TRIM(TEXTSPLIT(BI17,","))&amp;",",","&amp;SUBSTITUTE(input_challenge_opportunities," ","")&amp;",")))=COUNTA(TEXTSPLIT(BI17,",")))))</f>
        <v/>
      </c>
      <c r="IY17" s="19">
        <f>AND(IF(BK17="",TRUE,IF(input_context="",FALSE,SUMPRODUCT(--ISNUMBER(SEARCH(","&amp;TRIM(TEXTSPLIT(BK17,","))&amp;",",","&amp;SUBSTITUTE(input_context," ","")&amp;",")))&gt;0)),IF(BM17="",TRUE,IF(input_context="",FALSE,SUMPRODUCT(--ISNUMBER(SEARCH(","&amp;TRIM(TEXTSPLIT(BM17,","))&amp;",",","&amp;SUBSTITUTE(input_context," ","")&amp;",")))=COUNTA(TEXTSPLIT(BM17,",")))),IF(BO17="",TRUE,IF(input_context="",TRUE,SUMPRODUCT(--ISNUMBER(SEARCH(","&amp;TRIM(TEXTSPLIT(BO17,","))&amp;",",","&amp;SUBSTITUTE(input_context," ","")&amp;",")))=0)),IF(BQ17="",TRUE,IF(input_context="",FALSE,SUMPRODUCT(--ISNUMBER(SEARCH(","&amp;TRIM(TEXTSPLIT(BQ17,","))&amp;",",","&amp;SUBSTITUTE(input_context," ","")&amp;",")))&gt;0)),IF(BS17="",TRUE,IF(input_context="",FALSE,SUMPRODUCT(--ISNUMBER(SEARCH(","&amp;TRIM(TEXTSPLIT(BS17,","))&amp;",",","&amp;SUBSTITUTE(input_context," ","")&amp;",")))=COUNTA(TEXTSPLIT(BS17,",")))))</f>
        <v/>
      </c>
      <c r="IZ17" s="19">
        <f>AND(IF(BU17="",TRUE,IF(input_enews_announcement_type="",FALSE,SUMPRODUCT(--ISNUMBER(SEARCH(","&amp;TRIM(TEXTSPLIT(BU17,","))&amp;",",","&amp;SUBSTITUTE(input_enews_announcement_type," ","")&amp;",")))&gt;0)),IF(BW17="",TRUE,IF(input_enews_announcement_type="",FALSE,SUMPRODUCT(--ISNUMBER(SEARCH(","&amp;TRIM(TEXTSPLIT(BW17,","))&amp;",",","&amp;SUBSTITUTE(input_enews_announcement_type," ","")&amp;",")))=COUNTA(TEXTSPLIT(BW17,",")))),IF(BY17="",TRUE,IF(input_enews_announcement_type="",TRUE,SUMPRODUCT(--ISNUMBER(SEARCH(","&amp;TRIM(TEXTSPLIT(BY17,","))&amp;",",","&amp;SUBSTITUTE(input_enews_announcement_type," ","")&amp;",")))=0)),IF(CA17="",TRUE,IF(input_enews_announcement_type="",FALSE,SUMPRODUCT(--ISNUMBER(SEARCH(","&amp;TRIM(TEXTSPLIT(CA17,","))&amp;",",","&amp;SUBSTITUTE(input_enews_announcement_type," ","")&amp;",")))&gt;0)),IF(CC17="",TRUE,IF(input_enews_announcement_type="",FALSE,SUMPRODUCT(--ISNUMBER(SEARCH(","&amp;TRIM(TEXTSPLIT(CC17,","))&amp;",",","&amp;SUBSTITUTE(input_enews_announcement_type," ","")&amp;",")))=COUNTA(TEXTSPLIT(CC17,",")))))</f>
        <v/>
      </c>
      <c r="JA17" s="19">
        <f>AND(IF(CE17="",TRUE,IF(input_enews_audience="",FALSE,SUMPRODUCT(--ISNUMBER(SEARCH(","&amp;TRIM(TEXTSPLIT(CE17,","))&amp;",",","&amp;SUBSTITUTE(input_enews_audience," ","")&amp;",")))&gt;0)),IF(CG17="",TRUE,IF(input_enews_audience="",FALSE,SUMPRODUCT(--ISNUMBER(SEARCH(","&amp;TRIM(TEXTSPLIT(CG17,","))&amp;",",","&amp;SUBSTITUTE(input_enews_audience," ","")&amp;",")))=COUNTA(TEXTSPLIT(CG17,",")))),IF(CI17="",TRUE,IF(input_enews_audience="",TRUE,SUMPRODUCT(--ISNUMBER(SEARCH(","&amp;TRIM(TEXTSPLIT(CI17,","))&amp;",",","&amp;SUBSTITUTE(input_enews_audience," ","")&amp;",")))=0)),IF(CK17="",TRUE,IF(input_enews_audience="",FALSE,SUMPRODUCT(--ISNUMBER(SEARCH(","&amp;TRIM(TEXTSPLIT(CK17,","))&amp;",",","&amp;SUBSTITUTE(input_enews_audience," ","")&amp;",")))&gt;0)),IF(CM17="",TRUE,IF(input_enews_audience="",FALSE,SUMPRODUCT(--ISNUMBER(SEARCH(","&amp;TRIM(TEXTSPLIT(CM17,","))&amp;",",","&amp;SUBSTITUTE(input_enews_audience," ","")&amp;",")))=COUNTA(TEXTSPLIT(CM17,",")))))</f>
        <v/>
      </c>
      <c r="JB17" s="19">
        <f>AND(IF(CO17="",TRUE,IF(input_event_location="",FALSE,SUMPRODUCT(--ISNUMBER(SEARCH(","&amp;TRIM(TEXTSPLIT(CO17,","))&amp;",",","&amp;SUBSTITUTE(input_event_location," ","")&amp;",")))&gt;0)),IF(CQ17="",TRUE,IF(input_event_location="",FALSE,SUMPRODUCT(--ISNUMBER(SEARCH(","&amp;TRIM(TEXTSPLIT(CQ17,","))&amp;",",","&amp;SUBSTITUTE(input_event_location," ","")&amp;",")))=COUNTA(TEXTSPLIT(CQ17,",")))),IF(CS17="",TRUE,IF(input_event_location="",TRUE,SUMPRODUCT(--ISNUMBER(SEARCH(","&amp;TRIM(TEXTSPLIT(CS17,","))&amp;",",","&amp;SUBSTITUTE(input_event_location," ","")&amp;",")))=0)),IF(CU17="",TRUE,IF(input_event_location="",FALSE,SUMPRODUCT(--ISNUMBER(SEARCH(","&amp;TRIM(TEXTSPLIT(CU17,","))&amp;",",","&amp;SUBSTITUTE(input_event_location," ","")&amp;",")))&gt;0)),IF(CW17="",TRUE,IF(input_event_location="",FALSE,SUMPRODUCT(--ISNUMBER(SEARCH(","&amp;TRIM(TEXTSPLIT(CW17,","))&amp;",",","&amp;SUBSTITUTE(input_event_location," ","")&amp;",")))=COUNTA(TEXTSPLIT(CW17,",")))))</f>
        <v/>
      </c>
      <c r="JC17" s="19">
        <f>AND(IF(CY17="",TRUE,IF(input_event_type="",FALSE,SUMPRODUCT(--ISNUMBER(SEARCH(","&amp;TRIM(TEXTSPLIT(CY17,","))&amp;",",","&amp;SUBSTITUTE(input_event_type," ","")&amp;",")))&gt;0)),IF(DA17="",TRUE,IF(input_event_type="",FALSE,SUMPRODUCT(--ISNUMBER(SEARCH(","&amp;TRIM(TEXTSPLIT(DA17,","))&amp;",",","&amp;SUBSTITUTE(input_event_type," ","")&amp;",")))=COUNTA(TEXTSPLIT(DA17,",")))),IF(DC17="",TRUE,IF(input_event_type="",TRUE,SUMPRODUCT(--ISNUMBER(SEARCH(","&amp;TRIM(TEXTSPLIT(DC17,","))&amp;",",","&amp;SUBSTITUTE(input_event_type," ","")&amp;",")))=0)),IF(DE17="",TRUE,IF(input_event_type="",FALSE,SUMPRODUCT(--ISNUMBER(SEARCH(","&amp;TRIM(TEXTSPLIT(DE17,","))&amp;",",","&amp;SUBSTITUTE(input_event_type," ","")&amp;",")))&gt;0)),IF(DG17="",TRUE,IF(input_event_type="",FALSE,SUMPRODUCT(--ISNUMBER(SEARCH(","&amp;TRIM(TEXTSPLIT(DG17,","))&amp;",",","&amp;SUBSTITUTE(input_event_type," ","")&amp;",")))=COUNTA(TEXTSPLIT(DG17,",")))))</f>
        <v/>
      </c>
      <c r="JD17" s="19">
        <f>AND(IF(DI17="",TRUE,IF(input_executive_education_focus="",FALSE,SUMPRODUCT(--ISNUMBER(SEARCH(","&amp;TRIM(TEXTSPLIT(DI17,","))&amp;",",","&amp;SUBSTITUTE(input_executive_education_focus," ","")&amp;",")))&gt;0)),IF(DK17="",TRUE,IF(input_executive_education_focus="",FALSE,SUMPRODUCT(--ISNUMBER(SEARCH(","&amp;TRIM(TEXTSPLIT(DK17,","))&amp;",",","&amp;SUBSTITUTE(input_executive_education_focus," ","")&amp;",")))=COUNTA(TEXTSPLIT(DK17,",")))),IF(DM17="",TRUE,IF(input_executive_education_focus="",TRUE,SUMPRODUCT(--ISNUMBER(SEARCH(","&amp;TRIM(TEXTSPLIT(DM17,","))&amp;",",","&amp;SUBSTITUTE(input_executive_education_focus," ","")&amp;",")))=0)),IF(DO17="",TRUE,IF(input_executive_education_focus="",FALSE,SUMPRODUCT(--ISNUMBER(SEARCH(","&amp;TRIM(TEXTSPLIT(DO17,","))&amp;",",","&amp;SUBSTITUTE(input_executive_education_focus," ","")&amp;",")))&gt;0)),IF(DQ17="",TRUE,IF(input_executive_education_focus="",FALSE,SUMPRODUCT(--ISNUMBER(SEARCH(","&amp;TRIM(TEXTSPLIT(DQ17,","))&amp;",",","&amp;SUBSTITUTE(input_executive_education_focus," ","")&amp;",")))=COUNTA(TEXTSPLIT(DQ17,",")))))</f>
        <v/>
      </c>
      <c r="JE17" s="19">
        <f>AND(IF(DS17="",TRUE,IF(input_faculty_category="",FALSE,SUMPRODUCT(--ISNUMBER(SEARCH(","&amp;TRIM(TEXTSPLIT(DS17,","))&amp;",",","&amp;SUBSTITUTE(input_faculty_category," ","")&amp;",")))&gt;0)),IF(DU17="",TRUE,IF(input_faculty_category="",FALSE,SUMPRODUCT(--ISNUMBER(SEARCH(","&amp;TRIM(TEXTSPLIT(DU17,","))&amp;",",","&amp;SUBSTITUTE(input_faculty_category," ","")&amp;",")))=COUNTA(TEXTSPLIT(DU17,",")))),IF(DW17="",TRUE,IF(input_faculty_category="",TRUE,SUMPRODUCT(--ISNUMBER(SEARCH(","&amp;TRIM(TEXTSPLIT(DW17,","))&amp;",",","&amp;SUBSTITUTE(input_faculty_category," ","")&amp;",")))=0)),IF(DY17="",TRUE,IF(input_faculty_category="",FALSE,SUMPRODUCT(--ISNUMBER(SEARCH(","&amp;TRIM(TEXTSPLIT(DY17,","))&amp;",",","&amp;SUBSTITUTE(input_faculty_category," ","")&amp;",")))&gt;0)),IF(EA17="",TRUE,IF(input_faculty_category="",FALSE,SUMPRODUCT(--ISNUMBER(SEARCH(","&amp;TRIM(TEXTSPLIT(EA17,","))&amp;",",","&amp;SUBSTITUTE(input_faculty_category," ","")&amp;",")))=COUNTA(TEXTSPLIT(EA17,",")))))</f>
        <v/>
      </c>
      <c r="JF17" s="19">
        <f>AND(IF(EC17="",TRUE,IF(input_faculty_discipline="",FALSE,SUMPRODUCT(--ISNUMBER(SEARCH(","&amp;TRIM(TEXTSPLIT(EC17,","))&amp;",",","&amp;SUBSTITUTE(input_faculty_discipline," ","")&amp;",")))&gt;0)),IF(EE17="",TRUE,IF(input_faculty_discipline="",FALSE,SUMPRODUCT(--ISNUMBER(SEARCH(","&amp;TRIM(TEXTSPLIT(EE17,","))&amp;",",","&amp;SUBSTITUTE(input_faculty_discipline," ","")&amp;",")))=COUNTA(TEXTSPLIT(EE17,",")))),IF(EG17="",TRUE,IF(input_faculty_discipline="",TRUE,SUMPRODUCT(--ISNUMBER(SEARCH(","&amp;TRIM(TEXTSPLIT(EG17,","))&amp;",",","&amp;SUBSTITUTE(input_faculty_discipline," ","")&amp;",")))=0)),IF(EI17="",TRUE,IF(input_faculty_discipline="",FALSE,SUMPRODUCT(--ISNUMBER(SEARCH(","&amp;TRIM(TEXTSPLIT(EI17,","))&amp;",",","&amp;SUBSTITUTE(input_faculty_discipline," ","")&amp;",")))&gt;0)),IF(EK17="",TRUE,IF(input_faculty_discipline="",FALSE,SUMPRODUCT(--ISNUMBER(SEARCH(","&amp;TRIM(TEXTSPLIT(EK17,","))&amp;",",","&amp;SUBSTITUTE(input_faculty_discipline," ","")&amp;",")))=COUNTA(TEXTSPLIT(EK17,",")))))</f>
        <v/>
      </c>
      <c r="JG17" s="19">
        <f>AND(IF(EM17="",TRUE,IF(input_faculty_expertise="",FALSE,SUMPRODUCT(--ISNUMBER(SEARCH(","&amp;TRIM(TEXTSPLIT(EM17,","))&amp;",",","&amp;SUBSTITUTE(input_faculty_expertise," ","")&amp;",")))&gt;0)),IF(EO17="",TRUE,IF(input_faculty_expertise="",FALSE,SUMPRODUCT(--ISNUMBER(SEARCH(","&amp;TRIM(TEXTSPLIT(EO17,","))&amp;",",","&amp;SUBSTITUTE(input_faculty_expertise," ","")&amp;",")))=COUNTA(TEXTSPLIT(EO17,",")))),IF(EQ17="",TRUE,IF(input_faculty_expertise="",TRUE,SUMPRODUCT(--ISNUMBER(SEARCH(","&amp;TRIM(TEXTSPLIT(EQ17,","))&amp;",",","&amp;SUBSTITUTE(input_faculty_expertise," ","")&amp;",")))=0)),IF(ES17="",TRUE,IF(input_faculty_expertise="",FALSE,SUMPRODUCT(--ISNUMBER(SEARCH(","&amp;TRIM(TEXTSPLIT(ES17,","))&amp;",",","&amp;SUBSTITUTE(input_faculty_expertise," ","")&amp;",")))&gt;0)),IF(EU17="",TRUE,IF(input_faculty_expertise="",FALSE,SUMPRODUCT(--ISNUMBER(SEARCH(","&amp;TRIM(TEXTSPLIT(EU17,","))&amp;",",","&amp;SUBSTITUTE(input_faculty_expertise," ","")&amp;",")))=COUNTA(TEXTSPLIT(EU17,",")))))</f>
        <v/>
      </c>
      <c r="JH17" s="19">
        <f>AND(IF(EW17="",TRUE,IF(input_global_network_school="",FALSE,SUMPRODUCT(--ISNUMBER(SEARCH(","&amp;TRIM(TEXTSPLIT(EW17,","))&amp;",",","&amp;SUBSTITUTE(input_global_network_school," ","")&amp;",")))&gt;0)),IF(EY17="",TRUE,IF(input_global_network_school="",FALSE,SUMPRODUCT(--ISNUMBER(SEARCH(","&amp;TRIM(TEXTSPLIT(EY17,","))&amp;",",","&amp;SUBSTITUTE(input_global_network_school," ","")&amp;",")))=COUNTA(TEXTSPLIT(EY17,",")))),IF(FA17="",TRUE,IF(input_global_network_school="",TRUE,SUMPRODUCT(--ISNUMBER(SEARCH(","&amp;TRIM(TEXTSPLIT(FA17,","))&amp;",",","&amp;SUBSTITUTE(input_global_network_school," ","")&amp;",")))=0)),IF(FC17="",TRUE,IF(input_global_network_school="",FALSE,SUMPRODUCT(--ISNUMBER(SEARCH(","&amp;TRIM(TEXTSPLIT(FC17,","))&amp;",",","&amp;SUBSTITUTE(input_global_network_school," ","")&amp;",")))&gt;0)),IF(FE17="",TRUE,IF(input_global_network_school="",FALSE,SUMPRODUCT(--ISNUMBER(SEARCH(","&amp;TRIM(TEXTSPLIT(FE17,","))&amp;",",","&amp;SUBSTITUTE(input_global_network_school," ","")&amp;",")))=COUNTA(TEXTSPLIT(FE17,",")))))</f>
        <v/>
      </c>
      <c r="JI17" s="19">
        <f>AND(IF(FG17="",TRUE,IF(input_industry="",FALSE,SUMPRODUCT(--ISNUMBER(SEARCH(","&amp;TRIM(TEXTSPLIT(FG17,","))&amp;",",","&amp;SUBSTITUTE(input_industry," ","")&amp;",")))&gt;0)),IF(FI17="",TRUE,IF(input_industry="",FALSE,SUMPRODUCT(--ISNUMBER(SEARCH(","&amp;TRIM(TEXTSPLIT(FI17,","))&amp;",",","&amp;SUBSTITUTE(input_industry," ","")&amp;",")))=COUNTA(TEXTSPLIT(FI17,",")))),IF(FK17="",TRUE,IF(input_industry="",TRUE,SUMPRODUCT(--ISNUMBER(SEARCH(","&amp;TRIM(TEXTSPLIT(FK17,","))&amp;",",","&amp;SUBSTITUTE(input_industry," ","")&amp;",")))=0)),IF(FM17="",TRUE,IF(input_industry="",FALSE,SUMPRODUCT(--ISNUMBER(SEARCH(","&amp;TRIM(TEXTSPLIT(FM17,","))&amp;",",","&amp;SUBSTITUTE(input_industry," ","")&amp;",")))&gt;0)),IF(FO17="",TRUE,IF(input_industry="",FALSE,SUMPRODUCT(--ISNUMBER(SEARCH(","&amp;TRIM(TEXTSPLIT(FO17,","))&amp;",",","&amp;SUBSTITUTE(input_industry," ","")&amp;",")))=COUNTA(TEXTSPLIT(FO17,",")))))</f>
        <v/>
      </c>
      <c r="JJ17" s="19">
        <f>AND(IF(FQ17="",TRUE,IF(input_location="",FALSE,SUMPRODUCT(--ISNUMBER(SEARCH(","&amp;TRIM(TEXTSPLIT(FQ17,","))&amp;",",","&amp;SUBSTITUTE(input_location," ","")&amp;",")))&gt;0)),IF(FS17="",TRUE,IF(input_location="",FALSE,SUMPRODUCT(--ISNUMBER(SEARCH(","&amp;TRIM(TEXTSPLIT(FS17,","))&amp;",",","&amp;SUBSTITUTE(input_location," ","")&amp;",")))=COUNTA(TEXTSPLIT(FS17,",")))),IF(FU17="",TRUE,IF(input_location="",TRUE,SUMPRODUCT(--ISNUMBER(SEARCH(","&amp;TRIM(TEXTSPLIT(FU17,","))&amp;",",","&amp;SUBSTITUTE(input_location," ","")&amp;",")))=0)),IF(FW17="",TRUE,IF(input_location="",FALSE,SUMPRODUCT(--ISNUMBER(SEARCH(","&amp;TRIM(TEXTSPLIT(FW17,","))&amp;",",","&amp;SUBSTITUTE(input_location," ","")&amp;",")))&gt;0)),IF(FY17="",TRUE,IF(input_location="",FALSE,SUMPRODUCT(--ISNUMBER(SEARCH(","&amp;TRIM(TEXTSPLIT(FY17,","))&amp;",",","&amp;SUBSTITUTE(input_location," ","")&amp;",")))=COUNTA(TEXTSPLIT(FY17,",")))))</f>
        <v/>
      </c>
      <c r="JK17" s="19">
        <f>AND(IF(GA17="",TRUE,IF(input_modality="",FALSE,SUMPRODUCT(--ISNUMBER(SEARCH(","&amp;TRIM(TEXTSPLIT(GA17,","))&amp;",",","&amp;SUBSTITUTE(input_modality," ","")&amp;",")))&gt;0)),IF(GC17="",TRUE,IF(input_modality="",FALSE,SUMPRODUCT(--ISNUMBER(SEARCH(","&amp;TRIM(TEXTSPLIT(GC17,","))&amp;",",","&amp;SUBSTITUTE(input_modality," ","")&amp;",")))=COUNTA(TEXTSPLIT(GC17,",")))),IF(GE17="",TRUE,IF(input_modality="",TRUE,SUMPRODUCT(--ISNUMBER(SEARCH(","&amp;TRIM(TEXTSPLIT(GE17,","))&amp;",",","&amp;SUBSTITUTE(input_modality," ","")&amp;",")))=0)),IF(GG17="",TRUE,IF(input_modality="",FALSE,SUMPRODUCT(--ISNUMBER(SEARCH(","&amp;TRIM(TEXTSPLIT(GG17,","))&amp;",",","&amp;SUBSTITUTE(input_modality," ","")&amp;",")))&gt;0)),IF(GI17="",TRUE,IF(input_modality="",FALSE,SUMPRODUCT(--ISNUMBER(SEARCH(","&amp;TRIM(TEXTSPLIT(GI17,","))&amp;",",","&amp;SUBSTITUTE(input_modality," ","")&amp;",")))=COUNTA(TEXTSPLIT(GI17,",")))))</f>
        <v/>
      </c>
      <c r="JL17" s="19">
        <f>AND(IF(GK17="",TRUE,IF(input_organizer="",FALSE,SUMPRODUCT(--ISNUMBER(SEARCH(","&amp;TRIM(TEXTSPLIT(GK17,","))&amp;",",","&amp;SUBSTITUTE(input_organizer," ","")&amp;",")))&gt;0)),IF(GM17="",TRUE,IF(input_organizer="",FALSE,SUMPRODUCT(--ISNUMBER(SEARCH(","&amp;TRIM(TEXTSPLIT(GM17,","))&amp;",",","&amp;SUBSTITUTE(input_organizer," ","")&amp;",")))=COUNTA(TEXTSPLIT(GM17,",")))),IF(GO17="",TRUE,IF(input_organizer="",TRUE,SUMPRODUCT(--ISNUMBER(SEARCH(","&amp;TRIM(TEXTSPLIT(GO17,","))&amp;",",","&amp;SUBSTITUTE(input_organizer," ","")&amp;",")))=0)),IF(GQ17="",TRUE,IF(input_organizer="",FALSE,SUMPRODUCT(--ISNUMBER(SEARCH(","&amp;TRIM(TEXTSPLIT(GQ17,","))&amp;",",","&amp;SUBSTITUTE(input_organizer," ","")&amp;",")))&gt;0)),IF(GS17="",TRUE,IF(input_organizer="",FALSE,SUMPRODUCT(--ISNUMBER(SEARCH(","&amp;TRIM(TEXTSPLIT(GS17,","))&amp;",",","&amp;SUBSTITUTE(input_organizer," ","")&amp;",")))=COUNTA(TEXTSPLIT(GS17,",")))))</f>
        <v/>
      </c>
      <c r="JM17" s="19">
        <f>AND(IF(GU17="",TRUE,IF(input_profile_type="",FALSE,SUMPRODUCT(--ISNUMBER(SEARCH(","&amp;TRIM(TEXTSPLIT(GU17,","))&amp;",",","&amp;SUBSTITUTE(input_profile_type," ","")&amp;",")))&gt;0)),IF(GW17="",TRUE,IF(input_profile_type="",FALSE,SUMPRODUCT(--ISNUMBER(SEARCH(","&amp;TRIM(TEXTSPLIT(GW17,","))&amp;",",","&amp;SUBSTITUTE(input_profile_type," ","")&amp;",")))=COUNTA(TEXTSPLIT(GW17,",")))),IF(GY17="",TRUE,IF(input_profile_type="",TRUE,SUMPRODUCT(--ISNUMBER(SEARCH(","&amp;TRIM(TEXTSPLIT(GY17,","))&amp;",",","&amp;SUBSTITUTE(input_profile_type," ","")&amp;",")))=0)),IF(HA17="",TRUE,IF(input_profile_type="",FALSE,SUMPRODUCT(--ISNUMBER(SEARCH(","&amp;TRIM(TEXTSPLIT(HA17,","))&amp;",",","&amp;SUBSTITUTE(input_profile_type," ","")&amp;",")))&gt;0)),IF(HC17="",TRUE,IF(input_profile_type="",FALSE,SUMPRODUCT(--ISNUMBER(SEARCH(","&amp;TRIM(TEXTSPLIT(HC17,","))&amp;",",","&amp;SUBSTITUTE(input_profile_type," ","")&amp;",")))=COUNTA(TEXTSPLIT(HC17,",")))))</f>
        <v/>
      </c>
      <c r="JN17" s="19">
        <f>AND(IF(HE17="",TRUE,IF(input_program="",FALSE,SUMPRODUCT(--ISNUMBER(SEARCH(","&amp;TRIM(TEXTSPLIT(HE17,","))&amp;",",","&amp;SUBSTITUTE(input_program," ","")&amp;",")))&gt;0)),IF(HG17="",TRUE,IF(input_program="",FALSE,SUMPRODUCT(--ISNUMBER(SEARCH(","&amp;TRIM(TEXTSPLIT(HG17,","))&amp;",",","&amp;SUBSTITUTE(input_program," ","")&amp;",")))=COUNTA(TEXTSPLIT(HG17,",")))),IF(HI17="",TRUE,IF(input_program="",TRUE,SUMPRODUCT(--ISNUMBER(SEARCH(","&amp;TRIM(TEXTSPLIT(HI17,","))&amp;",",","&amp;SUBSTITUTE(input_program," ","")&amp;",")))=0)),IF(HK17="",TRUE,IF(input_program="",FALSE,SUMPRODUCT(--ISNUMBER(SEARCH(","&amp;TRIM(TEXTSPLIT(HK17,","))&amp;",",","&amp;SUBSTITUTE(input_program," ","")&amp;",")))&gt;0)),IF(HM17="",TRUE,IF(input_program="",FALSE,SUMPRODUCT(--ISNUMBER(SEARCH(","&amp;TRIM(TEXTSPLIT(HM17,","))&amp;",",","&amp;SUBSTITUTE(input_program," ","")&amp;",")))=COUNTA(TEXTSPLIT(HM17,",")))))</f>
        <v/>
      </c>
      <c r="JO17" s="19">
        <f>AND(IF(HO17="",TRUE,IF(input_story_categories="",FALSE,SUMPRODUCT(--ISNUMBER(SEARCH(","&amp;TRIM(TEXTSPLIT(HO17,","))&amp;",",","&amp;SUBSTITUTE(input_story_categories," ","")&amp;",")))&gt;0)),IF(HQ17="",TRUE,IF(input_story_categories="",FALSE,SUMPRODUCT(--ISNUMBER(SEARCH(","&amp;TRIM(TEXTSPLIT(HQ17,","))&amp;",",","&amp;SUBSTITUTE(input_story_categories," ","")&amp;",")))=COUNTA(TEXTSPLIT(HQ17,",")))),IF(HS17="",TRUE,IF(input_story_categories="",TRUE,SUMPRODUCT(--ISNUMBER(SEARCH(","&amp;TRIM(TEXTSPLIT(HS17,","))&amp;",",","&amp;SUBSTITUTE(input_story_categories," ","")&amp;",")))=0)),IF(HU17="",TRUE,IF(input_story_categories="",FALSE,SUMPRODUCT(--ISNUMBER(SEARCH(","&amp;TRIM(TEXTSPLIT(HU17,","))&amp;",",","&amp;SUBSTITUTE(input_story_categories," ","")&amp;",")))&gt;0)),IF(HW17="",TRUE,IF(input_story_categories="",FALSE,SUMPRODUCT(--ISNUMBER(SEARCH(","&amp;TRIM(TEXTSPLIT(HW17,","))&amp;",",","&amp;SUBSTITUTE(input_story_categories," ","")&amp;",")))=COUNTA(TEXTSPLIT(HW17,",")))))</f>
        <v/>
      </c>
      <c r="JP17" s="19">
        <f>AND(IF(HY17="",TRUE,IF(input_story_type="",FALSE,SUMPRODUCT(--ISNUMBER(SEARCH(","&amp;TRIM(TEXTSPLIT(HY17,","))&amp;",",","&amp;SUBSTITUTE(input_story_type," ","")&amp;",")))&gt;0)),IF(IA17="",TRUE,IF(input_story_type="",FALSE,SUMPRODUCT(--ISNUMBER(SEARCH(","&amp;TRIM(TEXTSPLIT(IA17,","))&amp;",",","&amp;SUBSTITUTE(input_story_type," ","")&amp;",")))=COUNTA(TEXTSPLIT(IA17,",")))),IF(IC17="",TRUE,IF(input_story_type="",TRUE,SUMPRODUCT(--ISNUMBER(SEARCH(","&amp;TRIM(TEXTSPLIT(IC17,","))&amp;",",","&amp;SUBSTITUTE(input_story_type," ","")&amp;",")))=0)),IF(IE17="",TRUE,IF(input_story_type="",FALSE,SUMPRODUCT(--ISNUMBER(SEARCH(","&amp;TRIM(TEXTSPLIT(IE17,","))&amp;",",","&amp;SUBSTITUTE(input_story_type," ","")&amp;",")))&gt;0)),IF(IG17="",TRUE,IF(input_story_type="",FALSE,SUMPRODUCT(--ISNUMBER(SEARCH(","&amp;TRIM(TEXTSPLIT(IG17,","))&amp;",",","&amp;SUBSTITUTE(input_story_type," ","")&amp;",")))=COUNTA(TEXTSPLIT(IG17,",")))))</f>
        <v/>
      </c>
      <c r="JQ17" s="19">
        <f>AND(IF(II17="",TRUE,IF(input_topics="",FALSE,SUMPRODUCT(--ISNUMBER(SEARCH(","&amp;TRIM(TEXTSPLIT(II17,","))&amp;",",","&amp;SUBSTITUTE(input_topics," ","")&amp;",")))&gt;0)),IF(IK17="",TRUE,IF(input_topics="",FALSE,SUMPRODUCT(--ISNUMBER(SEARCH(","&amp;TRIM(TEXTSPLIT(IK17,","))&amp;",",","&amp;SUBSTITUTE(input_topics," ","")&amp;",")))=COUNTA(TEXTSPLIT(IK17,",")))),IF(IM17="",TRUE,IF(input_topics="",TRUE,SUMPRODUCT(--ISNUMBER(SEARCH(","&amp;TRIM(TEXTSPLIT(IM17,","))&amp;",",","&amp;SUBSTITUTE(input_topics," ","")&amp;",")))=0)),IF(IO17="",TRUE,IF(input_topics="",FALSE,SUMPRODUCT(--ISNUMBER(SEARCH(","&amp;TRIM(TEXTSPLIT(IO17,","))&amp;",",","&amp;SUBSTITUTE(input_topics," ","")&amp;",")))&gt;0)),IF(IQ17="",TRUE,IF(input_topics="",FALSE,SUMPRODUCT(--ISNUMBER(SEARCH(","&amp;TRIM(TEXTSPLIT(IQ17,","))&amp;",",","&amp;SUBSTITUTE(input_topics," ","")&amp;",")))=COUNTA(TEXTSPLIT(IQ17,",")))))</f>
        <v/>
      </c>
    </row>
    <row r="18">
      <c r="A18" s="24">
        <f>IF(NOT(IS18),"Excluded",IF(AND(IT18,IU18,IV18,IW18,IX18,IY18,IZ18,JA18,JB18,JC18,JD18,JE18,JF18,JG18,JH18,JI18,JJ18,JK18,JL18,JM18,JN18,JO18,JP18,JQ18),IF(I18&gt;0,"Eligible but limited","Will appear"),"Excluded"))</f>
        <v/>
      </c>
      <c r="B18" s="24" t="inlineStr">
        <is>
          <t>All Publications by Author</t>
        </is>
      </c>
      <c r="C18" s="27" t="inlineStr">
        <is>
          <t>/faculty-research/faculty-directory/anjani-jain</t>
        </is>
      </c>
      <c r="D18" s="24" t="inlineStr">
        <is>
          <t>/faculty-research/faculty-directory/anjani-jain</t>
        </is>
      </c>
      <c r="E18" s="24" t="n">
        <v>1</v>
      </c>
      <c r="F18" s="24" t="inlineStr">
        <is>
          <t>publications</t>
        </is>
      </c>
      <c r="G18" s="24" t="inlineStr">
        <is>
          <t>publication_teaser_list</t>
        </is>
      </c>
      <c r="H18" s="24" t="inlineStr">
        <is>
          <t>publication_teaser_list_all_by_author</t>
        </is>
      </c>
      <c r="I18" s="24" t="n"/>
      <c r="J18" s="24" t="inlineStr">
        <is>
          <t>View/config rules</t>
        </is>
      </c>
      <c r="K18" s="24" t="inlineStr">
        <is>
          <t>Page placement</t>
        </is>
      </c>
      <c r="L18" s="24" t="inlineStr">
        <is>
          <t>Content type: publications; Source: View/config rules</t>
        </is>
      </c>
      <c r="IS18" s="19">
        <f>IF(input_content_type="",FALSE,ISNUMBER(SEARCH(","&amp;LOWER(input_content_type)&amp;",",","&amp;LOWER(SUBSTITUTE(F18," ",""))&amp;",")))</f>
        <v/>
      </c>
      <c r="IT18" s="19">
        <f>AND(IF(M18="",TRUE,IF(input_affiliations="",FALSE,SUMPRODUCT(--ISNUMBER(SEARCH(","&amp;TRIM(TEXTSPLIT(M18,","))&amp;",",","&amp;SUBSTITUTE(input_affiliations," ","")&amp;",")))&gt;0)),IF(O18="",TRUE,IF(input_affiliations="",FALSE,SUMPRODUCT(--ISNUMBER(SEARCH(","&amp;TRIM(TEXTSPLIT(O18,","))&amp;",",","&amp;SUBSTITUTE(input_affiliations," ","")&amp;",")))=COUNTA(TEXTSPLIT(O18,",")))),IF(Q18="",TRUE,IF(input_affiliations="",TRUE,SUMPRODUCT(--ISNUMBER(SEARCH(","&amp;TRIM(TEXTSPLIT(Q18,","))&amp;",",","&amp;SUBSTITUTE(input_affiliations," ","")&amp;",")))=0)),IF(S18="",TRUE,IF(input_affiliations="",FALSE,SUMPRODUCT(--ISNUMBER(SEARCH(","&amp;TRIM(TEXTSPLIT(S18,","))&amp;",",","&amp;SUBSTITUTE(input_affiliations," ","")&amp;",")))&gt;0)),IF(U18="",TRUE,IF(input_affiliations="",FALSE,SUMPRODUCT(--ISNUMBER(SEARCH(","&amp;TRIM(TEXTSPLIT(U18,","))&amp;",",","&amp;SUBSTITUTE(input_affiliations," ","")&amp;",")))=COUNTA(TEXTSPLIT(U18,",")))))</f>
        <v/>
      </c>
      <c r="IU18" s="19">
        <f>AND(IF(W18="",TRUE,IF(input_announcement_category="",FALSE,SUMPRODUCT(--ISNUMBER(SEARCH(","&amp;TRIM(TEXTSPLIT(W18,","))&amp;",",","&amp;SUBSTITUTE(input_announcement_category," ","")&amp;",")))&gt;0)),IF(Y18="",TRUE,IF(input_announcement_category="",FALSE,SUMPRODUCT(--ISNUMBER(SEARCH(","&amp;TRIM(TEXTSPLIT(Y18,","))&amp;",",","&amp;SUBSTITUTE(input_announcement_category," ","")&amp;",")))=COUNTA(TEXTSPLIT(Y18,",")))),IF(AA18="",TRUE,IF(input_announcement_category="",TRUE,SUMPRODUCT(--ISNUMBER(SEARCH(","&amp;TRIM(TEXTSPLIT(AA18,","))&amp;",",","&amp;SUBSTITUTE(input_announcement_category," ","")&amp;",")))=0)),IF(AC18="",TRUE,IF(input_announcement_category="",FALSE,SUMPRODUCT(--ISNUMBER(SEARCH(","&amp;TRIM(TEXTSPLIT(AC18,","))&amp;",",","&amp;SUBSTITUTE(input_announcement_category," ","")&amp;",")))&gt;0)),IF(AE18="",TRUE,IF(input_announcement_category="",FALSE,SUMPRODUCT(--ISNUMBER(SEARCH(","&amp;TRIM(TEXTSPLIT(AE18,","))&amp;",",","&amp;SUBSTITUTE(input_announcement_category," ","")&amp;",")))=COUNTA(TEXTSPLIT(AE18,",")))))</f>
        <v/>
      </c>
      <c r="IV18" s="19">
        <f>AND(IF(AG18="",TRUE,IF(input_area_of_focus="",FALSE,SUMPRODUCT(--ISNUMBER(SEARCH(","&amp;TRIM(TEXTSPLIT(AG18,","))&amp;",",","&amp;SUBSTITUTE(input_area_of_focus," ","")&amp;",")))&gt;0)),IF(AI18="",TRUE,IF(input_area_of_focus="",FALSE,SUMPRODUCT(--ISNUMBER(SEARCH(","&amp;TRIM(TEXTSPLIT(AI18,","))&amp;",",","&amp;SUBSTITUTE(input_area_of_focus," ","")&amp;",")))=COUNTA(TEXTSPLIT(AI18,",")))),IF(AK18="",TRUE,IF(input_area_of_focus="",TRUE,SUMPRODUCT(--ISNUMBER(SEARCH(","&amp;TRIM(TEXTSPLIT(AK18,","))&amp;",",","&amp;SUBSTITUTE(input_area_of_focus," ","")&amp;",")))=0)),IF(AM18="",TRUE,IF(input_area_of_focus="",FALSE,SUMPRODUCT(--ISNUMBER(SEARCH(","&amp;TRIM(TEXTSPLIT(AM18,","))&amp;",",","&amp;SUBSTITUTE(input_area_of_focus," ","")&amp;",")))&gt;0)),IF(AO18="",TRUE,IF(input_area_of_focus="",FALSE,SUMPRODUCT(--ISNUMBER(SEARCH(","&amp;TRIM(TEXTSPLIT(AO18,","))&amp;",",","&amp;SUBSTITUTE(input_area_of_focus," ","")&amp;",")))=COUNTA(TEXTSPLIT(AO18,",")))))</f>
        <v/>
      </c>
      <c r="IW18" s="19">
        <f>AND(IF(AQ18="",TRUE,IF(input_audience="",FALSE,SUMPRODUCT(--ISNUMBER(SEARCH(","&amp;TRIM(TEXTSPLIT(AQ18,","))&amp;",",","&amp;SUBSTITUTE(input_audience," ","")&amp;",")))&gt;0)),IF(AS18="",TRUE,IF(input_audience="",FALSE,SUMPRODUCT(--ISNUMBER(SEARCH(","&amp;TRIM(TEXTSPLIT(AS18,","))&amp;",",","&amp;SUBSTITUTE(input_audience," ","")&amp;",")))=COUNTA(TEXTSPLIT(AS18,",")))),IF(AU18="",TRUE,IF(input_audience="",TRUE,SUMPRODUCT(--ISNUMBER(SEARCH(","&amp;TRIM(TEXTSPLIT(AU18,","))&amp;",",","&amp;SUBSTITUTE(input_audience," ","")&amp;",")))=0)),IF(AW18="",TRUE,IF(input_audience="",FALSE,SUMPRODUCT(--ISNUMBER(SEARCH(","&amp;TRIM(TEXTSPLIT(AW18,","))&amp;",",","&amp;SUBSTITUTE(input_audience," ","")&amp;",")))&gt;0)),IF(AY18="",TRUE,IF(input_audience="",FALSE,SUMPRODUCT(--ISNUMBER(SEARCH(","&amp;TRIM(TEXTSPLIT(AY18,","))&amp;",",","&amp;SUBSTITUTE(input_audience," ","")&amp;",")))=COUNTA(TEXTSPLIT(AY18,",")))))</f>
        <v/>
      </c>
      <c r="IX18" s="19">
        <f>AND(IF(BA18="",TRUE,IF(input_challenge_opportunities="",FALSE,SUMPRODUCT(--ISNUMBER(SEARCH(","&amp;TRIM(TEXTSPLIT(BA18,","))&amp;",",","&amp;SUBSTITUTE(input_challenge_opportunities," ","")&amp;",")))&gt;0)),IF(BC18="",TRUE,IF(input_challenge_opportunities="",FALSE,SUMPRODUCT(--ISNUMBER(SEARCH(","&amp;TRIM(TEXTSPLIT(BC18,","))&amp;",",","&amp;SUBSTITUTE(input_challenge_opportunities," ","")&amp;",")))=COUNTA(TEXTSPLIT(BC18,",")))),IF(BE18="",TRUE,IF(input_challenge_opportunities="",TRUE,SUMPRODUCT(--ISNUMBER(SEARCH(","&amp;TRIM(TEXTSPLIT(BE18,","))&amp;",",","&amp;SUBSTITUTE(input_challenge_opportunities," ","")&amp;",")))=0)),IF(BG18="",TRUE,IF(input_challenge_opportunities="",FALSE,SUMPRODUCT(--ISNUMBER(SEARCH(","&amp;TRIM(TEXTSPLIT(BG18,","))&amp;",",","&amp;SUBSTITUTE(input_challenge_opportunities," ","")&amp;",")))&gt;0)),IF(BI18="",TRUE,IF(input_challenge_opportunities="",FALSE,SUMPRODUCT(--ISNUMBER(SEARCH(","&amp;TRIM(TEXTSPLIT(BI18,","))&amp;",",","&amp;SUBSTITUTE(input_challenge_opportunities," ","")&amp;",")))=COUNTA(TEXTSPLIT(BI18,",")))))</f>
        <v/>
      </c>
      <c r="IY18" s="19">
        <f>AND(IF(BK18="",TRUE,IF(input_context="",FALSE,SUMPRODUCT(--ISNUMBER(SEARCH(","&amp;TRIM(TEXTSPLIT(BK18,","))&amp;",",","&amp;SUBSTITUTE(input_context," ","")&amp;",")))&gt;0)),IF(BM18="",TRUE,IF(input_context="",FALSE,SUMPRODUCT(--ISNUMBER(SEARCH(","&amp;TRIM(TEXTSPLIT(BM18,","))&amp;",",","&amp;SUBSTITUTE(input_context," ","")&amp;",")))=COUNTA(TEXTSPLIT(BM18,",")))),IF(BO18="",TRUE,IF(input_context="",TRUE,SUMPRODUCT(--ISNUMBER(SEARCH(","&amp;TRIM(TEXTSPLIT(BO18,","))&amp;",",","&amp;SUBSTITUTE(input_context," ","")&amp;",")))=0)),IF(BQ18="",TRUE,IF(input_context="",FALSE,SUMPRODUCT(--ISNUMBER(SEARCH(","&amp;TRIM(TEXTSPLIT(BQ18,","))&amp;",",","&amp;SUBSTITUTE(input_context," ","")&amp;",")))&gt;0)),IF(BS18="",TRUE,IF(input_context="",FALSE,SUMPRODUCT(--ISNUMBER(SEARCH(","&amp;TRIM(TEXTSPLIT(BS18,","))&amp;",",","&amp;SUBSTITUTE(input_context," ","")&amp;",")))=COUNTA(TEXTSPLIT(BS18,",")))))</f>
        <v/>
      </c>
      <c r="IZ18" s="19">
        <f>AND(IF(BU18="",TRUE,IF(input_enews_announcement_type="",FALSE,SUMPRODUCT(--ISNUMBER(SEARCH(","&amp;TRIM(TEXTSPLIT(BU18,","))&amp;",",","&amp;SUBSTITUTE(input_enews_announcement_type," ","")&amp;",")))&gt;0)),IF(BW18="",TRUE,IF(input_enews_announcement_type="",FALSE,SUMPRODUCT(--ISNUMBER(SEARCH(","&amp;TRIM(TEXTSPLIT(BW18,","))&amp;",",","&amp;SUBSTITUTE(input_enews_announcement_type," ","")&amp;",")))=COUNTA(TEXTSPLIT(BW18,",")))),IF(BY18="",TRUE,IF(input_enews_announcement_type="",TRUE,SUMPRODUCT(--ISNUMBER(SEARCH(","&amp;TRIM(TEXTSPLIT(BY18,","))&amp;",",","&amp;SUBSTITUTE(input_enews_announcement_type," ","")&amp;",")))=0)),IF(CA18="",TRUE,IF(input_enews_announcement_type="",FALSE,SUMPRODUCT(--ISNUMBER(SEARCH(","&amp;TRIM(TEXTSPLIT(CA18,","))&amp;",",","&amp;SUBSTITUTE(input_enews_announcement_type," ","")&amp;",")))&gt;0)),IF(CC18="",TRUE,IF(input_enews_announcement_type="",FALSE,SUMPRODUCT(--ISNUMBER(SEARCH(","&amp;TRIM(TEXTSPLIT(CC18,","))&amp;",",","&amp;SUBSTITUTE(input_enews_announcement_type," ","")&amp;",")))=COUNTA(TEXTSPLIT(CC18,",")))))</f>
        <v/>
      </c>
      <c r="JA18" s="19">
        <f>AND(IF(CE18="",TRUE,IF(input_enews_audience="",FALSE,SUMPRODUCT(--ISNUMBER(SEARCH(","&amp;TRIM(TEXTSPLIT(CE18,","))&amp;",",","&amp;SUBSTITUTE(input_enews_audience," ","")&amp;",")))&gt;0)),IF(CG18="",TRUE,IF(input_enews_audience="",FALSE,SUMPRODUCT(--ISNUMBER(SEARCH(","&amp;TRIM(TEXTSPLIT(CG18,","))&amp;",",","&amp;SUBSTITUTE(input_enews_audience," ","")&amp;",")))=COUNTA(TEXTSPLIT(CG18,",")))),IF(CI18="",TRUE,IF(input_enews_audience="",TRUE,SUMPRODUCT(--ISNUMBER(SEARCH(","&amp;TRIM(TEXTSPLIT(CI18,","))&amp;",",","&amp;SUBSTITUTE(input_enews_audience," ","")&amp;",")))=0)),IF(CK18="",TRUE,IF(input_enews_audience="",FALSE,SUMPRODUCT(--ISNUMBER(SEARCH(","&amp;TRIM(TEXTSPLIT(CK18,","))&amp;",",","&amp;SUBSTITUTE(input_enews_audience," ","")&amp;",")))&gt;0)),IF(CM18="",TRUE,IF(input_enews_audience="",FALSE,SUMPRODUCT(--ISNUMBER(SEARCH(","&amp;TRIM(TEXTSPLIT(CM18,","))&amp;",",","&amp;SUBSTITUTE(input_enews_audience," ","")&amp;",")))=COUNTA(TEXTSPLIT(CM18,",")))))</f>
        <v/>
      </c>
      <c r="JB18" s="19">
        <f>AND(IF(CO18="",TRUE,IF(input_event_location="",FALSE,SUMPRODUCT(--ISNUMBER(SEARCH(","&amp;TRIM(TEXTSPLIT(CO18,","))&amp;",",","&amp;SUBSTITUTE(input_event_location," ","")&amp;",")))&gt;0)),IF(CQ18="",TRUE,IF(input_event_location="",FALSE,SUMPRODUCT(--ISNUMBER(SEARCH(","&amp;TRIM(TEXTSPLIT(CQ18,","))&amp;",",","&amp;SUBSTITUTE(input_event_location," ","")&amp;",")))=COUNTA(TEXTSPLIT(CQ18,",")))),IF(CS18="",TRUE,IF(input_event_location="",TRUE,SUMPRODUCT(--ISNUMBER(SEARCH(","&amp;TRIM(TEXTSPLIT(CS18,","))&amp;",",","&amp;SUBSTITUTE(input_event_location," ","")&amp;",")))=0)),IF(CU18="",TRUE,IF(input_event_location="",FALSE,SUMPRODUCT(--ISNUMBER(SEARCH(","&amp;TRIM(TEXTSPLIT(CU18,","))&amp;",",","&amp;SUBSTITUTE(input_event_location," ","")&amp;",")))&gt;0)),IF(CW18="",TRUE,IF(input_event_location="",FALSE,SUMPRODUCT(--ISNUMBER(SEARCH(","&amp;TRIM(TEXTSPLIT(CW18,","))&amp;",",","&amp;SUBSTITUTE(input_event_location," ","")&amp;",")))=COUNTA(TEXTSPLIT(CW18,",")))))</f>
        <v/>
      </c>
      <c r="JC18" s="19">
        <f>AND(IF(CY18="",TRUE,IF(input_event_type="",FALSE,SUMPRODUCT(--ISNUMBER(SEARCH(","&amp;TRIM(TEXTSPLIT(CY18,","))&amp;",",","&amp;SUBSTITUTE(input_event_type," ","")&amp;",")))&gt;0)),IF(DA18="",TRUE,IF(input_event_type="",FALSE,SUMPRODUCT(--ISNUMBER(SEARCH(","&amp;TRIM(TEXTSPLIT(DA18,","))&amp;",",","&amp;SUBSTITUTE(input_event_type," ","")&amp;",")))=COUNTA(TEXTSPLIT(DA18,",")))),IF(DC18="",TRUE,IF(input_event_type="",TRUE,SUMPRODUCT(--ISNUMBER(SEARCH(","&amp;TRIM(TEXTSPLIT(DC18,","))&amp;",",","&amp;SUBSTITUTE(input_event_type," ","")&amp;",")))=0)),IF(DE18="",TRUE,IF(input_event_type="",FALSE,SUMPRODUCT(--ISNUMBER(SEARCH(","&amp;TRIM(TEXTSPLIT(DE18,","))&amp;",",","&amp;SUBSTITUTE(input_event_type," ","")&amp;",")))&gt;0)),IF(DG18="",TRUE,IF(input_event_type="",FALSE,SUMPRODUCT(--ISNUMBER(SEARCH(","&amp;TRIM(TEXTSPLIT(DG18,","))&amp;",",","&amp;SUBSTITUTE(input_event_type," ","")&amp;",")))=COUNTA(TEXTSPLIT(DG18,",")))))</f>
        <v/>
      </c>
      <c r="JD18" s="19">
        <f>AND(IF(DI18="",TRUE,IF(input_executive_education_focus="",FALSE,SUMPRODUCT(--ISNUMBER(SEARCH(","&amp;TRIM(TEXTSPLIT(DI18,","))&amp;",",","&amp;SUBSTITUTE(input_executive_education_focus," ","")&amp;",")))&gt;0)),IF(DK18="",TRUE,IF(input_executive_education_focus="",FALSE,SUMPRODUCT(--ISNUMBER(SEARCH(","&amp;TRIM(TEXTSPLIT(DK18,","))&amp;",",","&amp;SUBSTITUTE(input_executive_education_focus," ","")&amp;",")))=COUNTA(TEXTSPLIT(DK18,",")))),IF(DM18="",TRUE,IF(input_executive_education_focus="",TRUE,SUMPRODUCT(--ISNUMBER(SEARCH(","&amp;TRIM(TEXTSPLIT(DM18,","))&amp;",",","&amp;SUBSTITUTE(input_executive_education_focus," ","")&amp;",")))=0)),IF(DO18="",TRUE,IF(input_executive_education_focus="",FALSE,SUMPRODUCT(--ISNUMBER(SEARCH(","&amp;TRIM(TEXTSPLIT(DO18,","))&amp;",",","&amp;SUBSTITUTE(input_executive_education_focus," ","")&amp;",")))&gt;0)),IF(DQ18="",TRUE,IF(input_executive_education_focus="",FALSE,SUMPRODUCT(--ISNUMBER(SEARCH(","&amp;TRIM(TEXTSPLIT(DQ18,","))&amp;",",","&amp;SUBSTITUTE(input_executive_education_focus," ","")&amp;",")))=COUNTA(TEXTSPLIT(DQ18,",")))))</f>
        <v/>
      </c>
      <c r="JE18" s="19">
        <f>AND(IF(DS18="",TRUE,IF(input_faculty_category="",FALSE,SUMPRODUCT(--ISNUMBER(SEARCH(","&amp;TRIM(TEXTSPLIT(DS18,","))&amp;",",","&amp;SUBSTITUTE(input_faculty_category," ","")&amp;",")))&gt;0)),IF(DU18="",TRUE,IF(input_faculty_category="",FALSE,SUMPRODUCT(--ISNUMBER(SEARCH(","&amp;TRIM(TEXTSPLIT(DU18,","))&amp;",",","&amp;SUBSTITUTE(input_faculty_category," ","")&amp;",")))=COUNTA(TEXTSPLIT(DU18,",")))),IF(DW18="",TRUE,IF(input_faculty_category="",TRUE,SUMPRODUCT(--ISNUMBER(SEARCH(","&amp;TRIM(TEXTSPLIT(DW18,","))&amp;",",","&amp;SUBSTITUTE(input_faculty_category," ","")&amp;",")))=0)),IF(DY18="",TRUE,IF(input_faculty_category="",FALSE,SUMPRODUCT(--ISNUMBER(SEARCH(","&amp;TRIM(TEXTSPLIT(DY18,","))&amp;",",","&amp;SUBSTITUTE(input_faculty_category," ","")&amp;",")))&gt;0)),IF(EA18="",TRUE,IF(input_faculty_category="",FALSE,SUMPRODUCT(--ISNUMBER(SEARCH(","&amp;TRIM(TEXTSPLIT(EA18,","))&amp;",",","&amp;SUBSTITUTE(input_faculty_category," ","")&amp;",")))=COUNTA(TEXTSPLIT(EA18,",")))))</f>
        <v/>
      </c>
      <c r="JF18" s="19">
        <f>AND(IF(EC18="",TRUE,IF(input_faculty_discipline="",FALSE,SUMPRODUCT(--ISNUMBER(SEARCH(","&amp;TRIM(TEXTSPLIT(EC18,","))&amp;",",","&amp;SUBSTITUTE(input_faculty_discipline," ","")&amp;",")))&gt;0)),IF(EE18="",TRUE,IF(input_faculty_discipline="",FALSE,SUMPRODUCT(--ISNUMBER(SEARCH(","&amp;TRIM(TEXTSPLIT(EE18,","))&amp;",",","&amp;SUBSTITUTE(input_faculty_discipline," ","")&amp;",")))=COUNTA(TEXTSPLIT(EE18,",")))),IF(EG18="",TRUE,IF(input_faculty_discipline="",TRUE,SUMPRODUCT(--ISNUMBER(SEARCH(","&amp;TRIM(TEXTSPLIT(EG18,","))&amp;",",","&amp;SUBSTITUTE(input_faculty_discipline," ","")&amp;",")))=0)),IF(EI18="",TRUE,IF(input_faculty_discipline="",FALSE,SUMPRODUCT(--ISNUMBER(SEARCH(","&amp;TRIM(TEXTSPLIT(EI18,","))&amp;",",","&amp;SUBSTITUTE(input_faculty_discipline," ","")&amp;",")))&gt;0)),IF(EK18="",TRUE,IF(input_faculty_discipline="",FALSE,SUMPRODUCT(--ISNUMBER(SEARCH(","&amp;TRIM(TEXTSPLIT(EK18,","))&amp;",",","&amp;SUBSTITUTE(input_faculty_discipline," ","")&amp;",")))=COUNTA(TEXTSPLIT(EK18,",")))))</f>
        <v/>
      </c>
      <c r="JG18" s="19">
        <f>AND(IF(EM18="",TRUE,IF(input_faculty_expertise="",FALSE,SUMPRODUCT(--ISNUMBER(SEARCH(","&amp;TRIM(TEXTSPLIT(EM18,","))&amp;",",","&amp;SUBSTITUTE(input_faculty_expertise," ","")&amp;",")))&gt;0)),IF(EO18="",TRUE,IF(input_faculty_expertise="",FALSE,SUMPRODUCT(--ISNUMBER(SEARCH(","&amp;TRIM(TEXTSPLIT(EO18,","))&amp;",",","&amp;SUBSTITUTE(input_faculty_expertise," ","")&amp;",")))=COUNTA(TEXTSPLIT(EO18,",")))),IF(EQ18="",TRUE,IF(input_faculty_expertise="",TRUE,SUMPRODUCT(--ISNUMBER(SEARCH(","&amp;TRIM(TEXTSPLIT(EQ18,","))&amp;",",","&amp;SUBSTITUTE(input_faculty_expertise," ","")&amp;",")))=0)),IF(ES18="",TRUE,IF(input_faculty_expertise="",FALSE,SUMPRODUCT(--ISNUMBER(SEARCH(","&amp;TRIM(TEXTSPLIT(ES18,","))&amp;",",","&amp;SUBSTITUTE(input_faculty_expertise," ","")&amp;",")))&gt;0)),IF(EU18="",TRUE,IF(input_faculty_expertise="",FALSE,SUMPRODUCT(--ISNUMBER(SEARCH(","&amp;TRIM(TEXTSPLIT(EU18,","))&amp;",",","&amp;SUBSTITUTE(input_faculty_expertise," ","")&amp;",")))=COUNTA(TEXTSPLIT(EU18,",")))))</f>
        <v/>
      </c>
      <c r="JH18" s="19">
        <f>AND(IF(EW18="",TRUE,IF(input_global_network_school="",FALSE,SUMPRODUCT(--ISNUMBER(SEARCH(","&amp;TRIM(TEXTSPLIT(EW18,","))&amp;",",","&amp;SUBSTITUTE(input_global_network_school," ","")&amp;",")))&gt;0)),IF(EY18="",TRUE,IF(input_global_network_school="",FALSE,SUMPRODUCT(--ISNUMBER(SEARCH(","&amp;TRIM(TEXTSPLIT(EY18,","))&amp;",",","&amp;SUBSTITUTE(input_global_network_school," ","")&amp;",")))=COUNTA(TEXTSPLIT(EY18,",")))),IF(FA18="",TRUE,IF(input_global_network_school="",TRUE,SUMPRODUCT(--ISNUMBER(SEARCH(","&amp;TRIM(TEXTSPLIT(FA18,","))&amp;",",","&amp;SUBSTITUTE(input_global_network_school," ","")&amp;",")))=0)),IF(FC18="",TRUE,IF(input_global_network_school="",FALSE,SUMPRODUCT(--ISNUMBER(SEARCH(","&amp;TRIM(TEXTSPLIT(FC18,","))&amp;",",","&amp;SUBSTITUTE(input_global_network_school," ","")&amp;",")))&gt;0)),IF(FE18="",TRUE,IF(input_global_network_school="",FALSE,SUMPRODUCT(--ISNUMBER(SEARCH(","&amp;TRIM(TEXTSPLIT(FE18,","))&amp;",",","&amp;SUBSTITUTE(input_global_network_school," ","")&amp;",")))=COUNTA(TEXTSPLIT(FE18,",")))))</f>
        <v/>
      </c>
      <c r="JI18" s="19">
        <f>AND(IF(FG18="",TRUE,IF(input_industry="",FALSE,SUMPRODUCT(--ISNUMBER(SEARCH(","&amp;TRIM(TEXTSPLIT(FG18,","))&amp;",",","&amp;SUBSTITUTE(input_industry," ","")&amp;",")))&gt;0)),IF(FI18="",TRUE,IF(input_industry="",FALSE,SUMPRODUCT(--ISNUMBER(SEARCH(","&amp;TRIM(TEXTSPLIT(FI18,","))&amp;",",","&amp;SUBSTITUTE(input_industry," ","")&amp;",")))=COUNTA(TEXTSPLIT(FI18,",")))),IF(FK18="",TRUE,IF(input_industry="",TRUE,SUMPRODUCT(--ISNUMBER(SEARCH(","&amp;TRIM(TEXTSPLIT(FK18,","))&amp;",",","&amp;SUBSTITUTE(input_industry," ","")&amp;",")))=0)),IF(FM18="",TRUE,IF(input_industry="",FALSE,SUMPRODUCT(--ISNUMBER(SEARCH(","&amp;TRIM(TEXTSPLIT(FM18,","))&amp;",",","&amp;SUBSTITUTE(input_industry," ","")&amp;",")))&gt;0)),IF(FO18="",TRUE,IF(input_industry="",FALSE,SUMPRODUCT(--ISNUMBER(SEARCH(","&amp;TRIM(TEXTSPLIT(FO18,","))&amp;",",","&amp;SUBSTITUTE(input_industry," ","")&amp;",")))=COUNTA(TEXTSPLIT(FO18,",")))))</f>
        <v/>
      </c>
      <c r="JJ18" s="19">
        <f>AND(IF(FQ18="",TRUE,IF(input_location="",FALSE,SUMPRODUCT(--ISNUMBER(SEARCH(","&amp;TRIM(TEXTSPLIT(FQ18,","))&amp;",",","&amp;SUBSTITUTE(input_location," ","")&amp;",")))&gt;0)),IF(FS18="",TRUE,IF(input_location="",FALSE,SUMPRODUCT(--ISNUMBER(SEARCH(","&amp;TRIM(TEXTSPLIT(FS18,","))&amp;",",","&amp;SUBSTITUTE(input_location," ","")&amp;",")))=COUNTA(TEXTSPLIT(FS18,",")))),IF(FU18="",TRUE,IF(input_location="",TRUE,SUMPRODUCT(--ISNUMBER(SEARCH(","&amp;TRIM(TEXTSPLIT(FU18,","))&amp;",",","&amp;SUBSTITUTE(input_location," ","")&amp;",")))=0)),IF(FW18="",TRUE,IF(input_location="",FALSE,SUMPRODUCT(--ISNUMBER(SEARCH(","&amp;TRIM(TEXTSPLIT(FW18,","))&amp;",",","&amp;SUBSTITUTE(input_location," ","")&amp;",")))&gt;0)),IF(FY18="",TRUE,IF(input_location="",FALSE,SUMPRODUCT(--ISNUMBER(SEARCH(","&amp;TRIM(TEXTSPLIT(FY18,","))&amp;",",","&amp;SUBSTITUTE(input_location," ","")&amp;",")))=COUNTA(TEXTSPLIT(FY18,",")))))</f>
        <v/>
      </c>
      <c r="JK18" s="19">
        <f>AND(IF(GA18="",TRUE,IF(input_modality="",FALSE,SUMPRODUCT(--ISNUMBER(SEARCH(","&amp;TRIM(TEXTSPLIT(GA18,","))&amp;",",","&amp;SUBSTITUTE(input_modality," ","")&amp;",")))&gt;0)),IF(GC18="",TRUE,IF(input_modality="",FALSE,SUMPRODUCT(--ISNUMBER(SEARCH(","&amp;TRIM(TEXTSPLIT(GC18,","))&amp;",",","&amp;SUBSTITUTE(input_modality," ","")&amp;",")))=COUNTA(TEXTSPLIT(GC18,",")))),IF(GE18="",TRUE,IF(input_modality="",TRUE,SUMPRODUCT(--ISNUMBER(SEARCH(","&amp;TRIM(TEXTSPLIT(GE18,","))&amp;",",","&amp;SUBSTITUTE(input_modality," ","")&amp;",")))=0)),IF(GG18="",TRUE,IF(input_modality="",FALSE,SUMPRODUCT(--ISNUMBER(SEARCH(","&amp;TRIM(TEXTSPLIT(GG18,","))&amp;",",","&amp;SUBSTITUTE(input_modality," ","")&amp;",")))&gt;0)),IF(GI18="",TRUE,IF(input_modality="",FALSE,SUMPRODUCT(--ISNUMBER(SEARCH(","&amp;TRIM(TEXTSPLIT(GI18,","))&amp;",",","&amp;SUBSTITUTE(input_modality," ","")&amp;",")))=COUNTA(TEXTSPLIT(GI18,",")))))</f>
        <v/>
      </c>
      <c r="JL18" s="19">
        <f>AND(IF(GK18="",TRUE,IF(input_organizer="",FALSE,SUMPRODUCT(--ISNUMBER(SEARCH(","&amp;TRIM(TEXTSPLIT(GK18,","))&amp;",",","&amp;SUBSTITUTE(input_organizer," ","")&amp;",")))&gt;0)),IF(GM18="",TRUE,IF(input_organizer="",FALSE,SUMPRODUCT(--ISNUMBER(SEARCH(","&amp;TRIM(TEXTSPLIT(GM18,","))&amp;",",","&amp;SUBSTITUTE(input_organizer," ","")&amp;",")))=COUNTA(TEXTSPLIT(GM18,",")))),IF(GO18="",TRUE,IF(input_organizer="",TRUE,SUMPRODUCT(--ISNUMBER(SEARCH(","&amp;TRIM(TEXTSPLIT(GO18,","))&amp;",",","&amp;SUBSTITUTE(input_organizer," ","")&amp;",")))=0)),IF(GQ18="",TRUE,IF(input_organizer="",FALSE,SUMPRODUCT(--ISNUMBER(SEARCH(","&amp;TRIM(TEXTSPLIT(GQ18,","))&amp;",",","&amp;SUBSTITUTE(input_organizer," ","")&amp;",")))&gt;0)),IF(GS18="",TRUE,IF(input_organizer="",FALSE,SUMPRODUCT(--ISNUMBER(SEARCH(","&amp;TRIM(TEXTSPLIT(GS18,","))&amp;",",","&amp;SUBSTITUTE(input_organizer," ","")&amp;",")))=COUNTA(TEXTSPLIT(GS18,",")))))</f>
        <v/>
      </c>
      <c r="JM18" s="19">
        <f>AND(IF(GU18="",TRUE,IF(input_profile_type="",FALSE,SUMPRODUCT(--ISNUMBER(SEARCH(","&amp;TRIM(TEXTSPLIT(GU18,","))&amp;",",","&amp;SUBSTITUTE(input_profile_type," ","")&amp;",")))&gt;0)),IF(GW18="",TRUE,IF(input_profile_type="",FALSE,SUMPRODUCT(--ISNUMBER(SEARCH(","&amp;TRIM(TEXTSPLIT(GW18,","))&amp;",",","&amp;SUBSTITUTE(input_profile_type," ","")&amp;",")))=COUNTA(TEXTSPLIT(GW18,",")))),IF(GY18="",TRUE,IF(input_profile_type="",TRUE,SUMPRODUCT(--ISNUMBER(SEARCH(","&amp;TRIM(TEXTSPLIT(GY18,","))&amp;",",","&amp;SUBSTITUTE(input_profile_type," ","")&amp;",")))=0)),IF(HA18="",TRUE,IF(input_profile_type="",FALSE,SUMPRODUCT(--ISNUMBER(SEARCH(","&amp;TRIM(TEXTSPLIT(HA18,","))&amp;",",","&amp;SUBSTITUTE(input_profile_type," ","")&amp;",")))&gt;0)),IF(HC18="",TRUE,IF(input_profile_type="",FALSE,SUMPRODUCT(--ISNUMBER(SEARCH(","&amp;TRIM(TEXTSPLIT(HC18,","))&amp;",",","&amp;SUBSTITUTE(input_profile_type," ","")&amp;",")))=COUNTA(TEXTSPLIT(HC18,",")))))</f>
        <v/>
      </c>
      <c r="JN18" s="19">
        <f>AND(IF(HE18="",TRUE,IF(input_program="",FALSE,SUMPRODUCT(--ISNUMBER(SEARCH(","&amp;TRIM(TEXTSPLIT(HE18,","))&amp;",",","&amp;SUBSTITUTE(input_program," ","")&amp;",")))&gt;0)),IF(HG18="",TRUE,IF(input_program="",FALSE,SUMPRODUCT(--ISNUMBER(SEARCH(","&amp;TRIM(TEXTSPLIT(HG18,","))&amp;",",","&amp;SUBSTITUTE(input_program," ","")&amp;",")))=COUNTA(TEXTSPLIT(HG18,",")))),IF(HI18="",TRUE,IF(input_program="",TRUE,SUMPRODUCT(--ISNUMBER(SEARCH(","&amp;TRIM(TEXTSPLIT(HI18,","))&amp;",",","&amp;SUBSTITUTE(input_program," ","")&amp;",")))=0)),IF(HK18="",TRUE,IF(input_program="",FALSE,SUMPRODUCT(--ISNUMBER(SEARCH(","&amp;TRIM(TEXTSPLIT(HK18,","))&amp;",",","&amp;SUBSTITUTE(input_program," ","")&amp;",")))&gt;0)),IF(HM18="",TRUE,IF(input_program="",FALSE,SUMPRODUCT(--ISNUMBER(SEARCH(","&amp;TRIM(TEXTSPLIT(HM18,","))&amp;",",","&amp;SUBSTITUTE(input_program," ","")&amp;",")))=COUNTA(TEXTSPLIT(HM18,",")))))</f>
        <v/>
      </c>
      <c r="JO18" s="19">
        <f>AND(IF(HO18="",TRUE,IF(input_story_categories="",FALSE,SUMPRODUCT(--ISNUMBER(SEARCH(","&amp;TRIM(TEXTSPLIT(HO18,","))&amp;",",","&amp;SUBSTITUTE(input_story_categories," ","")&amp;",")))&gt;0)),IF(HQ18="",TRUE,IF(input_story_categories="",FALSE,SUMPRODUCT(--ISNUMBER(SEARCH(","&amp;TRIM(TEXTSPLIT(HQ18,","))&amp;",",","&amp;SUBSTITUTE(input_story_categories," ","")&amp;",")))=COUNTA(TEXTSPLIT(HQ18,",")))),IF(HS18="",TRUE,IF(input_story_categories="",TRUE,SUMPRODUCT(--ISNUMBER(SEARCH(","&amp;TRIM(TEXTSPLIT(HS18,","))&amp;",",","&amp;SUBSTITUTE(input_story_categories," ","")&amp;",")))=0)),IF(HU18="",TRUE,IF(input_story_categories="",FALSE,SUMPRODUCT(--ISNUMBER(SEARCH(","&amp;TRIM(TEXTSPLIT(HU18,","))&amp;",",","&amp;SUBSTITUTE(input_story_categories," ","")&amp;",")))&gt;0)),IF(HW18="",TRUE,IF(input_story_categories="",FALSE,SUMPRODUCT(--ISNUMBER(SEARCH(","&amp;TRIM(TEXTSPLIT(HW18,","))&amp;",",","&amp;SUBSTITUTE(input_story_categories," ","")&amp;",")))=COUNTA(TEXTSPLIT(HW18,",")))))</f>
        <v/>
      </c>
      <c r="JP18" s="19">
        <f>AND(IF(HY18="",TRUE,IF(input_story_type="",FALSE,SUMPRODUCT(--ISNUMBER(SEARCH(","&amp;TRIM(TEXTSPLIT(HY18,","))&amp;",",","&amp;SUBSTITUTE(input_story_type," ","")&amp;",")))&gt;0)),IF(IA18="",TRUE,IF(input_story_type="",FALSE,SUMPRODUCT(--ISNUMBER(SEARCH(","&amp;TRIM(TEXTSPLIT(IA18,","))&amp;",",","&amp;SUBSTITUTE(input_story_type," ","")&amp;",")))=COUNTA(TEXTSPLIT(IA18,",")))),IF(IC18="",TRUE,IF(input_story_type="",TRUE,SUMPRODUCT(--ISNUMBER(SEARCH(","&amp;TRIM(TEXTSPLIT(IC18,","))&amp;",",","&amp;SUBSTITUTE(input_story_type," ","")&amp;",")))=0)),IF(IE18="",TRUE,IF(input_story_type="",FALSE,SUMPRODUCT(--ISNUMBER(SEARCH(","&amp;TRIM(TEXTSPLIT(IE18,","))&amp;",",","&amp;SUBSTITUTE(input_story_type," ","")&amp;",")))&gt;0)),IF(IG18="",TRUE,IF(input_story_type="",FALSE,SUMPRODUCT(--ISNUMBER(SEARCH(","&amp;TRIM(TEXTSPLIT(IG18,","))&amp;",",","&amp;SUBSTITUTE(input_story_type," ","")&amp;",")))=COUNTA(TEXTSPLIT(IG18,",")))))</f>
        <v/>
      </c>
      <c r="JQ18" s="19">
        <f>AND(IF(II18="",TRUE,IF(input_topics="",FALSE,SUMPRODUCT(--ISNUMBER(SEARCH(","&amp;TRIM(TEXTSPLIT(II18,","))&amp;",",","&amp;SUBSTITUTE(input_topics," ","")&amp;",")))&gt;0)),IF(IK18="",TRUE,IF(input_topics="",FALSE,SUMPRODUCT(--ISNUMBER(SEARCH(","&amp;TRIM(TEXTSPLIT(IK18,","))&amp;",",","&amp;SUBSTITUTE(input_topics," ","")&amp;",")))=COUNTA(TEXTSPLIT(IK18,",")))),IF(IM18="",TRUE,IF(input_topics="",TRUE,SUMPRODUCT(--ISNUMBER(SEARCH(","&amp;TRIM(TEXTSPLIT(IM18,","))&amp;",",","&amp;SUBSTITUTE(input_topics," ","")&amp;",")))=0)),IF(IO18="",TRUE,IF(input_topics="",FALSE,SUMPRODUCT(--ISNUMBER(SEARCH(","&amp;TRIM(TEXTSPLIT(IO18,","))&amp;",",","&amp;SUBSTITUTE(input_topics," ","")&amp;",")))&gt;0)),IF(IQ18="",TRUE,IF(input_topics="",FALSE,SUMPRODUCT(--ISNUMBER(SEARCH(","&amp;TRIM(TEXTSPLIT(IQ18,","))&amp;",",","&amp;SUBSTITUTE(input_topics," ","")&amp;",")))=COUNTA(TEXTSPLIT(IQ18,",")))))</f>
        <v/>
      </c>
    </row>
    <row r="19">
      <c r="A19" s="24">
        <f>IF(NOT(IS19),"Excluded",IF(AND(IT19,IU19,IV19,IW19,IX19,IY19,IZ19,JA19,JB19,JC19,JD19,JE19,JF19,JG19,JH19,JI19,JJ19,JK19,JL19,JM19,JN19,JO19,JP19,JQ19),IF(I19&gt;0,"Eligible but limited","Will appear"),"Excluded"))</f>
        <v/>
      </c>
      <c r="B19" s="24" t="inlineStr">
        <is>
          <t>All Publications by Author</t>
        </is>
      </c>
      <c r="C19" s="27" t="inlineStr">
        <is>
          <t>/faculty-research/faculty-directory/balazs-kovacs</t>
        </is>
      </c>
      <c r="D19" s="24" t="inlineStr">
        <is>
          <t>/faculty-research/faculty-directory/balazs-kovacs</t>
        </is>
      </c>
      <c r="E19" s="24" t="n">
        <v>1</v>
      </c>
      <c r="F19" s="24" t="inlineStr">
        <is>
          <t>publications</t>
        </is>
      </c>
      <c r="G19" s="24" t="inlineStr">
        <is>
          <t>publication_teaser_list</t>
        </is>
      </c>
      <c r="H19" s="24" t="inlineStr">
        <is>
          <t>publication_teaser_list_all_by_author</t>
        </is>
      </c>
      <c r="I19" s="24" t="n"/>
      <c r="J19" s="24" t="inlineStr">
        <is>
          <t>View/config rules</t>
        </is>
      </c>
      <c r="K19" s="24" t="inlineStr">
        <is>
          <t>Page placement</t>
        </is>
      </c>
      <c r="L19" s="24" t="inlineStr">
        <is>
          <t>Content type: publications; Source: View/config rules</t>
        </is>
      </c>
      <c r="IS19" s="19">
        <f>IF(input_content_type="",FALSE,ISNUMBER(SEARCH(","&amp;LOWER(input_content_type)&amp;",",","&amp;LOWER(SUBSTITUTE(F19," ",""))&amp;",")))</f>
        <v/>
      </c>
      <c r="IT19" s="19">
        <f>AND(IF(M19="",TRUE,IF(input_affiliations="",FALSE,SUMPRODUCT(--ISNUMBER(SEARCH(","&amp;TRIM(TEXTSPLIT(M19,","))&amp;",",","&amp;SUBSTITUTE(input_affiliations," ","")&amp;",")))&gt;0)),IF(O19="",TRUE,IF(input_affiliations="",FALSE,SUMPRODUCT(--ISNUMBER(SEARCH(","&amp;TRIM(TEXTSPLIT(O19,","))&amp;",",","&amp;SUBSTITUTE(input_affiliations," ","")&amp;",")))=COUNTA(TEXTSPLIT(O19,",")))),IF(Q19="",TRUE,IF(input_affiliations="",TRUE,SUMPRODUCT(--ISNUMBER(SEARCH(","&amp;TRIM(TEXTSPLIT(Q19,","))&amp;",",","&amp;SUBSTITUTE(input_affiliations," ","")&amp;",")))=0)),IF(S19="",TRUE,IF(input_affiliations="",FALSE,SUMPRODUCT(--ISNUMBER(SEARCH(","&amp;TRIM(TEXTSPLIT(S19,","))&amp;",",","&amp;SUBSTITUTE(input_affiliations," ","")&amp;",")))&gt;0)),IF(U19="",TRUE,IF(input_affiliations="",FALSE,SUMPRODUCT(--ISNUMBER(SEARCH(","&amp;TRIM(TEXTSPLIT(U19,","))&amp;",",","&amp;SUBSTITUTE(input_affiliations," ","")&amp;",")))=COUNTA(TEXTSPLIT(U19,",")))))</f>
        <v/>
      </c>
      <c r="IU19" s="19">
        <f>AND(IF(W19="",TRUE,IF(input_announcement_category="",FALSE,SUMPRODUCT(--ISNUMBER(SEARCH(","&amp;TRIM(TEXTSPLIT(W19,","))&amp;",",","&amp;SUBSTITUTE(input_announcement_category," ","")&amp;",")))&gt;0)),IF(Y19="",TRUE,IF(input_announcement_category="",FALSE,SUMPRODUCT(--ISNUMBER(SEARCH(","&amp;TRIM(TEXTSPLIT(Y19,","))&amp;",",","&amp;SUBSTITUTE(input_announcement_category," ","")&amp;",")))=COUNTA(TEXTSPLIT(Y19,",")))),IF(AA19="",TRUE,IF(input_announcement_category="",TRUE,SUMPRODUCT(--ISNUMBER(SEARCH(","&amp;TRIM(TEXTSPLIT(AA19,","))&amp;",",","&amp;SUBSTITUTE(input_announcement_category," ","")&amp;",")))=0)),IF(AC19="",TRUE,IF(input_announcement_category="",FALSE,SUMPRODUCT(--ISNUMBER(SEARCH(","&amp;TRIM(TEXTSPLIT(AC19,","))&amp;",",","&amp;SUBSTITUTE(input_announcement_category," ","")&amp;",")))&gt;0)),IF(AE19="",TRUE,IF(input_announcement_category="",FALSE,SUMPRODUCT(--ISNUMBER(SEARCH(","&amp;TRIM(TEXTSPLIT(AE19,","))&amp;",",","&amp;SUBSTITUTE(input_announcement_category," ","")&amp;",")))=COUNTA(TEXTSPLIT(AE19,",")))))</f>
        <v/>
      </c>
      <c r="IV19" s="19">
        <f>AND(IF(AG19="",TRUE,IF(input_area_of_focus="",FALSE,SUMPRODUCT(--ISNUMBER(SEARCH(","&amp;TRIM(TEXTSPLIT(AG19,","))&amp;",",","&amp;SUBSTITUTE(input_area_of_focus," ","")&amp;",")))&gt;0)),IF(AI19="",TRUE,IF(input_area_of_focus="",FALSE,SUMPRODUCT(--ISNUMBER(SEARCH(","&amp;TRIM(TEXTSPLIT(AI19,","))&amp;",",","&amp;SUBSTITUTE(input_area_of_focus," ","")&amp;",")))=COUNTA(TEXTSPLIT(AI19,",")))),IF(AK19="",TRUE,IF(input_area_of_focus="",TRUE,SUMPRODUCT(--ISNUMBER(SEARCH(","&amp;TRIM(TEXTSPLIT(AK19,","))&amp;",",","&amp;SUBSTITUTE(input_area_of_focus," ","")&amp;",")))=0)),IF(AM19="",TRUE,IF(input_area_of_focus="",FALSE,SUMPRODUCT(--ISNUMBER(SEARCH(","&amp;TRIM(TEXTSPLIT(AM19,","))&amp;",",","&amp;SUBSTITUTE(input_area_of_focus," ","")&amp;",")))&gt;0)),IF(AO19="",TRUE,IF(input_area_of_focus="",FALSE,SUMPRODUCT(--ISNUMBER(SEARCH(","&amp;TRIM(TEXTSPLIT(AO19,","))&amp;",",","&amp;SUBSTITUTE(input_area_of_focus," ","")&amp;",")))=COUNTA(TEXTSPLIT(AO19,",")))))</f>
        <v/>
      </c>
      <c r="IW19" s="19">
        <f>AND(IF(AQ19="",TRUE,IF(input_audience="",FALSE,SUMPRODUCT(--ISNUMBER(SEARCH(","&amp;TRIM(TEXTSPLIT(AQ19,","))&amp;",",","&amp;SUBSTITUTE(input_audience," ","")&amp;",")))&gt;0)),IF(AS19="",TRUE,IF(input_audience="",FALSE,SUMPRODUCT(--ISNUMBER(SEARCH(","&amp;TRIM(TEXTSPLIT(AS19,","))&amp;",",","&amp;SUBSTITUTE(input_audience," ","")&amp;",")))=COUNTA(TEXTSPLIT(AS19,",")))),IF(AU19="",TRUE,IF(input_audience="",TRUE,SUMPRODUCT(--ISNUMBER(SEARCH(","&amp;TRIM(TEXTSPLIT(AU19,","))&amp;",",","&amp;SUBSTITUTE(input_audience," ","")&amp;",")))=0)),IF(AW19="",TRUE,IF(input_audience="",FALSE,SUMPRODUCT(--ISNUMBER(SEARCH(","&amp;TRIM(TEXTSPLIT(AW19,","))&amp;",",","&amp;SUBSTITUTE(input_audience," ","")&amp;",")))&gt;0)),IF(AY19="",TRUE,IF(input_audience="",FALSE,SUMPRODUCT(--ISNUMBER(SEARCH(","&amp;TRIM(TEXTSPLIT(AY19,","))&amp;",",","&amp;SUBSTITUTE(input_audience," ","")&amp;",")))=COUNTA(TEXTSPLIT(AY19,",")))))</f>
        <v/>
      </c>
      <c r="IX19" s="19">
        <f>AND(IF(BA19="",TRUE,IF(input_challenge_opportunities="",FALSE,SUMPRODUCT(--ISNUMBER(SEARCH(","&amp;TRIM(TEXTSPLIT(BA19,","))&amp;",",","&amp;SUBSTITUTE(input_challenge_opportunities," ","")&amp;",")))&gt;0)),IF(BC19="",TRUE,IF(input_challenge_opportunities="",FALSE,SUMPRODUCT(--ISNUMBER(SEARCH(","&amp;TRIM(TEXTSPLIT(BC19,","))&amp;",",","&amp;SUBSTITUTE(input_challenge_opportunities," ","")&amp;",")))=COUNTA(TEXTSPLIT(BC19,",")))),IF(BE19="",TRUE,IF(input_challenge_opportunities="",TRUE,SUMPRODUCT(--ISNUMBER(SEARCH(","&amp;TRIM(TEXTSPLIT(BE19,","))&amp;",",","&amp;SUBSTITUTE(input_challenge_opportunities," ","")&amp;",")))=0)),IF(BG19="",TRUE,IF(input_challenge_opportunities="",FALSE,SUMPRODUCT(--ISNUMBER(SEARCH(","&amp;TRIM(TEXTSPLIT(BG19,","))&amp;",",","&amp;SUBSTITUTE(input_challenge_opportunities," ","")&amp;",")))&gt;0)),IF(BI19="",TRUE,IF(input_challenge_opportunities="",FALSE,SUMPRODUCT(--ISNUMBER(SEARCH(","&amp;TRIM(TEXTSPLIT(BI19,","))&amp;",",","&amp;SUBSTITUTE(input_challenge_opportunities," ","")&amp;",")))=COUNTA(TEXTSPLIT(BI19,",")))))</f>
        <v/>
      </c>
      <c r="IY19" s="19">
        <f>AND(IF(BK19="",TRUE,IF(input_context="",FALSE,SUMPRODUCT(--ISNUMBER(SEARCH(","&amp;TRIM(TEXTSPLIT(BK19,","))&amp;",",","&amp;SUBSTITUTE(input_context," ","")&amp;",")))&gt;0)),IF(BM19="",TRUE,IF(input_context="",FALSE,SUMPRODUCT(--ISNUMBER(SEARCH(","&amp;TRIM(TEXTSPLIT(BM19,","))&amp;",",","&amp;SUBSTITUTE(input_context," ","")&amp;",")))=COUNTA(TEXTSPLIT(BM19,",")))),IF(BO19="",TRUE,IF(input_context="",TRUE,SUMPRODUCT(--ISNUMBER(SEARCH(","&amp;TRIM(TEXTSPLIT(BO19,","))&amp;",",","&amp;SUBSTITUTE(input_context," ","")&amp;",")))=0)),IF(BQ19="",TRUE,IF(input_context="",FALSE,SUMPRODUCT(--ISNUMBER(SEARCH(","&amp;TRIM(TEXTSPLIT(BQ19,","))&amp;",",","&amp;SUBSTITUTE(input_context," ","")&amp;",")))&gt;0)),IF(BS19="",TRUE,IF(input_context="",FALSE,SUMPRODUCT(--ISNUMBER(SEARCH(","&amp;TRIM(TEXTSPLIT(BS19,","))&amp;",",","&amp;SUBSTITUTE(input_context," ","")&amp;",")))=COUNTA(TEXTSPLIT(BS19,",")))))</f>
        <v/>
      </c>
      <c r="IZ19" s="19">
        <f>AND(IF(BU19="",TRUE,IF(input_enews_announcement_type="",FALSE,SUMPRODUCT(--ISNUMBER(SEARCH(","&amp;TRIM(TEXTSPLIT(BU19,","))&amp;",",","&amp;SUBSTITUTE(input_enews_announcement_type," ","")&amp;",")))&gt;0)),IF(BW19="",TRUE,IF(input_enews_announcement_type="",FALSE,SUMPRODUCT(--ISNUMBER(SEARCH(","&amp;TRIM(TEXTSPLIT(BW19,","))&amp;",",","&amp;SUBSTITUTE(input_enews_announcement_type," ","")&amp;",")))=COUNTA(TEXTSPLIT(BW19,",")))),IF(BY19="",TRUE,IF(input_enews_announcement_type="",TRUE,SUMPRODUCT(--ISNUMBER(SEARCH(","&amp;TRIM(TEXTSPLIT(BY19,","))&amp;",",","&amp;SUBSTITUTE(input_enews_announcement_type," ","")&amp;",")))=0)),IF(CA19="",TRUE,IF(input_enews_announcement_type="",FALSE,SUMPRODUCT(--ISNUMBER(SEARCH(","&amp;TRIM(TEXTSPLIT(CA19,","))&amp;",",","&amp;SUBSTITUTE(input_enews_announcement_type," ","")&amp;",")))&gt;0)),IF(CC19="",TRUE,IF(input_enews_announcement_type="",FALSE,SUMPRODUCT(--ISNUMBER(SEARCH(","&amp;TRIM(TEXTSPLIT(CC19,","))&amp;",",","&amp;SUBSTITUTE(input_enews_announcement_type," ","")&amp;",")))=COUNTA(TEXTSPLIT(CC19,",")))))</f>
        <v/>
      </c>
      <c r="JA19" s="19">
        <f>AND(IF(CE19="",TRUE,IF(input_enews_audience="",FALSE,SUMPRODUCT(--ISNUMBER(SEARCH(","&amp;TRIM(TEXTSPLIT(CE19,","))&amp;",",","&amp;SUBSTITUTE(input_enews_audience," ","")&amp;",")))&gt;0)),IF(CG19="",TRUE,IF(input_enews_audience="",FALSE,SUMPRODUCT(--ISNUMBER(SEARCH(","&amp;TRIM(TEXTSPLIT(CG19,","))&amp;",",","&amp;SUBSTITUTE(input_enews_audience," ","")&amp;",")))=COUNTA(TEXTSPLIT(CG19,",")))),IF(CI19="",TRUE,IF(input_enews_audience="",TRUE,SUMPRODUCT(--ISNUMBER(SEARCH(","&amp;TRIM(TEXTSPLIT(CI19,","))&amp;",",","&amp;SUBSTITUTE(input_enews_audience," ","")&amp;",")))=0)),IF(CK19="",TRUE,IF(input_enews_audience="",FALSE,SUMPRODUCT(--ISNUMBER(SEARCH(","&amp;TRIM(TEXTSPLIT(CK19,","))&amp;",",","&amp;SUBSTITUTE(input_enews_audience," ","")&amp;",")))&gt;0)),IF(CM19="",TRUE,IF(input_enews_audience="",FALSE,SUMPRODUCT(--ISNUMBER(SEARCH(","&amp;TRIM(TEXTSPLIT(CM19,","))&amp;",",","&amp;SUBSTITUTE(input_enews_audience," ","")&amp;",")))=COUNTA(TEXTSPLIT(CM19,",")))))</f>
        <v/>
      </c>
      <c r="JB19" s="19">
        <f>AND(IF(CO19="",TRUE,IF(input_event_location="",FALSE,SUMPRODUCT(--ISNUMBER(SEARCH(","&amp;TRIM(TEXTSPLIT(CO19,","))&amp;",",","&amp;SUBSTITUTE(input_event_location," ","")&amp;",")))&gt;0)),IF(CQ19="",TRUE,IF(input_event_location="",FALSE,SUMPRODUCT(--ISNUMBER(SEARCH(","&amp;TRIM(TEXTSPLIT(CQ19,","))&amp;",",","&amp;SUBSTITUTE(input_event_location," ","")&amp;",")))=COUNTA(TEXTSPLIT(CQ19,",")))),IF(CS19="",TRUE,IF(input_event_location="",TRUE,SUMPRODUCT(--ISNUMBER(SEARCH(","&amp;TRIM(TEXTSPLIT(CS19,","))&amp;",",","&amp;SUBSTITUTE(input_event_location," ","")&amp;",")))=0)),IF(CU19="",TRUE,IF(input_event_location="",FALSE,SUMPRODUCT(--ISNUMBER(SEARCH(","&amp;TRIM(TEXTSPLIT(CU19,","))&amp;",",","&amp;SUBSTITUTE(input_event_location," ","")&amp;",")))&gt;0)),IF(CW19="",TRUE,IF(input_event_location="",FALSE,SUMPRODUCT(--ISNUMBER(SEARCH(","&amp;TRIM(TEXTSPLIT(CW19,","))&amp;",",","&amp;SUBSTITUTE(input_event_location," ","")&amp;",")))=COUNTA(TEXTSPLIT(CW19,",")))))</f>
        <v/>
      </c>
      <c r="JC19" s="19">
        <f>AND(IF(CY19="",TRUE,IF(input_event_type="",FALSE,SUMPRODUCT(--ISNUMBER(SEARCH(","&amp;TRIM(TEXTSPLIT(CY19,","))&amp;",",","&amp;SUBSTITUTE(input_event_type," ","")&amp;",")))&gt;0)),IF(DA19="",TRUE,IF(input_event_type="",FALSE,SUMPRODUCT(--ISNUMBER(SEARCH(","&amp;TRIM(TEXTSPLIT(DA19,","))&amp;",",","&amp;SUBSTITUTE(input_event_type," ","")&amp;",")))=COUNTA(TEXTSPLIT(DA19,",")))),IF(DC19="",TRUE,IF(input_event_type="",TRUE,SUMPRODUCT(--ISNUMBER(SEARCH(","&amp;TRIM(TEXTSPLIT(DC19,","))&amp;",",","&amp;SUBSTITUTE(input_event_type," ","")&amp;",")))=0)),IF(DE19="",TRUE,IF(input_event_type="",FALSE,SUMPRODUCT(--ISNUMBER(SEARCH(","&amp;TRIM(TEXTSPLIT(DE19,","))&amp;",",","&amp;SUBSTITUTE(input_event_type," ","")&amp;",")))&gt;0)),IF(DG19="",TRUE,IF(input_event_type="",FALSE,SUMPRODUCT(--ISNUMBER(SEARCH(","&amp;TRIM(TEXTSPLIT(DG19,","))&amp;",",","&amp;SUBSTITUTE(input_event_type," ","")&amp;",")))=COUNTA(TEXTSPLIT(DG19,",")))))</f>
        <v/>
      </c>
      <c r="JD19" s="19">
        <f>AND(IF(DI19="",TRUE,IF(input_executive_education_focus="",FALSE,SUMPRODUCT(--ISNUMBER(SEARCH(","&amp;TRIM(TEXTSPLIT(DI19,","))&amp;",",","&amp;SUBSTITUTE(input_executive_education_focus," ","")&amp;",")))&gt;0)),IF(DK19="",TRUE,IF(input_executive_education_focus="",FALSE,SUMPRODUCT(--ISNUMBER(SEARCH(","&amp;TRIM(TEXTSPLIT(DK19,","))&amp;",",","&amp;SUBSTITUTE(input_executive_education_focus," ","")&amp;",")))=COUNTA(TEXTSPLIT(DK19,",")))),IF(DM19="",TRUE,IF(input_executive_education_focus="",TRUE,SUMPRODUCT(--ISNUMBER(SEARCH(","&amp;TRIM(TEXTSPLIT(DM19,","))&amp;",",","&amp;SUBSTITUTE(input_executive_education_focus," ","")&amp;",")))=0)),IF(DO19="",TRUE,IF(input_executive_education_focus="",FALSE,SUMPRODUCT(--ISNUMBER(SEARCH(","&amp;TRIM(TEXTSPLIT(DO19,","))&amp;",",","&amp;SUBSTITUTE(input_executive_education_focus," ","")&amp;",")))&gt;0)),IF(DQ19="",TRUE,IF(input_executive_education_focus="",FALSE,SUMPRODUCT(--ISNUMBER(SEARCH(","&amp;TRIM(TEXTSPLIT(DQ19,","))&amp;",",","&amp;SUBSTITUTE(input_executive_education_focus," ","")&amp;",")))=COUNTA(TEXTSPLIT(DQ19,",")))))</f>
        <v/>
      </c>
      <c r="JE19" s="19">
        <f>AND(IF(DS19="",TRUE,IF(input_faculty_category="",FALSE,SUMPRODUCT(--ISNUMBER(SEARCH(","&amp;TRIM(TEXTSPLIT(DS19,","))&amp;",",","&amp;SUBSTITUTE(input_faculty_category," ","")&amp;",")))&gt;0)),IF(DU19="",TRUE,IF(input_faculty_category="",FALSE,SUMPRODUCT(--ISNUMBER(SEARCH(","&amp;TRIM(TEXTSPLIT(DU19,","))&amp;",",","&amp;SUBSTITUTE(input_faculty_category," ","")&amp;",")))=COUNTA(TEXTSPLIT(DU19,",")))),IF(DW19="",TRUE,IF(input_faculty_category="",TRUE,SUMPRODUCT(--ISNUMBER(SEARCH(","&amp;TRIM(TEXTSPLIT(DW19,","))&amp;",",","&amp;SUBSTITUTE(input_faculty_category," ","")&amp;",")))=0)),IF(DY19="",TRUE,IF(input_faculty_category="",FALSE,SUMPRODUCT(--ISNUMBER(SEARCH(","&amp;TRIM(TEXTSPLIT(DY19,","))&amp;",",","&amp;SUBSTITUTE(input_faculty_category," ","")&amp;",")))&gt;0)),IF(EA19="",TRUE,IF(input_faculty_category="",FALSE,SUMPRODUCT(--ISNUMBER(SEARCH(","&amp;TRIM(TEXTSPLIT(EA19,","))&amp;",",","&amp;SUBSTITUTE(input_faculty_category," ","")&amp;",")))=COUNTA(TEXTSPLIT(EA19,",")))))</f>
        <v/>
      </c>
      <c r="JF19" s="19">
        <f>AND(IF(EC19="",TRUE,IF(input_faculty_discipline="",FALSE,SUMPRODUCT(--ISNUMBER(SEARCH(","&amp;TRIM(TEXTSPLIT(EC19,","))&amp;",",","&amp;SUBSTITUTE(input_faculty_discipline," ","")&amp;",")))&gt;0)),IF(EE19="",TRUE,IF(input_faculty_discipline="",FALSE,SUMPRODUCT(--ISNUMBER(SEARCH(","&amp;TRIM(TEXTSPLIT(EE19,","))&amp;",",","&amp;SUBSTITUTE(input_faculty_discipline," ","")&amp;",")))=COUNTA(TEXTSPLIT(EE19,",")))),IF(EG19="",TRUE,IF(input_faculty_discipline="",TRUE,SUMPRODUCT(--ISNUMBER(SEARCH(","&amp;TRIM(TEXTSPLIT(EG19,","))&amp;",",","&amp;SUBSTITUTE(input_faculty_discipline," ","")&amp;",")))=0)),IF(EI19="",TRUE,IF(input_faculty_discipline="",FALSE,SUMPRODUCT(--ISNUMBER(SEARCH(","&amp;TRIM(TEXTSPLIT(EI19,","))&amp;",",","&amp;SUBSTITUTE(input_faculty_discipline," ","")&amp;",")))&gt;0)),IF(EK19="",TRUE,IF(input_faculty_discipline="",FALSE,SUMPRODUCT(--ISNUMBER(SEARCH(","&amp;TRIM(TEXTSPLIT(EK19,","))&amp;",",","&amp;SUBSTITUTE(input_faculty_discipline," ","")&amp;",")))=COUNTA(TEXTSPLIT(EK19,",")))))</f>
        <v/>
      </c>
      <c r="JG19" s="19">
        <f>AND(IF(EM19="",TRUE,IF(input_faculty_expertise="",FALSE,SUMPRODUCT(--ISNUMBER(SEARCH(","&amp;TRIM(TEXTSPLIT(EM19,","))&amp;",",","&amp;SUBSTITUTE(input_faculty_expertise," ","")&amp;",")))&gt;0)),IF(EO19="",TRUE,IF(input_faculty_expertise="",FALSE,SUMPRODUCT(--ISNUMBER(SEARCH(","&amp;TRIM(TEXTSPLIT(EO19,","))&amp;",",","&amp;SUBSTITUTE(input_faculty_expertise," ","")&amp;",")))=COUNTA(TEXTSPLIT(EO19,",")))),IF(EQ19="",TRUE,IF(input_faculty_expertise="",TRUE,SUMPRODUCT(--ISNUMBER(SEARCH(","&amp;TRIM(TEXTSPLIT(EQ19,","))&amp;",",","&amp;SUBSTITUTE(input_faculty_expertise," ","")&amp;",")))=0)),IF(ES19="",TRUE,IF(input_faculty_expertise="",FALSE,SUMPRODUCT(--ISNUMBER(SEARCH(","&amp;TRIM(TEXTSPLIT(ES19,","))&amp;",",","&amp;SUBSTITUTE(input_faculty_expertise," ","")&amp;",")))&gt;0)),IF(EU19="",TRUE,IF(input_faculty_expertise="",FALSE,SUMPRODUCT(--ISNUMBER(SEARCH(","&amp;TRIM(TEXTSPLIT(EU19,","))&amp;",",","&amp;SUBSTITUTE(input_faculty_expertise," ","")&amp;",")))=COUNTA(TEXTSPLIT(EU19,",")))))</f>
        <v/>
      </c>
      <c r="JH19" s="19">
        <f>AND(IF(EW19="",TRUE,IF(input_global_network_school="",FALSE,SUMPRODUCT(--ISNUMBER(SEARCH(","&amp;TRIM(TEXTSPLIT(EW19,","))&amp;",",","&amp;SUBSTITUTE(input_global_network_school," ","")&amp;",")))&gt;0)),IF(EY19="",TRUE,IF(input_global_network_school="",FALSE,SUMPRODUCT(--ISNUMBER(SEARCH(","&amp;TRIM(TEXTSPLIT(EY19,","))&amp;",",","&amp;SUBSTITUTE(input_global_network_school," ","")&amp;",")))=COUNTA(TEXTSPLIT(EY19,",")))),IF(FA19="",TRUE,IF(input_global_network_school="",TRUE,SUMPRODUCT(--ISNUMBER(SEARCH(","&amp;TRIM(TEXTSPLIT(FA19,","))&amp;",",","&amp;SUBSTITUTE(input_global_network_school," ","")&amp;",")))=0)),IF(FC19="",TRUE,IF(input_global_network_school="",FALSE,SUMPRODUCT(--ISNUMBER(SEARCH(","&amp;TRIM(TEXTSPLIT(FC19,","))&amp;",",","&amp;SUBSTITUTE(input_global_network_school," ","")&amp;",")))&gt;0)),IF(FE19="",TRUE,IF(input_global_network_school="",FALSE,SUMPRODUCT(--ISNUMBER(SEARCH(","&amp;TRIM(TEXTSPLIT(FE19,","))&amp;",",","&amp;SUBSTITUTE(input_global_network_school," ","")&amp;",")))=COUNTA(TEXTSPLIT(FE19,",")))))</f>
        <v/>
      </c>
      <c r="JI19" s="19">
        <f>AND(IF(FG19="",TRUE,IF(input_industry="",FALSE,SUMPRODUCT(--ISNUMBER(SEARCH(","&amp;TRIM(TEXTSPLIT(FG19,","))&amp;",",","&amp;SUBSTITUTE(input_industry," ","")&amp;",")))&gt;0)),IF(FI19="",TRUE,IF(input_industry="",FALSE,SUMPRODUCT(--ISNUMBER(SEARCH(","&amp;TRIM(TEXTSPLIT(FI19,","))&amp;",",","&amp;SUBSTITUTE(input_industry," ","")&amp;",")))=COUNTA(TEXTSPLIT(FI19,",")))),IF(FK19="",TRUE,IF(input_industry="",TRUE,SUMPRODUCT(--ISNUMBER(SEARCH(","&amp;TRIM(TEXTSPLIT(FK19,","))&amp;",",","&amp;SUBSTITUTE(input_industry," ","")&amp;",")))=0)),IF(FM19="",TRUE,IF(input_industry="",FALSE,SUMPRODUCT(--ISNUMBER(SEARCH(","&amp;TRIM(TEXTSPLIT(FM19,","))&amp;",",","&amp;SUBSTITUTE(input_industry," ","")&amp;",")))&gt;0)),IF(FO19="",TRUE,IF(input_industry="",FALSE,SUMPRODUCT(--ISNUMBER(SEARCH(","&amp;TRIM(TEXTSPLIT(FO19,","))&amp;",",","&amp;SUBSTITUTE(input_industry," ","")&amp;",")))=COUNTA(TEXTSPLIT(FO19,",")))))</f>
        <v/>
      </c>
      <c r="JJ19" s="19">
        <f>AND(IF(FQ19="",TRUE,IF(input_location="",FALSE,SUMPRODUCT(--ISNUMBER(SEARCH(","&amp;TRIM(TEXTSPLIT(FQ19,","))&amp;",",","&amp;SUBSTITUTE(input_location," ","")&amp;",")))&gt;0)),IF(FS19="",TRUE,IF(input_location="",FALSE,SUMPRODUCT(--ISNUMBER(SEARCH(","&amp;TRIM(TEXTSPLIT(FS19,","))&amp;",",","&amp;SUBSTITUTE(input_location," ","")&amp;",")))=COUNTA(TEXTSPLIT(FS19,",")))),IF(FU19="",TRUE,IF(input_location="",TRUE,SUMPRODUCT(--ISNUMBER(SEARCH(","&amp;TRIM(TEXTSPLIT(FU19,","))&amp;",",","&amp;SUBSTITUTE(input_location," ","")&amp;",")))=0)),IF(FW19="",TRUE,IF(input_location="",FALSE,SUMPRODUCT(--ISNUMBER(SEARCH(","&amp;TRIM(TEXTSPLIT(FW19,","))&amp;",",","&amp;SUBSTITUTE(input_location," ","")&amp;",")))&gt;0)),IF(FY19="",TRUE,IF(input_location="",FALSE,SUMPRODUCT(--ISNUMBER(SEARCH(","&amp;TRIM(TEXTSPLIT(FY19,","))&amp;",",","&amp;SUBSTITUTE(input_location," ","")&amp;",")))=COUNTA(TEXTSPLIT(FY19,",")))))</f>
        <v/>
      </c>
      <c r="JK19" s="19">
        <f>AND(IF(GA19="",TRUE,IF(input_modality="",FALSE,SUMPRODUCT(--ISNUMBER(SEARCH(","&amp;TRIM(TEXTSPLIT(GA19,","))&amp;",",","&amp;SUBSTITUTE(input_modality," ","")&amp;",")))&gt;0)),IF(GC19="",TRUE,IF(input_modality="",FALSE,SUMPRODUCT(--ISNUMBER(SEARCH(","&amp;TRIM(TEXTSPLIT(GC19,","))&amp;",",","&amp;SUBSTITUTE(input_modality," ","")&amp;",")))=COUNTA(TEXTSPLIT(GC19,",")))),IF(GE19="",TRUE,IF(input_modality="",TRUE,SUMPRODUCT(--ISNUMBER(SEARCH(","&amp;TRIM(TEXTSPLIT(GE19,","))&amp;",",","&amp;SUBSTITUTE(input_modality," ","")&amp;",")))=0)),IF(GG19="",TRUE,IF(input_modality="",FALSE,SUMPRODUCT(--ISNUMBER(SEARCH(","&amp;TRIM(TEXTSPLIT(GG19,","))&amp;",",","&amp;SUBSTITUTE(input_modality," ","")&amp;",")))&gt;0)),IF(GI19="",TRUE,IF(input_modality="",FALSE,SUMPRODUCT(--ISNUMBER(SEARCH(","&amp;TRIM(TEXTSPLIT(GI19,","))&amp;",",","&amp;SUBSTITUTE(input_modality," ","")&amp;",")))=COUNTA(TEXTSPLIT(GI19,",")))))</f>
        <v/>
      </c>
      <c r="JL19" s="19">
        <f>AND(IF(GK19="",TRUE,IF(input_organizer="",FALSE,SUMPRODUCT(--ISNUMBER(SEARCH(","&amp;TRIM(TEXTSPLIT(GK19,","))&amp;",",","&amp;SUBSTITUTE(input_organizer," ","")&amp;",")))&gt;0)),IF(GM19="",TRUE,IF(input_organizer="",FALSE,SUMPRODUCT(--ISNUMBER(SEARCH(","&amp;TRIM(TEXTSPLIT(GM19,","))&amp;",",","&amp;SUBSTITUTE(input_organizer," ","")&amp;",")))=COUNTA(TEXTSPLIT(GM19,",")))),IF(GO19="",TRUE,IF(input_organizer="",TRUE,SUMPRODUCT(--ISNUMBER(SEARCH(","&amp;TRIM(TEXTSPLIT(GO19,","))&amp;",",","&amp;SUBSTITUTE(input_organizer," ","")&amp;",")))=0)),IF(GQ19="",TRUE,IF(input_organizer="",FALSE,SUMPRODUCT(--ISNUMBER(SEARCH(","&amp;TRIM(TEXTSPLIT(GQ19,","))&amp;",",","&amp;SUBSTITUTE(input_organizer," ","")&amp;",")))&gt;0)),IF(GS19="",TRUE,IF(input_organizer="",FALSE,SUMPRODUCT(--ISNUMBER(SEARCH(","&amp;TRIM(TEXTSPLIT(GS19,","))&amp;",",","&amp;SUBSTITUTE(input_organizer," ","")&amp;",")))=COUNTA(TEXTSPLIT(GS19,",")))))</f>
        <v/>
      </c>
      <c r="JM19" s="19">
        <f>AND(IF(GU19="",TRUE,IF(input_profile_type="",FALSE,SUMPRODUCT(--ISNUMBER(SEARCH(","&amp;TRIM(TEXTSPLIT(GU19,","))&amp;",",","&amp;SUBSTITUTE(input_profile_type," ","")&amp;",")))&gt;0)),IF(GW19="",TRUE,IF(input_profile_type="",FALSE,SUMPRODUCT(--ISNUMBER(SEARCH(","&amp;TRIM(TEXTSPLIT(GW19,","))&amp;",",","&amp;SUBSTITUTE(input_profile_type," ","")&amp;",")))=COUNTA(TEXTSPLIT(GW19,",")))),IF(GY19="",TRUE,IF(input_profile_type="",TRUE,SUMPRODUCT(--ISNUMBER(SEARCH(","&amp;TRIM(TEXTSPLIT(GY19,","))&amp;",",","&amp;SUBSTITUTE(input_profile_type," ","")&amp;",")))=0)),IF(HA19="",TRUE,IF(input_profile_type="",FALSE,SUMPRODUCT(--ISNUMBER(SEARCH(","&amp;TRIM(TEXTSPLIT(HA19,","))&amp;",",","&amp;SUBSTITUTE(input_profile_type," ","")&amp;",")))&gt;0)),IF(HC19="",TRUE,IF(input_profile_type="",FALSE,SUMPRODUCT(--ISNUMBER(SEARCH(","&amp;TRIM(TEXTSPLIT(HC19,","))&amp;",",","&amp;SUBSTITUTE(input_profile_type," ","")&amp;",")))=COUNTA(TEXTSPLIT(HC19,",")))))</f>
        <v/>
      </c>
      <c r="JN19" s="19">
        <f>AND(IF(HE19="",TRUE,IF(input_program="",FALSE,SUMPRODUCT(--ISNUMBER(SEARCH(","&amp;TRIM(TEXTSPLIT(HE19,","))&amp;",",","&amp;SUBSTITUTE(input_program," ","")&amp;",")))&gt;0)),IF(HG19="",TRUE,IF(input_program="",FALSE,SUMPRODUCT(--ISNUMBER(SEARCH(","&amp;TRIM(TEXTSPLIT(HG19,","))&amp;",",","&amp;SUBSTITUTE(input_program," ","")&amp;",")))=COUNTA(TEXTSPLIT(HG19,",")))),IF(HI19="",TRUE,IF(input_program="",TRUE,SUMPRODUCT(--ISNUMBER(SEARCH(","&amp;TRIM(TEXTSPLIT(HI19,","))&amp;",",","&amp;SUBSTITUTE(input_program," ","")&amp;",")))=0)),IF(HK19="",TRUE,IF(input_program="",FALSE,SUMPRODUCT(--ISNUMBER(SEARCH(","&amp;TRIM(TEXTSPLIT(HK19,","))&amp;",",","&amp;SUBSTITUTE(input_program," ","")&amp;",")))&gt;0)),IF(HM19="",TRUE,IF(input_program="",FALSE,SUMPRODUCT(--ISNUMBER(SEARCH(","&amp;TRIM(TEXTSPLIT(HM19,","))&amp;",",","&amp;SUBSTITUTE(input_program," ","")&amp;",")))=COUNTA(TEXTSPLIT(HM19,",")))))</f>
        <v/>
      </c>
      <c r="JO19" s="19">
        <f>AND(IF(HO19="",TRUE,IF(input_story_categories="",FALSE,SUMPRODUCT(--ISNUMBER(SEARCH(","&amp;TRIM(TEXTSPLIT(HO19,","))&amp;",",","&amp;SUBSTITUTE(input_story_categories," ","")&amp;",")))&gt;0)),IF(HQ19="",TRUE,IF(input_story_categories="",FALSE,SUMPRODUCT(--ISNUMBER(SEARCH(","&amp;TRIM(TEXTSPLIT(HQ19,","))&amp;",",","&amp;SUBSTITUTE(input_story_categories," ","")&amp;",")))=COUNTA(TEXTSPLIT(HQ19,",")))),IF(HS19="",TRUE,IF(input_story_categories="",TRUE,SUMPRODUCT(--ISNUMBER(SEARCH(","&amp;TRIM(TEXTSPLIT(HS19,","))&amp;",",","&amp;SUBSTITUTE(input_story_categories," ","")&amp;",")))=0)),IF(HU19="",TRUE,IF(input_story_categories="",FALSE,SUMPRODUCT(--ISNUMBER(SEARCH(","&amp;TRIM(TEXTSPLIT(HU19,","))&amp;",",","&amp;SUBSTITUTE(input_story_categories," ","")&amp;",")))&gt;0)),IF(HW19="",TRUE,IF(input_story_categories="",FALSE,SUMPRODUCT(--ISNUMBER(SEARCH(","&amp;TRIM(TEXTSPLIT(HW19,","))&amp;",",","&amp;SUBSTITUTE(input_story_categories," ","")&amp;",")))=COUNTA(TEXTSPLIT(HW19,",")))))</f>
        <v/>
      </c>
      <c r="JP19" s="19">
        <f>AND(IF(HY19="",TRUE,IF(input_story_type="",FALSE,SUMPRODUCT(--ISNUMBER(SEARCH(","&amp;TRIM(TEXTSPLIT(HY19,","))&amp;",",","&amp;SUBSTITUTE(input_story_type," ","")&amp;",")))&gt;0)),IF(IA19="",TRUE,IF(input_story_type="",FALSE,SUMPRODUCT(--ISNUMBER(SEARCH(","&amp;TRIM(TEXTSPLIT(IA19,","))&amp;",",","&amp;SUBSTITUTE(input_story_type," ","")&amp;",")))=COUNTA(TEXTSPLIT(IA19,",")))),IF(IC19="",TRUE,IF(input_story_type="",TRUE,SUMPRODUCT(--ISNUMBER(SEARCH(","&amp;TRIM(TEXTSPLIT(IC19,","))&amp;",",","&amp;SUBSTITUTE(input_story_type," ","")&amp;",")))=0)),IF(IE19="",TRUE,IF(input_story_type="",FALSE,SUMPRODUCT(--ISNUMBER(SEARCH(","&amp;TRIM(TEXTSPLIT(IE19,","))&amp;",",","&amp;SUBSTITUTE(input_story_type," ","")&amp;",")))&gt;0)),IF(IG19="",TRUE,IF(input_story_type="",FALSE,SUMPRODUCT(--ISNUMBER(SEARCH(","&amp;TRIM(TEXTSPLIT(IG19,","))&amp;",",","&amp;SUBSTITUTE(input_story_type," ","")&amp;",")))=COUNTA(TEXTSPLIT(IG19,",")))))</f>
        <v/>
      </c>
      <c r="JQ19" s="19">
        <f>AND(IF(II19="",TRUE,IF(input_topics="",FALSE,SUMPRODUCT(--ISNUMBER(SEARCH(","&amp;TRIM(TEXTSPLIT(II19,","))&amp;",",","&amp;SUBSTITUTE(input_topics," ","")&amp;",")))&gt;0)),IF(IK19="",TRUE,IF(input_topics="",FALSE,SUMPRODUCT(--ISNUMBER(SEARCH(","&amp;TRIM(TEXTSPLIT(IK19,","))&amp;",",","&amp;SUBSTITUTE(input_topics," ","")&amp;",")))=COUNTA(TEXTSPLIT(IK19,",")))),IF(IM19="",TRUE,IF(input_topics="",TRUE,SUMPRODUCT(--ISNUMBER(SEARCH(","&amp;TRIM(TEXTSPLIT(IM19,","))&amp;",",","&amp;SUBSTITUTE(input_topics," ","")&amp;",")))=0)),IF(IO19="",TRUE,IF(input_topics="",FALSE,SUMPRODUCT(--ISNUMBER(SEARCH(","&amp;TRIM(TEXTSPLIT(IO19,","))&amp;",",","&amp;SUBSTITUTE(input_topics," ","")&amp;",")))&gt;0)),IF(IQ19="",TRUE,IF(input_topics="",FALSE,SUMPRODUCT(--ISNUMBER(SEARCH(","&amp;TRIM(TEXTSPLIT(IQ19,","))&amp;",",","&amp;SUBSTITUTE(input_topics," ","")&amp;",")))=COUNTA(TEXTSPLIT(IQ19,",")))))</f>
        <v/>
      </c>
    </row>
    <row r="20">
      <c r="A20" s="24">
        <f>IF(NOT(IS20),"Excluded",IF(AND(IT20,IU20,IV20,IW20,IX20,IY20,IZ20,JA20,JB20,JC20,JD20,JE20,JF20,JG20,JH20,JI20,JJ20,JK20,JL20,JM20,JN20,JO20,JP20,JQ20),IF(I20&gt;0,"Eligible but limited","Will appear"),"Excluded"))</f>
        <v/>
      </c>
      <c r="B20" s="24" t="inlineStr">
        <is>
          <t>All Publications by Author</t>
        </is>
      </c>
      <c r="C20" s="27" t="inlineStr">
        <is>
          <t>/faculty-research/faculty-directory/barry-nalebuff</t>
        </is>
      </c>
      <c r="D20" s="24" t="inlineStr">
        <is>
          <t>/faculty-research/faculty-directory/barry-nalebuff</t>
        </is>
      </c>
      <c r="E20" s="24" t="n">
        <v>1</v>
      </c>
      <c r="F20" s="24" t="inlineStr">
        <is>
          <t>publications</t>
        </is>
      </c>
      <c r="G20" s="24" t="inlineStr">
        <is>
          <t>publication_teaser_list</t>
        </is>
      </c>
      <c r="H20" s="24" t="inlineStr">
        <is>
          <t>publication_teaser_list_all_by_author</t>
        </is>
      </c>
      <c r="I20" s="24" t="n"/>
      <c r="J20" s="24" t="inlineStr">
        <is>
          <t>View/config rules</t>
        </is>
      </c>
      <c r="K20" s="24" t="inlineStr">
        <is>
          <t>Page placement</t>
        </is>
      </c>
      <c r="L20" s="24" t="inlineStr">
        <is>
          <t>Content type: publications; Source: View/config rules</t>
        </is>
      </c>
      <c r="IS20" s="19">
        <f>IF(input_content_type="",FALSE,ISNUMBER(SEARCH(","&amp;LOWER(input_content_type)&amp;",",","&amp;LOWER(SUBSTITUTE(F20," ",""))&amp;",")))</f>
        <v/>
      </c>
      <c r="IT20" s="19">
        <f>AND(IF(M20="",TRUE,IF(input_affiliations="",FALSE,SUMPRODUCT(--ISNUMBER(SEARCH(","&amp;TRIM(TEXTSPLIT(M20,","))&amp;",",","&amp;SUBSTITUTE(input_affiliations," ","")&amp;",")))&gt;0)),IF(O20="",TRUE,IF(input_affiliations="",FALSE,SUMPRODUCT(--ISNUMBER(SEARCH(","&amp;TRIM(TEXTSPLIT(O20,","))&amp;",",","&amp;SUBSTITUTE(input_affiliations," ","")&amp;",")))=COUNTA(TEXTSPLIT(O20,",")))),IF(Q20="",TRUE,IF(input_affiliations="",TRUE,SUMPRODUCT(--ISNUMBER(SEARCH(","&amp;TRIM(TEXTSPLIT(Q20,","))&amp;",",","&amp;SUBSTITUTE(input_affiliations," ","")&amp;",")))=0)),IF(S20="",TRUE,IF(input_affiliations="",FALSE,SUMPRODUCT(--ISNUMBER(SEARCH(","&amp;TRIM(TEXTSPLIT(S20,","))&amp;",",","&amp;SUBSTITUTE(input_affiliations," ","")&amp;",")))&gt;0)),IF(U20="",TRUE,IF(input_affiliations="",FALSE,SUMPRODUCT(--ISNUMBER(SEARCH(","&amp;TRIM(TEXTSPLIT(U20,","))&amp;",",","&amp;SUBSTITUTE(input_affiliations," ","")&amp;",")))=COUNTA(TEXTSPLIT(U20,",")))))</f>
        <v/>
      </c>
      <c r="IU20" s="19">
        <f>AND(IF(W20="",TRUE,IF(input_announcement_category="",FALSE,SUMPRODUCT(--ISNUMBER(SEARCH(","&amp;TRIM(TEXTSPLIT(W20,","))&amp;",",","&amp;SUBSTITUTE(input_announcement_category," ","")&amp;",")))&gt;0)),IF(Y20="",TRUE,IF(input_announcement_category="",FALSE,SUMPRODUCT(--ISNUMBER(SEARCH(","&amp;TRIM(TEXTSPLIT(Y20,","))&amp;",",","&amp;SUBSTITUTE(input_announcement_category," ","")&amp;",")))=COUNTA(TEXTSPLIT(Y20,",")))),IF(AA20="",TRUE,IF(input_announcement_category="",TRUE,SUMPRODUCT(--ISNUMBER(SEARCH(","&amp;TRIM(TEXTSPLIT(AA20,","))&amp;",",","&amp;SUBSTITUTE(input_announcement_category," ","")&amp;",")))=0)),IF(AC20="",TRUE,IF(input_announcement_category="",FALSE,SUMPRODUCT(--ISNUMBER(SEARCH(","&amp;TRIM(TEXTSPLIT(AC20,","))&amp;",",","&amp;SUBSTITUTE(input_announcement_category," ","")&amp;",")))&gt;0)),IF(AE20="",TRUE,IF(input_announcement_category="",FALSE,SUMPRODUCT(--ISNUMBER(SEARCH(","&amp;TRIM(TEXTSPLIT(AE20,","))&amp;",",","&amp;SUBSTITUTE(input_announcement_category," ","")&amp;",")))=COUNTA(TEXTSPLIT(AE20,",")))))</f>
        <v/>
      </c>
      <c r="IV20" s="19">
        <f>AND(IF(AG20="",TRUE,IF(input_area_of_focus="",FALSE,SUMPRODUCT(--ISNUMBER(SEARCH(","&amp;TRIM(TEXTSPLIT(AG20,","))&amp;",",","&amp;SUBSTITUTE(input_area_of_focus," ","")&amp;",")))&gt;0)),IF(AI20="",TRUE,IF(input_area_of_focus="",FALSE,SUMPRODUCT(--ISNUMBER(SEARCH(","&amp;TRIM(TEXTSPLIT(AI20,","))&amp;",",","&amp;SUBSTITUTE(input_area_of_focus," ","")&amp;",")))=COUNTA(TEXTSPLIT(AI20,",")))),IF(AK20="",TRUE,IF(input_area_of_focus="",TRUE,SUMPRODUCT(--ISNUMBER(SEARCH(","&amp;TRIM(TEXTSPLIT(AK20,","))&amp;",",","&amp;SUBSTITUTE(input_area_of_focus," ","")&amp;",")))=0)),IF(AM20="",TRUE,IF(input_area_of_focus="",FALSE,SUMPRODUCT(--ISNUMBER(SEARCH(","&amp;TRIM(TEXTSPLIT(AM20,","))&amp;",",","&amp;SUBSTITUTE(input_area_of_focus," ","")&amp;",")))&gt;0)),IF(AO20="",TRUE,IF(input_area_of_focus="",FALSE,SUMPRODUCT(--ISNUMBER(SEARCH(","&amp;TRIM(TEXTSPLIT(AO20,","))&amp;",",","&amp;SUBSTITUTE(input_area_of_focus," ","")&amp;",")))=COUNTA(TEXTSPLIT(AO20,",")))))</f>
        <v/>
      </c>
      <c r="IW20" s="19">
        <f>AND(IF(AQ20="",TRUE,IF(input_audience="",FALSE,SUMPRODUCT(--ISNUMBER(SEARCH(","&amp;TRIM(TEXTSPLIT(AQ20,","))&amp;",",","&amp;SUBSTITUTE(input_audience," ","")&amp;",")))&gt;0)),IF(AS20="",TRUE,IF(input_audience="",FALSE,SUMPRODUCT(--ISNUMBER(SEARCH(","&amp;TRIM(TEXTSPLIT(AS20,","))&amp;",",","&amp;SUBSTITUTE(input_audience," ","")&amp;",")))=COUNTA(TEXTSPLIT(AS20,",")))),IF(AU20="",TRUE,IF(input_audience="",TRUE,SUMPRODUCT(--ISNUMBER(SEARCH(","&amp;TRIM(TEXTSPLIT(AU20,","))&amp;",",","&amp;SUBSTITUTE(input_audience," ","")&amp;",")))=0)),IF(AW20="",TRUE,IF(input_audience="",FALSE,SUMPRODUCT(--ISNUMBER(SEARCH(","&amp;TRIM(TEXTSPLIT(AW20,","))&amp;",",","&amp;SUBSTITUTE(input_audience," ","")&amp;",")))&gt;0)),IF(AY20="",TRUE,IF(input_audience="",FALSE,SUMPRODUCT(--ISNUMBER(SEARCH(","&amp;TRIM(TEXTSPLIT(AY20,","))&amp;",",","&amp;SUBSTITUTE(input_audience," ","")&amp;",")))=COUNTA(TEXTSPLIT(AY20,",")))))</f>
        <v/>
      </c>
      <c r="IX20" s="19">
        <f>AND(IF(BA20="",TRUE,IF(input_challenge_opportunities="",FALSE,SUMPRODUCT(--ISNUMBER(SEARCH(","&amp;TRIM(TEXTSPLIT(BA20,","))&amp;",",","&amp;SUBSTITUTE(input_challenge_opportunities," ","")&amp;",")))&gt;0)),IF(BC20="",TRUE,IF(input_challenge_opportunities="",FALSE,SUMPRODUCT(--ISNUMBER(SEARCH(","&amp;TRIM(TEXTSPLIT(BC20,","))&amp;",",","&amp;SUBSTITUTE(input_challenge_opportunities," ","")&amp;",")))=COUNTA(TEXTSPLIT(BC20,",")))),IF(BE20="",TRUE,IF(input_challenge_opportunities="",TRUE,SUMPRODUCT(--ISNUMBER(SEARCH(","&amp;TRIM(TEXTSPLIT(BE20,","))&amp;",",","&amp;SUBSTITUTE(input_challenge_opportunities," ","")&amp;",")))=0)),IF(BG20="",TRUE,IF(input_challenge_opportunities="",FALSE,SUMPRODUCT(--ISNUMBER(SEARCH(","&amp;TRIM(TEXTSPLIT(BG20,","))&amp;",",","&amp;SUBSTITUTE(input_challenge_opportunities," ","")&amp;",")))&gt;0)),IF(BI20="",TRUE,IF(input_challenge_opportunities="",FALSE,SUMPRODUCT(--ISNUMBER(SEARCH(","&amp;TRIM(TEXTSPLIT(BI20,","))&amp;",",","&amp;SUBSTITUTE(input_challenge_opportunities," ","")&amp;",")))=COUNTA(TEXTSPLIT(BI20,",")))))</f>
        <v/>
      </c>
      <c r="IY20" s="19">
        <f>AND(IF(BK20="",TRUE,IF(input_context="",FALSE,SUMPRODUCT(--ISNUMBER(SEARCH(","&amp;TRIM(TEXTSPLIT(BK20,","))&amp;",",","&amp;SUBSTITUTE(input_context," ","")&amp;",")))&gt;0)),IF(BM20="",TRUE,IF(input_context="",FALSE,SUMPRODUCT(--ISNUMBER(SEARCH(","&amp;TRIM(TEXTSPLIT(BM20,","))&amp;",",","&amp;SUBSTITUTE(input_context," ","")&amp;",")))=COUNTA(TEXTSPLIT(BM20,",")))),IF(BO20="",TRUE,IF(input_context="",TRUE,SUMPRODUCT(--ISNUMBER(SEARCH(","&amp;TRIM(TEXTSPLIT(BO20,","))&amp;",",","&amp;SUBSTITUTE(input_context," ","")&amp;",")))=0)),IF(BQ20="",TRUE,IF(input_context="",FALSE,SUMPRODUCT(--ISNUMBER(SEARCH(","&amp;TRIM(TEXTSPLIT(BQ20,","))&amp;",",","&amp;SUBSTITUTE(input_context," ","")&amp;",")))&gt;0)),IF(BS20="",TRUE,IF(input_context="",FALSE,SUMPRODUCT(--ISNUMBER(SEARCH(","&amp;TRIM(TEXTSPLIT(BS20,","))&amp;",",","&amp;SUBSTITUTE(input_context," ","")&amp;",")))=COUNTA(TEXTSPLIT(BS20,",")))))</f>
        <v/>
      </c>
      <c r="IZ20" s="19">
        <f>AND(IF(BU20="",TRUE,IF(input_enews_announcement_type="",FALSE,SUMPRODUCT(--ISNUMBER(SEARCH(","&amp;TRIM(TEXTSPLIT(BU20,","))&amp;",",","&amp;SUBSTITUTE(input_enews_announcement_type," ","")&amp;",")))&gt;0)),IF(BW20="",TRUE,IF(input_enews_announcement_type="",FALSE,SUMPRODUCT(--ISNUMBER(SEARCH(","&amp;TRIM(TEXTSPLIT(BW20,","))&amp;",",","&amp;SUBSTITUTE(input_enews_announcement_type," ","")&amp;",")))=COUNTA(TEXTSPLIT(BW20,",")))),IF(BY20="",TRUE,IF(input_enews_announcement_type="",TRUE,SUMPRODUCT(--ISNUMBER(SEARCH(","&amp;TRIM(TEXTSPLIT(BY20,","))&amp;",",","&amp;SUBSTITUTE(input_enews_announcement_type," ","")&amp;",")))=0)),IF(CA20="",TRUE,IF(input_enews_announcement_type="",FALSE,SUMPRODUCT(--ISNUMBER(SEARCH(","&amp;TRIM(TEXTSPLIT(CA20,","))&amp;",",","&amp;SUBSTITUTE(input_enews_announcement_type," ","")&amp;",")))&gt;0)),IF(CC20="",TRUE,IF(input_enews_announcement_type="",FALSE,SUMPRODUCT(--ISNUMBER(SEARCH(","&amp;TRIM(TEXTSPLIT(CC20,","))&amp;",",","&amp;SUBSTITUTE(input_enews_announcement_type," ","")&amp;",")))=COUNTA(TEXTSPLIT(CC20,",")))))</f>
        <v/>
      </c>
      <c r="JA20" s="19">
        <f>AND(IF(CE20="",TRUE,IF(input_enews_audience="",FALSE,SUMPRODUCT(--ISNUMBER(SEARCH(","&amp;TRIM(TEXTSPLIT(CE20,","))&amp;",",","&amp;SUBSTITUTE(input_enews_audience," ","")&amp;",")))&gt;0)),IF(CG20="",TRUE,IF(input_enews_audience="",FALSE,SUMPRODUCT(--ISNUMBER(SEARCH(","&amp;TRIM(TEXTSPLIT(CG20,","))&amp;",",","&amp;SUBSTITUTE(input_enews_audience," ","")&amp;",")))=COUNTA(TEXTSPLIT(CG20,",")))),IF(CI20="",TRUE,IF(input_enews_audience="",TRUE,SUMPRODUCT(--ISNUMBER(SEARCH(","&amp;TRIM(TEXTSPLIT(CI20,","))&amp;",",","&amp;SUBSTITUTE(input_enews_audience," ","")&amp;",")))=0)),IF(CK20="",TRUE,IF(input_enews_audience="",FALSE,SUMPRODUCT(--ISNUMBER(SEARCH(","&amp;TRIM(TEXTSPLIT(CK20,","))&amp;",",","&amp;SUBSTITUTE(input_enews_audience," ","")&amp;",")))&gt;0)),IF(CM20="",TRUE,IF(input_enews_audience="",FALSE,SUMPRODUCT(--ISNUMBER(SEARCH(","&amp;TRIM(TEXTSPLIT(CM20,","))&amp;",",","&amp;SUBSTITUTE(input_enews_audience," ","")&amp;",")))=COUNTA(TEXTSPLIT(CM20,",")))))</f>
        <v/>
      </c>
      <c r="JB20" s="19">
        <f>AND(IF(CO20="",TRUE,IF(input_event_location="",FALSE,SUMPRODUCT(--ISNUMBER(SEARCH(","&amp;TRIM(TEXTSPLIT(CO20,","))&amp;",",","&amp;SUBSTITUTE(input_event_location," ","")&amp;",")))&gt;0)),IF(CQ20="",TRUE,IF(input_event_location="",FALSE,SUMPRODUCT(--ISNUMBER(SEARCH(","&amp;TRIM(TEXTSPLIT(CQ20,","))&amp;",",","&amp;SUBSTITUTE(input_event_location," ","")&amp;",")))=COUNTA(TEXTSPLIT(CQ20,",")))),IF(CS20="",TRUE,IF(input_event_location="",TRUE,SUMPRODUCT(--ISNUMBER(SEARCH(","&amp;TRIM(TEXTSPLIT(CS20,","))&amp;",",","&amp;SUBSTITUTE(input_event_location," ","")&amp;",")))=0)),IF(CU20="",TRUE,IF(input_event_location="",FALSE,SUMPRODUCT(--ISNUMBER(SEARCH(","&amp;TRIM(TEXTSPLIT(CU20,","))&amp;",",","&amp;SUBSTITUTE(input_event_location," ","")&amp;",")))&gt;0)),IF(CW20="",TRUE,IF(input_event_location="",FALSE,SUMPRODUCT(--ISNUMBER(SEARCH(","&amp;TRIM(TEXTSPLIT(CW20,","))&amp;",",","&amp;SUBSTITUTE(input_event_location," ","")&amp;",")))=COUNTA(TEXTSPLIT(CW20,",")))))</f>
        <v/>
      </c>
      <c r="JC20" s="19">
        <f>AND(IF(CY20="",TRUE,IF(input_event_type="",FALSE,SUMPRODUCT(--ISNUMBER(SEARCH(","&amp;TRIM(TEXTSPLIT(CY20,","))&amp;",",","&amp;SUBSTITUTE(input_event_type," ","")&amp;",")))&gt;0)),IF(DA20="",TRUE,IF(input_event_type="",FALSE,SUMPRODUCT(--ISNUMBER(SEARCH(","&amp;TRIM(TEXTSPLIT(DA20,","))&amp;",",","&amp;SUBSTITUTE(input_event_type," ","")&amp;",")))=COUNTA(TEXTSPLIT(DA20,",")))),IF(DC20="",TRUE,IF(input_event_type="",TRUE,SUMPRODUCT(--ISNUMBER(SEARCH(","&amp;TRIM(TEXTSPLIT(DC20,","))&amp;",",","&amp;SUBSTITUTE(input_event_type," ","")&amp;",")))=0)),IF(DE20="",TRUE,IF(input_event_type="",FALSE,SUMPRODUCT(--ISNUMBER(SEARCH(","&amp;TRIM(TEXTSPLIT(DE20,","))&amp;",",","&amp;SUBSTITUTE(input_event_type," ","")&amp;",")))&gt;0)),IF(DG20="",TRUE,IF(input_event_type="",FALSE,SUMPRODUCT(--ISNUMBER(SEARCH(","&amp;TRIM(TEXTSPLIT(DG20,","))&amp;",",","&amp;SUBSTITUTE(input_event_type," ","")&amp;",")))=COUNTA(TEXTSPLIT(DG20,",")))))</f>
        <v/>
      </c>
      <c r="JD20" s="19">
        <f>AND(IF(DI20="",TRUE,IF(input_executive_education_focus="",FALSE,SUMPRODUCT(--ISNUMBER(SEARCH(","&amp;TRIM(TEXTSPLIT(DI20,","))&amp;",",","&amp;SUBSTITUTE(input_executive_education_focus," ","")&amp;",")))&gt;0)),IF(DK20="",TRUE,IF(input_executive_education_focus="",FALSE,SUMPRODUCT(--ISNUMBER(SEARCH(","&amp;TRIM(TEXTSPLIT(DK20,","))&amp;",",","&amp;SUBSTITUTE(input_executive_education_focus," ","")&amp;",")))=COUNTA(TEXTSPLIT(DK20,",")))),IF(DM20="",TRUE,IF(input_executive_education_focus="",TRUE,SUMPRODUCT(--ISNUMBER(SEARCH(","&amp;TRIM(TEXTSPLIT(DM20,","))&amp;",",","&amp;SUBSTITUTE(input_executive_education_focus," ","")&amp;",")))=0)),IF(DO20="",TRUE,IF(input_executive_education_focus="",FALSE,SUMPRODUCT(--ISNUMBER(SEARCH(","&amp;TRIM(TEXTSPLIT(DO20,","))&amp;",",","&amp;SUBSTITUTE(input_executive_education_focus," ","")&amp;",")))&gt;0)),IF(DQ20="",TRUE,IF(input_executive_education_focus="",FALSE,SUMPRODUCT(--ISNUMBER(SEARCH(","&amp;TRIM(TEXTSPLIT(DQ20,","))&amp;",",","&amp;SUBSTITUTE(input_executive_education_focus," ","")&amp;",")))=COUNTA(TEXTSPLIT(DQ20,",")))))</f>
        <v/>
      </c>
      <c r="JE20" s="19">
        <f>AND(IF(DS20="",TRUE,IF(input_faculty_category="",FALSE,SUMPRODUCT(--ISNUMBER(SEARCH(","&amp;TRIM(TEXTSPLIT(DS20,","))&amp;",",","&amp;SUBSTITUTE(input_faculty_category," ","")&amp;",")))&gt;0)),IF(DU20="",TRUE,IF(input_faculty_category="",FALSE,SUMPRODUCT(--ISNUMBER(SEARCH(","&amp;TRIM(TEXTSPLIT(DU20,","))&amp;",",","&amp;SUBSTITUTE(input_faculty_category," ","")&amp;",")))=COUNTA(TEXTSPLIT(DU20,",")))),IF(DW20="",TRUE,IF(input_faculty_category="",TRUE,SUMPRODUCT(--ISNUMBER(SEARCH(","&amp;TRIM(TEXTSPLIT(DW20,","))&amp;",",","&amp;SUBSTITUTE(input_faculty_category," ","")&amp;",")))=0)),IF(DY20="",TRUE,IF(input_faculty_category="",FALSE,SUMPRODUCT(--ISNUMBER(SEARCH(","&amp;TRIM(TEXTSPLIT(DY20,","))&amp;",",","&amp;SUBSTITUTE(input_faculty_category," ","")&amp;",")))&gt;0)),IF(EA20="",TRUE,IF(input_faculty_category="",FALSE,SUMPRODUCT(--ISNUMBER(SEARCH(","&amp;TRIM(TEXTSPLIT(EA20,","))&amp;",",","&amp;SUBSTITUTE(input_faculty_category," ","")&amp;",")))=COUNTA(TEXTSPLIT(EA20,",")))))</f>
        <v/>
      </c>
      <c r="JF20" s="19">
        <f>AND(IF(EC20="",TRUE,IF(input_faculty_discipline="",FALSE,SUMPRODUCT(--ISNUMBER(SEARCH(","&amp;TRIM(TEXTSPLIT(EC20,","))&amp;",",","&amp;SUBSTITUTE(input_faculty_discipline," ","")&amp;",")))&gt;0)),IF(EE20="",TRUE,IF(input_faculty_discipline="",FALSE,SUMPRODUCT(--ISNUMBER(SEARCH(","&amp;TRIM(TEXTSPLIT(EE20,","))&amp;",",","&amp;SUBSTITUTE(input_faculty_discipline," ","")&amp;",")))=COUNTA(TEXTSPLIT(EE20,",")))),IF(EG20="",TRUE,IF(input_faculty_discipline="",TRUE,SUMPRODUCT(--ISNUMBER(SEARCH(","&amp;TRIM(TEXTSPLIT(EG20,","))&amp;",",","&amp;SUBSTITUTE(input_faculty_discipline," ","")&amp;",")))=0)),IF(EI20="",TRUE,IF(input_faculty_discipline="",FALSE,SUMPRODUCT(--ISNUMBER(SEARCH(","&amp;TRIM(TEXTSPLIT(EI20,","))&amp;",",","&amp;SUBSTITUTE(input_faculty_discipline," ","")&amp;",")))&gt;0)),IF(EK20="",TRUE,IF(input_faculty_discipline="",FALSE,SUMPRODUCT(--ISNUMBER(SEARCH(","&amp;TRIM(TEXTSPLIT(EK20,","))&amp;",",","&amp;SUBSTITUTE(input_faculty_discipline," ","")&amp;",")))=COUNTA(TEXTSPLIT(EK20,",")))))</f>
        <v/>
      </c>
      <c r="JG20" s="19">
        <f>AND(IF(EM20="",TRUE,IF(input_faculty_expertise="",FALSE,SUMPRODUCT(--ISNUMBER(SEARCH(","&amp;TRIM(TEXTSPLIT(EM20,","))&amp;",",","&amp;SUBSTITUTE(input_faculty_expertise," ","")&amp;",")))&gt;0)),IF(EO20="",TRUE,IF(input_faculty_expertise="",FALSE,SUMPRODUCT(--ISNUMBER(SEARCH(","&amp;TRIM(TEXTSPLIT(EO20,","))&amp;",",","&amp;SUBSTITUTE(input_faculty_expertise," ","")&amp;",")))=COUNTA(TEXTSPLIT(EO20,",")))),IF(EQ20="",TRUE,IF(input_faculty_expertise="",TRUE,SUMPRODUCT(--ISNUMBER(SEARCH(","&amp;TRIM(TEXTSPLIT(EQ20,","))&amp;",",","&amp;SUBSTITUTE(input_faculty_expertise," ","")&amp;",")))=0)),IF(ES20="",TRUE,IF(input_faculty_expertise="",FALSE,SUMPRODUCT(--ISNUMBER(SEARCH(","&amp;TRIM(TEXTSPLIT(ES20,","))&amp;",",","&amp;SUBSTITUTE(input_faculty_expertise," ","")&amp;",")))&gt;0)),IF(EU20="",TRUE,IF(input_faculty_expertise="",FALSE,SUMPRODUCT(--ISNUMBER(SEARCH(","&amp;TRIM(TEXTSPLIT(EU20,","))&amp;",",","&amp;SUBSTITUTE(input_faculty_expertise," ","")&amp;",")))=COUNTA(TEXTSPLIT(EU20,",")))))</f>
        <v/>
      </c>
      <c r="JH20" s="19">
        <f>AND(IF(EW20="",TRUE,IF(input_global_network_school="",FALSE,SUMPRODUCT(--ISNUMBER(SEARCH(","&amp;TRIM(TEXTSPLIT(EW20,","))&amp;",",","&amp;SUBSTITUTE(input_global_network_school," ","")&amp;",")))&gt;0)),IF(EY20="",TRUE,IF(input_global_network_school="",FALSE,SUMPRODUCT(--ISNUMBER(SEARCH(","&amp;TRIM(TEXTSPLIT(EY20,","))&amp;",",","&amp;SUBSTITUTE(input_global_network_school," ","")&amp;",")))=COUNTA(TEXTSPLIT(EY20,",")))),IF(FA20="",TRUE,IF(input_global_network_school="",TRUE,SUMPRODUCT(--ISNUMBER(SEARCH(","&amp;TRIM(TEXTSPLIT(FA20,","))&amp;",",","&amp;SUBSTITUTE(input_global_network_school," ","")&amp;",")))=0)),IF(FC20="",TRUE,IF(input_global_network_school="",FALSE,SUMPRODUCT(--ISNUMBER(SEARCH(","&amp;TRIM(TEXTSPLIT(FC20,","))&amp;",",","&amp;SUBSTITUTE(input_global_network_school," ","")&amp;",")))&gt;0)),IF(FE20="",TRUE,IF(input_global_network_school="",FALSE,SUMPRODUCT(--ISNUMBER(SEARCH(","&amp;TRIM(TEXTSPLIT(FE20,","))&amp;",",","&amp;SUBSTITUTE(input_global_network_school," ","")&amp;",")))=COUNTA(TEXTSPLIT(FE20,",")))))</f>
        <v/>
      </c>
      <c r="JI20" s="19">
        <f>AND(IF(FG20="",TRUE,IF(input_industry="",FALSE,SUMPRODUCT(--ISNUMBER(SEARCH(","&amp;TRIM(TEXTSPLIT(FG20,","))&amp;",",","&amp;SUBSTITUTE(input_industry," ","")&amp;",")))&gt;0)),IF(FI20="",TRUE,IF(input_industry="",FALSE,SUMPRODUCT(--ISNUMBER(SEARCH(","&amp;TRIM(TEXTSPLIT(FI20,","))&amp;",",","&amp;SUBSTITUTE(input_industry," ","")&amp;",")))=COUNTA(TEXTSPLIT(FI20,",")))),IF(FK20="",TRUE,IF(input_industry="",TRUE,SUMPRODUCT(--ISNUMBER(SEARCH(","&amp;TRIM(TEXTSPLIT(FK20,","))&amp;",",","&amp;SUBSTITUTE(input_industry," ","")&amp;",")))=0)),IF(FM20="",TRUE,IF(input_industry="",FALSE,SUMPRODUCT(--ISNUMBER(SEARCH(","&amp;TRIM(TEXTSPLIT(FM20,","))&amp;",",","&amp;SUBSTITUTE(input_industry," ","")&amp;",")))&gt;0)),IF(FO20="",TRUE,IF(input_industry="",FALSE,SUMPRODUCT(--ISNUMBER(SEARCH(","&amp;TRIM(TEXTSPLIT(FO20,","))&amp;",",","&amp;SUBSTITUTE(input_industry," ","")&amp;",")))=COUNTA(TEXTSPLIT(FO20,",")))))</f>
        <v/>
      </c>
      <c r="JJ20" s="19">
        <f>AND(IF(FQ20="",TRUE,IF(input_location="",FALSE,SUMPRODUCT(--ISNUMBER(SEARCH(","&amp;TRIM(TEXTSPLIT(FQ20,","))&amp;",",","&amp;SUBSTITUTE(input_location," ","")&amp;",")))&gt;0)),IF(FS20="",TRUE,IF(input_location="",FALSE,SUMPRODUCT(--ISNUMBER(SEARCH(","&amp;TRIM(TEXTSPLIT(FS20,","))&amp;",",","&amp;SUBSTITUTE(input_location," ","")&amp;",")))=COUNTA(TEXTSPLIT(FS20,",")))),IF(FU20="",TRUE,IF(input_location="",TRUE,SUMPRODUCT(--ISNUMBER(SEARCH(","&amp;TRIM(TEXTSPLIT(FU20,","))&amp;",",","&amp;SUBSTITUTE(input_location," ","")&amp;",")))=0)),IF(FW20="",TRUE,IF(input_location="",FALSE,SUMPRODUCT(--ISNUMBER(SEARCH(","&amp;TRIM(TEXTSPLIT(FW20,","))&amp;",",","&amp;SUBSTITUTE(input_location," ","")&amp;",")))&gt;0)),IF(FY20="",TRUE,IF(input_location="",FALSE,SUMPRODUCT(--ISNUMBER(SEARCH(","&amp;TRIM(TEXTSPLIT(FY20,","))&amp;",",","&amp;SUBSTITUTE(input_location," ","")&amp;",")))=COUNTA(TEXTSPLIT(FY20,",")))))</f>
        <v/>
      </c>
      <c r="JK20" s="19">
        <f>AND(IF(GA20="",TRUE,IF(input_modality="",FALSE,SUMPRODUCT(--ISNUMBER(SEARCH(","&amp;TRIM(TEXTSPLIT(GA20,","))&amp;",",","&amp;SUBSTITUTE(input_modality," ","")&amp;",")))&gt;0)),IF(GC20="",TRUE,IF(input_modality="",FALSE,SUMPRODUCT(--ISNUMBER(SEARCH(","&amp;TRIM(TEXTSPLIT(GC20,","))&amp;",",","&amp;SUBSTITUTE(input_modality," ","")&amp;",")))=COUNTA(TEXTSPLIT(GC20,",")))),IF(GE20="",TRUE,IF(input_modality="",TRUE,SUMPRODUCT(--ISNUMBER(SEARCH(","&amp;TRIM(TEXTSPLIT(GE20,","))&amp;",",","&amp;SUBSTITUTE(input_modality," ","")&amp;",")))=0)),IF(GG20="",TRUE,IF(input_modality="",FALSE,SUMPRODUCT(--ISNUMBER(SEARCH(","&amp;TRIM(TEXTSPLIT(GG20,","))&amp;",",","&amp;SUBSTITUTE(input_modality," ","")&amp;",")))&gt;0)),IF(GI20="",TRUE,IF(input_modality="",FALSE,SUMPRODUCT(--ISNUMBER(SEARCH(","&amp;TRIM(TEXTSPLIT(GI20,","))&amp;",",","&amp;SUBSTITUTE(input_modality," ","")&amp;",")))=COUNTA(TEXTSPLIT(GI20,",")))))</f>
        <v/>
      </c>
      <c r="JL20" s="19">
        <f>AND(IF(GK20="",TRUE,IF(input_organizer="",FALSE,SUMPRODUCT(--ISNUMBER(SEARCH(","&amp;TRIM(TEXTSPLIT(GK20,","))&amp;",",","&amp;SUBSTITUTE(input_organizer," ","")&amp;",")))&gt;0)),IF(GM20="",TRUE,IF(input_organizer="",FALSE,SUMPRODUCT(--ISNUMBER(SEARCH(","&amp;TRIM(TEXTSPLIT(GM20,","))&amp;",",","&amp;SUBSTITUTE(input_organizer," ","")&amp;",")))=COUNTA(TEXTSPLIT(GM20,",")))),IF(GO20="",TRUE,IF(input_organizer="",TRUE,SUMPRODUCT(--ISNUMBER(SEARCH(","&amp;TRIM(TEXTSPLIT(GO20,","))&amp;",",","&amp;SUBSTITUTE(input_organizer," ","")&amp;",")))=0)),IF(GQ20="",TRUE,IF(input_organizer="",FALSE,SUMPRODUCT(--ISNUMBER(SEARCH(","&amp;TRIM(TEXTSPLIT(GQ20,","))&amp;",",","&amp;SUBSTITUTE(input_organizer," ","")&amp;",")))&gt;0)),IF(GS20="",TRUE,IF(input_organizer="",FALSE,SUMPRODUCT(--ISNUMBER(SEARCH(","&amp;TRIM(TEXTSPLIT(GS20,","))&amp;",",","&amp;SUBSTITUTE(input_organizer," ","")&amp;",")))=COUNTA(TEXTSPLIT(GS20,",")))))</f>
        <v/>
      </c>
      <c r="JM20" s="19">
        <f>AND(IF(GU20="",TRUE,IF(input_profile_type="",FALSE,SUMPRODUCT(--ISNUMBER(SEARCH(","&amp;TRIM(TEXTSPLIT(GU20,","))&amp;",",","&amp;SUBSTITUTE(input_profile_type," ","")&amp;",")))&gt;0)),IF(GW20="",TRUE,IF(input_profile_type="",FALSE,SUMPRODUCT(--ISNUMBER(SEARCH(","&amp;TRIM(TEXTSPLIT(GW20,","))&amp;",",","&amp;SUBSTITUTE(input_profile_type," ","")&amp;",")))=COUNTA(TEXTSPLIT(GW20,",")))),IF(GY20="",TRUE,IF(input_profile_type="",TRUE,SUMPRODUCT(--ISNUMBER(SEARCH(","&amp;TRIM(TEXTSPLIT(GY20,","))&amp;",",","&amp;SUBSTITUTE(input_profile_type," ","")&amp;",")))=0)),IF(HA20="",TRUE,IF(input_profile_type="",FALSE,SUMPRODUCT(--ISNUMBER(SEARCH(","&amp;TRIM(TEXTSPLIT(HA20,","))&amp;",",","&amp;SUBSTITUTE(input_profile_type," ","")&amp;",")))&gt;0)),IF(HC20="",TRUE,IF(input_profile_type="",FALSE,SUMPRODUCT(--ISNUMBER(SEARCH(","&amp;TRIM(TEXTSPLIT(HC20,","))&amp;",",","&amp;SUBSTITUTE(input_profile_type," ","")&amp;",")))=COUNTA(TEXTSPLIT(HC20,",")))))</f>
        <v/>
      </c>
      <c r="JN20" s="19">
        <f>AND(IF(HE20="",TRUE,IF(input_program="",FALSE,SUMPRODUCT(--ISNUMBER(SEARCH(","&amp;TRIM(TEXTSPLIT(HE20,","))&amp;",",","&amp;SUBSTITUTE(input_program," ","")&amp;",")))&gt;0)),IF(HG20="",TRUE,IF(input_program="",FALSE,SUMPRODUCT(--ISNUMBER(SEARCH(","&amp;TRIM(TEXTSPLIT(HG20,","))&amp;",",","&amp;SUBSTITUTE(input_program," ","")&amp;",")))=COUNTA(TEXTSPLIT(HG20,",")))),IF(HI20="",TRUE,IF(input_program="",TRUE,SUMPRODUCT(--ISNUMBER(SEARCH(","&amp;TRIM(TEXTSPLIT(HI20,","))&amp;",",","&amp;SUBSTITUTE(input_program," ","")&amp;",")))=0)),IF(HK20="",TRUE,IF(input_program="",FALSE,SUMPRODUCT(--ISNUMBER(SEARCH(","&amp;TRIM(TEXTSPLIT(HK20,","))&amp;",",","&amp;SUBSTITUTE(input_program," ","")&amp;",")))&gt;0)),IF(HM20="",TRUE,IF(input_program="",FALSE,SUMPRODUCT(--ISNUMBER(SEARCH(","&amp;TRIM(TEXTSPLIT(HM20,","))&amp;",",","&amp;SUBSTITUTE(input_program," ","")&amp;",")))=COUNTA(TEXTSPLIT(HM20,",")))))</f>
        <v/>
      </c>
      <c r="JO20" s="19">
        <f>AND(IF(HO20="",TRUE,IF(input_story_categories="",FALSE,SUMPRODUCT(--ISNUMBER(SEARCH(","&amp;TRIM(TEXTSPLIT(HO20,","))&amp;",",","&amp;SUBSTITUTE(input_story_categories," ","")&amp;",")))&gt;0)),IF(HQ20="",TRUE,IF(input_story_categories="",FALSE,SUMPRODUCT(--ISNUMBER(SEARCH(","&amp;TRIM(TEXTSPLIT(HQ20,","))&amp;",",","&amp;SUBSTITUTE(input_story_categories," ","")&amp;",")))=COUNTA(TEXTSPLIT(HQ20,",")))),IF(HS20="",TRUE,IF(input_story_categories="",TRUE,SUMPRODUCT(--ISNUMBER(SEARCH(","&amp;TRIM(TEXTSPLIT(HS20,","))&amp;",",","&amp;SUBSTITUTE(input_story_categories," ","")&amp;",")))=0)),IF(HU20="",TRUE,IF(input_story_categories="",FALSE,SUMPRODUCT(--ISNUMBER(SEARCH(","&amp;TRIM(TEXTSPLIT(HU20,","))&amp;",",","&amp;SUBSTITUTE(input_story_categories," ","")&amp;",")))&gt;0)),IF(HW20="",TRUE,IF(input_story_categories="",FALSE,SUMPRODUCT(--ISNUMBER(SEARCH(","&amp;TRIM(TEXTSPLIT(HW20,","))&amp;",",","&amp;SUBSTITUTE(input_story_categories," ","")&amp;",")))=COUNTA(TEXTSPLIT(HW20,",")))))</f>
        <v/>
      </c>
      <c r="JP20" s="19">
        <f>AND(IF(HY20="",TRUE,IF(input_story_type="",FALSE,SUMPRODUCT(--ISNUMBER(SEARCH(","&amp;TRIM(TEXTSPLIT(HY20,","))&amp;",",","&amp;SUBSTITUTE(input_story_type," ","")&amp;",")))&gt;0)),IF(IA20="",TRUE,IF(input_story_type="",FALSE,SUMPRODUCT(--ISNUMBER(SEARCH(","&amp;TRIM(TEXTSPLIT(IA20,","))&amp;",",","&amp;SUBSTITUTE(input_story_type," ","")&amp;",")))=COUNTA(TEXTSPLIT(IA20,",")))),IF(IC20="",TRUE,IF(input_story_type="",TRUE,SUMPRODUCT(--ISNUMBER(SEARCH(","&amp;TRIM(TEXTSPLIT(IC20,","))&amp;",",","&amp;SUBSTITUTE(input_story_type," ","")&amp;",")))=0)),IF(IE20="",TRUE,IF(input_story_type="",FALSE,SUMPRODUCT(--ISNUMBER(SEARCH(","&amp;TRIM(TEXTSPLIT(IE20,","))&amp;",",","&amp;SUBSTITUTE(input_story_type," ","")&amp;",")))&gt;0)),IF(IG20="",TRUE,IF(input_story_type="",FALSE,SUMPRODUCT(--ISNUMBER(SEARCH(","&amp;TRIM(TEXTSPLIT(IG20,","))&amp;",",","&amp;SUBSTITUTE(input_story_type," ","")&amp;",")))=COUNTA(TEXTSPLIT(IG20,",")))))</f>
        <v/>
      </c>
      <c r="JQ20" s="19">
        <f>AND(IF(II20="",TRUE,IF(input_topics="",FALSE,SUMPRODUCT(--ISNUMBER(SEARCH(","&amp;TRIM(TEXTSPLIT(II20,","))&amp;",",","&amp;SUBSTITUTE(input_topics," ","")&amp;",")))&gt;0)),IF(IK20="",TRUE,IF(input_topics="",FALSE,SUMPRODUCT(--ISNUMBER(SEARCH(","&amp;TRIM(TEXTSPLIT(IK20,","))&amp;",",","&amp;SUBSTITUTE(input_topics," ","")&amp;",")))=COUNTA(TEXTSPLIT(IK20,",")))),IF(IM20="",TRUE,IF(input_topics="",TRUE,SUMPRODUCT(--ISNUMBER(SEARCH(","&amp;TRIM(TEXTSPLIT(IM20,","))&amp;",",","&amp;SUBSTITUTE(input_topics," ","")&amp;",")))=0)),IF(IO20="",TRUE,IF(input_topics="",FALSE,SUMPRODUCT(--ISNUMBER(SEARCH(","&amp;TRIM(TEXTSPLIT(IO20,","))&amp;",",","&amp;SUBSTITUTE(input_topics," ","")&amp;",")))&gt;0)),IF(IQ20="",TRUE,IF(input_topics="",FALSE,SUMPRODUCT(--ISNUMBER(SEARCH(","&amp;TRIM(TEXTSPLIT(IQ20,","))&amp;",",","&amp;SUBSTITUTE(input_topics," ","")&amp;",")))=COUNTA(TEXTSPLIT(IQ20,",")))))</f>
        <v/>
      </c>
    </row>
    <row r="21">
      <c r="A21" s="24">
        <f>IF(NOT(IS21),"Excluded",IF(AND(IT21,IU21,IV21,IW21,IX21,IY21,IZ21,JA21,JB21,JC21,JD21,JE21,JF21,JG21,JH21,JI21,JJ21,JK21,JL21,JM21,JN21,JO21,JP21,JQ21),IF(I21&gt;0,"Eligible but limited","Will appear"),"Excluded"))</f>
        <v/>
      </c>
      <c r="B21" s="24" t="inlineStr">
        <is>
          <t>All Publications by Author</t>
        </is>
      </c>
      <c r="C21" s="27" t="inlineStr">
        <is>
          <t>/faculty-research/faculty-directory/beth-anne-helgason</t>
        </is>
      </c>
      <c r="D21" s="24" t="inlineStr">
        <is>
          <t>/faculty-research/faculty-directory/beth-anne-helgason</t>
        </is>
      </c>
      <c r="E21" s="24" t="n">
        <v>1</v>
      </c>
      <c r="F21" s="24" t="inlineStr">
        <is>
          <t>publications</t>
        </is>
      </c>
      <c r="G21" s="24" t="inlineStr">
        <is>
          <t>publication_teaser_list</t>
        </is>
      </c>
      <c r="H21" s="24" t="inlineStr">
        <is>
          <t>publication_teaser_list_all_by_author</t>
        </is>
      </c>
      <c r="I21" s="24" t="n"/>
      <c r="J21" s="24" t="inlineStr">
        <is>
          <t>View/config rules</t>
        </is>
      </c>
      <c r="K21" s="24" t="inlineStr">
        <is>
          <t>Page placement</t>
        </is>
      </c>
      <c r="L21" s="24" t="inlineStr">
        <is>
          <t>Content type: publications; Source: View/config rules</t>
        </is>
      </c>
      <c r="IS21" s="19">
        <f>IF(input_content_type="",FALSE,ISNUMBER(SEARCH(","&amp;LOWER(input_content_type)&amp;",",","&amp;LOWER(SUBSTITUTE(F21," ",""))&amp;",")))</f>
        <v/>
      </c>
      <c r="IT21" s="19">
        <f>AND(IF(M21="",TRUE,IF(input_affiliations="",FALSE,SUMPRODUCT(--ISNUMBER(SEARCH(","&amp;TRIM(TEXTSPLIT(M21,","))&amp;",",","&amp;SUBSTITUTE(input_affiliations," ","")&amp;",")))&gt;0)),IF(O21="",TRUE,IF(input_affiliations="",FALSE,SUMPRODUCT(--ISNUMBER(SEARCH(","&amp;TRIM(TEXTSPLIT(O21,","))&amp;",",","&amp;SUBSTITUTE(input_affiliations," ","")&amp;",")))=COUNTA(TEXTSPLIT(O21,",")))),IF(Q21="",TRUE,IF(input_affiliations="",TRUE,SUMPRODUCT(--ISNUMBER(SEARCH(","&amp;TRIM(TEXTSPLIT(Q21,","))&amp;",",","&amp;SUBSTITUTE(input_affiliations," ","")&amp;",")))=0)),IF(S21="",TRUE,IF(input_affiliations="",FALSE,SUMPRODUCT(--ISNUMBER(SEARCH(","&amp;TRIM(TEXTSPLIT(S21,","))&amp;",",","&amp;SUBSTITUTE(input_affiliations," ","")&amp;",")))&gt;0)),IF(U21="",TRUE,IF(input_affiliations="",FALSE,SUMPRODUCT(--ISNUMBER(SEARCH(","&amp;TRIM(TEXTSPLIT(U21,","))&amp;",",","&amp;SUBSTITUTE(input_affiliations," ","")&amp;",")))=COUNTA(TEXTSPLIT(U21,",")))))</f>
        <v/>
      </c>
      <c r="IU21" s="19">
        <f>AND(IF(W21="",TRUE,IF(input_announcement_category="",FALSE,SUMPRODUCT(--ISNUMBER(SEARCH(","&amp;TRIM(TEXTSPLIT(W21,","))&amp;",",","&amp;SUBSTITUTE(input_announcement_category," ","")&amp;",")))&gt;0)),IF(Y21="",TRUE,IF(input_announcement_category="",FALSE,SUMPRODUCT(--ISNUMBER(SEARCH(","&amp;TRIM(TEXTSPLIT(Y21,","))&amp;",",","&amp;SUBSTITUTE(input_announcement_category," ","")&amp;",")))=COUNTA(TEXTSPLIT(Y21,",")))),IF(AA21="",TRUE,IF(input_announcement_category="",TRUE,SUMPRODUCT(--ISNUMBER(SEARCH(","&amp;TRIM(TEXTSPLIT(AA21,","))&amp;",",","&amp;SUBSTITUTE(input_announcement_category," ","")&amp;",")))=0)),IF(AC21="",TRUE,IF(input_announcement_category="",FALSE,SUMPRODUCT(--ISNUMBER(SEARCH(","&amp;TRIM(TEXTSPLIT(AC21,","))&amp;",",","&amp;SUBSTITUTE(input_announcement_category," ","")&amp;",")))&gt;0)),IF(AE21="",TRUE,IF(input_announcement_category="",FALSE,SUMPRODUCT(--ISNUMBER(SEARCH(","&amp;TRIM(TEXTSPLIT(AE21,","))&amp;",",","&amp;SUBSTITUTE(input_announcement_category," ","")&amp;",")))=COUNTA(TEXTSPLIT(AE21,",")))))</f>
        <v/>
      </c>
      <c r="IV21" s="19">
        <f>AND(IF(AG21="",TRUE,IF(input_area_of_focus="",FALSE,SUMPRODUCT(--ISNUMBER(SEARCH(","&amp;TRIM(TEXTSPLIT(AG21,","))&amp;",",","&amp;SUBSTITUTE(input_area_of_focus," ","")&amp;",")))&gt;0)),IF(AI21="",TRUE,IF(input_area_of_focus="",FALSE,SUMPRODUCT(--ISNUMBER(SEARCH(","&amp;TRIM(TEXTSPLIT(AI21,","))&amp;",",","&amp;SUBSTITUTE(input_area_of_focus," ","")&amp;",")))=COUNTA(TEXTSPLIT(AI21,",")))),IF(AK21="",TRUE,IF(input_area_of_focus="",TRUE,SUMPRODUCT(--ISNUMBER(SEARCH(","&amp;TRIM(TEXTSPLIT(AK21,","))&amp;",",","&amp;SUBSTITUTE(input_area_of_focus," ","")&amp;",")))=0)),IF(AM21="",TRUE,IF(input_area_of_focus="",FALSE,SUMPRODUCT(--ISNUMBER(SEARCH(","&amp;TRIM(TEXTSPLIT(AM21,","))&amp;",",","&amp;SUBSTITUTE(input_area_of_focus," ","")&amp;",")))&gt;0)),IF(AO21="",TRUE,IF(input_area_of_focus="",FALSE,SUMPRODUCT(--ISNUMBER(SEARCH(","&amp;TRIM(TEXTSPLIT(AO21,","))&amp;",",","&amp;SUBSTITUTE(input_area_of_focus," ","")&amp;",")))=COUNTA(TEXTSPLIT(AO21,",")))))</f>
        <v/>
      </c>
      <c r="IW21" s="19">
        <f>AND(IF(AQ21="",TRUE,IF(input_audience="",FALSE,SUMPRODUCT(--ISNUMBER(SEARCH(","&amp;TRIM(TEXTSPLIT(AQ21,","))&amp;",",","&amp;SUBSTITUTE(input_audience," ","")&amp;",")))&gt;0)),IF(AS21="",TRUE,IF(input_audience="",FALSE,SUMPRODUCT(--ISNUMBER(SEARCH(","&amp;TRIM(TEXTSPLIT(AS21,","))&amp;",",","&amp;SUBSTITUTE(input_audience," ","")&amp;",")))=COUNTA(TEXTSPLIT(AS21,",")))),IF(AU21="",TRUE,IF(input_audience="",TRUE,SUMPRODUCT(--ISNUMBER(SEARCH(","&amp;TRIM(TEXTSPLIT(AU21,","))&amp;",",","&amp;SUBSTITUTE(input_audience," ","")&amp;",")))=0)),IF(AW21="",TRUE,IF(input_audience="",FALSE,SUMPRODUCT(--ISNUMBER(SEARCH(","&amp;TRIM(TEXTSPLIT(AW21,","))&amp;",",","&amp;SUBSTITUTE(input_audience," ","")&amp;",")))&gt;0)),IF(AY21="",TRUE,IF(input_audience="",FALSE,SUMPRODUCT(--ISNUMBER(SEARCH(","&amp;TRIM(TEXTSPLIT(AY21,","))&amp;",",","&amp;SUBSTITUTE(input_audience," ","")&amp;",")))=COUNTA(TEXTSPLIT(AY21,",")))))</f>
        <v/>
      </c>
      <c r="IX21" s="19">
        <f>AND(IF(BA21="",TRUE,IF(input_challenge_opportunities="",FALSE,SUMPRODUCT(--ISNUMBER(SEARCH(","&amp;TRIM(TEXTSPLIT(BA21,","))&amp;",",","&amp;SUBSTITUTE(input_challenge_opportunities," ","")&amp;",")))&gt;0)),IF(BC21="",TRUE,IF(input_challenge_opportunities="",FALSE,SUMPRODUCT(--ISNUMBER(SEARCH(","&amp;TRIM(TEXTSPLIT(BC21,","))&amp;",",","&amp;SUBSTITUTE(input_challenge_opportunities," ","")&amp;",")))=COUNTA(TEXTSPLIT(BC21,",")))),IF(BE21="",TRUE,IF(input_challenge_opportunities="",TRUE,SUMPRODUCT(--ISNUMBER(SEARCH(","&amp;TRIM(TEXTSPLIT(BE21,","))&amp;",",","&amp;SUBSTITUTE(input_challenge_opportunities," ","")&amp;",")))=0)),IF(BG21="",TRUE,IF(input_challenge_opportunities="",FALSE,SUMPRODUCT(--ISNUMBER(SEARCH(","&amp;TRIM(TEXTSPLIT(BG21,","))&amp;",",","&amp;SUBSTITUTE(input_challenge_opportunities," ","")&amp;",")))&gt;0)),IF(BI21="",TRUE,IF(input_challenge_opportunities="",FALSE,SUMPRODUCT(--ISNUMBER(SEARCH(","&amp;TRIM(TEXTSPLIT(BI21,","))&amp;",",","&amp;SUBSTITUTE(input_challenge_opportunities," ","")&amp;",")))=COUNTA(TEXTSPLIT(BI21,",")))))</f>
        <v/>
      </c>
      <c r="IY21" s="19">
        <f>AND(IF(BK21="",TRUE,IF(input_context="",FALSE,SUMPRODUCT(--ISNUMBER(SEARCH(","&amp;TRIM(TEXTSPLIT(BK21,","))&amp;",",","&amp;SUBSTITUTE(input_context," ","")&amp;",")))&gt;0)),IF(BM21="",TRUE,IF(input_context="",FALSE,SUMPRODUCT(--ISNUMBER(SEARCH(","&amp;TRIM(TEXTSPLIT(BM21,","))&amp;",",","&amp;SUBSTITUTE(input_context," ","")&amp;",")))=COUNTA(TEXTSPLIT(BM21,",")))),IF(BO21="",TRUE,IF(input_context="",TRUE,SUMPRODUCT(--ISNUMBER(SEARCH(","&amp;TRIM(TEXTSPLIT(BO21,","))&amp;",",","&amp;SUBSTITUTE(input_context," ","")&amp;",")))=0)),IF(BQ21="",TRUE,IF(input_context="",FALSE,SUMPRODUCT(--ISNUMBER(SEARCH(","&amp;TRIM(TEXTSPLIT(BQ21,","))&amp;",",","&amp;SUBSTITUTE(input_context," ","")&amp;",")))&gt;0)),IF(BS21="",TRUE,IF(input_context="",FALSE,SUMPRODUCT(--ISNUMBER(SEARCH(","&amp;TRIM(TEXTSPLIT(BS21,","))&amp;",",","&amp;SUBSTITUTE(input_context," ","")&amp;",")))=COUNTA(TEXTSPLIT(BS21,",")))))</f>
        <v/>
      </c>
      <c r="IZ21" s="19">
        <f>AND(IF(BU21="",TRUE,IF(input_enews_announcement_type="",FALSE,SUMPRODUCT(--ISNUMBER(SEARCH(","&amp;TRIM(TEXTSPLIT(BU21,","))&amp;",",","&amp;SUBSTITUTE(input_enews_announcement_type," ","")&amp;",")))&gt;0)),IF(BW21="",TRUE,IF(input_enews_announcement_type="",FALSE,SUMPRODUCT(--ISNUMBER(SEARCH(","&amp;TRIM(TEXTSPLIT(BW21,","))&amp;",",","&amp;SUBSTITUTE(input_enews_announcement_type," ","")&amp;",")))=COUNTA(TEXTSPLIT(BW21,",")))),IF(BY21="",TRUE,IF(input_enews_announcement_type="",TRUE,SUMPRODUCT(--ISNUMBER(SEARCH(","&amp;TRIM(TEXTSPLIT(BY21,","))&amp;",",","&amp;SUBSTITUTE(input_enews_announcement_type," ","")&amp;",")))=0)),IF(CA21="",TRUE,IF(input_enews_announcement_type="",FALSE,SUMPRODUCT(--ISNUMBER(SEARCH(","&amp;TRIM(TEXTSPLIT(CA21,","))&amp;",",","&amp;SUBSTITUTE(input_enews_announcement_type," ","")&amp;",")))&gt;0)),IF(CC21="",TRUE,IF(input_enews_announcement_type="",FALSE,SUMPRODUCT(--ISNUMBER(SEARCH(","&amp;TRIM(TEXTSPLIT(CC21,","))&amp;",",","&amp;SUBSTITUTE(input_enews_announcement_type," ","")&amp;",")))=COUNTA(TEXTSPLIT(CC21,",")))))</f>
        <v/>
      </c>
      <c r="JA21" s="19">
        <f>AND(IF(CE21="",TRUE,IF(input_enews_audience="",FALSE,SUMPRODUCT(--ISNUMBER(SEARCH(","&amp;TRIM(TEXTSPLIT(CE21,","))&amp;",",","&amp;SUBSTITUTE(input_enews_audience," ","")&amp;",")))&gt;0)),IF(CG21="",TRUE,IF(input_enews_audience="",FALSE,SUMPRODUCT(--ISNUMBER(SEARCH(","&amp;TRIM(TEXTSPLIT(CG21,","))&amp;",",","&amp;SUBSTITUTE(input_enews_audience," ","")&amp;",")))=COUNTA(TEXTSPLIT(CG21,",")))),IF(CI21="",TRUE,IF(input_enews_audience="",TRUE,SUMPRODUCT(--ISNUMBER(SEARCH(","&amp;TRIM(TEXTSPLIT(CI21,","))&amp;",",","&amp;SUBSTITUTE(input_enews_audience," ","")&amp;",")))=0)),IF(CK21="",TRUE,IF(input_enews_audience="",FALSE,SUMPRODUCT(--ISNUMBER(SEARCH(","&amp;TRIM(TEXTSPLIT(CK21,","))&amp;",",","&amp;SUBSTITUTE(input_enews_audience," ","")&amp;",")))&gt;0)),IF(CM21="",TRUE,IF(input_enews_audience="",FALSE,SUMPRODUCT(--ISNUMBER(SEARCH(","&amp;TRIM(TEXTSPLIT(CM21,","))&amp;",",","&amp;SUBSTITUTE(input_enews_audience," ","")&amp;",")))=COUNTA(TEXTSPLIT(CM21,",")))))</f>
        <v/>
      </c>
      <c r="JB21" s="19">
        <f>AND(IF(CO21="",TRUE,IF(input_event_location="",FALSE,SUMPRODUCT(--ISNUMBER(SEARCH(","&amp;TRIM(TEXTSPLIT(CO21,","))&amp;",",","&amp;SUBSTITUTE(input_event_location," ","")&amp;",")))&gt;0)),IF(CQ21="",TRUE,IF(input_event_location="",FALSE,SUMPRODUCT(--ISNUMBER(SEARCH(","&amp;TRIM(TEXTSPLIT(CQ21,","))&amp;",",","&amp;SUBSTITUTE(input_event_location," ","")&amp;",")))=COUNTA(TEXTSPLIT(CQ21,",")))),IF(CS21="",TRUE,IF(input_event_location="",TRUE,SUMPRODUCT(--ISNUMBER(SEARCH(","&amp;TRIM(TEXTSPLIT(CS21,","))&amp;",",","&amp;SUBSTITUTE(input_event_location," ","")&amp;",")))=0)),IF(CU21="",TRUE,IF(input_event_location="",FALSE,SUMPRODUCT(--ISNUMBER(SEARCH(","&amp;TRIM(TEXTSPLIT(CU21,","))&amp;",",","&amp;SUBSTITUTE(input_event_location," ","")&amp;",")))&gt;0)),IF(CW21="",TRUE,IF(input_event_location="",FALSE,SUMPRODUCT(--ISNUMBER(SEARCH(","&amp;TRIM(TEXTSPLIT(CW21,","))&amp;",",","&amp;SUBSTITUTE(input_event_location," ","")&amp;",")))=COUNTA(TEXTSPLIT(CW21,",")))))</f>
        <v/>
      </c>
      <c r="JC21" s="19">
        <f>AND(IF(CY21="",TRUE,IF(input_event_type="",FALSE,SUMPRODUCT(--ISNUMBER(SEARCH(","&amp;TRIM(TEXTSPLIT(CY21,","))&amp;",",","&amp;SUBSTITUTE(input_event_type," ","")&amp;",")))&gt;0)),IF(DA21="",TRUE,IF(input_event_type="",FALSE,SUMPRODUCT(--ISNUMBER(SEARCH(","&amp;TRIM(TEXTSPLIT(DA21,","))&amp;",",","&amp;SUBSTITUTE(input_event_type," ","")&amp;",")))=COUNTA(TEXTSPLIT(DA21,",")))),IF(DC21="",TRUE,IF(input_event_type="",TRUE,SUMPRODUCT(--ISNUMBER(SEARCH(","&amp;TRIM(TEXTSPLIT(DC21,","))&amp;",",","&amp;SUBSTITUTE(input_event_type," ","")&amp;",")))=0)),IF(DE21="",TRUE,IF(input_event_type="",FALSE,SUMPRODUCT(--ISNUMBER(SEARCH(","&amp;TRIM(TEXTSPLIT(DE21,","))&amp;",",","&amp;SUBSTITUTE(input_event_type," ","")&amp;",")))&gt;0)),IF(DG21="",TRUE,IF(input_event_type="",FALSE,SUMPRODUCT(--ISNUMBER(SEARCH(","&amp;TRIM(TEXTSPLIT(DG21,","))&amp;",",","&amp;SUBSTITUTE(input_event_type," ","")&amp;",")))=COUNTA(TEXTSPLIT(DG21,",")))))</f>
        <v/>
      </c>
      <c r="JD21" s="19">
        <f>AND(IF(DI21="",TRUE,IF(input_executive_education_focus="",FALSE,SUMPRODUCT(--ISNUMBER(SEARCH(","&amp;TRIM(TEXTSPLIT(DI21,","))&amp;",",","&amp;SUBSTITUTE(input_executive_education_focus," ","")&amp;",")))&gt;0)),IF(DK21="",TRUE,IF(input_executive_education_focus="",FALSE,SUMPRODUCT(--ISNUMBER(SEARCH(","&amp;TRIM(TEXTSPLIT(DK21,","))&amp;",",","&amp;SUBSTITUTE(input_executive_education_focus," ","")&amp;",")))=COUNTA(TEXTSPLIT(DK21,",")))),IF(DM21="",TRUE,IF(input_executive_education_focus="",TRUE,SUMPRODUCT(--ISNUMBER(SEARCH(","&amp;TRIM(TEXTSPLIT(DM21,","))&amp;",",","&amp;SUBSTITUTE(input_executive_education_focus," ","")&amp;",")))=0)),IF(DO21="",TRUE,IF(input_executive_education_focus="",FALSE,SUMPRODUCT(--ISNUMBER(SEARCH(","&amp;TRIM(TEXTSPLIT(DO21,","))&amp;",",","&amp;SUBSTITUTE(input_executive_education_focus," ","")&amp;",")))&gt;0)),IF(DQ21="",TRUE,IF(input_executive_education_focus="",FALSE,SUMPRODUCT(--ISNUMBER(SEARCH(","&amp;TRIM(TEXTSPLIT(DQ21,","))&amp;",",","&amp;SUBSTITUTE(input_executive_education_focus," ","")&amp;",")))=COUNTA(TEXTSPLIT(DQ21,",")))))</f>
        <v/>
      </c>
      <c r="JE21" s="19">
        <f>AND(IF(DS21="",TRUE,IF(input_faculty_category="",FALSE,SUMPRODUCT(--ISNUMBER(SEARCH(","&amp;TRIM(TEXTSPLIT(DS21,","))&amp;",",","&amp;SUBSTITUTE(input_faculty_category," ","")&amp;",")))&gt;0)),IF(DU21="",TRUE,IF(input_faculty_category="",FALSE,SUMPRODUCT(--ISNUMBER(SEARCH(","&amp;TRIM(TEXTSPLIT(DU21,","))&amp;",",","&amp;SUBSTITUTE(input_faculty_category," ","")&amp;",")))=COUNTA(TEXTSPLIT(DU21,",")))),IF(DW21="",TRUE,IF(input_faculty_category="",TRUE,SUMPRODUCT(--ISNUMBER(SEARCH(","&amp;TRIM(TEXTSPLIT(DW21,","))&amp;",",","&amp;SUBSTITUTE(input_faculty_category," ","")&amp;",")))=0)),IF(DY21="",TRUE,IF(input_faculty_category="",FALSE,SUMPRODUCT(--ISNUMBER(SEARCH(","&amp;TRIM(TEXTSPLIT(DY21,","))&amp;",",","&amp;SUBSTITUTE(input_faculty_category," ","")&amp;",")))&gt;0)),IF(EA21="",TRUE,IF(input_faculty_category="",FALSE,SUMPRODUCT(--ISNUMBER(SEARCH(","&amp;TRIM(TEXTSPLIT(EA21,","))&amp;",",","&amp;SUBSTITUTE(input_faculty_category," ","")&amp;",")))=COUNTA(TEXTSPLIT(EA21,",")))))</f>
        <v/>
      </c>
      <c r="JF21" s="19">
        <f>AND(IF(EC21="",TRUE,IF(input_faculty_discipline="",FALSE,SUMPRODUCT(--ISNUMBER(SEARCH(","&amp;TRIM(TEXTSPLIT(EC21,","))&amp;",",","&amp;SUBSTITUTE(input_faculty_discipline," ","")&amp;",")))&gt;0)),IF(EE21="",TRUE,IF(input_faculty_discipline="",FALSE,SUMPRODUCT(--ISNUMBER(SEARCH(","&amp;TRIM(TEXTSPLIT(EE21,","))&amp;",",","&amp;SUBSTITUTE(input_faculty_discipline," ","")&amp;",")))=COUNTA(TEXTSPLIT(EE21,",")))),IF(EG21="",TRUE,IF(input_faculty_discipline="",TRUE,SUMPRODUCT(--ISNUMBER(SEARCH(","&amp;TRIM(TEXTSPLIT(EG21,","))&amp;",",","&amp;SUBSTITUTE(input_faculty_discipline," ","")&amp;",")))=0)),IF(EI21="",TRUE,IF(input_faculty_discipline="",FALSE,SUMPRODUCT(--ISNUMBER(SEARCH(","&amp;TRIM(TEXTSPLIT(EI21,","))&amp;",",","&amp;SUBSTITUTE(input_faculty_discipline," ","")&amp;",")))&gt;0)),IF(EK21="",TRUE,IF(input_faculty_discipline="",FALSE,SUMPRODUCT(--ISNUMBER(SEARCH(","&amp;TRIM(TEXTSPLIT(EK21,","))&amp;",",","&amp;SUBSTITUTE(input_faculty_discipline," ","")&amp;",")))=COUNTA(TEXTSPLIT(EK21,",")))))</f>
        <v/>
      </c>
      <c r="JG21" s="19">
        <f>AND(IF(EM21="",TRUE,IF(input_faculty_expertise="",FALSE,SUMPRODUCT(--ISNUMBER(SEARCH(","&amp;TRIM(TEXTSPLIT(EM21,","))&amp;",",","&amp;SUBSTITUTE(input_faculty_expertise," ","")&amp;",")))&gt;0)),IF(EO21="",TRUE,IF(input_faculty_expertise="",FALSE,SUMPRODUCT(--ISNUMBER(SEARCH(","&amp;TRIM(TEXTSPLIT(EO21,","))&amp;",",","&amp;SUBSTITUTE(input_faculty_expertise," ","")&amp;",")))=COUNTA(TEXTSPLIT(EO21,",")))),IF(EQ21="",TRUE,IF(input_faculty_expertise="",TRUE,SUMPRODUCT(--ISNUMBER(SEARCH(","&amp;TRIM(TEXTSPLIT(EQ21,","))&amp;",",","&amp;SUBSTITUTE(input_faculty_expertise," ","")&amp;",")))=0)),IF(ES21="",TRUE,IF(input_faculty_expertise="",FALSE,SUMPRODUCT(--ISNUMBER(SEARCH(","&amp;TRIM(TEXTSPLIT(ES21,","))&amp;",",","&amp;SUBSTITUTE(input_faculty_expertise," ","")&amp;",")))&gt;0)),IF(EU21="",TRUE,IF(input_faculty_expertise="",FALSE,SUMPRODUCT(--ISNUMBER(SEARCH(","&amp;TRIM(TEXTSPLIT(EU21,","))&amp;",",","&amp;SUBSTITUTE(input_faculty_expertise," ","")&amp;",")))=COUNTA(TEXTSPLIT(EU21,",")))))</f>
        <v/>
      </c>
      <c r="JH21" s="19">
        <f>AND(IF(EW21="",TRUE,IF(input_global_network_school="",FALSE,SUMPRODUCT(--ISNUMBER(SEARCH(","&amp;TRIM(TEXTSPLIT(EW21,","))&amp;",",","&amp;SUBSTITUTE(input_global_network_school," ","")&amp;",")))&gt;0)),IF(EY21="",TRUE,IF(input_global_network_school="",FALSE,SUMPRODUCT(--ISNUMBER(SEARCH(","&amp;TRIM(TEXTSPLIT(EY21,","))&amp;",",","&amp;SUBSTITUTE(input_global_network_school," ","")&amp;",")))=COUNTA(TEXTSPLIT(EY21,",")))),IF(FA21="",TRUE,IF(input_global_network_school="",TRUE,SUMPRODUCT(--ISNUMBER(SEARCH(","&amp;TRIM(TEXTSPLIT(FA21,","))&amp;",",","&amp;SUBSTITUTE(input_global_network_school," ","")&amp;",")))=0)),IF(FC21="",TRUE,IF(input_global_network_school="",FALSE,SUMPRODUCT(--ISNUMBER(SEARCH(","&amp;TRIM(TEXTSPLIT(FC21,","))&amp;",",","&amp;SUBSTITUTE(input_global_network_school," ","")&amp;",")))&gt;0)),IF(FE21="",TRUE,IF(input_global_network_school="",FALSE,SUMPRODUCT(--ISNUMBER(SEARCH(","&amp;TRIM(TEXTSPLIT(FE21,","))&amp;",",","&amp;SUBSTITUTE(input_global_network_school," ","")&amp;",")))=COUNTA(TEXTSPLIT(FE21,",")))))</f>
        <v/>
      </c>
      <c r="JI21" s="19">
        <f>AND(IF(FG21="",TRUE,IF(input_industry="",FALSE,SUMPRODUCT(--ISNUMBER(SEARCH(","&amp;TRIM(TEXTSPLIT(FG21,","))&amp;",",","&amp;SUBSTITUTE(input_industry," ","")&amp;",")))&gt;0)),IF(FI21="",TRUE,IF(input_industry="",FALSE,SUMPRODUCT(--ISNUMBER(SEARCH(","&amp;TRIM(TEXTSPLIT(FI21,","))&amp;",",","&amp;SUBSTITUTE(input_industry," ","")&amp;",")))=COUNTA(TEXTSPLIT(FI21,",")))),IF(FK21="",TRUE,IF(input_industry="",TRUE,SUMPRODUCT(--ISNUMBER(SEARCH(","&amp;TRIM(TEXTSPLIT(FK21,","))&amp;",",","&amp;SUBSTITUTE(input_industry," ","")&amp;",")))=0)),IF(FM21="",TRUE,IF(input_industry="",FALSE,SUMPRODUCT(--ISNUMBER(SEARCH(","&amp;TRIM(TEXTSPLIT(FM21,","))&amp;",",","&amp;SUBSTITUTE(input_industry," ","")&amp;",")))&gt;0)),IF(FO21="",TRUE,IF(input_industry="",FALSE,SUMPRODUCT(--ISNUMBER(SEARCH(","&amp;TRIM(TEXTSPLIT(FO21,","))&amp;",",","&amp;SUBSTITUTE(input_industry," ","")&amp;",")))=COUNTA(TEXTSPLIT(FO21,",")))))</f>
        <v/>
      </c>
      <c r="JJ21" s="19">
        <f>AND(IF(FQ21="",TRUE,IF(input_location="",FALSE,SUMPRODUCT(--ISNUMBER(SEARCH(","&amp;TRIM(TEXTSPLIT(FQ21,","))&amp;",",","&amp;SUBSTITUTE(input_location," ","")&amp;",")))&gt;0)),IF(FS21="",TRUE,IF(input_location="",FALSE,SUMPRODUCT(--ISNUMBER(SEARCH(","&amp;TRIM(TEXTSPLIT(FS21,","))&amp;",",","&amp;SUBSTITUTE(input_location," ","")&amp;",")))=COUNTA(TEXTSPLIT(FS21,",")))),IF(FU21="",TRUE,IF(input_location="",TRUE,SUMPRODUCT(--ISNUMBER(SEARCH(","&amp;TRIM(TEXTSPLIT(FU21,","))&amp;",",","&amp;SUBSTITUTE(input_location," ","")&amp;",")))=0)),IF(FW21="",TRUE,IF(input_location="",FALSE,SUMPRODUCT(--ISNUMBER(SEARCH(","&amp;TRIM(TEXTSPLIT(FW21,","))&amp;",",","&amp;SUBSTITUTE(input_location," ","")&amp;",")))&gt;0)),IF(FY21="",TRUE,IF(input_location="",FALSE,SUMPRODUCT(--ISNUMBER(SEARCH(","&amp;TRIM(TEXTSPLIT(FY21,","))&amp;",",","&amp;SUBSTITUTE(input_location," ","")&amp;",")))=COUNTA(TEXTSPLIT(FY21,",")))))</f>
        <v/>
      </c>
      <c r="JK21" s="19">
        <f>AND(IF(GA21="",TRUE,IF(input_modality="",FALSE,SUMPRODUCT(--ISNUMBER(SEARCH(","&amp;TRIM(TEXTSPLIT(GA21,","))&amp;",",","&amp;SUBSTITUTE(input_modality," ","")&amp;",")))&gt;0)),IF(GC21="",TRUE,IF(input_modality="",FALSE,SUMPRODUCT(--ISNUMBER(SEARCH(","&amp;TRIM(TEXTSPLIT(GC21,","))&amp;",",","&amp;SUBSTITUTE(input_modality," ","")&amp;",")))=COUNTA(TEXTSPLIT(GC21,",")))),IF(GE21="",TRUE,IF(input_modality="",TRUE,SUMPRODUCT(--ISNUMBER(SEARCH(","&amp;TRIM(TEXTSPLIT(GE21,","))&amp;",",","&amp;SUBSTITUTE(input_modality," ","")&amp;",")))=0)),IF(GG21="",TRUE,IF(input_modality="",FALSE,SUMPRODUCT(--ISNUMBER(SEARCH(","&amp;TRIM(TEXTSPLIT(GG21,","))&amp;",",","&amp;SUBSTITUTE(input_modality," ","")&amp;",")))&gt;0)),IF(GI21="",TRUE,IF(input_modality="",FALSE,SUMPRODUCT(--ISNUMBER(SEARCH(","&amp;TRIM(TEXTSPLIT(GI21,","))&amp;",",","&amp;SUBSTITUTE(input_modality," ","")&amp;",")))=COUNTA(TEXTSPLIT(GI21,",")))))</f>
        <v/>
      </c>
      <c r="JL21" s="19">
        <f>AND(IF(GK21="",TRUE,IF(input_organizer="",FALSE,SUMPRODUCT(--ISNUMBER(SEARCH(","&amp;TRIM(TEXTSPLIT(GK21,","))&amp;",",","&amp;SUBSTITUTE(input_organizer," ","")&amp;",")))&gt;0)),IF(GM21="",TRUE,IF(input_organizer="",FALSE,SUMPRODUCT(--ISNUMBER(SEARCH(","&amp;TRIM(TEXTSPLIT(GM21,","))&amp;",",","&amp;SUBSTITUTE(input_organizer," ","")&amp;",")))=COUNTA(TEXTSPLIT(GM21,",")))),IF(GO21="",TRUE,IF(input_organizer="",TRUE,SUMPRODUCT(--ISNUMBER(SEARCH(","&amp;TRIM(TEXTSPLIT(GO21,","))&amp;",",","&amp;SUBSTITUTE(input_organizer," ","")&amp;",")))=0)),IF(GQ21="",TRUE,IF(input_organizer="",FALSE,SUMPRODUCT(--ISNUMBER(SEARCH(","&amp;TRIM(TEXTSPLIT(GQ21,","))&amp;",",","&amp;SUBSTITUTE(input_organizer," ","")&amp;",")))&gt;0)),IF(GS21="",TRUE,IF(input_organizer="",FALSE,SUMPRODUCT(--ISNUMBER(SEARCH(","&amp;TRIM(TEXTSPLIT(GS21,","))&amp;",",","&amp;SUBSTITUTE(input_organizer," ","")&amp;",")))=COUNTA(TEXTSPLIT(GS21,",")))))</f>
        <v/>
      </c>
      <c r="JM21" s="19">
        <f>AND(IF(GU21="",TRUE,IF(input_profile_type="",FALSE,SUMPRODUCT(--ISNUMBER(SEARCH(","&amp;TRIM(TEXTSPLIT(GU21,","))&amp;",",","&amp;SUBSTITUTE(input_profile_type," ","")&amp;",")))&gt;0)),IF(GW21="",TRUE,IF(input_profile_type="",FALSE,SUMPRODUCT(--ISNUMBER(SEARCH(","&amp;TRIM(TEXTSPLIT(GW21,","))&amp;",",","&amp;SUBSTITUTE(input_profile_type," ","")&amp;",")))=COUNTA(TEXTSPLIT(GW21,",")))),IF(GY21="",TRUE,IF(input_profile_type="",TRUE,SUMPRODUCT(--ISNUMBER(SEARCH(","&amp;TRIM(TEXTSPLIT(GY21,","))&amp;",",","&amp;SUBSTITUTE(input_profile_type," ","")&amp;",")))=0)),IF(HA21="",TRUE,IF(input_profile_type="",FALSE,SUMPRODUCT(--ISNUMBER(SEARCH(","&amp;TRIM(TEXTSPLIT(HA21,","))&amp;",",","&amp;SUBSTITUTE(input_profile_type," ","")&amp;",")))&gt;0)),IF(HC21="",TRUE,IF(input_profile_type="",FALSE,SUMPRODUCT(--ISNUMBER(SEARCH(","&amp;TRIM(TEXTSPLIT(HC21,","))&amp;",",","&amp;SUBSTITUTE(input_profile_type," ","")&amp;",")))=COUNTA(TEXTSPLIT(HC21,",")))))</f>
        <v/>
      </c>
      <c r="JN21" s="19">
        <f>AND(IF(HE21="",TRUE,IF(input_program="",FALSE,SUMPRODUCT(--ISNUMBER(SEARCH(","&amp;TRIM(TEXTSPLIT(HE21,","))&amp;",",","&amp;SUBSTITUTE(input_program," ","")&amp;",")))&gt;0)),IF(HG21="",TRUE,IF(input_program="",FALSE,SUMPRODUCT(--ISNUMBER(SEARCH(","&amp;TRIM(TEXTSPLIT(HG21,","))&amp;",",","&amp;SUBSTITUTE(input_program," ","")&amp;",")))=COUNTA(TEXTSPLIT(HG21,",")))),IF(HI21="",TRUE,IF(input_program="",TRUE,SUMPRODUCT(--ISNUMBER(SEARCH(","&amp;TRIM(TEXTSPLIT(HI21,","))&amp;",",","&amp;SUBSTITUTE(input_program," ","")&amp;",")))=0)),IF(HK21="",TRUE,IF(input_program="",FALSE,SUMPRODUCT(--ISNUMBER(SEARCH(","&amp;TRIM(TEXTSPLIT(HK21,","))&amp;",",","&amp;SUBSTITUTE(input_program," ","")&amp;",")))&gt;0)),IF(HM21="",TRUE,IF(input_program="",FALSE,SUMPRODUCT(--ISNUMBER(SEARCH(","&amp;TRIM(TEXTSPLIT(HM21,","))&amp;",",","&amp;SUBSTITUTE(input_program," ","")&amp;",")))=COUNTA(TEXTSPLIT(HM21,",")))))</f>
        <v/>
      </c>
      <c r="JO21" s="19">
        <f>AND(IF(HO21="",TRUE,IF(input_story_categories="",FALSE,SUMPRODUCT(--ISNUMBER(SEARCH(","&amp;TRIM(TEXTSPLIT(HO21,","))&amp;",",","&amp;SUBSTITUTE(input_story_categories," ","")&amp;",")))&gt;0)),IF(HQ21="",TRUE,IF(input_story_categories="",FALSE,SUMPRODUCT(--ISNUMBER(SEARCH(","&amp;TRIM(TEXTSPLIT(HQ21,","))&amp;",",","&amp;SUBSTITUTE(input_story_categories," ","")&amp;",")))=COUNTA(TEXTSPLIT(HQ21,",")))),IF(HS21="",TRUE,IF(input_story_categories="",TRUE,SUMPRODUCT(--ISNUMBER(SEARCH(","&amp;TRIM(TEXTSPLIT(HS21,","))&amp;",",","&amp;SUBSTITUTE(input_story_categories," ","")&amp;",")))=0)),IF(HU21="",TRUE,IF(input_story_categories="",FALSE,SUMPRODUCT(--ISNUMBER(SEARCH(","&amp;TRIM(TEXTSPLIT(HU21,","))&amp;",",","&amp;SUBSTITUTE(input_story_categories," ","")&amp;",")))&gt;0)),IF(HW21="",TRUE,IF(input_story_categories="",FALSE,SUMPRODUCT(--ISNUMBER(SEARCH(","&amp;TRIM(TEXTSPLIT(HW21,","))&amp;",",","&amp;SUBSTITUTE(input_story_categories," ","")&amp;",")))=COUNTA(TEXTSPLIT(HW21,",")))))</f>
        <v/>
      </c>
      <c r="JP21" s="19">
        <f>AND(IF(HY21="",TRUE,IF(input_story_type="",FALSE,SUMPRODUCT(--ISNUMBER(SEARCH(","&amp;TRIM(TEXTSPLIT(HY21,","))&amp;",",","&amp;SUBSTITUTE(input_story_type," ","")&amp;",")))&gt;0)),IF(IA21="",TRUE,IF(input_story_type="",FALSE,SUMPRODUCT(--ISNUMBER(SEARCH(","&amp;TRIM(TEXTSPLIT(IA21,","))&amp;",",","&amp;SUBSTITUTE(input_story_type," ","")&amp;",")))=COUNTA(TEXTSPLIT(IA21,",")))),IF(IC21="",TRUE,IF(input_story_type="",TRUE,SUMPRODUCT(--ISNUMBER(SEARCH(","&amp;TRIM(TEXTSPLIT(IC21,","))&amp;",",","&amp;SUBSTITUTE(input_story_type," ","")&amp;",")))=0)),IF(IE21="",TRUE,IF(input_story_type="",FALSE,SUMPRODUCT(--ISNUMBER(SEARCH(","&amp;TRIM(TEXTSPLIT(IE21,","))&amp;",",","&amp;SUBSTITUTE(input_story_type," ","")&amp;",")))&gt;0)),IF(IG21="",TRUE,IF(input_story_type="",FALSE,SUMPRODUCT(--ISNUMBER(SEARCH(","&amp;TRIM(TEXTSPLIT(IG21,","))&amp;",",","&amp;SUBSTITUTE(input_story_type," ","")&amp;",")))=COUNTA(TEXTSPLIT(IG21,",")))))</f>
        <v/>
      </c>
      <c r="JQ21" s="19">
        <f>AND(IF(II21="",TRUE,IF(input_topics="",FALSE,SUMPRODUCT(--ISNUMBER(SEARCH(","&amp;TRIM(TEXTSPLIT(II21,","))&amp;",",","&amp;SUBSTITUTE(input_topics," ","")&amp;",")))&gt;0)),IF(IK21="",TRUE,IF(input_topics="",FALSE,SUMPRODUCT(--ISNUMBER(SEARCH(","&amp;TRIM(TEXTSPLIT(IK21,","))&amp;",",","&amp;SUBSTITUTE(input_topics," ","")&amp;",")))=COUNTA(TEXTSPLIT(IK21,",")))),IF(IM21="",TRUE,IF(input_topics="",TRUE,SUMPRODUCT(--ISNUMBER(SEARCH(","&amp;TRIM(TEXTSPLIT(IM21,","))&amp;",",","&amp;SUBSTITUTE(input_topics," ","")&amp;",")))=0)),IF(IO21="",TRUE,IF(input_topics="",FALSE,SUMPRODUCT(--ISNUMBER(SEARCH(","&amp;TRIM(TEXTSPLIT(IO21,","))&amp;",",","&amp;SUBSTITUTE(input_topics," ","")&amp;",")))&gt;0)),IF(IQ21="",TRUE,IF(input_topics="",FALSE,SUMPRODUCT(--ISNUMBER(SEARCH(","&amp;TRIM(TEXTSPLIT(IQ21,","))&amp;",",","&amp;SUBSTITUTE(input_topics," ","")&amp;",")))=COUNTA(TEXTSPLIT(IQ21,",")))))</f>
        <v/>
      </c>
    </row>
    <row r="22">
      <c r="A22" s="24">
        <f>IF(NOT(IS22),"Excluded",IF(AND(IT22,IU22,IV22,IW22,IX22,IY22,IZ22,JA22,JB22,JC22,JD22,JE22,JF22,JG22,JH22,JI22,JJ22,JK22,JL22,JM22,JN22,JO22,JP22,JQ22),IF(I22&gt;0,"Eligible but limited","Will appear"),"Excluded"))</f>
        <v/>
      </c>
      <c r="B22" s="24" t="inlineStr">
        <is>
          <t>All Publications by Author</t>
        </is>
      </c>
      <c r="C22" s="27" t="inlineStr">
        <is>
          <t>/faculty-research/faculty-directory/bryan-t-kelly</t>
        </is>
      </c>
      <c r="D22" s="24" t="inlineStr">
        <is>
          <t>/faculty-research/faculty-directory/bryan-t-kelly</t>
        </is>
      </c>
      <c r="E22" s="24" t="n">
        <v>1</v>
      </c>
      <c r="F22" s="24" t="inlineStr">
        <is>
          <t>publications</t>
        </is>
      </c>
      <c r="G22" s="24" t="inlineStr">
        <is>
          <t>publication_teaser_list</t>
        </is>
      </c>
      <c r="H22" s="24" t="inlineStr">
        <is>
          <t>publication_teaser_list_all_by_author</t>
        </is>
      </c>
      <c r="I22" s="24" t="n"/>
      <c r="J22" s="24" t="inlineStr">
        <is>
          <t>View/config rules</t>
        </is>
      </c>
      <c r="K22" s="24" t="inlineStr">
        <is>
          <t>Page placement</t>
        </is>
      </c>
      <c r="L22" s="24" t="inlineStr">
        <is>
          <t>Content type: publications; Source: View/config rules</t>
        </is>
      </c>
      <c r="IS22" s="19">
        <f>IF(input_content_type="",FALSE,ISNUMBER(SEARCH(","&amp;LOWER(input_content_type)&amp;",",","&amp;LOWER(SUBSTITUTE(F22," ",""))&amp;",")))</f>
        <v/>
      </c>
      <c r="IT22" s="19">
        <f>AND(IF(M22="",TRUE,IF(input_affiliations="",FALSE,SUMPRODUCT(--ISNUMBER(SEARCH(","&amp;TRIM(TEXTSPLIT(M22,","))&amp;",",","&amp;SUBSTITUTE(input_affiliations," ","")&amp;",")))&gt;0)),IF(O22="",TRUE,IF(input_affiliations="",FALSE,SUMPRODUCT(--ISNUMBER(SEARCH(","&amp;TRIM(TEXTSPLIT(O22,","))&amp;",",","&amp;SUBSTITUTE(input_affiliations," ","")&amp;",")))=COUNTA(TEXTSPLIT(O22,",")))),IF(Q22="",TRUE,IF(input_affiliations="",TRUE,SUMPRODUCT(--ISNUMBER(SEARCH(","&amp;TRIM(TEXTSPLIT(Q22,","))&amp;",",","&amp;SUBSTITUTE(input_affiliations," ","")&amp;",")))=0)),IF(S22="",TRUE,IF(input_affiliations="",FALSE,SUMPRODUCT(--ISNUMBER(SEARCH(","&amp;TRIM(TEXTSPLIT(S22,","))&amp;",",","&amp;SUBSTITUTE(input_affiliations," ","")&amp;",")))&gt;0)),IF(U22="",TRUE,IF(input_affiliations="",FALSE,SUMPRODUCT(--ISNUMBER(SEARCH(","&amp;TRIM(TEXTSPLIT(U22,","))&amp;",",","&amp;SUBSTITUTE(input_affiliations," ","")&amp;",")))=COUNTA(TEXTSPLIT(U22,",")))))</f>
        <v/>
      </c>
      <c r="IU22" s="19">
        <f>AND(IF(W22="",TRUE,IF(input_announcement_category="",FALSE,SUMPRODUCT(--ISNUMBER(SEARCH(","&amp;TRIM(TEXTSPLIT(W22,","))&amp;",",","&amp;SUBSTITUTE(input_announcement_category," ","")&amp;",")))&gt;0)),IF(Y22="",TRUE,IF(input_announcement_category="",FALSE,SUMPRODUCT(--ISNUMBER(SEARCH(","&amp;TRIM(TEXTSPLIT(Y22,","))&amp;",",","&amp;SUBSTITUTE(input_announcement_category," ","")&amp;",")))=COUNTA(TEXTSPLIT(Y22,",")))),IF(AA22="",TRUE,IF(input_announcement_category="",TRUE,SUMPRODUCT(--ISNUMBER(SEARCH(","&amp;TRIM(TEXTSPLIT(AA22,","))&amp;",",","&amp;SUBSTITUTE(input_announcement_category," ","")&amp;",")))=0)),IF(AC22="",TRUE,IF(input_announcement_category="",FALSE,SUMPRODUCT(--ISNUMBER(SEARCH(","&amp;TRIM(TEXTSPLIT(AC22,","))&amp;",",","&amp;SUBSTITUTE(input_announcement_category," ","")&amp;",")))&gt;0)),IF(AE22="",TRUE,IF(input_announcement_category="",FALSE,SUMPRODUCT(--ISNUMBER(SEARCH(","&amp;TRIM(TEXTSPLIT(AE22,","))&amp;",",","&amp;SUBSTITUTE(input_announcement_category," ","")&amp;",")))=COUNTA(TEXTSPLIT(AE22,",")))))</f>
        <v/>
      </c>
      <c r="IV22" s="19">
        <f>AND(IF(AG22="",TRUE,IF(input_area_of_focus="",FALSE,SUMPRODUCT(--ISNUMBER(SEARCH(","&amp;TRIM(TEXTSPLIT(AG22,","))&amp;",",","&amp;SUBSTITUTE(input_area_of_focus," ","")&amp;",")))&gt;0)),IF(AI22="",TRUE,IF(input_area_of_focus="",FALSE,SUMPRODUCT(--ISNUMBER(SEARCH(","&amp;TRIM(TEXTSPLIT(AI22,","))&amp;",",","&amp;SUBSTITUTE(input_area_of_focus," ","")&amp;",")))=COUNTA(TEXTSPLIT(AI22,",")))),IF(AK22="",TRUE,IF(input_area_of_focus="",TRUE,SUMPRODUCT(--ISNUMBER(SEARCH(","&amp;TRIM(TEXTSPLIT(AK22,","))&amp;",",","&amp;SUBSTITUTE(input_area_of_focus," ","")&amp;",")))=0)),IF(AM22="",TRUE,IF(input_area_of_focus="",FALSE,SUMPRODUCT(--ISNUMBER(SEARCH(","&amp;TRIM(TEXTSPLIT(AM22,","))&amp;",",","&amp;SUBSTITUTE(input_area_of_focus," ","")&amp;",")))&gt;0)),IF(AO22="",TRUE,IF(input_area_of_focus="",FALSE,SUMPRODUCT(--ISNUMBER(SEARCH(","&amp;TRIM(TEXTSPLIT(AO22,","))&amp;",",","&amp;SUBSTITUTE(input_area_of_focus," ","")&amp;",")))=COUNTA(TEXTSPLIT(AO22,",")))))</f>
        <v/>
      </c>
      <c r="IW22" s="19">
        <f>AND(IF(AQ22="",TRUE,IF(input_audience="",FALSE,SUMPRODUCT(--ISNUMBER(SEARCH(","&amp;TRIM(TEXTSPLIT(AQ22,","))&amp;",",","&amp;SUBSTITUTE(input_audience," ","")&amp;",")))&gt;0)),IF(AS22="",TRUE,IF(input_audience="",FALSE,SUMPRODUCT(--ISNUMBER(SEARCH(","&amp;TRIM(TEXTSPLIT(AS22,","))&amp;",",","&amp;SUBSTITUTE(input_audience," ","")&amp;",")))=COUNTA(TEXTSPLIT(AS22,",")))),IF(AU22="",TRUE,IF(input_audience="",TRUE,SUMPRODUCT(--ISNUMBER(SEARCH(","&amp;TRIM(TEXTSPLIT(AU22,","))&amp;",",","&amp;SUBSTITUTE(input_audience," ","")&amp;",")))=0)),IF(AW22="",TRUE,IF(input_audience="",FALSE,SUMPRODUCT(--ISNUMBER(SEARCH(","&amp;TRIM(TEXTSPLIT(AW22,","))&amp;",",","&amp;SUBSTITUTE(input_audience," ","")&amp;",")))&gt;0)),IF(AY22="",TRUE,IF(input_audience="",FALSE,SUMPRODUCT(--ISNUMBER(SEARCH(","&amp;TRIM(TEXTSPLIT(AY22,","))&amp;",",","&amp;SUBSTITUTE(input_audience," ","")&amp;",")))=COUNTA(TEXTSPLIT(AY22,",")))))</f>
        <v/>
      </c>
      <c r="IX22" s="19">
        <f>AND(IF(BA22="",TRUE,IF(input_challenge_opportunities="",FALSE,SUMPRODUCT(--ISNUMBER(SEARCH(","&amp;TRIM(TEXTSPLIT(BA22,","))&amp;",",","&amp;SUBSTITUTE(input_challenge_opportunities," ","")&amp;",")))&gt;0)),IF(BC22="",TRUE,IF(input_challenge_opportunities="",FALSE,SUMPRODUCT(--ISNUMBER(SEARCH(","&amp;TRIM(TEXTSPLIT(BC22,","))&amp;",",","&amp;SUBSTITUTE(input_challenge_opportunities," ","")&amp;",")))=COUNTA(TEXTSPLIT(BC22,",")))),IF(BE22="",TRUE,IF(input_challenge_opportunities="",TRUE,SUMPRODUCT(--ISNUMBER(SEARCH(","&amp;TRIM(TEXTSPLIT(BE22,","))&amp;",",","&amp;SUBSTITUTE(input_challenge_opportunities," ","")&amp;",")))=0)),IF(BG22="",TRUE,IF(input_challenge_opportunities="",FALSE,SUMPRODUCT(--ISNUMBER(SEARCH(","&amp;TRIM(TEXTSPLIT(BG22,","))&amp;",",","&amp;SUBSTITUTE(input_challenge_opportunities," ","")&amp;",")))&gt;0)),IF(BI22="",TRUE,IF(input_challenge_opportunities="",FALSE,SUMPRODUCT(--ISNUMBER(SEARCH(","&amp;TRIM(TEXTSPLIT(BI22,","))&amp;",",","&amp;SUBSTITUTE(input_challenge_opportunities," ","")&amp;",")))=COUNTA(TEXTSPLIT(BI22,",")))))</f>
        <v/>
      </c>
      <c r="IY22" s="19">
        <f>AND(IF(BK22="",TRUE,IF(input_context="",FALSE,SUMPRODUCT(--ISNUMBER(SEARCH(","&amp;TRIM(TEXTSPLIT(BK22,","))&amp;",",","&amp;SUBSTITUTE(input_context," ","")&amp;",")))&gt;0)),IF(BM22="",TRUE,IF(input_context="",FALSE,SUMPRODUCT(--ISNUMBER(SEARCH(","&amp;TRIM(TEXTSPLIT(BM22,","))&amp;",",","&amp;SUBSTITUTE(input_context," ","")&amp;",")))=COUNTA(TEXTSPLIT(BM22,",")))),IF(BO22="",TRUE,IF(input_context="",TRUE,SUMPRODUCT(--ISNUMBER(SEARCH(","&amp;TRIM(TEXTSPLIT(BO22,","))&amp;",",","&amp;SUBSTITUTE(input_context," ","")&amp;",")))=0)),IF(BQ22="",TRUE,IF(input_context="",FALSE,SUMPRODUCT(--ISNUMBER(SEARCH(","&amp;TRIM(TEXTSPLIT(BQ22,","))&amp;",",","&amp;SUBSTITUTE(input_context," ","")&amp;",")))&gt;0)),IF(BS22="",TRUE,IF(input_context="",FALSE,SUMPRODUCT(--ISNUMBER(SEARCH(","&amp;TRIM(TEXTSPLIT(BS22,","))&amp;",",","&amp;SUBSTITUTE(input_context," ","")&amp;",")))=COUNTA(TEXTSPLIT(BS22,",")))))</f>
        <v/>
      </c>
      <c r="IZ22" s="19">
        <f>AND(IF(BU22="",TRUE,IF(input_enews_announcement_type="",FALSE,SUMPRODUCT(--ISNUMBER(SEARCH(","&amp;TRIM(TEXTSPLIT(BU22,","))&amp;",",","&amp;SUBSTITUTE(input_enews_announcement_type," ","")&amp;",")))&gt;0)),IF(BW22="",TRUE,IF(input_enews_announcement_type="",FALSE,SUMPRODUCT(--ISNUMBER(SEARCH(","&amp;TRIM(TEXTSPLIT(BW22,","))&amp;",",","&amp;SUBSTITUTE(input_enews_announcement_type," ","")&amp;",")))=COUNTA(TEXTSPLIT(BW22,",")))),IF(BY22="",TRUE,IF(input_enews_announcement_type="",TRUE,SUMPRODUCT(--ISNUMBER(SEARCH(","&amp;TRIM(TEXTSPLIT(BY22,","))&amp;",",","&amp;SUBSTITUTE(input_enews_announcement_type," ","")&amp;",")))=0)),IF(CA22="",TRUE,IF(input_enews_announcement_type="",FALSE,SUMPRODUCT(--ISNUMBER(SEARCH(","&amp;TRIM(TEXTSPLIT(CA22,","))&amp;",",","&amp;SUBSTITUTE(input_enews_announcement_type," ","")&amp;",")))&gt;0)),IF(CC22="",TRUE,IF(input_enews_announcement_type="",FALSE,SUMPRODUCT(--ISNUMBER(SEARCH(","&amp;TRIM(TEXTSPLIT(CC22,","))&amp;",",","&amp;SUBSTITUTE(input_enews_announcement_type," ","")&amp;",")))=COUNTA(TEXTSPLIT(CC22,",")))))</f>
        <v/>
      </c>
      <c r="JA22" s="19">
        <f>AND(IF(CE22="",TRUE,IF(input_enews_audience="",FALSE,SUMPRODUCT(--ISNUMBER(SEARCH(","&amp;TRIM(TEXTSPLIT(CE22,","))&amp;",",","&amp;SUBSTITUTE(input_enews_audience," ","")&amp;",")))&gt;0)),IF(CG22="",TRUE,IF(input_enews_audience="",FALSE,SUMPRODUCT(--ISNUMBER(SEARCH(","&amp;TRIM(TEXTSPLIT(CG22,","))&amp;",",","&amp;SUBSTITUTE(input_enews_audience," ","")&amp;",")))=COUNTA(TEXTSPLIT(CG22,",")))),IF(CI22="",TRUE,IF(input_enews_audience="",TRUE,SUMPRODUCT(--ISNUMBER(SEARCH(","&amp;TRIM(TEXTSPLIT(CI22,","))&amp;",",","&amp;SUBSTITUTE(input_enews_audience," ","")&amp;",")))=0)),IF(CK22="",TRUE,IF(input_enews_audience="",FALSE,SUMPRODUCT(--ISNUMBER(SEARCH(","&amp;TRIM(TEXTSPLIT(CK22,","))&amp;",",","&amp;SUBSTITUTE(input_enews_audience," ","")&amp;",")))&gt;0)),IF(CM22="",TRUE,IF(input_enews_audience="",FALSE,SUMPRODUCT(--ISNUMBER(SEARCH(","&amp;TRIM(TEXTSPLIT(CM22,","))&amp;",",","&amp;SUBSTITUTE(input_enews_audience," ","")&amp;",")))=COUNTA(TEXTSPLIT(CM22,",")))))</f>
        <v/>
      </c>
      <c r="JB22" s="19">
        <f>AND(IF(CO22="",TRUE,IF(input_event_location="",FALSE,SUMPRODUCT(--ISNUMBER(SEARCH(","&amp;TRIM(TEXTSPLIT(CO22,","))&amp;",",","&amp;SUBSTITUTE(input_event_location," ","")&amp;",")))&gt;0)),IF(CQ22="",TRUE,IF(input_event_location="",FALSE,SUMPRODUCT(--ISNUMBER(SEARCH(","&amp;TRIM(TEXTSPLIT(CQ22,","))&amp;",",","&amp;SUBSTITUTE(input_event_location," ","")&amp;",")))=COUNTA(TEXTSPLIT(CQ22,",")))),IF(CS22="",TRUE,IF(input_event_location="",TRUE,SUMPRODUCT(--ISNUMBER(SEARCH(","&amp;TRIM(TEXTSPLIT(CS22,","))&amp;",",","&amp;SUBSTITUTE(input_event_location," ","")&amp;",")))=0)),IF(CU22="",TRUE,IF(input_event_location="",FALSE,SUMPRODUCT(--ISNUMBER(SEARCH(","&amp;TRIM(TEXTSPLIT(CU22,","))&amp;",",","&amp;SUBSTITUTE(input_event_location," ","")&amp;",")))&gt;0)),IF(CW22="",TRUE,IF(input_event_location="",FALSE,SUMPRODUCT(--ISNUMBER(SEARCH(","&amp;TRIM(TEXTSPLIT(CW22,","))&amp;",",","&amp;SUBSTITUTE(input_event_location," ","")&amp;",")))=COUNTA(TEXTSPLIT(CW22,",")))))</f>
        <v/>
      </c>
      <c r="JC22" s="19">
        <f>AND(IF(CY22="",TRUE,IF(input_event_type="",FALSE,SUMPRODUCT(--ISNUMBER(SEARCH(","&amp;TRIM(TEXTSPLIT(CY22,","))&amp;",",","&amp;SUBSTITUTE(input_event_type," ","")&amp;",")))&gt;0)),IF(DA22="",TRUE,IF(input_event_type="",FALSE,SUMPRODUCT(--ISNUMBER(SEARCH(","&amp;TRIM(TEXTSPLIT(DA22,","))&amp;",",","&amp;SUBSTITUTE(input_event_type," ","")&amp;",")))=COUNTA(TEXTSPLIT(DA22,",")))),IF(DC22="",TRUE,IF(input_event_type="",TRUE,SUMPRODUCT(--ISNUMBER(SEARCH(","&amp;TRIM(TEXTSPLIT(DC22,","))&amp;",",","&amp;SUBSTITUTE(input_event_type," ","")&amp;",")))=0)),IF(DE22="",TRUE,IF(input_event_type="",FALSE,SUMPRODUCT(--ISNUMBER(SEARCH(","&amp;TRIM(TEXTSPLIT(DE22,","))&amp;",",","&amp;SUBSTITUTE(input_event_type," ","")&amp;",")))&gt;0)),IF(DG22="",TRUE,IF(input_event_type="",FALSE,SUMPRODUCT(--ISNUMBER(SEARCH(","&amp;TRIM(TEXTSPLIT(DG22,","))&amp;",",","&amp;SUBSTITUTE(input_event_type," ","")&amp;",")))=COUNTA(TEXTSPLIT(DG22,",")))))</f>
        <v/>
      </c>
      <c r="JD22" s="19">
        <f>AND(IF(DI22="",TRUE,IF(input_executive_education_focus="",FALSE,SUMPRODUCT(--ISNUMBER(SEARCH(","&amp;TRIM(TEXTSPLIT(DI22,","))&amp;",",","&amp;SUBSTITUTE(input_executive_education_focus," ","")&amp;",")))&gt;0)),IF(DK22="",TRUE,IF(input_executive_education_focus="",FALSE,SUMPRODUCT(--ISNUMBER(SEARCH(","&amp;TRIM(TEXTSPLIT(DK22,","))&amp;",",","&amp;SUBSTITUTE(input_executive_education_focus," ","")&amp;",")))=COUNTA(TEXTSPLIT(DK22,",")))),IF(DM22="",TRUE,IF(input_executive_education_focus="",TRUE,SUMPRODUCT(--ISNUMBER(SEARCH(","&amp;TRIM(TEXTSPLIT(DM22,","))&amp;",",","&amp;SUBSTITUTE(input_executive_education_focus," ","")&amp;",")))=0)),IF(DO22="",TRUE,IF(input_executive_education_focus="",FALSE,SUMPRODUCT(--ISNUMBER(SEARCH(","&amp;TRIM(TEXTSPLIT(DO22,","))&amp;",",","&amp;SUBSTITUTE(input_executive_education_focus," ","")&amp;",")))&gt;0)),IF(DQ22="",TRUE,IF(input_executive_education_focus="",FALSE,SUMPRODUCT(--ISNUMBER(SEARCH(","&amp;TRIM(TEXTSPLIT(DQ22,","))&amp;",",","&amp;SUBSTITUTE(input_executive_education_focus," ","")&amp;",")))=COUNTA(TEXTSPLIT(DQ22,",")))))</f>
        <v/>
      </c>
      <c r="JE22" s="19">
        <f>AND(IF(DS22="",TRUE,IF(input_faculty_category="",FALSE,SUMPRODUCT(--ISNUMBER(SEARCH(","&amp;TRIM(TEXTSPLIT(DS22,","))&amp;",",","&amp;SUBSTITUTE(input_faculty_category," ","")&amp;",")))&gt;0)),IF(DU22="",TRUE,IF(input_faculty_category="",FALSE,SUMPRODUCT(--ISNUMBER(SEARCH(","&amp;TRIM(TEXTSPLIT(DU22,","))&amp;",",","&amp;SUBSTITUTE(input_faculty_category," ","")&amp;",")))=COUNTA(TEXTSPLIT(DU22,",")))),IF(DW22="",TRUE,IF(input_faculty_category="",TRUE,SUMPRODUCT(--ISNUMBER(SEARCH(","&amp;TRIM(TEXTSPLIT(DW22,","))&amp;",",","&amp;SUBSTITUTE(input_faculty_category," ","")&amp;",")))=0)),IF(DY22="",TRUE,IF(input_faculty_category="",FALSE,SUMPRODUCT(--ISNUMBER(SEARCH(","&amp;TRIM(TEXTSPLIT(DY22,","))&amp;",",","&amp;SUBSTITUTE(input_faculty_category," ","")&amp;",")))&gt;0)),IF(EA22="",TRUE,IF(input_faculty_category="",FALSE,SUMPRODUCT(--ISNUMBER(SEARCH(","&amp;TRIM(TEXTSPLIT(EA22,","))&amp;",",","&amp;SUBSTITUTE(input_faculty_category," ","")&amp;",")))=COUNTA(TEXTSPLIT(EA22,",")))))</f>
        <v/>
      </c>
      <c r="JF22" s="19">
        <f>AND(IF(EC22="",TRUE,IF(input_faculty_discipline="",FALSE,SUMPRODUCT(--ISNUMBER(SEARCH(","&amp;TRIM(TEXTSPLIT(EC22,","))&amp;",",","&amp;SUBSTITUTE(input_faculty_discipline," ","")&amp;",")))&gt;0)),IF(EE22="",TRUE,IF(input_faculty_discipline="",FALSE,SUMPRODUCT(--ISNUMBER(SEARCH(","&amp;TRIM(TEXTSPLIT(EE22,","))&amp;",",","&amp;SUBSTITUTE(input_faculty_discipline," ","")&amp;",")))=COUNTA(TEXTSPLIT(EE22,",")))),IF(EG22="",TRUE,IF(input_faculty_discipline="",TRUE,SUMPRODUCT(--ISNUMBER(SEARCH(","&amp;TRIM(TEXTSPLIT(EG22,","))&amp;",",","&amp;SUBSTITUTE(input_faculty_discipline," ","")&amp;",")))=0)),IF(EI22="",TRUE,IF(input_faculty_discipline="",FALSE,SUMPRODUCT(--ISNUMBER(SEARCH(","&amp;TRIM(TEXTSPLIT(EI22,","))&amp;",",","&amp;SUBSTITUTE(input_faculty_discipline," ","")&amp;",")))&gt;0)),IF(EK22="",TRUE,IF(input_faculty_discipline="",FALSE,SUMPRODUCT(--ISNUMBER(SEARCH(","&amp;TRIM(TEXTSPLIT(EK22,","))&amp;",",","&amp;SUBSTITUTE(input_faculty_discipline," ","")&amp;",")))=COUNTA(TEXTSPLIT(EK22,",")))))</f>
        <v/>
      </c>
      <c r="JG22" s="19">
        <f>AND(IF(EM22="",TRUE,IF(input_faculty_expertise="",FALSE,SUMPRODUCT(--ISNUMBER(SEARCH(","&amp;TRIM(TEXTSPLIT(EM22,","))&amp;",",","&amp;SUBSTITUTE(input_faculty_expertise," ","")&amp;",")))&gt;0)),IF(EO22="",TRUE,IF(input_faculty_expertise="",FALSE,SUMPRODUCT(--ISNUMBER(SEARCH(","&amp;TRIM(TEXTSPLIT(EO22,","))&amp;",",","&amp;SUBSTITUTE(input_faculty_expertise," ","")&amp;",")))=COUNTA(TEXTSPLIT(EO22,",")))),IF(EQ22="",TRUE,IF(input_faculty_expertise="",TRUE,SUMPRODUCT(--ISNUMBER(SEARCH(","&amp;TRIM(TEXTSPLIT(EQ22,","))&amp;",",","&amp;SUBSTITUTE(input_faculty_expertise," ","")&amp;",")))=0)),IF(ES22="",TRUE,IF(input_faculty_expertise="",FALSE,SUMPRODUCT(--ISNUMBER(SEARCH(","&amp;TRIM(TEXTSPLIT(ES22,","))&amp;",",","&amp;SUBSTITUTE(input_faculty_expertise," ","")&amp;",")))&gt;0)),IF(EU22="",TRUE,IF(input_faculty_expertise="",FALSE,SUMPRODUCT(--ISNUMBER(SEARCH(","&amp;TRIM(TEXTSPLIT(EU22,","))&amp;",",","&amp;SUBSTITUTE(input_faculty_expertise," ","")&amp;",")))=COUNTA(TEXTSPLIT(EU22,",")))))</f>
        <v/>
      </c>
      <c r="JH22" s="19">
        <f>AND(IF(EW22="",TRUE,IF(input_global_network_school="",FALSE,SUMPRODUCT(--ISNUMBER(SEARCH(","&amp;TRIM(TEXTSPLIT(EW22,","))&amp;",",","&amp;SUBSTITUTE(input_global_network_school," ","")&amp;",")))&gt;0)),IF(EY22="",TRUE,IF(input_global_network_school="",FALSE,SUMPRODUCT(--ISNUMBER(SEARCH(","&amp;TRIM(TEXTSPLIT(EY22,","))&amp;",",","&amp;SUBSTITUTE(input_global_network_school," ","")&amp;",")))=COUNTA(TEXTSPLIT(EY22,",")))),IF(FA22="",TRUE,IF(input_global_network_school="",TRUE,SUMPRODUCT(--ISNUMBER(SEARCH(","&amp;TRIM(TEXTSPLIT(FA22,","))&amp;",",","&amp;SUBSTITUTE(input_global_network_school," ","")&amp;",")))=0)),IF(FC22="",TRUE,IF(input_global_network_school="",FALSE,SUMPRODUCT(--ISNUMBER(SEARCH(","&amp;TRIM(TEXTSPLIT(FC22,","))&amp;",",","&amp;SUBSTITUTE(input_global_network_school," ","")&amp;",")))&gt;0)),IF(FE22="",TRUE,IF(input_global_network_school="",FALSE,SUMPRODUCT(--ISNUMBER(SEARCH(","&amp;TRIM(TEXTSPLIT(FE22,","))&amp;",",","&amp;SUBSTITUTE(input_global_network_school," ","")&amp;",")))=COUNTA(TEXTSPLIT(FE22,",")))))</f>
        <v/>
      </c>
      <c r="JI22" s="19">
        <f>AND(IF(FG22="",TRUE,IF(input_industry="",FALSE,SUMPRODUCT(--ISNUMBER(SEARCH(","&amp;TRIM(TEXTSPLIT(FG22,","))&amp;",",","&amp;SUBSTITUTE(input_industry," ","")&amp;",")))&gt;0)),IF(FI22="",TRUE,IF(input_industry="",FALSE,SUMPRODUCT(--ISNUMBER(SEARCH(","&amp;TRIM(TEXTSPLIT(FI22,","))&amp;",",","&amp;SUBSTITUTE(input_industry," ","")&amp;",")))=COUNTA(TEXTSPLIT(FI22,",")))),IF(FK22="",TRUE,IF(input_industry="",TRUE,SUMPRODUCT(--ISNUMBER(SEARCH(","&amp;TRIM(TEXTSPLIT(FK22,","))&amp;",",","&amp;SUBSTITUTE(input_industry," ","")&amp;",")))=0)),IF(FM22="",TRUE,IF(input_industry="",FALSE,SUMPRODUCT(--ISNUMBER(SEARCH(","&amp;TRIM(TEXTSPLIT(FM22,","))&amp;",",","&amp;SUBSTITUTE(input_industry," ","")&amp;",")))&gt;0)),IF(FO22="",TRUE,IF(input_industry="",FALSE,SUMPRODUCT(--ISNUMBER(SEARCH(","&amp;TRIM(TEXTSPLIT(FO22,","))&amp;",",","&amp;SUBSTITUTE(input_industry," ","")&amp;",")))=COUNTA(TEXTSPLIT(FO22,",")))))</f>
        <v/>
      </c>
      <c r="JJ22" s="19">
        <f>AND(IF(FQ22="",TRUE,IF(input_location="",FALSE,SUMPRODUCT(--ISNUMBER(SEARCH(","&amp;TRIM(TEXTSPLIT(FQ22,","))&amp;",",","&amp;SUBSTITUTE(input_location," ","")&amp;",")))&gt;0)),IF(FS22="",TRUE,IF(input_location="",FALSE,SUMPRODUCT(--ISNUMBER(SEARCH(","&amp;TRIM(TEXTSPLIT(FS22,","))&amp;",",","&amp;SUBSTITUTE(input_location," ","")&amp;",")))=COUNTA(TEXTSPLIT(FS22,",")))),IF(FU22="",TRUE,IF(input_location="",TRUE,SUMPRODUCT(--ISNUMBER(SEARCH(","&amp;TRIM(TEXTSPLIT(FU22,","))&amp;",",","&amp;SUBSTITUTE(input_location," ","")&amp;",")))=0)),IF(FW22="",TRUE,IF(input_location="",FALSE,SUMPRODUCT(--ISNUMBER(SEARCH(","&amp;TRIM(TEXTSPLIT(FW22,","))&amp;",",","&amp;SUBSTITUTE(input_location," ","")&amp;",")))&gt;0)),IF(FY22="",TRUE,IF(input_location="",FALSE,SUMPRODUCT(--ISNUMBER(SEARCH(","&amp;TRIM(TEXTSPLIT(FY22,","))&amp;",",","&amp;SUBSTITUTE(input_location," ","")&amp;",")))=COUNTA(TEXTSPLIT(FY22,",")))))</f>
        <v/>
      </c>
      <c r="JK22" s="19">
        <f>AND(IF(GA22="",TRUE,IF(input_modality="",FALSE,SUMPRODUCT(--ISNUMBER(SEARCH(","&amp;TRIM(TEXTSPLIT(GA22,","))&amp;",",","&amp;SUBSTITUTE(input_modality," ","")&amp;",")))&gt;0)),IF(GC22="",TRUE,IF(input_modality="",FALSE,SUMPRODUCT(--ISNUMBER(SEARCH(","&amp;TRIM(TEXTSPLIT(GC22,","))&amp;",",","&amp;SUBSTITUTE(input_modality," ","")&amp;",")))=COUNTA(TEXTSPLIT(GC22,",")))),IF(GE22="",TRUE,IF(input_modality="",TRUE,SUMPRODUCT(--ISNUMBER(SEARCH(","&amp;TRIM(TEXTSPLIT(GE22,","))&amp;",",","&amp;SUBSTITUTE(input_modality," ","")&amp;",")))=0)),IF(GG22="",TRUE,IF(input_modality="",FALSE,SUMPRODUCT(--ISNUMBER(SEARCH(","&amp;TRIM(TEXTSPLIT(GG22,","))&amp;",",","&amp;SUBSTITUTE(input_modality," ","")&amp;",")))&gt;0)),IF(GI22="",TRUE,IF(input_modality="",FALSE,SUMPRODUCT(--ISNUMBER(SEARCH(","&amp;TRIM(TEXTSPLIT(GI22,","))&amp;",",","&amp;SUBSTITUTE(input_modality," ","")&amp;",")))=COUNTA(TEXTSPLIT(GI22,",")))))</f>
        <v/>
      </c>
      <c r="JL22" s="19">
        <f>AND(IF(GK22="",TRUE,IF(input_organizer="",FALSE,SUMPRODUCT(--ISNUMBER(SEARCH(","&amp;TRIM(TEXTSPLIT(GK22,","))&amp;",",","&amp;SUBSTITUTE(input_organizer," ","")&amp;",")))&gt;0)),IF(GM22="",TRUE,IF(input_organizer="",FALSE,SUMPRODUCT(--ISNUMBER(SEARCH(","&amp;TRIM(TEXTSPLIT(GM22,","))&amp;",",","&amp;SUBSTITUTE(input_organizer," ","")&amp;",")))=COUNTA(TEXTSPLIT(GM22,",")))),IF(GO22="",TRUE,IF(input_organizer="",TRUE,SUMPRODUCT(--ISNUMBER(SEARCH(","&amp;TRIM(TEXTSPLIT(GO22,","))&amp;",",","&amp;SUBSTITUTE(input_organizer," ","")&amp;",")))=0)),IF(GQ22="",TRUE,IF(input_organizer="",FALSE,SUMPRODUCT(--ISNUMBER(SEARCH(","&amp;TRIM(TEXTSPLIT(GQ22,","))&amp;",",","&amp;SUBSTITUTE(input_organizer," ","")&amp;",")))&gt;0)),IF(GS22="",TRUE,IF(input_organizer="",FALSE,SUMPRODUCT(--ISNUMBER(SEARCH(","&amp;TRIM(TEXTSPLIT(GS22,","))&amp;",",","&amp;SUBSTITUTE(input_organizer," ","")&amp;",")))=COUNTA(TEXTSPLIT(GS22,",")))))</f>
        <v/>
      </c>
      <c r="JM22" s="19">
        <f>AND(IF(GU22="",TRUE,IF(input_profile_type="",FALSE,SUMPRODUCT(--ISNUMBER(SEARCH(","&amp;TRIM(TEXTSPLIT(GU22,","))&amp;",",","&amp;SUBSTITUTE(input_profile_type," ","")&amp;",")))&gt;0)),IF(GW22="",TRUE,IF(input_profile_type="",FALSE,SUMPRODUCT(--ISNUMBER(SEARCH(","&amp;TRIM(TEXTSPLIT(GW22,","))&amp;",",","&amp;SUBSTITUTE(input_profile_type," ","")&amp;",")))=COUNTA(TEXTSPLIT(GW22,",")))),IF(GY22="",TRUE,IF(input_profile_type="",TRUE,SUMPRODUCT(--ISNUMBER(SEARCH(","&amp;TRIM(TEXTSPLIT(GY22,","))&amp;",",","&amp;SUBSTITUTE(input_profile_type," ","")&amp;",")))=0)),IF(HA22="",TRUE,IF(input_profile_type="",FALSE,SUMPRODUCT(--ISNUMBER(SEARCH(","&amp;TRIM(TEXTSPLIT(HA22,","))&amp;",",","&amp;SUBSTITUTE(input_profile_type," ","")&amp;",")))&gt;0)),IF(HC22="",TRUE,IF(input_profile_type="",FALSE,SUMPRODUCT(--ISNUMBER(SEARCH(","&amp;TRIM(TEXTSPLIT(HC22,","))&amp;",",","&amp;SUBSTITUTE(input_profile_type," ","")&amp;",")))=COUNTA(TEXTSPLIT(HC22,",")))))</f>
        <v/>
      </c>
      <c r="JN22" s="19">
        <f>AND(IF(HE22="",TRUE,IF(input_program="",FALSE,SUMPRODUCT(--ISNUMBER(SEARCH(","&amp;TRIM(TEXTSPLIT(HE22,","))&amp;",",","&amp;SUBSTITUTE(input_program," ","")&amp;",")))&gt;0)),IF(HG22="",TRUE,IF(input_program="",FALSE,SUMPRODUCT(--ISNUMBER(SEARCH(","&amp;TRIM(TEXTSPLIT(HG22,","))&amp;",",","&amp;SUBSTITUTE(input_program," ","")&amp;",")))=COUNTA(TEXTSPLIT(HG22,",")))),IF(HI22="",TRUE,IF(input_program="",TRUE,SUMPRODUCT(--ISNUMBER(SEARCH(","&amp;TRIM(TEXTSPLIT(HI22,","))&amp;",",","&amp;SUBSTITUTE(input_program," ","")&amp;",")))=0)),IF(HK22="",TRUE,IF(input_program="",FALSE,SUMPRODUCT(--ISNUMBER(SEARCH(","&amp;TRIM(TEXTSPLIT(HK22,","))&amp;",",","&amp;SUBSTITUTE(input_program," ","")&amp;",")))&gt;0)),IF(HM22="",TRUE,IF(input_program="",FALSE,SUMPRODUCT(--ISNUMBER(SEARCH(","&amp;TRIM(TEXTSPLIT(HM22,","))&amp;",",","&amp;SUBSTITUTE(input_program," ","")&amp;",")))=COUNTA(TEXTSPLIT(HM22,",")))))</f>
        <v/>
      </c>
      <c r="JO22" s="19">
        <f>AND(IF(HO22="",TRUE,IF(input_story_categories="",FALSE,SUMPRODUCT(--ISNUMBER(SEARCH(","&amp;TRIM(TEXTSPLIT(HO22,","))&amp;",",","&amp;SUBSTITUTE(input_story_categories," ","")&amp;",")))&gt;0)),IF(HQ22="",TRUE,IF(input_story_categories="",FALSE,SUMPRODUCT(--ISNUMBER(SEARCH(","&amp;TRIM(TEXTSPLIT(HQ22,","))&amp;",",","&amp;SUBSTITUTE(input_story_categories," ","")&amp;",")))=COUNTA(TEXTSPLIT(HQ22,",")))),IF(HS22="",TRUE,IF(input_story_categories="",TRUE,SUMPRODUCT(--ISNUMBER(SEARCH(","&amp;TRIM(TEXTSPLIT(HS22,","))&amp;",",","&amp;SUBSTITUTE(input_story_categories," ","")&amp;",")))=0)),IF(HU22="",TRUE,IF(input_story_categories="",FALSE,SUMPRODUCT(--ISNUMBER(SEARCH(","&amp;TRIM(TEXTSPLIT(HU22,","))&amp;",",","&amp;SUBSTITUTE(input_story_categories," ","")&amp;",")))&gt;0)),IF(HW22="",TRUE,IF(input_story_categories="",FALSE,SUMPRODUCT(--ISNUMBER(SEARCH(","&amp;TRIM(TEXTSPLIT(HW22,","))&amp;",",","&amp;SUBSTITUTE(input_story_categories," ","")&amp;",")))=COUNTA(TEXTSPLIT(HW22,",")))))</f>
        <v/>
      </c>
      <c r="JP22" s="19">
        <f>AND(IF(HY22="",TRUE,IF(input_story_type="",FALSE,SUMPRODUCT(--ISNUMBER(SEARCH(","&amp;TRIM(TEXTSPLIT(HY22,","))&amp;",",","&amp;SUBSTITUTE(input_story_type," ","")&amp;",")))&gt;0)),IF(IA22="",TRUE,IF(input_story_type="",FALSE,SUMPRODUCT(--ISNUMBER(SEARCH(","&amp;TRIM(TEXTSPLIT(IA22,","))&amp;",",","&amp;SUBSTITUTE(input_story_type," ","")&amp;",")))=COUNTA(TEXTSPLIT(IA22,",")))),IF(IC22="",TRUE,IF(input_story_type="",TRUE,SUMPRODUCT(--ISNUMBER(SEARCH(","&amp;TRIM(TEXTSPLIT(IC22,","))&amp;",",","&amp;SUBSTITUTE(input_story_type," ","")&amp;",")))=0)),IF(IE22="",TRUE,IF(input_story_type="",FALSE,SUMPRODUCT(--ISNUMBER(SEARCH(","&amp;TRIM(TEXTSPLIT(IE22,","))&amp;",",","&amp;SUBSTITUTE(input_story_type," ","")&amp;",")))&gt;0)),IF(IG22="",TRUE,IF(input_story_type="",FALSE,SUMPRODUCT(--ISNUMBER(SEARCH(","&amp;TRIM(TEXTSPLIT(IG22,","))&amp;",",","&amp;SUBSTITUTE(input_story_type," ","")&amp;",")))=COUNTA(TEXTSPLIT(IG22,",")))))</f>
        <v/>
      </c>
      <c r="JQ22" s="19">
        <f>AND(IF(II22="",TRUE,IF(input_topics="",FALSE,SUMPRODUCT(--ISNUMBER(SEARCH(","&amp;TRIM(TEXTSPLIT(II22,","))&amp;",",","&amp;SUBSTITUTE(input_topics," ","")&amp;",")))&gt;0)),IF(IK22="",TRUE,IF(input_topics="",FALSE,SUMPRODUCT(--ISNUMBER(SEARCH(","&amp;TRIM(TEXTSPLIT(IK22,","))&amp;",",","&amp;SUBSTITUTE(input_topics," ","")&amp;",")))=COUNTA(TEXTSPLIT(IK22,",")))),IF(IM22="",TRUE,IF(input_topics="",TRUE,SUMPRODUCT(--ISNUMBER(SEARCH(","&amp;TRIM(TEXTSPLIT(IM22,","))&amp;",",","&amp;SUBSTITUTE(input_topics," ","")&amp;",")))=0)),IF(IO22="",TRUE,IF(input_topics="",FALSE,SUMPRODUCT(--ISNUMBER(SEARCH(","&amp;TRIM(TEXTSPLIT(IO22,","))&amp;",",","&amp;SUBSTITUTE(input_topics," ","")&amp;",")))&gt;0)),IF(IQ22="",TRUE,IF(input_topics="",FALSE,SUMPRODUCT(--ISNUMBER(SEARCH(","&amp;TRIM(TEXTSPLIT(IQ22,","))&amp;",",","&amp;SUBSTITUTE(input_topics," ","")&amp;",")))=COUNTA(TEXTSPLIT(IQ22,",")))))</f>
        <v/>
      </c>
    </row>
    <row r="23">
      <c r="A23" s="24">
        <f>IF(NOT(IS23),"Excluded",IF(AND(IT23,IU23,IV23,IW23,IX23,IY23,IZ23,JA23,JB23,JC23,JD23,JE23,JF23,JG23,JH23,JI23,JJ23,JK23,JL23,JM23,JN23,JO23,JP23,JQ23),IF(I23&gt;0,"Eligible but limited","Will appear"),"Excluded"))</f>
        <v/>
      </c>
      <c r="B23" s="24" t="inlineStr">
        <is>
          <t>All Publications by Author</t>
        </is>
      </c>
      <c r="C23" s="27" t="inlineStr">
        <is>
          <t>/faculty-research/faculty-directory/daylian-cain</t>
        </is>
      </c>
      <c r="D23" s="24" t="inlineStr">
        <is>
          <t>/faculty-research/faculty-directory/daylian-cain</t>
        </is>
      </c>
      <c r="E23" s="24" t="n">
        <v>1</v>
      </c>
      <c r="F23" s="24" t="inlineStr">
        <is>
          <t>publications</t>
        </is>
      </c>
      <c r="G23" s="24" t="inlineStr">
        <is>
          <t>publication_teaser_list</t>
        </is>
      </c>
      <c r="H23" s="24" t="inlineStr">
        <is>
          <t>publication_teaser_list_all_by_author</t>
        </is>
      </c>
      <c r="I23" s="24" t="n"/>
      <c r="J23" s="24" t="inlineStr">
        <is>
          <t>View/config rules</t>
        </is>
      </c>
      <c r="K23" s="24" t="inlineStr">
        <is>
          <t>Page placement</t>
        </is>
      </c>
      <c r="L23" s="24" t="inlineStr">
        <is>
          <t>Content type: publications; Source: View/config rules</t>
        </is>
      </c>
      <c r="IS23" s="19">
        <f>IF(input_content_type="",FALSE,ISNUMBER(SEARCH(","&amp;LOWER(input_content_type)&amp;",",","&amp;LOWER(SUBSTITUTE(F23," ",""))&amp;",")))</f>
        <v/>
      </c>
      <c r="IT23" s="19">
        <f>AND(IF(M23="",TRUE,IF(input_affiliations="",FALSE,SUMPRODUCT(--ISNUMBER(SEARCH(","&amp;TRIM(TEXTSPLIT(M23,","))&amp;",",","&amp;SUBSTITUTE(input_affiliations," ","")&amp;",")))&gt;0)),IF(O23="",TRUE,IF(input_affiliations="",FALSE,SUMPRODUCT(--ISNUMBER(SEARCH(","&amp;TRIM(TEXTSPLIT(O23,","))&amp;",",","&amp;SUBSTITUTE(input_affiliations," ","")&amp;",")))=COUNTA(TEXTSPLIT(O23,",")))),IF(Q23="",TRUE,IF(input_affiliations="",TRUE,SUMPRODUCT(--ISNUMBER(SEARCH(","&amp;TRIM(TEXTSPLIT(Q23,","))&amp;",",","&amp;SUBSTITUTE(input_affiliations," ","")&amp;",")))=0)),IF(S23="",TRUE,IF(input_affiliations="",FALSE,SUMPRODUCT(--ISNUMBER(SEARCH(","&amp;TRIM(TEXTSPLIT(S23,","))&amp;",",","&amp;SUBSTITUTE(input_affiliations," ","")&amp;",")))&gt;0)),IF(U23="",TRUE,IF(input_affiliations="",FALSE,SUMPRODUCT(--ISNUMBER(SEARCH(","&amp;TRIM(TEXTSPLIT(U23,","))&amp;",",","&amp;SUBSTITUTE(input_affiliations," ","")&amp;",")))=COUNTA(TEXTSPLIT(U23,",")))))</f>
        <v/>
      </c>
      <c r="IU23" s="19">
        <f>AND(IF(W23="",TRUE,IF(input_announcement_category="",FALSE,SUMPRODUCT(--ISNUMBER(SEARCH(","&amp;TRIM(TEXTSPLIT(W23,","))&amp;",",","&amp;SUBSTITUTE(input_announcement_category," ","")&amp;",")))&gt;0)),IF(Y23="",TRUE,IF(input_announcement_category="",FALSE,SUMPRODUCT(--ISNUMBER(SEARCH(","&amp;TRIM(TEXTSPLIT(Y23,","))&amp;",",","&amp;SUBSTITUTE(input_announcement_category," ","")&amp;",")))=COUNTA(TEXTSPLIT(Y23,",")))),IF(AA23="",TRUE,IF(input_announcement_category="",TRUE,SUMPRODUCT(--ISNUMBER(SEARCH(","&amp;TRIM(TEXTSPLIT(AA23,","))&amp;",",","&amp;SUBSTITUTE(input_announcement_category," ","")&amp;",")))=0)),IF(AC23="",TRUE,IF(input_announcement_category="",FALSE,SUMPRODUCT(--ISNUMBER(SEARCH(","&amp;TRIM(TEXTSPLIT(AC23,","))&amp;",",","&amp;SUBSTITUTE(input_announcement_category," ","")&amp;",")))&gt;0)),IF(AE23="",TRUE,IF(input_announcement_category="",FALSE,SUMPRODUCT(--ISNUMBER(SEARCH(","&amp;TRIM(TEXTSPLIT(AE23,","))&amp;",",","&amp;SUBSTITUTE(input_announcement_category," ","")&amp;",")))=COUNTA(TEXTSPLIT(AE23,",")))))</f>
        <v/>
      </c>
      <c r="IV23" s="19">
        <f>AND(IF(AG23="",TRUE,IF(input_area_of_focus="",FALSE,SUMPRODUCT(--ISNUMBER(SEARCH(","&amp;TRIM(TEXTSPLIT(AG23,","))&amp;",",","&amp;SUBSTITUTE(input_area_of_focus," ","")&amp;",")))&gt;0)),IF(AI23="",TRUE,IF(input_area_of_focus="",FALSE,SUMPRODUCT(--ISNUMBER(SEARCH(","&amp;TRIM(TEXTSPLIT(AI23,","))&amp;",",","&amp;SUBSTITUTE(input_area_of_focus," ","")&amp;",")))=COUNTA(TEXTSPLIT(AI23,",")))),IF(AK23="",TRUE,IF(input_area_of_focus="",TRUE,SUMPRODUCT(--ISNUMBER(SEARCH(","&amp;TRIM(TEXTSPLIT(AK23,","))&amp;",",","&amp;SUBSTITUTE(input_area_of_focus," ","")&amp;",")))=0)),IF(AM23="",TRUE,IF(input_area_of_focus="",FALSE,SUMPRODUCT(--ISNUMBER(SEARCH(","&amp;TRIM(TEXTSPLIT(AM23,","))&amp;",",","&amp;SUBSTITUTE(input_area_of_focus," ","")&amp;",")))&gt;0)),IF(AO23="",TRUE,IF(input_area_of_focus="",FALSE,SUMPRODUCT(--ISNUMBER(SEARCH(","&amp;TRIM(TEXTSPLIT(AO23,","))&amp;",",","&amp;SUBSTITUTE(input_area_of_focus," ","")&amp;",")))=COUNTA(TEXTSPLIT(AO23,",")))))</f>
        <v/>
      </c>
      <c r="IW23" s="19">
        <f>AND(IF(AQ23="",TRUE,IF(input_audience="",FALSE,SUMPRODUCT(--ISNUMBER(SEARCH(","&amp;TRIM(TEXTSPLIT(AQ23,","))&amp;",",","&amp;SUBSTITUTE(input_audience," ","")&amp;",")))&gt;0)),IF(AS23="",TRUE,IF(input_audience="",FALSE,SUMPRODUCT(--ISNUMBER(SEARCH(","&amp;TRIM(TEXTSPLIT(AS23,","))&amp;",",","&amp;SUBSTITUTE(input_audience," ","")&amp;",")))=COUNTA(TEXTSPLIT(AS23,",")))),IF(AU23="",TRUE,IF(input_audience="",TRUE,SUMPRODUCT(--ISNUMBER(SEARCH(","&amp;TRIM(TEXTSPLIT(AU23,","))&amp;",",","&amp;SUBSTITUTE(input_audience," ","")&amp;",")))=0)),IF(AW23="",TRUE,IF(input_audience="",FALSE,SUMPRODUCT(--ISNUMBER(SEARCH(","&amp;TRIM(TEXTSPLIT(AW23,","))&amp;",",","&amp;SUBSTITUTE(input_audience," ","")&amp;",")))&gt;0)),IF(AY23="",TRUE,IF(input_audience="",FALSE,SUMPRODUCT(--ISNUMBER(SEARCH(","&amp;TRIM(TEXTSPLIT(AY23,","))&amp;",",","&amp;SUBSTITUTE(input_audience," ","")&amp;",")))=COUNTA(TEXTSPLIT(AY23,",")))))</f>
        <v/>
      </c>
      <c r="IX23" s="19">
        <f>AND(IF(BA23="",TRUE,IF(input_challenge_opportunities="",FALSE,SUMPRODUCT(--ISNUMBER(SEARCH(","&amp;TRIM(TEXTSPLIT(BA23,","))&amp;",",","&amp;SUBSTITUTE(input_challenge_opportunities," ","")&amp;",")))&gt;0)),IF(BC23="",TRUE,IF(input_challenge_opportunities="",FALSE,SUMPRODUCT(--ISNUMBER(SEARCH(","&amp;TRIM(TEXTSPLIT(BC23,","))&amp;",",","&amp;SUBSTITUTE(input_challenge_opportunities," ","")&amp;",")))=COUNTA(TEXTSPLIT(BC23,",")))),IF(BE23="",TRUE,IF(input_challenge_opportunities="",TRUE,SUMPRODUCT(--ISNUMBER(SEARCH(","&amp;TRIM(TEXTSPLIT(BE23,","))&amp;",",","&amp;SUBSTITUTE(input_challenge_opportunities," ","")&amp;",")))=0)),IF(BG23="",TRUE,IF(input_challenge_opportunities="",FALSE,SUMPRODUCT(--ISNUMBER(SEARCH(","&amp;TRIM(TEXTSPLIT(BG23,","))&amp;",",","&amp;SUBSTITUTE(input_challenge_opportunities," ","")&amp;",")))&gt;0)),IF(BI23="",TRUE,IF(input_challenge_opportunities="",FALSE,SUMPRODUCT(--ISNUMBER(SEARCH(","&amp;TRIM(TEXTSPLIT(BI23,","))&amp;",",","&amp;SUBSTITUTE(input_challenge_opportunities," ","")&amp;",")))=COUNTA(TEXTSPLIT(BI23,",")))))</f>
        <v/>
      </c>
      <c r="IY23" s="19">
        <f>AND(IF(BK23="",TRUE,IF(input_context="",FALSE,SUMPRODUCT(--ISNUMBER(SEARCH(","&amp;TRIM(TEXTSPLIT(BK23,","))&amp;",",","&amp;SUBSTITUTE(input_context," ","")&amp;",")))&gt;0)),IF(BM23="",TRUE,IF(input_context="",FALSE,SUMPRODUCT(--ISNUMBER(SEARCH(","&amp;TRIM(TEXTSPLIT(BM23,","))&amp;",",","&amp;SUBSTITUTE(input_context," ","")&amp;",")))=COUNTA(TEXTSPLIT(BM23,",")))),IF(BO23="",TRUE,IF(input_context="",TRUE,SUMPRODUCT(--ISNUMBER(SEARCH(","&amp;TRIM(TEXTSPLIT(BO23,","))&amp;",",","&amp;SUBSTITUTE(input_context," ","")&amp;",")))=0)),IF(BQ23="",TRUE,IF(input_context="",FALSE,SUMPRODUCT(--ISNUMBER(SEARCH(","&amp;TRIM(TEXTSPLIT(BQ23,","))&amp;",",","&amp;SUBSTITUTE(input_context," ","")&amp;",")))&gt;0)),IF(BS23="",TRUE,IF(input_context="",FALSE,SUMPRODUCT(--ISNUMBER(SEARCH(","&amp;TRIM(TEXTSPLIT(BS23,","))&amp;",",","&amp;SUBSTITUTE(input_context," ","")&amp;",")))=COUNTA(TEXTSPLIT(BS23,",")))))</f>
        <v/>
      </c>
      <c r="IZ23" s="19">
        <f>AND(IF(BU23="",TRUE,IF(input_enews_announcement_type="",FALSE,SUMPRODUCT(--ISNUMBER(SEARCH(","&amp;TRIM(TEXTSPLIT(BU23,","))&amp;",",","&amp;SUBSTITUTE(input_enews_announcement_type," ","")&amp;",")))&gt;0)),IF(BW23="",TRUE,IF(input_enews_announcement_type="",FALSE,SUMPRODUCT(--ISNUMBER(SEARCH(","&amp;TRIM(TEXTSPLIT(BW23,","))&amp;",",","&amp;SUBSTITUTE(input_enews_announcement_type," ","")&amp;",")))=COUNTA(TEXTSPLIT(BW23,",")))),IF(BY23="",TRUE,IF(input_enews_announcement_type="",TRUE,SUMPRODUCT(--ISNUMBER(SEARCH(","&amp;TRIM(TEXTSPLIT(BY23,","))&amp;",",","&amp;SUBSTITUTE(input_enews_announcement_type," ","")&amp;",")))=0)),IF(CA23="",TRUE,IF(input_enews_announcement_type="",FALSE,SUMPRODUCT(--ISNUMBER(SEARCH(","&amp;TRIM(TEXTSPLIT(CA23,","))&amp;",",","&amp;SUBSTITUTE(input_enews_announcement_type," ","")&amp;",")))&gt;0)),IF(CC23="",TRUE,IF(input_enews_announcement_type="",FALSE,SUMPRODUCT(--ISNUMBER(SEARCH(","&amp;TRIM(TEXTSPLIT(CC23,","))&amp;",",","&amp;SUBSTITUTE(input_enews_announcement_type," ","")&amp;",")))=COUNTA(TEXTSPLIT(CC23,",")))))</f>
        <v/>
      </c>
      <c r="JA23" s="19">
        <f>AND(IF(CE23="",TRUE,IF(input_enews_audience="",FALSE,SUMPRODUCT(--ISNUMBER(SEARCH(","&amp;TRIM(TEXTSPLIT(CE23,","))&amp;",",","&amp;SUBSTITUTE(input_enews_audience," ","")&amp;",")))&gt;0)),IF(CG23="",TRUE,IF(input_enews_audience="",FALSE,SUMPRODUCT(--ISNUMBER(SEARCH(","&amp;TRIM(TEXTSPLIT(CG23,","))&amp;",",","&amp;SUBSTITUTE(input_enews_audience," ","")&amp;",")))=COUNTA(TEXTSPLIT(CG23,",")))),IF(CI23="",TRUE,IF(input_enews_audience="",TRUE,SUMPRODUCT(--ISNUMBER(SEARCH(","&amp;TRIM(TEXTSPLIT(CI23,","))&amp;",",","&amp;SUBSTITUTE(input_enews_audience," ","")&amp;",")))=0)),IF(CK23="",TRUE,IF(input_enews_audience="",FALSE,SUMPRODUCT(--ISNUMBER(SEARCH(","&amp;TRIM(TEXTSPLIT(CK23,","))&amp;",",","&amp;SUBSTITUTE(input_enews_audience," ","")&amp;",")))&gt;0)),IF(CM23="",TRUE,IF(input_enews_audience="",FALSE,SUMPRODUCT(--ISNUMBER(SEARCH(","&amp;TRIM(TEXTSPLIT(CM23,","))&amp;",",","&amp;SUBSTITUTE(input_enews_audience," ","")&amp;",")))=COUNTA(TEXTSPLIT(CM23,",")))))</f>
        <v/>
      </c>
      <c r="JB23" s="19">
        <f>AND(IF(CO23="",TRUE,IF(input_event_location="",FALSE,SUMPRODUCT(--ISNUMBER(SEARCH(","&amp;TRIM(TEXTSPLIT(CO23,","))&amp;",",","&amp;SUBSTITUTE(input_event_location," ","")&amp;",")))&gt;0)),IF(CQ23="",TRUE,IF(input_event_location="",FALSE,SUMPRODUCT(--ISNUMBER(SEARCH(","&amp;TRIM(TEXTSPLIT(CQ23,","))&amp;",",","&amp;SUBSTITUTE(input_event_location," ","")&amp;",")))=COUNTA(TEXTSPLIT(CQ23,",")))),IF(CS23="",TRUE,IF(input_event_location="",TRUE,SUMPRODUCT(--ISNUMBER(SEARCH(","&amp;TRIM(TEXTSPLIT(CS23,","))&amp;",",","&amp;SUBSTITUTE(input_event_location," ","")&amp;",")))=0)),IF(CU23="",TRUE,IF(input_event_location="",FALSE,SUMPRODUCT(--ISNUMBER(SEARCH(","&amp;TRIM(TEXTSPLIT(CU23,","))&amp;",",","&amp;SUBSTITUTE(input_event_location," ","")&amp;",")))&gt;0)),IF(CW23="",TRUE,IF(input_event_location="",FALSE,SUMPRODUCT(--ISNUMBER(SEARCH(","&amp;TRIM(TEXTSPLIT(CW23,","))&amp;",",","&amp;SUBSTITUTE(input_event_location," ","")&amp;",")))=COUNTA(TEXTSPLIT(CW23,",")))))</f>
        <v/>
      </c>
      <c r="JC23" s="19">
        <f>AND(IF(CY23="",TRUE,IF(input_event_type="",FALSE,SUMPRODUCT(--ISNUMBER(SEARCH(","&amp;TRIM(TEXTSPLIT(CY23,","))&amp;",",","&amp;SUBSTITUTE(input_event_type," ","")&amp;",")))&gt;0)),IF(DA23="",TRUE,IF(input_event_type="",FALSE,SUMPRODUCT(--ISNUMBER(SEARCH(","&amp;TRIM(TEXTSPLIT(DA23,","))&amp;",",","&amp;SUBSTITUTE(input_event_type," ","")&amp;",")))=COUNTA(TEXTSPLIT(DA23,",")))),IF(DC23="",TRUE,IF(input_event_type="",TRUE,SUMPRODUCT(--ISNUMBER(SEARCH(","&amp;TRIM(TEXTSPLIT(DC23,","))&amp;",",","&amp;SUBSTITUTE(input_event_type," ","")&amp;",")))=0)),IF(DE23="",TRUE,IF(input_event_type="",FALSE,SUMPRODUCT(--ISNUMBER(SEARCH(","&amp;TRIM(TEXTSPLIT(DE23,","))&amp;",",","&amp;SUBSTITUTE(input_event_type," ","")&amp;",")))&gt;0)),IF(DG23="",TRUE,IF(input_event_type="",FALSE,SUMPRODUCT(--ISNUMBER(SEARCH(","&amp;TRIM(TEXTSPLIT(DG23,","))&amp;",",","&amp;SUBSTITUTE(input_event_type," ","")&amp;",")))=COUNTA(TEXTSPLIT(DG23,",")))))</f>
        <v/>
      </c>
      <c r="JD23" s="19">
        <f>AND(IF(DI23="",TRUE,IF(input_executive_education_focus="",FALSE,SUMPRODUCT(--ISNUMBER(SEARCH(","&amp;TRIM(TEXTSPLIT(DI23,","))&amp;",",","&amp;SUBSTITUTE(input_executive_education_focus," ","")&amp;",")))&gt;0)),IF(DK23="",TRUE,IF(input_executive_education_focus="",FALSE,SUMPRODUCT(--ISNUMBER(SEARCH(","&amp;TRIM(TEXTSPLIT(DK23,","))&amp;",",","&amp;SUBSTITUTE(input_executive_education_focus," ","")&amp;",")))=COUNTA(TEXTSPLIT(DK23,",")))),IF(DM23="",TRUE,IF(input_executive_education_focus="",TRUE,SUMPRODUCT(--ISNUMBER(SEARCH(","&amp;TRIM(TEXTSPLIT(DM23,","))&amp;",",","&amp;SUBSTITUTE(input_executive_education_focus," ","")&amp;",")))=0)),IF(DO23="",TRUE,IF(input_executive_education_focus="",FALSE,SUMPRODUCT(--ISNUMBER(SEARCH(","&amp;TRIM(TEXTSPLIT(DO23,","))&amp;",",","&amp;SUBSTITUTE(input_executive_education_focus," ","")&amp;",")))&gt;0)),IF(DQ23="",TRUE,IF(input_executive_education_focus="",FALSE,SUMPRODUCT(--ISNUMBER(SEARCH(","&amp;TRIM(TEXTSPLIT(DQ23,","))&amp;",",","&amp;SUBSTITUTE(input_executive_education_focus," ","")&amp;",")))=COUNTA(TEXTSPLIT(DQ23,",")))))</f>
        <v/>
      </c>
      <c r="JE23" s="19">
        <f>AND(IF(DS23="",TRUE,IF(input_faculty_category="",FALSE,SUMPRODUCT(--ISNUMBER(SEARCH(","&amp;TRIM(TEXTSPLIT(DS23,","))&amp;",",","&amp;SUBSTITUTE(input_faculty_category," ","")&amp;",")))&gt;0)),IF(DU23="",TRUE,IF(input_faculty_category="",FALSE,SUMPRODUCT(--ISNUMBER(SEARCH(","&amp;TRIM(TEXTSPLIT(DU23,","))&amp;",",","&amp;SUBSTITUTE(input_faculty_category," ","")&amp;",")))=COUNTA(TEXTSPLIT(DU23,",")))),IF(DW23="",TRUE,IF(input_faculty_category="",TRUE,SUMPRODUCT(--ISNUMBER(SEARCH(","&amp;TRIM(TEXTSPLIT(DW23,","))&amp;",",","&amp;SUBSTITUTE(input_faculty_category," ","")&amp;",")))=0)),IF(DY23="",TRUE,IF(input_faculty_category="",FALSE,SUMPRODUCT(--ISNUMBER(SEARCH(","&amp;TRIM(TEXTSPLIT(DY23,","))&amp;",",","&amp;SUBSTITUTE(input_faculty_category," ","")&amp;",")))&gt;0)),IF(EA23="",TRUE,IF(input_faculty_category="",FALSE,SUMPRODUCT(--ISNUMBER(SEARCH(","&amp;TRIM(TEXTSPLIT(EA23,","))&amp;",",","&amp;SUBSTITUTE(input_faculty_category," ","")&amp;",")))=COUNTA(TEXTSPLIT(EA23,",")))))</f>
        <v/>
      </c>
      <c r="JF23" s="19">
        <f>AND(IF(EC23="",TRUE,IF(input_faculty_discipline="",FALSE,SUMPRODUCT(--ISNUMBER(SEARCH(","&amp;TRIM(TEXTSPLIT(EC23,","))&amp;",",","&amp;SUBSTITUTE(input_faculty_discipline," ","")&amp;",")))&gt;0)),IF(EE23="",TRUE,IF(input_faculty_discipline="",FALSE,SUMPRODUCT(--ISNUMBER(SEARCH(","&amp;TRIM(TEXTSPLIT(EE23,","))&amp;",",","&amp;SUBSTITUTE(input_faculty_discipline," ","")&amp;",")))=COUNTA(TEXTSPLIT(EE23,",")))),IF(EG23="",TRUE,IF(input_faculty_discipline="",TRUE,SUMPRODUCT(--ISNUMBER(SEARCH(","&amp;TRIM(TEXTSPLIT(EG23,","))&amp;",",","&amp;SUBSTITUTE(input_faculty_discipline," ","")&amp;",")))=0)),IF(EI23="",TRUE,IF(input_faculty_discipline="",FALSE,SUMPRODUCT(--ISNUMBER(SEARCH(","&amp;TRIM(TEXTSPLIT(EI23,","))&amp;",",","&amp;SUBSTITUTE(input_faculty_discipline," ","")&amp;",")))&gt;0)),IF(EK23="",TRUE,IF(input_faculty_discipline="",FALSE,SUMPRODUCT(--ISNUMBER(SEARCH(","&amp;TRIM(TEXTSPLIT(EK23,","))&amp;",",","&amp;SUBSTITUTE(input_faculty_discipline," ","")&amp;",")))=COUNTA(TEXTSPLIT(EK23,",")))))</f>
        <v/>
      </c>
      <c r="JG23" s="19">
        <f>AND(IF(EM23="",TRUE,IF(input_faculty_expertise="",FALSE,SUMPRODUCT(--ISNUMBER(SEARCH(","&amp;TRIM(TEXTSPLIT(EM23,","))&amp;",",","&amp;SUBSTITUTE(input_faculty_expertise," ","")&amp;",")))&gt;0)),IF(EO23="",TRUE,IF(input_faculty_expertise="",FALSE,SUMPRODUCT(--ISNUMBER(SEARCH(","&amp;TRIM(TEXTSPLIT(EO23,","))&amp;",",","&amp;SUBSTITUTE(input_faculty_expertise," ","")&amp;",")))=COUNTA(TEXTSPLIT(EO23,",")))),IF(EQ23="",TRUE,IF(input_faculty_expertise="",TRUE,SUMPRODUCT(--ISNUMBER(SEARCH(","&amp;TRIM(TEXTSPLIT(EQ23,","))&amp;",",","&amp;SUBSTITUTE(input_faculty_expertise," ","")&amp;",")))=0)),IF(ES23="",TRUE,IF(input_faculty_expertise="",FALSE,SUMPRODUCT(--ISNUMBER(SEARCH(","&amp;TRIM(TEXTSPLIT(ES23,","))&amp;",",","&amp;SUBSTITUTE(input_faculty_expertise," ","")&amp;",")))&gt;0)),IF(EU23="",TRUE,IF(input_faculty_expertise="",FALSE,SUMPRODUCT(--ISNUMBER(SEARCH(","&amp;TRIM(TEXTSPLIT(EU23,","))&amp;",",","&amp;SUBSTITUTE(input_faculty_expertise," ","")&amp;",")))=COUNTA(TEXTSPLIT(EU23,",")))))</f>
        <v/>
      </c>
      <c r="JH23" s="19">
        <f>AND(IF(EW23="",TRUE,IF(input_global_network_school="",FALSE,SUMPRODUCT(--ISNUMBER(SEARCH(","&amp;TRIM(TEXTSPLIT(EW23,","))&amp;",",","&amp;SUBSTITUTE(input_global_network_school," ","")&amp;",")))&gt;0)),IF(EY23="",TRUE,IF(input_global_network_school="",FALSE,SUMPRODUCT(--ISNUMBER(SEARCH(","&amp;TRIM(TEXTSPLIT(EY23,","))&amp;",",","&amp;SUBSTITUTE(input_global_network_school," ","")&amp;",")))=COUNTA(TEXTSPLIT(EY23,",")))),IF(FA23="",TRUE,IF(input_global_network_school="",TRUE,SUMPRODUCT(--ISNUMBER(SEARCH(","&amp;TRIM(TEXTSPLIT(FA23,","))&amp;",",","&amp;SUBSTITUTE(input_global_network_school," ","")&amp;",")))=0)),IF(FC23="",TRUE,IF(input_global_network_school="",FALSE,SUMPRODUCT(--ISNUMBER(SEARCH(","&amp;TRIM(TEXTSPLIT(FC23,","))&amp;",",","&amp;SUBSTITUTE(input_global_network_school," ","")&amp;",")))&gt;0)),IF(FE23="",TRUE,IF(input_global_network_school="",FALSE,SUMPRODUCT(--ISNUMBER(SEARCH(","&amp;TRIM(TEXTSPLIT(FE23,","))&amp;",",","&amp;SUBSTITUTE(input_global_network_school," ","")&amp;",")))=COUNTA(TEXTSPLIT(FE23,",")))))</f>
        <v/>
      </c>
      <c r="JI23" s="19">
        <f>AND(IF(FG23="",TRUE,IF(input_industry="",FALSE,SUMPRODUCT(--ISNUMBER(SEARCH(","&amp;TRIM(TEXTSPLIT(FG23,","))&amp;",",","&amp;SUBSTITUTE(input_industry," ","")&amp;",")))&gt;0)),IF(FI23="",TRUE,IF(input_industry="",FALSE,SUMPRODUCT(--ISNUMBER(SEARCH(","&amp;TRIM(TEXTSPLIT(FI23,","))&amp;",",","&amp;SUBSTITUTE(input_industry," ","")&amp;",")))=COUNTA(TEXTSPLIT(FI23,",")))),IF(FK23="",TRUE,IF(input_industry="",TRUE,SUMPRODUCT(--ISNUMBER(SEARCH(","&amp;TRIM(TEXTSPLIT(FK23,","))&amp;",",","&amp;SUBSTITUTE(input_industry," ","")&amp;",")))=0)),IF(FM23="",TRUE,IF(input_industry="",FALSE,SUMPRODUCT(--ISNUMBER(SEARCH(","&amp;TRIM(TEXTSPLIT(FM23,","))&amp;",",","&amp;SUBSTITUTE(input_industry," ","")&amp;",")))&gt;0)),IF(FO23="",TRUE,IF(input_industry="",FALSE,SUMPRODUCT(--ISNUMBER(SEARCH(","&amp;TRIM(TEXTSPLIT(FO23,","))&amp;",",","&amp;SUBSTITUTE(input_industry," ","")&amp;",")))=COUNTA(TEXTSPLIT(FO23,",")))))</f>
        <v/>
      </c>
      <c r="JJ23" s="19">
        <f>AND(IF(FQ23="",TRUE,IF(input_location="",FALSE,SUMPRODUCT(--ISNUMBER(SEARCH(","&amp;TRIM(TEXTSPLIT(FQ23,","))&amp;",",","&amp;SUBSTITUTE(input_location," ","")&amp;",")))&gt;0)),IF(FS23="",TRUE,IF(input_location="",FALSE,SUMPRODUCT(--ISNUMBER(SEARCH(","&amp;TRIM(TEXTSPLIT(FS23,","))&amp;",",","&amp;SUBSTITUTE(input_location," ","")&amp;",")))=COUNTA(TEXTSPLIT(FS23,",")))),IF(FU23="",TRUE,IF(input_location="",TRUE,SUMPRODUCT(--ISNUMBER(SEARCH(","&amp;TRIM(TEXTSPLIT(FU23,","))&amp;",",","&amp;SUBSTITUTE(input_location," ","")&amp;",")))=0)),IF(FW23="",TRUE,IF(input_location="",FALSE,SUMPRODUCT(--ISNUMBER(SEARCH(","&amp;TRIM(TEXTSPLIT(FW23,","))&amp;",",","&amp;SUBSTITUTE(input_location," ","")&amp;",")))&gt;0)),IF(FY23="",TRUE,IF(input_location="",FALSE,SUMPRODUCT(--ISNUMBER(SEARCH(","&amp;TRIM(TEXTSPLIT(FY23,","))&amp;",",","&amp;SUBSTITUTE(input_location," ","")&amp;",")))=COUNTA(TEXTSPLIT(FY23,",")))))</f>
        <v/>
      </c>
      <c r="JK23" s="19">
        <f>AND(IF(GA23="",TRUE,IF(input_modality="",FALSE,SUMPRODUCT(--ISNUMBER(SEARCH(","&amp;TRIM(TEXTSPLIT(GA23,","))&amp;",",","&amp;SUBSTITUTE(input_modality," ","")&amp;",")))&gt;0)),IF(GC23="",TRUE,IF(input_modality="",FALSE,SUMPRODUCT(--ISNUMBER(SEARCH(","&amp;TRIM(TEXTSPLIT(GC23,","))&amp;",",","&amp;SUBSTITUTE(input_modality," ","")&amp;",")))=COUNTA(TEXTSPLIT(GC23,",")))),IF(GE23="",TRUE,IF(input_modality="",TRUE,SUMPRODUCT(--ISNUMBER(SEARCH(","&amp;TRIM(TEXTSPLIT(GE23,","))&amp;",",","&amp;SUBSTITUTE(input_modality," ","")&amp;",")))=0)),IF(GG23="",TRUE,IF(input_modality="",FALSE,SUMPRODUCT(--ISNUMBER(SEARCH(","&amp;TRIM(TEXTSPLIT(GG23,","))&amp;",",","&amp;SUBSTITUTE(input_modality," ","")&amp;",")))&gt;0)),IF(GI23="",TRUE,IF(input_modality="",FALSE,SUMPRODUCT(--ISNUMBER(SEARCH(","&amp;TRIM(TEXTSPLIT(GI23,","))&amp;",",","&amp;SUBSTITUTE(input_modality," ","")&amp;",")))=COUNTA(TEXTSPLIT(GI23,",")))))</f>
        <v/>
      </c>
      <c r="JL23" s="19">
        <f>AND(IF(GK23="",TRUE,IF(input_organizer="",FALSE,SUMPRODUCT(--ISNUMBER(SEARCH(","&amp;TRIM(TEXTSPLIT(GK23,","))&amp;",",","&amp;SUBSTITUTE(input_organizer," ","")&amp;",")))&gt;0)),IF(GM23="",TRUE,IF(input_organizer="",FALSE,SUMPRODUCT(--ISNUMBER(SEARCH(","&amp;TRIM(TEXTSPLIT(GM23,","))&amp;",",","&amp;SUBSTITUTE(input_organizer," ","")&amp;",")))=COUNTA(TEXTSPLIT(GM23,",")))),IF(GO23="",TRUE,IF(input_organizer="",TRUE,SUMPRODUCT(--ISNUMBER(SEARCH(","&amp;TRIM(TEXTSPLIT(GO23,","))&amp;",",","&amp;SUBSTITUTE(input_organizer," ","")&amp;",")))=0)),IF(GQ23="",TRUE,IF(input_organizer="",FALSE,SUMPRODUCT(--ISNUMBER(SEARCH(","&amp;TRIM(TEXTSPLIT(GQ23,","))&amp;",",","&amp;SUBSTITUTE(input_organizer," ","")&amp;",")))&gt;0)),IF(GS23="",TRUE,IF(input_organizer="",FALSE,SUMPRODUCT(--ISNUMBER(SEARCH(","&amp;TRIM(TEXTSPLIT(GS23,","))&amp;",",","&amp;SUBSTITUTE(input_organizer," ","")&amp;",")))=COUNTA(TEXTSPLIT(GS23,",")))))</f>
        <v/>
      </c>
      <c r="JM23" s="19">
        <f>AND(IF(GU23="",TRUE,IF(input_profile_type="",FALSE,SUMPRODUCT(--ISNUMBER(SEARCH(","&amp;TRIM(TEXTSPLIT(GU23,","))&amp;",",","&amp;SUBSTITUTE(input_profile_type," ","")&amp;",")))&gt;0)),IF(GW23="",TRUE,IF(input_profile_type="",FALSE,SUMPRODUCT(--ISNUMBER(SEARCH(","&amp;TRIM(TEXTSPLIT(GW23,","))&amp;",",","&amp;SUBSTITUTE(input_profile_type," ","")&amp;",")))=COUNTA(TEXTSPLIT(GW23,",")))),IF(GY23="",TRUE,IF(input_profile_type="",TRUE,SUMPRODUCT(--ISNUMBER(SEARCH(","&amp;TRIM(TEXTSPLIT(GY23,","))&amp;",",","&amp;SUBSTITUTE(input_profile_type," ","")&amp;",")))=0)),IF(HA23="",TRUE,IF(input_profile_type="",FALSE,SUMPRODUCT(--ISNUMBER(SEARCH(","&amp;TRIM(TEXTSPLIT(HA23,","))&amp;",",","&amp;SUBSTITUTE(input_profile_type," ","")&amp;",")))&gt;0)),IF(HC23="",TRUE,IF(input_profile_type="",FALSE,SUMPRODUCT(--ISNUMBER(SEARCH(","&amp;TRIM(TEXTSPLIT(HC23,","))&amp;",",","&amp;SUBSTITUTE(input_profile_type," ","")&amp;",")))=COUNTA(TEXTSPLIT(HC23,",")))))</f>
        <v/>
      </c>
      <c r="JN23" s="19">
        <f>AND(IF(HE23="",TRUE,IF(input_program="",FALSE,SUMPRODUCT(--ISNUMBER(SEARCH(","&amp;TRIM(TEXTSPLIT(HE23,","))&amp;",",","&amp;SUBSTITUTE(input_program," ","")&amp;",")))&gt;0)),IF(HG23="",TRUE,IF(input_program="",FALSE,SUMPRODUCT(--ISNUMBER(SEARCH(","&amp;TRIM(TEXTSPLIT(HG23,","))&amp;",",","&amp;SUBSTITUTE(input_program," ","")&amp;",")))=COUNTA(TEXTSPLIT(HG23,",")))),IF(HI23="",TRUE,IF(input_program="",TRUE,SUMPRODUCT(--ISNUMBER(SEARCH(","&amp;TRIM(TEXTSPLIT(HI23,","))&amp;",",","&amp;SUBSTITUTE(input_program," ","")&amp;",")))=0)),IF(HK23="",TRUE,IF(input_program="",FALSE,SUMPRODUCT(--ISNUMBER(SEARCH(","&amp;TRIM(TEXTSPLIT(HK23,","))&amp;",",","&amp;SUBSTITUTE(input_program," ","")&amp;",")))&gt;0)),IF(HM23="",TRUE,IF(input_program="",FALSE,SUMPRODUCT(--ISNUMBER(SEARCH(","&amp;TRIM(TEXTSPLIT(HM23,","))&amp;",",","&amp;SUBSTITUTE(input_program," ","")&amp;",")))=COUNTA(TEXTSPLIT(HM23,",")))))</f>
        <v/>
      </c>
      <c r="JO23" s="19">
        <f>AND(IF(HO23="",TRUE,IF(input_story_categories="",FALSE,SUMPRODUCT(--ISNUMBER(SEARCH(","&amp;TRIM(TEXTSPLIT(HO23,","))&amp;",",","&amp;SUBSTITUTE(input_story_categories," ","")&amp;",")))&gt;0)),IF(HQ23="",TRUE,IF(input_story_categories="",FALSE,SUMPRODUCT(--ISNUMBER(SEARCH(","&amp;TRIM(TEXTSPLIT(HQ23,","))&amp;",",","&amp;SUBSTITUTE(input_story_categories," ","")&amp;",")))=COUNTA(TEXTSPLIT(HQ23,",")))),IF(HS23="",TRUE,IF(input_story_categories="",TRUE,SUMPRODUCT(--ISNUMBER(SEARCH(","&amp;TRIM(TEXTSPLIT(HS23,","))&amp;",",","&amp;SUBSTITUTE(input_story_categories," ","")&amp;",")))=0)),IF(HU23="",TRUE,IF(input_story_categories="",FALSE,SUMPRODUCT(--ISNUMBER(SEARCH(","&amp;TRIM(TEXTSPLIT(HU23,","))&amp;",",","&amp;SUBSTITUTE(input_story_categories," ","")&amp;",")))&gt;0)),IF(HW23="",TRUE,IF(input_story_categories="",FALSE,SUMPRODUCT(--ISNUMBER(SEARCH(","&amp;TRIM(TEXTSPLIT(HW23,","))&amp;",",","&amp;SUBSTITUTE(input_story_categories," ","")&amp;",")))=COUNTA(TEXTSPLIT(HW23,",")))))</f>
        <v/>
      </c>
      <c r="JP23" s="19">
        <f>AND(IF(HY23="",TRUE,IF(input_story_type="",FALSE,SUMPRODUCT(--ISNUMBER(SEARCH(","&amp;TRIM(TEXTSPLIT(HY23,","))&amp;",",","&amp;SUBSTITUTE(input_story_type," ","")&amp;",")))&gt;0)),IF(IA23="",TRUE,IF(input_story_type="",FALSE,SUMPRODUCT(--ISNUMBER(SEARCH(","&amp;TRIM(TEXTSPLIT(IA23,","))&amp;",",","&amp;SUBSTITUTE(input_story_type," ","")&amp;",")))=COUNTA(TEXTSPLIT(IA23,",")))),IF(IC23="",TRUE,IF(input_story_type="",TRUE,SUMPRODUCT(--ISNUMBER(SEARCH(","&amp;TRIM(TEXTSPLIT(IC23,","))&amp;",",","&amp;SUBSTITUTE(input_story_type," ","")&amp;",")))=0)),IF(IE23="",TRUE,IF(input_story_type="",FALSE,SUMPRODUCT(--ISNUMBER(SEARCH(","&amp;TRIM(TEXTSPLIT(IE23,","))&amp;",",","&amp;SUBSTITUTE(input_story_type," ","")&amp;",")))&gt;0)),IF(IG23="",TRUE,IF(input_story_type="",FALSE,SUMPRODUCT(--ISNUMBER(SEARCH(","&amp;TRIM(TEXTSPLIT(IG23,","))&amp;",",","&amp;SUBSTITUTE(input_story_type," ","")&amp;",")))=COUNTA(TEXTSPLIT(IG23,",")))))</f>
        <v/>
      </c>
      <c r="JQ23" s="19">
        <f>AND(IF(II23="",TRUE,IF(input_topics="",FALSE,SUMPRODUCT(--ISNUMBER(SEARCH(","&amp;TRIM(TEXTSPLIT(II23,","))&amp;",",","&amp;SUBSTITUTE(input_topics," ","")&amp;",")))&gt;0)),IF(IK23="",TRUE,IF(input_topics="",FALSE,SUMPRODUCT(--ISNUMBER(SEARCH(","&amp;TRIM(TEXTSPLIT(IK23,","))&amp;",",","&amp;SUBSTITUTE(input_topics," ","")&amp;",")))=COUNTA(TEXTSPLIT(IK23,",")))),IF(IM23="",TRUE,IF(input_topics="",TRUE,SUMPRODUCT(--ISNUMBER(SEARCH(","&amp;TRIM(TEXTSPLIT(IM23,","))&amp;",",","&amp;SUBSTITUTE(input_topics," ","")&amp;",")))=0)),IF(IO23="",TRUE,IF(input_topics="",FALSE,SUMPRODUCT(--ISNUMBER(SEARCH(","&amp;TRIM(TEXTSPLIT(IO23,","))&amp;",",","&amp;SUBSTITUTE(input_topics," ","")&amp;",")))&gt;0)),IF(IQ23="",TRUE,IF(input_topics="",FALSE,SUMPRODUCT(--ISNUMBER(SEARCH(","&amp;TRIM(TEXTSPLIT(IQ23,","))&amp;",",","&amp;SUBSTITUTE(input_topics," ","")&amp;",")))=COUNTA(TEXTSPLIT(IQ23,",")))))</f>
        <v/>
      </c>
    </row>
    <row r="24">
      <c r="A24" s="24">
        <f>IF(NOT(IS24),"Excluded",IF(AND(IT24,IU24,IV24,IW24,IX24,IY24,IZ24,JA24,JB24,JC24,JD24,JE24,JF24,JG24,JH24,JI24,JJ24,JK24,JL24,JM24,JN24,JO24,JP24,JQ24),IF(I24&gt;0,"Eligible but limited","Will appear"),"Excluded"))</f>
        <v/>
      </c>
      <c r="B24" s="24" t="inlineStr">
        <is>
          <t>All Publications by Author</t>
        </is>
      </c>
      <c r="C24" s="27" t="inlineStr">
        <is>
          <t>/faculty-research/faculty-directory/edieal-j-pinker</t>
        </is>
      </c>
      <c r="D24" s="24" t="inlineStr">
        <is>
          <t>/faculty-research/faculty-directory/edieal-j-pinker</t>
        </is>
      </c>
      <c r="E24" s="24" t="n">
        <v>1</v>
      </c>
      <c r="F24" s="24" t="inlineStr">
        <is>
          <t>publications</t>
        </is>
      </c>
      <c r="G24" s="24" t="inlineStr">
        <is>
          <t>publication_teaser_list</t>
        </is>
      </c>
      <c r="H24" s="24" t="inlineStr">
        <is>
          <t>publication_teaser_list_all_by_author</t>
        </is>
      </c>
      <c r="I24" s="24" t="n"/>
      <c r="J24" s="24" t="inlineStr">
        <is>
          <t>View/config rules</t>
        </is>
      </c>
      <c r="K24" s="24" t="inlineStr">
        <is>
          <t>Page placement</t>
        </is>
      </c>
      <c r="L24" s="24" t="inlineStr">
        <is>
          <t>Content type: publications; Source: View/config rules</t>
        </is>
      </c>
      <c r="IS24" s="19">
        <f>IF(input_content_type="",FALSE,ISNUMBER(SEARCH(","&amp;LOWER(input_content_type)&amp;",",","&amp;LOWER(SUBSTITUTE(F24," ",""))&amp;",")))</f>
        <v/>
      </c>
      <c r="IT24" s="19">
        <f>AND(IF(M24="",TRUE,IF(input_affiliations="",FALSE,SUMPRODUCT(--ISNUMBER(SEARCH(","&amp;TRIM(TEXTSPLIT(M24,","))&amp;",",","&amp;SUBSTITUTE(input_affiliations," ","")&amp;",")))&gt;0)),IF(O24="",TRUE,IF(input_affiliations="",FALSE,SUMPRODUCT(--ISNUMBER(SEARCH(","&amp;TRIM(TEXTSPLIT(O24,","))&amp;",",","&amp;SUBSTITUTE(input_affiliations," ","")&amp;",")))=COUNTA(TEXTSPLIT(O24,",")))),IF(Q24="",TRUE,IF(input_affiliations="",TRUE,SUMPRODUCT(--ISNUMBER(SEARCH(","&amp;TRIM(TEXTSPLIT(Q24,","))&amp;",",","&amp;SUBSTITUTE(input_affiliations," ","")&amp;",")))=0)),IF(S24="",TRUE,IF(input_affiliations="",FALSE,SUMPRODUCT(--ISNUMBER(SEARCH(","&amp;TRIM(TEXTSPLIT(S24,","))&amp;",",","&amp;SUBSTITUTE(input_affiliations," ","")&amp;",")))&gt;0)),IF(U24="",TRUE,IF(input_affiliations="",FALSE,SUMPRODUCT(--ISNUMBER(SEARCH(","&amp;TRIM(TEXTSPLIT(U24,","))&amp;",",","&amp;SUBSTITUTE(input_affiliations," ","")&amp;",")))=COUNTA(TEXTSPLIT(U24,",")))))</f>
        <v/>
      </c>
      <c r="IU24" s="19">
        <f>AND(IF(W24="",TRUE,IF(input_announcement_category="",FALSE,SUMPRODUCT(--ISNUMBER(SEARCH(","&amp;TRIM(TEXTSPLIT(W24,","))&amp;",",","&amp;SUBSTITUTE(input_announcement_category," ","")&amp;",")))&gt;0)),IF(Y24="",TRUE,IF(input_announcement_category="",FALSE,SUMPRODUCT(--ISNUMBER(SEARCH(","&amp;TRIM(TEXTSPLIT(Y24,","))&amp;",",","&amp;SUBSTITUTE(input_announcement_category," ","")&amp;",")))=COUNTA(TEXTSPLIT(Y24,",")))),IF(AA24="",TRUE,IF(input_announcement_category="",TRUE,SUMPRODUCT(--ISNUMBER(SEARCH(","&amp;TRIM(TEXTSPLIT(AA24,","))&amp;",",","&amp;SUBSTITUTE(input_announcement_category," ","")&amp;",")))=0)),IF(AC24="",TRUE,IF(input_announcement_category="",FALSE,SUMPRODUCT(--ISNUMBER(SEARCH(","&amp;TRIM(TEXTSPLIT(AC24,","))&amp;",",","&amp;SUBSTITUTE(input_announcement_category," ","")&amp;",")))&gt;0)),IF(AE24="",TRUE,IF(input_announcement_category="",FALSE,SUMPRODUCT(--ISNUMBER(SEARCH(","&amp;TRIM(TEXTSPLIT(AE24,","))&amp;",",","&amp;SUBSTITUTE(input_announcement_category," ","")&amp;",")))=COUNTA(TEXTSPLIT(AE24,",")))))</f>
        <v/>
      </c>
      <c r="IV24" s="19">
        <f>AND(IF(AG24="",TRUE,IF(input_area_of_focus="",FALSE,SUMPRODUCT(--ISNUMBER(SEARCH(","&amp;TRIM(TEXTSPLIT(AG24,","))&amp;",",","&amp;SUBSTITUTE(input_area_of_focus," ","")&amp;",")))&gt;0)),IF(AI24="",TRUE,IF(input_area_of_focus="",FALSE,SUMPRODUCT(--ISNUMBER(SEARCH(","&amp;TRIM(TEXTSPLIT(AI24,","))&amp;",",","&amp;SUBSTITUTE(input_area_of_focus," ","")&amp;",")))=COUNTA(TEXTSPLIT(AI24,",")))),IF(AK24="",TRUE,IF(input_area_of_focus="",TRUE,SUMPRODUCT(--ISNUMBER(SEARCH(","&amp;TRIM(TEXTSPLIT(AK24,","))&amp;",",","&amp;SUBSTITUTE(input_area_of_focus," ","")&amp;",")))=0)),IF(AM24="",TRUE,IF(input_area_of_focus="",FALSE,SUMPRODUCT(--ISNUMBER(SEARCH(","&amp;TRIM(TEXTSPLIT(AM24,","))&amp;",",","&amp;SUBSTITUTE(input_area_of_focus," ","")&amp;",")))&gt;0)),IF(AO24="",TRUE,IF(input_area_of_focus="",FALSE,SUMPRODUCT(--ISNUMBER(SEARCH(","&amp;TRIM(TEXTSPLIT(AO24,","))&amp;",",","&amp;SUBSTITUTE(input_area_of_focus," ","")&amp;",")))=COUNTA(TEXTSPLIT(AO24,",")))))</f>
        <v/>
      </c>
      <c r="IW24" s="19">
        <f>AND(IF(AQ24="",TRUE,IF(input_audience="",FALSE,SUMPRODUCT(--ISNUMBER(SEARCH(","&amp;TRIM(TEXTSPLIT(AQ24,","))&amp;",",","&amp;SUBSTITUTE(input_audience," ","")&amp;",")))&gt;0)),IF(AS24="",TRUE,IF(input_audience="",FALSE,SUMPRODUCT(--ISNUMBER(SEARCH(","&amp;TRIM(TEXTSPLIT(AS24,","))&amp;",",","&amp;SUBSTITUTE(input_audience," ","")&amp;",")))=COUNTA(TEXTSPLIT(AS24,",")))),IF(AU24="",TRUE,IF(input_audience="",TRUE,SUMPRODUCT(--ISNUMBER(SEARCH(","&amp;TRIM(TEXTSPLIT(AU24,","))&amp;",",","&amp;SUBSTITUTE(input_audience," ","")&amp;",")))=0)),IF(AW24="",TRUE,IF(input_audience="",FALSE,SUMPRODUCT(--ISNUMBER(SEARCH(","&amp;TRIM(TEXTSPLIT(AW24,","))&amp;",",","&amp;SUBSTITUTE(input_audience," ","")&amp;",")))&gt;0)),IF(AY24="",TRUE,IF(input_audience="",FALSE,SUMPRODUCT(--ISNUMBER(SEARCH(","&amp;TRIM(TEXTSPLIT(AY24,","))&amp;",",","&amp;SUBSTITUTE(input_audience," ","")&amp;",")))=COUNTA(TEXTSPLIT(AY24,",")))))</f>
        <v/>
      </c>
      <c r="IX24" s="19">
        <f>AND(IF(BA24="",TRUE,IF(input_challenge_opportunities="",FALSE,SUMPRODUCT(--ISNUMBER(SEARCH(","&amp;TRIM(TEXTSPLIT(BA24,","))&amp;",",","&amp;SUBSTITUTE(input_challenge_opportunities," ","")&amp;",")))&gt;0)),IF(BC24="",TRUE,IF(input_challenge_opportunities="",FALSE,SUMPRODUCT(--ISNUMBER(SEARCH(","&amp;TRIM(TEXTSPLIT(BC24,","))&amp;",",","&amp;SUBSTITUTE(input_challenge_opportunities," ","")&amp;",")))=COUNTA(TEXTSPLIT(BC24,",")))),IF(BE24="",TRUE,IF(input_challenge_opportunities="",TRUE,SUMPRODUCT(--ISNUMBER(SEARCH(","&amp;TRIM(TEXTSPLIT(BE24,","))&amp;",",","&amp;SUBSTITUTE(input_challenge_opportunities," ","")&amp;",")))=0)),IF(BG24="",TRUE,IF(input_challenge_opportunities="",FALSE,SUMPRODUCT(--ISNUMBER(SEARCH(","&amp;TRIM(TEXTSPLIT(BG24,","))&amp;",",","&amp;SUBSTITUTE(input_challenge_opportunities," ","")&amp;",")))&gt;0)),IF(BI24="",TRUE,IF(input_challenge_opportunities="",FALSE,SUMPRODUCT(--ISNUMBER(SEARCH(","&amp;TRIM(TEXTSPLIT(BI24,","))&amp;",",","&amp;SUBSTITUTE(input_challenge_opportunities," ","")&amp;",")))=COUNTA(TEXTSPLIT(BI24,",")))))</f>
        <v/>
      </c>
      <c r="IY24" s="19">
        <f>AND(IF(BK24="",TRUE,IF(input_context="",FALSE,SUMPRODUCT(--ISNUMBER(SEARCH(","&amp;TRIM(TEXTSPLIT(BK24,","))&amp;",",","&amp;SUBSTITUTE(input_context," ","")&amp;",")))&gt;0)),IF(BM24="",TRUE,IF(input_context="",FALSE,SUMPRODUCT(--ISNUMBER(SEARCH(","&amp;TRIM(TEXTSPLIT(BM24,","))&amp;",",","&amp;SUBSTITUTE(input_context," ","")&amp;",")))=COUNTA(TEXTSPLIT(BM24,",")))),IF(BO24="",TRUE,IF(input_context="",TRUE,SUMPRODUCT(--ISNUMBER(SEARCH(","&amp;TRIM(TEXTSPLIT(BO24,","))&amp;",",","&amp;SUBSTITUTE(input_context," ","")&amp;",")))=0)),IF(BQ24="",TRUE,IF(input_context="",FALSE,SUMPRODUCT(--ISNUMBER(SEARCH(","&amp;TRIM(TEXTSPLIT(BQ24,","))&amp;",",","&amp;SUBSTITUTE(input_context," ","")&amp;",")))&gt;0)),IF(BS24="",TRUE,IF(input_context="",FALSE,SUMPRODUCT(--ISNUMBER(SEARCH(","&amp;TRIM(TEXTSPLIT(BS24,","))&amp;",",","&amp;SUBSTITUTE(input_context," ","")&amp;",")))=COUNTA(TEXTSPLIT(BS24,",")))))</f>
        <v/>
      </c>
      <c r="IZ24" s="19">
        <f>AND(IF(BU24="",TRUE,IF(input_enews_announcement_type="",FALSE,SUMPRODUCT(--ISNUMBER(SEARCH(","&amp;TRIM(TEXTSPLIT(BU24,","))&amp;",",","&amp;SUBSTITUTE(input_enews_announcement_type," ","")&amp;",")))&gt;0)),IF(BW24="",TRUE,IF(input_enews_announcement_type="",FALSE,SUMPRODUCT(--ISNUMBER(SEARCH(","&amp;TRIM(TEXTSPLIT(BW24,","))&amp;",",","&amp;SUBSTITUTE(input_enews_announcement_type," ","")&amp;",")))=COUNTA(TEXTSPLIT(BW24,",")))),IF(BY24="",TRUE,IF(input_enews_announcement_type="",TRUE,SUMPRODUCT(--ISNUMBER(SEARCH(","&amp;TRIM(TEXTSPLIT(BY24,","))&amp;",",","&amp;SUBSTITUTE(input_enews_announcement_type," ","")&amp;",")))=0)),IF(CA24="",TRUE,IF(input_enews_announcement_type="",FALSE,SUMPRODUCT(--ISNUMBER(SEARCH(","&amp;TRIM(TEXTSPLIT(CA24,","))&amp;",",","&amp;SUBSTITUTE(input_enews_announcement_type," ","")&amp;",")))&gt;0)),IF(CC24="",TRUE,IF(input_enews_announcement_type="",FALSE,SUMPRODUCT(--ISNUMBER(SEARCH(","&amp;TRIM(TEXTSPLIT(CC24,","))&amp;",",","&amp;SUBSTITUTE(input_enews_announcement_type," ","")&amp;",")))=COUNTA(TEXTSPLIT(CC24,",")))))</f>
        <v/>
      </c>
      <c r="JA24" s="19">
        <f>AND(IF(CE24="",TRUE,IF(input_enews_audience="",FALSE,SUMPRODUCT(--ISNUMBER(SEARCH(","&amp;TRIM(TEXTSPLIT(CE24,","))&amp;",",","&amp;SUBSTITUTE(input_enews_audience," ","")&amp;",")))&gt;0)),IF(CG24="",TRUE,IF(input_enews_audience="",FALSE,SUMPRODUCT(--ISNUMBER(SEARCH(","&amp;TRIM(TEXTSPLIT(CG24,","))&amp;",",","&amp;SUBSTITUTE(input_enews_audience," ","")&amp;",")))=COUNTA(TEXTSPLIT(CG24,",")))),IF(CI24="",TRUE,IF(input_enews_audience="",TRUE,SUMPRODUCT(--ISNUMBER(SEARCH(","&amp;TRIM(TEXTSPLIT(CI24,","))&amp;",",","&amp;SUBSTITUTE(input_enews_audience," ","")&amp;",")))=0)),IF(CK24="",TRUE,IF(input_enews_audience="",FALSE,SUMPRODUCT(--ISNUMBER(SEARCH(","&amp;TRIM(TEXTSPLIT(CK24,","))&amp;",",","&amp;SUBSTITUTE(input_enews_audience," ","")&amp;",")))&gt;0)),IF(CM24="",TRUE,IF(input_enews_audience="",FALSE,SUMPRODUCT(--ISNUMBER(SEARCH(","&amp;TRIM(TEXTSPLIT(CM24,","))&amp;",",","&amp;SUBSTITUTE(input_enews_audience," ","")&amp;",")))=COUNTA(TEXTSPLIT(CM24,",")))))</f>
        <v/>
      </c>
      <c r="JB24" s="19">
        <f>AND(IF(CO24="",TRUE,IF(input_event_location="",FALSE,SUMPRODUCT(--ISNUMBER(SEARCH(","&amp;TRIM(TEXTSPLIT(CO24,","))&amp;",",","&amp;SUBSTITUTE(input_event_location," ","")&amp;",")))&gt;0)),IF(CQ24="",TRUE,IF(input_event_location="",FALSE,SUMPRODUCT(--ISNUMBER(SEARCH(","&amp;TRIM(TEXTSPLIT(CQ24,","))&amp;",",","&amp;SUBSTITUTE(input_event_location," ","")&amp;",")))=COUNTA(TEXTSPLIT(CQ24,",")))),IF(CS24="",TRUE,IF(input_event_location="",TRUE,SUMPRODUCT(--ISNUMBER(SEARCH(","&amp;TRIM(TEXTSPLIT(CS24,","))&amp;",",","&amp;SUBSTITUTE(input_event_location," ","")&amp;",")))=0)),IF(CU24="",TRUE,IF(input_event_location="",FALSE,SUMPRODUCT(--ISNUMBER(SEARCH(","&amp;TRIM(TEXTSPLIT(CU24,","))&amp;",",","&amp;SUBSTITUTE(input_event_location," ","")&amp;",")))&gt;0)),IF(CW24="",TRUE,IF(input_event_location="",FALSE,SUMPRODUCT(--ISNUMBER(SEARCH(","&amp;TRIM(TEXTSPLIT(CW24,","))&amp;",",","&amp;SUBSTITUTE(input_event_location," ","")&amp;",")))=COUNTA(TEXTSPLIT(CW24,",")))))</f>
        <v/>
      </c>
      <c r="JC24" s="19">
        <f>AND(IF(CY24="",TRUE,IF(input_event_type="",FALSE,SUMPRODUCT(--ISNUMBER(SEARCH(","&amp;TRIM(TEXTSPLIT(CY24,","))&amp;",",","&amp;SUBSTITUTE(input_event_type," ","")&amp;",")))&gt;0)),IF(DA24="",TRUE,IF(input_event_type="",FALSE,SUMPRODUCT(--ISNUMBER(SEARCH(","&amp;TRIM(TEXTSPLIT(DA24,","))&amp;",",","&amp;SUBSTITUTE(input_event_type," ","")&amp;",")))=COUNTA(TEXTSPLIT(DA24,",")))),IF(DC24="",TRUE,IF(input_event_type="",TRUE,SUMPRODUCT(--ISNUMBER(SEARCH(","&amp;TRIM(TEXTSPLIT(DC24,","))&amp;",",","&amp;SUBSTITUTE(input_event_type," ","")&amp;",")))=0)),IF(DE24="",TRUE,IF(input_event_type="",FALSE,SUMPRODUCT(--ISNUMBER(SEARCH(","&amp;TRIM(TEXTSPLIT(DE24,","))&amp;",",","&amp;SUBSTITUTE(input_event_type," ","")&amp;",")))&gt;0)),IF(DG24="",TRUE,IF(input_event_type="",FALSE,SUMPRODUCT(--ISNUMBER(SEARCH(","&amp;TRIM(TEXTSPLIT(DG24,","))&amp;",",","&amp;SUBSTITUTE(input_event_type," ","")&amp;",")))=COUNTA(TEXTSPLIT(DG24,",")))))</f>
        <v/>
      </c>
      <c r="JD24" s="19">
        <f>AND(IF(DI24="",TRUE,IF(input_executive_education_focus="",FALSE,SUMPRODUCT(--ISNUMBER(SEARCH(","&amp;TRIM(TEXTSPLIT(DI24,","))&amp;",",","&amp;SUBSTITUTE(input_executive_education_focus," ","")&amp;",")))&gt;0)),IF(DK24="",TRUE,IF(input_executive_education_focus="",FALSE,SUMPRODUCT(--ISNUMBER(SEARCH(","&amp;TRIM(TEXTSPLIT(DK24,","))&amp;",",","&amp;SUBSTITUTE(input_executive_education_focus," ","")&amp;",")))=COUNTA(TEXTSPLIT(DK24,",")))),IF(DM24="",TRUE,IF(input_executive_education_focus="",TRUE,SUMPRODUCT(--ISNUMBER(SEARCH(","&amp;TRIM(TEXTSPLIT(DM24,","))&amp;",",","&amp;SUBSTITUTE(input_executive_education_focus," ","")&amp;",")))=0)),IF(DO24="",TRUE,IF(input_executive_education_focus="",FALSE,SUMPRODUCT(--ISNUMBER(SEARCH(","&amp;TRIM(TEXTSPLIT(DO24,","))&amp;",",","&amp;SUBSTITUTE(input_executive_education_focus," ","")&amp;",")))&gt;0)),IF(DQ24="",TRUE,IF(input_executive_education_focus="",FALSE,SUMPRODUCT(--ISNUMBER(SEARCH(","&amp;TRIM(TEXTSPLIT(DQ24,","))&amp;",",","&amp;SUBSTITUTE(input_executive_education_focus," ","")&amp;",")))=COUNTA(TEXTSPLIT(DQ24,",")))))</f>
        <v/>
      </c>
      <c r="JE24" s="19">
        <f>AND(IF(DS24="",TRUE,IF(input_faculty_category="",FALSE,SUMPRODUCT(--ISNUMBER(SEARCH(","&amp;TRIM(TEXTSPLIT(DS24,","))&amp;",",","&amp;SUBSTITUTE(input_faculty_category," ","")&amp;",")))&gt;0)),IF(DU24="",TRUE,IF(input_faculty_category="",FALSE,SUMPRODUCT(--ISNUMBER(SEARCH(","&amp;TRIM(TEXTSPLIT(DU24,","))&amp;",",","&amp;SUBSTITUTE(input_faculty_category," ","")&amp;",")))=COUNTA(TEXTSPLIT(DU24,",")))),IF(DW24="",TRUE,IF(input_faculty_category="",TRUE,SUMPRODUCT(--ISNUMBER(SEARCH(","&amp;TRIM(TEXTSPLIT(DW24,","))&amp;",",","&amp;SUBSTITUTE(input_faculty_category," ","")&amp;",")))=0)),IF(DY24="",TRUE,IF(input_faculty_category="",FALSE,SUMPRODUCT(--ISNUMBER(SEARCH(","&amp;TRIM(TEXTSPLIT(DY24,","))&amp;",",","&amp;SUBSTITUTE(input_faculty_category," ","")&amp;",")))&gt;0)),IF(EA24="",TRUE,IF(input_faculty_category="",FALSE,SUMPRODUCT(--ISNUMBER(SEARCH(","&amp;TRIM(TEXTSPLIT(EA24,","))&amp;",",","&amp;SUBSTITUTE(input_faculty_category," ","")&amp;",")))=COUNTA(TEXTSPLIT(EA24,",")))))</f>
        <v/>
      </c>
      <c r="JF24" s="19">
        <f>AND(IF(EC24="",TRUE,IF(input_faculty_discipline="",FALSE,SUMPRODUCT(--ISNUMBER(SEARCH(","&amp;TRIM(TEXTSPLIT(EC24,","))&amp;",",","&amp;SUBSTITUTE(input_faculty_discipline," ","")&amp;",")))&gt;0)),IF(EE24="",TRUE,IF(input_faculty_discipline="",FALSE,SUMPRODUCT(--ISNUMBER(SEARCH(","&amp;TRIM(TEXTSPLIT(EE24,","))&amp;",",","&amp;SUBSTITUTE(input_faculty_discipline," ","")&amp;",")))=COUNTA(TEXTSPLIT(EE24,",")))),IF(EG24="",TRUE,IF(input_faculty_discipline="",TRUE,SUMPRODUCT(--ISNUMBER(SEARCH(","&amp;TRIM(TEXTSPLIT(EG24,","))&amp;",",","&amp;SUBSTITUTE(input_faculty_discipline," ","")&amp;",")))=0)),IF(EI24="",TRUE,IF(input_faculty_discipline="",FALSE,SUMPRODUCT(--ISNUMBER(SEARCH(","&amp;TRIM(TEXTSPLIT(EI24,","))&amp;",",","&amp;SUBSTITUTE(input_faculty_discipline," ","")&amp;",")))&gt;0)),IF(EK24="",TRUE,IF(input_faculty_discipline="",FALSE,SUMPRODUCT(--ISNUMBER(SEARCH(","&amp;TRIM(TEXTSPLIT(EK24,","))&amp;",",","&amp;SUBSTITUTE(input_faculty_discipline," ","")&amp;",")))=COUNTA(TEXTSPLIT(EK24,",")))))</f>
        <v/>
      </c>
      <c r="JG24" s="19">
        <f>AND(IF(EM24="",TRUE,IF(input_faculty_expertise="",FALSE,SUMPRODUCT(--ISNUMBER(SEARCH(","&amp;TRIM(TEXTSPLIT(EM24,","))&amp;",",","&amp;SUBSTITUTE(input_faculty_expertise," ","")&amp;",")))&gt;0)),IF(EO24="",TRUE,IF(input_faculty_expertise="",FALSE,SUMPRODUCT(--ISNUMBER(SEARCH(","&amp;TRIM(TEXTSPLIT(EO24,","))&amp;",",","&amp;SUBSTITUTE(input_faculty_expertise," ","")&amp;",")))=COUNTA(TEXTSPLIT(EO24,",")))),IF(EQ24="",TRUE,IF(input_faculty_expertise="",TRUE,SUMPRODUCT(--ISNUMBER(SEARCH(","&amp;TRIM(TEXTSPLIT(EQ24,","))&amp;",",","&amp;SUBSTITUTE(input_faculty_expertise," ","")&amp;",")))=0)),IF(ES24="",TRUE,IF(input_faculty_expertise="",FALSE,SUMPRODUCT(--ISNUMBER(SEARCH(","&amp;TRIM(TEXTSPLIT(ES24,","))&amp;",",","&amp;SUBSTITUTE(input_faculty_expertise," ","")&amp;",")))&gt;0)),IF(EU24="",TRUE,IF(input_faculty_expertise="",FALSE,SUMPRODUCT(--ISNUMBER(SEARCH(","&amp;TRIM(TEXTSPLIT(EU24,","))&amp;",",","&amp;SUBSTITUTE(input_faculty_expertise," ","")&amp;",")))=COUNTA(TEXTSPLIT(EU24,",")))))</f>
        <v/>
      </c>
      <c r="JH24" s="19">
        <f>AND(IF(EW24="",TRUE,IF(input_global_network_school="",FALSE,SUMPRODUCT(--ISNUMBER(SEARCH(","&amp;TRIM(TEXTSPLIT(EW24,","))&amp;",",","&amp;SUBSTITUTE(input_global_network_school," ","")&amp;",")))&gt;0)),IF(EY24="",TRUE,IF(input_global_network_school="",FALSE,SUMPRODUCT(--ISNUMBER(SEARCH(","&amp;TRIM(TEXTSPLIT(EY24,","))&amp;",",","&amp;SUBSTITUTE(input_global_network_school," ","")&amp;",")))=COUNTA(TEXTSPLIT(EY24,",")))),IF(FA24="",TRUE,IF(input_global_network_school="",TRUE,SUMPRODUCT(--ISNUMBER(SEARCH(","&amp;TRIM(TEXTSPLIT(FA24,","))&amp;",",","&amp;SUBSTITUTE(input_global_network_school," ","")&amp;",")))=0)),IF(FC24="",TRUE,IF(input_global_network_school="",FALSE,SUMPRODUCT(--ISNUMBER(SEARCH(","&amp;TRIM(TEXTSPLIT(FC24,","))&amp;",",","&amp;SUBSTITUTE(input_global_network_school," ","")&amp;",")))&gt;0)),IF(FE24="",TRUE,IF(input_global_network_school="",FALSE,SUMPRODUCT(--ISNUMBER(SEARCH(","&amp;TRIM(TEXTSPLIT(FE24,","))&amp;",",","&amp;SUBSTITUTE(input_global_network_school," ","")&amp;",")))=COUNTA(TEXTSPLIT(FE24,",")))))</f>
        <v/>
      </c>
      <c r="JI24" s="19">
        <f>AND(IF(FG24="",TRUE,IF(input_industry="",FALSE,SUMPRODUCT(--ISNUMBER(SEARCH(","&amp;TRIM(TEXTSPLIT(FG24,","))&amp;",",","&amp;SUBSTITUTE(input_industry," ","")&amp;",")))&gt;0)),IF(FI24="",TRUE,IF(input_industry="",FALSE,SUMPRODUCT(--ISNUMBER(SEARCH(","&amp;TRIM(TEXTSPLIT(FI24,","))&amp;",",","&amp;SUBSTITUTE(input_industry," ","")&amp;",")))=COUNTA(TEXTSPLIT(FI24,",")))),IF(FK24="",TRUE,IF(input_industry="",TRUE,SUMPRODUCT(--ISNUMBER(SEARCH(","&amp;TRIM(TEXTSPLIT(FK24,","))&amp;",",","&amp;SUBSTITUTE(input_industry," ","")&amp;",")))=0)),IF(FM24="",TRUE,IF(input_industry="",FALSE,SUMPRODUCT(--ISNUMBER(SEARCH(","&amp;TRIM(TEXTSPLIT(FM24,","))&amp;",",","&amp;SUBSTITUTE(input_industry," ","")&amp;",")))&gt;0)),IF(FO24="",TRUE,IF(input_industry="",FALSE,SUMPRODUCT(--ISNUMBER(SEARCH(","&amp;TRIM(TEXTSPLIT(FO24,","))&amp;",",","&amp;SUBSTITUTE(input_industry," ","")&amp;",")))=COUNTA(TEXTSPLIT(FO24,",")))))</f>
        <v/>
      </c>
      <c r="JJ24" s="19">
        <f>AND(IF(FQ24="",TRUE,IF(input_location="",FALSE,SUMPRODUCT(--ISNUMBER(SEARCH(","&amp;TRIM(TEXTSPLIT(FQ24,","))&amp;",",","&amp;SUBSTITUTE(input_location," ","")&amp;",")))&gt;0)),IF(FS24="",TRUE,IF(input_location="",FALSE,SUMPRODUCT(--ISNUMBER(SEARCH(","&amp;TRIM(TEXTSPLIT(FS24,","))&amp;",",","&amp;SUBSTITUTE(input_location," ","")&amp;",")))=COUNTA(TEXTSPLIT(FS24,",")))),IF(FU24="",TRUE,IF(input_location="",TRUE,SUMPRODUCT(--ISNUMBER(SEARCH(","&amp;TRIM(TEXTSPLIT(FU24,","))&amp;",",","&amp;SUBSTITUTE(input_location," ","")&amp;",")))=0)),IF(FW24="",TRUE,IF(input_location="",FALSE,SUMPRODUCT(--ISNUMBER(SEARCH(","&amp;TRIM(TEXTSPLIT(FW24,","))&amp;",",","&amp;SUBSTITUTE(input_location," ","")&amp;",")))&gt;0)),IF(FY24="",TRUE,IF(input_location="",FALSE,SUMPRODUCT(--ISNUMBER(SEARCH(","&amp;TRIM(TEXTSPLIT(FY24,","))&amp;",",","&amp;SUBSTITUTE(input_location," ","")&amp;",")))=COUNTA(TEXTSPLIT(FY24,",")))))</f>
        <v/>
      </c>
      <c r="JK24" s="19">
        <f>AND(IF(GA24="",TRUE,IF(input_modality="",FALSE,SUMPRODUCT(--ISNUMBER(SEARCH(","&amp;TRIM(TEXTSPLIT(GA24,","))&amp;",",","&amp;SUBSTITUTE(input_modality," ","")&amp;",")))&gt;0)),IF(GC24="",TRUE,IF(input_modality="",FALSE,SUMPRODUCT(--ISNUMBER(SEARCH(","&amp;TRIM(TEXTSPLIT(GC24,","))&amp;",",","&amp;SUBSTITUTE(input_modality," ","")&amp;",")))=COUNTA(TEXTSPLIT(GC24,",")))),IF(GE24="",TRUE,IF(input_modality="",TRUE,SUMPRODUCT(--ISNUMBER(SEARCH(","&amp;TRIM(TEXTSPLIT(GE24,","))&amp;",",","&amp;SUBSTITUTE(input_modality," ","")&amp;",")))=0)),IF(GG24="",TRUE,IF(input_modality="",FALSE,SUMPRODUCT(--ISNUMBER(SEARCH(","&amp;TRIM(TEXTSPLIT(GG24,","))&amp;",",","&amp;SUBSTITUTE(input_modality," ","")&amp;",")))&gt;0)),IF(GI24="",TRUE,IF(input_modality="",FALSE,SUMPRODUCT(--ISNUMBER(SEARCH(","&amp;TRIM(TEXTSPLIT(GI24,","))&amp;",",","&amp;SUBSTITUTE(input_modality," ","")&amp;",")))=COUNTA(TEXTSPLIT(GI24,",")))))</f>
        <v/>
      </c>
      <c r="JL24" s="19">
        <f>AND(IF(GK24="",TRUE,IF(input_organizer="",FALSE,SUMPRODUCT(--ISNUMBER(SEARCH(","&amp;TRIM(TEXTSPLIT(GK24,","))&amp;",",","&amp;SUBSTITUTE(input_organizer," ","")&amp;",")))&gt;0)),IF(GM24="",TRUE,IF(input_organizer="",FALSE,SUMPRODUCT(--ISNUMBER(SEARCH(","&amp;TRIM(TEXTSPLIT(GM24,","))&amp;",",","&amp;SUBSTITUTE(input_organizer," ","")&amp;",")))=COUNTA(TEXTSPLIT(GM24,",")))),IF(GO24="",TRUE,IF(input_organizer="",TRUE,SUMPRODUCT(--ISNUMBER(SEARCH(","&amp;TRIM(TEXTSPLIT(GO24,","))&amp;",",","&amp;SUBSTITUTE(input_organizer," ","")&amp;",")))=0)),IF(GQ24="",TRUE,IF(input_organizer="",FALSE,SUMPRODUCT(--ISNUMBER(SEARCH(","&amp;TRIM(TEXTSPLIT(GQ24,","))&amp;",",","&amp;SUBSTITUTE(input_organizer," ","")&amp;",")))&gt;0)),IF(GS24="",TRUE,IF(input_organizer="",FALSE,SUMPRODUCT(--ISNUMBER(SEARCH(","&amp;TRIM(TEXTSPLIT(GS24,","))&amp;",",","&amp;SUBSTITUTE(input_organizer," ","")&amp;",")))=COUNTA(TEXTSPLIT(GS24,",")))))</f>
        <v/>
      </c>
      <c r="JM24" s="19">
        <f>AND(IF(GU24="",TRUE,IF(input_profile_type="",FALSE,SUMPRODUCT(--ISNUMBER(SEARCH(","&amp;TRIM(TEXTSPLIT(GU24,","))&amp;",",","&amp;SUBSTITUTE(input_profile_type," ","")&amp;",")))&gt;0)),IF(GW24="",TRUE,IF(input_profile_type="",FALSE,SUMPRODUCT(--ISNUMBER(SEARCH(","&amp;TRIM(TEXTSPLIT(GW24,","))&amp;",",","&amp;SUBSTITUTE(input_profile_type," ","")&amp;",")))=COUNTA(TEXTSPLIT(GW24,",")))),IF(GY24="",TRUE,IF(input_profile_type="",TRUE,SUMPRODUCT(--ISNUMBER(SEARCH(","&amp;TRIM(TEXTSPLIT(GY24,","))&amp;",",","&amp;SUBSTITUTE(input_profile_type," ","")&amp;",")))=0)),IF(HA24="",TRUE,IF(input_profile_type="",FALSE,SUMPRODUCT(--ISNUMBER(SEARCH(","&amp;TRIM(TEXTSPLIT(HA24,","))&amp;",",","&amp;SUBSTITUTE(input_profile_type," ","")&amp;",")))&gt;0)),IF(HC24="",TRUE,IF(input_profile_type="",FALSE,SUMPRODUCT(--ISNUMBER(SEARCH(","&amp;TRIM(TEXTSPLIT(HC24,","))&amp;",",","&amp;SUBSTITUTE(input_profile_type," ","")&amp;",")))=COUNTA(TEXTSPLIT(HC24,",")))))</f>
        <v/>
      </c>
      <c r="JN24" s="19">
        <f>AND(IF(HE24="",TRUE,IF(input_program="",FALSE,SUMPRODUCT(--ISNUMBER(SEARCH(","&amp;TRIM(TEXTSPLIT(HE24,","))&amp;",",","&amp;SUBSTITUTE(input_program," ","")&amp;",")))&gt;0)),IF(HG24="",TRUE,IF(input_program="",FALSE,SUMPRODUCT(--ISNUMBER(SEARCH(","&amp;TRIM(TEXTSPLIT(HG24,","))&amp;",",","&amp;SUBSTITUTE(input_program," ","")&amp;",")))=COUNTA(TEXTSPLIT(HG24,",")))),IF(HI24="",TRUE,IF(input_program="",TRUE,SUMPRODUCT(--ISNUMBER(SEARCH(","&amp;TRIM(TEXTSPLIT(HI24,","))&amp;",",","&amp;SUBSTITUTE(input_program," ","")&amp;",")))=0)),IF(HK24="",TRUE,IF(input_program="",FALSE,SUMPRODUCT(--ISNUMBER(SEARCH(","&amp;TRIM(TEXTSPLIT(HK24,","))&amp;",",","&amp;SUBSTITUTE(input_program," ","")&amp;",")))&gt;0)),IF(HM24="",TRUE,IF(input_program="",FALSE,SUMPRODUCT(--ISNUMBER(SEARCH(","&amp;TRIM(TEXTSPLIT(HM24,","))&amp;",",","&amp;SUBSTITUTE(input_program," ","")&amp;",")))=COUNTA(TEXTSPLIT(HM24,",")))))</f>
        <v/>
      </c>
      <c r="JO24" s="19">
        <f>AND(IF(HO24="",TRUE,IF(input_story_categories="",FALSE,SUMPRODUCT(--ISNUMBER(SEARCH(","&amp;TRIM(TEXTSPLIT(HO24,","))&amp;",",","&amp;SUBSTITUTE(input_story_categories," ","")&amp;",")))&gt;0)),IF(HQ24="",TRUE,IF(input_story_categories="",FALSE,SUMPRODUCT(--ISNUMBER(SEARCH(","&amp;TRIM(TEXTSPLIT(HQ24,","))&amp;",",","&amp;SUBSTITUTE(input_story_categories," ","")&amp;",")))=COUNTA(TEXTSPLIT(HQ24,",")))),IF(HS24="",TRUE,IF(input_story_categories="",TRUE,SUMPRODUCT(--ISNUMBER(SEARCH(","&amp;TRIM(TEXTSPLIT(HS24,","))&amp;",",","&amp;SUBSTITUTE(input_story_categories," ","")&amp;",")))=0)),IF(HU24="",TRUE,IF(input_story_categories="",FALSE,SUMPRODUCT(--ISNUMBER(SEARCH(","&amp;TRIM(TEXTSPLIT(HU24,","))&amp;",",","&amp;SUBSTITUTE(input_story_categories," ","")&amp;",")))&gt;0)),IF(HW24="",TRUE,IF(input_story_categories="",FALSE,SUMPRODUCT(--ISNUMBER(SEARCH(","&amp;TRIM(TEXTSPLIT(HW24,","))&amp;",",","&amp;SUBSTITUTE(input_story_categories," ","")&amp;",")))=COUNTA(TEXTSPLIT(HW24,",")))))</f>
        <v/>
      </c>
      <c r="JP24" s="19">
        <f>AND(IF(HY24="",TRUE,IF(input_story_type="",FALSE,SUMPRODUCT(--ISNUMBER(SEARCH(","&amp;TRIM(TEXTSPLIT(HY24,","))&amp;",",","&amp;SUBSTITUTE(input_story_type," ","")&amp;",")))&gt;0)),IF(IA24="",TRUE,IF(input_story_type="",FALSE,SUMPRODUCT(--ISNUMBER(SEARCH(","&amp;TRIM(TEXTSPLIT(IA24,","))&amp;",",","&amp;SUBSTITUTE(input_story_type," ","")&amp;",")))=COUNTA(TEXTSPLIT(IA24,",")))),IF(IC24="",TRUE,IF(input_story_type="",TRUE,SUMPRODUCT(--ISNUMBER(SEARCH(","&amp;TRIM(TEXTSPLIT(IC24,","))&amp;",",","&amp;SUBSTITUTE(input_story_type," ","")&amp;",")))=0)),IF(IE24="",TRUE,IF(input_story_type="",FALSE,SUMPRODUCT(--ISNUMBER(SEARCH(","&amp;TRIM(TEXTSPLIT(IE24,","))&amp;",",","&amp;SUBSTITUTE(input_story_type," ","")&amp;",")))&gt;0)),IF(IG24="",TRUE,IF(input_story_type="",FALSE,SUMPRODUCT(--ISNUMBER(SEARCH(","&amp;TRIM(TEXTSPLIT(IG24,","))&amp;",",","&amp;SUBSTITUTE(input_story_type," ","")&amp;",")))=COUNTA(TEXTSPLIT(IG24,",")))))</f>
        <v/>
      </c>
      <c r="JQ24" s="19">
        <f>AND(IF(II24="",TRUE,IF(input_topics="",FALSE,SUMPRODUCT(--ISNUMBER(SEARCH(","&amp;TRIM(TEXTSPLIT(II24,","))&amp;",",","&amp;SUBSTITUTE(input_topics," ","")&amp;",")))&gt;0)),IF(IK24="",TRUE,IF(input_topics="",FALSE,SUMPRODUCT(--ISNUMBER(SEARCH(","&amp;TRIM(TEXTSPLIT(IK24,","))&amp;",",","&amp;SUBSTITUTE(input_topics," ","")&amp;",")))=COUNTA(TEXTSPLIT(IK24,",")))),IF(IM24="",TRUE,IF(input_topics="",TRUE,SUMPRODUCT(--ISNUMBER(SEARCH(","&amp;TRIM(TEXTSPLIT(IM24,","))&amp;",",","&amp;SUBSTITUTE(input_topics," ","")&amp;",")))=0)),IF(IO24="",TRUE,IF(input_topics="",FALSE,SUMPRODUCT(--ISNUMBER(SEARCH(","&amp;TRIM(TEXTSPLIT(IO24,","))&amp;",",","&amp;SUBSTITUTE(input_topics," ","")&amp;",")))&gt;0)),IF(IQ24="",TRUE,IF(input_topics="",FALSE,SUMPRODUCT(--ISNUMBER(SEARCH(","&amp;TRIM(TEXTSPLIT(IQ24,","))&amp;",",","&amp;SUBSTITUTE(input_topics," ","")&amp;",")))=COUNTA(TEXTSPLIT(IQ24,",")))))</f>
        <v/>
      </c>
    </row>
    <row r="25">
      <c r="A25" s="24">
        <f>IF(NOT(IS25),"Excluded",IF(AND(IT25,IU25,IV25,IW25,IX25,IY25,IZ25,JA25,JB25,JC25,JD25,JE25,JF25,JG25,JH25,JI25,JJ25,JK25,JL25,JM25,JN25,JO25,JP25,JQ25),IF(I25&gt;0,"Eligible but limited","Will appear"),"Excluded"))</f>
        <v/>
      </c>
      <c r="B25" s="24" t="inlineStr">
        <is>
          <t>All Publications by Author</t>
        </is>
      </c>
      <c r="C25" s="27" t="inlineStr">
        <is>
          <t>/faculty-research/faculty-directory/edward-h-kaplan</t>
        </is>
      </c>
      <c r="D25" s="24" t="inlineStr">
        <is>
          <t>/faculty-research/faculty-directory/edward-h-kaplan</t>
        </is>
      </c>
      <c r="E25" s="24" t="n">
        <v>1</v>
      </c>
      <c r="F25" s="24" t="inlineStr">
        <is>
          <t>publications</t>
        </is>
      </c>
      <c r="G25" s="24" t="inlineStr">
        <is>
          <t>publication_teaser_list</t>
        </is>
      </c>
      <c r="H25" s="24" t="inlineStr">
        <is>
          <t>publication_teaser_list_all_by_author</t>
        </is>
      </c>
      <c r="I25" s="24" t="n"/>
      <c r="J25" s="24" t="inlineStr">
        <is>
          <t>View/config rules</t>
        </is>
      </c>
      <c r="K25" s="24" t="inlineStr">
        <is>
          <t>Page placement</t>
        </is>
      </c>
      <c r="L25" s="24" t="inlineStr">
        <is>
          <t>Content type: publications; Source: View/config rules</t>
        </is>
      </c>
      <c r="IS25" s="19">
        <f>IF(input_content_type="",FALSE,ISNUMBER(SEARCH(","&amp;LOWER(input_content_type)&amp;",",","&amp;LOWER(SUBSTITUTE(F25," ",""))&amp;",")))</f>
        <v/>
      </c>
      <c r="IT25" s="19">
        <f>AND(IF(M25="",TRUE,IF(input_affiliations="",FALSE,SUMPRODUCT(--ISNUMBER(SEARCH(","&amp;TRIM(TEXTSPLIT(M25,","))&amp;",",","&amp;SUBSTITUTE(input_affiliations," ","")&amp;",")))&gt;0)),IF(O25="",TRUE,IF(input_affiliations="",FALSE,SUMPRODUCT(--ISNUMBER(SEARCH(","&amp;TRIM(TEXTSPLIT(O25,","))&amp;",",","&amp;SUBSTITUTE(input_affiliations," ","")&amp;",")))=COUNTA(TEXTSPLIT(O25,",")))),IF(Q25="",TRUE,IF(input_affiliations="",TRUE,SUMPRODUCT(--ISNUMBER(SEARCH(","&amp;TRIM(TEXTSPLIT(Q25,","))&amp;",",","&amp;SUBSTITUTE(input_affiliations," ","")&amp;",")))=0)),IF(S25="",TRUE,IF(input_affiliations="",FALSE,SUMPRODUCT(--ISNUMBER(SEARCH(","&amp;TRIM(TEXTSPLIT(S25,","))&amp;",",","&amp;SUBSTITUTE(input_affiliations," ","")&amp;",")))&gt;0)),IF(U25="",TRUE,IF(input_affiliations="",FALSE,SUMPRODUCT(--ISNUMBER(SEARCH(","&amp;TRIM(TEXTSPLIT(U25,","))&amp;",",","&amp;SUBSTITUTE(input_affiliations," ","")&amp;",")))=COUNTA(TEXTSPLIT(U25,",")))))</f>
        <v/>
      </c>
      <c r="IU25" s="19">
        <f>AND(IF(W25="",TRUE,IF(input_announcement_category="",FALSE,SUMPRODUCT(--ISNUMBER(SEARCH(","&amp;TRIM(TEXTSPLIT(W25,","))&amp;",",","&amp;SUBSTITUTE(input_announcement_category," ","")&amp;",")))&gt;0)),IF(Y25="",TRUE,IF(input_announcement_category="",FALSE,SUMPRODUCT(--ISNUMBER(SEARCH(","&amp;TRIM(TEXTSPLIT(Y25,","))&amp;",",","&amp;SUBSTITUTE(input_announcement_category," ","")&amp;",")))=COUNTA(TEXTSPLIT(Y25,",")))),IF(AA25="",TRUE,IF(input_announcement_category="",TRUE,SUMPRODUCT(--ISNUMBER(SEARCH(","&amp;TRIM(TEXTSPLIT(AA25,","))&amp;",",","&amp;SUBSTITUTE(input_announcement_category," ","")&amp;",")))=0)),IF(AC25="",TRUE,IF(input_announcement_category="",FALSE,SUMPRODUCT(--ISNUMBER(SEARCH(","&amp;TRIM(TEXTSPLIT(AC25,","))&amp;",",","&amp;SUBSTITUTE(input_announcement_category," ","")&amp;",")))&gt;0)),IF(AE25="",TRUE,IF(input_announcement_category="",FALSE,SUMPRODUCT(--ISNUMBER(SEARCH(","&amp;TRIM(TEXTSPLIT(AE25,","))&amp;",",","&amp;SUBSTITUTE(input_announcement_category," ","")&amp;",")))=COUNTA(TEXTSPLIT(AE25,",")))))</f>
        <v/>
      </c>
      <c r="IV25" s="19">
        <f>AND(IF(AG25="",TRUE,IF(input_area_of_focus="",FALSE,SUMPRODUCT(--ISNUMBER(SEARCH(","&amp;TRIM(TEXTSPLIT(AG25,","))&amp;",",","&amp;SUBSTITUTE(input_area_of_focus," ","")&amp;",")))&gt;0)),IF(AI25="",TRUE,IF(input_area_of_focus="",FALSE,SUMPRODUCT(--ISNUMBER(SEARCH(","&amp;TRIM(TEXTSPLIT(AI25,","))&amp;",",","&amp;SUBSTITUTE(input_area_of_focus," ","")&amp;",")))=COUNTA(TEXTSPLIT(AI25,",")))),IF(AK25="",TRUE,IF(input_area_of_focus="",TRUE,SUMPRODUCT(--ISNUMBER(SEARCH(","&amp;TRIM(TEXTSPLIT(AK25,","))&amp;",",","&amp;SUBSTITUTE(input_area_of_focus," ","")&amp;",")))=0)),IF(AM25="",TRUE,IF(input_area_of_focus="",FALSE,SUMPRODUCT(--ISNUMBER(SEARCH(","&amp;TRIM(TEXTSPLIT(AM25,","))&amp;",",","&amp;SUBSTITUTE(input_area_of_focus," ","")&amp;",")))&gt;0)),IF(AO25="",TRUE,IF(input_area_of_focus="",FALSE,SUMPRODUCT(--ISNUMBER(SEARCH(","&amp;TRIM(TEXTSPLIT(AO25,","))&amp;",",","&amp;SUBSTITUTE(input_area_of_focus," ","")&amp;",")))=COUNTA(TEXTSPLIT(AO25,",")))))</f>
        <v/>
      </c>
      <c r="IW25" s="19">
        <f>AND(IF(AQ25="",TRUE,IF(input_audience="",FALSE,SUMPRODUCT(--ISNUMBER(SEARCH(","&amp;TRIM(TEXTSPLIT(AQ25,","))&amp;",",","&amp;SUBSTITUTE(input_audience," ","")&amp;",")))&gt;0)),IF(AS25="",TRUE,IF(input_audience="",FALSE,SUMPRODUCT(--ISNUMBER(SEARCH(","&amp;TRIM(TEXTSPLIT(AS25,","))&amp;",",","&amp;SUBSTITUTE(input_audience," ","")&amp;",")))=COUNTA(TEXTSPLIT(AS25,",")))),IF(AU25="",TRUE,IF(input_audience="",TRUE,SUMPRODUCT(--ISNUMBER(SEARCH(","&amp;TRIM(TEXTSPLIT(AU25,","))&amp;",",","&amp;SUBSTITUTE(input_audience," ","")&amp;",")))=0)),IF(AW25="",TRUE,IF(input_audience="",FALSE,SUMPRODUCT(--ISNUMBER(SEARCH(","&amp;TRIM(TEXTSPLIT(AW25,","))&amp;",",","&amp;SUBSTITUTE(input_audience," ","")&amp;",")))&gt;0)),IF(AY25="",TRUE,IF(input_audience="",FALSE,SUMPRODUCT(--ISNUMBER(SEARCH(","&amp;TRIM(TEXTSPLIT(AY25,","))&amp;",",","&amp;SUBSTITUTE(input_audience," ","")&amp;",")))=COUNTA(TEXTSPLIT(AY25,",")))))</f>
        <v/>
      </c>
      <c r="IX25" s="19">
        <f>AND(IF(BA25="",TRUE,IF(input_challenge_opportunities="",FALSE,SUMPRODUCT(--ISNUMBER(SEARCH(","&amp;TRIM(TEXTSPLIT(BA25,","))&amp;",",","&amp;SUBSTITUTE(input_challenge_opportunities," ","")&amp;",")))&gt;0)),IF(BC25="",TRUE,IF(input_challenge_opportunities="",FALSE,SUMPRODUCT(--ISNUMBER(SEARCH(","&amp;TRIM(TEXTSPLIT(BC25,","))&amp;",",","&amp;SUBSTITUTE(input_challenge_opportunities," ","")&amp;",")))=COUNTA(TEXTSPLIT(BC25,",")))),IF(BE25="",TRUE,IF(input_challenge_opportunities="",TRUE,SUMPRODUCT(--ISNUMBER(SEARCH(","&amp;TRIM(TEXTSPLIT(BE25,","))&amp;",",","&amp;SUBSTITUTE(input_challenge_opportunities," ","")&amp;",")))=0)),IF(BG25="",TRUE,IF(input_challenge_opportunities="",FALSE,SUMPRODUCT(--ISNUMBER(SEARCH(","&amp;TRIM(TEXTSPLIT(BG25,","))&amp;",",","&amp;SUBSTITUTE(input_challenge_opportunities," ","")&amp;",")))&gt;0)),IF(BI25="",TRUE,IF(input_challenge_opportunities="",FALSE,SUMPRODUCT(--ISNUMBER(SEARCH(","&amp;TRIM(TEXTSPLIT(BI25,","))&amp;",",","&amp;SUBSTITUTE(input_challenge_opportunities," ","")&amp;",")))=COUNTA(TEXTSPLIT(BI25,",")))))</f>
        <v/>
      </c>
      <c r="IY25" s="19">
        <f>AND(IF(BK25="",TRUE,IF(input_context="",FALSE,SUMPRODUCT(--ISNUMBER(SEARCH(","&amp;TRIM(TEXTSPLIT(BK25,","))&amp;",",","&amp;SUBSTITUTE(input_context," ","")&amp;",")))&gt;0)),IF(BM25="",TRUE,IF(input_context="",FALSE,SUMPRODUCT(--ISNUMBER(SEARCH(","&amp;TRIM(TEXTSPLIT(BM25,","))&amp;",",","&amp;SUBSTITUTE(input_context," ","")&amp;",")))=COUNTA(TEXTSPLIT(BM25,",")))),IF(BO25="",TRUE,IF(input_context="",TRUE,SUMPRODUCT(--ISNUMBER(SEARCH(","&amp;TRIM(TEXTSPLIT(BO25,","))&amp;",",","&amp;SUBSTITUTE(input_context," ","")&amp;",")))=0)),IF(BQ25="",TRUE,IF(input_context="",FALSE,SUMPRODUCT(--ISNUMBER(SEARCH(","&amp;TRIM(TEXTSPLIT(BQ25,","))&amp;",",","&amp;SUBSTITUTE(input_context," ","")&amp;",")))&gt;0)),IF(BS25="",TRUE,IF(input_context="",FALSE,SUMPRODUCT(--ISNUMBER(SEARCH(","&amp;TRIM(TEXTSPLIT(BS25,","))&amp;",",","&amp;SUBSTITUTE(input_context," ","")&amp;",")))=COUNTA(TEXTSPLIT(BS25,",")))))</f>
        <v/>
      </c>
      <c r="IZ25" s="19">
        <f>AND(IF(BU25="",TRUE,IF(input_enews_announcement_type="",FALSE,SUMPRODUCT(--ISNUMBER(SEARCH(","&amp;TRIM(TEXTSPLIT(BU25,","))&amp;",",","&amp;SUBSTITUTE(input_enews_announcement_type," ","")&amp;",")))&gt;0)),IF(BW25="",TRUE,IF(input_enews_announcement_type="",FALSE,SUMPRODUCT(--ISNUMBER(SEARCH(","&amp;TRIM(TEXTSPLIT(BW25,","))&amp;",",","&amp;SUBSTITUTE(input_enews_announcement_type," ","")&amp;",")))=COUNTA(TEXTSPLIT(BW25,",")))),IF(BY25="",TRUE,IF(input_enews_announcement_type="",TRUE,SUMPRODUCT(--ISNUMBER(SEARCH(","&amp;TRIM(TEXTSPLIT(BY25,","))&amp;",",","&amp;SUBSTITUTE(input_enews_announcement_type," ","")&amp;",")))=0)),IF(CA25="",TRUE,IF(input_enews_announcement_type="",FALSE,SUMPRODUCT(--ISNUMBER(SEARCH(","&amp;TRIM(TEXTSPLIT(CA25,","))&amp;",",","&amp;SUBSTITUTE(input_enews_announcement_type," ","")&amp;",")))&gt;0)),IF(CC25="",TRUE,IF(input_enews_announcement_type="",FALSE,SUMPRODUCT(--ISNUMBER(SEARCH(","&amp;TRIM(TEXTSPLIT(CC25,","))&amp;",",","&amp;SUBSTITUTE(input_enews_announcement_type," ","")&amp;",")))=COUNTA(TEXTSPLIT(CC25,",")))))</f>
        <v/>
      </c>
      <c r="JA25" s="19">
        <f>AND(IF(CE25="",TRUE,IF(input_enews_audience="",FALSE,SUMPRODUCT(--ISNUMBER(SEARCH(","&amp;TRIM(TEXTSPLIT(CE25,","))&amp;",",","&amp;SUBSTITUTE(input_enews_audience," ","")&amp;",")))&gt;0)),IF(CG25="",TRUE,IF(input_enews_audience="",FALSE,SUMPRODUCT(--ISNUMBER(SEARCH(","&amp;TRIM(TEXTSPLIT(CG25,","))&amp;",",","&amp;SUBSTITUTE(input_enews_audience," ","")&amp;",")))=COUNTA(TEXTSPLIT(CG25,",")))),IF(CI25="",TRUE,IF(input_enews_audience="",TRUE,SUMPRODUCT(--ISNUMBER(SEARCH(","&amp;TRIM(TEXTSPLIT(CI25,","))&amp;",",","&amp;SUBSTITUTE(input_enews_audience," ","")&amp;",")))=0)),IF(CK25="",TRUE,IF(input_enews_audience="",FALSE,SUMPRODUCT(--ISNUMBER(SEARCH(","&amp;TRIM(TEXTSPLIT(CK25,","))&amp;",",","&amp;SUBSTITUTE(input_enews_audience," ","")&amp;",")))&gt;0)),IF(CM25="",TRUE,IF(input_enews_audience="",FALSE,SUMPRODUCT(--ISNUMBER(SEARCH(","&amp;TRIM(TEXTSPLIT(CM25,","))&amp;",",","&amp;SUBSTITUTE(input_enews_audience," ","")&amp;",")))=COUNTA(TEXTSPLIT(CM25,",")))))</f>
        <v/>
      </c>
      <c r="JB25" s="19">
        <f>AND(IF(CO25="",TRUE,IF(input_event_location="",FALSE,SUMPRODUCT(--ISNUMBER(SEARCH(","&amp;TRIM(TEXTSPLIT(CO25,","))&amp;",",","&amp;SUBSTITUTE(input_event_location," ","")&amp;",")))&gt;0)),IF(CQ25="",TRUE,IF(input_event_location="",FALSE,SUMPRODUCT(--ISNUMBER(SEARCH(","&amp;TRIM(TEXTSPLIT(CQ25,","))&amp;",",","&amp;SUBSTITUTE(input_event_location," ","")&amp;",")))=COUNTA(TEXTSPLIT(CQ25,",")))),IF(CS25="",TRUE,IF(input_event_location="",TRUE,SUMPRODUCT(--ISNUMBER(SEARCH(","&amp;TRIM(TEXTSPLIT(CS25,","))&amp;",",","&amp;SUBSTITUTE(input_event_location," ","")&amp;",")))=0)),IF(CU25="",TRUE,IF(input_event_location="",FALSE,SUMPRODUCT(--ISNUMBER(SEARCH(","&amp;TRIM(TEXTSPLIT(CU25,","))&amp;",",","&amp;SUBSTITUTE(input_event_location," ","")&amp;",")))&gt;0)),IF(CW25="",TRUE,IF(input_event_location="",FALSE,SUMPRODUCT(--ISNUMBER(SEARCH(","&amp;TRIM(TEXTSPLIT(CW25,","))&amp;",",","&amp;SUBSTITUTE(input_event_location," ","")&amp;",")))=COUNTA(TEXTSPLIT(CW25,",")))))</f>
        <v/>
      </c>
      <c r="JC25" s="19">
        <f>AND(IF(CY25="",TRUE,IF(input_event_type="",FALSE,SUMPRODUCT(--ISNUMBER(SEARCH(","&amp;TRIM(TEXTSPLIT(CY25,","))&amp;",",","&amp;SUBSTITUTE(input_event_type," ","")&amp;",")))&gt;0)),IF(DA25="",TRUE,IF(input_event_type="",FALSE,SUMPRODUCT(--ISNUMBER(SEARCH(","&amp;TRIM(TEXTSPLIT(DA25,","))&amp;",",","&amp;SUBSTITUTE(input_event_type," ","")&amp;",")))=COUNTA(TEXTSPLIT(DA25,",")))),IF(DC25="",TRUE,IF(input_event_type="",TRUE,SUMPRODUCT(--ISNUMBER(SEARCH(","&amp;TRIM(TEXTSPLIT(DC25,","))&amp;",",","&amp;SUBSTITUTE(input_event_type," ","")&amp;",")))=0)),IF(DE25="",TRUE,IF(input_event_type="",FALSE,SUMPRODUCT(--ISNUMBER(SEARCH(","&amp;TRIM(TEXTSPLIT(DE25,","))&amp;",",","&amp;SUBSTITUTE(input_event_type," ","")&amp;",")))&gt;0)),IF(DG25="",TRUE,IF(input_event_type="",FALSE,SUMPRODUCT(--ISNUMBER(SEARCH(","&amp;TRIM(TEXTSPLIT(DG25,","))&amp;",",","&amp;SUBSTITUTE(input_event_type," ","")&amp;",")))=COUNTA(TEXTSPLIT(DG25,",")))))</f>
        <v/>
      </c>
      <c r="JD25" s="19">
        <f>AND(IF(DI25="",TRUE,IF(input_executive_education_focus="",FALSE,SUMPRODUCT(--ISNUMBER(SEARCH(","&amp;TRIM(TEXTSPLIT(DI25,","))&amp;",",","&amp;SUBSTITUTE(input_executive_education_focus," ","")&amp;",")))&gt;0)),IF(DK25="",TRUE,IF(input_executive_education_focus="",FALSE,SUMPRODUCT(--ISNUMBER(SEARCH(","&amp;TRIM(TEXTSPLIT(DK25,","))&amp;",",","&amp;SUBSTITUTE(input_executive_education_focus," ","")&amp;",")))=COUNTA(TEXTSPLIT(DK25,",")))),IF(DM25="",TRUE,IF(input_executive_education_focus="",TRUE,SUMPRODUCT(--ISNUMBER(SEARCH(","&amp;TRIM(TEXTSPLIT(DM25,","))&amp;",",","&amp;SUBSTITUTE(input_executive_education_focus," ","")&amp;",")))=0)),IF(DO25="",TRUE,IF(input_executive_education_focus="",FALSE,SUMPRODUCT(--ISNUMBER(SEARCH(","&amp;TRIM(TEXTSPLIT(DO25,","))&amp;",",","&amp;SUBSTITUTE(input_executive_education_focus," ","")&amp;",")))&gt;0)),IF(DQ25="",TRUE,IF(input_executive_education_focus="",FALSE,SUMPRODUCT(--ISNUMBER(SEARCH(","&amp;TRIM(TEXTSPLIT(DQ25,","))&amp;",",","&amp;SUBSTITUTE(input_executive_education_focus," ","")&amp;",")))=COUNTA(TEXTSPLIT(DQ25,",")))))</f>
        <v/>
      </c>
      <c r="JE25" s="19">
        <f>AND(IF(DS25="",TRUE,IF(input_faculty_category="",FALSE,SUMPRODUCT(--ISNUMBER(SEARCH(","&amp;TRIM(TEXTSPLIT(DS25,","))&amp;",",","&amp;SUBSTITUTE(input_faculty_category," ","")&amp;",")))&gt;0)),IF(DU25="",TRUE,IF(input_faculty_category="",FALSE,SUMPRODUCT(--ISNUMBER(SEARCH(","&amp;TRIM(TEXTSPLIT(DU25,","))&amp;",",","&amp;SUBSTITUTE(input_faculty_category," ","")&amp;",")))=COUNTA(TEXTSPLIT(DU25,",")))),IF(DW25="",TRUE,IF(input_faculty_category="",TRUE,SUMPRODUCT(--ISNUMBER(SEARCH(","&amp;TRIM(TEXTSPLIT(DW25,","))&amp;",",","&amp;SUBSTITUTE(input_faculty_category," ","")&amp;",")))=0)),IF(DY25="",TRUE,IF(input_faculty_category="",FALSE,SUMPRODUCT(--ISNUMBER(SEARCH(","&amp;TRIM(TEXTSPLIT(DY25,","))&amp;",",","&amp;SUBSTITUTE(input_faculty_category," ","")&amp;",")))&gt;0)),IF(EA25="",TRUE,IF(input_faculty_category="",FALSE,SUMPRODUCT(--ISNUMBER(SEARCH(","&amp;TRIM(TEXTSPLIT(EA25,","))&amp;",",","&amp;SUBSTITUTE(input_faculty_category," ","")&amp;",")))=COUNTA(TEXTSPLIT(EA25,",")))))</f>
        <v/>
      </c>
      <c r="JF25" s="19">
        <f>AND(IF(EC25="",TRUE,IF(input_faculty_discipline="",FALSE,SUMPRODUCT(--ISNUMBER(SEARCH(","&amp;TRIM(TEXTSPLIT(EC25,","))&amp;",",","&amp;SUBSTITUTE(input_faculty_discipline," ","")&amp;",")))&gt;0)),IF(EE25="",TRUE,IF(input_faculty_discipline="",FALSE,SUMPRODUCT(--ISNUMBER(SEARCH(","&amp;TRIM(TEXTSPLIT(EE25,","))&amp;",",","&amp;SUBSTITUTE(input_faculty_discipline," ","")&amp;",")))=COUNTA(TEXTSPLIT(EE25,",")))),IF(EG25="",TRUE,IF(input_faculty_discipline="",TRUE,SUMPRODUCT(--ISNUMBER(SEARCH(","&amp;TRIM(TEXTSPLIT(EG25,","))&amp;",",","&amp;SUBSTITUTE(input_faculty_discipline," ","")&amp;",")))=0)),IF(EI25="",TRUE,IF(input_faculty_discipline="",FALSE,SUMPRODUCT(--ISNUMBER(SEARCH(","&amp;TRIM(TEXTSPLIT(EI25,","))&amp;",",","&amp;SUBSTITUTE(input_faculty_discipline," ","")&amp;",")))&gt;0)),IF(EK25="",TRUE,IF(input_faculty_discipline="",FALSE,SUMPRODUCT(--ISNUMBER(SEARCH(","&amp;TRIM(TEXTSPLIT(EK25,","))&amp;",",","&amp;SUBSTITUTE(input_faculty_discipline," ","")&amp;",")))=COUNTA(TEXTSPLIT(EK25,",")))))</f>
        <v/>
      </c>
      <c r="JG25" s="19">
        <f>AND(IF(EM25="",TRUE,IF(input_faculty_expertise="",FALSE,SUMPRODUCT(--ISNUMBER(SEARCH(","&amp;TRIM(TEXTSPLIT(EM25,","))&amp;",",","&amp;SUBSTITUTE(input_faculty_expertise," ","")&amp;",")))&gt;0)),IF(EO25="",TRUE,IF(input_faculty_expertise="",FALSE,SUMPRODUCT(--ISNUMBER(SEARCH(","&amp;TRIM(TEXTSPLIT(EO25,","))&amp;",",","&amp;SUBSTITUTE(input_faculty_expertise," ","")&amp;",")))=COUNTA(TEXTSPLIT(EO25,",")))),IF(EQ25="",TRUE,IF(input_faculty_expertise="",TRUE,SUMPRODUCT(--ISNUMBER(SEARCH(","&amp;TRIM(TEXTSPLIT(EQ25,","))&amp;",",","&amp;SUBSTITUTE(input_faculty_expertise," ","")&amp;",")))=0)),IF(ES25="",TRUE,IF(input_faculty_expertise="",FALSE,SUMPRODUCT(--ISNUMBER(SEARCH(","&amp;TRIM(TEXTSPLIT(ES25,","))&amp;",",","&amp;SUBSTITUTE(input_faculty_expertise," ","")&amp;",")))&gt;0)),IF(EU25="",TRUE,IF(input_faculty_expertise="",FALSE,SUMPRODUCT(--ISNUMBER(SEARCH(","&amp;TRIM(TEXTSPLIT(EU25,","))&amp;",",","&amp;SUBSTITUTE(input_faculty_expertise," ","")&amp;",")))=COUNTA(TEXTSPLIT(EU25,",")))))</f>
        <v/>
      </c>
      <c r="JH25" s="19">
        <f>AND(IF(EW25="",TRUE,IF(input_global_network_school="",FALSE,SUMPRODUCT(--ISNUMBER(SEARCH(","&amp;TRIM(TEXTSPLIT(EW25,","))&amp;",",","&amp;SUBSTITUTE(input_global_network_school," ","")&amp;",")))&gt;0)),IF(EY25="",TRUE,IF(input_global_network_school="",FALSE,SUMPRODUCT(--ISNUMBER(SEARCH(","&amp;TRIM(TEXTSPLIT(EY25,","))&amp;",",","&amp;SUBSTITUTE(input_global_network_school," ","")&amp;",")))=COUNTA(TEXTSPLIT(EY25,",")))),IF(FA25="",TRUE,IF(input_global_network_school="",TRUE,SUMPRODUCT(--ISNUMBER(SEARCH(","&amp;TRIM(TEXTSPLIT(FA25,","))&amp;",",","&amp;SUBSTITUTE(input_global_network_school," ","")&amp;",")))=0)),IF(FC25="",TRUE,IF(input_global_network_school="",FALSE,SUMPRODUCT(--ISNUMBER(SEARCH(","&amp;TRIM(TEXTSPLIT(FC25,","))&amp;",",","&amp;SUBSTITUTE(input_global_network_school," ","")&amp;",")))&gt;0)),IF(FE25="",TRUE,IF(input_global_network_school="",FALSE,SUMPRODUCT(--ISNUMBER(SEARCH(","&amp;TRIM(TEXTSPLIT(FE25,","))&amp;",",","&amp;SUBSTITUTE(input_global_network_school," ","")&amp;",")))=COUNTA(TEXTSPLIT(FE25,",")))))</f>
        <v/>
      </c>
      <c r="JI25" s="19">
        <f>AND(IF(FG25="",TRUE,IF(input_industry="",FALSE,SUMPRODUCT(--ISNUMBER(SEARCH(","&amp;TRIM(TEXTSPLIT(FG25,","))&amp;",",","&amp;SUBSTITUTE(input_industry," ","")&amp;",")))&gt;0)),IF(FI25="",TRUE,IF(input_industry="",FALSE,SUMPRODUCT(--ISNUMBER(SEARCH(","&amp;TRIM(TEXTSPLIT(FI25,","))&amp;",",","&amp;SUBSTITUTE(input_industry," ","")&amp;",")))=COUNTA(TEXTSPLIT(FI25,",")))),IF(FK25="",TRUE,IF(input_industry="",TRUE,SUMPRODUCT(--ISNUMBER(SEARCH(","&amp;TRIM(TEXTSPLIT(FK25,","))&amp;",",","&amp;SUBSTITUTE(input_industry," ","")&amp;",")))=0)),IF(FM25="",TRUE,IF(input_industry="",FALSE,SUMPRODUCT(--ISNUMBER(SEARCH(","&amp;TRIM(TEXTSPLIT(FM25,","))&amp;",",","&amp;SUBSTITUTE(input_industry," ","")&amp;",")))&gt;0)),IF(FO25="",TRUE,IF(input_industry="",FALSE,SUMPRODUCT(--ISNUMBER(SEARCH(","&amp;TRIM(TEXTSPLIT(FO25,","))&amp;",",","&amp;SUBSTITUTE(input_industry," ","")&amp;",")))=COUNTA(TEXTSPLIT(FO25,",")))))</f>
        <v/>
      </c>
      <c r="JJ25" s="19">
        <f>AND(IF(FQ25="",TRUE,IF(input_location="",FALSE,SUMPRODUCT(--ISNUMBER(SEARCH(","&amp;TRIM(TEXTSPLIT(FQ25,","))&amp;",",","&amp;SUBSTITUTE(input_location," ","")&amp;",")))&gt;0)),IF(FS25="",TRUE,IF(input_location="",FALSE,SUMPRODUCT(--ISNUMBER(SEARCH(","&amp;TRIM(TEXTSPLIT(FS25,","))&amp;",",","&amp;SUBSTITUTE(input_location," ","")&amp;",")))=COUNTA(TEXTSPLIT(FS25,",")))),IF(FU25="",TRUE,IF(input_location="",TRUE,SUMPRODUCT(--ISNUMBER(SEARCH(","&amp;TRIM(TEXTSPLIT(FU25,","))&amp;",",","&amp;SUBSTITUTE(input_location," ","")&amp;",")))=0)),IF(FW25="",TRUE,IF(input_location="",FALSE,SUMPRODUCT(--ISNUMBER(SEARCH(","&amp;TRIM(TEXTSPLIT(FW25,","))&amp;",",","&amp;SUBSTITUTE(input_location," ","")&amp;",")))&gt;0)),IF(FY25="",TRUE,IF(input_location="",FALSE,SUMPRODUCT(--ISNUMBER(SEARCH(","&amp;TRIM(TEXTSPLIT(FY25,","))&amp;",",","&amp;SUBSTITUTE(input_location," ","")&amp;",")))=COUNTA(TEXTSPLIT(FY25,",")))))</f>
        <v/>
      </c>
      <c r="JK25" s="19">
        <f>AND(IF(GA25="",TRUE,IF(input_modality="",FALSE,SUMPRODUCT(--ISNUMBER(SEARCH(","&amp;TRIM(TEXTSPLIT(GA25,","))&amp;",",","&amp;SUBSTITUTE(input_modality," ","")&amp;",")))&gt;0)),IF(GC25="",TRUE,IF(input_modality="",FALSE,SUMPRODUCT(--ISNUMBER(SEARCH(","&amp;TRIM(TEXTSPLIT(GC25,","))&amp;",",","&amp;SUBSTITUTE(input_modality," ","")&amp;",")))=COUNTA(TEXTSPLIT(GC25,",")))),IF(GE25="",TRUE,IF(input_modality="",TRUE,SUMPRODUCT(--ISNUMBER(SEARCH(","&amp;TRIM(TEXTSPLIT(GE25,","))&amp;",",","&amp;SUBSTITUTE(input_modality," ","")&amp;",")))=0)),IF(GG25="",TRUE,IF(input_modality="",FALSE,SUMPRODUCT(--ISNUMBER(SEARCH(","&amp;TRIM(TEXTSPLIT(GG25,","))&amp;",",","&amp;SUBSTITUTE(input_modality," ","")&amp;",")))&gt;0)),IF(GI25="",TRUE,IF(input_modality="",FALSE,SUMPRODUCT(--ISNUMBER(SEARCH(","&amp;TRIM(TEXTSPLIT(GI25,","))&amp;",",","&amp;SUBSTITUTE(input_modality," ","")&amp;",")))=COUNTA(TEXTSPLIT(GI25,",")))))</f>
        <v/>
      </c>
      <c r="JL25" s="19">
        <f>AND(IF(GK25="",TRUE,IF(input_organizer="",FALSE,SUMPRODUCT(--ISNUMBER(SEARCH(","&amp;TRIM(TEXTSPLIT(GK25,","))&amp;",",","&amp;SUBSTITUTE(input_organizer," ","")&amp;",")))&gt;0)),IF(GM25="",TRUE,IF(input_organizer="",FALSE,SUMPRODUCT(--ISNUMBER(SEARCH(","&amp;TRIM(TEXTSPLIT(GM25,","))&amp;",",","&amp;SUBSTITUTE(input_organizer," ","")&amp;",")))=COUNTA(TEXTSPLIT(GM25,",")))),IF(GO25="",TRUE,IF(input_organizer="",TRUE,SUMPRODUCT(--ISNUMBER(SEARCH(","&amp;TRIM(TEXTSPLIT(GO25,","))&amp;",",","&amp;SUBSTITUTE(input_organizer," ","")&amp;",")))=0)),IF(GQ25="",TRUE,IF(input_organizer="",FALSE,SUMPRODUCT(--ISNUMBER(SEARCH(","&amp;TRIM(TEXTSPLIT(GQ25,","))&amp;",",","&amp;SUBSTITUTE(input_organizer," ","")&amp;",")))&gt;0)),IF(GS25="",TRUE,IF(input_organizer="",FALSE,SUMPRODUCT(--ISNUMBER(SEARCH(","&amp;TRIM(TEXTSPLIT(GS25,","))&amp;",",","&amp;SUBSTITUTE(input_organizer," ","")&amp;",")))=COUNTA(TEXTSPLIT(GS25,",")))))</f>
        <v/>
      </c>
      <c r="JM25" s="19">
        <f>AND(IF(GU25="",TRUE,IF(input_profile_type="",FALSE,SUMPRODUCT(--ISNUMBER(SEARCH(","&amp;TRIM(TEXTSPLIT(GU25,","))&amp;",",","&amp;SUBSTITUTE(input_profile_type," ","")&amp;",")))&gt;0)),IF(GW25="",TRUE,IF(input_profile_type="",FALSE,SUMPRODUCT(--ISNUMBER(SEARCH(","&amp;TRIM(TEXTSPLIT(GW25,","))&amp;",",","&amp;SUBSTITUTE(input_profile_type," ","")&amp;",")))=COUNTA(TEXTSPLIT(GW25,",")))),IF(GY25="",TRUE,IF(input_profile_type="",TRUE,SUMPRODUCT(--ISNUMBER(SEARCH(","&amp;TRIM(TEXTSPLIT(GY25,","))&amp;",",","&amp;SUBSTITUTE(input_profile_type," ","")&amp;",")))=0)),IF(HA25="",TRUE,IF(input_profile_type="",FALSE,SUMPRODUCT(--ISNUMBER(SEARCH(","&amp;TRIM(TEXTSPLIT(HA25,","))&amp;",",","&amp;SUBSTITUTE(input_profile_type," ","")&amp;",")))&gt;0)),IF(HC25="",TRUE,IF(input_profile_type="",FALSE,SUMPRODUCT(--ISNUMBER(SEARCH(","&amp;TRIM(TEXTSPLIT(HC25,","))&amp;",",","&amp;SUBSTITUTE(input_profile_type," ","")&amp;",")))=COUNTA(TEXTSPLIT(HC25,",")))))</f>
        <v/>
      </c>
      <c r="JN25" s="19">
        <f>AND(IF(HE25="",TRUE,IF(input_program="",FALSE,SUMPRODUCT(--ISNUMBER(SEARCH(","&amp;TRIM(TEXTSPLIT(HE25,","))&amp;",",","&amp;SUBSTITUTE(input_program," ","")&amp;",")))&gt;0)),IF(HG25="",TRUE,IF(input_program="",FALSE,SUMPRODUCT(--ISNUMBER(SEARCH(","&amp;TRIM(TEXTSPLIT(HG25,","))&amp;",",","&amp;SUBSTITUTE(input_program," ","")&amp;",")))=COUNTA(TEXTSPLIT(HG25,",")))),IF(HI25="",TRUE,IF(input_program="",TRUE,SUMPRODUCT(--ISNUMBER(SEARCH(","&amp;TRIM(TEXTSPLIT(HI25,","))&amp;",",","&amp;SUBSTITUTE(input_program," ","")&amp;",")))=0)),IF(HK25="",TRUE,IF(input_program="",FALSE,SUMPRODUCT(--ISNUMBER(SEARCH(","&amp;TRIM(TEXTSPLIT(HK25,","))&amp;",",","&amp;SUBSTITUTE(input_program," ","")&amp;",")))&gt;0)),IF(HM25="",TRUE,IF(input_program="",FALSE,SUMPRODUCT(--ISNUMBER(SEARCH(","&amp;TRIM(TEXTSPLIT(HM25,","))&amp;",",","&amp;SUBSTITUTE(input_program," ","")&amp;",")))=COUNTA(TEXTSPLIT(HM25,",")))))</f>
        <v/>
      </c>
      <c r="JO25" s="19">
        <f>AND(IF(HO25="",TRUE,IF(input_story_categories="",FALSE,SUMPRODUCT(--ISNUMBER(SEARCH(","&amp;TRIM(TEXTSPLIT(HO25,","))&amp;",",","&amp;SUBSTITUTE(input_story_categories," ","")&amp;",")))&gt;0)),IF(HQ25="",TRUE,IF(input_story_categories="",FALSE,SUMPRODUCT(--ISNUMBER(SEARCH(","&amp;TRIM(TEXTSPLIT(HQ25,","))&amp;",",","&amp;SUBSTITUTE(input_story_categories," ","")&amp;",")))=COUNTA(TEXTSPLIT(HQ25,",")))),IF(HS25="",TRUE,IF(input_story_categories="",TRUE,SUMPRODUCT(--ISNUMBER(SEARCH(","&amp;TRIM(TEXTSPLIT(HS25,","))&amp;",",","&amp;SUBSTITUTE(input_story_categories," ","")&amp;",")))=0)),IF(HU25="",TRUE,IF(input_story_categories="",FALSE,SUMPRODUCT(--ISNUMBER(SEARCH(","&amp;TRIM(TEXTSPLIT(HU25,","))&amp;",",","&amp;SUBSTITUTE(input_story_categories," ","")&amp;",")))&gt;0)),IF(HW25="",TRUE,IF(input_story_categories="",FALSE,SUMPRODUCT(--ISNUMBER(SEARCH(","&amp;TRIM(TEXTSPLIT(HW25,","))&amp;",",","&amp;SUBSTITUTE(input_story_categories," ","")&amp;",")))=COUNTA(TEXTSPLIT(HW25,",")))))</f>
        <v/>
      </c>
      <c r="JP25" s="19">
        <f>AND(IF(HY25="",TRUE,IF(input_story_type="",FALSE,SUMPRODUCT(--ISNUMBER(SEARCH(","&amp;TRIM(TEXTSPLIT(HY25,","))&amp;",",","&amp;SUBSTITUTE(input_story_type," ","")&amp;",")))&gt;0)),IF(IA25="",TRUE,IF(input_story_type="",FALSE,SUMPRODUCT(--ISNUMBER(SEARCH(","&amp;TRIM(TEXTSPLIT(IA25,","))&amp;",",","&amp;SUBSTITUTE(input_story_type," ","")&amp;",")))=COUNTA(TEXTSPLIT(IA25,",")))),IF(IC25="",TRUE,IF(input_story_type="",TRUE,SUMPRODUCT(--ISNUMBER(SEARCH(","&amp;TRIM(TEXTSPLIT(IC25,","))&amp;",",","&amp;SUBSTITUTE(input_story_type," ","")&amp;",")))=0)),IF(IE25="",TRUE,IF(input_story_type="",FALSE,SUMPRODUCT(--ISNUMBER(SEARCH(","&amp;TRIM(TEXTSPLIT(IE25,","))&amp;",",","&amp;SUBSTITUTE(input_story_type," ","")&amp;",")))&gt;0)),IF(IG25="",TRUE,IF(input_story_type="",FALSE,SUMPRODUCT(--ISNUMBER(SEARCH(","&amp;TRIM(TEXTSPLIT(IG25,","))&amp;",",","&amp;SUBSTITUTE(input_story_type," ","")&amp;",")))=COUNTA(TEXTSPLIT(IG25,",")))))</f>
        <v/>
      </c>
      <c r="JQ25" s="19">
        <f>AND(IF(II25="",TRUE,IF(input_topics="",FALSE,SUMPRODUCT(--ISNUMBER(SEARCH(","&amp;TRIM(TEXTSPLIT(II25,","))&amp;",",","&amp;SUBSTITUTE(input_topics," ","")&amp;",")))&gt;0)),IF(IK25="",TRUE,IF(input_topics="",FALSE,SUMPRODUCT(--ISNUMBER(SEARCH(","&amp;TRIM(TEXTSPLIT(IK25,","))&amp;",",","&amp;SUBSTITUTE(input_topics," ","")&amp;",")))=COUNTA(TEXTSPLIT(IK25,",")))),IF(IM25="",TRUE,IF(input_topics="",TRUE,SUMPRODUCT(--ISNUMBER(SEARCH(","&amp;TRIM(TEXTSPLIT(IM25,","))&amp;",",","&amp;SUBSTITUTE(input_topics," ","")&amp;",")))=0)),IF(IO25="",TRUE,IF(input_topics="",FALSE,SUMPRODUCT(--ISNUMBER(SEARCH(","&amp;TRIM(TEXTSPLIT(IO25,","))&amp;",",","&amp;SUBSTITUTE(input_topics," ","")&amp;",")))&gt;0)),IF(IQ25="",TRUE,IF(input_topics="",FALSE,SUMPRODUCT(--ISNUMBER(SEARCH(","&amp;TRIM(TEXTSPLIT(IQ25,","))&amp;",",","&amp;SUBSTITUTE(input_topics," ","")&amp;",")))=COUNTA(TEXTSPLIT(IQ25,",")))))</f>
        <v/>
      </c>
    </row>
    <row r="26">
      <c r="A26" s="24">
        <f>IF(NOT(IS26),"Excluded",IF(AND(IT26,IU26,IV26,IW26,IX26,IY26,IZ26,JA26,JB26,JC26,JD26,JE26,JF26,JG26,JH26,JI26,JJ26,JK26,JL26,JM26,JN26,JO26,JP26,JQ26),IF(I26&gt;0,"Eligible but limited","Will appear"),"Excluded"))</f>
        <v/>
      </c>
      <c r="B26" s="24" t="inlineStr">
        <is>
          <t>All Publications by Author</t>
        </is>
      </c>
      <c r="C26" s="27" t="inlineStr">
        <is>
          <t>/faculty-research/faculty-directory/erin-l-frey</t>
        </is>
      </c>
      <c r="D26" s="24" t="inlineStr">
        <is>
          <t>/faculty-research/faculty-directory/erin-l-frey</t>
        </is>
      </c>
      <c r="E26" s="24" t="n">
        <v>1</v>
      </c>
      <c r="F26" s="24" t="inlineStr">
        <is>
          <t>publications</t>
        </is>
      </c>
      <c r="G26" s="24" t="inlineStr">
        <is>
          <t>publication_teaser_list</t>
        </is>
      </c>
      <c r="H26" s="24" t="inlineStr">
        <is>
          <t>publication_teaser_list_all_by_author</t>
        </is>
      </c>
      <c r="I26" s="24" t="n"/>
      <c r="J26" s="24" t="inlineStr">
        <is>
          <t>View/config rules</t>
        </is>
      </c>
      <c r="K26" s="24" t="inlineStr">
        <is>
          <t>Page placement</t>
        </is>
      </c>
      <c r="L26" s="24" t="inlineStr">
        <is>
          <t>Content type: publications; Source: View/config rules</t>
        </is>
      </c>
      <c r="IS26" s="19">
        <f>IF(input_content_type="",FALSE,ISNUMBER(SEARCH(","&amp;LOWER(input_content_type)&amp;",",","&amp;LOWER(SUBSTITUTE(F26," ",""))&amp;",")))</f>
        <v/>
      </c>
      <c r="IT26" s="19">
        <f>AND(IF(M26="",TRUE,IF(input_affiliations="",FALSE,SUMPRODUCT(--ISNUMBER(SEARCH(","&amp;TRIM(TEXTSPLIT(M26,","))&amp;",",","&amp;SUBSTITUTE(input_affiliations," ","")&amp;",")))&gt;0)),IF(O26="",TRUE,IF(input_affiliations="",FALSE,SUMPRODUCT(--ISNUMBER(SEARCH(","&amp;TRIM(TEXTSPLIT(O26,","))&amp;",",","&amp;SUBSTITUTE(input_affiliations," ","")&amp;",")))=COUNTA(TEXTSPLIT(O26,",")))),IF(Q26="",TRUE,IF(input_affiliations="",TRUE,SUMPRODUCT(--ISNUMBER(SEARCH(","&amp;TRIM(TEXTSPLIT(Q26,","))&amp;",",","&amp;SUBSTITUTE(input_affiliations," ","")&amp;",")))=0)),IF(S26="",TRUE,IF(input_affiliations="",FALSE,SUMPRODUCT(--ISNUMBER(SEARCH(","&amp;TRIM(TEXTSPLIT(S26,","))&amp;",",","&amp;SUBSTITUTE(input_affiliations," ","")&amp;",")))&gt;0)),IF(U26="",TRUE,IF(input_affiliations="",FALSE,SUMPRODUCT(--ISNUMBER(SEARCH(","&amp;TRIM(TEXTSPLIT(U26,","))&amp;",",","&amp;SUBSTITUTE(input_affiliations," ","")&amp;",")))=COUNTA(TEXTSPLIT(U26,",")))))</f>
        <v/>
      </c>
      <c r="IU26" s="19">
        <f>AND(IF(W26="",TRUE,IF(input_announcement_category="",FALSE,SUMPRODUCT(--ISNUMBER(SEARCH(","&amp;TRIM(TEXTSPLIT(W26,","))&amp;",",","&amp;SUBSTITUTE(input_announcement_category," ","")&amp;",")))&gt;0)),IF(Y26="",TRUE,IF(input_announcement_category="",FALSE,SUMPRODUCT(--ISNUMBER(SEARCH(","&amp;TRIM(TEXTSPLIT(Y26,","))&amp;",",","&amp;SUBSTITUTE(input_announcement_category," ","")&amp;",")))=COUNTA(TEXTSPLIT(Y26,",")))),IF(AA26="",TRUE,IF(input_announcement_category="",TRUE,SUMPRODUCT(--ISNUMBER(SEARCH(","&amp;TRIM(TEXTSPLIT(AA26,","))&amp;",",","&amp;SUBSTITUTE(input_announcement_category," ","")&amp;",")))=0)),IF(AC26="",TRUE,IF(input_announcement_category="",FALSE,SUMPRODUCT(--ISNUMBER(SEARCH(","&amp;TRIM(TEXTSPLIT(AC26,","))&amp;",",","&amp;SUBSTITUTE(input_announcement_category," ","")&amp;",")))&gt;0)),IF(AE26="",TRUE,IF(input_announcement_category="",FALSE,SUMPRODUCT(--ISNUMBER(SEARCH(","&amp;TRIM(TEXTSPLIT(AE26,","))&amp;",",","&amp;SUBSTITUTE(input_announcement_category," ","")&amp;",")))=COUNTA(TEXTSPLIT(AE26,",")))))</f>
        <v/>
      </c>
      <c r="IV26" s="19">
        <f>AND(IF(AG26="",TRUE,IF(input_area_of_focus="",FALSE,SUMPRODUCT(--ISNUMBER(SEARCH(","&amp;TRIM(TEXTSPLIT(AG26,","))&amp;",",","&amp;SUBSTITUTE(input_area_of_focus," ","")&amp;",")))&gt;0)),IF(AI26="",TRUE,IF(input_area_of_focus="",FALSE,SUMPRODUCT(--ISNUMBER(SEARCH(","&amp;TRIM(TEXTSPLIT(AI26,","))&amp;",",","&amp;SUBSTITUTE(input_area_of_focus," ","")&amp;",")))=COUNTA(TEXTSPLIT(AI26,",")))),IF(AK26="",TRUE,IF(input_area_of_focus="",TRUE,SUMPRODUCT(--ISNUMBER(SEARCH(","&amp;TRIM(TEXTSPLIT(AK26,","))&amp;",",","&amp;SUBSTITUTE(input_area_of_focus," ","")&amp;",")))=0)),IF(AM26="",TRUE,IF(input_area_of_focus="",FALSE,SUMPRODUCT(--ISNUMBER(SEARCH(","&amp;TRIM(TEXTSPLIT(AM26,","))&amp;",",","&amp;SUBSTITUTE(input_area_of_focus," ","")&amp;",")))&gt;0)),IF(AO26="",TRUE,IF(input_area_of_focus="",FALSE,SUMPRODUCT(--ISNUMBER(SEARCH(","&amp;TRIM(TEXTSPLIT(AO26,","))&amp;",",","&amp;SUBSTITUTE(input_area_of_focus," ","")&amp;",")))=COUNTA(TEXTSPLIT(AO26,",")))))</f>
        <v/>
      </c>
      <c r="IW26" s="19">
        <f>AND(IF(AQ26="",TRUE,IF(input_audience="",FALSE,SUMPRODUCT(--ISNUMBER(SEARCH(","&amp;TRIM(TEXTSPLIT(AQ26,","))&amp;",",","&amp;SUBSTITUTE(input_audience," ","")&amp;",")))&gt;0)),IF(AS26="",TRUE,IF(input_audience="",FALSE,SUMPRODUCT(--ISNUMBER(SEARCH(","&amp;TRIM(TEXTSPLIT(AS26,","))&amp;",",","&amp;SUBSTITUTE(input_audience," ","")&amp;",")))=COUNTA(TEXTSPLIT(AS26,",")))),IF(AU26="",TRUE,IF(input_audience="",TRUE,SUMPRODUCT(--ISNUMBER(SEARCH(","&amp;TRIM(TEXTSPLIT(AU26,","))&amp;",",","&amp;SUBSTITUTE(input_audience," ","")&amp;",")))=0)),IF(AW26="",TRUE,IF(input_audience="",FALSE,SUMPRODUCT(--ISNUMBER(SEARCH(","&amp;TRIM(TEXTSPLIT(AW26,","))&amp;",",","&amp;SUBSTITUTE(input_audience," ","")&amp;",")))&gt;0)),IF(AY26="",TRUE,IF(input_audience="",FALSE,SUMPRODUCT(--ISNUMBER(SEARCH(","&amp;TRIM(TEXTSPLIT(AY26,","))&amp;",",","&amp;SUBSTITUTE(input_audience," ","")&amp;",")))=COUNTA(TEXTSPLIT(AY26,",")))))</f>
        <v/>
      </c>
      <c r="IX26" s="19">
        <f>AND(IF(BA26="",TRUE,IF(input_challenge_opportunities="",FALSE,SUMPRODUCT(--ISNUMBER(SEARCH(","&amp;TRIM(TEXTSPLIT(BA26,","))&amp;",",","&amp;SUBSTITUTE(input_challenge_opportunities," ","")&amp;",")))&gt;0)),IF(BC26="",TRUE,IF(input_challenge_opportunities="",FALSE,SUMPRODUCT(--ISNUMBER(SEARCH(","&amp;TRIM(TEXTSPLIT(BC26,","))&amp;",",","&amp;SUBSTITUTE(input_challenge_opportunities," ","")&amp;",")))=COUNTA(TEXTSPLIT(BC26,",")))),IF(BE26="",TRUE,IF(input_challenge_opportunities="",TRUE,SUMPRODUCT(--ISNUMBER(SEARCH(","&amp;TRIM(TEXTSPLIT(BE26,","))&amp;",",","&amp;SUBSTITUTE(input_challenge_opportunities," ","")&amp;",")))=0)),IF(BG26="",TRUE,IF(input_challenge_opportunities="",FALSE,SUMPRODUCT(--ISNUMBER(SEARCH(","&amp;TRIM(TEXTSPLIT(BG26,","))&amp;",",","&amp;SUBSTITUTE(input_challenge_opportunities," ","")&amp;",")))&gt;0)),IF(BI26="",TRUE,IF(input_challenge_opportunities="",FALSE,SUMPRODUCT(--ISNUMBER(SEARCH(","&amp;TRIM(TEXTSPLIT(BI26,","))&amp;",",","&amp;SUBSTITUTE(input_challenge_opportunities," ","")&amp;",")))=COUNTA(TEXTSPLIT(BI26,",")))))</f>
        <v/>
      </c>
      <c r="IY26" s="19">
        <f>AND(IF(BK26="",TRUE,IF(input_context="",FALSE,SUMPRODUCT(--ISNUMBER(SEARCH(","&amp;TRIM(TEXTSPLIT(BK26,","))&amp;",",","&amp;SUBSTITUTE(input_context," ","")&amp;",")))&gt;0)),IF(BM26="",TRUE,IF(input_context="",FALSE,SUMPRODUCT(--ISNUMBER(SEARCH(","&amp;TRIM(TEXTSPLIT(BM26,","))&amp;",",","&amp;SUBSTITUTE(input_context," ","")&amp;",")))=COUNTA(TEXTSPLIT(BM26,",")))),IF(BO26="",TRUE,IF(input_context="",TRUE,SUMPRODUCT(--ISNUMBER(SEARCH(","&amp;TRIM(TEXTSPLIT(BO26,","))&amp;",",","&amp;SUBSTITUTE(input_context," ","")&amp;",")))=0)),IF(BQ26="",TRUE,IF(input_context="",FALSE,SUMPRODUCT(--ISNUMBER(SEARCH(","&amp;TRIM(TEXTSPLIT(BQ26,","))&amp;",",","&amp;SUBSTITUTE(input_context," ","")&amp;",")))&gt;0)),IF(BS26="",TRUE,IF(input_context="",FALSE,SUMPRODUCT(--ISNUMBER(SEARCH(","&amp;TRIM(TEXTSPLIT(BS26,","))&amp;",",","&amp;SUBSTITUTE(input_context," ","")&amp;",")))=COUNTA(TEXTSPLIT(BS26,",")))))</f>
        <v/>
      </c>
      <c r="IZ26" s="19">
        <f>AND(IF(BU26="",TRUE,IF(input_enews_announcement_type="",FALSE,SUMPRODUCT(--ISNUMBER(SEARCH(","&amp;TRIM(TEXTSPLIT(BU26,","))&amp;",",","&amp;SUBSTITUTE(input_enews_announcement_type," ","")&amp;",")))&gt;0)),IF(BW26="",TRUE,IF(input_enews_announcement_type="",FALSE,SUMPRODUCT(--ISNUMBER(SEARCH(","&amp;TRIM(TEXTSPLIT(BW26,","))&amp;",",","&amp;SUBSTITUTE(input_enews_announcement_type," ","")&amp;",")))=COUNTA(TEXTSPLIT(BW26,",")))),IF(BY26="",TRUE,IF(input_enews_announcement_type="",TRUE,SUMPRODUCT(--ISNUMBER(SEARCH(","&amp;TRIM(TEXTSPLIT(BY26,","))&amp;",",","&amp;SUBSTITUTE(input_enews_announcement_type," ","")&amp;",")))=0)),IF(CA26="",TRUE,IF(input_enews_announcement_type="",FALSE,SUMPRODUCT(--ISNUMBER(SEARCH(","&amp;TRIM(TEXTSPLIT(CA26,","))&amp;",",","&amp;SUBSTITUTE(input_enews_announcement_type," ","")&amp;",")))&gt;0)),IF(CC26="",TRUE,IF(input_enews_announcement_type="",FALSE,SUMPRODUCT(--ISNUMBER(SEARCH(","&amp;TRIM(TEXTSPLIT(CC26,","))&amp;",",","&amp;SUBSTITUTE(input_enews_announcement_type," ","")&amp;",")))=COUNTA(TEXTSPLIT(CC26,",")))))</f>
        <v/>
      </c>
      <c r="JA26" s="19">
        <f>AND(IF(CE26="",TRUE,IF(input_enews_audience="",FALSE,SUMPRODUCT(--ISNUMBER(SEARCH(","&amp;TRIM(TEXTSPLIT(CE26,","))&amp;",",","&amp;SUBSTITUTE(input_enews_audience," ","")&amp;",")))&gt;0)),IF(CG26="",TRUE,IF(input_enews_audience="",FALSE,SUMPRODUCT(--ISNUMBER(SEARCH(","&amp;TRIM(TEXTSPLIT(CG26,","))&amp;",",","&amp;SUBSTITUTE(input_enews_audience," ","")&amp;",")))=COUNTA(TEXTSPLIT(CG26,",")))),IF(CI26="",TRUE,IF(input_enews_audience="",TRUE,SUMPRODUCT(--ISNUMBER(SEARCH(","&amp;TRIM(TEXTSPLIT(CI26,","))&amp;",",","&amp;SUBSTITUTE(input_enews_audience," ","")&amp;",")))=0)),IF(CK26="",TRUE,IF(input_enews_audience="",FALSE,SUMPRODUCT(--ISNUMBER(SEARCH(","&amp;TRIM(TEXTSPLIT(CK26,","))&amp;",",","&amp;SUBSTITUTE(input_enews_audience," ","")&amp;",")))&gt;0)),IF(CM26="",TRUE,IF(input_enews_audience="",FALSE,SUMPRODUCT(--ISNUMBER(SEARCH(","&amp;TRIM(TEXTSPLIT(CM26,","))&amp;",",","&amp;SUBSTITUTE(input_enews_audience," ","")&amp;",")))=COUNTA(TEXTSPLIT(CM26,",")))))</f>
        <v/>
      </c>
      <c r="JB26" s="19">
        <f>AND(IF(CO26="",TRUE,IF(input_event_location="",FALSE,SUMPRODUCT(--ISNUMBER(SEARCH(","&amp;TRIM(TEXTSPLIT(CO26,","))&amp;",",","&amp;SUBSTITUTE(input_event_location," ","")&amp;",")))&gt;0)),IF(CQ26="",TRUE,IF(input_event_location="",FALSE,SUMPRODUCT(--ISNUMBER(SEARCH(","&amp;TRIM(TEXTSPLIT(CQ26,","))&amp;",",","&amp;SUBSTITUTE(input_event_location," ","")&amp;",")))=COUNTA(TEXTSPLIT(CQ26,",")))),IF(CS26="",TRUE,IF(input_event_location="",TRUE,SUMPRODUCT(--ISNUMBER(SEARCH(","&amp;TRIM(TEXTSPLIT(CS26,","))&amp;",",","&amp;SUBSTITUTE(input_event_location," ","")&amp;",")))=0)),IF(CU26="",TRUE,IF(input_event_location="",FALSE,SUMPRODUCT(--ISNUMBER(SEARCH(","&amp;TRIM(TEXTSPLIT(CU26,","))&amp;",",","&amp;SUBSTITUTE(input_event_location," ","")&amp;",")))&gt;0)),IF(CW26="",TRUE,IF(input_event_location="",FALSE,SUMPRODUCT(--ISNUMBER(SEARCH(","&amp;TRIM(TEXTSPLIT(CW26,","))&amp;",",","&amp;SUBSTITUTE(input_event_location," ","")&amp;",")))=COUNTA(TEXTSPLIT(CW26,",")))))</f>
        <v/>
      </c>
      <c r="JC26" s="19">
        <f>AND(IF(CY26="",TRUE,IF(input_event_type="",FALSE,SUMPRODUCT(--ISNUMBER(SEARCH(","&amp;TRIM(TEXTSPLIT(CY26,","))&amp;",",","&amp;SUBSTITUTE(input_event_type," ","")&amp;",")))&gt;0)),IF(DA26="",TRUE,IF(input_event_type="",FALSE,SUMPRODUCT(--ISNUMBER(SEARCH(","&amp;TRIM(TEXTSPLIT(DA26,","))&amp;",",","&amp;SUBSTITUTE(input_event_type," ","")&amp;",")))=COUNTA(TEXTSPLIT(DA26,",")))),IF(DC26="",TRUE,IF(input_event_type="",TRUE,SUMPRODUCT(--ISNUMBER(SEARCH(","&amp;TRIM(TEXTSPLIT(DC26,","))&amp;",",","&amp;SUBSTITUTE(input_event_type," ","")&amp;",")))=0)),IF(DE26="",TRUE,IF(input_event_type="",FALSE,SUMPRODUCT(--ISNUMBER(SEARCH(","&amp;TRIM(TEXTSPLIT(DE26,","))&amp;",",","&amp;SUBSTITUTE(input_event_type," ","")&amp;",")))&gt;0)),IF(DG26="",TRUE,IF(input_event_type="",FALSE,SUMPRODUCT(--ISNUMBER(SEARCH(","&amp;TRIM(TEXTSPLIT(DG26,","))&amp;",",","&amp;SUBSTITUTE(input_event_type," ","")&amp;",")))=COUNTA(TEXTSPLIT(DG26,",")))))</f>
        <v/>
      </c>
      <c r="JD26" s="19">
        <f>AND(IF(DI26="",TRUE,IF(input_executive_education_focus="",FALSE,SUMPRODUCT(--ISNUMBER(SEARCH(","&amp;TRIM(TEXTSPLIT(DI26,","))&amp;",",","&amp;SUBSTITUTE(input_executive_education_focus," ","")&amp;",")))&gt;0)),IF(DK26="",TRUE,IF(input_executive_education_focus="",FALSE,SUMPRODUCT(--ISNUMBER(SEARCH(","&amp;TRIM(TEXTSPLIT(DK26,","))&amp;",",","&amp;SUBSTITUTE(input_executive_education_focus," ","")&amp;",")))=COUNTA(TEXTSPLIT(DK26,",")))),IF(DM26="",TRUE,IF(input_executive_education_focus="",TRUE,SUMPRODUCT(--ISNUMBER(SEARCH(","&amp;TRIM(TEXTSPLIT(DM26,","))&amp;",",","&amp;SUBSTITUTE(input_executive_education_focus," ","")&amp;",")))=0)),IF(DO26="",TRUE,IF(input_executive_education_focus="",FALSE,SUMPRODUCT(--ISNUMBER(SEARCH(","&amp;TRIM(TEXTSPLIT(DO26,","))&amp;",",","&amp;SUBSTITUTE(input_executive_education_focus," ","")&amp;",")))&gt;0)),IF(DQ26="",TRUE,IF(input_executive_education_focus="",FALSE,SUMPRODUCT(--ISNUMBER(SEARCH(","&amp;TRIM(TEXTSPLIT(DQ26,","))&amp;",",","&amp;SUBSTITUTE(input_executive_education_focus," ","")&amp;",")))=COUNTA(TEXTSPLIT(DQ26,",")))))</f>
        <v/>
      </c>
      <c r="JE26" s="19">
        <f>AND(IF(DS26="",TRUE,IF(input_faculty_category="",FALSE,SUMPRODUCT(--ISNUMBER(SEARCH(","&amp;TRIM(TEXTSPLIT(DS26,","))&amp;",",","&amp;SUBSTITUTE(input_faculty_category," ","")&amp;",")))&gt;0)),IF(DU26="",TRUE,IF(input_faculty_category="",FALSE,SUMPRODUCT(--ISNUMBER(SEARCH(","&amp;TRIM(TEXTSPLIT(DU26,","))&amp;",",","&amp;SUBSTITUTE(input_faculty_category," ","")&amp;",")))=COUNTA(TEXTSPLIT(DU26,",")))),IF(DW26="",TRUE,IF(input_faculty_category="",TRUE,SUMPRODUCT(--ISNUMBER(SEARCH(","&amp;TRIM(TEXTSPLIT(DW26,","))&amp;",",","&amp;SUBSTITUTE(input_faculty_category," ","")&amp;",")))=0)),IF(DY26="",TRUE,IF(input_faculty_category="",FALSE,SUMPRODUCT(--ISNUMBER(SEARCH(","&amp;TRIM(TEXTSPLIT(DY26,","))&amp;",",","&amp;SUBSTITUTE(input_faculty_category," ","")&amp;",")))&gt;0)),IF(EA26="",TRUE,IF(input_faculty_category="",FALSE,SUMPRODUCT(--ISNUMBER(SEARCH(","&amp;TRIM(TEXTSPLIT(EA26,","))&amp;",",","&amp;SUBSTITUTE(input_faculty_category," ","")&amp;",")))=COUNTA(TEXTSPLIT(EA26,",")))))</f>
        <v/>
      </c>
      <c r="JF26" s="19">
        <f>AND(IF(EC26="",TRUE,IF(input_faculty_discipline="",FALSE,SUMPRODUCT(--ISNUMBER(SEARCH(","&amp;TRIM(TEXTSPLIT(EC26,","))&amp;",",","&amp;SUBSTITUTE(input_faculty_discipline," ","")&amp;",")))&gt;0)),IF(EE26="",TRUE,IF(input_faculty_discipline="",FALSE,SUMPRODUCT(--ISNUMBER(SEARCH(","&amp;TRIM(TEXTSPLIT(EE26,","))&amp;",",","&amp;SUBSTITUTE(input_faculty_discipline," ","")&amp;",")))=COUNTA(TEXTSPLIT(EE26,",")))),IF(EG26="",TRUE,IF(input_faculty_discipline="",TRUE,SUMPRODUCT(--ISNUMBER(SEARCH(","&amp;TRIM(TEXTSPLIT(EG26,","))&amp;",",","&amp;SUBSTITUTE(input_faculty_discipline," ","")&amp;",")))=0)),IF(EI26="",TRUE,IF(input_faculty_discipline="",FALSE,SUMPRODUCT(--ISNUMBER(SEARCH(","&amp;TRIM(TEXTSPLIT(EI26,","))&amp;",",","&amp;SUBSTITUTE(input_faculty_discipline," ","")&amp;",")))&gt;0)),IF(EK26="",TRUE,IF(input_faculty_discipline="",FALSE,SUMPRODUCT(--ISNUMBER(SEARCH(","&amp;TRIM(TEXTSPLIT(EK26,","))&amp;",",","&amp;SUBSTITUTE(input_faculty_discipline," ","")&amp;",")))=COUNTA(TEXTSPLIT(EK26,",")))))</f>
        <v/>
      </c>
      <c r="JG26" s="19">
        <f>AND(IF(EM26="",TRUE,IF(input_faculty_expertise="",FALSE,SUMPRODUCT(--ISNUMBER(SEARCH(","&amp;TRIM(TEXTSPLIT(EM26,","))&amp;",",","&amp;SUBSTITUTE(input_faculty_expertise," ","")&amp;",")))&gt;0)),IF(EO26="",TRUE,IF(input_faculty_expertise="",FALSE,SUMPRODUCT(--ISNUMBER(SEARCH(","&amp;TRIM(TEXTSPLIT(EO26,","))&amp;",",","&amp;SUBSTITUTE(input_faculty_expertise," ","")&amp;",")))=COUNTA(TEXTSPLIT(EO26,",")))),IF(EQ26="",TRUE,IF(input_faculty_expertise="",TRUE,SUMPRODUCT(--ISNUMBER(SEARCH(","&amp;TRIM(TEXTSPLIT(EQ26,","))&amp;",",","&amp;SUBSTITUTE(input_faculty_expertise," ","")&amp;",")))=0)),IF(ES26="",TRUE,IF(input_faculty_expertise="",FALSE,SUMPRODUCT(--ISNUMBER(SEARCH(","&amp;TRIM(TEXTSPLIT(ES26,","))&amp;",",","&amp;SUBSTITUTE(input_faculty_expertise," ","")&amp;",")))&gt;0)),IF(EU26="",TRUE,IF(input_faculty_expertise="",FALSE,SUMPRODUCT(--ISNUMBER(SEARCH(","&amp;TRIM(TEXTSPLIT(EU26,","))&amp;",",","&amp;SUBSTITUTE(input_faculty_expertise," ","")&amp;",")))=COUNTA(TEXTSPLIT(EU26,",")))))</f>
        <v/>
      </c>
      <c r="JH26" s="19">
        <f>AND(IF(EW26="",TRUE,IF(input_global_network_school="",FALSE,SUMPRODUCT(--ISNUMBER(SEARCH(","&amp;TRIM(TEXTSPLIT(EW26,","))&amp;",",","&amp;SUBSTITUTE(input_global_network_school," ","")&amp;",")))&gt;0)),IF(EY26="",TRUE,IF(input_global_network_school="",FALSE,SUMPRODUCT(--ISNUMBER(SEARCH(","&amp;TRIM(TEXTSPLIT(EY26,","))&amp;",",","&amp;SUBSTITUTE(input_global_network_school," ","")&amp;",")))=COUNTA(TEXTSPLIT(EY26,",")))),IF(FA26="",TRUE,IF(input_global_network_school="",TRUE,SUMPRODUCT(--ISNUMBER(SEARCH(","&amp;TRIM(TEXTSPLIT(FA26,","))&amp;",",","&amp;SUBSTITUTE(input_global_network_school," ","")&amp;",")))=0)),IF(FC26="",TRUE,IF(input_global_network_school="",FALSE,SUMPRODUCT(--ISNUMBER(SEARCH(","&amp;TRIM(TEXTSPLIT(FC26,","))&amp;",",","&amp;SUBSTITUTE(input_global_network_school," ","")&amp;",")))&gt;0)),IF(FE26="",TRUE,IF(input_global_network_school="",FALSE,SUMPRODUCT(--ISNUMBER(SEARCH(","&amp;TRIM(TEXTSPLIT(FE26,","))&amp;",",","&amp;SUBSTITUTE(input_global_network_school," ","")&amp;",")))=COUNTA(TEXTSPLIT(FE26,",")))))</f>
        <v/>
      </c>
      <c r="JI26" s="19">
        <f>AND(IF(FG26="",TRUE,IF(input_industry="",FALSE,SUMPRODUCT(--ISNUMBER(SEARCH(","&amp;TRIM(TEXTSPLIT(FG26,","))&amp;",",","&amp;SUBSTITUTE(input_industry," ","")&amp;",")))&gt;0)),IF(FI26="",TRUE,IF(input_industry="",FALSE,SUMPRODUCT(--ISNUMBER(SEARCH(","&amp;TRIM(TEXTSPLIT(FI26,","))&amp;",",","&amp;SUBSTITUTE(input_industry," ","")&amp;",")))=COUNTA(TEXTSPLIT(FI26,",")))),IF(FK26="",TRUE,IF(input_industry="",TRUE,SUMPRODUCT(--ISNUMBER(SEARCH(","&amp;TRIM(TEXTSPLIT(FK26,","))&amp;",",","&amp;SUBSTITUTE(input_industry," ","")&amp;",")))=0)),IF(FM26="",TRUE,IF(input_industry="",FALSE,SUMPRODUCT(--ISNUMBER(SEARCH(","&amp;TRIM(TEXTSPLIT(FM26,","))&amp;",",","&amp;SUBSTITUTE(input_industry," ","")&amp;",")))&gt;0)),IF(FO26="",TRUE,IF(input_industry="",FALSE,SUMPRODUCT(--ISNUMBER(SEARCH(","&amp;TRIM(TEXTSPLIT(FO26,","))&amp;",",","&amp;SUBSTITUTE(input_industry," ","")&amp;",")))=COUNTA(TEXTSPLIT(FO26,",")))))</f>
        <v/>
      </c>
      <c r="JJ26" s="19">
        <f>AND(IF(FQ26="",TRUE,IF(input_location="",FALSE,SUMPRODUCT(--ISNUMBER(SEARCH(","&amp;TRIM(TEXTSPLIT(FQ26,","))&amp;",",","&amp;SUBSTITUTE(input_location," ","")&amp;",")))&gt;0)),IF(FS26="",TRUE,IF(input_location="",FALSE,SUMPRODUCT(--ISNUMBER(SEARCH(","&amp;TRIM(TEXTSPLIT(FS26,","))&amp;",",","&amp;SUBSTITUTE(input_location," ","")&amp;",")))=COUNTA(TEXTSPLIT(FS26,",")))),IF(FU26="",TRUE,IF(input_location="",TRUE,SUMPRODUCT(--ISNUMBER(SEARCH(","&amp;TRIM(TEXTSPLIT(FU26,","))&amp;",",","&amp;SUBSTITUTE(input_location," ","")&amp;",")))=0)),IF(FW26="",TRUE,IF(input_location="",FALSE,SUMPRODUCT(--ISNUMBER(SEARCH(","&amp;TRIM(TEXTSPLIT(FW26,","))&amp;",",","&amp;SUBSTITUTE(input_location," ","")&amp;",")))&gt;0)),IF(FY26="",TRUE,IF(input_location="",FALSE,SUMPRODUCT(--ISNUMBER(SEARCH(","&amp;TRIM(TEXTSPLIT(FY26,","))&amp;",",","&amp;SUBSTITUTE(input_location," ","")&amp;",")))=COUNTA(TEXTSPLIT(FY26,",")))))</f>
        <v/>
      </c>
      <c r="JK26" s="19">
        <f>AND(IF(GA26="",TRUE,IF(input_modality="",FALSE,SUMPRODUCT(--ISNUMBER(SEARCH(","&amp;TRIM(TEXTSPLIT(GA26,","))&amp;",",","&amp;SUBSTITUTE(input_modality," ","")&amp;",")))&gt;0)),IF(GC26="",TRUE,IF(input_modality="",FALSE,SUMPRODUCT(--ISNUMBER(SEARCH(","&amp;TRIM(TEXTSPLIT(GC26,","))&amp;",",","&amp;SUBSTITUTE(input_modality," ","")&amp;",")))=COUNTA(TEXTSPLIT(GC26,",")))),IF(GE26="",TRUE,IF(input_modality="",TRUE,SUMPRODUCT(--ISNUMBER(SEARCH(","&amp;TRIM(TEXTSPLIT(GE26,","))&amp;",",","&amp;SUBSTITUTE(input_modality," ","")&amp;",")))=0)),IF(GG26="",TRUE,IF(input_modality="",FALSE,SUMPRODUCT(--ISNUMBER(SEARCH(","&amp;TRIM(TEXTSPLIT(GG26,","))&amp;",",","&amp;SUBSTITUTE(input_modality," ","")&amp;",")))&gt;0)),IF(GI26="",TRUE,IF(input_modality="",FALSE,SUMPRODUCT(--ISNUMBER(SEARCH(","&amp;TRIM(TEXTSPLIT(GI26,","))&amp;",",","&amp;SUBSTITUTE(input_modality," ","")&amp;",")))=COUNTA(TEXTSPLIT(GI26,",")))))</f>
        <v/>
      </c>
      <c r="JL26" s="19">
        <f>AND(IF(GK26="",TRUE,IF(input_organizer="",FALSE,SUMPRODUCT(--ISNUMBER(SEARCH(","&amp;TRIM(TEXTSPLIT(GK26,","))&amp;",",","&amp;SUBSTITUTE(input_organizer," ","")&amp;",")))&gt;0)),IF(GM26="",TRUE,IF(input_organizer="",FALSE,SUMPRODUCT(--ISNUMBER(SEARCH(","&amp;TRIM(TEXTSPLIT(GM26,","))&amp;",",","&amp;SUBSTITUTE(input_organizer," ","")&amp;",")))=COUNTA(TEXTSPLIT(GM26,",")))),IF(GO26="",TRUE,IF(input_organizer="",TRUE,SUMPRODUCT(--ISNUMBER(SEARCH(","&amp;TRIM(TEXTSPLIT(GO26,","))&amp;",",","&amp;SUBSTITUTE(input_organizer," ","")&amp;",")))=0)),IF(GQ26="",TRUE,IF(input_organizer="",FALSE,SUMPRODUCT(--ISNUMBER(SEARCH(","&amp;TRIM(TEXTSPLIT(GQ26,","))&amp;",",","&amp;SUBSTITUTE(input_organizer," ","")&amp;",")))&gt;0)),IF(GS26="",TRUE,IF(input_organizer="",FALSE,SUMPRODUCT(--ISNUMBER(SEARCH(","&amp;TRIM(TEXTSPLIT(GS26,","))&amp;",",","&amp;SUBSTITUTE(input_organizer," ","")&amp;",")))=COUNTA(TEXTSPLIT(GS26,",")))))</f>
        <v/>
      </c>
      <c r="JM26" s="19">
        <f>AND(IF(GU26="",TRUE,IF(input_profile_type="",FALSE,SUMPRODUCT(--ISNUMBER(SEARCH(","&amp;TRIM(TEXTSPLIT(GU26,","))&amp;",",","&amp;SUBSTITUTE(input_profile_type," ","")&amp;",")))&gt;0)),IF(GW26="",TRUE,IF(input_profile_type="",FALSE,SUMPRODUCT(--ISNUMBER(SEARCH(","&amp;TRIM(TEXTSPLIT(GW26,","))&amp;",",","&amp;SUBSTITUTE(input_profile_type," ","")&amp;",")))=COUNTA(TEXTSPLIT(GW26,",")))),IF(GY26="",TRUE,IF(input_profile_type="",TRUE,SUMPRODUCT(--ISNUMBER(SEARCH(","&amp;TRIM(TEXTSPLIT(GY26,","))&amp;",",","&amp;SUBSTITUTE(input_profile_type," ","")&amp;",")))=0)),IF(HA26="",TRUE,IF(input_profile_type="",FALSE,SUMPRODUCT(--ISNUMBER(SEARCH(","&amp;TRIM(TEXTSPLIT(HA26,","))&amp;",",","&amp;SUBSTITUTE(input_profile_type," ","")&amp;",")))&gt;0)),IF(HC26="",TRUE,IF(input_profile_type="",FALSE,SUMPRODUCT(--ISNUMBER(SEARCH(","&amp;TRIM(TEXTSPLIT(HC26,","))&amp;",",","&amp;SUBSTITUTE(input_profile_type," ","")&amp;",")))=COUNTA(TEXTSPLIT(HC26,",")))))</f>
        <v/>
      </c>
      <c r="JN26" s="19">
        <f>AND(IF(HE26="",TRUE,IF(input_program="",FALSE,SUMPRODUCT(--ISNUMBER(SEARCH(","&amp;TRIM(TEXTSPLIT(HE26,","))&amp;",",","&amp;SUBSTITUTE(input_program," ","")&amp;",")))&gt;0)),IF(HG26="",TRUE,IF(input_program="",FALSE,SUMPRODUCT(--ISNUMBER(SEARCH(","&amp;TRIM(TEXTSPLIT(HG26,","))&amp;",",","&amp;SUBSTITUTE(input_program," ","")&amp;",")))=COUNTA(TEXTSPLIT(HG26,",")))),IF(HI26="",TRUE,IF(input_program="",TRUE,SUMPRODUCT(--ISNUMBER(SEARCH(","&amp;TRIM(TEXTSPLIT(HI26,","))&amp;",",","&amp;SUBSTITUTE(input_program," ","")&amp;",")))=0)),IF(HK26="",TRUE,IF(input_program="",FALSE,SUMPRODUCT(--ISNUMBER(SEARCH(","&amp;TRIM(TEXTSPLIT(HK26,","))&amp;",",","&amp;SUBSTITUTE(input_program," ","")&amp;",")))&gt;0)),IF(HM26="",TRUE,IF(input_program="",FALSE,SUMPRODUCT(--ISNUMBER(SEARCH(","&amp;TRIM(TEXTSPLIT(HM26,","))&amp;",",","&amp;SUBSTITUTE(input_program," ","")&amp;",")))=COUNTA(TEXTSPLIT(HM26,",")))))</f>
        <v/>
      </c>
      <c r="JO26" s="19">
        <f>AND(IF(HO26="",TRUE,IF(input_story_categories="",FALSE,SUMPRODUCT(--ISNUMBER(SEARCH(","&amp;TRIM(TEXTSPLIT(HO26,","))&amp;",",","&amp;SUBSTITUTE(input_story_categories," ","")&amp;",")))&gt;0)),IF(HQ26="",TRUE,IF(input_story_categories="",FALSE,SUMPRODUCT(--ISNUMBER(SEARCH(","&amp;TRIM(TEXTSPLIT(HQ26,","))&amp;",",","&amp;SUBSTITUTE(input_story_categories," ","")&amp;",")))=COUNTA(TEXTSPLIT(HQ26,",")))),IF(HS26="",TRUE,IF(input_story_categories="",TRUE,SUMPRODUCT(--ISNUMBER(SEARCH(","&amp;TRIM(TEXTSPLIT(HS26,","))&amp;",",","&amp;SUBSTITUTE(input_story_categories," ","")&amp;",")))=0)),IF(HU26="",TRUE,IF(input_story_categories="",FALSE,SUMPRODUCT(--ISNUMBER(SEARCH(","&amp;TRIM(TEXTSPLIT(HU26,","))&amp;",",","&amp;SUBSTITUTE(input_story_categories," ","")&amp;",")))&gt;0)),IF(HW26="",TRUE,IF(input_story_categories="",FALSE,SUMPRODUCT(--ISNUMBER(SEARCH(","&amp;TRIM(TEXTSPLIT(HW26,","))&amp;",",","&amp;SUBSTITUTE(input_story_categories," ","")&amp;",")))=COUNTA(TEXTSPLIT(HW26,",")))))</f>
        <v/>
      </c>
      <c r="JP26" s="19">
        <f>AND(IF(HY26="",TRUE,IF(input_story_type="",FALSE,SUMPRODUCT(--ISNUMBER(SEARCH(","&amp;TRIM(TEXTSPLIT(HY26,","))&amp;",",","&amp;SUBSTITUTE(input_story_type," ","")&amp;",")))&gt;0)),IF(IA26="",TRUE,IF(input_story_type="",FALSE,SUMPRODUCT(--ISNUMBER(SEARCH(","&amp;TRIM(TEXTSPLIT(IA26,","))&amp;",",","&amp;SUBSTITUTE(input_story_type," ","")&amp;",")))=COUNTA(TEXTSPLIT(IA26,",")))),IF(IC26="",TRUE,IF(input_story_type="",TRUE,SUMPRODUCT(--ISNUMBER(SEARCH(","&amp;TRIM(TEXTSPLIT(IC26,","))&amp;",",","&amp;SUBSTITUTE(input_story_type," ","")&amp;",")))=0)),IF(IE26="",TRUE,IF(input_story_type="",FALSE,SUMPRODUCT(--ISNUMBER(SEARCH(","&amp;TRIM(TEXTSPLIT(IE26,","))&amp;",",","&amp;SUBSTITUTE(input_story_type," ","")&amp;",")))&gt;0)),IF(IG26="",TRUE,IF(input_story_type="",FALSE,SUMPRODUCT(--ISNUMBER(SEARCH(","&amp;TRIM(TEXTSPLIT(IG26,","))&amp;",",","&amp;SUBSTITUTE(input_story_type," ","")&amp;",")))=COUNTA(TEXTSPLIT(IG26,",")))))</f>
        <v/>
      </c>
      <c r="JQ26" s="19">
        <f>AND(IF(II26="",TRUE,IF(input_topics="",FALSE,SUMPRODUCT(--ISNUMBER(SEARCH(","&amp;TRIM(TEXTSPLIT(II26,","))&amp;",",","&amp;SUBSTITUTE(input_topics," ","")&amp;",")))&gt;0)),IF(IK26="",TRUE,IF(input_topics="",FALSE,SUMPRODUCT(--ISNUMBER(SEARCH(","&amp;TRIM(TEXTSPLIT(IK26,","))&amp;",",","&amp;SUBSTITUTE(input_topics," ","")&amp;",")))=COUNTA(TEXTSPLIT(IK26,",")))),IF(IM26="",TRUE,IF(input_topics="",TRUE,SUMPRODUCT(--ISNUMBER(SEARCH(","&amp;TRIM(TEXTSPLIT(IM26,","))&amp;",",","&amp;SUBSTITUTE(input_topics," ","")&amp;",")))=0)),IF(IO26="",TRUE,IF(input_topics="",FALSE,SUMPRODUCT(--ISNUMBER(SEARCH(","&amp;TRIM(TEXTSPLIT(IO26,","))&amp;",",","&amp;SUBSTITUTE(input_topics," ","")&amp;",")))&gt;0)),IF(IQ26="",TRUE,IF(input_topics="",FALSE,SUMPRODUCT(--ISNUMBER(SEARCH(","&amp;TRIM(TEXTSPLIT(IQ26,","))&amp;",",","&amp;SUBSTITUTE(input_topics," ","")&amp;",")))=COUNTA(TEXTSPLIT(IQ26,",")))))</f>
        <v/>
      </c>
    </row>
    <row r="27">
      <c r="A27" s="24">
        <f>IF(NOT(IS27),"Excluded",IF(AND(IT27,IU27,IV27,IW27,IX27,IY27,IZ27,JA27,JB27,JC27,JD27,JE27,JF27,JG27,JH27,JI27,JJ27,JK27,JL27,JM27,JN27,JO27,JP27,JQ27),IF(I27&gt;0,"Eligible but limited","Will appear"),"Excluded"))</f>
        <v/>
      </c>
      <c r="B27" s="24" t="inlineStr">
        <is>
          <t>All Publications by Author</t>
        </is>
      </c>
      <c r="C27" s="27" t="inlineStr">
        <is>
          <t>/faculty-research/faculty-directory/faidra-monachou</t>
        </is>
      </c>
      <c r="D27" s="24" t="inlineStr">
        <is>
          <t>/faculty-research/faculty-directory/faidra-monachou</t>
        </is>
      </c>
      <c r="E27" s="24" t="n">
        <v>1</v>
      </c>
      <c r="F27" s="24" t="inlineStr">
        <is>
          <t>publications</t>
        </is>
      </c>
      <c r="G27" s="24" t="inlineStr">
        <is>
          <t>publication_teaser_list</t>
        </is>
      </c>
      <c r="H27" s="24" t="inlineStr">
        <is>
          <t>publication_teaser_list_all_by_author</t>
        </is>
      </c>
      <c r="I27" s="24" t="n"/>
      <c r="J27" s="24" t="inlineStr">
        <is>
          <t>View/config rules</t>
        </is>
      </c>
      <c r="K27" s="24" t="inlineStr">
        <is>
          <t>Page placement</t>
        </is>
      </c>
      <c r="L27" s="24" t="inlineStr">
        <is>
          <t>Content type: publications; Source: View/config rules</t>
        </is>
      </c>
      <c r="IS27" s="19">
        <f>IF(input_content_type="",FALSE,ISNUMBER(SEARCH(","&amp;LOWER(input_content_type)&amp;",",","&amp;LOWER(SUBSTITUTE(F27," ",""))&amp;",")))</f>
        <v/>
      </c>
      <c r="IT27" s="19">
        <f>AND(IF(M27="",TRUE,IF(input_affiliations="",FALSE,SUMPRODUCT(--ISNUMBER(SEARCH(","&amp;TRIM(TEXTSPLIT(M27,","))&amp;",",","&amp;SUBSTITUTE(input_affiliations," ","")&amp;",")))&gt;0)),IF(O27="",TRUE,IF(input_affiliations="",FALSE,SUMPRODUCT(--ISNUMBER(SEARCH(","&amp;TRIM(TEXTSPLIT(O27,","))&amp;",",","&amp;SUBSTITUTE(input_affiliations," ","")&amp;",")))=COUNTA(TEXTSPLIT(O27,",")))),IF(Q27="",TRUE,IF(input_affiliations="",TRUE,SUMPRODUCT(--ISNUMBER(SEARCH(","&amp;TRIM(TEXTSPLIT(Q27,","))&amp;",",","&amp;SUBSTITUTE(input_affiliations," ","")&amp;",")))=0)),IF(S27="",TRUE,IF(input_affiliations="",FALSE,SUMPRODUCT(--ISNUMBER(SEARCH(","&amp;TRIM(TEXTSPLIT(S27,","))&amp;",",","&amp;SUBSTITUTE(input_affiliations," ","")&amp;",")))&gt;0)),IF(U27="",TRUE,IF(input_affiliations="",FALSE,SUMPRODUCT(--ISNUMBER(SEARCH(","&amp;TRIM(TEXTSPLIT(U27,","))&amp;",",","&amp;SUBSTITUTE(input_affiliations," ","")&amp;",")))=COUNTA(TEXTSPLIT(U27,",")))))</f>
        <v/>
      </c>
      <c r="IU27" s="19">
        <f>AND(IF(W27="",TRUE,IF(input_announcement_category="",FALSE,SUMPRODUCT(--ISNUMBER(SEARCH(","&amp;TRIM(TEXTSPLIT(W27,","))&amp;",",","&amp;SUBSTITUTE(input_announcement_category," ","")&amp;",")))&gt;0)),IF(Y27="",TRUE,IF(input_announcement_category="",FALSE,SUMPRODUCT(--ISNUMBER(SEARCH(","&amp;TRIM(TEXTSPLIT(Y27,","))&amp;",",","&amp;SUBSTITUTE(input_announcement_category," ","")&amp;",")))=COUNTA(TEXTSPLIT(Y27,",")))),IF(AA27="",TRUE,IF(input_announcement_category="",TRUE,SUMPRODUCT(--ISNUMBER(SEARCH(","&amp;TRIM(TEXTSPLIT(AA27,","))&amp;",",","&amp;SUBSTITUTE(input_announcement_category," ","")&amp;",")))=0)),IF(AC27="",TRUE,IF(input_announcement_category="",FALSE,SUMPRODUCT(--ISNUMBER(SEARCH(","&amp;TRIM(TEXTSPLIT(AC27,","))&amp;",",","&amp;SUBSTITUTE(input_announcement_category," ","")&amp;",")))&gt;0)),IF(AE27="",TRUE,IF(input_announcement_category="",FALSE,SUMPRODUCT(--ISNUMBER(SEARCH(","&amp;TRIM(TEXTSPLIT(AE27,","))&amp;",",","&amp;SUBSTITUTE(input_announcement_category," ","")&amp;",")))=COUNTA(TEXTSPLIT(AE27,",")))))</f>
        <v/>
      </c>
      <c r="IV27" s="19">
        <f>AND(IF(AG27="",TRUE,IF(input_area_of_focus="",FALSE,SUMPRODUCT(--ISNUMBER(SEARCH(","&amp;TRIM(TEXTSPLIT(AG27,","))&amp;",",","&amp;SUBSTITUTE(input_area_of_focus," ","")&amp;",")))&gt;0)),IF(AI27="",TRUE,IF(input_area_of_focus="",FALSE,SUMPRODUCT(--ISNUMBER(SEARCH(","&amp;TRIM(TEXTSPLIT(AI27,","))&amp;",",","&amp;SUBSTITUTE(input_area_of_focus," ","")&amp;",")))=COUNTA(TEXTSPLIT(AI27,",")))),IF(AK27="",TRUE,IF(input_area_of_focus="",TRUE,SUMPRODUCT(--ISNUMBER(SEARCH(","&amp;TRIM(TEXTSPLIT(AK27,","))&amp;",",","&amp;SUBSTITUTE(input_area_of_focus," ","")&amp;",")))=0)),IF(AM27="",TRUE,IF(input_area_of_focus="",FALSE,SUMPRODUCT(--ISNUMBER(SEARCH(","&amp;TRIM(TEXTSPLIT(AM27,","))&amp;",",","&amp;SUBSTITUTE(input_area_of_focus," ","")&amp;",")))&gt;0)),IF(AO27="",TRUE,IF(input_area_of_focus="",FALSE,SUMPRODUCT(--ISNUMBER(SEARCH(","&amp;TRIM(TEXTSPLIT(AO27,","))&amp;",",","&amp;SUBSTITUTE(input_area_of_focus," ","")&amp;",")))=COUNTA(TEXTSPLIT(AO27,",")))))</f>
        <v/>
      </c>
      <c r="IW27" s="19">
        <f>AND(IF(AQ27="",TRUE,IF(input_audience="",FALSE,SUMPRODUCT(--ISNUMBER(SEARCH(","&amp;TRIM(TEXTSPLIT(AQ27,","))&amp;",",","&amp;SUBSTITUTE(input_audience," ","")&amp;",")))&gt;0)),IF(AS27="",TRUE,IF(input_audience="",FALSE,SUMPRODUCT(--ISNUMBER(SEARCH(","&amp;TRIM(TEXTSPLIT(AS27,","))&amp;",",","&amp;SUBSTITUTE(input_audience," ","")&amp;",")))=COUNTA(TEXTSPLIT(AS27,",")))),IF(AU27="",TRUE,IF(input_audience="",TRUE,SUMPRODUCT(--ISNUMBER(SEARCH(","&amp;TRIM(TEXTSPLIT(AU27,","))&amp;",",","&amp;SUBSTITUTE(input_audience," ","")&amp;",")))=0)),IF(AW27="",TRUE,IF(input_audience="",FALSE,SUMPRODUCT(--ISNUMBER(SEARCH(","&amp;TRIM(TEXTSPLIT(AW27,","))&amp;",",","&amp;SUBSTITUTE(input_audience," ","")&amp;",")))&gt;0)),IF(AY27="",TRUE,IF(input_audience="",FALSE,SUMPRODUCT(--ISNUMBER(SEARCH(","&amp;TRIM(TEXTSPLIT(AY27,","))&amp;",",","&amp;SUBSTITUTE(input_audience," ","")&amp;",")))=COUNTA(TEXTSPLIT(AY27,",")))))</f>
        <v/>
      </c>
      <c r="IX27" s="19">
        <f>AND(IF(BA27="",TRUE,IF(input_challenge_opportunities="",FALSE,SUMPRODUCT(--ISNUMBER(SEARCH(","&amp;TRIM(TEXTSPLIT(BA27,","))&amp;",",","&amp;SUBSTITUTE(input_challenge_opportunities," ","")&amp;",")))&gt;0)),IF(BC27="",TRUE,IF(input_challenge_opportunities="",FALSE,SUMPRODUCT(--ISNUMBER(SEARCH(","&amp;TRIM(TEXTSPLIT(BC27,","))&amp;",",","&amp;SUBSTITUTE(input_challenge_opportunities," ","")&amp;",")))=COUNTA(TEXTSPLIT(BC27,",")))),IF(BE27="",TRUE,IF(input_challenge_opportunities="",TRUE,SUMPRODUCT(--ISNUMBER(SEARCH(","&amp;TRIM(TEXTSPLIT(BE27,","))&amp;",",","&amp;SUBSTITUTE(input_challenge_opportunities," ","")&amp;",")))=0)),IF(BG27="",TRUE,IF(input_challenge_opportunities="",FALSE,SUMPRODUCT(--ISNUMBER(SEARCH(","&amp;TRIM(TEXTSPLIT(BG27,","))&amp;",",","&amp;SUBSTITUTE(input_challenge_opportunities," ","")&amp;",")))&gt;0)),IF(BI27="",TRUE,IF(input_challenge_opportunities="",FALSE,SUMPRODUCT(--ISNUMBER(SEARCH(","&amp;TRIM(TEXTSPLIT(BI27,","))&amp;",",","&amp;SUBSTITUTE(input_challenge_opportunities," ","")&amp;",")))=COUNTA(TEXTSPLIT(BI27,",")))))</f>
        <v/>
      </c>
      <c r="IY27" s="19">
        <f>AND(IF(BK27="",TRUE,IF(input_context="",FALSE,SUMPRODUCT(--ISNUMBER(SEARCH(","&amp;TRIM(TEXTSPLIT(BK27,","))&amp;",",","&amp;SUBSTITUTE(input_context," ","")&amp;",")))&gt;0)),IF(BM27="",TRUE,IF(input_context="",FALSE,SUMPRODUCT(--ISNUMBER(SEARCH(","&amp;TRIM(TEXTSPLIT(BM27,","))&amp;",",","&amp;SUBSTITUTE(input_context," ","")&amp;",")))=COUNTA(TEXTSPLIT(BM27,",")))),IF(BO27="",TRUE,IF(input_context="",TRUE,SUMPRODUCT(--ISNUMBER(SEARCH(","&amp;TRIM(TEXTSPLIT(BO27,","))&amp;",",","&amp;SUBSTITUTE(input_context," ","")&amp;",")))=0)),IF(BQ27="",TRUE,IF(input_context="",FALSE,SUMPRODUCT(--ISNUMBER(SEARCH(","&amp;TRIM(TEXTSPLIT(BQ27,","))&amp;",",","&amp;SUBSTITUTE(input_context," ","")&amp;",")))&gt;0)),IF(BS27="",TRUE,IF(input_context="",FALSE,SUMPRODUCT(--ISNUMBER(SEARCH(","&amp;TRIM(TEXTSPLIT(BS27,","))&amp;",",","&amp;SUBSTITUTE(input_context," ","")&amp;",")))=COUNTA(TEXTSPLIT(BS27,",")))))</f>
        <v/>
      </c>
      <c r="IZ27" s="19">
        <f>AND(IF(BU27="",TRUE,IF(input_enews_announcement_type="",FALSE,SUMPRODUCT(--ISNUMBER(SEARCH(","&amp;TRIM(TEXTSPLIT(BU27,","))&amp;",",","&amp;SUBSTITUTE(input_enews_announcement_type," ","")&amp;",")))&gt;0)),IF(BW27="",TRUE,IF(input_enews_announcement_type="",FALSE,SUMPRODUCT(--ISNUMBER(SEARCH(","&amp;TRIM(TEXTSPLIT(BW27,","))&amp;",",","&amp;SUBSTITUTE(input_enews_announcement_type," ","")&amp;",")))=COUNTA(TEXTSPLIT(BW27,",")))),IF(BY27="",TRUE,IF(input_enews_announcement_type="",TRUE,SUMPRODUCT(--ISNUMBER(SEARCH(","&amp;TRIM(TEXTSPLIT(BY27,","))&amp;",",","&amp;SUBSTITUTE(input_enews_announcement_type," ","")&amp;",")))=0)),IF(CA27="",TRUE,IF(input_enews_announcement_type="",FALSE,SUMPRODUCT(--ISNUMBER(SEARCH(","&amp;TRIM(TEXTSPLIT(CA27,","))&amp;",",","&amp;SUBSTITUTE(input_enews_announcement_type," ","")&amp;",")))&gt;0)),IF(CC27="",TRUE,IF(input_enews_announcement_type="",FALSE,SUMPRODUCT(--ISNUMBER(SEARCH(","&amp;TRIM(TEXTSPLIT(CC27,","))&amp;",",","&amp;SUBSTITUTE(input_enews_announcement_type," ","")&amp;",")))=COUNTA(TEXTSPLIT(CC27,",")))))</f>
        <v/>
      </c>
      <c r="JA27" s="19">
        <f>AND(IF(CE27="",TRUE,IF(input_enews_audience="",FALSE,SUMPRODUCT(--ISNUMBER(SEARCH(","&amp;TRIM(TEXTSPLIT(CE27,","))&amp;",",","&amp;SUBSTITUTE(input_enews_audience," ","")&amp;",")))&gt;0)),IF(CG27="",TRUE,IF(input_enews_audience="",FALSE,SUMPRODUCT(--ISNUMBER(SEARCH(","&amp;TRIM(TEXTSPLIT(CG27,","))&amp;",",","&amp;SUBSTITUTE(input_enews_audience," ","")&amp;",")))=COUNTA(TEXTSPLIT(CG27,",")))),IF(CI27="",TRUE,IF(input_enews_audience="",TRUE,SUMPRODUCT(--ISNUMBER(SEARCH(","&amp;TRIM(TEXTSPLIT(CI27,","))&amp;",",","&amp;SUBSTITUTE(input_enews_audience," ","")&amp;",")))=0)),IF(CK27="",TRUE,IF(input_enews_audience="",FALSE,SUMPRODUCT(--ISNUMBER(SEARCH(","&amp;TRIM(TEXTSPLIT(CK27,","))&amp;",",","&amp;SUBSTITUTE(input_enews_audience," ","")&amp;",")))&gt;0)),IF(CM27="",TRUE,IF(input_enews_audience="",FALSE,SUMPRODUCT(--ISNUMBER(SEARCH(","&amp;TRIM(TEXTSPLIT(CM27,","))&amp;",",","&amp;SUBSTITUTE(input_enews_audience," ","")&amp;",")))=COUNTA(TEXTSPLIT(CM27,",")))))</f>
        <v/>
      </c>
      <c r="JB27" s="19">
        <f>AND(IF(CO27="",TRUE,IF(input_event_location="",FALSE,SUMPRODUCT(--ISNUMBER(SEARCH(","&amp;TRIM(TEXTSPLIT(CO27,","))&amp;",",","&amp;SUBSTITUTE(input_event_location," ","")&amp;",")))&gt;0)),IF(CQ27="",TRUE,IF(input_event_location="",FALSE,SUMPRODUCT(--ISNUMBER(SEARCH(","&amp;TRIM(TEXTSPLIT(CQ27,","))&amp;",",","&amp;SUBSTITUTE(input_event_location," ","")&amp;",")))=COUNTA(TEXTSPLIT(CQ27,",")))),IF(CS27="",TRUE,IF(input_event_location="",TRUE,SUMPRODUCT(--ISNUMBER(SEARCH(","&amp;TRIM(TEXTSPLIT(CS27,","))&amp;",",","&amp;SUBSTITUTE(input_event_location," ","")&amp;",")))=0)),IF(CU27="",TRUE,IF(input_event_location="",FALSE,SUMPRODUCT(--ISNUMBER(SEARCH(","&amp;TRIM(TEXTSPLIT(CU27,","))&amp;",",","&amp;SUBSTITUTE(input_event_location," ","")&amp;",")))&gt;0)),IF(CW27="",TRUE,IF(input_event_location="",FALSE,SUMPRODUCT(--ISNUMBER(SEARCH(","&amp;TRIM(TEXTSPLIT(CW27,","))&amp;",",","&amp;SUBSTITUTE(input_event_location," ","")&amp;",")))=COUNTA(TEXTSPLIT(CW27,",")))))</f>
        <v/>
      </c>
      <c r="JC27" s="19">
        <f>AND(IF(CY27="",TRUE,IF(input_event_type="",FALSE,SUMPRODUCT(--ISNUMBER(SEARCH(","&amp;TRIM(TEXTSPLIT(CY27,","))&amp;",",","&amp;SUBSTITUTE(input_event_type," ","")&amp;",")))&gt;0)),IF(DA27="",TRUE,IF(input_event_type="",FALSE,SUMPRODUCT(--ISNUMBER(SEARCH(","&amp;TRIM(TEXTSPLIT(DA27,","))&amp;",",","&amp;SUBSTITUTE(input_event_type," ","")&amp;",")))=COUNTA(TEXTSPLIT(DA27,",")))),IF(DC27="",TRUE,IF(input_event_type="",TRUE,SUMPRODUCT(--ISNUMBER(SEARCH(","&amp;TRIM(TEXTSPLIT(DC27,","))&amp;",",","&amp;SUBSTITUTE(input_event_type," ","")&amp;",")))=0)),IF(DE27="",TRUE,IF(input_event_type="",FALSE,SUMPRODUCT(--ISNUMBER(SEARCH(","&amp;TRIM(TEXTSPLIT(DE27,","))&amp;",",","&amp;SUBSTITUTE(input_event_type," ","")&amp;",")))&gt;0)),IF(DG27="",TRUE,IF(input_event_type="",FALSE,SUMPRODUCT(--ISNUMBER(SEARCH(","&amp;TRIM(TEXTSPLIT(DG27,","))&amp;",",","&amp;SUBSTITUTE(input_event_type," ","")&amp;",")))=COUNTA(TEXTSPLIT(DG27,",")))))</f>
        <v/>
      </c>
      <c r="JD27" s="19">
        <f>AND(IF(DI27="",TRUE,IF(input_executive_education_focus="",FALSE,SUMPRODUCT(--ISNUMBER(SEARCH(","&amp;TRIM(TEXTSPLIT(DI27,","))&amp;",",","&amp;SUBSTITUTE(input_executive_education_focus," ","")&amp;",")))&gt;0)),IF(DK27="",TRUE,IF(input_executive_education_focus="",FALSE,SUMPRODUCT(--ISNUMBER(SEARCH(","&amp;TRIM(TEXTSPLIT(DK27,","))&amp;",",","&amp;SUBSTITUTE(input_executive_education_focus," ","")&amp;",")))=COUNTA(TEXTSPLIT(DK27,",")))),IF(DM27="",TRUE,IF(input_executive_education_focus="",TRUE,SUMPRODUCT(--ISNUMBER(SEARCH(","&amp;TRIM(TEXTSPLIT(DM27,","))&amp;",",","&amp;SUBSTITUTE(input_executive_education_focus," ","")&amp;",")))=0)),IF(DO27="",TRUE,IF(input_executive_education_focus="",FALSE,SUMPRODUCT(--ISNUMBER(SEARCH(","&amp;TRIM(TEXTSPLIT(DO27,","))&amp;",",","&amp;SUBSTITUTE(input_executive_education_focus," ","")&amp;",")))&gt;0)),IF(DQ27="",TRUE,IF(input_executive_education_focus="",FALSE,SUMPRODUCT(--ISNUMBER(SEARCH(","&amp;TRIM(TEXTSPLIT(DQ27,","))&amp;",",","&amp;SUBSTITUTE(input_executive_education_focus," ","")&amp;",")))=COUNTA(TEXTSPLIT(DQ27,",")))))</f>
        <v/>
      </c>
      <c r="JE27" s="19">
        <f>AND(IF(DS27="",TRUE,IF(input_faculty_category="",FALSE,SUMPRODUCT(--ISNUMBER(SEARCH(","&amp;TRIM(TEXTSPLIT(DS27,","))&amp;",",","&amp;SUBSTITUTE(input_faculty_category," ","")&amp;",")))&gt;0)),IF(DU27="",TRUE,IF(input_faculty_category="",FALSE,SUMPRODUCT(--ISNUMBER(SEARCH(","&amp;TRIM(TEXTSPLIT(DU27,","))&amp;",",","&amp;SUBSTITUTE(input_faculty_category," ","")&amp;",")))=COUNTA(TEXTSPLIT(DU27,",")))),IF(DW27="",TRUE,IF(input_faculty_category="",TRUE,SUMPRODUCT(--ISNUMBER(SEARCH(","&amp;TRIM(TEXTSPLIT(DW27,","))&amp;",",","&amp;SUBSTITUTE(input_faculty_category," ","")&amp;",")))=0)),IF(DY27="",TRUE,IF(input_faculty_category="",FALSE,SUMPRODUCT(--ISNUMBER(SEARCH(","&amp;TRIM(TEXTSPLIT(DY27,","))&amp;",",","&amp;SUBSTITUTE(input_faculty_category," ","")&amp;",")))&gt;0)),IF(EA27="",TRUE,IF(input_faculty_category="",FALSE,SUMPRODUCT(--ISNUMBER(SEARCH(","&amp;TRIM(TEXTSPLIT(EA27,","))&amp;",",","&amp;SUBSTITUTE(input_faculty_category," ","")&amp;",")))=COUNTA(TEXTSPLIT(EA27,",")))))</f>
        <v/>
      </c>
      <c r="JF27" s="19">
        <f>AND(IF(EC27="",TRUE,IF(input_faculty_discipline="",FALSE,SUMPRODUCT(--ISNUMBER(SEARCH(","&amp;TRIM(TEXTSPLIT(EC27,","))&amp;",",","&amp;SUBSTITUTE(input_faculty_discipline," ","")&amp;",")))&gt;0)),IF(EE27="",TRUE,IF(input_faculty_discipline="",FALSE,SUMPRODUCT(--ISNUMBER(SEARCH(","&amp;TRIM(TEXTSPLIT(EE27,","))&amp;",",","&amp;SUBSTITUTE(input_faculty_discipline," ","")&amp;",")))=COUNTA(TEXTSPLIT(EE27,",")))),IF(EG27="",TRUE,IF(input_faculty_discipline="",TRUE,SUMPRODUCT(--ISNUMBER(SEARCH(","&amp;TRIM(TEXTSPLIT(EG27,","))&amp;",",","&amp;SUBSTITUTE(input_faculty_discipline," ","")&amp;",")))=0)),IF(EI27="",TRUE,IF(input_faculty_discipline="",FALSE,SUMPRODUCT(--ISNUMBER(SEARCH(","&amp;TRIM(TEXTSPLIT(EI27,","))&amp;",",","&amp;SUBSTITUTE(input_faculty_discipline," ","")&amp;",")))&gt;0)),IF(EK27="",TRUE,IF(input_faculty_discipline="",FALSE,SUMPRODUCT(--ISNUMBER(SEARCH(","&amp;TRIM(TEXTSPLIT(EK27,","))&amp;",",","&amp;SUBSTITUTE(input_faculty_discipline," ","")&amp;",")))=COUNTA(TEXTSPLIT(EK27,",")))))</f>
        <v/>
      </c>
      <c r="JG27" s="19">
        <f>AND(IF(EM27="",TRUE,IF(input_faculty_expertise="",FALSE,SUMPRODUCT(--ISNUMBER(SEARCH(","&amp;TRIM(TEXTSPLIT(EM27,","))&amp;",",","&amp;SUBSTITUTE(input_faculty_expertise," ","")&amp;",")))&gt;0)),IF(EO27="",TRUE,IF(input_faculty_expertise="",FALSE,SUMPRODUCT(--ISNUMBER(SEARCH(","&amp;TRIM(TEXTSPLIT(EO27,","))&amp;",",","&amp;SUBSTITUTE(input_faculty_expertise," ","")&amp;",")))=COUNTA(TEXTSPLIT(EO27,",")))),IF(EQ27="",TRUE,IF(input_faculty_expertise="",TRUE,SUMPRODUCT(--ISNUMBER(SEARCH(","&amp;TRIM(TEXTSPLIT(EQ27,","))&amp;",",","&amp;SUBSTITUTE(input_faculty_expertise," ","")&amp;",")))=0)),IF(ES27="",TRUE,IF(input_faculty_expertise="",FALSE,SUMPRODUCT(--ISNUMBER(SEARCH(","&amp;TRIM(TEXTSPLIT(ES27,","))&amp;",",","&amp;SUBSTITUTE(input_faculty_expertise," ","")&amp;",")))&gt;0)),IF(EU27="",TRUE,IF(input_faculty_expertise="",FALSE,SUMPRODUCT(--ISNUMBER(SEARCH(","&amp;TRIM(TEXTSPLIT(EU27,","))&amp;",",","&amp;SUBSTITUTE(input_faculty_expertise," ","")&amp;",")))=COUNTA(TEXTSPLIT(EU27,",")))))</f>
        <v/>
      </c>
      <c r="JH27" s="19">
        <f>AND(IF(EW27="",TRUE,IF(input_global_network_school="",FALSE,SUMPRODUCT(--ISNUMBER(SEARCH(","&amp;TRIM(TEXTSPLIT(EW27,","))&amp;",",","&amp;SUBSTITUTE(input_global_network_school," ","")&amp;",")))&gt;0)),IF(EY27="",TRUE,IF(input_global_network_school="",FALSE,SUMPRODUCT(--ISNUMBER(SEARCH(","&amp;TRIM(TEXTSPLIT(EY27,","))&amp;",",","&amp;SUBSTITUTE(input_global_network_school," ","")&amp;",")))=COUNTA(TEXTSPLIT(EY27,",")))),IF(FA27="",TRUE,IF(input_global_network_school="",TRUE,SUMPRODUCT(--ISNUMBER(SEARCH(","&amp;TRIM(TEXTSPLIT(FA27,","))&amp;",",","&amp;SUBSTITUTE(input_global_network_school," ","")&amp;",")))=0)),IF(FC27="",TRUE,IF(input_global_network_school="",FALSE,SUMPRODUCT(--ISNUMBER(SEARCH(","&amp;TRIM(TEXTSPLIT(FC27,","))&amp;",",","&amp;SUBSTITUTE(input_global_network_school," ","")&amp;",")))&gt;0)),IF(FE27="",TRUE,IF(input_global_network_school="",FALSE,SUMPRODUCT(--ISNUMBER(SEARCH(","&amp;TRIM(TEXTSPLIT(FE27,","))&amp;",",","&amp;SUBSTITUTE(input_global_network_school," ","")&amp;",")))=COUNTA(TEXTSPLIT(FE27,",")))))</f>
        <v/>
      </c>
      <c r="JI27" s="19">
        <f>AND(IF(FG27="",TRUE,IF(input_industry="",FALSE,SUMPRODUCT(--ISNUMBER(SEARCH(","&amp;TRIM(TEXTSPLIT(FG27,","))&amp;",",","&amp;SUBSTITUTE(input_industry," ","")&amp;",")))&gt;0)),IF(FI27="",TRUE,IF(input_industry="",FALSE,SUMPRODUCT(--ISNUMBER(SEARCH(","&amp;TRIM(TEXTSPLIT(FI27,","))&amp;",",","&amp;SUBSTITUTE(input_industry," ","")&amp;",")))=COUNTA(TEXTSPLIT(FI27,",")))),IF(FK27="",TRUE,IF(input_industry="",TRUE,SUMPRODUCT(--ISNUMBER(SEARCH(","&amp;TRIM(TEXTSPLIT(FK27,","))&amp;",",","&amp;SUBSTITUTE(input_industry," ","")&amp;",")))=0)),IF(FM27="",TRUE,IF(input_industry="",FALSE,SUMPRODUCT(--ISNUMBER(SEARCH(","&amp;TRIM(TEXTSPLIT(FM27,","))&amp;",",","&amp;SUBSTITUTE(input_industry," ","")&amp;",")))&gt;0)),IF(FO27="",TRUE,IF(input_industry="",FALSE,SUMPRODUCT(--ISNUMBER(SEARCH(","&amp;TRIM(TEXTSPLIT(FO27,","))&amp;",",","&amp;SUBSTITUTE(input_industry," ","")&amp;",")))=COUNTA(TEXTSPLIT(FO27,",")))))</f>
        <v/>
      </c>
      <c r="JJ27" s="19">
        <f>AND(IF(FQ27="",TRUE,IF(input_location="",FALSE,SUMPRODUCT(--ISNUMBER(SEARCH(","&amp;TRIM(TEXTSPLIT(FQ27,","))&amp;",",","&amp;SUBSTITUTE(input_location," ","")&amp;",")))&gt;0)),IF(FS27="",TRUE,IF(input_location="",FALSE,SUMPRODUCT(--ISNUMBER(SEARCH(","&amp;TRIM(TEXTSPLIT(FS27,","))&amp;",",","&amp;SUBSTITUTE(input_location," ","")&amp;",")))=COUNTA(TEXTSPLIT(FS27,",")))),IF(FU27="",TRUE,IF(input_location="",TRUE,SUMPRODUCT(--ISNUMBER(SEARCH(","&amp;TRIM(TEXTSPLIT(FU27,","))&amp;",",","&amp;SUBSTITUTE(input_location," ","")&amp;",")))=0)),IF(FW27="",TRUE,IF(input_location="",FALSE,SUMPRODUCT(--ISNUMBER(SEARCH(","&amp;TRIM(TEXTSPLIT(FW27,","))&amp;",",","&amp;SUBSTITUTE(input_location," ","")&amp;",")))&gt;0)),IF(FY27="",TRUE,IF(input_location="",FALSE,SUMPRODUCT(--ISNUMBER(SEARCH(","&amp;TRIM(TEXTSPLIT(FY27,","))&amp;",",","&amp;SUBSTITUTE(input_location," ","")&amp;",")))=COUNTA(TEXTSPLIT(FY27,",")))))</f>
        <v/>
      </c>
      <c r="JK27" s="19">
        <f>AND(IF(GA27="",TRUE,IF(input_modality="",FALSE,SUMPRODUCT(--ISNUMBER(SEARCH(","&amp;TRIM(TEXTSPLIT(GA27,","))&amp;",",","&amp;SUBSTITUTE(input_modality," ","")&amp;",")))&gt;0)),IF(GC27="",TRUE,IF(input_modality="",FALSE,SUMPRODUCT(--ISNUMBER(SEARCH(","&amp;TRIM(TEXTSPLIT(GC27,","))&amp;",",","&amp;SUBSTITUTE(input_modality," ","")&amp;",")))=COUNTA(TEXTSPLIT(GC27,",")))),IF(GE27="",TRUE,IF(input_modality="",TRUE,SUMPRODUCT(--ISNUMBER(SEARCH(","&amp;TRIM(TEXTSPLIT(GE27,","))&amp;",",","&amp;SUBSTITUTE(input_modality," ","")&amp;",")))=0)),IF(GG27="",TRUE,IF(input_modality="",FALSE,SUMPRODUCT(--ISNUMBER(SEARCH(","&amp;TRIM(TEXTSPLIT(GG27,","))&amp;",",","&amp;SUBSTITUTE(input_modality," ","")&amp;",")))&gt;0)),IF(GI27="",TRUE,IF(input_modality="",FALSE,SUMPRODUCT(--ISNUMBER(SEARCH(","&amp;TRIM(TEXTSPLIT(GI27,","))&amp;",",","&amp;SUBSTITUTE(input_modality," ","")&amp;",")))=COUNTA(TEXTSPLIT(GI27,",")))))</f>
        <v/>
      </c>
      <c r="JL27" s="19">
        <f>AND(IF(GK27="",TRUE,IF(input_organizer="",FALSE,SUMPRODUCT(--ISNUMBER(SEARCH(","&amp;TRIM(TEXTSPLIT(GK27,","))&amp;",",","&amp;SUBSTITUTE(input_organizer," ","")&amp;",")))&gt;0)),IF(GM27="",TRUE,IF(input_organizer="",FALSE,SUMPRODUCT(--ISNUMBER(SEARCH(","&amp;TRIM(TEXTSPLIT(GM27,","))&amp;",",","&amp;SUBSTITUTE(input_organizer," ","")&amp;",")))=COUNTA(TEXTSPLIT(GM27,",")))),IF(GO27="",TRUE,IF(input_organizer="",TRUE,SUMPRODUCT(--ISNUMBER(SEARCH(","&amp;TRIM(TEXTSPLIT(GO27,","))&amp;",",","&amp;SUBSTITUTE(input_organizer," ","")&amp;",")))=0)),IF(GQ27="",TRUE,IF(input_organizer="",FALSE,SUMPRODUCT(--ISNUMBER(SEARCH(","&amp;TRIM(TEXTSPLIT(GQ27,","))&amp;",",","&amp;SUBSTITUTE(input_organizer," ","")&amp;",")))&gt;0)),IF(GS27="",TRUE,IF(input_organizer="",FALSE,SUMPRODUCT(--ISNUMBER(SEARCH(","&amp;TRIM(TEXTSPLIT(GS27,","))&amp;",",","&amp;SUBSTITUTE(input_organizer," ","")&amp;",")))=COUNTA(TEXTSPLIT(GS27,",")))))</f>
        <v/>
      </c>
      <c r="JM27" s="19">
        <f>AND(IF(GU27="",TRUE,IF(input_profile_type="",FALSE,SUMPRODUCT(--ISNUMBER(SEARCH(","&amp;TRIM(TEXTSPLIT(GU27,","))&amp;",",","&amp;SUBSTITUTE(input_profile_type," ","")&amp;",")))&gt;0)),IF(GW27="",TRUE,IF(input_profile_type="",FALSE,SUMPRODUCT(--ISNUMBER(SEARCH(","&amp;TRIM(TEXTSPLIT(GW27,","))&amp;",",","&amp;SUBSTITUTE(input_profile_type," ","")&amp;",")))=COUNTA(TEXTSPLIT(GW27,",")))),IF(GY27="",TRUE,IF(input_profile_type="",TRUE,SUMPRODUCT(--ISNUMBER(SEARCH(","&amp;TRIM(TEXTSPLIT(GY27,","))&amp;",",","&amp;SUBSTITUTE(input_profile_type," ","")&amp;",")))=0)),IF(HA27="",TRUE,IF(input_profile_type="",FALSE,SUMPRODUCT(--ISNUMBER(SEARCH(","&amp;TRIM(TEXTSPLIT(HA27,","))&amp;",",","&amp;SUBSTITUTE(input_profile_type," ","")&amp;",")))&gt;0)),IF(HC27="",TRUE,IF(input_profile_type="",FALSE,SUMPRODUCT(--ISNUMBER(SEARCH(","&amp;TRIM(TEXTSPLIT(HC27,","))&amp;",",","&amp;SUBSTITUTE(input_profile_type," ","")&amp;",")))=COUNTA(TEXTSPLIT(HC27,",")))))</f>
        <v/>
      </c>
      <c r="JN27" s="19">
        <f>AND(IF(HE27="",TRUE,IF(input_program="",FALSE,SUMPRODUCT(--ISNUMBER(SEARCH(","&amp;TRIM(TEXTSPLIT(HE27,","))&amp;",",","&amp;SUBSTITUTE(input_program," ","")&amp;",")))&gt;0)),IF(HG27="",TRUE,IF(input_program="",FALSE,SUMPRODUCT(--ISNUMBER(SEARCH(","&amp;TRIM(TEXTSPLIT(HG27,","))&amp;",",","&amp;SUBSTITUTE(input_program," ","")&amp;",")))=COUNTA(TEXTSPLIT(HG27,",")))),IF(HI27="",TRUE,IF(input_program="",TRUE,SUMPRODUCT(--ISNUMBER(SEARCH(","&amp;TRIM(TEXTSPLIT(HI27,","))&amp;",",","&amp;SUBSTITUTE(input_program," ","")&amp;",")))=0)),IF(HK27="",TRUE,IF(input_program="",FALSE,SUMPRODUCT(--ISNUMBER(SEARCH(","&amp;TRIM(TEXTSPLIT(HK27,","))&amp;",",","&amp;SUBSTITUTE(input_program," ","")&amp;",")))&gt;0)),IF(HM27="",TRUE,IF(input_program="",FALSE,SUMPRODUCT(--ISNUMBER(SEARCH(","&amp;TRIM(TEXTSPLIT(HM27,","))&amp;",",","&amp;SUBSTITUTE(input_program," ","")&amp;",")))=COUNTA(TEXTSPLIT(HM27,",")))))</f>
        <v/>
      </c>
      <c r="JO27" s="19">
        <f>AND(IF(HO27="",TRUE,IF(input_story_categories="",FALSE,SUMPRODUCT(--ISNUMBER(SEARCH(","&amp;TRIM(TEXTSPLIT(HO27,","))&amp;",",","&amp;SUBSTITUTE(input_story_categories," ","")&amp;",")))&gt;0)),IF(HQ27="",TRUE,IF(input_story_categories="",FALSE,SUMPRODUCT(--ISNUMBER(SEARCH(","&amp;TRIM(TEXTSPLIT(HQ27,","))&amp;",",","&amp;SUBSTITUTE(input_story_categories," ","")&amp;",")))=COUNTA(TEXTSPLIT(HQ27,",")))),IF(HS27="",TRUE,IF(input_story_categories="",TRUE,SUMPRODUCT(--ISNUMBER(SEARCH(","&amp;TRIM(TEXTSPLIT(HS27,","))&amp;",",","&amp;SUBSTITUTE(input_story_categories," ","")&amp;",")))=0)),IF(HU27="",TRUE,IF(input_story_categories="",FALSE,SUMPRODUCT(--ISNUMBER(SEARCH(","&amp;TRIM(TEXTSPLIT(HU27,","))&amp;",",","&amp;SUBSTITUTE(input_story_categories," ","")&amp;",")))&gt;0)),IF(HW27="",TRUE,IF(input_story_categories="",FALSE,SUMPRODUCT(--ISNUMBER(SEARCH(","&amp;TRIM(TEXTSPLIT(HW27,","))&amp;",",","&amp;SUBSTITUTE(input_story_categories," ","")&amp;",")))=COUNTA(TEXTSPLIT(HW27,",")))))</f>
        <v/>
      </c>
      <c r="JP27" s="19">
        <f>AND(IF(HY27="",TRUE,IF(input_story_type="",FALSE,SUMPRODUCT(--ISNUMBER(SEARCH(","&amp;TRIM(TEXTSPLIT(HY27,","))&amp;",",","&amp;SUBSTITUTE(input_story_type," ","")&amp;",")))&gt;0)),IF(IA27="",TRUE,IF(input_story_type="",FALSE,SUMPRODUCT(--ISNUMBER(SEARCH(","&amp;TRIM(TEXTSPLIT(IA27,","))&amp;",",","&amp;SUBSTITUTE(input_story_type," ","")&amp;",")))=COUNTA(TEXTSPLIT(IA27,",")))),IF(IC27="",TRUE,IF(input_story_type="",TRUE,SUMPRODUCT(--ISNUMBER(SEARCH(","&amp;TRIM(TEXTSPLIT(IC27,","))&amp;",",","&amp;SUBSTITUTE(input_story_type," ","")&amp;",")))=0)),IF(IE27="",TRUE,IF(input_story_type="",FALSE,SUMPRODUCT(--ISNUMBER(SEARCH(","&amp;TRIM(TEXTSPLIT(IE27,","))&amp;",",","&amp;SUBSTITUTE(input_story_type," ","")&amp;",")))&gt;0)),IF(IG27="",TRUE,IF(input_story_type="",FALSE,SUMPRODUCT(--ISNUMBER(SEARCH(","&amp;TRIM(TEXTSPLIT(IG27,","))&amp;",",","&amp;SUBSTITUTE(input_story_type," ","")&amp;",")))=COUNTA(TEXTSPLIT(IG27,",")))))</f>
        <v/>
      </c>
      <c r="JQ27" s="19">
        <f>AND(IF(II27="",TRUE,IF(input_topics="",FALSE,SUMPRODUCT(--ISNUMBER(SEARCH(","&amp;TRIM(TEXTSPLIT(II27,","))&amp;",",","&amp;SUBSTITUTE(input_topics," ","")&amp;",")))&gt;0)),IF(IK27="",TRUE,IF(input_topics="",FALSE,SUMPRODUCT(--ISNUMBER(SEARCH(","&amp;TRIM(TEXTSPLIT(IK27,","))&amp;",",","&amp;SUBSTITUTE(input_topics," ","")&amp;",")))=COUNTA(TEXTSPLIT(IK27,",")))),IF(IM27="",TRUE,IF(input_topics="",TRUE,SUMPRODUCT(--ISNUMBER(SEARCH(","&amp;TRIM(TEXTSPLIT(IM27,","))&amp;",",","&amp;SUBSTITUTE(input_topics," ","")&amp;",")))=0)),IF(IO27="",TRUE,IF(input_topics="",FALSE,SUMPRODUCT(--ISNUMBER(SEARCH(","&amp;TRIM(TEXTSPLIT(IO27,","))&amp;",",","&amp;SUBSTITUTE(input_topics," ","")&amp;",")))&gt;0)),IF(IQ27="",TRUE,IF(input_topics="",FALSE,SUMPRODUCT(--ISNUMBER(SEARCH(","&amp;TRIM(TEXTSPLIT(IQ27,","))&amp;",",","&amp;SUBSTITUTE(input_topics," ","")&amp;",")))=COUNTA(TEXTSPLIT(IQ27,",")))))</f>
        <v/>
      </c>
    </row>
    <row r="28">
      <c r="A28" s="24">
        <f>IF(NOT(IS28),"Excluded",IF(AND(IT28,IU28,IV28,IW28,IX28,IY28,IZ28,JA28,JB28,JC28,JD28,JE28,JF28,JG28,JH28,JI28,JJ28,JK28,JL28,JM28,JN28,JO28,JP28,JQ28),IF(I28&gt;0,"Eligible but limited","Will appear"),"Excluded"))</f>
        <v/>
      </c>
      <c r="B28" s="24" t="inlineStr">
        <is>
          <t>All Publications by Author</t>
        </is>
      </c>
      <c r="C28" s="27" t="inlineStr">
        <is>
          <t>/faculty-research/faculty-directory/gal-zauberman</t>
        </is>
      </c>
      <c r="D28" s="24" t="inlineStr">
        <is>
          <t>/faculty-research/faculty-directory/gal-zauberman</t>
        </is>
      </c>
      <c r="E28" s="24" t="n">
        <v>1</v>
      </c>
      <c r="F28" s="24" t="inlineStr">
        <is>
          <t>publications</t>
        </is>
      </c>
      <c r="G28" s="24" t="inlineStr">
        <is>
          <t>publication_teaser_list</t>
        </is>
      </c>
      <c r="H28" s="24" t="inlineStr">
        <is>
          <t>publication_teaser_list_all_by_author</t>
        </is>
      </c>
      <c r="I28" s="24" t="n"/>
      <c r="J28" s="24" t="inlineStr">
        <is>
          <t>View/config rules</t>
        </is>
      </c>
      <c r="K28" s="24" t="inlineStr">
        <is>
          <t>Page placement</t>
        </is>
      </c>
      <c r="L28" s="24" t="inlineStr">
        <is>
          <t>Content type: publications; Source: View/config rules</t>
        </is>
      </c>
      <c r="IS28" s="19">
        <f>IF(input_content_type="",FALSE,ISNUMBER(SEARCH(","&amp;LOWER(input_content_type)&amp;",",","&amp;LOWER(SUBSTITUTE(F28," ",""))&amp;",")))</f>
        <v/>
      </c>
      <c r="IT28" s="19">
        <f>AND(IF(M28="",TRUE,IF(input_affiliations="",FALSE,SUMPRODUCT(--ISNUMBER(SEARCH(","&amp;TRIM(TEXTSPLIT(M28,","))&amp;",",","&amp;SUBSTITUTE(input_affiliations," ","")&amp;",")))&gt;0)),IF(O28="",TRUE,IF(input_affiliations="",FALSE,SUMPRODUCT(--ISNUMBER(SEARCH(","&amp;TRIM(TEXTSPLIT(O28,","))&amp;",",","&amp;SUBSTITUTE(input_affiliations," ","")&amp;",")))=COUNTA(TEXTSPLIT(O28,",")))),IF(Q28="",TRUE,IF(input_affiliations="",TRUE,SUMPRODUCT(--ISNUMBER(SEARCH(","&amp;TRIM(TEXTSPLIT(Q28,","))&amp;",",","&amp;SUBSTITUTE(input_affiliations," ","")&amp;",")))=0)),IF(S28="",TRUE,IF(input_affiliations="",FALSE,SUMPRODUCT(--ISNUMBER(SEARCH(","&amp;TRIM(TEXTSPLIT(S28,","))&amp;",",","&amp;SUBSTITUTE(input_affiliations," ","")&amp;",")))&gt;0)),IF(U28="",TRUE,IF(input_affiliations="",FALSE,SUMPRODUCT(--ISNUMBER(SEARCH(","&amp;TRIM(TEXTSPLIT(U28,","))&amp;",",","&amp;SUBSTITUTE(input_affiliations," ","")&amp;",")))=COUNTA(TEXTSPLIT(U28,",")))))</f>
        <v/>
      </c>
      <c r="IU28" s="19">
        <f>AND(IF(W28="",TRUE,IF(input_announcement_category="",FALSE,SUMPRODUCT(--ISNUMBER(SEARCH(","&amp;TRIM(TEXTSPLIT(W28,","))&amp;",",","&amp;SUBSTITUTE(input_announcement_category," ","")&amp;",")))&gt;0)),IF(Y28="",TRUE,IF(input_announcement_category="",FALSE,SUMPRODUCT(--ISNUMBER(SEARCH(","&amp;TRIM(TEXTSPLIT(Y28,","))&amp;",",","&amp;SUBSTITUTE(input_announcement_category," ","")&amp;",")))=COUNTA(TEXTSPLIT(Y28,",")))),IF(AA28="",TRUE,IF(input_announcement_category="",TRUE,SUMPRODUCT(--ISNUMBER(SEARCH(","&amp;TRIM(TEXTSPLIT(AA28,","))&amp;",",","&amp;SUBSTITUTE(input_announcement_category," ","")&amp;",")))=0)),IF(AC28="",TRUE,IF(input_announcement_category="",FALSE,SUMPRODUCT(--ISNUMBER(SEARCH(","&amp;TRIM(TEXTSPLIT(AC28,","))&amp;",",","&amp;SUBSTITUTE(input_announcement_category," ","")&amp;",")))&gt;0)),IF(AE28="",TRUE,IF(input_announcement_category="",FALSE,SUMPRODUCT(--ISNUMBER(SEARCH(","&amp;TRIM(TEXTSPLIT(AE28,","))&amp;",",","&amp;SUBSTITUTE(input_announcement_category," ","")&amp;",")))=COUNTA(TEXTSPLIT(AE28,",")))))</f>
        <v/>
      </c>
      <c r="IV28" s="19">
        <f>AND(IF(AG28="",TRUE,IF(input_area_of_focus="",FALSE,SUMPRODUCT(--ISNUMBER(SEARCH(","&amp;TRIM(TEXTSPLIT(AG28,","))&amp;",",","&amp;SUBSTITUTE(input_area_of_focus," ","")&amp;",")))&gt;0)),IF(AI28="",TRUE,IF(input_area_of_focus="",FALSE,SUMPRODUCT(--ISNUMBER(SEARCH(","&amp;TRIM(TEXTSPLIT(AI28,","))&amp;",",","&amp;SUBSTITUTE(input_area_of_focus," ","")&amp;",")))=COUNTA(TEXTSPLIT(AI28,",")))),IF(AK28="",TRUE,IF(input_area_of_focus="",TRUE,SUMPRODUCT(--ISNUMBER(SEARCH(","&amp;TRIM(TEXTSPLIT(AK28,","))&amp;",",","&amp;SUBSTITUTE(input_area_of_focus," ","")&amp;",")))=0)),IF(AM28="",TRUE,IF(input_area_of_focus="",FALSE,SUMPRODUCT(--ISNUMBER(SEARCH(","&amp;TRIM(TEXTSPLIT(AM28,","))&amp;",",","&amp;SUBSTITUTE(input_area_of_focus," ","")&amp;",")))&gt;0)),IF(AO28="",TRUE,IF(input_area_of_focus="",FALSE,SUMPRODUCT(--ISNUMBER(SEARCH(","&amp;TRIM(TEXTSPLIT(AO28,","))&amp;",",","&amp;SUBSTITUTE(input_area_of_focus," ","")&amp;",")))=COUNTA(TEXTSPLIT(AO28,",")))))</f>
        <v/>
      </c>
      <c r="IW28" s="19">
        <f>AND(IF(AQ28="",TRUE,IF(input_audience="",FALSE,SUMPRODUCT(--ISNUMBER(SEARCH(","&amp;TRIM(TEXTSPLIT(AQ28,","))&amp;",",","&amp;SUBSTITUTE(input_audience," ","")&amp;",")))&gt;0)),IF(AS28="",TRUE,IF(input_audience="",FALSE,SUMPRODUCT(--ISNUMBER(SEARCH(","&amp;TRIM(TEXTSPLIT(AS28,","))&amp;",",","&amp;SUBSTITUTE(input_audience," ","")&amp;",")))=COUNTA(TEXTSPLIT(AS28,",")))),IF(AU28="",TRUE,IF(input_audience="",TRUE,SUMPRODUCT(--ISNUMBER(SEARCH(","&amp;TRIM(TEXTSPLIT(AU28,","))&amp;",",","&amp;SUBSTITUTE(input_audience," ","")&amp;",")))=0)),IF(AW28="",TRUE,IF(input_audience="",FALSE,SUMPRODUCT(--ISNUMBER(SEARCH(","&amp;TRIM(TEXTSPLIT(AW28,","))&amp;",",","&amp;SUBSTITUTE(input_audience," ","")&amp;",")))&gt;0)),IF(AY28="",TRUE,IF(input_audience="",FALSE,SUMPRODUCT(--ISNUMBER(SEARCH(","&amp;TRIM(TEXTSPLIT(AY28,","))&amp;",",","&amp;SUBSTITUTE(input_audience," ","")&amp;",")))=COUNTA(TEXTSPLIT(AY28,",")))))</f>
        <v/>
      </c>
      <c r="IX28" s="19">
        <f>AND(IF(BA28="",TRUE,IF(input_challenge_opportunities="",FALSE,SUMPRODUCT(--ISNUMBER(SEARCH(","&amp;TRIM(TEXTSPLIT(BA28,","))&amp;",",","&amp;SUBSTITUTE(input_challenge_opportunities," ","")&amp;",")))&gt;0)),IF(BC28="",TRUE,IF(input_challenge_opportunities="",FALSE,SUMPRODUCT(--ISNUMBER(SEARCH(","&amp;TRIM(TEXTSPLIT(BC28,","))&amp;",",","&amp;SUBSTITUTE(input_challenge_opportunities," ","")&amp;",")))=COUNTA(TEXTSPLIT(BC28,",")))),IF(BE28="",TRUE,IF(input_challenge_opportunities="",TRUE,SUMPRODUCT(--ISNUMBER(SEARCH(","&amp;TRIM(TEXTSPLIT(BE28,","))&amp;",",","&amp;SUBSTITUTE(input_challenge_opportunities," ","")&amp;",")))=0)),IF(BG28="",TRUE,IF(input_challenge_opportunities="",FALSE,SUMPRODUCT(--ISNUMBER(SEARCH(","&amp;TRIM(TEXTSPLIT(BG28,","))&amp;",",","&amp;SUBSTITUTE(input_challenge_opportunities," ","")&amp;",")))&gt;0)),IF(BI28="",TRUE,IF(input_challenge_opportunities="",FALSE,SUMPRODUCT(--ISNUMBER(SEARCH(","&amp;TRIM(TEXTSPLIT(BI28,","))&amp;",",","&amp;SUBSTITUTE(input_challenge_opportunities," ","")&amp;",")))=COUNTA(TEXTSPLIT(BI28,",")))))</f>
        <v/>
      </c>
      <c r="IY28" s="19">
        <f>AND(IF(BK28="",TRUE,IF(input_context="",FALSE,SUMPRODUCT(--ISNUMBER(SEARCH(","&amp;TRIM(TEXTSPLIT(BK28,","))&amp;",",","&amp;SUBSTITUTE(input_context," ","")&amp;",")))&gt;0)),IF(BM28="",TRUE,IF(input_context="",FALSE,SUMPRODUCT(--ISNUMBER(SEARCH(","&amp;TRIM(TEXTSPLIT(BM28,","))&amp;",",","&amp;SUBSTITUTE(input_context," ","")&amp;",")))=COUNTA(TEXTSPLIT(BM28,",")))),IF(BO28="",TRUE,IF(input_context="",TRUE,SUMPRODUCT(--ISNUMBER(SEARCH(","&amp;TRIM(TEXTSPLIT(BO28,","))&amp;",",","&amp;SUBSTITUTE(input_context," ","")&amp;",")))=0)),IF(BQ28="",TRUE,IF(input_context="",FALSE,SUMPRODUCT(--ISNUMBER(SEARCH(","&amp;TRIM(TEXTSPLIT(BQ28,","))&amp;",",","&amp;SUBSTITUTE(input_context," ","")&amp;",")))&gt;0)),IF(BS28="",TRUE,IF(input_context="",FALSE,SUMPRODUCT(--ISNUMBER(SEARCH(","&amp;TRIM(TEXTSPLIT(BS28,","))&amp;",",","&amp;SUBSTITUTE(input_context," ","")&amp;",")))=COUNTA(TEXTSPLIT(BS28,",")))))</f>
        <v/>
      </c>
      <c r="IZ28" s="19">
        <f>AND(IF(BU28="",TRUE,IF(input_enews_announcement_type="",FALSE,SUMPRODUCT(--ISNUMBER(SEARCH(","&amp;TRIM(TEXTSPLIT(BU28,","))&amp;",",","&amp;SUBSTITUTE(input_enews_announcement_type," ","")&amp;",")))&gt;0)),IF(BW28="",TRUE,IF(input_enews_announcement_type="",FALSE,SUMPRODUCT(--ISNUMBER(SEARCH(","&amp;TRIM(TEXTSPLIT(BW28,","))&amp;",",","&amp;SUBSTITUTE(input_enews_announcement_type," ","")&amp;",")))=COUNTA(TEXTSPLIT(BW28,",")))),IF(BY28="",TRUE,IF(input_enews_announcement_type="",TRUE,SUMPRODUCT(--ISNUMBER(SEARCH(","&amp;TRIM(TEXTSPLIT(BY28,","))&amp;",",","&amp;SUBSTITUTE(input_enews_announcement_type," ","")&amp;",")))=0)),IF(CA28="",TRUE,IF(input_enews_announcement_type="",FALSE,SUMPRODUCT(--ISNUMBER(SEARCH(","&amp;TRIM(TEXTSPLIT(CA28,","))&amp;",",","&amp;SUBSTITUTE(input_enews_announcement_type," ","")&amp;",")))&gt;0)),IF(CC28="",TRUE,IF(input_enews_announcement_type="",FALSE,SUMPRODUCT(--ISNUMBER(SEARCH(","&amp;TRIM(TEXTSPLIT(CC28,","))&amp;",",","&amp;SUBSTITUTE(input_enews_announcement_type," ","")&amp;",")))=COUNTA(TEXTSPLIT(CC28,",")))))</f>
        <v/>
      </c>
      <c r="JA28" s="19">
        <f>AND(IF(CE28="",TRUE,IF(input_enews_audience="",FALSE,SUMPRODUCT(--ISNUMBER(SEARCH(","&amp;TRIM(TEXTSPLIT(CE28,","))&amp;",",","&amp;SUBSTITUTE(input_enews_audience," ","")&amp;",")))&gt;0)),IF(CG28="",TRUE,IF(input_enews_audience="",FALSE,SUMPRODUCT(--ISNUMBER(SEARCH(","&amp;TRIM(TEXTSPLIT(CG28,","))&amp;",",","&amp;SUBSTITUTE(input_enews_audience," ","")&amp;",")))=COUNTA(TEXTSPLIT(CG28,",")))),IF(CI28="",TRUE,IF(input_enews_audience="",TRUE,SUMPRODUCT(--ISNUMBER(SEARCH(","&amp;TRIM(TEXTSPLIT(CI28,","))&amp;",",","&amp;SUBSTITUTE(input_enews_audience," ","")&amp;",")))=0)),IF(CK28="",TRUE,IF(input_enews_audience="",FALSE,SUMPRODUCT(--ISNUMBER(SEARCH(","&amp;TRIM(TEXTSPLIT(CK28,","))&amp;",",","&amp;SUBSTITUTE(input_enews_audience," ","")&amp;",")))&gt;0)),IF(CM28="",TRUE,IF(input_enews_audience="",FALSE,SUMPRODUCT(--ISNUMBER(SEARCH(","&amp;TRIM(TEXTSPLIT(CM28,","))&amp;",",","&amp;SUBSTITUTE(input_enews_audience," ","")&amp;",")))=COUNTA(TEXTSPLIT(CM28,",")))))</f>
        <v/>
      </c>
      <c r="JB28" s="19">
        <f>AND(IF(CO28="",TRUE,IF(input_event_location="",FALSE,SUMPRODUCT(--ISNUMBER(SEARCH(","&amp;TRIM(TEXTSPLIT(CO28,","))&amp;",",","&amp;SUBSTITUTE(input_event_location," ","")&amp;",")))&gt;0)),IF(CQ28="",TRUE,IF(input_event_location="",FALSE,SUMPRODUCT(--ISNUMBER(SEARCH(","&amp;TRIM(TEXTSPLIT(CQ28,","))&amp;",",","&amp;SUBSTITUTE(input_event_location," ","")&amp;",")))=COUNTA(TEXTSPLIT(CQ28,",")))),IF(CS28="",TRUE,IF(input_event_location="",TRUE,SUMPRODUCT(--ISNUMBER(SEARCH(","&amp;TRIM(TEXTSPLIT(CS28,","))&amp;",",","&amp;SUBSTITUTE(input_event_location," ","")&amp;",")))=0)),IF(CU28="",TRUE,IF(input_event_location="",FALSE,SUMPRODUCT(--ISNUMBER(SEARCH(","&amp;TRIM(TEXTSPLIT(CU28,","))&amp;",",","&amp;SUBSTITUTE(input_event_location," ","")&amp;",")))&gt;0)),IF(CW28="",TRUE,IF(input_event_location="",FALSE,SUMPRODUCT(--ISNUMBER(SEARCH(","&amp;TRIM(TEXTSPLIT(CW28,","))&amp;",",","&amp;SUBSTITUTE(input_event_location," ","")&amp;",")))=COUNTA(TEXTSPLIT(CW28,",")))))</f>
        <v/>
      </c>
      <c r="JC28" s="19">
        <f>AND(IF(CY28="",TRUE,IF(input_event_type="",FALSE,SUMPRODUCT(--ISNUMBER(SEARCH(","&amp;TRIM(TEXTSPLIT(CY28,","))&amp;",",","&amp;SUBSTITUTE(input_event_type," ","")&amp;",")))&gt;0)),IF(DA28="",TRUE,IF(input_event_type="",FALSE,SUMPRODUCT(--ISNUMBER(SEARCH(","&amp;TRIM(TEXTSPLIT(DA28,","))&amp;",",","&amp;SUBSTITUTE(input_event_type," ","")&amp;",")))=COUNTA(TEXTSPLIT(DA28,",")))),IF(DC28="",TRUE,IF(input_event_type="",TRUE,SUMPRODUCT(--ISNUMBER(SEARCH(","&amp;TRIM(TEXTSPLIT(DC28,","))&amp;",",","&amp;SUBSTITUTE(input_event_type," ","")&amp;",")))=0)),IF(DE28="",TRUE,IF(input_event_type="",FALSE,SUMPRODUCT(--ISNUMBER(SEARCH(","&amp;TRIM(TEXTSPLIT(DE28,","))&amp;",",","&amp;SUBSTITUTE(input_event_type," ","")&amp;",")))&gt;0)),IF(DG28="",TRUE,IF(input_event_type="",FALSE,SUMPRODUCT(--ISNUMBER(SEARCH(","&amp;TRIM(TEXTSPLIT(DG28,","))&amp;",",","&amp;SUBSTITUTE(input_event_type," ","")&amp;",")))=COUNTA(TEXTSPLIT(DG28,",")))))</f>
        <v/>
      </c>
      <c r="JD28" s="19">
        <f>AND(IF(DI28="",TRUE,IF(input_executive_education_focus="",FALSE,SUMPRODUCT(--ISNUMBER(SEARCH(","&amp;TRIM(TEXTSPLIT(DI28,","))&amp;",",","&amp;SUBSTITUTE(input_executive_education_focus," ","")&amp;",")))&gt;0)),IF(DK28="",TRUE,IF(input_executive_education_focus="",FALSE,SUMPRODUCT(--ISNUMBER(SEARCH(","&amp;TRIM(TEXTSPLIT(DK28,","))&amp;",",","&amp;SUBSTITUTE(input_executive_education_focus," ","")&amp;",")))=COUNTA(TEXTSPLIT(DK28,",")))),IF(DM28="",TRUE,IF(input_executive_education_focus="",TRUE,SUMPRODUCT(--ISNUMBER(SEARCH(","&amp;TRIM(TEXTSPLIT(DM28,","))&amp;",",","&amp;SUBSTITUTE(input_executive_education_focus," ","")&amp;",")))=0)),IF(DO28="",TRUE,IF(input_executive_education_focus="",FALSE,SUMPRODUCT(--ISNUMBER(SEARCH(","&amp;TRIM(TEXTSPLIT(DO28,","))&amp;",",","&amp;SUBSTITUTE(input_executive_education_focus," ","")&amp;",")))&gt;0)),IF(DQ28="",TRUE,IF(input_executive_education_focus="",FALSE,SUMPRODUCT(--ISNUMBER(SEARCH(","&amp;TRIM(TEXTSPLIT(DQ28,","))&amp;",",","&amp;SUBSTITUTE(input_executive_education_focus," ","")&amp;",")))=COUNTA(TEXTSPLIT(DQ28,",")))))</f>
        <v/>
      </c>
      <c r="JE28" s="19">
        <f>AND(IF(DS28="",TRUE,IF(input_faculty_category="",FALSE,SUMPRODUCT(--ISNUMBER(SEARCH(","&amp;TRIM(TEXTSPLIT(DS28,","))&amp;",",","&amp;SUBSTITUTE(input_faculty_category," ","")&amp;",")))&gt;0)),IF(DU28="",TRUE,IF(input_faculty_category="",FALSE,SUMPRODUCT(--ISNUMBER(SEARCH(","&amp;TRIM(TEXTSPLIT(DU28,","))&amp;",",","&amp;SUBSTITUTE(input_faculty_category," ","")&amp;",")))=COUNTA(TEXTSPLIT(DU28,",")))),IF(DW28="",TRUE,IF(input_faculty_category="",TRUE,SUMPRODUCT(--ISNUMBER(SEARCH(","&amp;TRIM(TEXTSPLIT(DW28,","))&amp;",",","&amp;SUBSTITUTE(input_faculty_category," ","")&amp;",")))=0)),IF(DY28="",TRUE,IF(input_faculty_category="",FALSE,SUMPRODUCT(--ISNUMBER(SEARCH(","&amp;TRIM(TEXTSPLIT(DY28,","))&amp;",",","&amp;SUBSTITUTE(input_faculty_category," ","")&amp;",")))&gt;0)),IF(EA28="",TRUE,IF(input_faculty_category="",FALSE,SUMPRODUCT(--ISNUMBER(SEARCH(","&amp;TRIM(TEXTSPLIT(EA28,","))&amp;",",","&amp;SUBSTITUTE(input_faculty_category," ","")&amp;",")))=COUNTA(TEXTSPLIT(EA28,",")))))</f>
        <v/>
      </c>
      <c r="JF28" s="19">
        <f>AND(IF(EC28="",TRUE,IF(input_faculty_discipline="",FALSE,SUMPRODUCT(--ISNUMBER(SEARCH(","&amp;TRIM(TEXTSPLIT(EC28,","))&amp;",",","&amp;SUBSTITUTE(input_faculty_discipline," ","")&amp;",")))&gt;0)),IF(EE28="",TRUE,IF(input_faculty_discipline="",FALSE,SUMPRODUCT(--ISNUMBER(SEARCH(","&amp;TRIM(TEXTSPLIT(EE28,","))&amp;",",","&amp;SUBSTITUTE(input_faculty_discipline," ","")&amp;",")))=COUNTA(TEXTSPLIT(EE28,",")))),IF(EG28="",TRUE,IF(input_faculty_discipline="",TRUE,SUMPRODUCT(--ISNUMBER(SEARCH(","&amp;TRIM(TEXTSPLIT(EG28,","))&amp;",",","&amp;SUBSTITUTE(input_faculty_discipline," ","")&amp;",")))=0)),IF(EI28="",TRUE,IF(input_faculty_discipline="",FALSE,SUMPRODUCT(--ISNUMBER(SEARCH(","&amp;TRIM(TEXTSPLIT(EI28,","))&amp;",",","&amp;SUBSTITUTE(input_faculty_discipline," ","")&amp;",")))&gt;0)),IF(EK28="",TRUE,IF(input_faculty_discipline="",FALSE,SUMPRODUCT(--ISNUMBER(SEARCH(","&amp;TRIM(TEXTSPLIT(EK28,","))&amp;",",","&amp;SUBSTITUTE(input_faculty_discipline," ","")&amp;",")))=COUNTA(TEXTSPLIT(EK28,",")))))</f>
        <v/>
      </c>
      <c r="JG28" s="19">
        <f>AND(IF(EM28="",TRUE,IF(input_faculty_expertise="",FALSE,SUMPRODUCT(--ISNUMBER(SEARCH(","&amp;TRIM(TEXTSPLIT(EM28,","))&amp;",",","&amp;SUBSTITUTE(input_faculty_expertise," ","")&amp;",")))&gt;0)),IF(EO28="",TRUE,IF(input_faculty_expertise="",FALSE,SUMPRODUCT(--ISNUMBER(SEARCH(","&amp;TRIM(TEXTSPLIT(EO28,","))&amp;",",","&amp;SUBSTITUTE(input_faculty_expertise," ","")&amp;",")))=COUNTA(TEXTSPLIT(EO28,",")))),IF(EQ28="",TRUE,IF(input_faculty_expertise="",TRUE,SUMPRODUCT(--ISNUMBER(SEARCH(","&amp;TRIM(TEXTSPLIT(EQ28,","))&amp;",",","&amp;SUBSTITUTE(input_faculty_expertise," ","")&amp;",")))=0)),IF(ES28="",TRUE,IF(input_faculty_expertise="",FALSE,SUMPRODUCT(--ISNUMBER(SEARCH(","&amp;TRIM(TEXTSPLIT(ES28,","))&amp;",",","&amp;SUBSTITUTE(input_faculty_expertise," ","")&amp;",")))&gt;0)),IF(EU28="",TRUE,IF(input_faculty_expertise="",FALSE,SUMPRODUCT(--ISNUMBER(SEARCH(","&amp;TRIM(TEXTSPLIT(EU28,","))&amp;",",","&amp;SUBSTITUTE(input_faculty_expertise," ","")&amp;",")))=COUNTA(TEXTSPLIT(EU28,",")))))</f>
        <v/>
      </c>
      <c r="JH28" s="19">
        <f>AND(IF(EW28="",TRUE,IF(input_global_network_school="",FALSE,SUMPRODUCT(--ISNUMBER(SEARCH(","&amp;TRIM(TEXTSPLIT(EW28,","))&amp;",",","&amp;SUBSTITUTE(input_global_network_school," ","")&amp;",")))&gt;0)),IF(EY28="",TRUE,IF(input_global_network_school="",FALSE,SUMPRODUCT(--ISNUMBER(SEARCH(","&amp;TRIM(TEXTSPLIT(EY28,","))&amp;",",","&amp;SUBSTITUTE(input_global_network_school," ","")&amp;",")))=COUNTA(TEXTSPLIT(EY28,",")))),IF(FA28="",TRUE,IF(input_global_network_school="",TRUE,SUMPRODUCT(--ISNUMBER(SEARCH(","&amp;TRIM(TEXTSPLIT(FA28,","))&amp;",",","&amp;SUBSTITUTE(input_global_network_school," ","")&amp;",")))=0)),IF(FC28="",TRUE,IF(input_global_network_school="",FALSE,SUMPRODUCT(--ISNUMBER(SEARCH(","&amp;TRIM(TEXTSPLIT(FC28,","))&amp;",",","&amp;SUBSTITUTE(input_global_network_school," ","")&amp;",")))&gt;0)),IF(FE28="",TRUE,IF(input_global_network_school="",FALSE,SUMPRODUCT(--ISNUMBER(SEARCH(","&amp;TRIM(TEXTSPLIT(FE28,","))&amp;",",","&amp;SUBSTITUTE(input_global_network_school," ","")&amp;",")))=COUNTA(TEXTSPLIT(FE28,",")))))</f>
        <v/>
      </c>
      <c r="JI28" s="19">
        <f>AND(IF(FG28="",TRUE,IF(input_industry="",FALSE,SUMPRODUCT(--ISNUMBER(SEARCH(","&amp;TRIM(TEXTSPLIT(FG28,","))&amp;",",","&amp;SUBSTITUTE(input_industry," ","")&amp;",")))&gt;0)),IF(FI28="",TRUE,IF(input_industry="",FALSE,SUMPRODUCT(--ISNUMBER(SEARCH(","&amp;TRIM(TEXTSPLIT(FI28,","))&amp;",",","&amp;SUBSTITUTE(input_industry," ","")&amp;",")))=COUNTA(TEXTSPLIT(FI28,",")))),IF(FK28="",TRUE,IF(input_industry="",TRUE,SUMPRODUCT(--ISNUMBER(SEARCH(","&amp;TRIM(TEXTSPLIT(FK28,","))&amp;",",","&amp;SUBSTITUTE(input_industry," ","")&amp;",")))=0)),IF(FM28="",TRUE,IF(input_industry="",FALSE,SUMPRODUCT(--ISNUMBER(SEARCH(","&amp;TRIM(TEXTSPLIT(FM28,","))&amp;",",","&amp;SUBSTITUTE(input_industry," ","")&amp;",")))&gt;0)),IF(FO28="",TRUE,IF(input_industry="",FALSE,SUMPRODUCT(--ISNUMBER(SEARCH(","&amp;TRIM(TEXTSPLIT(FO28,","))&amp;",",","&amp;SUBSTITUTE(input_industry," ","")&amp;",")))=COUNTA(TEXTSPLIT(FO28,",")))))</f>
        <v/>
      </c>
      <c r="JJ28" s="19">
        <f>AND(IF(FQ28="",TRUE,IF(input_location="",FALSE,SUMPRODUCT(--ISNUMBER(SEARCH(","&amp;TRIM(TEXTSPLIT(FQ28,","))&amp;",",","&amp;SUBSTITUTE(input_location," ","")&amp;",")))&gt;0)),IF(FS28="",TRUE,IF(input_location="",FALSE,SUMPRODUCT(--ISNUMBER(SEARCH(","&amp;TRIM(TEXTSPLIT(FS28,","))&amp;",",","&amp;SUBSTITUTE(input_location," ","")&amp;",")))=COUNTA(TEXTSPLIT(FS28,",")))),IF(FU28="",TRUE,IF(input_location="",TRUE,SUMPRODUCT(--ISNUMBER(SEARCH(","&amp;TRIM(TEXTSPLIT(FU28,","))&amp;",",","&amp;SUBSTITUTE(input_location," ","")&amp;",")))=0)),IF(FW28="",TRUE,IF(input_location="",FALSE,SUMPRODUCT(--ISNUMBER(SEARCH(","&amp;TRIM(TEXTSPLIT(FW28,","))&amp;",",","&amp;SUBSTITUTE(input_location," ","")&amp;",")))&gt;0)),IF(FY28="",TRUE,IF(input_location="",FALSE,SUMPRODUCT(--ISNUMBER(SEARCH(","&amp;TRIM(TEXTSPLIT(FY28,","))&amp;",",","&amp;SUBSTITUTE(input_location," ","")&amp;",")))=COUNTA(TEXTSPLIT(FY28,",")))))</f>
        <v/>
      </c>
      <c r="JK28" s="19">
        <f>AND(IF(GA28="",TRUE,IF(input_modality="",FALSE,SUMPRODUCT(--ISNUMBER(SEARCH(","&amp;TRIM(TEXTSPLIT(GA28,","))&amp;",",","&amp;SUBSTITUTE(input_modality," ","")&amp;",")))&gt;0)),IF(GC28="",TRUE,IF(input_modality="",FALSE,SUMPRODUCT(--ISNUMBER(SEARCH(","&amp;TRIM(TEXTSPLIT(GC28,","))&amp;",",","&amp;SUBSTITUTE(input_modality," ","")&amp;",")))=COUNTA(TEXTSPLIT(GC28,",")))),IF(GE28="",TRUE,IF(input_modality="",TRUE,SUMPRODUCT(--ISNUMBER(SEARCH(","&amp;TRIM(TEXTSPLIT(GE28,","))&amp;",",","&amp;SUBSTITUTE(input_modality," ","")&amp;",")))=0)),IF(GG28="",TRUE,IF(input_modality="",FALSE,SUMPRODUCT(--ISNUMBER(SEARCH(","&amp;TRIM(TEXTSPLIT(GG28,","))&amp;",",","&amp;SUBSTITUTE(input_modality," ","")&amp;",")))&gt;0)),IF(GI28="",TRUE,IF(input_modality="",FALSE,SUMPRODUCT(--ISNUMBER(SEARCH(","&amp;TRIM(TEXTSPLIT(GI28,","))&amp;",",","&amp;SUBSTITUTE(input_modality," ","")&amp;",")))=COUNTA(TEXTSPLIT(GI28,",")))))</f>
        <v/>
      </c>
      <c r="JL28" s="19">
        <f>AND(IF(GK28="",TRUE,IF(input_organizer="",FALSE,SUMPRODUCT(--ISNUMBER(SEARCH(","&amp;TRIM(TEXTSPLIT(GK28,","))&amp;",",","&amp;SUBSTITUTE(input_organizer," ","")&amp;",")))&gt;0)),IF(GM28="",TRUE,IF(input_organizer="",FALSE,SUMPRODUCT(--ISNUMBER(SEARCH(","&amp;TRIM(TEXTSPLIT(GM28,","))&amp;",",","&amp;SUBSTITUTE(input_organizer," ","")&amp;",")))=COUNTA(TEXTSPLIT(GM28,",")))),IF(GO28="",TRUE,IF(input_organizer="",TRUE,SUMPRODUCT(--ISNUMBER(SEARCH(","&amp;TRIM(TEXTSPLIT(GO28,","))&amp;",",","&amp;SUBSTITUTE(input_organizer," ","")&amp;",")))=0)),IF(GQ28="",TRUE,IF(input_organizer="",FALSE,SUMPRODUCT(--ISNUMBER(SEARCH(","&amp;TRIM(TEXTSPLIT(GQ28,","))&amp;",",","&amp;SUBSTITUTE(input_organizer," ","")&amp;",")))&gt;0)),IF(GS28="",TRUE,IF(input_organizer="",FALSE,SUMPRODUCT(--ISNUMBER(SEARCH(","&amp;TRIM(TEXTSPLIT(GS28,","))&amp;",",","&amp;SUBSTITUTE(input_organizer," ","")&amp;",")))=COUNTA(TEXTSPLIT(GS28,",")))))</f>
        <v/>
      </c>
      <c r="JM28" s="19">
        <f>AND(IF(GU28="",TRUE,IF(input_profile_type="",FALSE,SUMPRODUCT(--ISNUMBER(SEARCH(","&amp;TRIM(TEXTSPLIT(GU28,","))&amp;",",","&amp;SUBSTITUTE(input_profile_type," ","")&amp;",")))&gt;0)),IF(GW28="",TRUE,IF(input_profile_type="",FALSE,SUMPRODUCT(--ISNUMBER(SEARCH(","&amp;TRIM(TEXTSPLIT(GW28,","))&amp;",",","&amp;SUBSTITUTE(input_profile_type," ","")&amp;",")))=COUNTA(TEXTSPLIT(GW28,",")))),IF(GY28="",TRUE,IF(input_profile_type="",TRUE,SUMPRODUCT(--ISNUMBER(SEARCH(","&amp;TRIM(TEXTSPLIT(GY28,","))&amp;",",","&amp;SUBSTITUTE(input_profile_type," ","")&amp;",")))=0)),IF(HA28="",TRUE,IF(input_profile_type="",FALSE,SUMPRODUCT(--ISNUMBER(SEARCH(","&amp;TRIM(TEXTSPLIT(HA28,","))&amp;",",","&amp;SUBSTITUTE(input_profile_type," ","")&amp;",")))&gt;0)),IF(HC28="",TRUE,IF(input_profile_type="",FALSE,SUMPRODUCT(--ISNUMBER(SEARCH(","&amp;TRIM(TEXTSPLIT(HC28,","))&amp;",",","&amp;SUBSTITUTE(input_profile_type," ","")&amp;",")))=COUNTA(TEXTSPLIT(HC28,",")))))</f>
        <v/>
      </c>
      <c r="JN28" s="19">
        <f>AND(IF(HE28="",TRUE,IF(input_program="",FALSE,SUMPRODUCT(--ISNUMBER(SEARCH(","&amp;TRIM(TEXTSPLIT(HE28,","))&amp;",",","&amp;SUBSTITUTE(input_program," ","")&amp;",")))&gt;0)),IF(HG28="",TRUE,IF(input_program="",FALSE,SUMPRODUCT(--ISNUMBER(SEARCH(","&amp;TRIM(TEXTSPLIT(HG28,","))&amp;",",","&amp;SUBSTITUTE(input_program," ","")&amp;",")))=COUNTA(TEXTSPLIT(HG28,",")))),IF(HI28="",TRUE,IF(input_program="",TRUE,SUMPRODUCT(--ISNUMBER(SEARCH(","&amp;TRIM(TEXTSPLIT(HI28,","))&amp;",",","&amp;SUBSTITUTE(input_program," ","")&amp;",")))=0)),IF(HK28="",TRUE,IF(input_program="",FALSE,SUMPRODUCT(--ISNUMBER(SEARCH(","&amp;TRIM(TEXTSPLIT(HK28,","))&amp;",",","&amp;SUBSTITUTE(input_program," ","")&amp;",")))&gt;0)),IF(HM28="",TRUE,IF(input_program="",FALSE,SUMPRODUCT(--ISNUMBER(SEARCH(","&amp;TRIM(TEXTSPLIT(HM28,","))&amp;",",","&amp;SUBSTITUTE(input_program," ","")&amp;",")))=COUNTA(TEXTSPLIT(HM28,",")))))</f>
        <v/>
      </c>
      <c r="JO28" s="19">
        <f>AND(IF(HO28="",TRUE,IF(input_story_categories="",FALSE,SUMPRODUCT(--ISNUMBER(SEARCH(","&amp;TRIM(TEXTSPLIT(HO28,","))&amp;",",","&amp;SUBSTITUTE(input_story_categories," ","")&amp;",")))&gt;0)),IF(HQ28="",TRUE,IF(input_story_categories="",FALSE,SUMPRODUCT(--ISNUMBER(SEARCH(","&amp;TRIM(TEXTSPLIT(HQ28,","))&amp;",",","&amp;SUBSTITUTE(input_story_categories," ","")&amp;",")))=COUNTA(TEXTSPLIT(HQ28,",")))),IF(HS28="",TRUE,IF(input_story_categories="",TRUE,SUMPRODUCT(--ISNUMBER(SEARCH(","&amp;TRIM(TEXTSPLIT(HS28,","))&amp;",",","&amp;SUBSTITUTE(input_story_categories," ","")&amp;",")))=0)),IF(HU28="",TRUE,IF(input_story_categories="",FALSE,SUMPRODUCT(--ISNUMBER(SEARCH(","&amp;TRIM(TEXTSPLIT(HU28,","))&amp;",",","&amp;SUBSTITUTE(input_story_categories," ","")&amp;",")))&gt;0)),IF(HW28="",TRUE,IF(input_story_categories="",FALSE,SUMPRODUCT(--ISNUMBER(SEARCH(","&amp;TRIM(TEXTSPLIT(HW28,","))&amp;",",","&amp;SUBSTITUTE(input_story_categories," ","")&amp;",")))=COUNTA(TEXTSPLIT(HW28,",")))))</f>
        <v/>
      </c>
      <c r="JP28" s="19">
        <f>AND(IF(HY28="",TRUE,IF(input_story_type="",FALSE,SUMPRODUCT(--ISNUMBER(SEARCH(","&amp;TRIM(TEXTSPLIT(HY28,","))&amp;",",","&amp;SUBSTITUTE(input_story_type," ","")&amp;",")))&gt;0)),IF(IA28="",TRUE,IF(input_story_type="",FALSE,SUMPRODUCT(--ISNUMBER(SEARCH(","&amp;TRIM(TEXTSPLIT(IA28,","))&amp;",",","&amp;SUBSTITUTE(input_story_type," ","")&amp;",")))=COUNTA(TEXTSPLIT(IA28,",")))),IF(IC28="",TRUE,IF(input_story_type="",TRUE,SUMPRODUCT(--ISNUMBER(SEARCH(","&amp;TRIM(TEXTSPLIT(IC28,","))&amp;",",","&amp;SUBSTITUTE(input_story_type," ","")&amp;",")))=0)),IF(IE28="",TRUE,IF(input_story_type="",FALSE,SUMPRODUCT(--ISNUMBER(SEARCH(","&amp;TRIM(TEXTSPLIT(IE28,","))&amp;",",","&amp;SUBSTITUTE(input_story_type," ","")&amp;",")))&gt;0)),IF(IG28="",TRUE,IF(input_story_type="",FALSE,SUMPRODUCT(--ISNUMBER(SEARCH(","&amp;TRIM(TEXTSPLIT(IG28,","))&amp;",",","&amp;SUBSTITUTE(input_story_type," ","")&amp;",")))=COUNTA(TEXTSPLIT(IG28,",")))))</f>
        <v/>
      </c>
      <c r="JQ28" s="19">
        <f>AND(IF(II28="",TRUE,IF(input_topics="",FALSE,SUMPRODUCT(--ISNUMBER(SEARCH(","&amp;TRIM(TEXTSPLIT(II28,","))&amp;",",","&amp;SUBSTITUTE(input_topics," ","")&amp;",")))&gt;0)),IF(IK28="",TRUE,IF(input_topics="",FALSE,SUMPRODUCT(--ISNUMBER(SEARCH(","&amp;TRIM(TEXTSPLIT(IK28,","))&amp;",",","&amp;SUBSTITUTE(input_topics," ","")&amp;",")))=COUNTA(TEXTSPLIT(IK28,",")))),IF(IM28="",TRUE,IF(input_topics="",TRUE,SUMPRODUCT(--ISNUMBER(SEARCH(","&amp;TRIM(TEXTSPLIT(IM28,","))&amp;",",","&amp;SUBSTITUTE(input_topics," ","")&amp;",")))=0)),IF(IO28="",TRUE,IF(input_topics="",FALSE,SUMPRODUCT(--ISNUMBER(SEARCH(","&amp;TRIM(TEXTSPLIT(IO28,","))&amp;",",","&amp;SUBSTITUTE(input_topics," ","")&amp;",")))&gt;0)),IF(IQ28="",TRUE,IF(input_topics="",FALSE,SUMPRODUCT(--ISNUMBER(SEARCH(","&amp;TRIM(TEXTSPLIT(IQ28,","))&amp;",",","&amp;SUBSTITUTE(input_topics," ","")&amp;",")))=COUNTA(TEXTSPLIT(IQ28,",")))))</f>
        <v/>
      </c>
    </row>
    <row r="29">
      <c r="A29" s="24">
        <f>IF(NOT(IS29),"Excluded",IF(AND(IT29,IU29,IV29,IW29,IX29,IY29,IZ29,JA29,JB29,JC29,JD29,JE29,JF29,JG29,JH29,JI29,JJ29,JK29,JL29,JM29,JN29,JO29,JP29,JQ29),IF(I29&gt;0,"Eligible but limited","Will appear"),"Excluded"))</f>
        <v/>
      </c>
      <c r="B29" s="24" t="inlineStr">
        <is>
          <t>All Publications by Author</t>
        </is>
      </c>
      <c r="C29" s="27" t="inlineStr">
        <is>
          <t>/faculty-research/faculty-directory/heidi-brooks</t>
        </is>
      </c>
      <c r="D29" s="24" t="inlineStr">
        <is>
          <t>/faculty-research/faculty-directory/heidi-brooks</t>
        </is>
      </c>
      <c r="E29" s="24" t="n">
        <v>1</v>
      </c>
      <c r="F29" s="24" t="inlineStr">
        <is>
          <t>publications</t>
        </is>
      </c>
      <c r="G29" s="24" t="inlineStr">
        <is>
          <t>publication_teaser_list</t>
        </is>
      </c>
      <c r="H29" s="24" t="inlineStr">
        <is>
          <t>publication_teaser_list_all_by_author</t>
        </is>
      </c>
      <c r="I29" s="24" t="n"/>
      <c r="J29" s="24" t="inlineStr">
        <is>
          <t>View/config rules</t>
        </is>
      </c>
      <c r="K29" s="24" t="inlineStr">
        <is>
          <t>Page placement</t>
        </is>
      </c>
      <c r="L29" s="24" t="inlineStr">
        <is>
          <t>Content type: publications; Source: View/config rules</t>
        </is>
      </c>
      <c r="IS29" s="19">
        <f>IF(input_content_type="",FALSE,ISNUMBER(SEARCH(","&amp;LOWER(input_content_type)&amp;",",","&amp;LOWER(SUBSTITUTE(F29," ",""))&amp;",")))</f>
        <v/>
      </c>
      <c r="IT29" s="19">
        <f>AND(IF(M29="",TRUE,IF(input_affiliations="",FALSE,SUMPRODUCT(--ISNUMBER(SEARCH(","&amp;TRIM(TEXTSPLIT(M29,","))&amp;",",","&amp;SUBSTITUTE(input_affiliations," ","")&amp;",")))&gt;0)),IF(O29="",TRUE,IF(input_affiliations="",FALSE,SUMPRODUCT(--ISNUMBER(SEARCH(","&amp;TRIM(TEXTSPLIT(O29,","))&amp;",",","&amp;SUBSTITUTE(input_affiliations," ","")&amp;",")))=COUNTA(TEXTSPLIT(O29,",")))),IF(Q29="",TRUE,IF(input_affiliations="",TRUE,SUMPRODUCT(--ISNUMBER(SEARCH(","&amp;TRIM(TEXTSPLIT(Q29,","))&amp;",",","&amp;SUBSTITUTE(input_affiliations," ","")&amp;",")))=0)),IF(S29="",TRUE,IF(input_affiliations="",FALSE,SUMPRODUCT(--ISNUMBER(SEARCH(","&amp;TRIM(TEXTSPLIT(S29,","))&amp;",",","&amp;SUBSTITUTE(input_affiliations," ","")&amp;",")))&gt;0)),IF(U29="",TRUE,IF(input_affiliations="",FALSE,SUMPRODUCT(--ISNUMBER(SEARCH(","&amp;TRIM(TEXTSPLIT(U29,","))&amp;",",","&amp;SUBSTITUTE(input_affiliations," ","")&amp;",")))=COUNTA(TEXTSPLIT(U29,",")))))</f>
        <v/>
      </c>
      <c r="IU29" s="19">
        <f>AND(IF(W29="",TRUE,IF(input_announcement_category="",FALSE,SUMPRODUCT(--ISNUMBER(SEARCH(","&amp;TRIM(TEXTSPLIT(W29,","))&amp;",",","&amp;SUBSTITUTE(input_announcement_category," ","")&amp;",")))&gt;0)),IF(Y29="",TRUE,IF(input_announcement_category="",FALSE,SUMPRODUCT(--ISNUMBER(SEARCH(","&amp;TRIM(TEXTSPLIT(Y29,","))&amp;",",","&amp;SUBSTITUTE(input_announcement_category," ","")&amp;",")))=COUNTA(TEXTSPLIT(Y29,",")))),IF(AA29="",TRUE,IF(input_announcement_category="",TRUE,SUMPRODUCT(--ISNUMBER(SEARCH(","&amp;TRIM(TEXTSPLIT(AA29,","))&amp;",",","&amp;SUBSTITUTE(input_announcement_category," ","")&amp;",")))=0)),IF(AC29="",TRUE,IF(input_announcement_category="",FALSE,SUMPRODUCT(--ISNUMBER(SEARCH(","&amp;TRIM(TEXTSPLIT(AC29,","))&amp;",",","&amp;SUBSTITUTE(input_announcement_category," ","")&amp;",")))&gt;0)),IF(AE29="",TRUE,IF(input_announcement_category="",FALSE,SUMPRODUCT(--ISNUMBER(SEARCH(","&amp;TRIM(TEXTSPLIT(AE29,","))&amp;",",","&amp;SUBSTITUTE(input_announcement_category," ","")&amp;",")))=COUNTA(TEXTSPLIT(AE29,",")))))</f>
        <v/>
      </c>
      <c r="IV29" s="19">
        <f>AND(IF(AG29="",TRUE,IF(input_area_of_focus="",FALSE,SUMPRODUCT(--ISNUMBER(SEARCH(","&amp;TRIM(TEXTSPLIT(AG29,","))&amp;",",","&amp;SUBSTITUTE(input_area_of_focus," ","")&amp;",")))&gt;0)),IF(AI29="",TRUE,IF(input_area_of_focus="",FALSE,SUMPRODUCT(--ISNUMBER(SEARCH(","&amp;TRIM(TEXTSPLIT(AI29,","))&amp;",",","&amp;SUBSTITUTE(input_area_of_focus," ","")&amp;",")))=COUNTA(TEXTSPLIT(AI29,",")))),IF(AK29="",TRUE,IF(input_area_of_focus="",TRUE,SUMPRODUCT(--ISNUMBER(SEARCH(","&amp;TRIM(TEXTSPLIT(AK29,","))&amp;",",","&amp;SUBSTITUTE(input_area_of_focus," ","")&amp;",")))=0)),IF(AM29="",TRUE,IF(input_area_of_focus="",FALSE,SUMPRODUCT(--ISNUMBER(SEARCH(","&amp;TRIM(TEXTSPLIT(AM29,","))&amp;",",","&amp;SUBSTITUTE(input_area_of_focus," ","")&amp;",")))&gt;0)),IF(AO29="",TRUE,IF(input_area_of_focus="",FALSE,SUMPRODUCT(--ISNUMBER(SEARCH(","&amp;TRIM(TEXTSPLIT(AO29,","))&amp;",",","&amp;SUBSTITUTE(input_area_of_focus," ","")&amp;",")))=COUNTA(TEXTSPLIT(AO29,",")))))</f>
        <v/>
      </c>
      <c r="IW29" s="19">
        <f>AND(IF(AQ29="",TRUE,IF(input_audience="",FALSE,SUMPRODUCT(--ISNUMBER(SEARCH(","&amp;TRIM(TEXTSPLIT(AQ29,","))&amp;",",","&amp;SUBSTITUTE(input_audience," ","")&amp;",")))&gt;0)),IF(AS29="",TRUE,IF(input_audience="",FALSE,SUMPRODUCT(--ISNUMBER(SEARCH(","&amp;TRIM(TEXTSPLIT(AS29,","))&amp;",",","&amp;SUBSTITUTE(input_audience," ","")&amp;",")))=COUNTA(TEXTSPLIT(AS29,",")))),IF(AU29="",TRUE,IF(input_audience="",TRUE,SUMPRODUCT(--ISNUMBER(SEARCH(","&amp;TRIM(TEXTSPLIT(AU29,","))&amp;",",","&amp;SUBSTITUTE(input_audience," ","")&amp;",")))=0)),IF(AW29="",TRUE,IF(input_audience="",FALSE,SUMPRODUCT(--ISNUMBER(SEARCH(","&amp;TRIM(TEXTSPLIT(AW29,","))&amp;",",","&amp;SUBSTITUTE(input_audience," ","")&amp;",")))&gt;0)),IF(AY29="",TRUE,IF(input_audience="",FALSE,SUMPRODUCT(--ISNUMBER(SEARCH(","&amp;TRIM(TEXTSPLIT(AY29,","))&amp;",",","&amp;SUBSTITUTE(input_audience," ","")&amp;",")))=COUNTA(TEXTSPLIT(AY29,",")))))</f>
        <v/>
      </c>
      <c r="IX29" s="19">
        <f>AND(IF(BA29="",TRUE,IF(input_challenge_opportunities="",FALSE,SUMPRODUCT(--ISNUMBER(SEARCH(","&amp;TRIM(TEXTSPLIT(BA29,","))&amp;",",","&amp;SUBSTITUTE(input_challenge_opportunities," ","")&amp;",")))&gt;0)),IF(BC29="",TRUE,IF(input_challenge_opportunities="",FALSE,SUMPRODUCT(--ISNUMBER(SEARCH(","&amp;TRIM(TEXTSPLIT(BC29,","))&amp;",",","&amp;SUBSTITUTE(input_challenge_opportunities," ","")&amp;",")))=COUNTA(TEXTSPLIT(BC29,",")))),IF(BE29="",TRUE,IF(input_challenge_opportunities="",TRUE,SUMPRODUCT(--ISNUMBER(SEARCH(","&amp;TRIM(TEXTSPLIT(BE29,","))&amp;",",","&amp;SUBSTITUTE(input_challenge_opportunities," ","")&amp;",")))=0)),IF(BG29="",TRUE,IF(input_challenge_opportunities="",FALSE,SUMPRODUCT(--ISNUMBER(SEARCH(","&amp;TRIM(TEXTSPLIT(BG29,","))&amp;",",","&amp;SUBSTITUTE(input_challenge_opportunities," ","")&amp;",")))&gt;0)),IF(BI29="",TRUE,IF(input_challenge_opportunities="",FALSE,SUMPRODUCT(--ISNUMBER(SEARCH(","&amp;TRIM(TEXTSPLIT(BI29,","))&amp;",",","&amp;SUBSTITUTE(input_challenge_opportunities," ","")&amp;",")))=COUNTA(TEXTSPLIT(BI29,",")))))</f>
        <v/>
      </c>
      <c r="IY29" s="19">
        <f>AND(IF(BK29="",TRUE,IF(input_context="",FALSE,SUMPRODUCT(--ISNUMBER(SEARCH(","&amp;TRIM(TEXTSPLIT(BK29,","))&amp;",",","&amp;SUBSTITUTE(input_context," ","")&amp;",")))&gt;0)),IF(BM29="",TRUE,IF(input_context="",FALSE,SUMPRODUCT(--ISNUMBER(SEARCH(","&amp;TRIM(TEXTSPLIT(BM29,","))&amp;",",","&amp;SUBSTITUTE(input_context," ","")&amp;",")))=COUNTA(TEXTSPLIT(BM29,",")))),IF(BO29="",TRUE,IF(input_context="",TRUE,SUMPRODUCT(--ISNUMBER(SEARCH(","&amp;TRIM(TEXTSPLIT(BO29,","))&amp;",",","&amp;SUBSTITUTE(input_context," ","")&amp;",")))=0)),IF(BQ29="",TRUE,IF(input_context="",FALSE,SUMPRODUCT(--ISNUMBER(SEARCH(","&amp;TRIM(TEXTSPLIT(BQ29,","))&amp;",",","&amp;SUBSTITUTE(input_context," ","")&amp;",")))&gt;0)),IF(BS29="",TRUE,IF(input_context="",FALSE,SUMPRODUCT(--ISNUMBER(SEARCH(","&amp;TRIM(TEXTSPLIT(BS29,","))&amp;",",","&amp;SUBSTITUTE(input_context," ","")&amp;",")))=COUNTA(TEXTSPLIT(BS29,",")))))</f>
        <v/>
      </c>
      <c r="IZ29" s="19">
        <f>AND(IF(BU29="",TRUE,IF(input_enews_announcement_type="",FALSE,SUMPRODUCT(--ISNUMBER(SEARCH(","&amp;TRIM(TEXTSPLIT(BU29,","))&amp;",",","&amp;SUBSTITUTE(input_enews_announcement_type," ","")&amp;",")))&gt;0)),IF(BW29="",TRUE,IF(input_enews_announcement_type="",FALSE,SUMPRODUCT(--ISNUMBER(SEARCH(","&amp;TRIM(TEXTSPLIT(BW29,","))&amp;",",","&amp;SUBSTITUTE(input_enews_announcement_type," ","")&amp;",")))=COUNTA(TEXTSPLIT(BW29,",")))),IF(BY29="",TRUE,IF(input_enews_announcement_type="",TRUE,SUMPRODUCT(--ISNUMBER(SEARCH(","&amp;TRIM(TEXTSPLIT(BY29,","))&amp;",",","&amp;SUBSTITUTE(input_enews_announcement_type," ","")&amp;",")))=0)),IF(CA29="",TRUE,IF(input_enews_announcement_type="",FALSE,SUMPRODUCT(--ISNUMBER(SEARCH(","&amp;TRIM(TEXTSPLIT(CA29,","))&amp;",",","&amp;SUBSTITUTE(input_enews_announcement_type," ","")&amp;",")))&gt;0)),IF(CC29="",TRUE,IF(input_enews_announcement_type="",FALSE,SUMPRODUCT(--ISNUMBER(SEARCH(","&amp;TRIM(TEXTSPLIT(CC29,","))&amp;",",","&amp;SUBSTITUTE(input_enews_announcement_type," ","")&amp;",")))=COUNTA(TEXTSPLIT(CC29,",")))))</f>
        <v/>
      </c>
      <c r="JA29" s="19">
        <f>AND(IF(CE29="",TRUE,IF(input_enews_audience="",FALSE,SUMPRODUCT(--ISNUMBER(SEARCH(","&amp;TRIM(TEXTSPLIT(CE29,","))&amp;",",","&amp;SUBSTITUTE(input_enews_audience," ","")&amp;",")))&gt;0)),IF(CG29="",TRUE,IF(input_enews_audience="",FALSE,SUMPRODUCT(--ISNUMBER(SEARCH(","&amp;TRIM(TEXTSPLIT(CG29,","))&amp;",",","&amp;SUBSTITUTE(input_enews_audience," ","")&amp;",")))=COUNTA(TEXTSPLIT(CG29,",")))),IF(CI29="",TRUE,IF(input_enews_audience="",TRUE,SUMPRODUCT(--ISNUMBER(SEARCH(","&amp;TRIM(TEXTSPLIT(CI29,","))&amp;",",","&amp;SUBSTITUTE(input_enews_audience," ","")&amp;",")))=0)),IF(CK29="",TRUE,IF(input_enews_audience="",FALSE,SUMPRODUCT(--ISNUMBER(SEARCH(","&amp;TRIM(TEXTSPLIT(CK29,","))&amp;",",","&amp;SUBSTITUTE(input_enews_audience," ","")&amp;",")))&gt;0)),IF(CM29="",TRUE,IF(input_enews_audience="",FALSE,SUMPRODUCT(--ISNUMBER(SEARCH(","&amp;TRIM(TEXTSPLIT(CM29,","))&amp;",",","&amp;SUBSTITUTE(input_enews_audience," ","")&amp;",")))=COUNTA(TEXTSPLIT(CM29,",")))))</f>
        <v/>
      </c>
      <c r="JB29" s="19">
        <f>AND(IF(CO29="",TRUE,IF(input_event_location="",FALSE,SUMPRODUCT(--ISNUMBER(SEARCH(","&amp;TRIM(TEXTSPLIT(CO29,","))&amp;",",","&amp;SUBSTITUTE(input_event_location," ","")&amp;",")))&gt;0)),IF(CQ29="",TRUE,IF(input_event_location="",FALSE,SUMPRODUCT(--ISNUMBER(SEARCH(","&amp;TRIM(TEXTSPLIT(CQ29,","))&amp;",",","&amp;SUBSTITUTE(input_event_location," ","")&amp;",")))=COUNTA(TEXTSPLIT(CQ29,",")))),IF(CS29="",TRUE,IF(input_event_location="",TRUE,SUMPRODUCT(--ISNUMBER(SEARCH(","&amp;TRIM(TEXTSPLIT(CS29,","))&amp;",",","&amp;SUBSTITUTE(input_event_location," ","")&amp;",")))=0)),IF(CU29="",TRUE,IF(input_event_location="",FALSE,SUMPRODUCT(--ISNUMBER(SEARCH(","&amp;TRIM(TEXTSPLIT(CU29,","))&amp;",",","&amp;SUBSTITUTE(input_event_location," ","")&amp;",")))&gt;0)),IF(CW29="",TRUE,IF(input_event_location="",FALSE,SUMPRODUCT(--ISNUMBER(SEARCH(","&amp;TRIM(TEXTSPLIT(CW29,","))&amp;",",","&amp;SUBSTITUTE(input_event_location," ","")&amp;",")))=COUNTA(TEXTSPLIT(CW29,",")))))</f>
        <v/>
      </c>
      <c r="JC29" s="19">
        <f>AND(IF(CY29="",TRUE,IF(input_event_type="",FALSE,SUMPRODUCT(--ISNUMBER(SEARCH(","&amp;TRIM(TEXTSPLIT(CY29,","))&amp;",",","&amp;SUBSTITUTE(input_event_type," ","")&amp;",")))&gt;0)),IF(DA29="",TRUE,IF(input_event_type="",FALSE,SUMPRODUCT(--ISNUMBER(SEARCH(","&amp;TRIM(TEXTSPLIT(DA29,","))&amp;",",","&amp;SUBSTITUTE(input_event_type," ","")&amp;",")))=COUNTA(TEXTSPLIT(DA29,",")))),IF(DC29="",TRUE,IF(input_event_type="",TRUE,SUMPRODUCT(--ISNUMBER(SEARCH(","&amp;TRIM(TEXTSPLIT(DC29,","))&amp;",",","&amp;SUBSTITUTE(input_event_type," ","")&amp;",")))=0)),IF(DE29="",TRUE,IF(input_event_type="",FALSE,SUMPRODUCT(--ISNUMBER(SEARCH(","&amp;TRIM(TEXTSPLIT(DE29,","))&amp;",",","&amp;SUBSTITUTE(input_event_type," ","")&amp;",")))&gt;0)),IF(DG29="",TRUE,IF(input_event_type="",FALSE,SUMPRODUCT(--ISNUMBER(SEARCH(","&amp;TRIM(TEXTSPLIT(DG29,","))&amp;",",","&amp;SUBSTITUTE(input_event_type," ","")&amp;",")))=COUNTA(TEXTSPLIT(DG29,",")))))</f>
        <v/>
      </c>
      <c r="JD29" s="19">
        <f>AND(IF(DI29="",TRUE,IF(input_executive_education_focus="",FALSE,SUMPRODUCT(--ISNUMBER(SEARCH(","&amp;TRIM(TEXTSPLIT(DI29,","))&amp;",",","&amp;SUBSTITUTE(input_executive_education_focus," ","")&amp;",")))&gt;0)),IF(DK29="",TRUE,IF(input_executive_education_focus="",FALSE,SUMPRODUCT(--ISNUMBER(SEARCH(","&amp;TRIM(TEXTSPLIT(DK29,","))&amp;",",","&amp;SUBSTITUTE(input_executive_education_focus," ","")&amp;",")))=COUNTA(TEXTSPLIT(DK29,",")))),IF(DM29="",TRUE,IF(input_executive_education_focus="",TRUE,SUMPRODUCT(--ISNUMBER(SEARCH(","&amp;TRIM(TEXTSPLIT(DM29,","))&amp;",",","&amp;SUBSTITUTE(input_executive_education_focus," ","")&amp;",")))=0)),IF(DO29="",TRUE,IF(input_executive_education_focus="",FALSE,SUMPRODUCT(--ISNUMBER(SEARCH(","&amp;TRIM(TEXTSPLIT(DO29,","))&amp;",",","&amp;SUBSTITUTE(input_executive_education_focus," ","")&amp;",")))&gt;0)),IF(DQ29="",TRUE,IF(input_executive_education_focus="",FALSE,SUMPRODUCT(--ISNUMBER(SEARCH(","&amp;TRIM(TEXTSPLIT(DQ29,","))&amp;",",","&amp;SUBSTITUTE(input_executive_education_focus," ","")&amp;",")))=COUNTA(TEXTSPLIT(DQ29,",")))))</f>
        <v/>
      </c>
      <c r="JE29" s="19">
        <f>AND(IF(DS29="",TRUE,IF(input_faculty_category="",FALSE,SUMPRODUCT(--ISNUMBER(SEARCH(","&amp;TRIM(TEXTSPLIT(DS29,","))&amp;",",","&amp;SUBSTITUTE(input_faculty_category," ","")&amp;",")))&gt;0)),IF(DU29="",TRUE,IF(input_faculty_category="",FALSE,SUMPRODUCT(--ISNUMBER(SEARCH(","&amp;TRIM(TEXTSPLIT(DU29,","))&amp;",",","&amp;SUBSTITUTE(input_faculty_category," ","")&amp;",")))=COUNTA(TEXTSPLIT(DU29,",")))),IF(DW29="",TRUE,IF(input_faculty_category="",TRUE,SUMPRODUCT(--ISNUMBER(SEARCH(","&amp;TRIM(TEXTSPLIT(DW29,","))&amp;",",","&amp;SUBSTITUTE(input_faculty_category," ","")&amp;",")))=0)),IF(DY29="",TRUE,IF(input_faculty_category="",FALSE,SUMPRODUCT(--ISNUMBER(SEARCH(","&amp;TRIM(TEXTSPLIT(DY29,","))&amp;",",","&amp;SUBSTITUTE(input_faculty_category," ","")&amp;",")))&gt;0)),IF(EA29="",TRUE,IF(input_faculty_category="",FALSE,SUMPRODUCT(--ISNUMBER(SEARCH(","&amp;TRIM(TEXTSPLIT(EA29,","))&amp;",",","&amp;SUBSTITUTE(input_faculty_category," ","")&amp;",")))=COUNTA(TEXTSPLIT(EA29,",")))))</f>
        <v/>
      </c>
      <c r="JF29" s="19">
        <f>AND(IF(EC29="",TRUE,IF(input_faculty_discipline="",FALSE,SUMPRODUCT(--ISNUMBER(SEARCH(","&amp;TRIM(TEXTSPLIT(EC29,","))&amp;",",","&amp;SUBSTITUTE(input_faculty_discipline," ","")&amp;",")))&gt;0)),IF(EE29="",TRUE,IF(input_faculty_discipline="",FALSE,SUMPRODUCT(--ISNUMBER(SEARCH(","&amp;TRIM(TEXTSPLIT(EE29,","))&amp;",",","&amp;SUBSTITUTE(input_faculty_discipline," ","")&amp;",")))=COUNTA(TEXTSPLIT(EE29,",")))),IF(EG29="",TRUE,IF(input_faculty_discipline="",TRUE,SUMPRODUCT(--ISNUMBER(SEARCH(","&amp;TRIM(TEXTSPLIT(EG29,","))&amp;",",","&amp;SUBSTITUTE(input_faculty_discipline," ","")&amp;",")))=0)),IF(EI29="",TRUE,IF(input_faculty_discipline="",FALSE,SUMPRODUCT(--ISNUMBER(SEARCH(","&amp;TRIM(TEXTSPLIT(EI29,","))&amp;",",","&amp;SUBSTITUTE(input_faculty_discipline," ","")&amp;",")))&gt;0)),IF(EK29="",TRUE,IF(input_faculty_discipline="",FALSE,SUMPRODUCT(--ISNUMBER(SEARCH(","&amp;TRIM(TEXTSPLIT(EK29,","))&amp;",",","&amp;SUBSTITUTE(input_faculty_discipline," ","")&amp;",")))=COUNTA(TEXTSPLIT(EK29,",")))))</f>
        <v/>
      </c>
      <c r="JG29" s="19">
        <f>AND(IF(EM29="",TRUE,IF(input_faculty_expertise="",FALSE,SUMPRODUCT(--ISNUMBER(SEARCH(","&amp;TRIM(TEXTSPLIT(EM29,","))&amp;",",","&amp;SUBSTITUTE(input_faculty_expertise," ","")&amp;",")))&gt;0)),IF(EO29="",TRUE,IF(input_faculty_expertise="",FALSE,SUMPRODUCT(--ISNUMBER(SEARCH(","&amp;TRIM(TEXTSPLIT(EO29,","))&amp;",",","&amp;SUBSTITUTE(input_faculty_expertise," ","")&amp;",")))=COUNTA(TEXTSPLIT(EO29,",")))),IF(EQ29="",TRUE,IF(input_faculty_expertise="",TRUE,SUMPRODUCT(--ISNUMBER(SEARCH(","&amp;TRIM(TEXTSPLIT(EQ29,","))&amp;",",","&amp;SUBSTITUTE(input_faculty_expertise," ","")&amp;",")))=0)),IF(ES29="",TRUE,IF(input_faculty_expertise="",FALSE,SUMPRODUCT(--ISNUMBER(SEARCH(","&amp;TRIM(TEXTSPLIT(ES29,","))&amp;",",","&amp;SUBSTITUTE(input_faculty_expertise," ","")&amp;",")))&gt;0)),IF(EU29="",TRUE,IF(input_faculty_expertise="",FALSE,SUMPRODUCT(--ISNUMBER(SEARCH(","&amp;TRIM(TEXTSPLIT(EU29,","))&amp;",",","&amp;SUBSTITUTE(input_faculty_expertise," ","")&amp;",")))=COUNTA(TEXTSPLIT(EU29,",")))))</f>
        <v/>
      </c>
      <c r="JH29" s="19">
        <f>AND(IF(EW29="",TRUE,IF(input_global_network_school="",FALSE,SUMPRODUCT(--ISNUMBER(SEARCH(","&amp;TRIM(TEXTSPLIT(EW29,","))&amp;",",","&amp;SUBSTITUTE(input_global_network_school," ","")&amp;",")))&gt;0)),IF(EY29="",TRUE,IF(input_global_network_school="",FALSE,SUMPRODUCT(--ISNUMBER(SEARCH(","&amp;TRIM(TEXTSPLIT(EY29,","))&amp;",",","&amp;SUBSTITUTE(input_global_network_school," ","")&amp;",")))=COUNTA(TEXTSPLIT(EY29,",")))),IF(FA29="",TRUE,IF(input_global_network_school="",TRUE,SUMPRODUCT(--ISNUMBER(SEARCH(","&amp;TRIM(TEXTSPLIT(FA29,","))&amp;",",","&amp;SUBSTITUTE(input_global_network_school," ","")&amp;",")))=0)),IF(FC29="",TRUE,IF(input_global_network_school="",FALSE,SUMPRODUCT(--ISNUMBER(SEARCH(","&amp;TRIM(TEXTSPLIT(FC29,","))&amp;",",","&amp;SUBSTITUTE(input_global_network_school," ","")&amp;",")))&gt;0)),IF(FE29="",TRUE,IF(input_global_network_school="",FALSE,SUMPRODUCT(--ISNUMBER(SEARCH(","&amp;TRIM(TEXTSPLIT(FE29,","))&amp;",",","&amp;SUBSTITUTE(input_global_network_school," ","")&amp;",")))=COUNTA(TEXTSPLIT(FE29,",")))))</f>
        <v/>
      </c>
      <c r="JI29" s="19">
        <f>AND(IF(FG29="",TRUE,IF(input_industry="",FALSE,SUMPRODUCT(--ISNUMBER(SEARCH(","&amp;TRIM(TEXTSPLIT(FG29,","))&amp;",",","&amp;SUBSTITUTE(input_industry," ","")&amp;",")))&gt;0)),IF(FI29="",TRUE,IF(input_industry="",FALSE,SUMPRODUCT(--ISNUMBER(SEARCH(","&amp;TRIM(TEXTSPLIT(FI29,","))&amp;",",","&amp;SUBSTITUTE(input_industry," ","")&amp;",")))=COUNTA(TEXTSPLIT(FI29,",")))),IF(FK29="",TRUE,IF(input_industry="",TRUE,SUMPRODUCT(--ISNUMBER(SEARCH(","&amp;TRIM(TEXTSPLIT(FK29,","))&amp;",",","&amp;SUBSTITUTE(input_industry," ","")&amp;",")))=0)),IF(FM29="",TRUE,IF(input_industry="",FALSE,SUMPRODUCT(--ISNUMBER(SEARCH(","&amp;TRIM(TEXTSPLIT(FM29,","))&amp;",",","&amp;SUBSTITUTE(input_industry," ","")&amp;",")))&gt;0)),IF(FO29="",TRUE,IF(input_industry="",FALSE,SUMPRODUCT(--ISNUMBER(SEARCH(","&amp;TRIM(TEXTSPLIT(FO29,","))&amp;",",","&amp;SUBSTITUTE(input_industry," ","")&amp;",")))=COUNTA(TEXTSPLIT(FO29,",")))))</f>
        <v/>
      </c>
      <c r="JJ29" s="19">
        <f>AND(IF(FQ29="",TRUE,IF(input_location="",FALSE,SUMPRODUCT(--ISNUMBER(SEARCH(","&amp;TRIM(TEXTSPLIT(FQ29,","))&amp;",",","&amp;SUBSTITUTE(input_location," ","")&amp;",")))&gt;0)),IF(FS29="",TRUE,IF(input_location="",FALSE,SUMPRODUCT(--ISNUMBER(SEARCH(","&amp;TRIM(TEXTSPLIT(FS29,","))&amp;",",","&amp;SUBSTITUTE(input_location," ","")&amp;",")))=COUNTA(TEXTSPLIT(FS29,",")))),IF(FU29="",TRUE,IF(input_location="",TRUE,SUMPRODUCT(--ISNUMBER(SEARCH(","&amp;TRIM(TEXTSPLIT(FU29,","))&amp;",",","&amp;SUBSTITUTE(input_location," ","")&amp;",")))=0)),IF(FW29="",TRUE,IF(input_location="",FALSE,SUMPRODUCT(--ISNUMBER(SEARCH(","&amp;TRIM(TEXTSPLIT(FW29,","))&amp;",",","&amp;SUBSTITUTE(input_location," ","")&amp;",")))&gt;0)),IF(FY29="",TRUE,IF(input_location="",FALSE,SUMPRODUCT(--ISNUMBER(SEARCH(","&amp;TRIM(TEXTSPLIT(FY29,","))&amp;",",","&amp;SUBSTITUTE(input_location," ","")&amp;",")))=COUNTA(TEXTSPLIT(FY29,",")))))</f>
        <v/>
      </c>
      <c r="JK29" s="19">
        <f>AND(IF(GA29="",TRUE,IF(input_modality="",FALSE,SUMPRODUCT(--ISNUMBER(SEARCH(","&amp;TRIM(TEXTSPLIT(GA29,","))&amp;",",","&amp;SUBSTITUTE(input_modality," ","")&amp;",")))&gt;0)),IF(GC29="",TRUE,IF(input_modality="",FALSE,SUMPRODUCT(--ISNUMBER(SEARCH(","&amp;TRIM(TEXTSPLIT(GC29,","))&amp;",",","&amp;SUBSTITUTE(input_modality," ","")&amp;",")))=COUNTA(TEXTSPLIT(GC29,",")))),IF(GE29="",TRUE,IF(input_modality="",TRUE,SUMPRODUCT(--ISNUMBER(SEARCH(","&amp;TRIM(TEXTSPLIT(GE29,","))&amp;",",","&amp;SUBSTITUTE(input_modality," ","")&amp;",")))=0)),IF(GG29="",TRUE,IF(input_modality="",FALSE,SUMPRODUCT(--ISNUMBER(SEARCH(","&amp;TRIM(TEXTSPLIT(GG29,","))&amp;",",","&amp;SUBSTITUTE(input_modality," ","")&amp;",")))&gt;0)),IF(GI29="",TRUE,IF(input_modality="",FALSE,SUMPRODUCT(--ISNUMBER(SEARCH(","&amp;TRIM(TEXTSPLIT(GI29,","))&amp;",",","&amp;SUBSTITUTE(input_modality," ","")&amp;",")))=COUNTA(TEXTSPLIT(GI29,",")))))</f>
        <v/>
      </c>
      <c r="JL29" s="19">
        <f>AND(IF(GK29="",TRUE,IF(input_organizer="",FALSE,SUMPRODUCT(--ISNUMBER(SEARCH(","&amp;TRIM(TEXTSPLIT(GK29,","))&amp;",",","&amp;SUBSTITUTE(input_organizer," ","")&amp;",")))&gt;0)),IF(GM29="",TRUE,IF(input_organizer="",FALSE,SUMPRODUCT(--ISNUMBER(SEARCH(","&amp;TRIM(TEXTSPLIT(GM29,","))&amp;",",","&amp;SUBSTITUTE(input_organizer," ","")&amp;",")))=COUNTA(TEXTSPLIT(GM29,",")))),IF(GO29="",TRUE,IF(input_organizer="",TRUE,SUMPRODUCT(--ISNUMBER(SEARCH(","&amp;TRIM(TEXTSPLIT(GO29,","))&amp;",",","&amp;SUBSTITUTE(input_organizer," ","")&amp;",")))=0)),IF(GQ29="",TRUE,IF(input_organizer="",FALSE,SUMPRODUCT(--ISNUMBER(SEARCH(","&amp;TRIM(TEXTSPLIT(GQ29,","))&amp;",",","&amp;SUBSTITUTE(input_organizer," ","")&amp;",")))&gt;0)),IF(GS29="",TRUE,IF(input_organizer="",FALSE,SUMPRODUCT(--ISNUMBER(SEARCH(","&amp;TRIM(TEXTSPLIT(GS29,","))&amp;",",","&amp;SUBSTITUTE(input_organizer," ","")&amp;",")))=COUNTA(TEXTSPLIT(GS29,",")))))</f>
        <v/>
      </c>
      <c r="JM29" s="19">
        <f>AND(IF(GU29="",TRUE,IF(input_profile_type="",FALSE,SUMPRODUCT(--ISNUMBER(SEARCH(","&amp;TRIM(TEXTSPLIT(GU29,","))&amp;",",","&amp;SUBSTITUTE(input_profile_type," ","")&amp;",")))&gt;0)),IF(GW29="",TRUE,IF(input_profile_type="",FALSE,SUMPRODUCT(--ISNUMBER(SEARCH(","&amp;TRIM(TEXTSPLIT(GW29,","))&amp;",",","&amp;SUBSTITUTE(input_profile_type," ","")&amp;",")))=COUNTA(TEXTSPLIT(GW29,",")))),IF(GY29="",TRUE,IF(input_profile_type="",TRUE,SUMPRODUCT(--ISNUMBER(SEARCH(","&amp;TRIM(TEXTSPLIT(GY29,","))&amp;",",","&amp;SUBSTITUTE(input_profile_type," ","")&amp;",")))=0)),IF(HA29="",TRUE,IF(input_profile_type="",FALSE,SUMPRODUCT(--ISNUMBER(SEARCH(","&amp;TRIM(TEXTSPLIT(HA29,","))&amp;",",","&amp;SUBSTITUTE(input_profile_type," ","")&amp;",")))&gt;0)),IF(HC29="",TRUE,IF(input_profile_type="",FALSE,SUMPRODUCT(--ISNUMBER(SEARCH(","&amp;TRIM(TEXTSPLIT(HC29,","))&amp;",",","&amp;SUBSTITUTE(input_profile_type," ","")&amp;",")))=COUNTA(TEXTSPLIT(HC29,",")))))</f>
        <v/>
      </c>
      <c r="JN29" s="19">
        <f>AND(IF(HE29="",TRUE,IF(input_program="",FALSE,SUMPRODUCT(--ISNUMBER(SEARCH(","&amp;TRIM(TEXTSPLIT(HE29,","))&amp;",",","&amp;SUBSTITUTE(input_program," ","")&amp;",")))&gt;0)),IF(HG29="",TRUE,IF(input_program="",FALSE,SUMPRODUCT(--ISNUMBER(SEARCH(","&amp;TRIM(TEXTSPLIT(HG29,","))&amp;",",","&amp;SUBSTITUTE(input_program," ","")&amp;",")))=COUNTA(TEXTSPLIT(HG29,",")))),IF(HI29="",TRUE,IF(input_program="",TRUE,SUMPRODUCT(--ISNUMBER(SEARCH(","&amp;TRIM(TEXTSPLIT(HI29,","))&amp;",",","&amp;SUBSTITUTE(input_program," ","")&amp;",")))=0)),IF(HK29="",TRUE,IF(input_program="",FALSE,SUMPRODUCT(--ISNUMBER(SEARCH(","&amp;TRIM(TEXTSPLIT(HK29,","))&amp;",",","&amp;SUBSTITUTE(input_program," ","")&amp;",")))&gt;0)),IF(HM29="",TRUE,IF(input_program="",FALSE,SUMPRODUCT(--ISNUMBER(SEARCH(","&amp;TRIM(TEXTSPLIT(HM29,","))&amp;",",","&amp;SUBSTITUTE(input_program," ","")&amp;",")))=COUNTA(TEXTSPLIT(HM29,",")))))</f>
        <v/>
      </c>
      <c r="JO29" s="19">
        <f>AND(IF(HO29="",TRUE,IF(input_story_categories="",FALSE,SUMPRODUCT(--ISNUMBER(SEARCH(","&amp;TRIM(TEXTSPLIT(HO29,","))&amp;",",","&amp;SUBSTITUTE(input_story_categories," ","")&amp;",")))&gt;0)),IF(HQ29="",TRUE,IF(input_story_categories="",FALSE,SUMPRODUCT(--ISNUMBER(SEARCH(","&amp;TRIM(TEXTSPLIT(HQ29,","))&amp;",",","&amp;SUBSTITUTE(input_story_categories," ","")&amp;",")))=COUNTA(TEXTSPLIT(HQ29,",")))),IF(HS29="",TRUE,IF(input_story_categories="",TRUE,SUMPRODUCT(--ISNUMBER(SEARCH(","&amp;TRIM(TEXTSPLIT(HS29,","))&amp;",",","&amp;SUBSTITUTE(input_story_categories," ","")&amp;",")))=0)),IF(HU29="",TRUE,IF(input_story_categories="",FALSE,SUMPRODUCT(--ISNUMBER(SEARCH(","&amp;TRIM(TEXTSPLIT(HU29,","))&amp;",",","&amp;SUBSTITUTE(input_story_categories," ","")&amp;",")))&gt;0)),IF(HW29="",TRUE,IF(input_story_categories="",FALSE,SUMPRODUCT(--ISNUMBER(SEARCH(","&amp;TRIM(TEXTSPLIT(HW29,","))&amp;",",","&amp;SUBSTITUTE(input_story_categories," ","")&amp;",")))=COUNTA(TEXTSPLIT(HW29,",")))))</f>
        <v/>
      </c>
      <c r="JP29" s="19">
        <f>AND(IF(HY29="",TRUE,IF(input_story_type="",FALSE,SUMPRODUCT(--ISNUMBER(SEARCH(","&amp;TRIM(TEXTSPLIT(HY29,","))&amp;",",","&amp;SUBSTITUTE(input_story_type," ","")&amp;",")))&gt;0)),IF(IA29="",TRUE,IF(input_story_type="",FALSE,SUMPRODUCT(--ISNUMBER(SEARCH(","&amp;TRIM(TEXTSPLIT(IA29,","))&amp;",",","&amp;SUBSTITUTE(input_story_type," ","")&amp;",")))=COUNTA(TEXTSPLIT(IA29,",")))),IF(IC29="",TRUE,IF(input_story_type="",TRUE,SUMPRODUCT(--ISNUMBER(SEARCH(","&amp;TRIM(TEXTSPLIT(IC29,","))&amp;",",","&amp;SUBSTITUTE(input_story_type," ","")&amp;",")))=0)),IF(IE29="",TRUE,IF(input_story_type="",FALSE,SUMPRODUCT(--ISNUMBER(SEARCH(","&amp;TRIM(TEXTSPLIT(IE29,","))&amp;",",","&amp;SUBSTITUTE(input_story_type," ","")&amp;",")))&gt;0)),IF(IG29="",TRUE,IF(input_story_type="",FALSE,SUMPRODUCT(--ISNUMBER(SEARCH(","&amp;TRIM(TEXTSPLIT(IG29,","))&amp;",",","&amp;SUBSTITUTE(input_story_type," ","")&amp;",")))=COUNTA(TEXTSPLIT(IG29,",")))))</f>
        <v/>
      </c>
      <c r="JQ29" s="19">
        <f>AND(IF(II29="",TRUE,IF(input_topics="",FALSE,SUMPRODUCT(--ISNUMBER(SEARCH(","&amp;TRIM(TEXTSPLIT(II29,","))&amp;",",","&amp;SUBSTITUTE(input_topics," ","")&amp;",")))&gt;0)),IF(IK29="",TRUE,IF(input_topics="",FALSE,SUMPRODUCT(--ISNUMBER(SEARCH(","&amp;TRIM(TEXTSPLIT(IK29,","))&amp;",",","&amp;SUBSTITUTE(input_topics," ","")&amp;",")))=COUNTA(TEXTSPLIT(IK29,",")))),IF(IM29="",TRUE,IF(input_topics="",TRUE,SUMPRODUCT(--ISNUMBER(SEARCH(","&amp;TRIM(TEXTSPLIT(IM29,","))&amp;",",","&amp;SUBSTITUTE(input_topics," ","")&amp;",")))=0)),IF(IO29="",TRUE,IF(input_topics="",FALSE,SUMPRODUCT(--ISNUMBER(SEARCH(","&amp;TRIM(TEXTSPLIT(IO29,","))&amp;",",","&amp;SUBSTITUTE(input_topics," ","")&amp;",")))&gt;0)),IF(IQ29="",TRUE,IF(input_topics="",FALSE,SUMPRODUCT(--ISNUMBER(SEARCH(","&amp;TRIM(TEXTSPLIT(IQ29,","))&amp;",",","&amp;SUBSTITUTE(input_topics," ","")&amp;",")))=COUNTA(TEXTSPLIT(IQ29,",")))))</f>
        <v/>
      </c>
    </row>
    <row r="30">
      <c r="A30" s="24">
        <f>IF(NOT(IS30),"Excluded",IF(AND(IT30,IU30,IV30,IW30,IX30,IY30,IZ30,JA30,JB30,JC30,JD30,JE30,JF30,JG30,JH30,JI30,JJ30,JK30,JL30,JM30,JN30,JO30,JP30,JQ30),IF(I30&gt;0,"Eligible but limited","Will appear"),"Excluded"))</f>
        <v/>
      </c>
      <c r="B30" s="24" t="inlineStr">
        <is>
          <t>All Publications by Author</t>
        </is>
      </c>
      <c r="C30" s="27" t="inlineStr">
        <is>
          <t>/faculty-research/faculty-directory/howard-p-forman</t>
        </is>
      </c>
      <c r="D30" s="24" t="inlineStr">
        <is>
          <t>/faculty-research/faculty-directory/howard-p-forman</t>
        </is>
      </c>
      <c r="E30" s="24" t="n">
        <v>1</v>
      </c>
      <c r="F30" s="24" t="inlineStr">
        <is>
          <t>publications</t>
        </is>
      </c>
      <c r="G30" s="24" t="inlineStr">
        <is>
          <t>publication_teaser_list</t>
        </is>
      </c>
      <c r="H30" s="24" t="inlineStr">
        <is>
          <t>publication_teaser_list_all_by_author</t>
        </is>
      </c>
      <c r="I30" s="24" t="n"/>
      <c r="J30" s="24" t="inlineStr">
        <is>
          <t>View/config rules</t>
        </is>
      </c>
      <c r="K30" s="24" t="inlineStr">
        <is>
          <t>Page placement</t>
        </is>
      </c>
      <c r="L30" s="24" t="inlineStr">
        <is>
          <t>Content type: publications; Source: View/config rules</t>
        </is>
      </c>
      <c r="IS30" s="19">
        <f>IF(input_content_type="",FALSE,ISNUMBER(SEARCH(","&amp;LOWER(input_content_type)&amp;",",","&amp;LOWER(SUBSTITUTE(F30," ",""))&amp;",")))</f>
        <v/>
      </c>
      <c r="IT30" s="19">
        <f>AND(IF(M30="",TRUE,IF(input_affiliations="",FALSE,SUMPRODUCT(--ISNUMBER(SEARCH(","&amp;TRIM(TEXTSPLIT(M30,","))&amp;",",","&amp;SUBSTITUTE(input_affiliations," ","")&amp;",")))&gt;0)),IF(O30="",TRUE,IF(input_affiliations="",FALSE,SUMPRODUCT(--ISNUMBER(SEARCH(","&amp;TRIM(TEXTSPLIT(O30,","))&amp;",",","&amp;SUBSTITUTE(input_affiliations," ","")&amp;",")))=COUNTA(TEXTSPLIT(O30,",")))),IF(Q30="",TRUE,IF(input_affiliations="",TRUE,SUMPRODUCT(--ISNUMBER(SEARCH(","&amp;TRIM(TEXTSPLIT(Q30,","))&amp;",",","&amp;SUBSTITUTE(input_affiliations," ","")&amp;",")))=0)),IF(S30="",TRUE,IF(input_affiliations="",FALSE,SUMPRODUCT(--ISNUMBER(SEARCH(","&amp;TRIM(TEXTSPLIT(S30,","))&amp;",",","&amp;SUBSTITUTE(input_affiliations," ","")&amp;",")))&gt;0)),IF(U30="",TRUE,IF(input_affiliations="",FALSE,SUMPRODUCT(--ISNUMBER(SEARCH(","&amp;TRIM(TEXTSPLIT(U30,","))&amp;",",","&amp;SUBSTITUTE(input_affiliations," ","")&amp;",")))=COUNTA(TEXTSPLIT(U30,",")))))</f>
        <v/>
      </c>
      <c r="IU30" s="19">
        <f>AND(IF(W30="",TRUE,IF(input_announcement_category="",FALSE,SUMPRODUCT(--ISNUMBER(SEARCH(","&amp;TRIM(TEXTSPLIT(W30,","))&amp;",",","&amp;SUBSTITUTE(input_announcement_category," ","")&amp;",")))&gt;0)),IF(Y30="",TRUE,IF(input_announcement_category="",FALSE,SUMPRODUCT(--ISNUMBER(SEARCH(","&amp;TRIM(TEXTSPLIT(Y30,","))&amp;",",","&amp;SUBSTITUTE(input_announcement_category," ","")&amp;",")))=COUNTA(TEXTSPLIT(Y30,",")))),IF(AA30="",TRUE,IF(input_announcement_category="",TRUE,SUMPRODUCT(--ISNUMBER(SEARCH(","&amp;TRIM(TEXTSPLIT(AA30,","))&amp;",",","&amp;SUBSTITUTE(input_announcement_category," ","")&amp;",")))=0)),IF(AC30="",TRUE,IF(input_announcement_category="",FALSE,SUMPRODUCT(--ISNUMBER(SEARCH(","&amp;TRIM(TEXTSPLIT(AC30,","))&amp;",",","&amp;SUBSTITUTE(input_announcement_category," ","")&amp;",")))&gt;0)),IF(AE30="",TRUE,IF(input_announcement_category="",FALSE,SUMPRODUCT(--ISNUMBER(SEARCH(","&amp;TRIM(TEXTSPLIT(AE30,","))&amp;",",","&amp;SUBSTITUTE(input_announcement_category," ","")&amp;",")))=COUNTA(TEXTSPLIT(AE30,",")))))</f>
        <v/>
      </c>
      <c r="IV30" s="19">
        <f>AND(IF(AG30="",TRUE,IF(input_area_of_focus="",FALSE,SUMPRODUCT(--ISNUMBER(SEARCH(","&amp;TRIM(TEXTSPLIT(AG30,","))&amp;",",","&amp;SUBSTITUTE(input_area_of_focus," ","")&amp;",")))&gt;0)),IF(AI30="",TRUE,IF(input_area_of_focus="",FALSE,SUMPRODUCT(--ISNUMBER(SEARCH(","&amp;TRIM(TEXTSPLIT(AI30,","))&amp;",",","&amp;SUBSTITUTE(input_area_of_focus," ","")&amp;",")))=COUNTA(TEXTSPLIT(AI30,",")))),IF(AK30="",TRUE,IF(input_area_of_focus="",TRUE,SUMPRODUCT(--ISNUMBER(SEARCH(","&amp;TRIM(TEXTSPLIT(AK30,","))&amp;",",","&amp;SUBSTITUTE(input_area_of_focus," ","")&amp;",")))=0)),IF(AM30="",TRUE,IF(input_area_of_focus="",FALSE,SUMPRODUCT(--ISNUMBER(SEARCH(","&amp;TRIM(TEXTSPLIT(AM30,","))&amp;",",","&amp;SUBSTITUTE(input_area_of_focus," ","")&amp;",")))&gt;0)),IF(AO30="",TRUE,IF(input_area_of_focus="",FALSE,SUMPRODUCT(--ISNUMBER(SEARCH(","&amp;TRIM(TEXTSPLIT(AO30,","))&amp;",",","&amp;SUBSTITUTE(input_area_of_focus," ","")&amp;",")))=COUNTA(TEXTSPLIT(AO30,",")))))</f>
        <v/>
      </c>
      <c r="IW30" s="19">
        <f>AND(IF(AQ30="",TRUE,IF(input_audience="",FALSE,SUMPRODUCT(--ISNUMBER(SEARCH(","&amp;TRIM(TEXTSPLIT(AQ30,","))&amp;",",","&amp;SUBSTITUTE(input_audience," ","")&amp;",")))&gt;0)),IF(AS30="",TRUE,IF(input_audience="",FALSE,SUMPRODUCT(--ISNUMBER(SEARCH(","&amp;TRIM(TEXTSPLIT(AS30,","))&amp;",",","&amp;SUBSTITUTE(input_audience," ","")&amp;",")))=COUNTA(TEXTSPLIT(AS30,",")))),IF(AU30="",TRUE,IF(input_audience="",TRUE,SUMPRODUCT(--ISNUMBER(SEARCH(","&amp;TRIM(TEXTSPLIT(AU30,","))&amp;",",","&amp;SUBSTITUTE(input_audience," ","")&amp;",")))=0)),IF(AW30="",TRUE,IF(input_audience="",FALSE,SUMPRODUCT(--ISNUMBER(SEARCH(","&amp;TRIM(TEXTSPLIT(AW30,","))&amp;",",","&amp;SUBSTITUTE(input_audience," ","")&amp;",")))&gt;0)),IF(AY30="",TRUE,IF(input_audience="",FALSE,SUMPRODUCT(--ISNUMBER(SEARCH(","&amp;TRIM(TEXTSPLIT(AY30,","))&amp;",",","&amp;SUBSTITUTE(input_audience," ","")&amp;",")))=COUNTA(TEXTSPLIT(AY30,",")))))</f>
        <v/>
      </c>
      <c r="IX30" s="19">
        <f>AND(IF(BA30="",TRUE,IF(input_challenge_opportunities="",FALSE,SUMPRODUCT(--ISNUMBER(SEARCH(","&amp;TRIM(TEXTSPLIT(BA30,","))&amp;",",","&amp;SUBSTITUTE(input_challenge_opportunities," ","")&amp;",")))&gt;0)),IF(BC30="",TRUE,IF(input_challenge_opportunities="",FALSE,SUMPRODUCT(--ISNUMBER(SEARCH(","&amp;TRIM(TEXTSPLIT(BC30,","))&amp;",",","&amp;SUBSTITUTE(input_challenge_opportunities," ","")&amp;",")))=COUNTA(TEXTSPLIT(BC30,",")))),IF(BE30="",TRUE,IF(input_challenge_opportunities="",TRUE,SUMPRODUCT(--ISNUMBER(SEARCH(","&amp;TRIM(TEXTSPLIT(BE30,","))&amp;",",","&amp;SUBSTITUTE(input_challenge_opportunities," ","")&amp;",")))=0)),IF(BG30="",TRUE,IF(input_challenge_opportunities="",FALSE,SUMPRODUCT(--ISNUMBER(SEARCH(","&amp;TRIM(TEXTSPLIT(BG30,","))&amp;",",","&amp;SUBSTITUTE(input_challenge_opportunities," ","")&amp;",")))&gt;0)),IF(BI30="",TRUE,IF(input_challenge_opportunities="",FALSE,SUMPRODUCT(--ISNUMBER(SEARCH(","&amp;TRIM(TEXTSPLIT(BI30,","))&amp;",",","&amp;SUBSTITUTE(input_challenge_opportunities," ","")&amp;",")))=COUNTA(TEXTSPLIT(BI30,",")))))</f>
        <v/>
      </c>
      <c r="IY30" s="19">
        <f>AND(IF(BK30="",TRUE,IF(input_context="",FALSE,SUMPRODUCT(--ISNUMBER(SEARCH(","&amp;TRIM(TEXTSPLIT(BK30,","))&amp;",",","&amp;SUBSTITUTE(input_context," ","")&amp;",")))&gt;0)),IF(BM30="",TRUE,IF(input_context="",FALSE,SUMPRODUCT(--ISNUMBER(SEARCH(","&amp;TRIM(TEXTSPLIT(BM30,","))&amp;",",","&amp;SUBSTITUTE(input_context," ","")&amp;",")))=COUNTA(TEXTSPLIT(BM30,",")))),IF(BO30="",TRUE,IF(input_context="",TRUE,SUMPRODUCT(--ISNUMBER(SEARCH(","&amp;TRIM(TEXTSPLIT(BO30,","))&amp;",",","&amp;SUBSTITUTE(input_context," ","")&amp;",")))=0)),IF(BQ30="",TRUE,IF(input_context="",FALSE,SUMPRODUCT(--ISNUMBER(SEARCH(","&amp;TRIM(TEXTSPLIT(BQ30,","))&amp;",",","&amp;SUBSTITUTE(input_context," ","")&amp;",")))&gt;0)),IF(BS30="",TRUE,IF(input_context="",FALSE,SUMPRODUCT(--ISNUMBER(SEARCH(","&amp;TRIM(TEXTSPLIT(BS30,","))&amp;",",","&amp;SUBSTITUTE(input_context," ","")&amp;",")))=COUNTA(TEXTSPLIT(BS30,",")))))</f>
        <v/>
      </c>
      <c r="IZ30" s="19">
        <f>AND(IF(BU30="",TRUE,IF(input_enews_announcement_type="",FALSE,SUMPRODUCT(--ISNUMBER(SEARCH(","&amp;TRIM(TEXTSPLIT(BU30,","))&amp;",",","&amp;SUBSTITUTE(input_enews_announcement_type," ","")&amp;",")))&gt;0)),IF(BW30="",TRUE,IF(input_enews_announcement_type="",FALSE,SUMPRODUCT(--ISNUMBER(SEARCH(","&amp;TRIM(TEXTSPLIT(BW30,","))&amp;",",","&amp;SUBSTITUTE(input_enews_announcement_type," ","")&amp;",")))=COUNTA(TEXTSPLIT(BW30,",")))),IF(BY30="",TRUE,IF(input_enews_announcement_type="",TRUE,SUMPRODUCT(--ISNUMBER(SEARCH(","&amp;TRIM(TEXTSPLIT(BY30,","))&amp;",",","&amp;SUBSTITUTE(input_enews_announcement_type," ","")&amp;",")))=0)),IF(CA30="",TRUE,IF(input_enews_announcement_type="",FALSE,SUMPRODUCT(--ISNUMBER(SEARCH(","&amp;TRIM(TEXTSPLIT(CA30,","))&amp;",",","&amp;SUBSTITUTE(input_enews_announcement_type," ","")&amp;",")))&gt;0)),IF(CC30="",TRUE,IF(input_enews_announcement_type="",FALSE,SUMPRODUCT(--ISNUMBER(SEARCH(","&amp;TRIM(TEXTSPLIT(CC30,","))&amp;",",","&amp;SUBSTITUTE(input_enews_announcement_type," ","")&amp;",")))=COUNTA(TEXTSPLIT(CC30,",")))))</f>
        <v/>
      </c>
      <c r="JA30" s="19">
        <f>AND(IF(CE30="",TRUE,IF(input_enews_audience="",FALSE,SUMPRODUCT(--ISNUMBER(SEARCH(","&amp;TRIM(TEXTSPLIT(CE30,","))&amp;",",","&amp;SUBSTITUTE(input_enews_audience," ","")&amp;",")))&gt;0)),IF(CG30="",TRUE,IF(input_enews_audience="",FALSE,SUMPRODUCT(--ISNUMBER(SEARCH(","&amp;TRIM(TEXTSPLIT(CG30,","))&amp;",",","&amp;SUBSTITUTE(input_enews_audience," ","")&amp;",")))=COUNTA(TEXTSPLIT(CG30,",")))),IF(CI30="",TRUE,IF(input_enews_audience="",TRUE,SUMPRODUCT(--ISNUMBER(SEARCH(","&amp;TRIM(TEXTSPLIT(CI30,","))&amp;",",","&amp;SUBSTITUTE(input_enews_audience," ","")&amp;",")))=0)),IF(CK30="",TRUE,IF(input_enews_audience="",FALSE,SUMPRODUCT(--ISNUMBER(SEARCH(","&amp;TRIM(TEXTSPLIT(CK30,","))&amp;",",","&amp;SUBSTITUTE(input_enews_audience," ","")&amp;",")))&gt;0)),IF(CM30="",TRUE,IF(input_enews_audience="",FALSE,SUMPRODUCT(--ISNUMBER(SEARCH(","&amp;TRIM(TEXTSPLIT(CM30,","))&amp;",",","&amp;SUBSTITUTE(input_enews_audience," ","")&amp;",")))=COUNTA(TEXTSPLIT(CM30,",")))))</f>
        <v/>
      </c>
      <c r="JB30" s="19">
        <f>AND(IF(CO30="",TRUE,IF(input_event_location="",FALSE,SUMPRODUCT(--ISNUMBER(SEARCH(","&amp;TRIM(TEXTSPLIT(CO30,","))&amp;",",","&amp;SUBSTITUTE(input_event_location," ","")&amp;",")))&gt;0)),IF(CQ30="",TRUE,IF(input_event_location="",FALSE,SUMPRODUCT(--ISNUMBER(SEARCH(","&amp;TRIM(TEXTSPLIT(CQ30,","))&amp;",",","&amp;SUBSTITUTE(input_event_location," ","")&amp;",")))=COUNTA(TEXTSPLIT(CQ30,",")))),IF(CS30="",TRUE,IF(input_event_location="",TRUE,SUMPRODUCT(--ISNUMBER(SEARCH(","&amp;TRIM(TEXTSPLIT(CS30,","))&amp;",",","&amp;SUBSTITUTE(input_event_location," ","")&amp;",")))=0)),IF(CU30="",TRUE,IF(input_event_location="",FALSE,SUMPRODUCT(--ISNUMBER(SEARCH(","&amp;TRIM(TEXTSPLIT(CU30,","))&amp;",",","&amp;SUBSTITUTE(input_event_location," ","")&amp;",")))&gt;0)),IF(CW30="",TRUE,IF(input_event_location="",FALSE,SUMPRODUCT(--ISNUMBER(SEARCH(","&amp;TRIM(TEXTSPLIT(CW30,","))&amp;",",","&amp;SUBSTITUTE(input_event_location," ","")&amp;",")))=COUNTA(TEXTSPLIT(CW30,",")))))</f>
        <v/>
      </c>
      <c r="JC30" s="19">
        <f>AND(IF(CY30="",TRUE,IF(input_event_type="",FALSE,SUMPRODUCT(--ISNUMBER(SEARCH(","&amp;TRIM(TEXTSPLIT(CY30,","))&amp;",",","&amp;SUBSTITUTE(input_event_type," ","")&amp;",")))&gt;0)),IF(DA30="",TRUE,IF(input_event_type="",FALSE,SUMPRODUCT(--ISNUMBER(SEARCH(","&amp;TRIM(TEXTSPLIT(DA30,","))&amp;",",","&amp;SUBSTITUTE(input_event_type," ","")&amp;",")))=COUNTA(TEXTSPLIT(DA30,",")))),IF(DC30="",TRUE,IF(input_event_type="",TRUE,SUMPRODUCT(--ISNUMBER(SEARCH(","&amp;TRIM(TEXTSPLIT(DC30,","))&amp;",",","&amp;SUBSTITUTE(input_event_type," ","")&amp;",")))=0)),IF(DE30="",TRUE,IF(input_event_type="",FALSE,SUMPRODUCT(--ISNUMBER(SEARCH(","&amp;TRIM(TEXTSPLIT(DE30,","))&amp;",",","&amp;SUBSTITUTE(input_event_type," ","")&amp;",")))&gt;0)),IF(DG30="",TRUE,IF(input_event_type="",FALSE,SUMPRODUCT(--ISNUMBER(SEARCH(","&amp;TRIM(TEXTSPLIT(DG30,","))&amp;",",","&amp;SUBSTITUTE(input_event_type," ","")&amp;",")))=COUNTA(TEXTSPLIT(DG30,",")))))</f>
        <v/>
      </c>
      <c r="JD30" s="19">
        <f>AND(IF(DI30="",TRUE,IF(input_executive_education_focus="",FALSE,SUMPRODUCT(--ISNUMBER(SEARCH(","&amp;TRIM(TEXTSPLIT(DI30,","))&amp;",",","&amp;SUBSTITUTE(input_executive_education_focus," ","")&amp;",")))&gt;0)),IF(DK30="",TRUE,IF(input_executive_education_focus="",FALSE,SUMPRODUCT(--ISNUMBER(SEARCH(","&amp;TRIM(TEXTSPLIT(DK30,","))&amp;",",","&amp;SUBSTITUTE(input_executive_education_focus," ","")&amp;",")))=COUNTA(TEXTSPLIT(DK30,",")))),IF(DM30="",TRUE,IF(input_executive_education_focus="",TRUE,SUMPRODUCT(--ISNUMBER(SEARCH(","&amp;TRIM(TEXTSPLIT(DM30,","))&amp;",",","&amp;SUBSTITUTE(input_executive_education_focus," ","")&amp;",")))=0)),IF(DO30="",TRUE,IF(input_executive_education_focus="",FALSE,SUMPRODUCT(--ISNUMBER(SEARCH(","&amp;TRIM(TEXTSPLIT(DO30,","))&amp;",",","&amp;SUBSTITUTE(input_executive_education_focus," ","")&amp;",")))&gt;0)),IF(DQ30="",TRUE,IF(input_executive_education_focus="",FALSE,SUMPRODUCT(--ISNUMBER(SEARCH(","&amp;TRIM(TEXTSPLIT(DQ30,","))&amp;",",","&amp;SUBSTITUTE(input_executive_education_focus," ","")&amp;",")))=COUNTA(TEXTSPLIT(DQ30,",")))))</f>
        <v/>
      </c>
      <c r="JE30" s="19">
        <f>AND(IF(DS30="",TRUE,IF(input_faculty_category="",FALSE,SUMPRODUCT(--ISNUMBER(SEARCH(","&amp;TRIM(TEXTSPLIT(DS30,","))&amp;",",","&amp;SUBSTITUTE(input_faculty_category," ","")&amp;",")))&gt;0)),IF(DU30="",TRUE,IF(input_faculty_category="",FALSE,SUMPRODUCT(--ISNUMBER(SEARCH(","&amp;TRIM(TEXTSPLIT(DU30,","))&amp;",",","&amp;SUBSTITUTE(input_faculty_category," ","")&amp;",")))=COUNTA(TEXTSPLIT(DU30,",")))),IF(DW30="",TRUE,IF(input_faculty_category="",TRUE,SUMPRODUCT(--ISNUMBER(SEARCH(","&amp;TRIM(TEXTSPLIT(DW30,","))&amp;",",","&amp;SUBSTITUTE(input_faculty_category," ","")&amp;",")))=0)),IF(DY30="",TRUE,IF(input_faculty_category="",FALSE,SUMPRODUCT(--ISNUMBER(SEARCH(","&amp;TRIM(TEXTSPLIT(DY30,","))&amp;",",","&amp;SUBSTITUTE(input_faculty_category," ","")&amp;",")))&gt;0)),IF(EA30="",TRUE,IF(input_faculty_category="",FALSE,SUMPRODUCT(--ISNUMBER(SEARCH(","&amp;TRIM(TEXTSPLIT(EA30,","))&amp;",",","&amp;SUBSTITUTE(input_faculty_category," ","")&amp;",")))=COUNTA(TEXTSPLIT(EA30,",")))))</f>
        <v/>
      </c>
      <c r="JF30" s="19">
        <f>AND(IF(EC30="",TRUE,IF(input_faculty_discipline="",FALSE,SUMPRODUCT(--ISNUMBER(SEARCH(","&amp;TRIM(TEXTSPLIT(EC30,","))&amp;",",","&amp;SUBSTITUTE(input_faculty_discipline," ","")&amp;",")))&gt;0)),IF(EE30="",TRUE,IF(input_faculty_discipline="",FALSE,SUMPRODUCT(--ISNUMBER(SEARCH(","&amp;TRIM(TEXTSPLIT(EE30,","))&amp;",",","&amp;SUBSTITUTE(input_faculty_discipline," ","")&amp;",")))=COUNTA(TEXTSPLIT(EE30,",")))),IF(EG30="",TRUE,IF(input_faculty_discipline="",TRUE,SUMPRODUCT(--ISNUMBER(SEARCH(","&amp;TRIM(TEXTSPLIT(EG30,","))&amp;",",","&amp;SUBSTITUTE(input_faculty_discipline," ","")&amp;",")))=0)),IF(EI30="",TRUE,IF(input_faculty_discipline="",FALSE,SUMPRODUCT(--ISNUMBER(SEARCH(","&amp;TRIM(TEXTSPLIT(EI30,","))&amp;",",","&amp;SUBSTITUTE(input_faculty_discipline," ","")&amp;",")))&gt;0)),IF(EK30="",TRUE,IF(input_faculty_discipline="",FALSE,SUMPRODUCT(--ISNUMBER(SEARCH(","&amp;TRIM(TEXTSPLIT(EK30,","))&amp;",",","&amp;SUBSTITUTE(input_faculty_discipline," ","")&amp;",")))=COUNTA(TEXTSPLIT(EK30,",")))))</f>
        <v/>
      </c>
      <c r="JG30" s="19">
        <f>AND(IF(EM30="",TRUE,IF(input_faculty_expertise="",FALSE,SUMPRODUCT(--ISNUMBER(SEARCH(","&amp;TRIM(TEXTSPLIT(EM30,","))&amp;",",","&amp;SUBSTITUTE(input_faculty_expertise," ","")&amp;",")))&gt;0)),IF(EO30="",TRUE,IF(input_faculty_expertise="",FALSE,SUMPRODUCT(--ISNUMBER(SEARCH(","&amp;TRIM(TEXTSPLIT(EO30,","))&amp;",",","&amp;SUBSTITUTE(input_faculty_expertise," ","")&amp;",")))=COUNTA(TEXTSPLIT(EO30,",")))),IF(EQ30="",TRUE,IF(input_faculty_expertise="",TRUE,SUMPRODUCT(--ISNUMBER(SEARCH(","&amp;TRIM(TEXTSPLIT(EQ30,","))&amp;",",","&amp;SUBSTITUTE(input_faculty_expertise," ","")&amp;",")))=0)),IF(ES30="",TRUE,IF(input_faculty_expertise="",FALSE,SUMPRODUCT(--ISNUMBER(SEARCH(","&amp;TRIM(TEXTSPLIT(ES30,","))&amp;",",","&amp;SUBSTITUTE(input_faculty_expertise," ","")&amp;",")))&gt;0)),IF(EU30="",TRUE,IF(input_faculty_expertise="",FALSE,SUMPRODUCT(--ISNUMBER(SEARCH(","&amp;TRIM(TEXTSPLIT(EU30,","))&amp;",",","&amp;SUBSTITUTE(input_faculty_expertise," ","")&amp;",")))=COUNTA(TEXTSPLIT(EU30,",")))))</f>
        <v/>
      </c>
      <c r="JH30" s="19">
        <f>AND(IF(EW30="",TRUE,IF(input_global_network_school="",FALSE,SUMPRODUCT(--ISNUMBER(SEARCH(","&amp;TRIM(TEXTSPLIT(EW30,","))&amp;",",","&amp;SUBSTITUTE(input_global_network_school," ","")&amp;",")))&gt;0)),IF(EY30="",TRUE,IF(input_global_network_school="",FALSE,SUMPRODUCT(--ISNUMBER(SEARCH(","&amp;TRIM(TEXTSPLIT(EY30,","))&amp;",",","&amp;SUBSTITUTE(input_global_network_school," ","")&amp;",")))=COUNTA(TEXTSPLIT(EY30,",")))),IF(FA30="",TRUE,IF(input_global_network_school="",TRUE,SUMPRODUCT(--ISNUMBER(SEARCH(","&amp;TRIM(TEXTSPLIT(FA30,","))&amp;",",","&amp;SUBSTITUTE(input_global_network_school," ","")&amp;",")))=0)),IF(FC30="",TRUE,IF(input_global_network_school="",FALSE,SUMPRODUCT(--ISNUMBER(SEARCH(","&amp;TRIM(TEXTSPLIT(FC30,","))&amp;",",","&amp;SUBSTITUTE(input_global_network_school," ","")&amp;",")))&gt;0)),IF(FE30="",TRUE,IF(input_global_network_school="",FALSE,SUMPRODUCT(--ISNUMBER(SEARCH(","&amp;TRIM(TEXTSPLIT(FE30,","))&amp;",",","&amp;SUBSTITUTE(input_global_network_school," ","")&amp;",")))=COUNTA(TEXTSPLIT(FE30,",")))))</f>
        <v/>
      </c>
      <c r="JI30" s="19">
        <f>AND(IF(FG30="",TRUE,IF(input_industry="",FALSE,SUMPRODUCT(--ISNUMBER(SEARCH(","&amp;TRIM(TEXTSPLIT(FG30,","))&amp;",",","&amp;SUBSTITUTE(input_industry," ","")&amp;",")))&gt;0)),IF(FI30="",TRUE,IF(input_industry="",FALSE,SUMPRODUCT(--ISNUMBER(SEARCH(","&amp;TRIM(TEXTSPLIT(FI30,","))&amp;",",","&amp;SUBSTITUTE(input_industry," ","")&amp;",")))=COUNTA(TEXTSPLIT(FI30,",")))),IF(FK30="",TRUE,IF(input_industry="",TRUE,SUMPRODUCT(--ISNUMBER(SEARCH(","&amp;TRIM(TEXTSPLIT(FK30,","))&amp;",",","&amp;SUBSTITUTE(input_industry," ","")&amp;",")))=0)),IF(FM30="",TRUE,IF(input_industry="",FALSE,SUMPRODUCT(--ISNUMBER(SEARCH(","&amp;TRIM(TEXTSPLIT(FM30,","))&amp;",",","&amp;SUBSTITUTE(input_industry," ","")&amp;",")))&gt;0)),IF(FO30="",TRUE,IF(input_industry="",FALSE,SUMPRODUCT(--ISNUMBER(SEARCH(","&amp;TRIM(TEXTSPLIT(FO30,","))&amp;",",","&amp;SUBSTITUTE(input_industry," ","")&amp;",")))=COUNTA(TEXTSPLIT(FO30,",")))))</f>
        <v/>
      </c>
      <c r="JJ30" s="19">
        <f>AND(IF(FQ30="",TRUE,IF(input_location="",FALSE,SUMPRODUCT(--ISNUMBER(SEARCH(","&amp;TRIM(TEXTSPLIT(FQ30,","))&amp;",",","&amp;SUBSTITUTE(input_location," ","")&amp;",")))&gt;0)),IF(FS30="",TRUE,IF(input_location="",FALSE,SUMPRODUCT(--ISNUMBER(SEARCH(","&amp;TRIM(TEXTSPLIT(FS30,","))&amp;",",","&amp;SUBSTITUTE(input_location," ","")&amp;",")))=COUNTA(TEXTSPLIT(FS30,",")))),IF(FU30="",TRUE,IF(input_location="",TRUE,SUMPRODUCT(--ISNUMBER(SEARCH(","&amp;TRIM(TEXTSPLIT(FU30,","))&amp;",",","&amp;SUBSTITUTE(input_location," ","")&amp;",")))=0)),IF(FW30="",TRUE,IF(input_location="",FALSE,SUMPRODUCT(--ISNUMBER(SEARCH(","&amp;TRIM(TEXTSPLIT(FW30,","))&amp;",",","&amp;SUBSTITUTE(input_location," ","")&amp;",")))&gt;0)),IF(FY30="",TRUE,IF(input_location="",FALSE,SUMPRODUCT(--ISNUMBER(SEARCH(","&amp;TRIM(TEXTSPLIT(FY30,","))&amp;",",","&amp;SUBSTITUTE(input_location," ","")&amp;",")))=COUNTA(TEXTSPLIT(FY30,",")))))</f>
        <v/>
      </c>
      <c r="JK30" s="19">
        <f>AND(IF(GA30="",TRUE,IF(input_modality="",FALSE,SUMPRODUCT(--ISNUMBER(SEARCH(","&amp;TRIM(TEXTSPLIT(GA30,","))&amp;",",","&amp;SUBSTITUTE(input_modality," ","")&amp;",")))&gt;0)),IF(GC30="",TRUE,IF(input_modality="",FALSE,SUMPRODUCT(--ISNUMBER(SEARCH(","&amp;TRIM(TEXTSPLIT(GC30,","))&amp;",",","&amp;SUBSTITUTE(input_modality," ","")&amp;",")))=COUNTA(TEXTSPLIT(GC30,",")))),IF(GE30="",TRUE,IF(input_modality="",TRUE,SUMPRODUCT(--ISNUMBER(SEARCH(","&amp;TRIM(TEXTSPLIT(GE30,","))&amp;",",","&amp;SUBSTITUTE(input_modality," ","")&amp;",")))=0)),IF(GG30="",TRUE,IF(input_modality="",FALSE,SUMPRODUCT(--ISNUMBER(SEARCH(","&amp;TRIM(TEXTSPLIT(GG30,","))&amp;",",","&amp;SUBSTITUTE(input_modality," ","")&amp;",")))&gt;0)),IF(GI30="",TRUE,IF(input_modality="",FALSE,SUMPRODUCT(--ISNUMBER(SEARCH(","&amp;TRIM(TEXTSPLIT(GI30,","))&amp;",",","&amp;SUBSTITUTE(input_modality," ","")&amp;",")))=COUNTA(TEXTSPLIT(GI30,",")))))</f>
        <v/>
      </c>
      <c r="JL30" s="19">
        <f>AND(IF(GK30="",TRUE,IF(input_organizer="",FALSE,SUMPRODUCT(--ISNUMBER(SEARCH(","&amp;TRIM(TEXTSPLIT(GK30,","))&amp;",",","&amp;SUBSTITUTE(input_organizer," ","")&amp;",")))&gt;0)),IF(GM30="",TRUE,IF(input_organizer="",FALSE,SUMPRODUCT(--ISNUMBER(SEARCH(","&amp;TRIM(TEXTSPLIT(GM30,","))&amp;",",","&amp;SUBSTITUTE(input_organizer," ","")&amp;",")))=COUNTA(TEXTSPLIT(GM30,",")))),IF(GO30="",TRUE,IF(input_organizer="",TRUE,SUMPRODUCT(--ISNUMBER(SEARCH(","&amp;TRIM(TEXTSPLIT(GO30,","))&amp;",",","&amp;SUBSTITUTE(input_organizer," ","")&amp;",")))=0)),IF(GQ30="",TRUE,IF(input_organizer="",FALSE,SUMPRODUCT(--ISNUMBER(SEARCH(","&amp;TRIM(TEXTSPLIT(GQ30,","))&amp;",",","&amp;SUBSTITUTE(input_organizer," ","")&amp;",")))&gt;0)),IF(GS30="",TRUE,IF(input_organizer="",FALSE,SUMPRODUCT(--ISNUMBER(SEARCH(","&amp;TRIM(TEXTSPLIT(GS30,","))&amp;",",","&amp;SUBSTITUTE(input_organizer," ","")&amp;",")))=COUNTA(TEXTSPLIT(GS30,",")))))</f>
        <v/>
      </c>
      <c r="JM30" s="19">
        <f>AND(IF(GU30="",TRUE,IF(input_profile_type="",FALSE,SUMPRODUCT(--ISNUMBER(SEARCH(","&amp;TRIM(TEXTSPLIT(GU30,","))&amp;",",","&amp;SUBSTITUTE(input_profile_type," ","")&amp;",")))&gt;0)),IF(GW30="",TRUE,IF(input_profile_type="",FALSE,SUMPRODUCT(--ISNUMBER(SEARCH(","&amp;TRIM(TEXTSPLIT(GW30,","))&amp;",",","&amp;SUBSTITUTE(input_profile_type," ","")&amp;",")))=COUNTA(TEXTSPLIT(GW30,",")))),IF(GY30="",TRUE,IF(input_profile_type="",TRUE,SUMPRODUCT(--ISNUMBER(SEARCH(","&amp;TRIM(TEXTSPLIT(GY30,","))&amp;",",","&amp;SUBSTITUTE(input_profile_type," ","")&amp;",")))=0)),IF(HA30="",TRUE,IF(input_profile_type="",FALSE,SUMPRODUCT(--ISNUMBER(SEARCH(","&amp;TRIM(TEXTSPLIT(HA30,","))&amp;",",","&amp;SUBSTITUTE(input_profile_type," ","")&amp;",")))&gt;0)),IF(HC30="",TRUE,IF(input_profile_type="",FALSE,SUMPRODUCT(--ISNUMBER(SEARCH(","&amp;TRIM(TEXTSPLIT(HC30,","))&amp;",",","&amp;SUBSTITUTE(input_profile_type," ","")&amp;",")))=COUNTA(TEXTSPLIT(HC30,",")))))</f>
        <v/>
      </c>
      <c r="JN30" s="19">
        <f>AND(IF(HE30="",TRUE,IF(input_program="",FALSE,SUMPRODUCT(--ISNUMBER(SEARCH(","&amp;TRIM(TEXTSPLIT(HE30,","))&amp;",",","&amp;SUBSTITUTE(input_program," ","")&amp;",")))&gt;0)),IF(HG30="",TRUE,IF(input_program="",FALSE,SUMPRODUCT(--ISNUMBER(SEARCH(","&amp;TRIM(TEXTSPLIT(HG30,","))&amp;",",","&amp;SUBSTITUTE(input_program," ","")&amp;",")))=COUNTA(TEXTSPLIT(HG30,",")))),IF(HI30="",TRUE,IF(input_program="",TRUE,SUMPRODUCT(--ISNUMBER(SEARCH(","&amp;TRIM(TEXTSPLIT(HI30,","))&amp;",",","&amp;SUBSTITUTE(input_program," ","")&amp;",")))=0)),IF(HK30="",TRUE,IF(input_program="",FALSE,SUMPRODUCT(--ISNUMBER(SEARCH(","&amp;TRIM(TEXTSPLIT(HK30,","))&amp;",",","&amp;SUBSTITUTE(input_program," ","")&amp;",")))&gt;0)),IF(HM30="",TRUE,IF(input_program="",FALSE,SUMPRODUCT(--ISNUMBER(SEARCH(","&amp;TRIM(TEXTSPLIT(HM30,","))&amp;",",","&amp;SUBSTITUTE(input_program," ","")&amp;",")))=COUNTA(TEXTSPLIT(HM30,",")))))</f>
        <v/>
      </c>
      <c r="JO30" s="19">
        <f>AND(IF(HO30="",TRUE,IF(input_story_categories="",FALSE,SUMPRODUCT(--ISNUMBER(SEARCH(","&amp;TRIM(TEXTSPLIT(HO30,","))&amp;",",","&amp;SUBSTITUTE(input_story_categories," ","")&amp;",")))&gt;0)),IF(HQ30="",TRUE,IF(input_story_categories="",FALSE,SUMPRODUCT(--ISNUMBER(SEARCH(","&amp;TRIM(TEXTSPLIT(HQ30,","))&amp;",",","&amp;SUBSTITUTE(input_story_categories," ","")&amp;",")))=COUNTA(TEXTSPLIT(HQ30,",")))),IF(HS30="",TRUE,IF(input_story_categories="",TRUE,SUMPRODUCT(--ISNUMBER(SEARCH(","&amp;TRIM(TEXTSPLIT(HS30,","))&amp;",",","&amp;SUBSTITUTE(input_story_categories," ","")&amp;",")))=0)),IF(HU30="",TRUE,IF(input_story_categories="",FALSE,SUMPRODUCT(--ISNUMBER(SEARCH(","&amp;TRIM(TEXTSPLIT(HU30,","))&amp;",",","&amp;SUBSTITUTE(input_story_categories," ","")&amp;",")))&gt;0)),IF(HW30="",TRUE,IF(input_story_categories="",FALSE,SUMPRODUCT(--ISNUMBER(SEARCH(","&amp;TRIM(TEXTSPLIT(HW30,","))&amp;",",","&amp;SUBSTITUTE(input_story_categories," ","")&amp;",")))=COUNTA(TEXTSPLIT(HW30,",")))))</f>
        <v/>
      </c>
      <c r="JP30" s="19">
        <f>AND(IF(HY30="",TRUE,IF(input_story_type="",FALSE,SUMPRODUCT(--ISNUMBER(SEARCH(","&amp;TRIM(TEXTSPLIT(HY30,","))&amp;",",","&amp;SUBSTITUTE(input_story_type," ","")&amp;",")))&gt;0)),IF(IA30="",TRUE,IF(input_story_type="",FALSE,SUMPRODUCT(--ISNUMBER(SEARCH(","&amp;TRIM(TEXTSPLIT(IA30,","))&amp;",",","&amp;SUBSTITUTE(input_story_type," ","")&amp;",")))=COUNTA(TEXTSPLIT(IA30,",")))),IF(IC30="",TRUE,IF(input_story_type="",TRUE,SUMPRODUCT(--ISNUMBER(SEARCH(","&amp;TRIM(TEXTSPLIT(IC30,","))&amp;",",","&amp;SUBSTITUTE(input_story_type," ","")&amp;",")))=0)),IF(IE30="",TRUE,IF(input_story_type="",FALSE,SUMPRODUCT(--ISNUMBER(SEARCH(","&amp;TRIM(TEXTSPLIT(IE30,","))&amp;",",","&amp;SUBSTITUTE(input_story_type," ","")&amp;",")))&gt;0)),IF(IG30="",TRUE,IF(input_story_type="",FALSE,SUMPRODUCT(--ISNUMBER(SEARCH(","&amp;TRIM(TEXTSPLIT(IG30,","))&amp;",",","&amp;SUBSTITUTE(input_story_type," ","")&amp;",")))=COUNTA(TEXTSPLIT(IG30,",")))))</f>
        <v/>
      </c>
      <c r="JQ30" s="19">
        <f>AND(IF(II30="",TRUE,IF(input_topics="",FALSE,SUMPRODUCT(--ISNUMBER(SEARCH(","&amp;TRIM(TEXTSPLIT(II30,","))&amp;",",","&amp;SUBSTITUTE(input_topics," ","")&amp;",")))&gt;0)),IF(IK30="",TRUE,IF(input_topics="",FALSE,SUMPRODUCT(--ISNUMBER(SEARCH(","&amp;TRIM(TEXTSPLIT(IK30,","))&amp;",",","&amp;SUBSTITUTE(input_topics," ","")&amp;",")))=COUNTA(TEXTSPLIT(IK30,",")))),IF(IM30="",TRUE,IF(input_topics="",TRUE,SUMPRODUCT(--ISNUMBER(SEARCH(","&amp;TRIM(TEXTSPLIT(IM30,","))&amp;",",","&amp;SUBSTITUTE(input_topics," ","")&amp;",")))=0)),IF(IO30="",TRUE,IF(input_topics="",FALSE,SUMPRODUCT(--ISNUMBER(SEARCH(","&amp;TRIM(TEXTSPLIT(IO30,","))&amp;",",","&amp;SUBSTITUTE(input_topics," ","")&amp;",")))&gt;0)),IF(IQ30="",TRUE,IF(input_topics="",FALSE,SUMPRODUCT(--ISNUMBER(SEARCH(","&amp;TRIM(TEXTSPLIT(IQ30,","))&amp;",",","&amp;SUBSTITUTE(input_topics," ","")&amp;",")))=COUNTA(TEXTSPLIT(IQ30,",")))))</f>
        <v/>
      </c>
    </row>
    <row r="31">
      <c r="A31" s="24">
        <f>IF(NOT(IS31),"Excluded",IF(AND(IT31,IU31,IV31,IW31,IX31,IY31,IZ31,JA31,JB31,JC31,JD31,JE31,JF31,JG31,JH31,JI31,JJ31,JK31,JL31,JM31,JN31,JO31,JP31,JQ31),IF(I31&gt;0,"Eligible but limited","Will appear"),"Excluded"))</f>
        <v/>
      </c>
      <c r="B31" s="24" t="inlineStr">
        <is>
          <t>All Publications by Author</t>
        </is>
      </c>
      <c r="C31" s="27" t="inlineStr">
        <is>
          <t>/faculty-research/faculty-directory/james-choi</t>
        </is>
      </c>
      <c r="D31" s="24" t="inlineStr">
        <is>
          <t>/faculty-research/faculty-directory/james-choi</t>
        </is>
      </c>
      <c r="E31" s="24" t="n">
        <v>1</v>
      </c>
      <c r="F31" s="24" t="inlineStr">
        <is>
          <t>publications</t>
        </is>
      </c>
      <c r="G31" s="24" t="inlineStr">
        <is>
          <t>publication_teaser_list</t>
        </is>
      </c>
      <c r="H31" s="24" t="inlineStr">
        <is>
          <t>publication_teaser_list_all_by_author</t>
        </is>
      </c>
      <c r="I31" s="24" t="n"/>
      <c r="J31" s="24" t="inlineStr">
        <is>
          <t>View/config rules</t>
        </is>
      </c>
      <c r="K31" s="24" t="inlineStr">
        <is>
          <t>Page placement</t>
        </is>
      </c>
      <c r="L31" s="24" t="inlineStr">
        <is>
          <t>Content type: publications; Source: View/config rules</t>
        </is>
      </c>
      <c r="IS31" s="19">
        <f>IF(input_content_type="",FALSE,ISNUMBER(SEARCH(","&amp;LOWER(input_content_type)&amp;",",","&amp;LOWER(SUBSTITUTE(F31," ",""))&amp;",")))</f>
        <v/>
      </c>
      <c r="IT31" s="19">
        <f>AND(IF(M31="",TRUE,IF(input_affiliations="",FALSE,SUMPRODUCT(--ISNUMBER(SEARCH(","&amp;TRIM(TEXTSPLIT(M31,","))&amp;",",","&amp;SUBSTITUTE(input_affiliations," ","")&amp;",")))&gt;0)),IF(O31="",TRUE,IF(input_affiliations="",FALSE,SUMPRODUCT(--ISNUMBER(SEARCH(","&amp;TRIM(TEXTSPLIT(O31,","))&amp;",",","&amp;SUBSTITUTE(input_affiliations," ","")&amp;",")))=COUNTA(TEXTSPLIT(O31,",")))),IF(Q31="",TRUE,IF(input_affiliations="",TRUE,SUMPRODUCT(--ISNUMBER(SEARCH(","&amp;TRIM(TEXTSPLIT(Q31,","))&amp;",",","&amp;SUBSTITUTE(input_affiliations," ","")&amp;",")))=0)),IF(S31="",TRUE,IF(input_affiliations="",FALSE,SUMPRODUCT(--ISNUMBER(SEARCH(","&amp;TRIM(TEXTSPLIT(S31,","))&amp;",",","&amp;SUBSTITUTE(input_affiliations," ","")&amp;",")))&gt;0)),IF(U31="",TRUE,IF(input_affiliations="",FALSE,SUMPRODUCT(--ISNUMBER(SEARCH(","&amp;TRIM(TEXTSPLIT(U31,","))&amp;",",","&amp;SUBSTITUTE(input_affiliations," ","")&amp;",")))=COUNTA(TEXTSPLIT(U31,",")))))</f>
        <v/>
      </c>
      <c r="IU31" s="19">
        <f>AND(IF(W31="",TRUE,IF(input_announcement_category="",FALSE,SUMPRODUCT(--ISNUMBER(SEARCH(","&amp;TRIM(TEXTSPLIT(W31,","))&amp;",",","&amp;SUBSTITUTE(input_announcement_category," ","")&amp;",")))&gt;0)),IF(Y31="",TRUE,IF(input_announcement_category="",FALSE,SUMPRODUCT(--ISNUMBER(SEARCH(","&amp;TRIM(TEXTSPLIT(Y31,","))&amp;",",","&amp;SUBSTITUTE(input_announcement_category," ","")&amp;",")))=COUNTA(TEXTSPLIT(Y31,",")))),IF(AA31="",TRUE,IF(input_announcement_category="",TRUE,SUMPRODUCT(--ISNUMBER(SEARCH(","&amp;TRIM(TEXTSPLIT(AA31,","))&amp;",",","&amp;SUBSTITUTE(input_announcement_category," ","")&amp;",")))=0)),IF(AC31="",TRUE,IF(input_announcement_category="",FALSE,SUMPRODUCT(--ISNUMBER(SEARCH(","&amp;TRIM(TEXTSPLIT(AC31,","))&amp;",",","&amp;SUBSTITUTE(input_announcement_category," ","")&amp;",")))&gt;0)),IF(AE31="",TRUE,IF(input_announcement_category="",FALSE,SUMPRODUCT(--ISNUMBER(SEARCH(","&amp;TRIM(TEXTSPLIT(AE31,","))&amp;",",","&amp;SUBSTITUTE(input_announcement_category," ","")&amp;",")))=COUNTA(TEXTSPLIT(AE31,",")))))</f>
        <v/>
      </c>
      <c r="IV31" s="19">
        <f>AND(IF(AG31="",TRUE,IF(input_area_of_focus="",FALSE,SUMPRODUCT(--ISNUMBER(SEARCH(","&amp;TRIM(TEXTSPLIT(AG31,","))&amp;",",","&amp;SUBSTITUTE(input_area_of_focus," ","")&amp;",")))&gt;0)),IF(AI31="",TRUE,IF(input_area_of_focus="",FALSE,SUMPRODUCT(--ISNUMBER(SEARCH(","&amp;TRIM(TEXTSPLIT(AI31,","))&amp;",",","&amp;SUBSTITUTE(input_area_of_focus," ","")&amp;",")))=COUNTA(TEXTSPLIT(AI31,",")))),IF(AK31="",TRUE,IF(input_area_of_focus="",TRUE,SUMPRODUCT(--ISNUMBER(SEARCH(","&amp;TRIM(TEXTSPLIT(AK31,","))&amp;",",","&amp;SUBSTITUTE(input_area_of_focus," ","")&amp;",")))=0)),IF(AM31="",TRUE,IF(input_area_of_focus="",FALSE,SUMPRODUCT(--ISNUMBER(SEARCH(","&amp;TRIM(TEXTSPLIT(AM31,","))&amp;",",","&amp;SUBSTITUTE(input_area_of_focus," ","")&amp;",")))&gt;0)),IF(AO31="",TRUE,IF(input_area_of_focus="",FALSE,SUMPRODUCT(--ISNUMBER(SEARCH(","&amp;TRIM(TEXTSPLIT(AO31,","))&amp;",",","&amp;SUBSTITUTE(input_area_of_focus," ","")&amp;",")))=COUNTA(TEXTSPLIT(AO31,",")))))</f>
        <v/>
      </c>
      <c r="IW31" s="19">
        <f>AND(IF(AQ31="",TRUE,IF(input_audience="",FALSE,SUMPRODUCT(--ISNUMBER(SEARCH(","&amp;TRIM(TEXTSPLIT(AQ31,","))&amp;",",","&amp;SUBSTITUTE(input_audience," ","")&amp;",")))&gt;0)),IF(AS31="",TRUE,IF(input_audience="",FALSE,SUMPRODUCT(--ISNUMBER(SEARCH(","&amp;TRIM(TEXTSPLIT(AS31,","))&amp;",",","&amp;SUBSTITUTE(input_audience," ","")&amp;",")))=COUNTA(TEXTSPLIT(AS31,",")))),IF(AU31="",TRUE,IF(input_audience="",TRUE,SUMPRODUCT(--ISNUMBER(SEARCH(","&amp;TRIM(TEXTSPLIT(AU31,","))&amp;",",","&amp;SUBSTITUTE(input_audience," ","")&amp;",")))=0)),IF(AW31="",TRUE,IF(input_audience="",FALSE,SUMPRODUCT(--ISNUMBER(SEARCH(","&amp;TRIM(TEXTSPLIT(AW31,","))&amp;",",","&amp;SUBSTITUTE(input_audience," ","")&amp;",")))&gt;0)),IF(AY31="",TRUE,IF(input_audience="",FALSE,SUMPRODUCT(--ISNUMBER(SEARCH(","&amp;TRIM(TEXTSPLIT(AY31,","))&amp;",",","&amp;SUBSTITUTE(input_audience," ","")&amp;",")))=COUNTA(TEXTSPLIT(AY31,",")))))</f>
        <v/>
      </c>
      <c r="IX31" s="19">
        <f>AND(IF(BA31="",TRUE,IF(input_challenge_opportunities="",FALSE,SUMPRODUCT(--ISNUMBER(SEARCH(","&amp;TRIM(TEXTSPLIT(BA31,","))&amp;",",","&amp;SUBSTITUTE(input_challenge_opportunities," ","")&amp;",")))&gt;0)),IF(BC31="",TRUE,IF(input_challenge_opportunities="",FALSE,SUMPRODUCT(--ISNUMBER(SEARCH(","&amp;TRIM(TEXTSPLIT(BC31,","))&amp;",",","&amp;SUBSTITUTE(input_challenge_opportunities," ","")&amp;",")))=COUNTA(TEXTSPLIT(BC31,",")))),IF(BE31="",TRUE,IF(input_challenge_opportunities="",TRUE,SUMPRODUCT(--ISNUMBER(SEARCH(","&amp;TRIM(TEXTSPLIT(BE31,","))&amp;",",","&amp;SUBSTITUTE(input_challenge_opportunities," ","")&amp;",")))=0)),IF(BG31="",TRUE,IF(input_challenge_opportunities="",FALSE,SUMPRODUCT(--ISNUMBER(SEARCH(","&amp;TRIM(TEXTSPLIT(BG31,","))&amp;",",","&amp;SUBSTITUTE(input_challenge_opportunities," ","")&amp;",")))&gt;0)),IF(BI31="",TRUE,IF(input_challenge_opportunities="",FALSE,SUMPRODUCT(--ISNUMBER(SEARCH(","&amp;TRIM(TEXTSPLIT(BI31,","))&amp;",",","&amp;SUBSTITUTE(input_challenge_opportunities," ","")&amp;",")))=COUNTA(TEXTSPLIT(BI31,",")))))</f>
        <v/>
      </c>
      <c r="IY31" s="19">
        <f>AND(IF(BK31="",TRUE,IF(input_context="",FALSE,SUMPRODUCT(--ISNUMBER(SEARCH(","&amp;TRIM(TEXTSPLIT(BK31,","))&amp;",",","&amp;SUBSTITUTE(input_context," ","")&amp;",")))&gt;0)),IF(BM31="",TRUE,IF(input_context="",FALSE,SUMPRODUCT(--ISNUMBER(SEARCH(","&amp;TRIM(TEXTSPLIT(BM31,","))&amp;",",","&amp;SUBSTITUTE(input_context," ","")&amp;",")))=COUNTA(TEXTSPLIT(BM31,",")))),IF(BO31="",TRUE,IF(input_context="",TRUE,SUMPRODUCT(--ISNUMBER(SEARCH(","&amp;TRIM(TEXTSPLIT(BO31,","))&amp;",",","&amp;SUBSTITUTE(input_context," ","")&amp;",")))=0)),IF(BQ31="",TRUE,IF(input_context="",FALSE,SUMPRODUCT(--ISNUMBER(SEARCH(","&amp;TRIM(TEXTSPLIT(BQ31,","))&amp;",",","&amp;SUBSTITUTE(input_context," ","")&amp;",")))&gt;0)),IF(BS31="",TRUE,IF(input_context="",FALSE,SUMPRODUCT(--ISNUMBER(SEARCH(","&amp;TRIM(TEXTSPLIT(BS31,","))&amp;",",","&amp;SUBSTITUTE(input_context," ","")&amp;",")))=COUNTA(TEXTSPLIT(BS31,",")))))</f>
        <v/>
      </c>
      <c r="IZ31" s="19">
        <f>AND(IF(BU31="",TRUE,IF(input_enews_announcement_type="",FALSE,SUMPRODUCT(--ISNUMBER(SEARCH(","&amp;TRIM(TEXTSPLIT(BU31,","))&amp;",",","&amp;SUBSTITUTE(input_enews_announcement_type," ","")&amp;",")))&gt;0)),IF(BW31="",TRUE,IF(input_enews_announcement_type="",FALSE,SUMPRODUCT(--ISNUMBER(SEARCH(","&amp;TRIM(TEXTSPLIT(BW31,","))&amp;",",","&amp;SUBSTITUTE(input_enews_announcement_type," ","")&amp;",")))=COUNTA(TEXTSPLIT(BW31,",")))),IF(BY31="",TRUE,IF(input_enews_announcement_type="",TRUE,SUMPRODUCT(--ISNUMBER(SEARCH(","&amp;TRIM(TEXTSPLIT(BY31,","))&amp;",",","&amp;SUBSTITUTE(input_enews_announcement_type," ","")&amp;",")))=0)),IF(CA31="",TRUE,IF(input_enews_announcement_type="",FALSE,SUMPRODUCT(--ISNUMBER(SEARCH(","&amp;TRIM(TEXTSPLIT(CA31,","))&amp;",",","&amp;SUBSTITUTE(input_enews_announcement_type," ","")&amp;",")))&gt;0)),IF(CC31="",TRUE,IF(input_enews_announcement_type="",FALSE,SUMPRODUCT(--ISNUMBER(SEARCH(","&amp;TRIM(TEXTSPLIT(CC31,","))&amp;",",","&amp;SUBSTITUTE(input_enews_announcement_type," ","")&amp;",")))=COUNTA(TEXTSPLIT(CC31,",")))))</f>
        <v/>
      </c>
      <c r="JA31" s="19">
        <f>AND(IF(CE31="",TRUE,IF(input_enews_audience="",FALSE,SUMPRODUCT(--ISNUMBER(SEARCH(","&amp;TRIM(TEXTSPLIT(CE31,","))&amp;",",","&amp;SUBSTITUTE(input_enews_audience," ","")&amp;",")))&gt;0)),IF(CG31="",TRUE,IF(input_enews_audience="",FALSE,SUMPRODUCT(--ISNUMBER(SEARCH(","&amp;TRIM(TEXTSPLIT(CG31,","))&amp;",",","&amp;SUBSTITUTE(input_enews_audience," ","")&amp;",")))=COUNTA(TEXTSPLIT(CG31,",")))),IF(CI31="",TRUE,IF(input_enews_audience="",TRUE,SUMPRODUCT(--ISNUMBER(SEARCH(","&amp;TRIM(TEXTSPLIT(CI31,","))&amp;",",","&amp;SUBSTITUTE(input_enews_audience," ","")&amp;",")))=0)),IF(CK31="",TRUE,IF(input_enews_audience="",FALSE,SUMPRODUCT(--ISNUMBER(SEARCH(","&amp;TRIM(TEXTSPLIT(CK31,","))&amp;",",","&amp;SUBSTITUTE(input_enews_audience," ","")&amp;",")))&gt;0)),IF(CM31="",TRUE,IF(input_enews_audience="",FALSE,SUMPRODUCT(--ISNUMBER(SEARCH(","&amp;TRIM(TEXTSPLIT(CM31,","))&amp;",",","&amp;SUBSTITUTE(input_enews_audience," ","")&amp;",")))=COUNTA(TEXTSPLIT(CM31,",")))))</f>
        <v/>
      </c>
      <c r="JB31" s="19">
        <f>AND(IF(CO31="",TRUE,IF(input_event_location="",FALSE,SUMPRODUCT(--ISNUMBER(SEARCH(","&amp;TRIM(TEXTSPLIT(CO31,","))&amp;",",","&amp;SUBSTITUTE(input_event_location," ","")&amp;",")))&gt;0)),IF(CQ31="",TRUE,IF(input_event_location="",FALSE,SUMPRODUCT(--ISNUMBER(SEARCH(","&amp;TRIM(TEXTSPLIT(CQ31,","))&amp;",",","&amp;SUBSTITUTE(input_event_location," ","")&amp;",")))=COUNTA(TEXTSPLIT(CQ31,",")))),IF(CS31="",TRUE,IF(input_event_location="",TRUE,SUMPRODUCT(--ISNUMBER(SEARCH(","&amp;TRIM(TEXTSPLIT(CS31,","))&amp;",",","&amp;SUBSTITUTE(input_event_location," ","")&amp;",")))=0)),IF(CU31="",TRUE,IF(input_event_location="",FALSE,SUMPRODUCT(--ISNUMBER(SEARCH(","&amp;TRIM(TEXTSPLIT(CU31,","))&amp;",",","&amp;SUBSTITUTE(input_event_location," ","")&amp;",")))&gt;0)),IF(CW31="",TRUE,IF(input_event_location="",FALSE,SUMPRODUCT(--ISNUMBER(SEARCH(","&amp;TRIM(TEXTSPLIT(CW31,","))&amp;",",","&amp;SUBSTITUTE(input_event_location," ","")&amp;",")))=COUNTA(TEXTSPLIT(CW31,",")))))</f>
        <v/>
      </c>
      <c r="JC31" s="19">
        <f>AND(IF(CY31="",TRUE,IF(input_event_type="",FALSE,SUMPRODUCT(--ISNUMBER(SEARCH(","&amp;TRIM(TEXTSPLIT(CY31,","))&amp;",",","&amp;SUBSTITUTE(input_event_type," ","")&amp;",")))&gt;0)),IF(DA31="",TRUE,IF(input_event_type="",FALSE,SUMPRODUCT(--ISNUMBER(SEARCH(","&amp;TRIM(TEXTSPLIT(DA31,","))&amp;",",","&amp;SUBSTITUTE(input_event_type," ","")&amp;",")))=COUNTA(TEXTSPLIT(DA31,",")))),IF(DC31="",TRUE,IF(input_event_type="",TRUE,SUMPRODUCT(--ISNUMBER(SEARCH(","&amp;TRIM(TEXTSPLIT(DC31,","))&amp;",",","&amp;SUBSTITUTE(input_event_type," ","")&amp;",")))=0)),IF(DE31="",TRUE,IF(input_event_type="",FALSE,SUMPRODUCT(--ISNUMBER(SEARCH(","&amp;TRIM(TEXTSPLIT(DE31,","))&amp;",",","&amp;SUBSTITUTE(input_event_type," ","")&amp;",")))&gt;0)),IF(DG31="",TRUE,IF(input_event_type="",FALSE,SUMPRODUCT(--ISNUMBER(SEARCH(","&amp;TRIM(TEXTSPLIT(DG31,","))&amp;",",","&amp;SUBSTITUTE(input_event_type," ","")&amp;",")))=COUNTA(TEXTSPLIT(DG31,",")))))</f>
        <v/>
      </c>
      <c r="JD31" s="19">
        <f>AND(IF(DI31="",TRUE,IF(input_executive_education_focus="",FALSE,SUMPRODUCT(--ISNUMBER(SEARCH(","&amp;TRIM(TEXTSPLIT(DI31,","))&amp;",",","&amp;SUBSTITUTE(input_executive_education_focus," ","")&amp;",")))&gt;0)),IF(DK31="",TRUE,IF(input_executive_education_focus="",FALSE,SUMPRODUCT(--ISNUMBER(SEARCH(","&amp;TRIM(TEXTSPLIT(DK31,","))&amp;",",","&amp;SUBSTITUTE(input_executive_education_focus," ","")&amp;",")))=COUNTA(TEXTSPLIT(DK31,",")))),IF(DM31="",TRUE,IF(input_executive_education_focus="",TRUE,SUMPRODUCT(--ISNUMBER(SEARCH(","&amp;TRIM(TEXTSPLIT(DM31,","))&amp;",",","&amp;SUBSTITUTE(input_executive_education_focus," ","")&amp;",")))=0)),IF(DO31="",TRUE,IF(input_executive_education_focus="",FALSE,SUMPRODUCT(--ISNUMBER(SEARCH(","&amp;TRIM(TEXTSPLIT(DO31,","))&amp;",",","&amp;SUBSTITUTE(input_executive_education_focus," ","")&amp;",")))&gt;0)),IF(DQ31="",TRUE,IF(input_executive_education_focus="",FALSE,SUMPRODUCT(--ISNUMBER(SEARCH(","&amp;TRIM(TEXTSPLIT(DQ31,","))&amp;",",","&amp;SUBSTITUTE(input_executive_education_focus," ","")&amp;",")))=COUNTA(TEXTSPLIT(DQ31,",")))))</f>
        <v/>
      </c>
      <c r="JE31" s="19">
        <f>AND(IF(DS31="",TRUE,IF(input_faculty_category="",FALSE,SUMPRODUCT(--ISNUMBER(SEARCH(","&amp;TRIM(TEXTSPLIT(DS31,","))&amp;",",","&amp;SUBSTITUTE(input_faculty_category," ","")&amp;",")))&gt;0)),IF(DU31="",TRUE,IF(input_faculty_category="",FALSE,SUMPRODUCT(--ISNUMBER(SEARCH(","&amp;TRIM(TEXTSPLIT(DU31,","))&amp;",",","&amp;SUBSTITUTE(input_faculty_category," ","")&amp;",")))=COUNTA(TEXTSPLIT(DU31,",")))),IF(DW31="",TRUE,IF(input_faculty_category="",TRUE,SUMPRODUCT(--ISNUMBER(SEARCH(","&amp;TRIM(TEXTSPLIT(DW31,","))&amp;",",","&amp;SUBSTITUTE(input_faculty_category," ","")&amp;",")))=0)),IF(DY31="",TRUE,IF(input_faculty_category="",FALSE,SUMPRODUCT(--ISNUMBER(SEARCH(","&amp;TRIM(TEXTSPLIT(DY31,","))&amp;",",","&amp;SUBSTITUTE(input_faculty_category," ","")&amp;",")))&gt;0)),IF(EA31="",TRUE,IF(input_faculty_category="",FALSE,SUMPRODUCT(--ISNUMBER(SEARCH(","&amp;TRIM(TEXTSPLIT(EA31,","))&amp;",",","&amp;SUBSTITUTE(input_faculty_category," ","")&amp;",")))=COUNTA(TEXTSPLIT(EA31,",")))))</f>
        <v/>
      </c>
      <c r="JF31" s="19">
        <f>AND(IF(EC31="",TRUE,IF(input_faculty_discipline="",FALSE,SUMPRODUCT(--ISNUMBER(SEARCH(","&amp;TRIM(TEXTSPLIT(EC31,","))&amp;",",","&amp;SUBSTITUTE(input_faculty_discipline," ","")&amp;",")))&gt;0)),IF(EE31="",TRUE,IF(input_faculty_discipline="",FALSE,SUMPRODUCT(--ISNUMBER(SEARCH(","&amp;TRIM(TEXTSPLIT(EE31,","))&amp;",",","&amp;SUBSTITUTE(input_faculty_discipline," ","")&amp;",")))=COUNTA(TEXTSPLIT(EE31,",")))),IF(EG31="",TRUE,IF(input_faculty_discipline="",TRUE,SUMPRODUCT(--ISNUMBER(SEARCH(","&amp;TRIM(TEXTSPLIT(EG31,","))&amp;",",","&amp;SUBSTITUTE(input_faculty_discipline," ","")&amp;",")))=0)),IF(EI31="",TRUE,IF(input_faculty_discipline="",FALSE,SUMPRODUCT(--ISNUMBER(SEARCH(","&amp;TRIM(TEXTSPLIT(EI31,","))&amp;",",","&amp;SUBSTITUTE(input_faculty_discipline," ","")&amp;",")))&gt;0)),IF(EK31="",TRUE,IF(input_faculty_discipline="",FALSE,SUMPRODUCT(--ISNUMBER(SEARCH(","&amp;TRIM(TEXTSPLIT(EK31,","))&amp;",",","&amp;SUBSTITUTE(input_faculty_discipline," ","")&amp;",")))=COUNTA(TEXTSPLIT(EK31,",")))))</f>
        <v/>
      </c>
      <c r="JG31" s="19">
        <f>AND(IF(EM31="",TRUE,IF(input_faculty_expertise="",FALSE,SUMPRODUCT(--ISNUMBER(SEARCH(","&amp;TRIM(TEXTSPLIT(EM31,","))&amp;",",","&amp;SUBSTITUTE(input_faculty_expertise," ","")&amp;",")))&gt;0)),IF(EO31="",TRUE,IF(input_faculty_expertise="",FALSE,SUMPRODUCT(--ISNUMBER(SEARCH(","&amp;TRIM(TEXTSPLIT(EO31,","))&amp;",",","&amp;SUBSTITUTE(input_faculty_expertise," ","")&amp;",")))=COUNTA(TEXTSPLIT(EO31,",")))),IF(EQ31="",TRUE,IF(input_faculty_expertise="",TRUE,SUMPRODUCT(--ISNUMBER(SEARCH(","&amp;TRIM(TEXTSPLIT(EQ31,","))&amp;",",","&amp;SUBSTITUTE(input_faculty_expertise," ","")&amp;",")))=0)),IF(ES31="",TRUE,IF(input_faculty_expertise="",FALSE,SUMPRODUCT(--ISNUMBER(SEARCH(","&amp;TRIM(TEXTSPLIT(ES31,","))&amp;",",","&amp;SUBSTITUTE(input_faculty_expertise," ","")&amp;",")))&gt;0)),IF(EU31="",TRUE,IF(input_faculty_expertise="",FALSE,SUMPRODUCT(--ISNUMBER(SEARCH(","&amp;TRIM(TEXTSPLIT(EU31,","))&amp;",",","&amp;SUBSTITUTE(input_faculty_expertise," ","")&amp;",")))=COUNTA(TEXTSPLIT(EU31,",")))))</f>
        <v/>
      </c>
      <c r="JH31" s="19">
        <f>AND(IF(EW31="",TRUE,IF(input_global_network_school="",FALSE,SUMPRODUCT(--ISNUMBER(SEARCH(","&amp;TRIM(TEXTSPLIT(EW31,","))&amp;",",","&amp;SUBSTITUTE(input_global_network_school," ","")&amp;",")))&gt;0)),IF(EY31="",TRUE,IF(input_global_network_school="",FALSE,SUMPRODUCT(--ISNUMBER(SEARCH(","&amp;TRIM(TEXTSPLIT(EY31,","))&amp;",",","&amp;SUBSTITUTE(input_global_network_school," ","")&amp;",")))=COUNTA(TEXTSPLIT(EY31,",")))),IF(FA31="",TRUE,IF(input_global_network_school="",TRUE,SUMPRODUCT(--ISNUMBER(SEARCH(","&amp;TRIM(TEXTSPLIT(FA31,","))&amp;",",","&amp;SUBSTITUTE(input_global_network_school," ","")&amp;",")))=0)),IF(FC31="",TRUE,IF(input_global_network_school="",FALSE,SUMPRODUCT(--ISNUMBER(SEARCH(","&amp;TRIM(TEXTSPLIT(FC31,","))&amp;",",","&amp;SUBSTITUTE(input_global_network_school," ","")&amp;",")))&gt;0)),IF(FE31="",TRUE,IF(input_global_network_school="",FALSE,SUMPRODUCT(--ISNUMBER(SEARCH(","&amp;TRIM(TEXTSPLIT(FE31,","))&amp;",",","&amp;SUBSTITUTE(input_global_network_school," ","")&amp;",")))=COUNTA(TEXTSPLIT(FE31,",")))))</f>
        <v/>
      </c>
      <c r="JI31" s="19">
        <f>AND(IF(FG31="",TRUE,IF(input_industry="",FALSE,SUMPRODUCT(--ISNUMBER(SEARCH(","&amp;TRIM(TEXTSPLIT(FG31,","))&amp;",",","&amp;SUBSTITUTE(input_industry," ","")&amp;",")))&gt;0)),IF(FI31="",TRUE,IF(input_industry="",FALSE,SUMPRODUCT(--ISNUMBER(SEARCH(","&amp;TRIM(TEXTSPLIT(FI31,","))&amp;",",","&amp;SUBSTITUTE(input_industry," ","")&amp;",")))=COUNTA(TEXTSPLIT(FI31,",")))),IF(FK31="",TRUE,IF(input_industry="",TRUE,SUMPRODUCT(--ISNUMBER(SEARCH(","&amp;TRIM(TEXTSPLIT(FK31,","))&amp;",",","&amp;SUBSTITUTE(input_industry," ","")&amp;",")))=0)),IF(FM31="",TRUE,IF(input_industry="",FALSE,SUMPRODUCT(--ISNUMBER(SEARCH(","&amp;TRIM(TEXTSPLIT(FM31,","))&amp;",",","&amp;SUBSTITUTE(input_industry," ","")&amp;",")))&gt;0)),IF(FO31="",TRUE,IF(input_industry="",FALSE,SUMPRODUCT(--ISNUMBER(SEARCH(","&amp;TRIM(TEXTSPLIT(FO31,","))&amp;",",","&amp;SUBSTITUTE(input_industry," ","")&amp;",")))=COUNTA(TEXTSPLIT(FO31,",")))))</f>
        <v/>
      </c>
      <c r="JJ31" s="19">
        <f>AND(IF(FQ31="",TRUE,IF(input_location="",FALSE,SUMPRODUCT(--ISNUMBER(SEARCH(","&amp;TRIM(TEXTSPLIT(FQ31,","))&amp;",",","&amp;SUBSTITUTE(input_location," ","")&amp;",")))&gt;0)),IF(FS31="",TRUE,IF(input_location="",FALSE,SUMPRODUCT(--ISNUMBER(SEARCH(","&amp;TRIM(TEXTSPLIT(FS31,","))&amp;",",","&amp;SUBSTITUTE(input_location," ","")&amp;",")))=COUNTA(TEXTSPLIT(FS31,",")))),IF(FU31="",TRUE,IF(input_location="",TRUE,SUMPRODUCT(--ISNUMBER(SEARCH(","&amp;TRIM(TEXTSPLIT(FU31,","))&amp;",",","&amp;SUBSTITUTE(input_location," ","")&amp;",")))=0)),IF(FW31="",TRUE,IF(input_location="",FALSE,SUMPRODUCT(--ISNUMBER(SEARCH(","&amp;TRIM(TEXTSPLIT(FW31,","))&amp;",",","&amp;SUBSTITUTE(input_location," ","")&amp;",")))&gt;0)),IF(FY31="",TRUE,IF(input_location="",FALSE,SUMPRODUCT(--ISNUMBER(SEARCH(","&amp;TRIM(TEXTSPLIT(FY31,","))&amp;",",","&amp;SUBSTITUTE(input_location," ","")&amp;",")))=COUNTA(TEXTSPLIT(FY31,",")))))</f>
        <v/>
      </c>
      <c r="JK31" s="19">
        <f>AND(IF(GA31="",TRUE,IF(input_modality="",FALSE,SUMPRODUCT(--ISNUMBER(SEARCH(","&amp;TRIM(TEXTSPLIT(GA31,","))&amp;",",","&amp;SUBSTITUTE(input_modality," ","")&amp;",")))&gt;0)),IF(GC31="",TRUE,IF(input_modality="",FALSE,SUMPRODUCT(--ISNUMBER(SEARCH(","&amp;TRIM(TEXTSPLIT(GC31,","))&amp;",",","&amp;SUBSTITUTE(input_modality," ","")&amp;",")))=COUNTA(TEXTSPLIT(GC31,",")))),IF(GE31="",TRUE,IF(input_modality="",TRUE,SUMPRODUCT(--ISNUMBER(SEARCH(","&amp;TRIM(TEXTSPLIT(GE31,","))&amp;",",","&amp;SUBSTITUTE(input_modality," ","")&amp;",")))=0)),IF(GG31="",TRUE,IF(input_modality="",FALSE,SUMPRODUCT(--ISNUMBER(SEARCH(","&amp;TRIM(TEXTSPLIT(GG31,","))&amp;",",","&amp;SUBSTITUTE(input_modality," ","")&amp;",")))&gt;0)),IF(GI31="",TRUE,IF(input_modality="",FALSE,SUMPRODUCT(--ISNUMBER(SEARCH(","&amp;TRIM(TEXTSPLIT(GI31,","))&amp;",",","&amp;SUBSTITUTE(input_modality," ","")&amp;",")))=COUNTA(TEXTSPLIT(GI31,",")))))</f>
        <v/>
      </c>
      <c r="JL31" s="19">
        <f>AND(IF(GK31="",TRUE,IF(input_organizer="",FALSE,SUMPRODUCT(--ISNUMBER(SEARCH(","&amp;TRIM(TEXTSPLIT(GK31,","))&amp;",",","&amp;SUBSTITUTE(input_organizer," ","")&amp;",")))&gt;0)),IF(GM31="",TRUE,IF(input_organizer="",FALSE,SUMPRODUCT(--ISNUMBER(SEARCH(","&amp;TRIM(TEXTSPLIT(GM31,","))&amp;",",","&amp;SUBSTITUTE(input_organizer," ","")&amp;",")))=COUNTA(TEXTSPLIT(GM31,",")))),IF(GO31="",TRUE,IF(input_organizer="",TRUE,SUMPRODUCT(--ISNUMBER(SEARCH(","&amp;TRIM(TEXTSPLIT(GO31,","))&amp;",",","&amp;SUBSTITUTE(input_organizer," ","")&amp;",")))=0)),IF(GQ31="",TRUE,IF(input_organizer="",FALSE,SUMPRODUCT(--ISNUMBER(SEARCH(","&amp;TRIM(TEXTSPLIT(GQ31,","))&amp;",",","&amp;SUBSTITUTE(input_organizer," ","")&amp;",")))&gt;0)),IF(GS31="",TRUE,IF(input_organizer="",FALSE,SUMPRODUCT(--ISNUMBER(SEARCH(","&amp;TRIM(TEXTSPLIT(GS31,","))&amp;",",","&amp;SUBSTITUTE(input_organizer," ","")&amp;",")))=COUNTA(TEXTSPLIT(GS31,",")))))</f>
        <v/>
      </c>
      <c r="JM31" s="19">
        <f>AND(IF(GU31="",TRUE,IF(input_profile_type="",FALSE,SUMPRODUCT(--ISNUMBER(SEARCH(","&amp;TRIM(TEXTSPLIT(GU31,","))&amp;",",","&amp;SUBSTITUTE(input_profile_type," ","")&amp;",")))&gt;0)),IF(GW31="",TRUE,IF(input_profile_type="",FALSE,SUMPRODUCT(--ISNUMBER(SEARCH(","&amp;TRIM(TEXTSPLIT(GW31,","))&amp;",",","&amp;SUBSTITUTE(input_profile_type," ","")&amp;",")))=COUNTA(TEXTSPLIT(GW31,",")))),IF(GY31="",TRUE,IF(input_profile_type="",TRUE,SUMPRODUCT(--ISNUMBER(SEARCH(","&amp;TRIM(TEXTSPLIT(GY31,","))&amp;",",","&amp;SUBSTITUTE(input_profile_type," ","")&amp;",")))=0)),IF(HA31="",TRUE,IF(input_profile_type="",FALSE,SUMPRODUCT(--ISNUMBER(SEARCH(","&amp;TRIM(TEXTSPLIT(HA31,","))&amp;",",","&amp;SUBSTITUTE(input_profile_type," ","")&amp;",")))&gt;0)),IF(HC31="",TRUE,IF(input_profile_type="",FALSE,SUMPRODUCT(--ISNUMBER(SEARCH(","&amp;TRIM(TEXTSPLIT(HC31,","))&amp;",",","&amp;SUBSTITUTE(input_profile_type," ","")&amp;",")))=COUNTA(TEXTSPLIT(HC31,",")))))</f>
        <v/>
      </c>
      <c r="JN31" s="19">
        <f>AND(IF(HE31="",TRUE,IF(input_program="",FALSE,SUMPRODUCT(--ISNUMBER(SEARCH(","&amp;TRIM(TEXTSPLIT(HE31,","))&amp;",",","&amp;SUBSTITUTE(input_program," ","")&amp;",")))&gt;0)),IF(HG31="",TRUE,IF(input_program="",FALSE,SUMPRODUCT(--ISNUMBER(SEARCH(","&amp;TRIM(TEXTSPLIT(HG31,","))&amp;",",","&amp;SUBSTITUTE(input_program," ","")&amp;",")))=COUNTA(TEXTSPLIT(HG31,",")))),IF(HI31="",TRUE,IF(input_program="",TRUE,SUMPRODUCT(--ISNUMBER(SEARCH(","&amp;TRIM(TEXTSPLIT(HI31,","))&amp;",",","&amp;SUBSTITUTE(input_program," ","")&amp;",")))=0)),IF(HK31="",TRUE,IF(input_program="",FALSE,SUMPRODUCT(--ISNUMBER(SEARCH(","&amp;TRIM(TEXTSPLIT(HK31,","))&amp;",",","&amp;SUBSTITUTE(input_program," ","")&amp;",")))&gt;0)),IF(HM31="",TRUE,IF(input_program="",FALSE,SUMPRODUCT(--ISNUMBER(SEARCH(","&amp;TRIM(TEXTSPLIT(HM31,","))&amp;",",","&amp;SUBSTITUTE(input_program," ","")&amp;",")))=COUNTA(TEXTSPLIT(HM31,",")))))</f>
        <v/>
      </c>
      <c r="JO31" s="19">
        <f>AND(IF(HO31="",TRUE,IF(input_story_categories="",FALSE,SUMPRODUCT(--ISNUMBER(SEARCH(","&amp;TRIM(TEXTSPLIT(HO31,","))&amp;",",","&amp;SUBSTITUTE(input_story_categories," ","")&amp;",")))&gt;0)),IF(HQ31="",TRUE,IF(input_story_categories="",FALSE,SUMPRODUCT(--ISNUMBER(SEARCH(","&amp;TRIM(TEXTSPLIT(HQ31,","))&amp;",",","&amp;SUBSTITUTE(input_story_categories," ","")&amp;",")))=COUNTA(TEXTSPLIT(HQ31,",")))),IF(HS31="",TRUE,IF(input_story_categories="",TRUE,SUMPRODUCT(--ISNUMBER(SEARCH(","&amp;TRIM(TEXTSPLIT(HS31,","))&amp;",",","&amp;SUBSTITUTE(input_story_categories," ","")&amp;",")))=0)),IF(HU31="",TRUE,IF(input_story_categories="",FALSE,SUMPRODUCT(--ISNUMBER(SEARCH(","&amp;TRIM(TEXTSPLIT(HU31,","))&amp;",",","&amp;SUBSTITUTE(input_story_categories," ","")&amp;",")))&gt;0)),IF(HW31="",TRUE,IF(input_story_categories="",FALSE,SUMPRODUCT(--ISNUMBER(SEARCH(","&amp;TRIM(TEXTSPLIT(HW31,","))&amp;",",","&amp;SUBSTITUTE(input_story_categories," ","")&amp;",")))=COUNTA(TEXTSPLIT(HW31,",")))))</f>
        <v/>
      </c>
      <c r="JP31" s="19">
        <f>AND(IF(HY31="",TRUE,IF(input_story_type="",FALSE,SUMPRODUCT(--ISNUMBER(SEARCH(","&amp;TRIM(TEXTSPLIT(HY31,","))&amp;",",","&amp;SUBSTITUTE(input_story_type," ","")&amp;",")))&gt;0)),IF(IA31="",TRUE,IF(input_story_type="",FALSE,SUMPRODUCT(--ISNUMBER(SEARCH(","&amp;TRIM(TEXTSPLIT(IA31,","))&amp;",",","&amp;SUBSTITUTE(input_story_type," ","")&amp;",")))=COUNTA(TEXTSPLIT(IA31,",")))),IF(IC31="",TRUE,IF(input_story_type="",TRUE,SUMPRODUCT(--ISNUMBER(SEARCH(","&amp;TRIM(TEXTSPLIT(IC31,","))&amp;",",","&amp;SUBSTITUTE(input_story_type," ","")&amp;",")))=0)),IF(IE31="",TRUE,IF(input_story_type="",FALSE,SUMPRODUCT(--ISNUMBER(SEARCH(","&amp;TRIM(TEXTSPLIT(IE31,","))&amp;",",","&amp;SUBSTITUTE(input_story_type," ","")&amp;",")))&gt;0)),IF(IG31="",TRUE,IF(input_story_type="",FALSE,SUMPRODUCT(--ISNUMBER(SEARCH(","&amp;TRIM(TEXTSPLIT(IG31,","))&amp;",",","&amp;SUBSTITUTE(input_story_type," ","")&amp;",")))=COUNTA(TEXTSPLIT(IG31,",")))))</f>
        <v/>
      </c>
      <c r="JQ31" s="19">
        <f>AND(IF(II31="",TRUE,IF(input_topics="",FALSE,SUMPRODUCT(--ISNUMBER(SEARCH(","&amp;TRIM(TEXTSPLIT(II31,","))&amp;",",","&amp;SUBSTITUTE(input_topics," ","")&amp;",")))&gt;0)),IF(IK31="",TRUE,IF(input_topics="",FALSE,SUMPRODUCT(--ISNUMBER(SEARCH(","&amp;TRIM(TEXTSPLIT(IK31,","))&amp;",",","&amp;SUBSTITUTE(input_topics," ","")&amp;",")))=COUNTA(TEXTSPLIT(IK31,",")))),IF(IM31="",TRUE,IF(input_topics="",TRUE,SUMPRODUCT(--ISNUMBER(SEARCH(","&amp;TRIM(TEXTSPLIT(IM31,","))&amp;",",","&amp;SUBSTITUTE(input_topics," ","")&amp;",")))=0)),IF(IO31="",TRUE,IF(input_topics="",FALSE,SUMPRODUCT(--ISNUMBER(SEARCH(","&amp;TRIM(TEXTSPLIT(IO31,","))&amp;",",","&amp;SUBSTITUTE(input_topics," ","")&amp;",")))&gt;0)),IF(IQ31="",TRUE,IF(input_topics="",FALSE,SUMPRODUCT(--ISNUMBER(SEARCH(","&amp;TRIM(TEXTSPLIT(IQ31,","))&amp;",",","&amp;SUBSTITUTE(input_topics," ","")&amp;",")))=COUNTA(TEXTSPLIT(IQ31,",")))))</f>
        <v/>
      </c>
    </row>
    <row r="32">
      <c r="A32" s="24">
        <f>IF(NOT(IS32),"Excluded",IF(AND(IT32,IU32,IV32,IW32,IX32,IY32,IZ32,JA32,JB32,JC32,JD32,JE32,JF32,JG32,JH32,JI32,JJ32,JK32,JL32,JM32,JN32,JO32,JP32,JQ32),IF(I32&gt;0,"Eligible but limited","Will appear"),"Excluded"))</f>
        <v/>
      </c>
      <c r="B32" s="24" t="inlineStr">
        <is>
          <t>All Publications by Author</t>
        </is>
      </c>
      <c r="C32" s="27" t="inlineStr">
        <is>
          <t>/faculty-research/faculty-directory/james-n-baron</t>
        </is>
      </c>
      <c r="D32" s="24" t="inlineStr">
        <is>
          <t>/faculty-research/faculty-directory/james-n-baron</t>
        </is>
      </c>
      <c r="E32" s="24" t="n">
        <v>1</v>
      </c>
      <c r="F32" s="24" t="inlineStr">
        <is>
          <t>publications</t>
        </is>
      </c>
      <c r="G32" s="24" t="inlineStr">
        <is>
          <t>publication_teaser_list</t>
        </is>
      </c>
      <c r="H32" s="24" t="inlineStr">
        <is>
          <t>publication_teaser_list_all_by_author</t>
        </is>
      </c>
      <c r="I32" s="24" t="n"/>
      <c r="J32" s="24" t="inlineStr">
        <is>
          <t>View/config rules</t>
        </is>
      </c>
      <c r="K32" s="24" t="inlineStr">
        <is>
          <t>Page placement</t>
        </is>
      </c>
      <c r="L32" s="24" t="inlineStr">
        <is>
          <t>Content type: publications; Source: View/config rules</t>
        </is>
      </c>
      <c r="IS32" s="19">
        <f>IF(input_content_type="",FALSE,ISNUMBER(SEARCH(","&amp;LOWER(input_content_type)&amp;",",","&amp;LOWER(SUBSTITUTE(F32," ",""))&amp;",")))</f>
        <v/>
      </c>
      <c r="IT32" s="19">
        <f>AND(IF(M32="",TRUE,IF(input_affiliations="",FALSE,SUMPRODUCT(--ISNUMBER(SEARCH(","&amp;TRIM(TEXTSPLIT(M32,","))&amp;",",","&amp;SUBSTITUTE(input_affiliations," ","")&amp;",")))&gt;0)),IF(O32="",TRUE,IF(input_affiliations="",FALSE,SUMPRODUCT(--ISNUMBER(SEARCH(","&amp;TRIM(TEXTSPLIT(O32,","))&amp;",",","&amp;SUBSTITUTE(input_affiliations," ","")&amp;",")))=COUNTA(TEXTSPLIT(O32,",")))),IF(Q32="",TRUE,IF(input_affiliations="",TRUE,SUMPRODUCT(--ISNUMBER(SEARCH(","&amp;TRIM(TEXTSPLIT(Q32,","))&amp;",",","&amp;SUBSTITUTE(input_affiliations," ","")&amp;",")))=0)),IF(S32="",TRUE,IF(input_affiliations="",FALSE,SUMPRODUCT(--ISNUMBER(SEARCH(","&amp;TRIM(TEXTSPLIT(S32,","))&amp;",",","&amp;SUBSTITUTE(input_affiliations," ","")&amp;",")))&gt;0)),IF(U32="",TRUE,IF(input_affiliations="",FALSE,SUMPRODUCT(--ISNUMBER(SEARCH(","&amp;TRIM(TEXTSPLIT(U32,","))&amp;",",","&amp;SUBSTITUTE(input_affiliations," ","")&amp;",")))=COUNTA(TEXTSPLIT(U32,",")))))</f>
        <v/>
      </c>
      <c r="IU32" s="19">
        <f>AND(IF(W32="",TRUE,IF(input_announcement_category="",FALSE,SUMPRODUCT(--ISNUMBER(SEARCH(","&amp;TRIM(TEXTSPLIT(W32,","))&amp;",",","&amp;SUBSTITUTE(input_announcement_category," ","")&amp;",")))&gt;0)),IF(Y32="",TRUE,IF(input_announcement_category="",FALSE,SUMPRODUCT(--ISNUMBER(SEARCH(","&amp;TRIM(TEXTSPLIT(Y32,","))&amp;",",","&amp;SUBSTITUTE(input_announcement_category," ","")&amp;",")))=COUNTA(TEXTSPLIT(Y32,",")))),IF(AA32="",TRUE,IF(input_announcement_category="",TRUE,SUMPRODUCT(--ISNUMBER(SEARCH(","&amp;TRIM(TEXTSPLIT(AA32,","))&amp;",",","&amp;SUBSTITUTE(input_announcement_category," ","")&amp;",")))=0)),IF(AC32="",TRUE,IF(input_announcement_category="",FALSE,SUMPRODUCT(--ISNUMBER(SEARCH(","&amp;TRIM(TEXTSPLIT(AC32,","))&amp;",",","&amp;SUBSTITUTE(input_announcement_category," ","")&amp;",")))&gt;0)),IF(AE32="",TRUE,IF(input_announcement_category="",FALSE,SUMPRODUCT(--ISNUMBER(SEARCH(","&amp;TRIM(TEXTSPLIT(AE32,","))&amp;",",","&amp;SUBSTITUTE(input_announcement_category," ","")&amp;",")))=COUNTA(TEXTSPLIT(AE32,",")))))</f>
        <v/>
      </c>
      <c r="IV32" s="19">
        <f>AND(IF(AG32="",TRUE,IF(input_area_of_focus="",FALSE,SUMPRODUCT(--ISNUMBER(SEARCH(","&amp;TRIM(TEXTSPLIT(AG32,","))&amp;",",","&amp;SUBSTITUTE(input_area_of_focus," ","")&amp;",")))&gt;0)),IF(AI32="",TRUE,IF(input_area_of_focus="",FALSE,SUMPRODUCT(--ISNUMBER(SEARCH(","&amp;TRIM(TEXTSPLIT(AI32,","))&amp;",",","&amp;SUBSTITUTE(input_area_of_focus," ","")&amp;",")))=COUNTA(TEXTSPLIT(AI32,",")))),IF(AK32="",TRUE,IF(input_area_of_focus="",TRUE,SUMPRODUCT(--ISNUMBER(SEARCH(","&amp;TRIM(TEXTSPLIT(AK32,","))&amp;",",","&amp;SUBSTITUTE(input_area_of_focus," ","")&amp;",")))=0)),IF(AM32="",TRUE,IF(input_area_of_focus="",FALSE,SUMPRODUCT(--ISNUMBER(SEARCH(","&amp;TRIM(TEXTSPLIT(AM32,","))&amp;",",","&amp;SUBSTITUTE(input_area_of_focus," ","")&amp;",")))&gt;0)),IF(AO32="",TRUE,IF(input_area_of_focus="",FALSE,SUMPRODUCT(--ISNUMBER(SEARCH(","&amp;TRIM(TEXTSPLIT(AO32,","))&amp;",",","&amp;SUBSTITUTE(input_area_of_focus," ","")&amp;",")))=COUNTA(TEXTSPLIT(AO32,",")))))</f>
        <v/>
      </c>
      <c r="IW32" s="19">
        <f>AND(IF(AQ32="",TRUE,IF(input_audience="",FALSE,SUMPRODUCT(--ISNUMBER(SEARCH(","&amp;TRIM(TEXTSPLIT(AQ32,","))&amp;",",","&amp;SUBSTITUTE(input_audience," ","")&amp;",")))&gt;0)),IF(AS32="",TRUE,IF(input_audience="",FALSE,SUMPRODUCT(--ISNUMBER(SEARCH(","&amp;TRIM(TEXTSPLIT(AS32,","))&amp;",",","&amp;SUBSTITUTE(input_audience," ","")&amp;",")))=COUNTA(TEXTSPLIT(AS32,",")))),IF(AU32="",TRUE,IF(input_audience="",TRUE,SUMPRODUCT(--ISNUMBER(SEARCH(","&amp;TRIM(TEXTSPLIT(AU32,","))&amp;",",","&amp;SUBSTITUTE(input_audience," ","")&amp;",")))=0)),IF(AW32="",TRUE,IF(input_audience="",FALSE,SUMPRODUCT(--ISNUMBER(SEARCH(","&amp;TRIM(TEXTSPLIT(AW32,","))&amp;",",","&amp;SUBSTITUTE(input_audience," ","")&amp;",")))&gt;0)),IF(AY32="",TRUE,IF(input_audience="",FALSE,SUMPRODUCT(--ISNUMBER(SEARCH(","&amp;TRIM(TEXTSPLIT(AY32,","))&amp;",",","&amp;SUBSTITUTE(input_audience," ","")&amp;",")))=COUNTA(TEXTSPLIT(AY32,",")))))</f>
        <v/>
      </c>
      <c r="IX32" s="19">
        <f>AND(IF(BA32="",TRUE,IF(input_challenge_opportunities="",FALSE,SUMPRODUCT(--ISNUMBER(SEARCH(","&amp;TRIM(TEXTSPLIT(BA32,","))&amp;",",","&amp;SUBSTITUTE(input_challenge_opportunities," ","")&amp;",")))&gt;0)),IF(BC32="",TRUE,IF(input_challenge_opportunities="",FALSE,SUMPRODUCT(--ISNUMBER(SEARCH(","&amp;TRIM(TEXTSPLIT(BC32,","))&amp;",",","&amp;SUBSTITUTE(input_challenge_opportunities," ","")&amp;",")))=COUNTA(TEXTSPLIT(BC32,",")))),IF(BE32="",TRUE,IF(input_challenge_opportunities="",TRUE,SUMPRODUCT(--ISNUMBER(SEARCH(","&amp;TRIM(TEXTSPLIT(BE32,","))&amp;",",","&amp;SUBSTITUTE(input_challenge_opportunities," ","")&amp;",")))=0)),IF(BG32="",TRUE,IF(input_challenge_opportunities="",FALSE,SUMPRODUCT(--ISNUMBER(SEARCH(","&amp;TRIM(TEXTSPLIT(BG32,","))&amp;",",","&amp;SUBSTITUTE(input_challenge_opportunities," ","")&amp;",")))&gt;0)),IF(BI32="",TRUE,IF(input_challenge_opportunities="",FALSE,SUMPRODUCT(--ISNUMBER(SEARCH(","&amp;TRIM(TEXTSPLIT(BI32,","))&amp;",",","&amp;SUBSTITUTE(input_challenge_opportunities," ","")&amp;",")))=COUNTA(TEXTSPLIT(BI32,",")))))</f>
        <v/>
      </c>
      <c r="IY32" s="19">
        <f>AND(IF(BK32="",TRUE,IF(input_context="",FALSE,SUMPRODUCT(--ISNUMBER(SEARCH(","&amp;TRIM(TEXTSPLIT(BK32,","))&amp;",",","&amp;SUBSTITUTE(input_context," ","")&amp;",")))&gt;0)),IF(BM32="",TRUE,IF(input_context="",FALSE,SUMPRODUCT(--ISNUMBER(SEARCH(","&amp;TRIM(TEXTSPLIT(BM32,","))&amp;",",","&amp;SUBSTITUTE(input_context," ","")&amp;",")))=COUNTA(TEXTSPLIT(BM32,",")))),IF(BO32="",TRUE,IF(input_context="",TRUE,SUMPRODUCT(--ISNUMBER(SEARCH(","&amp;TRIM(TEXTSPLIT(BO32,","))&amp;",",","&amp;SUBSTITUTE(input_context," ","")&amp;",")))=0)),IF(BQ32="",TRUE,IF(input_context="",FALSE,SUMPRODUCT(--ISNUMBER(SEARCH(","&amp;TRIM(TEXTSPLIT(BQ32,","))&amp;",",","&amp;SUBSTITUTE(input_context," ","")&amp;",")))&gt;0)),IF(BS32="",TRUE,IF(input_context="",FALSE,SUMPRODUCT(--ISNUMBER(SEARCH(","&amp;TRIM(TEXTSPLIT(BS32,","))&amp;",",","&amp;SUBSTITUTE(input_context," ","")&amp;",")))=COUNTA(TEXTSPLIT(BS32,",")))))</f>
        <v/>
      </c>
      <c r="IZ32" s="19">
        <f>AND(IF(BU32="",TRUE,IF(input_enews_announcement_type="",FALSE,SUMPRODUCT(--ISNUMBER(SEARCH(","&amp;TRIM(TEXTSPLIT(BU32,","))&amp;",",","&amp;SUBSTITUTE(input_enews_announcement_type," ","")&amp;",")))&gt;0)),IF(BW32="",TRUE,IF(input_enews_announcement_type="",FALSE,SUMPRODUCT(--ISNUMBER(SEARCH(","&amp;TRIM(TEXTSPLIT(BW32,","))&amp;",",","&amp;SUBSTITUTE(input_enews_announcement_type," ","")&amp;",")))=COUNTA(TEXTSPLIT(BW32,",")))),IF(BY32="",TRUE,IF(input_enews_announcement_type="",TRUE,SUMPRODUCT(--ISNUMBER(SEARCH(","&amp;TRIM(TEXTSPLIT(BY32,","))&amp;",",","&amp;SUBSTITUTE(input_enews_announcement_type," ","")&amp;",")))=0)),IF(CA32="",TRUE,IF(input_enews_announcement_type="",FALSE,SUMPRODUCT(--ISNUMBER(SEARCH(","&amp;TRIM(TEXTSPLIT(CA32,","))&amp;",",","&amp;SUBSTITUTE(input_enews_announcement_type," ","")&amp;",")))&gt;0)),IF(CC32="",TRUE,IF(input_enews_announcement_type="",FALSE,SUMPRODUCT(--ISNUMBER(SEARCH(","&amp;TRIM(TEXTSPLIT(CC32,","))&amp;",",","&amp;SUBSTITUTE(input_enews_announcement_type," ","")&amp;",")))=COUNTA(TEXTSPLIT(CC32,",")))))</f>
        <v/>
      </c>
      <c r="JA32" s="19">
        <f>AND(IF(CE32="",TRUE,IF(input_enews_audience="",FALSE,SUMPRODUCT(--ISNUMBER(SEARCH(","&amp;TRIM(TEXTSPLIT(CE32,","))&amp;",",","&amp;SUBSTITUTE(input_enews_audience," ","")&amp;",")))&gt;0)),IF(CG32="",TRUE,IF(input_enews_audience="",FALSE,SUMPRODUCT(--ISNUMBER(SEARCH(","&amp;TRIM(TEXTSPLIT(CG32,","))&amp;",",","&amp;SUBSTITUTE(input_enews_audience," ","")&amp;",")))=COUNTA(TEXTSPLIT(CG32,",")))),IF(CI32="",TRUE,IF(input_enews_audience="",TRUE,SUMPRODUCT(--ISNUMBER(SEARCH(","&amp;TRIM(TEXTSPLIT(CI32,","))&amp;",",","&amp;SUBSTITUTE(input_enews_audience," ","")&amp;",")))=0)),IF(CK32="",TRUE,IF(input_enews_audience="",FALSE,SUMPRODUCT(--ISNUMBER(SEARCH(","&amp;TRIM(TEXTSPLIT(CK32,","))&amp;",",","&amp;SUBSTITUTE(input_enews_audience," ","")&amp;",")))&gt;0)),IF(CM32="",TRUE,IF(input_enews_audience="",FALSE,SUMPRODUCT(--ISNUMBER(SEARCH(","&amp;TRIM(TEXTSPLIT(CM32,","))&amp;",",","&amp;SUBSTITUTE(input_enews_audience," ","")&amp;",")))=COUNTA(TEXTSPLIT(CM32,",")))))</f>
        <v/>
      </c>
      <c r="JB32" s="19">
        <f>AND(IF(CO32="",TRUE,IF(input_event_location="",FALSE,SUMPRODUCT(--ISNUMBER(SEARCH(","&amp;TRIM(TEXTSPLIT(CO32,","))&amp;",",","&amp;SUBSTITUTE(input_event_location," ","")&amp;",")))&gt;0)),IF(CQ32="",TRUE,IF(input_event_location="",FALSE,SUMPRODUCT(--ISNUMBER(SEARCH(","&amp;TRIM(TEXTSPLIT(CQ32,","))&amp;",",","&amp;SUBSTITUTE(input_event_location," ","")&amp;",")))=COUNTA(TEXTSPLIT(CQ32,",")))),IF(CS32="",TRUE,IF(input_event_location="",TRUE,SUMPRODUCT(--ISNUMBER(SEARCH(","&amp;TRIM(TEXTSPLIT(CS32,","))&amp;",",","&amp;SUBSTITUTE(input_event_location," ","")&amp;",")))=0)),IF(CU32="",TRUE,IF(input_event_location="",FALSE,SUMPRODUCT(--ISNUMBER(SEARCH(","&amp;TRIM(TEXTSPLIT(CU32,","))&amp;",",","&amp;SUBSTITUTE(input_event_location," ","")&amp;",")))&gt;0)),IF(CW32="",TRUE,IF(input_event_location="",FALSE,SUMPRODUCT(--ISNUMBER(SEARCH(","&amp;TRIM(TEXTSPLIT(CW32,","))&amp;",",","&amp;SUBSTITUTE(input_event_location," ","")&amp;",")))=COUNTA(TEXTSPLIT(CW32,",")))))</f>
        <v/>
      </c>
      <c r="JC32" s="19">
        <f>AND(IF(CY32="",TRUE,IF(input_event_type="",FALSE,SUMPRODUCT(--ISNUMBER(SEARCH(","&amp;TRIM(TEXTSPLIT(CY32,","))&amp;",",","&amp;SUBSTITUTE(input_event_type," ","")&amp;",")))&gt;0)),IF(DA32="",TRUE,IF(input_event_type="",FALSE,SUMPRODUCT(--ISNUMBER(SEARCH(","&amp;TRIM(TEXTSPLIT(DA32,","))&amp;",",","&amp;SUBSTITUTE(input_event_type," ","")&amp;",")))=COUNTA(TEXTSPLIT(DA32,",")))),IF(DC32="",TRUE,IF(input_event_type="",TRUE,SUMPRODUCT(--ISNUMBER(SEARCH(","&amp;TRIM(TEXTSPLIT(DC32,","))&amp;",",","&amp;SUBSTITUTE(input_event_type," ","")&amp;",")))=0)),IF(DE32="",TRUE,IF(input_event_type="",FALSE,SUMPRODUCT(--ISNUMBER(SEARCH(","&amp;TRIM(TEXTSPLIT(DE32,","))&amp;",",","&amp;SUBSTITUTE(input_event_type," ","")&amp;",")))&gt;0)),IF(DG32="",TRUE,IF(input_event_type="",FALSE,SUMPRODUCT(--ISNUMBER(SEARCH(","&amp;TRIM(TEXTSPLIT(DG32,","))&amp;",",","&amp;SUBSTITUTE(input_event_type," ","")&amp;",")))=COUNTA(TEXTSPLIT(DG32,",")))))</f>
        <v/>
      </c>
      <c r="JD32" s="19">
        <f>AND(IF(DI32="",TRUE,IF(input_executive_education_focus="",FALSE,SUMPRODUCT(--ISNUMBER(SEARCH(","&amp;TRIM(TEXTSPLIT(DI32,","))&amp;",",","&amp;SUBSTITUTE(input_executive_education_focus," ","")&amp;",")))&gt;0)),IF(DK32="",TRUE,IF(input_executive_education_focus="",FALSE,SUMPRODUCT(--ISNUMBER(SEARCH(","&amp;TRIM(TEXTSPLIT(DK32,","))&amp;",",","&amp;SUBSTITUTE(input_executive_education_focus," ","")&amp;",")))=COUNTA(TEXTSPLIT(DK32,",")))),IF(DM32="",TRUE,IF(input_executive_education_focus="",TRUE,SUMPRODUCT(--ISNUMBER(SEARCH(","&amp;TRIM(TEXTSPLIT(DM32,","))&amp;",",","&amp;SUBSTITUTE(input_executive_education_focus," ","")&amp;",")))=0)),IF(DO32="",TRUE,IF(input_executive_education_focus="",FALSE,SUMPRODUCT(--ISNUMBER(SEARCH(","&amp;TRIM(TEXTSPLIT(DO32,","))&amp;",",","&amp;SUBSTITUTE(input_executive_education_focus," ","")&amp;",")))&gt;0)),IF(DQ32="",TRUE,IF(input_executive_education_focus="",FALSE,SUMPRODUCT(--ISNUMBER(SEARCH(","&amp;TRIM(TEXTSPLIT(DQ32,","))&amp;",",","&amp;SUBSTITUTE(input_executive_education_focus," ","")&amp;",")))=COUNTA(TEXTSPLIT(DQ32,",")))))</f>
        <v/>
      </c>
      <c r="JE32" s="19">
        <f>AND(IF(DS32="",TRUE,IF(input_faculty_category="",FALSE,SUMPRODUCT(--ISNUMBER(SEARCH(","&amp;TRIM(TEXTSPLIT(DS32,","))&amp;",",","&amp;SUBSTITUTE(input_faculty_category," ","")&amp;",")))&gt;0)),IF(DU32="",TRUE,IF(input_faculty_category="",FALSE,SUMPRODUCT(--ISNUMBER(SEARCH(","&amp;TRIM(TEXTSPLIT(DU32,","))&amp;",",","&amp;SUBSTITUTE(input_faculty_category," ","")&amp;",")))=COUNTA(TEXTSPLIT(DU32,",")))),IF(DW32="",TRUE,IF(input_faculty_category="",TRUE,SUMPRODUCT(--ISNUMBER(SEARCH(","&amp;TRIM(TEXTSPLIT(DW32,","))&amp;",",","&amp;SUBSTITUTE(input_faculty_category," ","")&amp;",")))=0)),IF(DY32="",TRUE,IF(input_faculty_category="",FALSE,SUMPRODUCT(--ISNUMBER(SEARCH(","&amp;TRIM(TEXTSPLIT(DY32,","))&amp;",",","&amp;SUBSTITUTE(input_faculty_category," ","")&amp;",")))&gt;0)),IF(EA32="",TRUE,IF(input_faculty_category="",FALSE,SUMPRODUCT(--ISNUMBER(SEARCH(","&amp;TRIM(TEXTSPLIT(EA32,","))&amp;",",","&amp;SUBSTITUTE(input_faculty_category," ","")&amp;",")))=COUNTA(TEXTSPLIT(EA32,",")))))</f>
        <v/>
      </c>
      <c r="JF32" s="19">
        <f>AND(IF(EC32="",TRUE,IF(input_faculty_discipline="",FALSE,SUMPRODUCT(--ISNUMBER(SEARCH(","&amp;TRIM(TEXTSPLIT(EC32,","))&amp;",",","&amp;SUBSTITUTE(input_faculty_discipline," ","")&amp;",")))&gt;0)),IF(EE32="",TRUE,IF(input_faculty_discipline="",FALSE,SUMPRODUCT(--ISNUMBER(SEARCH(","&amp;TRIM(TEXTSPLIT(EE32,","))&amp;",",","&amp;SUBSTITUTE(input_faculty_discipline," ","")&amp;",")))=COUNTA(TEXTSPLIT(EE32,",")))),IF(EG32="",TRUE,IF(input_faculty_discipline="",TRUE,SUMPRODUCT(--ISNUMBER(SEARCH(","&amp;TRIM(TEXTSPLIT(EG32,","))&amp;",",","&amp;SUBSTITUTE(input_faculty_discipline," ","")&amp;",")))=0)),IF(EI32="",TRUE,IF(input_faculty_discipline="",FALSE,SUMPRODUCT(--ISNUMBER(SEARCH(","&amp;TRIM(TEXTSPLIT(EI32,","))&amp;",",","&amp;SUBSTITUTE(input_faculty_discipline," ","")&amp;",")))&gt;0)),IF(EK32="",TRUE,IF(input_faculty_discipline="",FALSE,SUMPRODUCT(--ISNUMBER(SEARCH(","&amp;TRIM(TEXTSPLIT(EK32,","))&amp;",",","&amp;SUBSTITUTE(input_faculty_discipline," ","")&amp;",")))=COUNTA(TEXTSPLIT(EK32,",")))))</f>
        <v/>
      </c>
      <c r="JG32" s="19">
        <f>AND(IF(EM32="",TRUE,IF(input_faculty_expertise="",FALSE,SUMPRODUCT(--ISNUMBER(SEARCH(","&amp;TRIM(TEXTSPLIT(EM32,","))&amp;",",","&amp;SUBSTITUTE(input_faculty_expertise," ","")&amp;",")))&gt;0)),IF(EO32="",TRUE,IF(input_faculty_expertise="",FALSE,SUMPRODUCT(--ISNUMBER(SEARCH(","&amp;TRIM(TEXTSPLIT(EO32,","))&amp;",",","&amp;SUBSTITUTE(input_faculty_expertise," ","")&amp;",")))=COUNTA(TEXTSPLIT(EO32,",")))),IF(EQ32="",TRUE,IF(input_faculty_expertise="",TRUE,SUMPRODUCT(--ISNUMBER(SEARCH(","&amp;TRIM(TEXTSPLIT(EQ32,","))&amp;",",","&amp;SUBSTITUTE(input_faculty_expertise," ","")&amp;",")))=0)),IF(ES32="",TRUE,IF(input_faculty_expertise="",FALSE,SUMPRODUCT(--ISNUMBER(SEARCH(","&amp;TRIM(TEXTSPLIT(ES32,","))&amp;",",","&amp;SUBSTITUTE(input_faculty_expertise," ","")&amp;",")))&gt;0)),IF(EU32="",TRUE,IF(input_faculty_expertise="",FALSE,SUMPRODUCT(--ISNUMBER(SEARCH(","&amp;TRIM(TEXTSPLIT(EU32,","))&amp;",",","&amp;SUBSTITUTE(input_faculty_expertise," ","")&amp;",")))=COUNTA(TEXTSPLIT(EU32,",")))))</f>
        <v/>
      </c>
      <c r="JH32" s="19">
        <f>AND(IF(EW32="",TRUE,IF(input_global_network_school="",FALSE,SUMPRODUCT(--ISNUMBER(SEARCH(","&amp;TRIM(TEXTSPLIT(EW32,","))&amp;",",","&amp;SUBSTITUTE(input_global_network_school," ","")&amp;",")))&gt;0)),IF(EY32="",TRUE,IF(input_global_network_school="",FALSE,SUMPRODUCT(--ISNUMBER(SEARCH(","&amp;TRIM(TEXTSPLIT(EY32,","))&amp;",",","&amp;SUBSTITUTE(input_global_network_school," ","")&amp;",")))=COUNTA(TEXTSPLIT(EY32,",")))),IF(FA32="",TRUE,IF(input_global_network_school="",TRUE,SUMPRODUCT(--ISNUMBER(SEARCH(","&amp;TRIM(TEXTSPLIT(FA32,","))&amp;",",","&amp;SUBSTITUTE(input_global_network_school," ","")&amp;",")))=0)),IF(FC32="",TRUE,IF(input_global_network_school="",FALSE,SUMPRODUCT(--ISNUMBER(SEARCH(","&amp;TRIM(TEXTSPLIT(FC32,","))&amp;",",","&amp;SUBSTITUTE(input_global_network_school," ","")&amp;",")))&gt;0)),IF(FE32="",TRUE,IF(input_global_network_school="",FALSE,SUMPRODUCT(--ISNUMBER(SEARCH(","&amp;TRIM(TEXTSPLIT(FE32,","))&amp;",",","&amp;SUBSTITUTE(input_global_network_school," ","")&amp;",")))=COUNTA(TEXTSPLIT(FE32,",")))))</f>
        <v/>
      </c>
      <c r="JI32" s="19">
        <f>AND(IF(FG32="",TRUE,IF(input_industry="",FALSE,SUMPRODUCT(--ISNUMBER(SEARCH(","&amp;TRIM(TEXTSPLIT(FG32,","))&amp;",",","&amp;SUBSTITUTE(input_industry," ","")&amp;",")))&gt;0)),IF(FI32="",TRUE,IF(input_industry="",FALSE,SUMPRODUCT(--ISNUMBER(SEARCH(","&amp;TRIM(TEXTSPLIT(FI32,","))&amp;",",","&amp;SUBSTITUTE(input_industry," ","")&amp;",")))=COUNTA(TEXTSPLIT(FI32,",")))),IF(FK32="",TRUE,IF(input_industry="",TRUE,SUMPRODUCT(--ISNUMBER(SEARCH(","&amp;TRIM(TEXTSPLIT(FK32,","))&amp;",",","&amp;SUBSTITUTE(input_industry," ","")&amp;",")))=0)),IF(FM32="",TRUE,IF(input_industry="",FALSE,SUMPRODUCT(--ISNUMBER(SEARCH(","&amp;TRIM(TEXTSPLIT(FM32,","))&amp;",",","&amp;SUBSTITUTE(input_industry," ","")&amp;",")))&gt;0)),IF(FO32="",TRUE,IF(input_industry="",FALSE,SUMPRODUCT(--ISNUMBER(SEARCH(","&amp;TRIM(TEXTSPLIT(FO32,","))&amp;",",","&amp;SUBSTITUTE(input_industry," ","")&amp;",")))=COUNTA(TEXTSPLIT(FO32,",")))))</f>
        <v/>
      </c>
      <c r="JJ32" s="19">
        <f>AND(IF(FQ32="",TRUE,IF(input_location="",FALSE,SUMPRODUCT(--ISNUMBER(SEARCH(","&amp;TRIM(TEXTSPLIT(FQ32,","))&amp;",",","&amp;SUBSTITUTE(input_location," ","")&amp;",")))&gt;0)),IF(FS32="",TRUE,IF(input_location="",FALSE,SUMPRODUCT(--ISNUMBER(SEARCH(","&amp;TRIM(TEXTSPLIT(FS32,","))&amp;",",","&amp;SUBSTITUTE(input_location," ","")&amp;",")))=COUNTA(TEXTSPLIT(FS32,",")))),IF(FU32="",TRUE,IF(input_location="",TRUE,SUMPRODUCT(--ISNUMBER(SEARCH(","&amp;TRIM(TEXTSPLIT(FU32,","))&amp;",",","&amp;SUBSTITUTE(input_location," ","")&amp;",")))=0)),IF(FW32="",TRUE,IF(input_location="",FALSE,SUMPRODUCT(--ISNUMBER(SEARCH(","&amp;TRIM(TEXTSPLIT(FW32,","))&amp;",",","&amp;SUBSTITUTE(input_location," ","")&amp;",")))&gt;0)),IF(FY32="",TRUE,IF(input_location="",FALSE,SUMPRODUCT(--ISNUMBER(SEARCH(","&amp;TRIM(TEXTSPLIT(FY32,","))&amp;",",","&amp;SUBSTITUTE(input_location," ","")&amp;",")))=COUNTA(TEXTSPLIT(FY32,",")))))</f>
        <v/>
      </c>
      <c r="JK32" s="19">
        <f>AND(IF(GA32="",TRUE,IF(input_modality="",FALSE,SUMPRODUCT(--ISNUMBER(SEARCH(","&amp;TRIM(TEXTSPLIT(GA32,","))&amp;",",","&amp;SUBSTITUTE(input_modality," ","")&amp;",")))&gt;0)),IF(GC32="",TRUE,IF(input_modality="",FALSE,SUMPRODUCT(--ISNUMBER(SEARCH(","&amp;TRIM(TEXTSPLIT(GC32,","))&amp;",",","&amp;SUBSTITUTE(input_modality," ","")&amp;",")))=COUNTA(TEXTSPLIT(GC32,",")))),IF(GE32="",TRUE,IF(input_modality="",TRUE,SUMPRODUCT(--ISNUMBER(SEARCH(","&amp;TRIM(TEXTSPLIT(GE32,","))&amp;",",","&amp;SUBSTITUTE(input_modality," ","")&amp;",")))=0)),IF(GG32="",TRUE,IF(input_modality="",FALSE,SUMPRODUCT(--ISNUMBER(SEARCH(","&amp;TRIM(TEXTSPLIT(GG32,","))&amp;",",","&amp;SUBSTITUTE(input_modality," ","")&amp;",")))&gt;0)),IF(GI32="",TRUE,IF(input_modality="",FALSE,SUMPRODUCT(--ISNUMBER(SEARCH(","&amp;TRIM(TEXTSPLIT(GI32,","))&amp;",",","&amp;SUBSTITUTE(input_modality," ","")&amp;",")))=COUNTA(TEXTSPLIT(GI32,",")))))</f>
        <v/>
      </c>
      <c r="JL32" s="19">
        <f>AND(IF(GK32="",TRUE,IF(input_organizer="",FALSE,SUMPRODUCT(--ISNUMBER(SEARCH(","&amp;TRIM(TEXTSPLIT(GK32,","))&amp;",",","&amp;SUBSTITUTE(input_organizer," ","")&amp;",")))&gt;0)),IF(GM32="",TRUE,IF(input_organizer="",FALSE,SUMPRODUCT(--ISNUMBER(SEARCH(","&amp;TRIM(TEXTSPLIT(GM32,","))&amp;",",","&amp;SUBSTITUTE(input_organizer," ","")&amp;",")))=COUNTA(TEXTSPLIT(GM32,",")))),IF(GO32="",TRUE,IF(input_organizer="",TRUE,SUMPRODUCT(--ISNUMBER(SEARCH(","&amp;TRIM(TEXTSPLIT(GO32,","))&amp;",",","&amp;SUBSTITUTE(input_organizer," ","")&amp;",")))=0)),IF(GQ32="",TRUE,IF(input_organizer="",FALSE,SUMPRODUCT(--ISNUMBER(SEARCH(","&amp;TRIM(TEXTSPLIT(GQ32,","))&amp;",",","&amp;SUBSTITUTE(input_organizer," ","")&amp;",")))&gt;0)),IF(GS32="",TRUE,IF(input_organizer="",FALSE,SUMPRODUCT(--ISNUMBER(SEARCH(","&amp;TRIM(TEXTSPLIT(GS32,","))&amp;",",","&amp;SUBSTITUTE(input_organizer," ","")&amp;",")))=COUNTA(TEXTSPLIT(GS32,",")))))</f>
        <v/>
      </c>
      <c r="JM32" s="19">
        <f>AND(IF(GU32="",TRUE,IF(input_profile_type="",FALSE,SUMPRODUCT(--ISNUMBER(SEARCH(","&amp;TRIM(TEXTSPLIT(GU32,","))&amp;",",","&amp;SUBSTITUTE(input_profile_type," ","")&amp;",")))&gt;0)),IF(GW32="",TRUE,IF(input_profile_type="",FALSE,SUMPRODUCT(--ISNUMBER(SEARCH(","&amp;TRIM(TEXTSPLIT(GW32,","))&amp;",",","&amp;SUBSTITUTE(input_profile_type," ","")&amp;",")))=COUNTA(TEXTSPLIT(GW32,",")))),IF(GY32="",TRUE,IF(input_profile_type="",TRUE,SUMPRODUCT(--ISNUMBER(SEARCH(","&amp;TRIM(TEXTSPLIT(GY32,","))&amp;",",","&amp;SUBSTITUTE(input_profile_type," ","")&amp;",")))=0)),IF(HA32="",TRUE,IF(input_profile_type="",FALSE,SUMPRODUCT(--ISNUMBER(SEARCH(","&amp;TRIM(TEXTSPLIT(HA32,","))&amp;",",","&amp;SUBSTITUTE(input_profile_type," ","")&amp;",")))&gt;0)),IF(HC32="",TRUE,IF(input_profile_type="",FALSE,SUMPRODUCT(--ISNUMBER(SEARCH(","&amp;TRIM(TEXTSPLIT(HC32,","))&amp;",",","&amp;SUBSTITUTE(input_profile_type," ","")&amp;",")))=COUNTA(TEXTSPLIT(HC32,",")))))</f>
        <v/>
      </c>
      <c r="JN32" s="19">
        <f>AND(IF(HE32="",TRUE,IF(input_program="",FALSE,SUMPRODUCT(--ISNUMBER(SEARCH(","&amp;TRIM(TEXTSPLIT(HE32,","))&amp;",",","&amp;SUBSTITUTE(input_program," ","")&amp;",")))&gt;0)),IF(HG32="",TRUE,IF(input_program="",FALSE,SUMPRODUCT(--ISNUMBER(SEARCH(","&amp;TRIM(TEXTSPLIT(HG32,","))&amp;",",","&amp;SUBSTITUTE(input_program," ","")&amp;",")))=COUNTA(TEXTSPLIT(HG32,",")))),IF(HI32="",TRUE,IF(input_program="",TRUE,SUMPRODUCT(--ISNUMBER(SEARCH(","&amp;TRIM(TEXTSPLIT(HI32,","))&amp;",",","&amp;SUBSTITUTE(input_program," ","")&amp;",")))=0)),IF(HK32="",TRUE,IF(input_program="",FALSE,SUMPRODUCT(--ISNUMBER(SEARCH(","&amp;TRIM(TEXTSPLIT(HK32,","))&amp;",",","&amp;SUBSTITUTE(input_program," ","")&amp;",")))&gt;0)),IF(HM32="",TRUE,IF(input_program="",FALSE,SUMPRODUCT(--ISNUMBER(SEARCH(","&amp;TRIM(TEXTSPLIT(HM32,","))&amp;",",","&amp;SUBSTITUTE(input_program," ","")&amp;",")))=COUNTA(TEXTSPLIT(HM32,",")))))</f>
        <v/>
      </c>
      <c r="JO32" s="19">
        <f>AND(IF(HO32="",TRUE,IF(input_story_categories="",FALSE,SUMPRODUCT(--ISNUMBER(SEARCH(","&amp;TRIM(TEXTSPLIT(HO32,","))&amp;",",","&amp;SUBSTITUTE(input_story_categories," ","")&amp;",")))&gt;0)),IF(HQ32="",TRUE,IF(input_story_categories="",FALSE,SUMPRODUCT(--ISNUMBER(SEARCH(","&amp;TRIM(TEXTSPLIT(HQ32,","))&amp;",",","&amp;SUBSTITUTE(input_story_categories," ","")&amp;",")))=COUNTA(TEXTSPLIT(HQ32,",")))),IF(HS32="",TRUE,IF(input_story_categories="",TRUE,SUMPRODUCT(--ISNUMBER(SEARCH(","&amp;TRIM(TEXTSPLIT(HS32,","))&amp;",",","&amp;SUBSTITUTE(input_story_categories," ","")&amp;",")))=0)),IF(HU32="",TRUE,IF(input_story_categories="",FALSE,SUMPRODUCT(--ISNUMBER(SEARCH(","&amp;TRIM(TEXTSPLIT(HU32,","))&amp;",",","&amp;SUBSTITUTE(input_story_categories," ","")&amp;",")))&gt;0)),IF(HW32="",TRUE,IF(input_story_categories="",FALSE,SUMPRODUCT(--ISNUMBER(SEARCH(","&amp;TRIM(TEXTSPLIT(HW32,","))&amp;",",","&amp;SUBSTITUTE(input_story_categories," ","")&amp;",")))=COUNTA(TEXTSPLIT(HW32,",")))))</f>
        <v/>
      </c>
      <c r="JP32" s="19">
        <f>AND(IF(HY32="",TRUE,IF(input_story_type="",FALSE,SUMPRODUCT(--ISNUMBER(SEARCH(","&amp;TRIM(TEXTSPLIT(HY32,","))&amp;",",","&amp;SUBSTITUTE(input_story_type," ","")&amp;",")))&gt;0)),IF(IA32="",TRUE,IF(input_story_type="",FALSE,SUMPRODUCT(--ISNUMBER(SEARCH(","&amp;TRIM(TEXTSPLIT(IA32,","))&amp;",",","&amp;SUBSTITUTE(input_story_type," ","")&amp;",")))=COUNTA(TEXTSPLIT(IA32,",")))),IF(IC32="",TRUE,IF(input_story_type="",TRUE,SUMPRODUCT(--ISNUMBER(SEARCH(","&amp;TRIM(TEXTSPLIT(IC32,","))&amp;",",","&amp;SUBSTITUTE(input_story_type," ","")&amp;",")))=0)),IF(IE32="",TRUE,IF(input_story_type="",FALSE,SUMPRODUCT(--ISNUMBER(SEARCH(","&amp;TRIM(TEXTSPLIT(IE32,","))&amp;",",","&amp;SUBSTITUTE(input_story_type," ","")&amp;",")))&gt;0)),IF(IG32="",TRUE,IF(input_story_type="",FALSE,SUMPRODUCT(--ISNUMBER(SEARCH(","&amp;TRIM(TEXTSPLIT(IG32,","))&amp;",",","&amp;SUBSTITUTE(input_story_type," ","")&amp;",")))=COUNTA(TEXTSPLIT(IG32,",")))))</f>
        <v/>
      </c>
      <c r="JQ32" s="19">
        <f>AND(IF(II32="",TRUE,IF(input_topics="",FALSE,SUMPRODUCT(--ISNUMBER(SEARCH(","&amp;TRIM(TEXTSPLIT(II32,","))&amp;",",","&amp;SUBSTITUTE(input_topics," ","")&amp;",")))&gt;0)),IF(IK32="",TRUE,IF(input_topics="",FALSE,SUMPRODUCT(--ISNUMBER(SEARCH(","&amp;TRIM(TEXTSPLIT(IK32,","))&amp;",",","&amp;SUBSTITUTE(input_topics," ","")&amp;",")))=COUNTA(TEXTSPLIT(IK32,",")))),IF(IM32="",TRUE,IF(input_topics="",TRUE,SUMPRODUCT(--ISNUMBER(SEARCH(","&amp;TRIM(TEXTSPLIT(IM32,","))&amp;",",","&amp;SUBSTITUTE(input_topics," ","")&amp;",")))=0)),IF(IO32="",TRUE,IF(input_topics="",FALSE,SUMPRODUCT(--ISNUMBER(SEARCH(","&amp;TRIM(TEXTSPLIT(IO32,","))&amp;",",","&amp;SUBSTITUTE(input_topics," ","")&amp;",")))&gt;0)),IF(IQ32="",TRUE,IF(input_topics="",FALSE,SUMPRODUCT(--ISNUMBER(SEARCH(","&amp;TRIM(TEXTSPLIT(IQ32,","))&amp;",",","&amp;SUBSTITUTE(input_topics," ","")&amp;",")))=COUNTA(TEXTSPLIT(IQ32,",")))))</f>
        <v/>
      </c>
    </row>
    <row r="33">
      <c r="A33" s="24">
        <f>IF(NOT(IS33),"Excluded",IF(AND(IT33,IU33,IV33,IW33,IX33,IY33,IZ33,JA33,JB33,JC33,JD33,JE33,JF33,JG33,JH33,JI33,JJ33,JK33,JL33,JM33,JN33,JO33,JP33,JQ33),IF(I33&gt;0,"Eligible but limited","Will appear"),"Excluded"))</f>
        <v/>
      </c>
      <c r="B33" s="24" t="inlineStr">
        <is>
          <t>All Publications by Author</t>
        </is>
      </c>
      <c r="C33" s="27" t="inlineStr">
        <is>
          <t>/faculty-research/faculty-directory/jamie-tucker-foltz</t>
        </is>
      </c>
      <c r="D33" s="24" t="inlineStr">
        <is>
          <t>/faculty-research/faculty-directory/jamie-tucker-foltz</t>
        </is>
      </c>
      <c r="E33" s="24" t="n">
        <v>1</v>
      </c>
      <c r="F33" s="24" t="inlineStr">
        <is>
          <t>publications</t>
        </is>
      </c>
      <c r="G33" s="24" t="inlineStr">
        <is>
          <t>publication_teaser_list</t>
        </is>
      </c>
      <c r="H33" s="24" t="inlineStr">
        <is>
          <t>publication_teaser_list_all_by_author</t>
        </is>
      </c>
      <c r="I33" s="24" t="n"/>
      <c r="J33" s="24" t="inlineStr">
        <is>
          <t>View/config rules</t>
        </is>
      </c>
      <c r="K33" s="24" t="inlineStr">
        <is>
          <t>Page placement</t>
        </is>
      </c>
      <c r="L33" s="24" t="inlineStr">
        <is>
          <t>Content type: publications; Source: View/config rules</t>
        </is>
      </c>
      <c r="IS33" s="19">
        <f>IF(input_content_type="",FALSE,ISNUMBER(SEARCH(","&amp;LOWER(input_content_type)&amp;",",","&amp;LOWER(SUBSTITUTE(F33," ",""))&amp;",")))</f>
        <v/>
      </c>
      <c r="IT33" s="19">
        <f>AND(IF(M33="",TRUE,IF(input_affiliations="",FALSE,SUMPRODUCT(--ISNUMBER(SEARCH(","&amp;TRIM(TEXTSPLIT(M33,","))&amp;",",","&amp;SUBSTITUTE(input_affiliations," ","")&amp;",")))&gt;0)),IF(O33="",TRUE,IF(input_affiliations="",FALSE,SUMPRODUCT(--ISNUMBER(SEARCH(","&amp;TRIM(TEXTSPLIT(O33,","))&amp;",",","&amp;SUBSTITUTE(input_affiliations," ","")&amp;",")))=COUNTA(TEXTSPLIT(O33,",")))),IF(Q33="",TRUE,IF(input_affiliations="",TRUE,SUMPRODUCT(--ISNUMBER(SEARCH(","&amp;TRIM(TEXTSPLIT(Q33,","))&amp;",",","&amp;SUBSTITUTE(input_affiliations," ","")&amp;",")))=0)),IF(S33="",TRUE,IF(input_affiliations="",FALSE,SUMPRODUCT(--ISNUMBER(SEARCH(","&amp;TRIM(TEXTSPLIT(S33,","))&amp;",",","&amp;SUBSTITUTE(input_affiliations," ","")&amp;",")))&gt;0)),IF(U33="",TRUE,IF(input_affiliations="",FALSE,SUMPRODUCT(--ISNUMBER(SEARCH(","&amp;TRIM(TEXTSPLIT(U33,","))&amp;",",","&amp;SUBSTITUTE(input_affiliations," ","")&amp;",")))=COUNTA(TEXTSPLIT(U33,",")))))</f>
        <v/>
      </c>
      <c r="IU33" s="19">
        <f>AND(IF(W33="",TRUE,IF(input_announcement_category="",FALSE,SUMPRODUCT(--ISNUMBER(SEARCH(","&amp;TRIM(TEXTSPLIT(W33,","))&amp;",",","&amp;SUBSTITUTE(input_announcement_category," ","")&amp;",")))&gt;0)),IF(Y33="",TRUE,IF(input_announcement_category="",FALSE,SUMPRODUCT(--ISNUMBER(SEARCH(","&amp;TRIM(TEXTSPLIT(Y33,","))&amp;",",","&amp;SUBSTITUTE(input_announcement_category," ","")&amp;",")))=COUNTA(TEXTSPLIT(Y33,",")))),IF(AA33="",TRUE,IF(input_announcement_category="",TRUE,SUMPRODUCT(--ISNUMBER(SEARCH(","&amp;TRIM(TEXTSPLIT(AA33,","))&amp;",",","&amp;SUBSTITUTE(input_announcement_category," ","")&amp;",")))=0)),IF(AC33="",TRUE,IF(input_announcement_category="",FALSE,SUMPRODUCT(--ISNUMBER(SEARCH(","&amp;TRIM(TEXTSPLIT(AC33,","))&amp;",",","&amp;SUBSTITUTE(input_announcement_category," ","")&amp;",")))&gt;0)),IF(AE33="",TRUE,IF(input_announcement_category="",FALSE,SUMPRODUCT(--ISNUMBER(SEARCH(","&amp;TRIM(TEXTSPLIT(AE33,","))&amp;",",","&amp;SUBSTITUTE(input_announcement_category," ","")&amp;",")))=COUNTA(TEXTSPLIT(AE33,",")))))</f>
        <v/>
      </c>
      <c r="IV33" s="19">
        <f>AND(IF(AG33="",TRUE,IF(input_area_of_focus="",FALSE,SUMPRODUCT(--ISNUMBER(SEARCH(","&amp;TRIM(TEXTSPLIT(AG33,","))&amp;",",","&amp;SUBSTITUTE(input_area_of_focus," ","")&amp;",")))&gt;0)),IF(AI33="",TRUE,IF(input_area_of_focus="",FALSE,SUMPRODUCT(--ISNUMBER(SEARCH(","&amp;TRIM(TEXTSPLIT(AI33,","))&amp;",",","&amp;SUBSTITUTE(input_area_of_focus," ","")&amp;",")))=COUNTA(TEXTSPLIT(AI33,",")))),IF(AK33="",TRUE,IF(input_area_of_focus="",TRUE,SUMPRODUCT(--ISNUMBER(SEARCH(","&amp;TRIM(TEXTSPLIT(AK33,","))&amp;",",","&amp;SUBSTITUTE(input_area_of_focus," ","")&amp;",")))=0)),IF(AM33="",TRUE,IF(input_area_of_focus="",FALSE,SUMPRODUCT(--ISNUMBER(SEARCH(","&amp;TRIM(TEXTSPLIT(AM33,","))&amp;",",","&amp;SUBSTITUTE(input_area_of_focus," ","")&amp;",")))&gt;0)),IF(AO33="",TRUE,IF(input_area_of_focus="",FALSE,SUMPRODUCT(--ISNUMBER(SEARCH(","&amp;TRIM(TEXTSPLIT(AO33,","))&amp;",",","&amp;SUBSTITUTE(input_area_of_focus," ","")&amp;",")))=COUNTA(TEXTSPLIT(AO33,",")))))</f>
        <v/>
      </c>
      <c r="IW33" s="19">
        <f>AND(IF(AQ33="",TRUE,IF(input_audience="",FALSE,SUMPRODUCT(--ISNUMBER(SEARCH(","&amp;TRIM(TEXTSPLIT(AQ33,","))&amp;",",","&amp;SUBSTITUTE(input_audience," ","")&amp;",")))&gt;0)),IF(AS33="",TRUE,IF(input_audience="",FALSE,SUMPRODUCT(--ISNUMBER(SEARCH(","&amp;TRIM(TEXTSPLIT(AS33,","))&amp;",",","&amp;SUBSTITUTE(input_audience," ","")&amp;",")))=COUNTA(TEXTSPLIT(AS33,",")))),IF(AU33="",TRUE,IF(input_audience="",TRUE,SUMPRODUCT(--ISNUMBER(SEARCH(","&amp;TRIM(TEXTSPLIT(AU33,","))&amp;",",","&amp;SUBSTITUTE(input_audience," ","")&amp;",")))=0)),IF(AW33="",TRUE,IF(input_audience="",FALSE,SUMPRODUCT(--ISNUMBER(SEARCH(","&amp;TRIM(TEXTSPLIT(AW33,","))&amp;",",","&amp;SUBSTITUTE(input_audience," ","")&amp;",")))&gt;0)),IF(AY33="",TRUE,IF(input_audience="",FALSE,SUMPRODUCT(--ISNUMBER(SEARCH(","&amp;TRIM(TEXTSPLIT(AY33,","))&amp;",",","&amp;SUBSTITUTE(input_audience," ","")&amp;",")))=COUNTA(TEXTSPLIT(AY33,",")))))</f>
        <v/>
      </c>
      <c r="IX33" s="19">
        <f>AND(IF(BA33="",TRUE,IF(input_challenge_opportunities="",FALSE,SUMPRODUCT(--ISNUMBER(SEARCH(","&amp;TRIM(TEXTSPLIT(BA33,","))&amp;",",","&amp;SUBSTITUTE(input_challenge_opportunities," ","")&amp;",")))&gt;0)),IF(BC33="",TRUE,IF(input_challenge_opportunities="",FALSE,SUMPRODUCT(--ISNUMBER(SEARCH(","&amp;TRIM(TEXTSPLIT(BC33,","))&amp;",",","&amp;SUBSTITUTE(input_challenge_opportunities," ","")&amp;",")))=COUNTA(TEXTSPLIT(BC33,",")))),IF(BE33="",TRUE,IF(input_challenge_opportunities="",TRUE,SUMPRODUCT(--ISNUMBER(SEARCH(","&amp;TRIM(TEXTSPLIT(BE33,","))&amp;",",","&amp;SUBSTITUTE(input_challenge_opportunities," ","")&amp;",")))=0)),IF(BG33="",TRUE,IF(input_challenge_opportunities="",FALSE,SUMPRODUCT(--ISNUMBER(SEARCH(","&amp;TRIM(TEXTSPLIT(BG33,","))&amp;",",","&amp;SUBSTITUTE(input_challenge_opportunities," ","")&amp;",")))&gt;0)),IF(BI33="",TRUE,IF(input_challenge_opportunities="",FALSE,SUMPRODUCT(--ISNUMBER(SEARCH(","&amp;TRIM(TEXTSPLIT(BI33,","))&amp;",",","&amp;SUBSTITUTE(input_challenge_opportunities," ","")&amp;",")))=COUNTA(TEXTSPLIT(BI33,",")))))</f>
        <v/>
      </c>
      <c r="IY33" s="19">
        <f>AND(IF(BK33="",TRUE,IF(input_context="",FALSE,SUMPRODUCT(--ISNUMBER(SEARCH(","&amp;TRIM(TEXTSPLIT(BK33,","))&amp;",",","&amp;SUBSTITUTE(input_context," ","")&amp;",")))&gt;0)),IF(BM33="",TRUE,IF(input_context="",FALSE,SUMPRODUCT(--ISNUMBER(SEARCH(","&amp;TRIM(TEXTSPLIT(BM33,","))&amp;",",","&amp;SUBSTITUTE(input_context," ","")&amp;",")))=COUNTA(TEXTSPLIT(BM33,",")))),IF(BO33="",TRUE,IF(input_context="",TRUE,SUMPRODUCT(--ISNUMBER(SEARCH(","&amp;TRIM(TEXTSPLIT(BO33,","))&amp;",",","&amp;SUBSTITUTE(input_context," ","")&amp;",")))=0)),IF(BQ33="",TRUE,IF(input_context="",FALSE,SUMPRODUCT(--ISNUMBER(SEARCH(","&amp;TRIM(TEXTSPLIT(BQ33,","))&amp;",",","&amp;SUBSTITUTE(input_context," ","")&amp;",")))&gt;0)),IF(BS33="",TRUE,IF(input_context="",FALSE,SUMPRODUCT(--ISNUMBER(SEARCH(","&amp;TRIM(TEXTSPLIT(BS33,","))&amp;",",","&amp;SUBSTITUTE(input_context," ","")&amp;",")))=COUNTA(TEXTSPLIT(BS33,",")))))</f>
        <v/>
      </c>
      <c r="IZ33" s="19">
        <f>AND(IF(BU33="",TRUE,IF(input_enews_announcement_type="",FALSE,SUMPRODUCT(--ISNUMBER(SEARCH(","&amp;TRIM(TEXTSPLIT(BU33,","))&amp;",",","&amp;SUBSTITUTE(input_enews_announcement_type," ","")&amp;",")))&gt;0)),IF(BW33="",TRUE,IF(input_enews_announcement_type="",FALSE,SUMPRODUCT(--ISNUMBER(SEARCH(","&amp;TRIM(TEXTSPLIT(BW33,","))&amp;",",","&amp;SUBSTITUTE(input_enews_announcement_type," ","")&amp;",")))=COUNTA(TEXTSPLIT(BW33,",")))),IF(BY33="",TRUE,IF(input_enews_announcement_type="",TRUE,SUMPRODUCT(--ISNUMBER(SEARCH(","&amp;TRIM(TEXTSPLIT(BY33,","))&amp;",",","&amp;SUBSTITUTE(input_enews_announcement_type," ","")&amp;",")))=0)),IF(CA33="",TRUE,IF(input_enews_announcement_type="",FALSE,SUMPRODUCT(--ISNUMBER(SEARCH(","&amp;TRIM(TEXTSPLIT(CA33,","))&amp;",",","&amp;SUBSTITUTE(input_enews_announcement_type," ","")&amp;",")))&gt;0)),IF(CC33="",TRUE,IF(input_enews_announcement_type="",FALSE,SUMPRODUCT(--ISNUMBER(SEARCH(","&amp;TRIM(TEXTSPLIT(CC33,","))&amp;",",","&amp;SUBSTITUTE(input_enews_announcement_type," ","")&amp;",")))=COUNTA(TEXTSPLIT(CC33,",")))))</f>
        <v/>
      </c>
      <c r="JA33" s="19">
        <f>AND(IF(CE33="",TRUE,IF(input_enews_audience="",FALSE,SUMPRODUCT(--ISNUMBER(SEARCH(","&amp;TRIM(TEXTSPLIT(CE33,","))&amp;",",","&amp;SUBSTITUTE(input_enews_audience," ","")&amp;",")))&gt;0)),IF(CG33="",TRUE,IF(input_enews_audience="",FALSE,SUMPRODUCT(--ISNUMBER(SEARCH(","&amp;TRIM(TEXTSPLIT(CG33,","))&amp;",",","&amp;SUBSTITUTE(input_enews_audience," ","")&amp;",")))=COUNTA(TEXTSPLIT(CG33,",")))),IF(CI33="",TRUE,IF(input_enews_audience="",TRUE,SUMPRODUCT(--ISNUMBER(SEARCH(","&amp;TRIM(TEXTSPLIT(CI33,","))&amp;",",","&amp;SUBSTITUTE(input_enews_audience," ","")&amp;",")))=0)),IF(CK33="",TRUE,IF(input_enews_audience="",FALSE,SUMPRODUCT(--ISNUMBER(SEARCH(","&amp;TRIM(TEXTSPLIT(CK33,","))&amp;",",","&amp;SUBSTITUTE(input_enews_audience," ","")&amp;",")))&gt;0)),IF(CM33="",TRUE,IF(input_enews_audience="",FALSE,SUMPRODUCT(--ISNUMBER(SEARCH(","&amp;TRIM(TEXTSPLIT(CM33,","))&amp;",",","&amp;SUBSTITUTE(input_enews_audience," ","")&amp;",")))=COUNTA(TEXTSPLIT(CM33,",")))))</f>
        <v/>
      </c>
      <c r="JB33" s="19">
        <f>AND(IF(CO33="",TRUE,IF(input_event_location="",FALSE,SUMPRODUCT(--ISNUMBER(SEARCH(","&amp;TRIM(TEXTSPLIT(CO33,","))&amp;",",","&amp;SUBSTITUTE(input_event_location," ","")&amp;",")))&gt;0)),IF(CQ33="",TRUE,IF(input_event_location="",FALSE,SUMPRODUCT(--ISNUMBER(SEARCH(","&amp;TRIM(TEXTSPLIT(CQ33,","))&amp;",",","&amp;SUBSTITUTE(input_event_location," ","")&amp;",")))=COUNTA(TEXTSPLIT(CQ33,",")))),IF(CS33="",TRUE,IF(input_event_location="",TRUE,SUMPRODUCT(--ISNUMBER(SEARCH(","&amp;TRIM(TEXTSPLIT(CS33,","))&amp;",",","&amp;SUBSTITUTE(input_event_location," ","")&amp;",")))=0)),IF(CU33="",TRUE,IF(input_event_location="",FALSE,SUMPRODUCT(--ISNUMBER(SEARCH(","&amp;TRIM(TEXTSPLIT(CU33,","))&amp;",",","&amp;SUBSTITUTE(input_event_location," ","")&amp;",")))&gt;0)),IF(CW33="",TRUE,IF(input_event_location="",FALSE,SUMPRODUCT(--ISNUMBER(SEARCH(","&amp;TRIM(TEXTSPLIT(CW33,","))&amp;",",","&amp;SUBSTITUTE(input_event_location," ","")&amp;",")))=COUNTA(TEXTSPLIT(CW33,",")))))</f>
        <v/>
      </c>
      <c r="JC33" s="19">
        <f>AND(IF(CY33="",TRUE,IF(input_event_type="",FALSE,SUMPRODUCT(--ISNUMBER(SEARCH(","&amp;TRIM(TEXTSPLIT(CY33,","))&amp;",",","&amp;SUBSTITUTE(input_event_type," ","")&amp;",")))&gt;0)),IF(DA33="",TRUE,IF(input_event_type="",FALSE,SUMPRODUCT(--ISNUMBER(SEARCH(","&amp;TRIM(TEXTSPLIT(DA33,","))&amp;",",","&amp;SUBSTITUTE(input_event_type," ","")&amp;",")))=COUNTA(TEXTSPLIT(DA33,",")))),IF(DC33="",TRUE,IF(input_event_type="",TRUE,SUMPRODUCT(--ISNUMBER(SEARCH(","&amp;TRIM(TEXTSPLIT(DC33,","))&amp;",",","&amp;SUBSTITUTE(input_event_type," ","")&amp;",")))=0)),IF(DE33="",TRUE,IF(input_event_type="",FALSE,SUMPRODUCT(--ISNUMBER(SEARCH(","&amp;TRIM(TEXTSPLIT(DE33,","))&amp;",",","&amp;SUBSTITUTE(input_event_type," ","")&amp;",")))&gt;0)),IF(DG33="",TRUE,IF(input_event_type="",FALSE,SUMPRODUCT(--ISNUMBER(SEARCH(","&amp;TRIM(TEXTSPLIT(DG33,","))&amp;",",","&amp;SUBSTITUTE(input_event_type," ","")&amp;",")))=COUNTA(TEXTSPLIT(DG33,",")))))</f>
        <v/>
      </c>
      <c r="JD33" s="19">
        <f>AND(IF(DI33="",TRUE,IF(input_executive_education_focus="",FALSE,SUMPRODUCT(--ISNUMBER(SEARCH(","&amp;TRIM(TEXTSPLIT(DI33,","))&amp;",",","&amp;SUBSTITUTE(input_executive_education_focus," ","")&amp;",")))&gt;0)),IF(DK33="",TRUE,IF(input_executive_education_focus="",FALSE,SUMPRODUCT(--ISNUMBER(SEARCH(","&amp;TRIM(TEXTSPLIT(DK33,","))&amp;",",","&amp;SUBSTITUTE(input_executive_education_focus," ","")&amp;",")))=COUNTA(TEXTSPLIT(DK33,",")))),IF(DM33="",TRUE,IF(input_executive_education_focus="",TRUE,SUMPRODUCT(--ISNUMBER(SEARCH(","&amp;TRIM(TEXTSPLIT(DM33,","))&amp;",",","&amp;SUBSTITUTE(input_executive_education_focus," ","")&amp;",")))=0)),IF(DO33="",TRUE,IF(input_executive_education_focus="",FALSE,SUMPRODUCT(--ISNUMBER(SEARCH(","&amp;TRIM(TEXTSPLIT(DO33,","))&amp;",",","&amp;SUBSTITUTE(input_executive_education_focus," ","")&amp;",")))&gt;0)),IF(DQ33="",TRUE,IF(input_executive_education_focus="",FALSE,SUMPRODUCT(--ISNUMBER(SEARCH(","&amp;TRIM(TEXTSPLIT(DQ33,","))&amp;",",","&amp;SUBSTITUTE(input_executive_education_focus," ","")&amp;",")))=COUNTA(TEXTSPLIT(DQ33,",")))))</f>
        <v/>
      </c>
      <c r="JE33" s="19">
        <f>AND(IF(DS33="",TRUE,IF(input_faculty_category="",FALSE,SUMPRODUCT(--ISNUMBER(SEARCH(","&amp;TRIM(TEXTSPLIT(DS33,","))&amp;",",","&amp;SUBSTITUTE(input_faculty_category," ","")&amp;",")))&gt;0)),IF(DU33="",TRUE,IF(input_faculty_category="",FALSE,SUMPRODUCT(--ISNUMBER(SEARCH(","&amp;TRIM(TEXTSPLIT(DU33,","))&amp;",",","&amp;SUBSTITUTE(input_faculty_category," ","")&amp;",")))=COUNTA(TEXTSPLIT(DU33,",")))),IF(DW33="",TRUE,IF(input_faculty_category="",TRUE,SUMPRODUCT(--ISNUMBER(SEARCH(","&amp;TRIM(TEXTSPLIT(DW33,","))&amp;",",","&amp;SUBSTITUTE(input_faculty_category," ","")&amp;",")))=0)),IF(DY33="",TRUE,IF(input_faculty_category="",FALSE,SUMPRODUCT(--ISNUMBER(SEARCH(","&amp;TRIM(TEXTSPLIT(DY33,","))&amp;",",","&amp;SUBSTITUTE(input_faculty_category," ","")&amp;",")))&gt;0)),IF(EA33="",TRUE,IF(input_faculty_category="",FALSE,SUMPRODUCT(--ISNUMBER(SEARCH(","&amp;TRIM(TEXTSPLIT(EA33,","))&amp;",",","&amp;SUBSTITUTE(input_faculty_category," ","")&amp;",")))=COUNTA(TEXTSPLIT(EA33,",")))))</f>
        <v/>
      </c>
      <c r="JF33" s="19">
        <f>AND(IF(EC33="",TRUE,IF(input_faculty_discipline="",FALSE,SUMPRODUCT(--ISNUMBER(SEARCH(","&amp;TRIM(TEXTSPLIT(EC33,","))&amp;",",","&amp;SUBSTITUTE(input_faculty_discipline," ","")&amp;",")))&gt;0)),IF(EE33="",TRUE,IF(input_faculty_discipline="",FALSE,SUMPRODUCT(--ISNUMBER(SEARCH(","&amp;TRIM(TEXTSPLIT(EE33,","))&amp;",",","&amp;SUBSTITUTE(input_faculty_discipline," ","")&amp;",")))=COUNTA(TEXTSPLIT(EE33,",")))),IF(EG33="",TRUE,IF(input_faculty_discipline="",TRUE,SUMPRODUCT(--ISNUMBER(SEARCH(","&amp;TRIM(TEXTSPLIT(EG33,","))&amp;",",","&amp;SUBSTITUTE(input_faculty_discipline," ","")&amp;",")))=0)),IF(EI33="",TRUE,IF(input_faculty_discipline="",FALSE,SUMPRODUCT(--ISNUMBER(SEARCH(","&amp;TRIM(TEXTSPLIT(EI33,","))&amp;",",","&amp;SUBSTITUTE(input_faculty_discipline," ","")&amp;",")))&gt;0)),IF(EK33="",TRUE,IF(input_faculty_discipline="",FALSE,SUMPRODUCT(--ISNUMBER(SEARCH(","&amp;TRIM(TEXTSPLIT(EK33,","))&amp;",",","&amp;SUBSTITUTE(input_faculty_discipline," ","")&amp;",")))=COUNTA(TEXTSPLIT(EK33,",")))))</f>
        <v/>
      </c>
      <c r="JG33" s="19">
        <f>AND(IF(EM33="",TRUE,IF(input_faculty_expertise="",FALSE,SUMPRODUCT(--ISNUMBER(SEARCH(","&amp;TRIM(TEXTSPLIT(EM33,","))&amp;",",","&amp;SUBSTITUTE(input_faculty_expertise," ","")&amp;",")))&gt;0)),IF(EO33="",TRUE,IF(input_faculty_expertise="",FALSE,SUMPRODUCT(--ISNUMBER(SEARCH(","&amp;TRIM(TEXTSPLIT(EO33,","))&amp;",",","&amp;SUBSTITUTE(input_faculty_expertise," ","")&amp;",")))=COUNTA(TEXTSPLIT(EO33,",")))),IF(EQ33="",TRUE,IF(input_faculty_expertise="",TRUE,SUMPRODUCT(--ISNUMBER(SEARCH(","&amp;TRIM(TEXTSPLIT(EQ33,","))&amp;",",","&amp;SUBSTITUTE(input_faculty_expertise," ","")&amp;",")))=0)),IF(ES33="",TRUE,IF(input_faculty_expertise="",FALSE,SUMPRODUCT(--ISNUMBER(SEARCH(","&amp;TRIM(TEXTSPLIT(ES33,","))&amp;",",","&amp;SUBSTITUTE(input_faculty_expertise," ","")&amp;",")))&gt;0)),IF(EU33="",TRUE,IF(input_faculty_expertise="",FALSE,SUMPRODUCT(--ISNUMBER(SEARCH(","&amp;TRIM(TEXTSPLIT(EU33,","))&amp;",",","&amp;SUBSTITUTE(input_faculty_expertise," ","")&amp;",")))=COUNTA(TEXTSPLIT(EU33,",")))))</f>
        <v/>
      </c>
      <c r="JH33" s="19">
        <f>AND(IF(EW33="",TRUE,IF(input_global_network_school="",FALSE,SUMPRODUCT(--ISNUMBER(SEARCH(","&amp;TRIM(TEXTSPLIT(EW33,","))&amp;",",","&amp;SUBSTITUTE(input_global_network_school," ","")&amp;",")))&gt;0)),IF(EY33="",TRUE,IF(input_global_network_school="",FALSE,SUMPRODUCT(--ISNUMBER(SEARCH(","&amp;TRIM(TEXTSPLIT(EY33,","))&amp;",",","&amp;SUBSTITUTE(input_global_network_school," ","")&amp;",")))=COUNTA(TEXTSPLIT(EY33,",")))),IF(FA33="",TRUE,IF(input_global_network_school="",TRUE,SUMPRODUCT(--ISNUMBER(SEARCH(","&amp;TRIM(TEXTSPLIT(FA33,","))&amp;",",","&amp;SUBSTITUTE(input_global_network_school," ","")&amp;",")))=0)),IF(FC33="",TRUE,IF(input_global_network_school="",FALSE,SUMPRODUCT(--ISNUMBER(SEARCH(","&amp;TRIM(TEXTSPLIT(FC33,","))&amp;",",","&amp;SUBSTITUTE(input_global_network_school," ","")&amp;",")))&gt;0)),IF(FE33="",TRUE,IF(input_global_network_school="",FALSE,SUMPRODUCT(--ISNUMBER(SEARCH(","&amp;TRIM(TEXTSPLIT(FE33,","))&amp;",",","&amp;SUBSTITUTE(input_global_network_school," ","")&amp;",")))=COUNTA(TEXTSPLIT(FE33,",")))))</f>
        <v/>
      </c>
      <c r="JI33" s="19">
        <f>AND(IF(FG33="",TRUE,IF(input_industry="",FALSE,SUMPRODUCT(--ISNUMBER(SEARCH(","&amp;TRIM(TEXTSPLIT(FG33,","))&amp;",",","&amp;SUBSTITUTE(input_industry," ","")&amp;",")))&gt;0)),IF(FI33="",TRUE,IF(input_industry="",FALSE,SUMPRODUCT(--ISNUMBER(SEARCH(","&amp;TRIM(TEXTSPLIT(FI33,","))&amp;",",","&amp;SUBSTITUTE(input_industry," ","")&amp;",")))=COUNTA(TEXTSPLIT(FI33,",")))),IF(FK33="",TRUE,IF(input_industry="",TRUE,SUMPRODUCT(--ISNUMBER(SEARCH(","&amp;TRIM(TEXTSPLIT(FK33,","))&amp;",",","&amp;SUBSTITUTE(input_industry," ","")&amp;",")))=0)),IF(FM33="",TRUE,IF(input_industry="",FALSE,SUMPRODUCT(--ISNUMBER(SEARCH(","&amp;TRIM(TEXTSPLIT(FM33,","))&amp;",",","&amp;SUBSTITUTE(input_industry," ","")&amp;",")))&gt;0)),IF(FO33="",TRUE,IF(input_industry="",FALSE,SUMPRODUCT(--ISNUMBER(SEARCH(","&amp;TRIM(TEXTSPLIT(FO33,","))&amp;",",","&amp;SUBSTITUTE(input_industry," ","")&amp;",")))=COUNTA(TEXTSPLIT(FO33,",")))))</f>
        <v/>
      </c>
      <c r="JJ33" s="19">
        <f>AND(IF(FQ33="",TRUE,IF(input_location="",FALSE,SUMPRODUCT(--ISNUMBER(SEARCH(","&amp;TRIM(TEXTSPLIT(FQ33,","))&amp;",",","&amp;SUBSTITUTE(input_location," ","")&amp;",")))&gt;0)),IF(FS33="",TRUE,IF(input_location="",FALSE,SUMPRODUCT(--ISNUMBER(SEARCH(","&amp;TRIM(TEXTSPLIT(FS33,","))&amp;",",","&amp;SUBSTITUTE(input_location," ","")&amp;",")))=COUNTA(TEXTSPLIT(FS33,",")))),IF(FU33="",TRUE,IF(input_location="",TRUE,SUMPRODUCT(--ISNUMBER(SEARCH(","&amp;TRIM(TEXTSPLIT(FU33,","))&amp;",",","&amp;SUBSTITUTE(input_location," ","")&amp;",")))=0)),IF(FW33="",TRUE,IF(input_location="",FALSE,SUMPRODUCT(--ISNUMBER(SEARCH(","&amp;TRIM(TEXTSPLIT(FW33,","))&amp;",",","&amp;SUBSTITUTE(input_location," ","")&amp;",")))&gt;0)),IF(FY33="",TRUE,IF(input_location="",FALSE,SUMPRODUCT(--ISNUMBER(SEARCH(","&amp;TRIM(TEXTSPLIT(FY33,","))&amp;",",","&amp;SUBSTITUTE(input_location," ","")&amp;",")))=COUNTA(TEXTSPLIT(FY33,",")))))</f>
        <v/>
      </c>
      <c r="JK33" s="19">
        <f>AND(IF(GA33="",TRUE,IF(input_modality="",FALSE,SUMPRODUCT(--ISNUMBER(SEARCH(","&amp;TRIM(TEXTSPLIT(GA33,","))&amp;",",","&amp;SUBSTITUTE(input_modality," ","")&amp;",")))&gt;0)),IF(GC33="",TRUE,IF(input_modality="",FALSE,SUMPRODUCT(--ISNUMBER(SEARCH(","&amp;TRIM(TEXTSPLIT(GC33,","))&amp;",",","&amp;SUBSTITUTE(input_modality," ","")&amp;",")))=COUNTA(TEXTSPLIT(GC33,",")))),IF(GE33="",TRUE,IF(input_modality="",TRUE,SUMPRODUCT(--ISNUMBER(SEARCH(","&amp;TRIM(TEXTSPLIT(GE33,","))&amp;",",","&amp;SUBSTITUTE(input_modality," ","")&amp;",")))=0)),IF(GG33="",TRUE,IF(input_modality="",FALSE,SUMPRODUCT(--ISNUMBER(SEARCH(","&amp;TRIM(TEXTSPLIT(GG33,","))&amp;",",","&amp;SUBSTITUTE(input_modality," ","")&amp;",")))&gt;0)),IF(GI33="",TRUE,IF(input_modality="",FALSE,SUMPRODUCT(--ISNUMBER(SEARCH(","&amp;TRIM(TEXTSPLIT(GI33,","))&amp;",",","&amp;SUBSTITUTE(input_modality," ","")&amp;",")))=COUNTA(TEXTSPLIT(GI33,",")))))</f>
        <v/>
      </c>
      <c r="JL33" s="19">
        <f>AND(IF(GK33="",TRUE,IF(input_organizer="",FALSE,SUMPRODUCT(--ISNUMBER(SEARCH(","&amp;TRIM(TEXTSPLIT(GK33,","))&amp;",",","&amp;SUBSTITUTE(input_organizer," ","")&amp;",")))&gt;0)),IF(GM33="",TRUE,IF(input_organizer="",FALSE,SUMPRODUCT(--ISNUMBER(SEARCH(","&amp;TRIM(TEXTSPLIT(GM33,","))&amp;",",","&amp;SUBSTITUTE(input_organizer," ","")&amp;",")))=COUNTA(TEXTSPLIT(GM33,",")))),IF(GO33="",TRUE,IF(input_organizer="",TRUE,SUMPRODUCT(--ISNUMBER(SEARCH(","&amp;TRIM(TEXTSPLIT(GO33,","))&amp;",",","&amp;SUBSTITUTE(input_organizer," ","")&amp;",")))=0)),IF(GQ33="",TRUE,IF(input_organizer="",FALSE,SUMPRODUCT(--ISNUMBER(SEARCH(","&amp;TRIM(TEXTSPLIT(GQ33,","))&amp;",",","&amp;SUBSTITUTE(input_organizer," ","")&amp;",")))&gt;0)),IF(GS33="",TRUE,IF(input_organizer="",FALSE,SUMPRODUCT(--ISNUMBER(SEARCH(","&amp;TRIM(TEXTSPLIT(GS33,","))&amp;",",","&amp;SUBSTITUTE(input_organizer," ","")&amp;",")))=COUNTA(TEXTSPLIT(GS33,",")))))</f>
        <v/>
      </c>
      <c r="JM33" s="19">
        <f>AND(IF(GU33="",TRUE,IF(input_profile_type="",FALSE,SUMPRODUCT(--ISNUMBER(SEARCH(","&amp;TRIM(TEXTSPLIT(GU33,","))&amp;",",","&amp;SUBSTITUTE(input_profile_type," ","")&amp;",")))&gt;0)),IF(GW33="",TRUE,IF(input_profile_type="",FALSE,SUMPRODUCT(--ISNUMBER(SEARCH(","&amp;TRIM(TEXTSPLIT(GW33,","))&amp;",",","&amp;SUBSTITUTE(input_profile_type," ","")&amp;",")))=COUNTA(TEXTSPLIT(GW33,",")))),IF(GY33="",TRUE,IF(input_profile_type="",TRUE,SUMPRODUCT(--ISNUMBER(SEARCH(","&amp;TRIM(TEXTSPLIT(GY33,","))&amp;",",","&amp;SUBSTITUTE(input_profile_type," ","")&amp;",")))=0)),IF(HA33="",TRUE,IF(input_profile_type="",FALSE,SUMPRODUCT(--ISNUMBER(SEARCH(","&amp;TRIM(TEXTSPLIT(HA33,","))&amp;",",","&amp;SUBSTITUTE(input_profile_type," ","")&amp;",")))&gt;0)),IF(HC33="",TRUE,IF(input_profile_type="",FALSE,SUMPRODUCT(--ISNUMBER(SEARCH(","&amp;TRIM(TEXTSPLIT(HC33,","))&amp;",",","&amp;SUBSTITUTE(input_profile_type," ","")&amp;",")))=COUNTA(TEXTSPLIT(HC33,",")))))</f>
        <v/>
      </c>
      <c r="JN33" s="19">
        <f>AND(IF(HE33="",TRUE,IF(input_program="",FALSE,SUMPRODUCT(--ISNUMBER(SEARCH(","&amp;TRIM(TEXTSPLIT(HE33,","))&amp;",",","&amp;SUBSTITUTE(input_program," ","")&amp;",")))&gt;0)),IF(HG33="",TRUE,IF(input_program="",FALSE,SUMPRODUCT(--ISNUMBER(SEARCH(","&amp;TRIM(TEXTSPLIT(HG33,","))&amp;",",","&amp;SUBSTITUTE(input_program," ","")&amp;",")))=COUNTA(TEXTSPLIT(HG33,",")))),IF(HI33="",TRUE,IF(input_program="",TRUE,SUMPRODUCT(--ISNUMBER(SEARCH(","&amp;TRIM(TEXTSPLIT(HI33,","))&amp;",",","&amp;SUBSTITUTE(input_program," ","")&amp;",")))=0)),IF(HK33="",TRUE,IF(input_program="",FALSE,SUMPRODUCT(--ISNUMBER(SEARCH(","&amp;TRIM(TEXTSPLIT(HK33,","))&amp;",",","&amp;SUBSTITUTE(input_program," ","")&amp;",")))&gt;0)),IF(HM33="",TRUE,IF(input_program="",FALSE,SUMPRODUCT(--ISNUMBER(SEARCH(","&amp;TRIM(TEXTSPLIT(HM33,","))&amp;",",","&amp;SUBSTITUTE(input_program," ","")&amp;",")))=COUNTA(TEXTSPLIT(HM33,",")))))</f>
        <v/>
      </c>
      <c r="JO33" s="19">
        <f>AND(IF(HO33="",TRUE,IF(input_story_categories="",FALSE,SUMPRODUCT(--ISNUMBER(SEARCH(","&amp;TRIM(TEXTSPLIT(HO33,","))&amp;",",","&amp;SUBSTITUTE(input_story_categories," ","")&amp;",")))&gt;0)),IF(HQ33="",TRUE,IF(input_story_categories="",FALSE,SUMPRODUCT(--ISNUMBER(SEARCH(","&amp;TRIM(TEXTSPLIT(HQ33,","))&amp;",",","&amp;SUBSTITUTE(input_story_categories," ","")&amp;",")))=COUNTA(TEXTSPLIT(HQ33,",")))),IF(HS33="",TRUE,IF(input_story_categories="",TRUE,SUMPRODUCT(--ISNUMBER(SEARCH(","&amp;TRIM(TEXTSPLIT(HS33,","))&amp;",",","&amp;SUBSTITUTE(input_story_categories," ","")&amp;",")))=0)),IF(HU33="",TRUE,IF(input_story_categories="",FALSE,SUMPRODUCT(--ISNUMBER(SEARCH(","&amp;TRIM(TEXTSPLIT(HU33,","))&amp;",",","&amp;SUBSTITUTE(input_story_categories," ","")&amp;",")))&gt;0)),IF(HW33="",TRUE,IF(input_story_categories="",FALSE,SUMPRODUCT(--ISNUMBER(SEARCH(","&amp;TRIM(TEXTSPLIT(HW33,","))&amp;",",","&amp;SUBSTITUTE(input_story_categories," ","")&amp;",")))=COUNTA(TEXTSPLIT(HW33,",")))))</f>
        <v/>
      </c>
      <c r="JP33" s="19">
        <f>AND(IF(HY33="",TRUE,IF(input_story_type="",FALSE,SUMPRODUCT(--ISNUMBER(SEARCH(","&amp;TRIM(TEXTSPLIT(HY33,","))&amp;",",","&amp;SUBSTITUTE(input_story_type," ","")&amp;",")))&gt;0)),IF(IA33="",TRUE,IF(input_story_type="",FALSE,SUMPRODUCT(--ISNUMBER(SEARCH(","&amp;TRIM(TEXTSPLIT(IA33,","))&amp;",",","&amp;SUBSTITUTE(input_story_type," ","")&amp;",")))=COUNTA(TEXTSPLIT(IA33,",")))),IF(IC33="",TRUE,IF(input_story_type="",TRUE,SUMPRODUCT(--ISNUMBER(SEARCH(","&amp;TRIM(TEXTSPLIT(IC33,","))&amp;",",","&amp;SUBSTITUTE(input_story_type," ","")&amp;",")))=0)),IF(IE33="",TRUE,IF(input_story_type="",FALSE,SUMPRODUCT(--ISNUMBER(SEARCH(","&amp;TRIM(TEXTSPLIT(IE33,","))&amp;",",","&amp;SUBSTITUTE(input_story_type," ","")&amp;",")))&gt;0)),IF(IG33="",TRUE,IF(input_story_type="",FALSE,SUMPRODUCT(--ISNUMBER(SEARCH(","&amp;TRIM(TEXTSPLIT(IG33,","))&amp;",",","&amp;SUBSTITUTE(input_story_type," ","")&amp;",")))=COUNTA(TEXTSPLIT(IG33,",")))))</f>
        <v/>
      </c>
      <c r="JQ33" s="19">
        <f>AND(IF(II33="",TRUE,IF(input_topics="",FALSE,SUMPRODUCT(--ISNUMBER(SEARCH(","&amp;TRIM(TEXTSPLIT(II33,","))&amp;",",","&amp;SUBSTITUTE(input_topics," ","")&amp;",")))&gt;0)),IF(IK33="",TRUE,IF(input_topics="",FALSE,SUMPRODUCT(--ISNUMBER(SEARCH(","&amp;TRIM(TEXTSPLIT(IK33,","))&amp;",",","&amp;SUBSTITUTE(input_topics," ","")&amp;",")))=COUNTA(TEXTSPLIT(IK33,",")))),IF(IM33="",TRUE,IF(input_topics="",TRUE,SUMPRODUCT(--ISNUMBER(SEARCH(","&amp;TRIM(TEXTSPLIT(IM33,","))&amp;",",","&amp;SUBSTITUTE(input_topics," ","")&amp;",")))=0)),IF(IO33="",TRUE,IF(input_topics="",FALSE,SUMPRODUCT(--ISNUMBER(SEARCH(","&amp;TRIM(TEXTSPLIT(IO33,","))&amp;",",","&amp;SUBSTITUTE(input_topics," ","")&amp;",")))&gt;0)),IF(IQ33="",TRUE,IF(input_topics="",FALSE,SUMPRODUCT(--ISNUMBER(SEARCH(","&amp;TRIM(TEXTSPLIT(IQ33,","))&amp;",",","&amp;SUBSTITUTE(input_topics," ","")&amp;",")))=COUNTA(TEXTSPLIT(IQ33,",")))))</f>
        <v/>
      </c>
    </row>
    <row r="34">
      <c r="A34" s="24">
        <f>IF(NOT(IS34),"Excluded",IF(AND(IT34,IU34,IV34,IW34,IX34,IY34,IZ34,JA34,JB34,JC34,JD34,JE34,JF34,JG34,JH34,JI34,JJ34,JK34,JL34,JM34,JN34,JO34,JP34,JQ34),IF(I34&gt;0,"Eligible but limited","Will appear"),"Excluded"))</f>
        <v/>
      </c>
      <c r="B34" s="24" t="inlineStr">
        <is>
          <t>All Publications by Author</t>
        </is>
      </c>
      <c r="C34" s="27" t="inlineStr">
        <is>
          <t>/faculty-research/faculty-directory/jeffrey-sonnenfeld</t>
        </is>
      </c>
      <c r="D34" s="24" t="inlineStr">
        <is>
          <t>/faculty-research/faculty-directory/jeffrey-sonnenfeld</t>
        </is>
      </c>
      <c r="E34" s="24" t="n">
        <v>1</v>
      </c>
      <c r="F34" s="24" t="inlineStr">
        <is>
          <t>publications</t>
        </is>
      </c>
      <c r="G34" s="24" t="inlineStr">
        <is>
          <t>publication_teaser_list</t>
        </is>
      </c>
      <c r="H34" s="24" t="inlineStr">
        <is>
          <t>publication_teaser_list_all_by_author</t>
        </is>
      </c>
      <c r="I34" s="24" t="n"/>
      <c r="J34" s="24" t="inlineStr">
        <is>
          <t>View/config rules</t>
        </is>
      </c>
      <c r="K34" s="24" t="inlineStr">
        <is>
          <t>Page placement</t>
        </is>
      </c>
      <c r="L34" s="24" t="inlineStr">
        <is>
          <t>Content type: publications; Source: View/config rules</t>
        </is>
      </c>
      <c r="IS34" s="19">
        <f>IF(input_content_type="",FALSE,ISNUMBER(SEARCH(","&amp;LOWER(input_content_type)&amp;",",","&amp;LOWER(SUBSTITUTE(F34," ",""))&amp;",")))</f>
        <v/>
      </c>
      <c r="IT34" s="19">
        <f>AND(IF(M34="",TRUE,IF(input_affiliations="",FALSE,SUMPRODUCT(--ISNUMBER(SEARCH(","&amp;TRIM(TEXTSPLIT(M34,","))&amp;",",","&amp;SUBSTITUTE(input_affiliations," ","")&amp;",")))&gt;0)),IF(O34="",TRUE,IF(input_affiliations="",FALSE,SUMPRODUCT(--ISNUMBER(SEARCH(","&amp;TRIM(TEXTSPLIT(O34,","))&amp;",",","&amp;SUBSTITUTE(input_affiliations," ","")&amp;",")))=COUNTA(TEXTSPLIT(O34,",")))),IF(Q34="",TRUE,IF(input_affiliations="",TRUE,SUMPRODUCT(--ISNUMBER(SEARCH(","&amp;TRIM(TEXTSPLIT(Q34,","))&amp;",",","&amp;SUBSTITUTE(input_affiliations," ","")&amp;",")))=0)),IF(S34="",TRUE,IF(input_affiliations="",FALSE,SUMPRODUCT(--ISNUMBER(SEARCH(","&amp;TRIM(TEXTSPLIT(S34,","))&amp;",",","&amp;SUBSTITUTE(input_affiliations," ","")&amp;",")))&gt;0)),IF(U34="",TRUE,IF(input_affiliations="",FALSE,SUMPRODUCT(--ISNUMBER(SEARCH(","&amp;TRIM(TEXTSPLIT(U34,","))&amp;",",","&amp;SUBSTITUTE(input_affiliations," ","")&amp;",")))=COUNTA(TEXTSPLIT(U34,",")))))</f>
        <v/>
      </c>
      <c r="IU34" s="19">
        <f>AND(IF(W34="",TRUE,IF(input_announcement_category="",FALSE,SUMPRODUCT(--ISNUMBER(SEARCH(","&amp;TRIM(TEXTSPLIT(W34,","))&amp;",",","&amp;SUBSTITUTE(input_announcement_category," ","")&amp;",")))&gt;0)),IF(Y34="",TRUE,IF(input_announcement_category="",FALSE,SUMPRODUCT(--ISNUMBER(SEARCH(","&amp;TRIM(TEXTSPLIT(Y34,","))&amp;",",","&amp;SUBSTITUTE(input_announcement_category," ","")&amp;",")))=COUNTA(TEXTSPLIT(Y34,",")))),IF(AA34="",TRUE,IF(input_announcement_category="",TRUE,SUMPRODUCT(--ISNUMBER(SEARCH(","&amp;TRIM(TEXTSPLIT(AA34,","))&amp;",",","&amp;SUBSTITUTE(input_announcement_category," ","")&amp;",")))=0)),IF(AC34="",TRUE,IF(input_announcement_category="",FALSE,SUMPRODUCT(--ISNUMBER(SEARCH(","&amp;TRIM(TEXTSPLIT(AC34,","))&amp;",",","&amp;SUBSTITUTE(input_announcement_category," ","")&amp;",")))&gt;0)),IF(AE34="",TRUE,IF(input_announcement_category="",FALSE,SUMPRODUCT(--ISNUMBER(SEARCH(","&amp;TRIM(TEXTSPLIT(AE34,","))&amp;",",","&amp;SUBSTITUTE(input_announcement_category," ","")&amp;",")))=COUNTA(TEXTSPLIT(AE34,",")))))</f>
        <v/>
      </c>
      <c r="IV34" s="19">
        <f>AND(IF(AG34="",TRUE,IF(input_area_of_focus="",FALSE,SUMPRODUCT(--ISNUMBER(SEARCH(","&amp;TRIM(TEXTSPLIT(AG34,","))&amp;",",","&amp;SUBSTITUTE(input_area_of_focus," ","")&amp;",")))&gt;0)),IF(AI34="",TRUE,IF(input_area_of_focus="",FALSE,SUMPRODUCT(--ISNUMBER(SEARCH(","&amp;TRIM(TEXTSPLIT(AI34,","))&amp;",",","&amp;SUBSTITUTE(input_area_of_focus," ","")&amp;",")))=COUNTA(TEXTSPLIT(AI34,",")))),IF(AK34="",TRUE,IF(input_area_of_focus="",TRUE,SUMPRODUCT(--ISNUMBER(SEARCH(","&amp;TRIM(TEXTSPLIT(AK34,","))&amp;",",","&amp;SUBSTITUTE(input_area_of_focus," ","")&amp;",")))=0)),IF(AM34="",TRUE,IF(input_area_of_focus="",FALSE,SUMPRODUCT(--ISNUMBER(SEARCH(","&amp;TRIM(TEXTSPLIT(AM34,","))&amp;",",","&amp;SUBSTITUTE(input_area_of_focus," ","")&amp;",")))&gt;0)),IF(AO34="",TRUE,IF(input_area_of_focus="",FALSE,SUMPRODUCT(--ISNUMBER(SEARCH(","&amp;TRIM(TEXTSPLIT(AO34,","))&amp;",",","&amp;SUBSTITUTE(input_area_of_focus," ","")&amp;",")))=COUNTA(TEXTSPLIT(AO34,",")))))</f>
        <v/>
      </c>
      <c r="IW34" s="19">
        <f>AND(IF(AQ34="",TRUE,IF(input_audience="",FALSE,SUMPRODUCT(--ISNUMBER(SEARCH(","&amp;TRIM(TEXTSPLIT(AQ34,","))&amp;",",","&amp;SUBSTITUTE(input_audience," ","")&amp;",")))&gt;0)),IF(AS34="",TRUE,IF(input_audience="",FALSE,SUMPRODUCT(--ISNUMBER(SEARCH(","&amp;TRIM(TEXTSPLIT(AS34,","))&amp;",",","&amp;SUBSTITUTE(input_audience," ","")&amp;",")))=COUNTA(TEXTSPLIT(AS34,",")))),IF(AU34="",TRUE,IF(input_audience="",TRUE,SUMPRODUCT(--ISNUMBER(SEARCH(","&amp;TRIM(TEXTSPLIT(AU34,","))&amp;",",","&amp;SUBSTITUTE(input_audience," ","")&amp;",")))=0)),IF(AW34="",TRUE,IF(input_audience="",FALSE,SUMPRODUCT(--ISNUMBER(SEARCH(","&amp;TRIM(TEXTSPLIT(AW34,","))&amp;",",","&amp;SUBSTITUTE(input_audience," ","")&amp;",")))&gt;0)),IF(AY34="",TRUE,IF(input_audience="",FALSE,SUMPRODUCT(--ISNUMBER(SEARCH(","&amp;TRIM(TEXTSPLIT(AY34,","))&amp;",",","&amp;SUBSTITUTE(input_audience," ","")&amp;",")))=COUNTA(TEXTSPLIT(AY34,",")))))</f>
        <v/>
      </c>
      <c r="IX34" s="19">
        <f>AND(IF(BA34="",TRUE,IF(input_challenge_opportunities="",FALSE,SUMPRODUCT(--ISNUMBER(SEARCH(","&amp;TRIM(TEXTSPLIT(BA34,","))&amp;",",","&amp;SUBSTITUTE(input_challenge_opportunities," ","")&amp;",")))&gt;0)),IF(BC34="",TRUE,IF(input_challenge_opportunities="",FALSE,SUMPRODUCT(--ISNUMBER(SEARCH(","&amp;TRIM(TEXTSPLIT(BC34,","))&amp;",",","&amp;SUBSTITUTE(input_challenge_opportunities," ","")&amp;",")))=COUNTA(TEXTSPLIT(BC34,",")))),IF(BE34="",TRUE,IF(input_challenge_opportunities="",TRUE,SUMPRODUCT(--ISNUMBER(SEARCH(","&amp;TRIM(TEXTSPLIT(BE34,","))&amp;",",","&amp;SUBSTITUTE(input_challenge_opportunities," ","")&amp;",")))=0)),IF(BG34="",TRUE,IF(input_challenge_opportunities="",FALSE,SUMPRODUCT(--ISNUMBER(SEARCH(","&amp;TRIM(TEXTSPLIT(BG34,","))&amp;",",","&amp;SUBSTITUTE(input_challenge_opportunities," ","")&amp;",")))&gt;0)),IF(BI34="",TRUE,IF(input_challenge_opportunities="",FALSE,SUMPRODUCT(--ISNUMBER(SEARCH(","&amp;TRIM(TEXTSPLIT(BI34,","))&amp;",",","&amp;SUBSTITUTE(input_challenge_opportunities," ","")&amp;",")))=COUNTA(TEXTSPLIT(BI34,",")))))</f>
        <v/>
      </c>
      <c r="IY34" s="19">
        <f>AND(IF(BK34="",TRUE,IF(input_context="",FALSE,SUMPRODUCT(--ISNUMBER(SEARCH(","&amp;TRIM(TEXTSPLIT(BK34,","))&amp;",",","&amp;SUBSTITUTE(input_context," ","")&amp;",")))&gt;0)),IF(BM34="",TRUE,IF(input_context="",FALSE,SUMPRODUCT(--ISNUMBER(SEARCH(","&amp;TRIM(TEXTSPLIT(BM34,","))&amp;",",","&amp;SUBSTITUTE(input_context," ","")&amp;",")))=COUNTA(TEXTSPLIT(BM34,",")))),IF(BO34="",TRUE,IF(input_context="",TRUE,SUMPRODUCT(--ISNUMBER(SEARCH(","&amp;TRIM(TEXTSPLIT(BO34,","))&amp;",",","&amp;SUBSTITUTE(input_context," ","")&amp;",")))=0)),IF(BQ34="",TRUE,IF(input_context="",FALSE,SUMPRODUCT(--ISNUMBER(SEARCH(","&amp;TRIM(TEXTSPLIT(BQ34,","))&amp;",",","&amp;SUBSTITUTE(input_context," ","")&amp;",")))&gt;0)),IF(BS34="",TRUE,IF(input_context="",FALSE,SUMPRODUCT(--ISNUMBER(SEARCH(","&amp;TRIM(TEXTSPLIT(BS34,","))&amp;",",","&amp;SUBSTITUTE(input_context," ","")&amp;",")))=COUNTA(TEXTSPLIT(BS34,",")))))</f>
        <v/>
      </c>
      <c r="IZ34" s="19">
        <f>AND(IF(BU34="",TRUE,IF(input_enews_announcement_type="",FALSE,SUMPRODUCT(--ISNUMBER(SEARCH(","&amp;TRIM(TEXTSPLIT(BU34,","))&amp;",",","&amp;SUBSTITUTE(input_enews_announcement_type," ","")&amp;",")))&gt;0)),IF(BW34="",TRUE,IF(input_enews_announcement_type="",FALSE,SUMPRODUCT(--ISNUMBER(SEARCH(","&amp;TRIM(TEXTSPLIT(BW34,","))&amp;",",","&amp;SUBSTITUTE(input_enews_announcement_type," ","")&amp;",")))=COUNTA(TEXTSPLIT(BW34,",")))),IF(BY34="",TRUE,IF(input_enews_announcement_type="",TRUE,SUMPRODUCT(--ISNUMBER(SEARCH(","&amp;TRIM(TEXTSPLIT(BY34,","))&amp;",",","&amp;SUBSTITUTE(input_enews_announcement_type," ","")&amp;",")))=0)),IF(CA34="",TRUE,IF(input_enews_announcement_type="",FALSE,SUMPRODUCT(--ISNUMBER(SEARCH(","&amp;TRIM(TEXTSPLIT(CA34,","))&amp;",",","&amp;SUBSTITUTE(input_enews_announcement_type," ","")&amp;",")))&gt;0)),IF(CC34="",TRUE,IF(input_enews_announcement_type="",FALSE,SUMPRODUCT(--ISNUMBER(SEARCH(","&amp;TRIM(TEXTSPLIT(CC34,","))&amp;",",","&amp;SUBSTITUTE(input_enews_announcement_type," ","")&amp;",")))=COUNTA(TEXTSPLIT(CC34,",")))))</f>
        <v/>
      </c>
      <c r="JA34" s="19">
        <f>AND(IF(CE34="",TRUE,IF(input_enews_audience="",FALSE,SUMPRODUCT(--ISNUMBER(SEARCH(","&amp;TRIM(TEXTSPLIT(CE34,","))&amp;",",","&amp;SUBSTITUTE(input_enews_audience," ","")&amp;",")))&gt;0)),IF(CG34="",TRUE,IF(input_enews_audience="",FALSE,SUMPRODUCT(--ISNUMBER(SEARCH(","&amp;TRIM(TEXTSPLIT(CG34,","))&amp;",",","&amp;SUBSTITUTE(input_enews_audience," ","")&amp;",")))=COUNTA(TEXTSPLIT(CG34,",")))),IF(CI34="",TRUE,IF(input_enews_audience="",TRUE,SUMPRODUCT(--ISNUMBER(SEARCH(","&amp;TRIM(TEXTSPLIT(CI34,","))&amp;",",","&amp;SUBSTITUTE(input_enews_audience," ","")&amp;",")))=0)),IF(CK34="",TRUE,IF(input_enews_audience="",FALSE,SUMPRODUCT(--ISNUMBER(SEARCH(","&amp;TRIM(TEXTSPLIT(CK34,","))&amp;",",","&amp;SUBSTITUTE(input_enews_audience," ","")&amp;",")))&gt;0)),IF(CM34="",TRUE,IF(input_enews_audience="",FALSE,SUMPRODUCT(--ISNUMBER(SEARCH(","&amp;TRIM(TEXTSPLIT(CM34,","))&amp;",",","&amp;SUBSTITUTE(input_enews_audience," ","")&amp;",")))=COUNTA(TEXTSPLIT(CM34,",")))))</f>
        <v/>
      </c>
      <c r="JB34" s="19">
        <f>AND(IF(CO34="",TRUE,IF(input_event_location="",FALSE,SUMPRODUCT(--ISNUMBER(SEARCH(","&amp;TRIM(TEXTSPLIT(CO34,","))&amp;",",","&amp;SUBSTITUTE(input_event_location," ","")&amp;",")))&gt;0)),IF(CQ34="",TRUE,IF(input_event_location="",FALSE,SUMPRODUCT(--ISNUMBER(SEARCH(","&amp;TRIM(TEXTSPLIT(CQ34,","))&amp;",",","&amp;SUBSTITUTE(input_event_location," ","")&amp;",")))=COUNTA(TEXTSPLIT(CQ34,",")))),IF(CS34="",TRUE,IF(input_event_location="",TRUE,SUMPRODUCT(--ISNUMBER(SEARCH(","&amp;TRIM(TEXTSPLIT(CS34,","))&amp;",",","&amp;SUBSTITUTE(input_event_location," ","")&amp;",")))=0)),IF(CU34="",TRUE,IF(input_event_location="",FALSE,SUMPRODUCT(--ISNUMBER(SEARCH(","&amp;TRIM(TEXTSPLIT(CU34,","))&amp;",",","&amp;SUBSTITUTE(input_event_location," ","")&amp;",")))&gt;0)),IF(CW34="",TRUE,IF(input_event_location="",FALSE,SUMPRODUCT(--ISNUMBER(SEARCH(","&amp;TRIM(TEXTSPLIT(CW34,","))&amp;",",","&amp;SUBSTITUTE(input_event_location," ","")&amp;",")))=COUNTA(TEXTSPLIT(CW34,",")))))</f>
        <v/>
      </c>
      <c r="JC34" s="19">
        <f>AND(IF(CY34="",TRUE,IF(input_event_type="",FALSE,SUMPRODUCT(--ISNUMBER(SEARCH(","&amp;TRIM(TEXTSPLIT(CY34,","))&amp;",",","&amp;SUBSTITUTE(input_event_type," ","")&amp;",")))&gt;0)),IF(DA34="",TRUE,IF(input_event_type="",FALSE,SUMPRODUCT(--ISNUMBER(SEARCH(","&amp;TRIM(TEXTSPLIT(DA34,","))&amp;",",","&amp;SUBSTITUTE(input_event_type," ","")&amp;",")))=COUNTA(TEXTSPLIT(DA34,",")))),IF(DC34="",TRUE,IF(input_event_type="",TRUE,SUMPRODUCT(--ISNUMBER(SEARCH(","&amp;TRIM(TEXTSPLIT(DC34,","))&amp;",",","&amp;SUBSTITUTE(input_event_type," ","")&amp;",")))=0)),IF(DE34="",TRUE,IF(input_event_type="",FALSE,SUMPRODUCT(--ISNUMBER(SEARCH(","&amp;TRIM(TEXTSPLIT(DE34,","))&amp;",",","&amp;SUBSTITUTE(input_event_type," ","")&amp;",")))&gt;0)),IF(DG34="",TRUE,IF(input_event_type="",FALSE,SUMPRODUCT(--ISNUMBER(SEARCH(","&amp;TRIM(TEXTSPLIT(DG34,","))&amp;",",","&amp;SUBSTITUTE(input_event_type," ","")&amp;",")))=COUNTA(TEXTSPLIT(DG34,",")))))</f>
        <v/>
      </c>
      <c r="JD34" s="19">
        <f>AND(IF(DI34="",TRUE,IF(input_executive_education_focus="",FALSE,SUMPRODUCT(--ISNUMBER(SEARCH(","&amp;TRIM(TEXTSPLIT(DI34,","))&amp;",",","&amp;SUBSTITUTE(input_executive_education_focus," ","")&amp;",")))&gt;0)),IF(DK34="",TRUE,IF(input_executive_education_focus="",FALSE,SUMPRODUCT(--ISNUMBER(SEARCH(","&amp;TRIM(TEXTSPLIT(DK34,","))&amp;",",","&amp;SUBSTITUTE(input_executive_education_focus," ","")&amp;",")))=COUNTA(TEXTSPLIT(DK34,",")))),IF(DM34="",TRUE,IF(input_executive_education_focus="",TRUE,SUMPRODUCT(--ISNUMBER(SEARCH(","&amp;TRIM(TEXTSPLIT(DM34,","))&amp;",",","&amp;SUBSTITUTE(input_executive_education_focus," ","")&amp;",")))=0)),IF(DO34="",TRUE,IF(input_executive_education_focus="",FALSE,SUMPRODUCT(--ISNUMBER(SEARCH(","&amp;TRIM(TEXTSPLIT(DO34,","))&amp;",",","&amp;SUBSTITUTE(input_executive_education_focus," ","")&amp;",")))&gt;0)),IF(DQ34="",TRUE,IF(input_executive_education_focus="",FALSE,SUMPRODUCT(--ISNUMBER(SEARCH(","&amp;TRIM(TEXTSPLIT(DQ34,","))&amp;",",","&amp;SUBSTITUTE(input_executive_education_focus," ","")&amp;",")))=COUNTA(TEXTSPLIT(DQ34,",")))))</f>
        <v/>
      </c>
      <c r="JE34" s="19">
        <f>AND(IF(DS34="",TRUE,IF(input_faculty_category="",FALSE,SUMPRODUCT(--ISNUMBER(SEARCH(","&amp;TRIM(TEXTSPLIT(DS34,","))&amp;",",","&amp;SUBSTITUTE(input_faculty_category," ","")&amp;",")))&gt;0)),IF(DU34="",TRUE,IF(input_faculty_category="",FALSE,SUMPRODUCT(--ISNUMBER(SEARCH(","&amp;TRIM(TEXTSPLIT(DU34,","))&amp;",",","&amp;SUBSTITUTE(input_faculty_category," ","")&amp;",")))=COUNTA(TEXTSPLIT(DU34,",")))),IF(DW34="",TRUE,IF(input_faculty_category="",TRUE,SUMPRODUCT(--ISNUMBER(SEARCH(","&amp;TRIM(TEXTSPLIT(DW34,","))&amp;",",","&amp;SUBSTITUTE(input_faculty_category," ","")&amp;",")))=0)),IF(DY34="",TRUE,IF(input_faculty_category="",FALSE,SUMPRODUCT(--ISNUMBER(SEARCH(","&amp;TRIM(TEXTSPLIT(DY34,","))&amp;",",","&amp;SUBSTITUTE(input_faculty_category," ","")&amp;",")))&gt;0)),IF(EA34="",TRUE,IF(input_faculty_category="",FALSE,SUMPRODUCT(--ISNUMBER(SEARCH(","&amp;TRIM(TEXTSPLIT(EA34,","))&amp;",",","&amp;SUBSTITUTE(input_faculty_category," ","")&amp;",")))=COUNTA(TEXTSPLIT(EA34,",")))))</f>
        <v/>
      </c>
      <c r="JF34" s="19">
        <f>AND(IF(EC34="",TRUE,IF(input_faculty_discipline="",FALSE,SUMPRODUCT(--ISNUMBER(SEARCH(","&amp;TRIM(TEXTSPLIT(EC34,","))&amp;",",","&amp;SUBSTITUTE(input_faculty_discipline," ","")&amp;",")))&gt;0)),IF(EE34="",TRUE,IF(input_faculty_discipline="",FALSE,SUMPRODUCT(--ISNUMBER(SEARCH(","&amp;TRIM(TEXTSPLIT(EE34,","))&amp;",",","&amp;SUBSTITUTE(input_faculty_discipline," ","")&amp;",")))=COUNTA(TEXTSPLIT(EE34,",")))),IF(EG34="",TRUE,IF(input_faculty_discipline="",TRUE,SUMPRODUCT(--ISNUMBER(SEARCH(","&amp;TRIM(TEXTSPLIT(EG34,","))&amp;",",","&amp;SUBSTITUTE(input_faculty_discipline," ","")&amp;",")))=0)),IF(EI34="",TRUE,IF(input_faculty_discipline="",FALSE,SUMPRODUCT(--ISNUMBER(SEARCH(","&amp;TRIM(TEXTSPLIT(EI34,","))&amp;",",","&amp;SUBSTITUTE(input_faculty_discipline," ","")&amp;",")))&gt;0)),IF(EK34="",TRUE,IF(input_faculty_discipline="",FALSE,SUMPRODUCT(--ISNUMBER(SEARCH(","&amp;TRIM(TEXTSPLIT(EK34,","))&amp;",",","&amp;SUBSTITUTE(input_faculty_discipline," ","")&amp;",")))=COUNTA(TEXTSPLIT(EK34,",")))))</f>
        <v/>
      </c>
      <c r="JG34" s="19">
        <f>AND(IF(EM34="",TRUE,IF(input_faculty_expertise="",FALSE,SUMPRODUCT(--ISNUMBER(SEARCH(","&amp;TRIM(TEXTSPLIT(EM34,","))&amp;",",","&amp;SUBSTITUTE(input_faculty_expertise," ","")&amp;",")))&gt;0)),IF(EO34="",TRUE,IF(input_faculty_expertise="",FALSE,SUMPRODUCT(--ISNUMBER(SEARCH(","&amp;TRIM(TEXTSPLIT(EO34,","))&amp;",",","&amp;SUBSTITUTE(input_faculty_expertise," ","")&amp;",")))=COUNTA(TEXTSPLIT(EO34,",")))),IF(EQ34="",TRUE,IF(input_faculty_expertise="",TRUE,SUMPRODUCT(--ISNUMBER(SEARCH(","&amp;TRIM(TEXTSPLIT(EQ34,","))&amp;",",","&amp;SUBSTITUTE(input_faculty_expertise," ","")&amp;",")))=0)),IF(ES34="",TRUE,IF(input_faculty_expertise="",FALSE,SUMPRODUCT(--ISNUMBER(SEARCH(","&amp;TRIM(TEXTSPLIT(ES34,","))&amp;",",","&amp;SUBSTITUTE(input_faculty_expertise," ","")&amp;",")))&gt;0)),IF(EU34="",TRUE,IF(input_faculty_expertise="",FALSE,SUMPRODUCT(--ISNUMBER(SEARCH(","&amp;TRIM(TEXTSPLIT(EU34,","))&amp;",",","&amp;SUBSTITUTE(input_faculty_expertise," ","")&amp;",")))=COUNTA(TEXTSPLIT(EU34,",")))))</f>
        <v/>
      </c>
      <c r="JH34" s="19">
        <f>AND(IF(EW34="",TRUE,IF(input_global_network_school="",FALSE,SUMPRODUCT(--ISNUMBER(SEARCH(","&amp;TRIM(TEXTSPLIT(EW34,","))&amp;",",","&amp;SUBSTITUTE(input_global_network_school," ","")&amp;",")))&gt;0)),IF(EY34="",TRUE,IF(input_global_network_school="",FALSE,SUMPRODUCT(--ISNUMBER(SEARCH(","&amp;TRIM(TEXTSPLIT(EY34,","))&amp;",",","&amp;SUBSTITUTE(input_global_network_school," ","")&amp;",")))=COUNTA(TEXTSPLIT(EY34,",")))),IF(FA34="",TRUE,IF(input_global_network_school="",TRUE,SUMPRODUCT(--ISNUMBER(SEARCH(","&amp;TRIM(TEXTSPLIT(FA34,","))&amp;",",","&amp;SUBSTITUTE(input_global_network_school," ","")&amp;",")))=0)),IF(FC34="",TRUE,IF(input_global_network_school="",FALSE,SUMPRODUCT(--ISNUMBER(SEARCH(","&amp;TRIM(TEXTSPLIT(FC34,","))&amp;",",","&amp;SUBSTITUTE(input_global_network_school," ","")&amp;",")))&gt;0)),IF(FE34="",TRUE,IF(input_global_network_school="",FALSE,SUMPRODUCT(--ISNUMBER(SEARCH(","&amp;TRIM(TEXTSPLIT(FE34,","))&amp;",",","&amp;SUBSTITUTE(input_global_network_school," ","")&amp;",")))=COUNTA(TEXTSPLIT(FE34,",")))))</f>
        <v/>
      </c>
      <c r="JI34" s="19">
        <f>AND(IF(FG34="",TRUE,IF(input_industry="",FALSE,SUMPRODUCT(--ISNUMBER(SEARCH(","&amp;TRIM(TEXTSPLIT(FG34,","))&amp;",",","&amp;SUBSTITUTE(input_industry," ","")&amp;",")))&gt;0)),IF(FI34="",TRUE,IF(input_industry="",FALSE,SUMPRODUCT(--ISNUMBER(SEARCH(","&amp;TRIM(TEXTSPLIT(FI34,","))&amp;",",","&amp;SUBSTITUTE(input_industry," ","")&amp;",")))=COUNTA(TEXTSPLIT(FI34,",")))),IF(FK34="",TRUE,IF(input_industry="",TRUE,SUMPRODUCT(--ISNUMBER(SEARCH(","&amp;TRIM(TEXTSPLIT(FK34,","))&amp;",",","&amp;SUBSTITUTE(input_industry," ","")&amp;",")))=0)),IF(FM34="",TRUE,IF(input_industry="",FALSE,SUMPRODUCT(--ISNUMBER(SEARCH(","&amp;TRIM(TEXTSPLIT(FM34,","))&amp;",",","&amp;SUBSTITUTE(input_industry," ","")&amp;",")))&gt;0)),IF(FO34="",TRUE,IF(input_industry="",FALSE,SUMPRODUCT(--ISNUMBER(SEARCH(","&amp;TRIM(TEXTSPLIT(FO34,","))&amp;",",","&amp;SUBSTITUTE(input_industry," ","")&amp;",")))=COUNTA(TEXTSPLIT(FO34,",")))))</f>
        <v/>
      </c>
      <c r="JJ34" s="19">
        <f>AND(IF(FQ34="",TRUE,IF(input_location="",FALSE,SUMPRODUCT(--ISNUMBER(SEARCH(","&amp;TRIM(TEXTSPLIT(FQ34,","))&amp;",",","&amp;SUBSTITUTE(input_location," ","")&amp;",")))&gt;0)),IF(FS34="",TRUE,IF(input_location="",FALSE,SUMPRODUCT(--ISNUMBER(SEARCH(","&amp;TRIM(TEXTSPLIT(FS34,","))&amp;",",","&amp;SUBSTITUTE(input_location," ","")&amp;",")))=COUNTA(TEXTSPLIT(FS34,",")))),IF(FU34="",TRUE,IF(input_location="",TRUE,SUMPRODUCT(--ISNUMBER(SEARCH(","&amp;TRIM(TEXTSPLIT(FU34,","))&amp;",",","&amp;SUBSTITUTE(input_location," ","")&amp;",")))=0)),IF(FW34="",TRUE,IF(input_location="",FALSE,SUMPRODUCT(--ISNUMBER(SEARCH(","&amp;TRIM(TEXTSPLIT(FW34,","))&amp;",",","&amp;SUBSTITUTE(input_location," ","")&amp;",")))&gt;0)),IF(FY34="",TRUE,IF(input_location="",FALSE,SUMPRODUCT(--ISNUMBER(SEARCH(","&amp;TRIM(TEXTSPLIT(FY34,","))&amp;",",","&amp;SUBSTITUTE(input_location," ","")&amp;",")))=COUNTA(TEXTSPLIT(FY34,",")))))</f>
        <v/>
      </c>
      <c r="JK34" s="19">
        <f>AND(IF(GA34="",TRUE,IF(input_modality="",FALSE,SUMPRODUCT(--ISNUMBER(SEARCH(","&amp;TRIM(TEXTSPLIT(GA34,","))&amp;",",","&amp;SUBSTITUTE(input_modality," ","")&amp;",")))&gt;0)),IF(GC34="",TRUE,IF(input_modality="",FALSE,SUMPRODUCT(--ISNUMBER(SEARCH(","&amp;TRIM(TEXTSPLIT(GC34,","))&amp;",",","&amp;SUBSTITUTE(input_modality," ","")&amp;",")))=COUNTA(TEXTSPLIT(GC34,",")))),IF(GE34="",TRUE,IF(input_modality="",TRUE,SUMPRODUCT(--ISNUMBER(SEARCH(","&amp;TRIM(TEXTSPLIT(GE34,","))&amp;",",","&amp;SUBSTITUTE(input_modality," ","")&amp;",")))=0)),IF(GG34="",TRUE,IF(input_modality="",FALSE,SUMPRODUCT(--ISNUMBER(SEARCH(","&amp;TRIM(TEXTSPLIT(GG34,","))&amp;",",","&amp;SUBSTITUTE(input_modality," ","")&amp;",")))&gt;0)),IF(GI34="",TRUE,IF(input_modality="",FALSE,SUMPRODUCT(--ISNUMBER(SEARCH(","&amp;TRIM(TEXTSPLIT(GI34,","))&amp;",",","&amp;SUBSTITUTE(input_modality," ","")&amp;",")))=COUNTA(TEXTSPLIT(GI34,",")))))</f>
        <v/>
      </c>
      <c r="JL34" s="19">
        <f>AND(IF(GK34="",TRUE,IF(input_organizer="",FALSE,SUMPRODUCT(--ISNUMBER(SEARCH(","&amp;TRIM(TEXTSPLIT(GK34,","))&amp;",",","&amp;SUBSTITUTE(input_organizer," ","")&amp;",")))&gt;0)),IF(GM34="",TRUE,IF(input_organizer="",FALSE,SUMPRODUCT(--ISNUMBER(SEARCH(","&amp;TRIM(TEXTSPLIT(GM34,","))&amp;",",","&amp;SUBSTITUTE(input_organizer," ","")&amp;",")))=COUNTA(TEXTSPLIT(GM34,",")))),IF(GO34="",TRUE,IF(input_organizer="",TRUE,SUMPRODUCT(--ISNUMBER(SEARCH(","&amp;TRIM(TEXTSPLIT(GO34,","))&amp;",",","&amp;SUBSTITUTE(input_organizer," ","")&amp;",")))=0)),IF(GQ34="",TRUE,IF(input_organizer="",FALSE,SUMPRODUCT(--ISNUMBER(SEARCH(","&amp;TRIM(TEXTSPLIT(GQ34,","))&amp;",",","&amp;SUBSTITUTE(input_organizer," ","")&amp;",")))&gt;0)),IF(GS34="",TRUE,IF(input_organizer="",FALSE,SUMPRODUCT(--ISNUMBER(SEARCH(","&amp;TRIM(TEXTSPLIT(GS34,","))&amp;",",","&amp;SUBSTITUTE(input_organizer," ","")&amp;",")))=COUNTA(TEXTSPLIT(GS34,",")))))</f>
        <v/>
      </c>
      <c r="JM34" s="19">
        <f>AND(IF(GU34="",TRUE,IF(input_profile_type="",FALSE,SUMPRODUCT(--ISNUMBER(SEARCH(","&amp;TRIM(TEXTSPLIT(GU34,","))&amp;",",","&amp;SUBSTITUTE(input_profile_type," ","")&amp;",")))&gt;0)),IF(GW34="",TRUE,IF(input_profile_type="",FALSE,SUMPRODUCT(--ISNUMBER(SEARCH(","&amp;TRIM(TEXTSPLIT(GW34,","))&amp;",",","&amp;SUBSTITUTE(input_profile_type," ","")&amp;",")))=COUNTA(TEXTSPLIT(GW34,",")))),IF(GY34="",TRUE,IF(input_profile_type="",TRUE,SUMPRODUCT(--ISNUMBER(SEARCH(","&amp;TRIM(TEXTSPLIT(GY34,","))&amp;",",","&amp;SUBSTITUTE(input_profile_type," ","")&amp;",")))=0)),IF(HA34="",TRUE,IF(input_profile_type="",FALSE,SUMPRODUCT(--ISNUMBER(SEARCH(","&amp;TRIM(TEXTSPLIT(HA34,","))&amp;",",","&amp;SUBSTITUTE(input_profile_type," ","")&amp;",")))&gt;0)),IF(HC34="",TRUE,IF(input_profile_type="",FALSE,SUMPRODUCT(--ISNUMBER(SEARCH(","&amp;TRIM(TEXTSPLIT(HC34,","))&amp;",",","&amp;SUBSTITUTE(input_profile_type," ","")&amp;",")))=COUNTA(TEXTSPLIT(HC34,",")))))</f>
        <v/>
      </c>
      <c r="JN34" s="19">
        <f>AND(IF(HE34="",TRUE,IF(input_program="",FALSE,SUMPRODUCT(--ISNUMBER(SEARCH(","&amp;TRIM(TEXTSPLIT(HE34,","))&amp;",",","&amp;SUBSTITUTE(input_program," ","")&amp;",")))&gt;0)),IF(HG34="",TRUE,IF(input_program="",FALSE,SUMPRODUCT(--ISNUMBER(SEARCH(","&amp;TRIM(TEXTSPLIT(HG34,","))&amp;",",","&amp;SUBSTITUTE(input_program," ","")&amp;",")))=COUNTA(TEXTSPLIT(HG34,",")))),IF(HI34="",TRUE,IF(input_program="",TRUE,SUMPRODUCT(--ISNUMBER(SEARCH(","&amp;TRIM(TEXTSPLIT(HI34,","))&amp;",",","&amp;SUBSTITUTE(input_program," ","")&amp;",")))=0)),IF(HK34="",TRUE,IF(input_program="",FALSE,SUMPRODUCT(--ISNUMBER(SEARCH(","&amp;TRIM(TEXTSPLIT(HK34,","))&amp;",",","&amp;SUBSTITUTE(input_program," ","")&amp;",")))&gt;0)),IF(HM34="",TRUE,IF(input_program="",FALSE,SUMPRODUCT(--ISNUMBER(SEARCH(","&amp;TRIM(TEXTSPLIT(HM34,","))&amp;",",","&amp;SUBSTITUTE(input_program," ","")&amp;",")))=COUNTA(TEXTSPLIT(HM34,",")))))</f>
        <v/>
      </c>
      <c r="JO34" s="19">
        <f>AND(IF(HO34="",TRUE,IF(input_story_categories="",FALSE,SUMPRODUCT(--ISNUMBER(SEARCH(","&amp;TRIM(TEXTSPLIT(HO34,","))&amp;",",","&amp;SUBSTITUTE(input_story_categories," ","")&amp;",")))&gt;0)),IF(HQ34="",TRUE,IF(input_story_categories="",FALSE,SUMPRODUCT(--ISNUMBER(SEARCH(","&amp;TRIM(TEXTSPLIT(HQ34,","))&amp;",",","&amp;SUBSTITUTE(input_story_categories," ","")&amp;",")))=COUNTA(TEXTSPLIT(HQ34,",")))),IF(HS34="",TRUE,IF(input_story_categories="",TRUE,SUMPRODUCT(--ISNUMBER(SEARCH(","&amp;TRIM(TEXTSPLIT(HS34,","))&amp;",",","&amp;SUBSTITUTE(input_story_categories," ","")&amp;",")))=0)),IF(HU34="",TRUE,IF(input_story_categories="",FALSE,SUMPRODUCT(--ISNUMBER(SEARCH(","&amp;TRIM(TEXTSPLIT(HU34,","))&amp;",",","&amp;SUBSTITUTE(input_story_categories," ","")&amp;",")))&gt;0)),IF(HW34="",TRUE,IF(input_story_categories="",FALSE,SUMPRODUCT(--ISNUMBER(SEARCH(","&amp;TRIM(TEXTSPLIT(HW34,","))&amp;",",","&amp;SUBSTITUTE(input_story_categories," ","")&amp;",")))=COUNTA(TEXTSPLIT(HW34,",")))))</f>
        <v/>
      </c>
      <c r="JP34" s="19">
        <f>AND(IF(HY34="",TRUE,IF(input_story_type="",FALSE,SUMPRODUCT(--ISNUMBER(SEARCH(","&amp;TRIM(TEXTSPLIT(HY34,","))&amp;",",","&amp;SUBSTITUTE(input_story_type," ","")&amp;",")))&gt;0)),IF(IA34="",TRUE,IF(input_story_type="",FALSE,SUMPRODUCT(--ISNUMBER(SEARCH(","&amp;TRIM(TEXTSPLIT(IA34,","))&amp;",",","&amp;SUBSTITUTE(input_story_type," ","")&amp;",")))=COUNTA(TEXTSPLIT(IA34,",")))),IF(IC34="",TRUE,IF(input_story_type="",TRUE,SUMPRODUCT(--ISNUMBER(SEARCH(","&amp;TRIM(TEXTSPLIT(IC34,","))&amp;",",","&amp;SUBSTITUTE(input_story_type," ","")&amp;",")))=0)),IF(IE34="",TRUE,IF(input_story_type="",FALSE,SUMPRODUCT(--ISNUMBER(SEARCH(","&amp;TRIM(TEXTSPLIT(IE34,","))&amp;",",","&amp;SUBSTITUTE(input_story_type," ","")&amp;",")))&gt;0)),IF(IG34="",TRUE,IF(input_story_type="",FALSE,SUMPRODUCT(--ISNUMBER(SEARCH(","&amp;TRIM(TEXTSPLIT(IG34,","))&amp;",",","&amp;SUBSTITUTE(input_story_type," ","")&amp;",")))=COUNTA(TEXTSPLIT(IG34,",")))))</f>
        <v/>
      </c>
      <c r="JQ34" s="19">
        <f>AND(IF(II34="",TRUE,IF(input_topics="",FALSE,SUMPRODUCT(--ISNUMBER(SEARCH(","&amp;TRIM(TEXTSPLIT(II34,","))&amp;",",","&amp;SUBSTITUTE(input_topics," ","")&amp;",")))&gt;0)),IF(IK34="",TRUE,IF(input_topics="",FALSE,SUMPRODUCT(--ISNUMBER(SEARCH(","&amp;TRIM(TEXTSPLIT(IK34,","))&amp;",",","&amp;SUBSTITUTE(input_topics," ","")&amp;",")))=COUNTA(TEXTSPLIT(IK34,",")))),IF(IM34="",TRUE,IF(input_topics="",TRUE,SUMPRODUCT(--ISNUMBER(SEARCH(","&amp;TRIM(TEXTSPLIT(IM34,","))&amp;",",","&amp;SUBSTITUTE(input_topics," ","")&amp;",")))=0)),IF(IO34="",TRUE,IF(input_topics="",FALSE,SUMPRODUCT(--ISNUMBER(SEARCH(","&amp;TRIM(TEXTSPLIT(IO34,","))&amp;",",","&amp;SUBSTITUTE(input_topics," ","")&amp;",")))&gt;0)),IF(IQ34="",TRUE,IF(input_topics="",FALSE,SUMPRODUCT(--ISNUMBER(SEARCH(","&amp;TRIM(TEXTSPLIT(IQ34,","))&amp;",",","&amp;SUBSTITUTE(input_topics," ","")&amp;",")))=COUNTA(TEXTSPLIT(IQ34,",")))))</f>
        <v/>
      </c>
    </row>
    <row r="35">
      <c r="A35" s="24">
        <f>IF(NOT(IS35),"Excluded",IF(AND(IT35,IU35,IV35,IW35,IX35,IY35,IZ35,JA35,JB35,JC35,JD35,JE35,JF35,JG35,JH35,JI35,JJ35,JK35,JL35,JM35,JN35,JO35,JP35,JQ35),IF(I35&gt;0,"Eligible but limited","Will appear"),"Excluded"))</f>
        <v/>
      </c>
      <c r="B35" s="24" t="inlineStr">
        <is>
          <t>All Publications by Author</t>
        </is>
      </c>
      <c r="C35" s="27" t="inlineStr">
        <is>
          <t>/faculty-research/faculty-directory/jennifer-dannals</t>
        </is>
      </c>
      <c r="D35" s="24" t="inlineStr">
        <is>
          <t>/faculty-research/faculty-directory/jennifer-dannals</t>
        </is>
      </c>
      <c r="E35" s="24" t="n">
        <v>1</v>
      </c>
      <c r="F35" s="24" t="inlineStr">
        <is>
          <t>publications</t>
        </is>
      </c>
      <c r="G35" s="24" t="inlineStr">
        <is>
          <t>publication_teaser_list</t>
        </is>
      </c>
      <c r="H35" s="24" t="inlineStr">
        <is>
          <t>publication_teaser_list_all_by_author</t>
        </is>
      </c>
      <c r="I35" s="24" t="n"/>
      <c r="J35" s="24" t="inlineStr">
        <is>
          <t>View/config rules</t>
        </is>
      </c>
      <c r="K35" s="24" t="inlineStr">
        <is>
          <t>Page placement</t>
        </is>
      </c>
      <c r="L35" s="24" t="inlineStr">
        <is>
          <t>Content type: publications; Source: View/config rules</t>
        </is>
      </c>
      <c r="IS35" s="19">
        <f>IF(input_content_type="",FALSE,ISNUMBER(SEARCH(","&amp;LOWER(input_content_type)&amp;",",","&amp;LOWER(SUBSTITUTE(F35," ",""))&amp;",")))</f>
        <v/>
      </c>
      <c r="IT35" s="19">
        <f>AND(IF(M35="",TRUE,IF(input_affiliations="",FALSE,SUMPRODUCT(--ISNUMBER(SEARCH(","&amp;TRIM(TEXTSPLIT(M35,","))&amp;",",","&amp;SUBSTITUTE(input_affiliations," ","")&amp;",")))&gt;0)),IF(O35="",TRUE,IF(input_affiliations="",FALSE,SUMPRODUCT(--ISNUMBER(SEARCH(","&amp;TRIM(TEXTSPLIT(O35,","))&amp;",",","&amp;SUBSTITUTE(input_affiliations," ","")&amp;",")))=COUNTA(TEXTSPLIT(O35,",")))),IF(Q35="",TRUE,IF(input_affiliations="",TRUE,SUMPRODUCT(--ISNUMBER(SEARCH(","&amp;TRIM(TEXTSPLIT(Q35,","))&amp;",",","&amp;SUBSTITUTE(input_affiliations," ","")&amp;",")))=0)),IF(S35="",TRUE,IF(input_affiliations="",FALSE,SUMPRODUCT(--ISNUMBER(SEARCH(","&amp;TRIM(TEXTSPLIT(S35,","))&amp;",",","&amp;SUBSTITUTE(input_affiliations," ","")&amp;",")))&gt;0)),IF(U35="",TRUE,IF(input_affiliations="",FALSE,SUMPRODUCT(--ISNUMBER(SEARCH(","&amp;TRIM(TEXTSPLIT(U35,","))&amp;",",","&amp;SUBSTITUTE(input_affiliations," ","")&amp;",")))=COUNTA(TEXTSPLIT(U35,",")))))</f>
        <v/>
      </c>
      <c r="IU35" s="19">
        <f>AND(IF(W35="",TRUE,IF(input_announcement_category="",FALSE,SUMPRODUCT(--ISNUMBER(SEARCH(","&amp;TRIM(TEXTSPLIT(W35,","))&amp;",",","&amp;SUBSTITUTE(input_announcement_category," ","")&amp;",")))&gt;0)),IF(Y35="",TRUE,IF(input_announcement_category="",FALSE,SUMPRODUCT(--ISNUMBER(SEARCH(","&amp;TRIM(TEXTSPLIT(Y35,","))&amp;",",","&amp;SUBSTITUTE(input_announcement_category," ","")&amp;",")))=COUNTA(TEXTSPLIT(Y35,",")))),IF(AA35="",TRUE,IF(input_announcement_category="",TRUE,SUMPRODUCT(--ISNUMBER(SEARCH(","&amp;TRIM(TEXTSPLIT(AA35,","))&amp;",",","&amp;SUBSTITUTE(input_announcement_category," ","")&amp;",")))=0)),IF(AC35="",TRUE,IF(input_announcement_category="",FALSE,SUMPRODUCT(--ISNUMBER(SEARCH(","&amp;TRIM(TEXTSPLIT(AC35,","))&amp;",",","&amp;SUBSTITUTE(input_announcement_category," ","")&amp;",")))&gt;0)),IF(AE35="",TRUE,IF(input_announcement_category="",FALSE,SUMPRODUCT(--ISNUMBER(SEARCH(","&amp;TRIM(TEXTSPLIT(AE35,","))&amp;",",","&amp;SUBSTITUTE(input_announcement_category," ","")&amp;",")))=COUNTA(TEXTSPLIT(AE35,",")))))</f>
        <v/>
      </c>
      <c r="IV35" s="19">
        <f>AND(IF(AG35="",TRUE,IF(input_area_of_focus="",FALSE,SUMPRODUCT(--ISNUMBER(SEARCH(","&amp;TRIM(TEXTSPLIT(AG35,","))&amp;",",","&amp;SUBSTITUTE(input_area_of_focus," ","")&amp;",")))&gt;0)),IF(AI35="",TRUE,IF(input_area_of_focus="",FALSE,SUMPRODUCT(--ISNUMBER(SEARCH(","&amp;TRIM(TEXTSPLIT(AI35,","))&amp;",",","&amp;SUBSTITUTE(input_area_of_focus," ","")&amp;",")))=COUNTA(TEXTSPLIT(AI35,",")))),IF(AK35="",TRUE,IF(input_area_of_focus="",TRUE,SUMPRODUCT(--ISNUMBER(SEARCH(","&amp;TRIM(TEXTSPLIT(AK35,","))&amp;",",","&amp;SUBSTITUTE(input_area_of_focus," ","")&amp;",")))=0)),IF(AM35="",TRUE,IF(input_area_of_focus="",FALSE,SUMPRODUCT(--ISNUMBER(SEARCH(","&amp;TRIM(TEXTSPLIT(AM35,","))&amp;",",","&amp;SUBSTITUTE(input_area_of_focus," ","")&amp;",")))&gt;0)),IF(AO35="",TRUE,IF(input_area_of_focus="",FALSE,SUMPRODUCT(--ISNUMBER(SEARCH(","&amp;TRIM(TEXTSPLIT(AO35,","))&amp;",",","&amp;SUBSTITUTE(input_area_of_focus," ","")&amp;",")))=COUNTA(TEXTSPLIT(AO35,",")))))</f>
        <v/>
      </c>
      <c r="IW35" s="19">
        <f>AND(IF(AQ35="",TRUE,IF(input_audience="",FALSE,SUMPRODUCT(--ISNUMBER(SEARCH(","&amp;TRIM(TEXTSPLIT(AQ35,","))&amp;",",","&amp;SUBSTITUTE(input_audience," ","")&amp;",")))&gt;0)),IF(AS35="",TRUE,IF(input_audience="",FALSE,SUMPRODUCT(--ISNUMBER(SEARCH(","&amp;TRIM(TEXTSPLIT(AS35,","))&amp;",",","&amp;SUBSTITUTE(input_audience," ","")&amp;",")))=COUNTA(TEXTSPLIT(AS35,",")))),IF(AU35="",TRUE,IF(input_audience="",TRUE,SUMPRODUCT(--ISNUMBER(SEARCH(","&amp;TRIM(TEXTSPLIT(AU35,","))&amp;",",","&amp;SUBSTITUTE(input_audience," ","")&amp;",")))=0)),IF(AW35="",TRUE,IF(input_audience="",FALSE,SUMPRODUCT(--ISNUMBER(SEARCH(","&amp;TRIM(TEXTSPLIT(AW35,","))&amp;",",","&amp;SUBSTITUTE(input_audience," ","")&amp;",")))&gt;0)),IF(AY35="",TRUE,IF(input_audience="",FALSE,SUMPRODUCT(--ISNUMBER(SEARCH(","&amp;TRIM(TEXTSPLIT(AY35,","))&amp;",",","&amp;SUBSTITUTE(input_audience," ","")&amp;",")))=COUNTA(TEXTSPLIT(AY35,",")))))</f>
        <v/>
      </c>
      <c r="IX35" s="19">
        <f>AND(IF(BA35="",TRUE,IF(input_challenge_opportunities="",FALSE,SUMPRODUCT(--ISNUMBER(SEARCH(","&amp;TRIM(TEXTSPLIT(BA35,","))&amp;",",","&amp;SUBSTITUTE(input_challenge_opportunities," ","")&amp;",")))&gt;0)),IF(BC35="",TRUE,IF(input_challenge_opportunities="",FALSE,SUMPRODUCT(--ISNUMBER(SEARCH(","&amp;TRIM(TEXTSPLIT(BC35,","))&amp;",",","&amp;SUBSTITUTE(input_challenge_opportunities," ","")&amp;",")))=COUNTA(TEXTSPLIT(BC35,",")))),IF(BE35="",TRUE,IF(input_challenge_opportunities="",TRUE,SUMPRODUCT(--ISNUMBER(SEARCH(","&amp;TRIM(TEXTSPLIT(BE35,","))&amp;",",","&amp;SUBSTITUTE(input_challenge_opportunities," ","")&amp;",")))=0)),IF(BG35="",TRUE,IF(input_challenge_opportunities="",FALSE,SUMPRODUCT(--ISNUMBER(SEARCH(","&amp;TRIM(TEXTSPLIT(BG35,","))&amp;",",","&amp;SUBSTITUTE(input_challenge_opportunities," ","")&amp;",")))&gt;0)),IF(BI35="",TRUE,IF(input_challenge_opportunities="",FALSE,SUMPRODUCT(--ISNUMBER(SEARCH(","&amp;TRIM(TEXTSPLIT(BI35,","))&amp;",",","&amp;SUBSTITUTE(input_challenge_opportunities," ","")&amp;",")))=COUNTA(TEXTSPLIT(BI35,",")))))</f>
        <v/>
      </c>
      <c r="IY35" s="19">
        <f>AND(IF(BK35="",TRUE,IF(input_context="",FALSE,SUMPRODUCT(--ISNUMBER(SEARCH(","&amp;TRIM(TEXTSPLIT(BK35,","))&amp;",",","&amp;SUBSTITUTE(input_context," ","")&amp;",")))&gt;0)),IF(BM35="",TRUE,IF(input_context="",FALSE,SUMPRODUCT(--ISNUMBER(SEARCH(","&amp;TRIM(TEXTSPLIT(BM35,","))&amp;",",","&amp;SUBSTITUTE(input_context," ","")&amp;",")))=COUNTA(TEXTSPLIT(BM35,",")))),IF(BO35="",TRUE,IF(input_context="",TRUE,SUMPRODUCT(--ISNUMBER(SEARCH(","&amp;TRIM(TEXTSPLIT(BO35,","))&amp;",",","&amp;SUBSTITUTE(input_context," ","")&amp;",")))=0)),IF(BQ35="",TRUE,IF(input_context="",FALSE,SUMPRODUCT(--ISNUMBER(SEARCH(","&amp;TRIM(TEXTSPLIT(BQ35,","))&amp;",",","&amp;SUBSTITUTE(input_context," ","")&amp;",")))&gt;0)),IF(BS35="",TRUE,IF(input_context="",FALSE,SUMPRODUCT(--ISNUMBER(SEARCH(","&amp;TRIM(TEXTSPLIT(BS35,","))&amp;",",","&amp;SUBSTITUTE(input_context," ","")&amp;",")))=COUNTA(TEXTSPLIT(BS35,",")))))</f>
        <v/>
      </c>
      <c r="IZ35" s="19">
        <f>AND(IF(BU35="",TRUE,IF(input_enews_announcement_type="",FALSE,SUMPRODUCT(--ISNUMBER(SEARCH(","&amp;TRIM(TEXTSPLIT(BU35,","))&amp;",",","&amp;SUBSTITUTE(input_enews_announcement_type," ","")&amp;",")))&gt;0)),IF(BW35="",TRUE,IF(input_enews_announcement_type="",FALSE,SUMPRODUCT(--ISNUMBER(SEARCH(","&amp;TRIM(TEXTSPLIT(BW35,","))&amp;",",","&amp;SUBSTITUTE(input_enews_announcement_type," ","")&amp;",")))=COUNTA(TEXTSPLIT(BW35,",")))),IF(BY35="",TRUE,IF(input_enews_announcement_type="",TRUE,SUMPRODUCT(--ISNUMBER(SEARCH(","&amp;TRIM(TEXTSPLIT(BY35,","))&amp;",",","&amp;SUBSTITUTE(input_enews_announcement_type," ","")&amp;",")))=0)),IF(CA35="",TRUE,IF(input_enews_announcement_type="",FALSE,SUMPRODUCT(--ISNUMBER(SEARCH(","&amp;TRIM(TEXTSPLIT(CA35,","))&amp;",",","&amp;SUBSTITUTE(input_enews_announcement_type," ","")&amp;",")))&gt;0)),IF(CC35="",TRUE,IF(input_enews_announcement_type="",FALSE,SUMPRODUCT(--ISNUMBER(SEARCH(","&amp;TRIM(TEXTSPLIT(CC35,","))&amp;",",","&amp;SUBSTITUTE(input_enews_announcement_type," ","")&amp;",")))=COUNTA(TEXTSPLIT(CC35,",")))))</f>
        <v/>
      </c>
      <c r="JA35" s="19">
        <f>AND(IF(CE35="",TRUE,IF(input_enews_audience="",FALSE,SUMPRODUCT(--ISNUMBER(SEARCH(","&amp;TRIM(TEXTSPLIT(CE35,","))&amp;",",","&amp;SUBSTITUTE(input_enews_audience," ","")&amp;",")))&gt;0)),IF(CG35="",TRUE,IF(input_enews_audience="",FALSE,SUMPRODUCT(--ISNUMBER(SEARCH(","&amp;TRIM(TEXTSPLIT(CG35,","))&amp;",",","&amp;SUBSTITUTE(input_enews_audience," ","")&amp;",")))=COUNTA(TEXTSPLIT(CG35,",")))),IF(CI35="",TRUE,IF(input_enews_audience="",TRUE,SUMPRODUCT(--ISNUMBER(SEARCH(","&amp;TRIM(TEXTSPLIT(CI35,","))&amp;",",","&amp;SUBSTITUTE(input_enews_audience," ","")&amp;",")))=0)),IF(CK35="",TRUE,IF(input_enews_audience="",FALSE,SUMPRODUCT(--ISNUMBER(SEARCH(","&amp;TRIM(TEXTSPLIT(CK35,","))&amp;",",","&amp;SUBSTITUTE(input_enews_audience," ","")&amp;",")))&gt;0)),IF(CM35="",TRUE,IF(input_enews_audience="",FALSE,SUMPRODUCT(--ISNUMBER(SEARCH(","&amp;TRIM(TEXTSPLIT(CM35,","))&amp;",",","&amp;SUBSTITUTE(input_enews_audience," ","")&amp;",")))=COUNTA(TEXTSPLIT(CM35,",")))))</f>
        <v/>
      </c>
      <c r="JB35" s="19">
        <f>AND(IF(CO35="",TRUE,IF(input_event_location="",FALSE,SUMPRODUCT(--ISNUMBER(SEARCH(","&amp;TRIM(TEXTSPLIT(CO35,","))&amp;",",","&amp;SUBSTITUTE(input_event_location," ","")&amp;",")))&gt;0)),IF(CQ35="",TRUE,IF(input_event_location="",FALSE,SUMPRODUCT(--ISNUMBER(SEARCH(","&amp;TRIM(TEXTSPLIT(CQ35,","))&amp;",",","&amp;SUBSTITUTE(input_event_location," ","")&amp;",")))=COUNTA(TEXTSPLIT(CQ35,",")))),IF(CS35="",TRUE,IF(input_event_location="",TRUE,SUMPRODUCT(--ISNUMBER(SEARCH(","&amp;TRIM(TEXTSPLIT(CS35,","))&amp;",",","&amp;SUBSTITUTE(input_event_location," ","")&amp;",")))=0)),IF(CU35="",TRUE,IF(input_event_location="",FALSE,SUMPRODUCT(--ISNUMBER(SEARCH(","&amp;TRIM(TEXTSPLIT(CU35,","))&amp;",",","&amp;SUBSTITUTE(input_event_location," ","")&amp;",")))&gt;0)),IF(CW35="",TRUE,IF(input_event_location="",FALSE,SUMPRODUCT(--ISNUMBER(SEARCH(","&amp;TRIM(TEXTSPLIT(CW35,","))&amp;",",","&amp;SUBSTITUTE(input_event_location," ","")&amp;",")))=COUNTA(TEXTSPLIT(CW35,",")))))</f>
        <v/>
      </c>
      <c r="JC35" s="19">
        <f>AND(IF(CY35="",TRUE,IF(input_event_type="",FALSE,SUMPRODUCT(--ISNUMBER(SEARCH(","&amp;TRIM(TEXTSPLIT(CY35,","))&amp;",",","&amp;SUBSTITUTE(input_event_type," ","")&amp;",")))&gt;0)),IF(DA35="",TRUE,IF(input_event_type="",FALSE,SUMPRODUCT(--ISNUMBER(SEARCH(","&amp;TRIM(TEXTSPLIT(DA35,","))&amp;",",","&amp;SUBSTITUTE(input_event_type," ","")&amp;",")))=COUNTA(TEXTSPLIT(DA35,",")))),IF(DC35="",TRUE,IF(input_event_type="",TRUE,SUMPRODUCT(--ISNUMBER(SEARCH(","&amp;TRIM(TEXTSPLIT(DC35,","))&amp;",",","&amp;SUBSTITUTE(input_event_type," ","")&amp;",")))=0)),IF(DE35="",TRUE,IF(input_event_type="",FALSE,SUMPRODUCT(--ISNUMBER(SEARCH(","&amp;TRIM(TEXTSPLIT(DE35,","))&amp;",",","&amp;SUBSTITUTE(input_event_type," ","")&amp;",")))&gt;0)),IF(DG35="",TRUE,IF(input_event_type="",FALSE,SUMPRODUCT(--ISNUMBER(SEARCH(","&amp;TRIM(TEXTSPLIT(DG35,","))&amp;",",","&amp;SUBSTITUTE(input_event_type," ","")&amp;",")))=COUNTA(TEXTSPLIT(DG35,",")))))</f>
        <v/>
      </c>
      <c r="JD35" s="19">
        <f>AND(IF(DI35="",TRUE,IF(input_executive_education_focus="",FALSE,SUMPRODUCT(--ISNUMBER(SEARCH(","&amp;TRIM(TEXTSPLIT(DI35,","))&amp;",",","&amp;SUBSTITUTE(input_executive_education_focus," ","")&amp;",")))&gt;0)),IF(DK35="",TRUE,IF(input_executive_education_focus="",FALSE,SUMPRODUCT(--ISNUMBER(SEARCH(","&amp;TRIM(TEXTSPLIT(DK35,","))&amp;",",","&amp;SUBSTITUTE(input_executive_education_focus," ","")&amp;",")))=COUNTA(TEXTSPLIT(DK35,",")))),IF(DM35="",TRUE,IF(input_executive_education_focus="",TRUE,SUMPRODUCT(--ISNUMBER(SEARCH(","&amp;TRIM(TEXTSPLIT(DM35,","))&amp;",",","&amp;SUBSTITUTE(input_executive_education_focus," ","")&amp;",")))=0)),IF(DO35="",TRUE,IF(input_executive_education_focus="",FALSE,SUMPRODUCT(--ISNUMBER(SEARCH(","&amp;TRIM(TEXTSPLIT(DO35,","))&amp;",",","&amp;SUBSTITUTE(input_executive_education_focus," ","")&amp;",")))&gt;0)),IF(DQ35="",TRUE,IF(input_executive_education_focus="",FALSE,SUMPRODUCT(--ISNUMBER(SEARCH(","&amp;TRIM(TEXTSPLIT(DQ35,","))&amp;",",","&amp;SUBSTITUTE(input_executive_education_focus," ","")&amp;",")))=COUNTA(TEXTSPLIT(DQ35,",")))))</f>
        <v/>
      </c>
      <c r="JE35" s="19">
        <f>AND(IF(DS35="",TRUE,IF(input_faculty_category="",FALSE,SUMPRODUCT(--ISNUMBER(SEARCH(","&amp;TRIM(TEXTSPLIT(DS35,","))&amp;",",","&amp;SUBSTITUTE(input_faculty_category," ","")&amp;",")))&gt;0)),IF(DU35="",TRUE,IF(input_faculty_category="",FALSE,SUMPRODUCT(--ISNUMBER(SEARCH(","&amp;TRIM(TEXTSPLIT(DU35,","))&amp;",",","&amp;SUBSTITUTE(input_faculty_category," ","")&amp;",")))=COUNTA(TEXTSPLIT(DU35,",")))),IF(DW35="",TRUE,IF(input_faculty_category="",TRUE,SUMPRODUCT(--ISNUMBER(SEARCH(","&amp;TRIM(TEXTSPLIT(DW35,","))&amp;",",","&amp;SUBSTITUTE(input_faculty_category," ","")&amp;",")))=0)),IF(DY35="",TRUE,IF(input_faculty_category="",FALSE,SUMPRODUCT(--ISNUMBER(SEARCH(","&amp;TRIM(TEXTSPLIT(DY35,","))&amp;",",","&amp;SUBSTITUTE(input_faculty_category," ","")&amp;",")))&gt;0)),IF(EA35="",TRUE,IF(input_faculty_category="",FALSE,SUMPRODUCT(--ISNUMBER(SEARCH(","&amp;TRIM(TEXTSPLIT(EA35,","))&amp;",",","&amp;SUBSTITUTE(input_faculty_category," ","")&amp;",")))=COUNTA(TEXTSPLIT(EA35,",")))))</f>
        <v/>
      </c>
      <c r="JF35" s="19">
        <f>AND(IF(EC35="",TRUE,IF(input_faculty_discipline="",FALSE,SUMPRODUCT(--ISNUMBER(SEARCH(","&amp;TRIM(TEXTSPLIT(EC35,","))&amp;",",","&amp;SUBSTITUTE(input_faculty_discipline," ","")&amp;",")))&gt;0)),IF(EE35="",TRUE,IF(input_faculty_discipline="",FALSE,SUMPRODUCT(--ISNUMBER(SEARCH(","&amp;TRIM(TEXTSPLIT(EE35,","))&amp;",",","&amp;SUBSTITUTE(input_faculty_discipline," ","")&amp;",")))=COUNTA(TEXTSPLIT(EE35,",")))),IF(EG35="",TRUE,IF(input_faculty_discipline="",TRUE,SUMPRODUCT(--ISNUMBER(SEARCH(","&amp;TRIM(TEXTSPLIT(EG35,","))&amp;",",","&amp;SUBSTITUTE(input_faculty_discipline," ","")&amp;",")))=0)),IF(EI35="",TRUE,IF(input_faculty_discipline="",FALSE,SUMPRODUCT(--ISNUMBER(SEARCH(","&amp;TRIM(TEXTSPLIT(EI35,","))&amp;",",","&amp;SUBSTITUTE(input_faculty_discipline," ","")&amp;",")))&gt;0)),IF(EK35="",TRUE,IF(input_faculty_discipline="",FALSE,SUMPRODUCT(--ISNUMBER(SEARCH(","&amp;TRIM(TEXTSPLIT(EK35,","))&amp;",",","&amp;SUBSTITUTE(input_faculty_discipline," ","")&amp;",")))=COUNTA(TEXTSPLIT(EK35,",")))))</f>
        <v/>
      </c>
      <c r="JG35" s="19">
        <f>AND(IF(EM35="",TRUE,IF(input_faculty_expertise="",FALSE,SUMPRODUCT(--ISNUMBER(SEARCH(","&amp;TRIM(TEXTSPLIT(EM35,","))&amp;",",","&amp;SUBSTITUTE(input_faculty_expertise," ","")&amp;",")))&gt;0)),IF(EO35="",TRUE,IF(input_faculty_expertise="",FALSE,SUMPRODUCT(--ISNUMBER(SEARCH(","&amp;TRIM(TEXTSPLIT(EO35,","))&amp;",",","&amp;SUBSTITUTE(input_faculty_expertise," ","")&amp;",")))=COUNTA(TEXTSPLIT(EO35,",")))),IF(EQ35="",TRUE,IF(input_faculty_expertise="",TRUE,SUMPRODUCT(--ISNUMBER(SEARCH(","&amp;TRIM(TEXTSPLIT(EQ35,","))&amp;",",","&amp;SUBSTITUTE(input_faculty_expertise," ","")&amp;",")))=0)),IF(ES35="",TRUE,IF(input_faculty_expertise="",FALSE,SUMPRODUCT(--ISNUMBER(SEARCH(","&amp;TRIM(TEXTSPLIT(ES35,","))&amp;",",","&amp;SUBSTITUTE(input_faculty_expertise," ","")&amp;",")))&gt;0)),IF(EU35="",TRUE,IF(input_faculty_expertise="",FALSE,SUMPRODUCT(--ISNUMBER(SEARCH(","&amp;TRIM(TEXTSPLIT(EU35,","))&amp;",",","&amp;SUBSTITUTE(input_faculty_expertise," ","")&amp;",")))=COUNTA(TEXTSPLIT(EU35,",")))))</f>
        <v/>
      </c>
      <c r="JH35" s="19">
        <f>AND(IF(EW35="",TRUE,IF(input_global_network_school="",FALSE,SUMPRODUCT(--ISNUMBER(SEARCH(","&amp;TRIM(TEXTSPLIT(EW35,","))&amp;",",","&amp;SUBSTITUTE(input_global_network_school," ","")&amp;",")))&gt;0)),IF(EY35="",TRUE,IF(input_global_network_school="",FALSE,SUMPRODUCT(--ISNUMBER(SEARCH(","&amp;TRIM(TEXTSPLIT(EY35,","))&amp;",",","&amp;SUBSTITUTE(input_global_network_school," ","")&amp;",")))=COUNTA(TEXTSPLIT(EY35,",")))),IF(FA35="",TRUE,IF(input_global_network_school="",TRUE,SUMPRODUCT(--ISNUMBER(SEARCH(","&amp;TRIM(TEXTSPLIT(FA35,","))&amp;",",","&amp;SUBSTITUTE(input_global_network_school," ","")&amp;",")))=0)),IF(FC35="",TRUE,IF(input_global_network_school="",FALSE,SUMPRODUCT(--ISNUMBER(SEARCH(","&amp;TRIM(TEXTSPLIT(FC35,","))&amp;",",","&amp;SUBSTITUTE(input_global_network_school," ","")&amp;",")))&gt;0)),IF(FE35="",TRUE,IF(input_global_network_school="",FALSE,SUMPRODUCT(--ISNUMBER(SEARCH(","&amp;TRIM(TEXTSPLIT(FE35,","))&amp;",",","&amp;SUBSTITUTE(input_global_network_school," ","")&amp;",")))=COUNTA(TEXTSPLIT(FE35,",")))))</f>
        <v/>
      </c>
      <c r="JI35" s="19">
        <f>AND(IF(FG35="",TRUE,IF(input_industry="",FALSE,SUMPRODUCT(--ISNUMBER(SEARCH(","&amp;TRIM(TEXTSPLIT(FG35,","))&amp;",",","&amp;SUBSTITUTE(input_industry," ","")&amp;",")))&gt;0)),IF(FI35="",TRUE,IF(input_industry="",FALSE,SUMPRODUCT(--ISNUMBER(SEARCH(","&amp;TRIM(TEXTSPLIT(FI35,","))&amp;",",","&amp;SUBSTITUTE(input_industry," ","")&amp;",")))=COUNTA(TEXTSPLIT(FI35,",")))),IF(FK35="",TRUE,IF(input_industry="",TRUE,SUMPRODUCT(--ISNUMBER(SEARCH(","&amp;TRIM(TEXTSPLIT(FK35,","))&amp;",",","&amp;SUBSTITUTE(input_industry," ","")&amp;",")))=0)),IF(FM35="",TRUE,IF(input_industry="",FALSE,SUMPRODUCT(--ISNUMBER(SEARCH(","&amp;TRIM(TEXTSPLIT(FM35,","))&amp;",",","&amp;SUBSTITUTE(input_industry," ","")&amp;",")))&gt;0)),IF(FO35="",TRUE,IF(input_industry="",FALSE,SUMPRODUCT(--ISNUMBER(SEARCH(","&amp;TRIM(TEXTSPLIT(FO35,","))&amp;",",","&amp;SUBSTITUTE(input_industry," ","")&amp;",")))=COUNTA(TEXTSPLIT(FO35,",")))))</f>
        <v/>
      </c>
      <c r="JJ35" s="19">
        <f>AND(IF(FQ35="",TRUE,IF(input_location="",FALSE,SUMPRODUCT(--ISNUMBER(SEARCH(","&amp;TRIM(TEXTSPLIT(FQ35,","))&amp;",",","&amp;SUBSTITUTE(input_location," ","")&amp;",")))&gt;0)),IF(FS35="",TRUE,IF(input_location="",FALSE,SUMPRODUCT(--ISNUMBER(SEARCH(","&amp;TRIM(TEXTSPLIT(FS35,","))&amp;",",","&amp;SUBSTITUTE(input_location," ","")&amp;",")))=COUNTA(TEXTSPLIT(FS35,",")))),IF(FU35="",TRUE,IF(input_location="",TRUE,SUMPRODUCT(--ISNUMBER(SEARCH(","&amp;TRIM(TEXTSPLIT(FU35,","))&amp;",",","&amp;SUBSTITUTE(input_location," ","")&amp;",")))=0)),IF(FW35="",TRUE,IF(input_location="",FALSE,SUMPRODUCT(--ISNUMBER(SEARCH(","&amp;TRIM(TEXTSPLIT(FW35,","))&amp;",",","&amp;SUBSTITUTE(input_location," ","")&amp;",")))&gt;0)),IF(FY35="",TRUE,IF(input_location="",FALSE,SUMPRODUCT(--ISNUMBER(SEARCH(","&amp;TRIM(TEXTSPLIT(FY35,","))&amp;",",","&amp;SUBSTITUTE(input_location," ","")&amp;",")))=COUNTA(TEXTSPLIT(FY35,",")))))</f>
        <v/>
      </c>
      <c r="JK35" s="19">
        <f>AND(IF(GA35="",TRUE,IF(input_modality="",FALSE,SUMPRODUCT(--ISNUMBER(SEARCH(","&amp;TRIM(TEXTSPLIT(GA35,","))&amp;",",","&amp;SUBSTITUTE(input_modality," ","")&amp;",")))&gt;0)),IF(GC35="",TRUE,IF(input_modality="",FALSE,SUMPRODUCT(--ISNUMBER(SEARCH(","&amp;TRIM(TEXTSPLIT(GC35,","))&amp;",",","&amp;SUBSTITUTE(input_modality," ","")&amp;",")))=COUNTA(TEXTSPLIT(GC35,",")))),IF(GE35="",TRUE,IF(input_modality="",TRUE,SUMPRODUCT(--ISNUMBER(SEARCH(","&amp;TRIM(TEXTSPLIT(GE35,","))&amp;",",","&amp;SUBSTITUTE(input_modality," ","")&amp;",")))=0)),IF(GG35="",TRUE,IF(input_modality="",FALSE,SUMPRODUCT(--ISNUMBER(SEARCH(","&amp;TRIM(TEXTSPLIT(GG35,","))&amp;",",","&amp;SUBSTITUTE(input_modality," ","")&amp;",")))&gt;0)),IF(GI35="",TRUE,IF(input_modality="",FALSE,SUMPRODUCT(--ISNUMBER(SEARCH(","&amp;TRIM(TEXTSPLIT(GI35,","))&amp;",",","&amp;SUBSTITUTE(input_modality," ","")&amp;",")))=COUNTA(TEXTSPLIT(GI35,",")))))</f>
        <v/>
      </c>
      <c r="JL35" s="19">
        <f>AND(IF(GK35="",TRUE,IF(input_organizer="",FALSE,SUMPRODUCT(--ISNUMBER(SEARCH(","&amp;TRIM(TEXTSPLIT(GK35,","))&amp;",",","&amp;SUBSTITUTE(input_organizer," ","")&amp;",")))&gt;0)),IF(GM35="",TRUE,IF(input_organizer="",FALSE,SUMPRODUCT(--ISNUMBER(SEARCH(","&amp;TRIM(TEXTSPLIT(GM35,","))&amp;",",","&amp;SUBSTITUTE(input_organizer," ","")&amp;",")))=COUNTA(TEXTSPLIT(GM35,",")))),IF(GO35="",TRUE,IF(input_organizer="",TRUE,SUMPRODUCT(--ISNUMBER(SEARCH(","&amp;TRIM(TEXTSPLIT(GO35,","))&amp;",",","&amp;SUBSTITUTE(input_organizer," ","")&amp;",")))=0)),IF(GQ35="",TRUE,IF(input_organizer="",FALSE,SUMPRODUCT(--ISNUMBER(SEARCH(","&amp;TRIM(TEXTSPLIT(GQ35,","))&amp;",",","&amp;SUBSTITUTE(input_organizer," ","")&amp;",")))&gt;0)),IF(GS35="",TRUE,IF(input_organizer="",FALSE,SUMPRODUCT(--ISNUMBER(SEARCH(","&amp;TRIM(TEXTSPLIT(GS35,","))&amp;",",","&amp;SUBSTITUTE(input_organizer," ","")&amp;",")))=COUNTA(TEXTSPLIT(GS35,",")))))</f>
        <v/>
      </c>
      <c r="JM35" s="19">
        <f>AND(IF(GU35="",TRUE,IF(input_profile_type="",FALSE,SUMPRODUCT(--ISNUMBER(SEARCH(","&amp;TRIM(TEXTSPLIT(GU35,","))&amp;",",","&amp;SUBSTITUTE(input_profile_type," ","")&amp;",")))&gt;0)),IF(GW35="",TRUE,IF(input_profile_type="",FALSE,SUMPRODUCT(--ISNUMBER(SEARCH(","&amp;TRIM(TEXTSPLIT(GW35,","))&amp;",",","&amp;SUBSTITUTE(input_profile_type," ","")&amp;",")))=COUNTA(TEXTSPLIT(GW35,",")))),IF(GY35="",TRUE,IF(input_profile_type="",TRUE,SUMPRODUCT(--ISNUMBER(SEARCH(","&amp;TRIM(TEXTSPLIT(GY35,","))&amp;",",","&amp;SUBSTITUTE(input_profile_type," ","")&amp;",")))=0)),IF(HA35="",TRUE,IF(input_profile_type="",FALSE,SUMPRODUCT(--ISNUMBER(SEARCH(","&amp;TRIM(TEXTSPLIT(HA35,","))&amp;",",","&amp;SUBSTITUTE(input_profile_type," ","")&amp;",")))&gt;0)),IF(HC35="",TRUE,IF(input_profile_type="",FALSE,SUMPRODUCT(--ISNUMBER(SEARCH(","&amp;TRIM(TEXTSPLIT(HC35,","))&amp;",",","&amp;SUBSTITUTE(input_profile_type," ","")&amp;",")))=COUNTA(TEXTSPLIT(HC35,",")))))</f>
        <v/>
      </c>
      <c r="JN35" s="19">
        <f>AND(IF(HE35="",TRUE,IF(input_program="",FALSE,SUMPRODUCT(--ISNUMBER(SEARCH(","&amp;TRIM(TEXTSPLIT(HE35,","))&amp;",",","&amp;SUBSTITUTE(input_program," ","")&amp;",")))&gt;0)),IF(HG35="",TRUE,IF(input_program="",FALSE,SUMPRODUCT(--ISNUMBER(SEARCH(","&amp;TRIM(TEXTSPLIT(HG35,","))&amp;",",","&amp;SUBSTITUTE(input_program," ","")&amp;",")))=COUNTA(TEXTSPLIT(HG35,",")))),IF(HI35="",TRUE,IF(input_program="",TRUE,SUMPRODUCT(--ISNUMBER(SEARCH(","&amp;TRIM(TEXTSPLIT(HI35,","))&amp;",",","&amp;SUBSTITUTE(input_program," ","")&amp;",")))=0)),IF(HK35="",TRUE,IF(input_program="",FALSE,SUMPRODUCT(--ISNUMBER(SEARCH(","&amp;TRIM(TEXTSPLIT(HK35,","))&amp;",",","&amp;SUBSTITUTE(input_program," ","")&amp;",")))&gt;0)),IF(HM35="",TRUE,IF(input_program="",FALSE,SUMPRODUCT(--ISNUMBER(SEARCH(","&amp;TRIM(TEXTSPLIT(HM35,","))&amp;",",","&amp;SUBSTITUTE(input_program," ","")&amp;",")))=COUNTA(TEXTSPLIT(HM35,",")))))</f>
        <v/>
      </c>
      <c r="JO35" s="19">
        <f>AND(IF(HO35="",TRUE,IF(input_story_categories="",FALSE,SUMPRODUCT(--ISNUMBER(SEARCH(","&amp;TRIM(TEXTSPLIT(HO35,","))&amp;",",","&amp;SUBSTITUTE(input_story_categories," ","")&amp;",")))&gt;0)),IF(HQ35="",TRUE,IF(input_story_categories="",FALSE,SUMPRODUCT(--ISNUMBER(SEARCH(","&amp;TRIM(TEXTSPLIT(HQ35,","))&amp;",",","&amp;SUBSTITUTE(input_story_categories," ","")&amp;",")))=COUNTA(TEXTSPLIT(HQ35,",")))),IF(HS35="",TRUE,IF(input_story_categories="",TRUE,SUMPRODUCT(--ISNUMBER(SEARCH(","&amp;TRIM(TEXTSPLIT(HS35,","))&amp;",",","&amp;SUBSTITUTE(input_story_categories," ","")&amp;",")))=0)),IF(HU35="",TRUE,IF(input_story_categories="",FALSE,SUMPRODUCT(--ISNUMBER(SEARCH(","&amp;TRIM(TEXTSPLIT(HU35,","))&amp;",",","&amp;SUBSTITUTE(input_story_categories," ","")&amp;",")))&gt;0)),IF(HW35="",TRUE,IF(input_story_categories="",FALSE,SUMPRODUCT(--ISNUMBER(SEARCH(","&amp;TRIM(TEXTSPLIT(HW35,","))&amp;",",","&amp;SUBSTITUTE(input_story_categories," ","")&amp;",")))=COUNTA(TEXTSPLIT(HW35,",")))))</f>
        <v/>
      </c>
      <c r="JP35" s="19">
        <f>AND(IF(HY35="",TRUE,IF(input_story_type="",FALSE,SUMPRODUCT(--ISNUMBER(SEARCH(","&amp;TRIM(TEXTSPLIT(HY35,","))&amp;",",","&amp;SUBSTITUTE(input_story_type," ","")&amp;",")))&gt;0)),IF(IA35="",TRUE,IF(input_story_type="",FALSE,SUMPRODUCT(--ISNUMBER(SEARCH(","&amp;TRIM(TEXTSPLIT(IA35,","))&amp;",",","&amp;SUBSTITUTE(input_story_type," ","")&amp;",")))=COUNTA(TEXTSPLIT(IA35,",")))),IF(IC35="",TRUE,IF(input_story_type="",TRUE,SUMPRODUCT(--ISNUMBER(SEARCH(","&amp;TRIM(TEXTSPLIT(IC35,","))&amp;",",","&amp;SUBSTITUTE(input_story_type," ","")&amp;",")))=0)),IF(IE35="",TRUE,IF(input_story_type="",FALSE,SUMPRODUCT(--ISNUMBER(SEARCH(","&amp;TRIM(TEXTSPLIT(IE35,","))&amp;",",","&amp;SUBSTITUTE(input_story_type," ","")&amp;",")))&gt;0)),IF(IG35="",TRUE,IF(input_story_type="",FALSE,SUMPRODUCT(--ISNUMBER(SEARCH(","&amp;TRIM(TEXTSPLIT(IG35,","))&amp;",",","&amp;SUBSTITUTE(input_story_type," ","")&amp;",")))=COUNTA(TEXTSPLIT(IG35,",")))))</f>
        <v/>
      </c>
      <c r="JQ35" s="19">
        <f>AND(IF(II35="",TRUE,IF(input_topics="",FALSE,SUMPRODUCT(--ISNUMBER(SEARCH(","&amp;TRIM(TEXTSPLIT(II35,","))&amp;",",","&amp;SUBSTITUTE(input_topics," ","")&amp;",")))&gt;0)),IF(IK35="",TRUE,IF(input_topics="",FALSE,SUMPRODUCT(--ISNUMBER(SEARCH(","&amp;TRIM(TEXTSPLIT(IK35,","))&amp;",",","&amp;SUBSTITUTE(input_topics," ","")&amp;",")))=COUNTA(TEXTSPLIT(IK35,",")))),IF(IM35="",TRUE,IF(input_topics="",TRUE,SUMPRODUCT(--ISNUMBER(SEARCH(","&amp;TRIM(TEXTSPLIT(IM35,","))&amp;",",","&amp;SUBSTITUTE(input_topics," ","")&amp;",")))=0)),IF(IO35="",TRUE,IF(input_topics="",FALSE,SUMPRODUCT(--ISNUMBER(SEARCH(","&amp;TRIM(TEXTSPLIT(IO35,","))&amp;",",","&amp;SUBSTITUTE(input_topics," ","")&amp;",")))&gt;0)),IF(IQ35="",TRUE,IF(input_topics="",FALSE,SUMPRODUCT(--ISNUMBER(SEARCH(","&amp;TRIM(TEXTSPLIT(IQ35,","))&amp;",",","&amp;SUBSTITUTE(input_topics," ","")&amp;",")))=COUNTA(TEXTSPLIT(IQ35,",")))))</f>
        <v/>
      </c>
    </row>
    <row r="36">
      <c r="A36" s="24">
        <f>IF(NOT(IS36),"Excluded",IF(AND(IT36,IU36,IV36,IW36,IX36,IY36,IZ36,JA36,JB36,JC36,JD36,JE36,JF36,JG36,JH36,JI36,JJ36,JK36,JL36,JM36,JN36,JO36,JP36,JQ36),IF(I36&gt;0,"Eligible but limited","Will appear"),"Excluded"))</f>
        <v/>
      </c>
      <c r="B36" s="24" t="inlineStr">
        <is>
          <t>All Publications by Author</t>
        </is>
      </c>
      <c r="C36" s="27" t="inlineStr">
        <is>
          <t>/faculty-research/faculty-directory/judith-chevalier</t>
        </is>
      </c>
      <c r="D36" s="24" t="inlineStr">
        <is>
          <t>/faculty-research/faculty-directory/judith-chevalier</t>
        </is>
      </c>
      <c r="E36" s="24" t="n">
        <v>1</v>
      </c>
      <c r="F36" s="24" t="inlineStr">
        <is>
          <t>publications</t>
        </is>
      </c>
      <c r="G36" s="24" t="inlineStr">
        <is>
          <t>publication_teaser_list</t>
        </is>
      </c>
      <c r="H36" s="24" t="inlineStr">
        <is>
          <t>publication_teaser_list_all_by_author</t>
        </is>
      </c>
      <c r="I36" s="24" t="n"/>
      <c r="J36" s="24" t="inlineStr">
        <is>
          <t>View/config rules</t>
        </is>
      </c>
      <c r="K36" s="24" t="inlineStr">
        <is>
          <t>Page placement</t>
        </is>
      </c>
      <c r="L36" s="24" t="inlineStr">
        <is>
          <t>Content type: publications; Source: View/config rules</t>
        </is>
      </c>
      <c r="IS36" s="19">
        <f>IF(input_content_type="",FALSE,ISNUMBER(SEARCH(","&amp;LOWER(input_content_type)&amp;",",","&amp;LOWER(SUBSTITUTE(F36," ",""))&amp;",")))</f>
        <v/>
      </c>
      <c r="IT36" s="19">
        <f>AND(IF(M36="",TRUE,IF(input_affiliations="",FALSE,SUMPRODUCT(--ISNUMBER(SEARCH(","&amp;TRIM(TEXTSPLIT(M36,","))&amp;",",","&amp;SUBSTITUTE(input_affiliations," ","")&amp;",")))&gt;0)),IF(O36="",TRUE,IF(input_affiliations="",FALSE,SUMPRODUCT(--ISNUMBER(SEARCH(","&amp;TRIM(TEXTSPLIT(O36,","))&amp;",",","&amp;SUBSTITUTE(input_affiliations," ","")&amp;",")))=COUNTA(TEXTSPLIT(O36,",")))),IF(Q36="",TRUE,IF(input_affiliations="",TRUE,SUMPRODUCT(--ISNUMBER(SEARCH(","&amp;TRIM(TEXTSPLIT(Q36,","))&amp;",",","&amp;SUBSTITUTE(input_affiliations," ","")&amp;",")))=0)),IF(S36="",TRUE,IF(input_affiliations="",FALSE,SUMPRODUCT(--ISNUMBER(SEARCH(","&amp;TRIM(TEXTSPLIT(S36,","))&amp;",",","&amp;SUBSTITUTE(input_affiliations," ","")&amp;",")))&gt;0)),IF(U36="",TRUE,IF(input_affiliations="",FALSE,SUMPRODUCT(--ISNUMBER(SEARCH(","&amp;TRIM(TEXTSPLIT(U36,","))&amp;",",","&amp;SUBSTITUTE(input_affiliations," ","")&amp;",")))=COUNTA(TEXTSPLIT(U36,",")))))</f>
        <v/>
      </c>
      <c r="IU36" s="19">
        <f>AND(IF(W36="",TRUE,IF(input_announcement_category="",FALSE,SUMPRODUCT(--ISNUMBER(SEARCH(","&amp;TRIM(TEXTSPLIT(W36,","))&amp;",",","&amp;SUBSTITUTE(input_announcement_category," ","")&amp;",")))&gt;0)),IF(Y36="",TRUE,IF(input_announcement_category="",FALSE,SUMPRODUCT(--ISNUMBER(SEARCH(","&amp;TRIM(TEXTSPLIT(Y36,","))&amp;",",","&amp;SUBSTITUTE(input_announcement_category," ","")&amp;",")))=COUNTA(TEXTSPLIT(Y36,",")))),IF(AA36="",TRUE,IF(input_announcement_category="",TRUE,SUMPRODUCT(--ISNUMBER(SEARCH(","&amp;TRIM(TEXTSPLIT(AA36,","))&amp;",",","&amp;SUBSTITUTE(input_announcement_category," ","")&amp;",")))=0)),IF(AC36="",TRUE,IF(input_announcement_category="",FALSE,SUMPRODUCT(--ISNUMBER(SEARCH(","&amp;TRIM(TEXTSPLIT(AC36,","))&amp;",",","&amp;SUBSTITUTE(input_announcement_category," ","")&amp;",")))&gt;0)),IF(AE36="",TRUE,IF(input_announcement_category="",FALSE,SUMPRODUCT(--ISNUMBER(SEARCH(","&amp;TRIM(TEXTSPLIT(AE36,","))&amp;",",","&amp;SUBSTITUTE(input_announcement_category," ","")&amp;",")))=COUNTA(TEXTSPLIT(AE36,",")))))</f>
        <v/>
      </c>
      <c r="IV36" s="19">
        <f>AND(IF(AG36="",TRUE,IF(input_area_of_focus="",FALSE,SUMPRODUCT(--ISNUMBER(SEARCH(","&amp;TRIM(TEXTSPLIT(AG36,","))&amp;",",","&amp;SUBSTITUTE(input_area_of_focus," ","")&amp;",")))&gt;0)),IF(AI36="",TRUE,IF(input_area_of_focus="",FALSE,SUMPRODUCT(--ISNUMBER(SEARCH(","&amp;TRIM(TEXTSPLIT(AI36,","))&amp;",",","&amp;SUBSTITUTE(input_area_of_focus," ","")&amp;",")))=COUNTA(TEXTSPLIT(AI36,",")))),IF(AK36="",TRUE,IF(input_area_of_focus="",TRUE,SUMPRODUCT(--ISNUMBER(SEARCH(","&amp;TRIM(TEXTSPLIT(AK36,","))&amp;",",","&amp;SUBSTITUTE(input_area_of_focus," ","")&amp;",")))=0)),IF(AM36="",TRUE,IF(input_area_of_focus="",FALSE,SUMPRODUCT(--ISNUMBER(SEARCH(","&amp;TRIM(TEXTSPLIT(AM36,","))&amp;",",","&amp;SUBSTITUTE(input_area_of_focus," ","")&amp;",")))&gt;0)),IF(AO36="",TRUE,IF(input_area_of_focus="",FALSE,SUMPRODUCT(--ISNUMBER(SEARCH(","&amp;TRIM(TEXTSPLIT(AO36,","))&amp;",",","&amp;SUBSTITUTE(input_area_of_focus," ","")&amp;",")))=COUNTA(TEXTSPLIT(AO36,",")))))</f>
        <v/>
      </c>
      <c r="IW36" s="19">
        <f>AND(IF(AQ36="",TRUE,IF(input_audience="",FALSE,SUMPRODUCT(--ISNUMBER(SEARCH(","&amp;TRIM(TEXTSPLIT(AQ36,","))&amp;",",","&amp;SUBSTITUTE(input_audience," ","")&amp;",")))&gt;0)),IF(AS36="",TRUE,IF(input_audience="",FALSE,SUMPRODUCT(--ISNUMBER(SEARCH(","&amp;TRIM(TEXTSPLIT(AS36,","))&amp;",",","&amp;SUBSTITUTE(input_audience," ","")&amp;",")))=COUNTA(TEXTSPLIT(AS36,",")))),IF(AU36="",TRUE,IF(input_audience="",TRUE,SUMPRODUCT(--ISNUMBER(SEARCH(","&amp;TRIM(TEXTSPLIT(AU36,","))&amp;",",","&amp;SUBSTITUTE(input_audience," ","")&amp;",")))=0)),IF(AW36="",TRUE,IF(input_audience="",FALSE,SUMPRODUCT(--ISNUMBER(SEARCH(","&amp;TRIM(TEXTSPLIT(AW36,","))&amp;",",","&amp;SUBSTITUTE(input_audience," ","")&amp;",")))&gt;0)),IF(AY36="",TRUE,IF(input_audience="",FALSE,SUMPRODUCT(--ISNUMBER(SEARCH(","&amp;TRIM(TEXTSPLIT(AY36,","))&amp;",",","&amp;SUBSTITUTE(input_audience," ","")&amp;",")))=COUNTA(TEXTSPLIT(AY36,",")))))</f>
        <v/>
      </c>
      <c r="IX36" s="19">
        <f>AND(IF(BA36="",TRUE,IF(input_challenge_opportunities="",FALSE,SUMPRODUCT(--ISNUMBER(SEARCH(","&amp;TRIM(TEXTSPLIT(BA36,","))&amp;",",","&amp;SUBSTITUTE(input_challenge_opportunities," ","")&amp;",")))&gt;0)),IF(BC36="",TRUE,IF(input_challenge_opportunities="",FALSE,SUMPRODUCT(--ISNUMBER(SEARCH(","&amp;TRIM(TEXTSPLIT(BC36,","))&amp;",",","&amp;SUBSTITUTE(input_challenge_opportunities," ","")&amp;",")))=COUNTA(TEXTSPLIT(BC36,",")))),IF(BE36="",TRUE,IF(input_challenge_opportunities="",TRUE,SUMPRODUCT(--ISNUMBER(SEARCH(","&amp;TRIM(TEXTSPLIT(BE36,","))&amp;",",","&amp;SUBSTITUTE(input_challenge_opportunities," ","")&amp;",")))=0)),IF(BG36="",TRUE,IF(input_challenge_opportunities="",FALSE,SUMPRODUCT(--ISNUMBER(SEARCH(","&amp;TRIM(TEXTSPLIT(BG36,","))&amp;",",","&amp;SUBSTITUTE(input_challenge_opportunities," ","")&amp;",")))&gt;0)),IF(BI36="",TRUE,IF(input_challenge_opportunities="",FALSE,SUMPRODUCT(--ISNUMBER(SEARCH(","&amp;TRIM(TEXTSPLIT(BI36,","))&amp;",",","&amp;SUBSTITUTE(input_challenge_opportunities," ","")&amp;",")))=COUNTA(TEXTSPLIT(BI36,",")))))</f>
        <v/>
      </c>
      <c r="IY36" s="19">
        <f>AND(IF(BK36="",TRUE,IF(input_context="",FALSE,SUMPRODUCT(--ISNUMBER(SEARCH(","&amp;TRIM(TEXTSPLIT(BK36,","))&amp;",",","&amp;SUBSTITUTE(input_context," ","")&amp;",")))&gt;0)),IF(BM36="",TRUE,IF(input_context="",FALSE,SUMPRODUCT(--ISNUMBER(SEARCH(","&amp;TRIM(TEXTSPLIT(BM36,","))&amp;",",","&amp;SUBSTITUTE(input_context," ","")&amp;",")))=COUNTA(TEXTSPLIT(BM36,",")))),IF(BO36="",TRUE,IF(input_context="",TRUE,SUMPRODUCT(--ISNUMBER(SEARCH(","&amp;TRIM(TEXTSPLIT(BO36,","))&amp;",",","&amp;SUBSTITUTE(input_context," ","")&amp;",")))=0)),IF(BQ36="",TRUE,IF(input_context="",FALSE,SUMPRODUCT(--ISNUMBER(SEARCH(","&amp;TRIM(TEXTSPLIT(BQ36,","))&amp;",",","&amp;SUBSTITUTE(input_context," ","")&amp;",")))&gt;0)),IF(BS36="",TRUE,IF(input_context="",FALSE,SUMPRODUCT(--ISNUMBER(SEARCH(","&amp;TRIM(TEXTSPLIT(BS36,","))&amp;",",","&amp;SUBSTITUTE(input_context," ","")&amp;",")))=COUNTA(TEXTSPLIT(BS36,",")))))</f>
        <v/>
      </c>
      <c r="IZ36" s="19">
        <f>AND(IF(BU36="",TRUE,IF(input_enews_announcement_type="",FALSE,SUMPRODUCT(--ISNUMBER(SEARCH(","&amp;TRIM(TEXTSPLIT(BU36,","))&amp;",",","&amp;SUBSTITUTE(input_enews_announcement_type," ","")&amp;",")))&gt;0)),IF(BW36="",TRUE,IF(input_enews_announcement_type="",FALSE,SUMPRODUCT(--ISNUMBER(SEARCH(","&amp;TRIM(TEXTSPLIT(BW36,","))&amp;",",","&amp;SUBSTITUTE(input_enews_announcement_type," ","")&amp;",")))=COUNTA(TEXTSPLIT(BW36,",")))),IF(BY36="",TRUE,IF(input_enews_announcement_type="",TRUE,SUMPRODUCT(--ISNUMBER(SEARCH(","&amp;TRIM(TEXTSPLIT(BY36,","))&amp;",",","&amp;SUBSTITUTE(input_enews_announcement_type," ","")&amp;",")))=0)),IF(CA36="",TRUE,IF(input_enews_announcement_type="",FALSE,SUMPRODUCT(--ISNUMBER(SEARCH(","&amp;TRIM(TEXTSPLIT(CA36,","))&amp;",",","&amp;SUBSTITUTE(input_enews_announcement_type," ","")&amp;",")))&gt;0)),IF(CC36="",TRUE,IF(input_enews_announcement_type="",FALSE,SUMPRODUCT(--ISNUMBER(SEARCH(","&amp;TRIM(TEXTSPLIT(CC36,","))&amp;",",","&amp;SUBSTITUTE(input_enews_announcement_type," ","")&amp;",")))=COUNTA(TEXTSPLIT(CC36,",")))))</f>
        <v/>
      </c>
      <c r="JA36" s="19">
        <f>AND(IF(CE36="",TRUE,IF(input_enews_audience="",FALSE,SUMPRODUCT(--ISNUMBER(SEARCH(","&amp;TRIM(TEXTSPLIT(CE36,","))&amp;",",","&amp;SUBSTITUTE(input_enews_audience," ","")&amp;",")))&gt;0)),IF(CG36="",TRUE,IF(input_enews_audience="",FALSE,SUMPRODUCT(--ISNUMBER(SEARCH(","&amp;TRIM(TEXTSPLIT(CG36,","))&amp;",",","&amp;SUBSTITUTE(input_enews_audience," ","")&amp;",")))=COUNTA(TEXTSPLIT(CG36,",")))),IF(CI36="",TRUE,IF(input_enews_audience="",TRUE,SUMPRODUCT(--ISNUMBER(SEARCH(","&amp;TRIM(TEXTSPLIT(CI36,","))&amp;",",","&amp;SUBSTITUTE(input_enews_audience," ","")&amp;",")))=0)),IF(CK36="",TRUE,IF(input_enews_audience="",FALSE,SUMPRODUCT(--ISNUMBER(SEARCH(","&amp;TRIM(TEXTSPLIT(CK36,","))&amp;",",","&amp;SUBSTITUTE(input_enews_audience," ","")&amp;",")))&gt;0)),IF(CM36="",TRUE,IF(input_enews_audience="",FALSE,SUMPRODUCT(--ISNUMBER(SEARCH(","&amp;TRIM(TEXTSPLIT(CM36,","))&amp;",",","&amp;SUBSTITUTE(input_enews_audience," ","")&amp;",")))=COUNTA(TEXTSPLIT(CM36,",")))))</f>
        <v/>
      </c>
      <c r="JB36" s="19">
        <f>AND(IF(CO36="",TRUE,IF(input_event_location="",FALSE,SUMPRODUCT(--ISNUMBER(SEARCH(","&amp;TRIM(TEXTSPLIT(CO36,","))&amp;",",","&amp;SUBSTITUTE(input_event_location," ","")&amp;",")))&gt;0)),IF(CQ36="",TRUE,IF(input_event_location="",FALSE,SUMPRODUCT(--ISNUMBER(SEARCH(","&amp;TRIM(TEXTSPLIT(CQ36,","))&amp;",",","&amp;SUBSTITUTE(input_event_location," ","")&amp;",")))=COUNTA(TEXTSPLIT(CQ36,",")))),IF(CS36="",TRUE,IF(input_event_location="",TRUE,SUMPRODUCT(--ISNUMBER(SEARCH(","&amp;TRIM(TEXTSPLIT(CS36,","))&amp;",",","&amp;SUBSTITUTE(input_event_location," ","")&amp;",")))=0)),IF(CU36="",TRUE,IF(input_event_location="",FALSE,SUMPRODUCT(--ISNUMBER(SEARCH(","&amp;TRIM(TEXTSPLIT(CU36,","))&amp;",",","&amp;SUBSTITUTE(input_event_location," ","")&amp;",")))&gt;0)),IF(CW36="",TRUE,IF(input_event_location="",FALSE,SUMPRODUCT(--ISNUMBER(SEARCH(","&amp;TRIM(TEXTSPLIT(CW36,","))&amp;",",","&amp;SUBSTITUTE(input_event_location," ","")&amp;",")))=COUNTA(TEXTSPLIT(CW36,",")))))</f>
        <v/>
      </c>
      <c r="JC36" s="19">
        <f>AND(IF(CY36="",TRUE,IF(input_event_type="",FALSE,SUMPRODUCT(--ISNUMBER(SEARCH(","&amp;TRIM(TEXTSPLIT(CY36,","))&amp;",",","&amp;SUBSTITUTE(input_event_type," ","")&amp;",")))&gt;0)),IF(DA36="",TRUE,IF(input_event_type="",FALSE,SUMPRODUCT(--ISNUMBER(SEARCH(","&amp;TRIM(TEXTSPLIT(DA36,","))&amp;",",","&amp;SUBSTITUTE(input_event_type," ","")&amp;",")))=COUNTA(TEXTSPLIT(DA36,",")))),IF(DC36="",TRUE,IF(input_event_type="",TRUE,SUMPRODUCT(--ISNUMBER(SEARCH(","&amp;TRIM(TEXTSPLIT(DC36,","))&amp;",",","&amp;SUBSTITUTE(input_event_type," ","")&amp;",")))=0)),IF(DE36="",TRUE,IF(input_event_type="",FALSE,SUMPRODUCT(--ISNUMBER(SEARCH(","&amp;TRIM(TEXTSPLIT(DE36,","))&amp;",",","&amp;SUBSTITUTE(input_event_type," ","")&amp;",")))&gt;0)),IF(DG36="",TRUE,IF(input_event_type="",FALSE,SUMPRODUCT(--ISNUMBER(SEARCH(","&amp;TRIM(TEXTSPLIT(DG36,","))&amp;",",","&amp;SUBSTITUTE(input_event_type," ","")&amp;",")))=COUNTA(TEXTSPLIT(DG36,",")))))</f>
        <v/>
      </c>
      <c r="JD36" s="19">
        <f>AND(IF(DI36="",TRUE,IF(input_executive_education_focus="",FALSE,SUMPRODUCT(--ISNUMBER(SEARCH(","&amp;TRIM(TEXTSPLIT(DI36,","))&amp;",",","&amp;SUBSTITUTE(input_executive_education_focus," ","")&amp;",")))&gt;0)),IF(DK36="",TRUE,IF(input_executive_education_focus="",FALSE,SUMPRODUCT(--ISNUMBER(SEARCH(","&amp;TRIM(TEXTSPLIT(DK36,","))&amp;",",","&amp;SUBSTITUTE(input_executive_education_focus," ","")&amp;",")))=COUNTA(TEXTSPLIT(DK36,",")))),IF(DM36="",TRUE,IF(input_executive_education_focus="",TRUE,SUMPRODUCT(--ISNUMBER(SEARCH(","&amp;TRIM(TEXTSPLIT(DM36,","))&amp;",",","&amp;SUBSTITUTE(input_executive_education_focus," ","")&amp;",")))=0)),IF(DO36="",TRUE,IF(input_executive_education_focus="",FALSE,SUMPRODUCT(--ISNUMBER(SEARCH(","&amp;TRIM(TEXTSPLIT(DO36,","))&amp;",",","&amp;SUBSTITUTE(input_executive_education_focus," ","")&amp;",")))&gt;0)),IF(DQ36="",TRUE,IF(input_executive_education_focus="",FALSE,SUMPRODUCT(--ISNUMBER(SEARCH(","&amp;TRIM(TEXTSPLIT(DQ36,","))&amp;",",","&amp;SUBSTITUTE(input_executive_education_focus," ","")&amp;",")))=COUNTA(TEXTSPLIT(DQ36,",")))))</f>
        <v/>
      </c>
      <c r="JE36" s="19">
        <f>AND(IF(DS36="",TRUE,IF(input_faculty_category="",FALSE,SUMPRODUCT(--ISNUMBER(SEARCH(","&amp;TRIM(TEXTSPLIT(DS36,","))&amp;",",","&amp;SUBSTITUTE(input_faculty_category," ","")&amp;",")))&gt;0)),IF(DU36="",TRUE,IF(input_faculty_category="",FALSE,SUMPRODUCT(--ISNUMBER(SEARCH(","&amp;TRIM(TEXTSPLIT(DU36,","))&amp;",",","&amp;SUBSTITUTE(input_faculty_category," ","")&amp;",")))=COUNTA(TEXTSPLIT(DU36,",")))),IF(DW36="",TRUE,IF(input_faculty_category="",TRUE,SUMPRODUCT(--ISNUMBER(SEARCH(","&amp;TRIM(TEXTSPLIT(DW36,","))&amp;",",","&amp;SUBSTITUTE(input_faculty_category," ","")&amp;",")))=0)),IF(DY36="",TRUE,IF(input_faculty_category="",FALSE,SUMPRODUCT(--ISNUMBER(SEARCH(","&amp;TRIM(TEXTSPLIT(DY36,","))&amp;",",","&amp;SUBSTITUTE(input_faculty_category," ","")&amp;",")))&gt;0)),IF(EA36="",TRUE,IF(input_faculty_category="",FALSE,SUMPRODUCT(--ISNUMBER(SEARCH(","&amp;TRIM(TEXTSPLIT(EA36,","))&amp;",",","&amp;SUBSTITUTE(input_faculty_category," ","")&amp;",")))=COUNTA(TEXTSPLIT(EA36,",")))))</f>
        <v/>
      </c>
      <c r="JF36" s="19">
        <f>AND(IF(EC36="",TRUE,IF(input_faculty_discipline="",FALSE,SUMPRODUCT(--ISNUMBER(SEARCH(","&amp;TRIM(TEXTSPLIT(EC36,","))&amp;",",","&amp;SUBSTITUTE(input_faculty_discipline," ","")&amp;",")))&gt;0)),IF(EE36="",TRUE,IF(input_faculty_discipline="",FALSE,SUMPRODUCT(--ISNUMBER(SEARCH(","&amp;TRIM(TEXTSPLIT(EE36,","))&amp;",",","&amp;SUBSTITUTE(input_faculty_discipline," ","")&amp;",")))=COUNTA(TEXTSPLIT(EE36,",")))),IF(EG36="",TRUE,IF(input_faculty_discipline="",TRUE,SUMPRODUCT(--ISNUMBER(SEARCH(","&amp;TRIM(TEXTSPLIT(EG36,","))&amp;",",","&amp;SUBSTITUTE(input_faculty_discipline," ","")&amp;",")))=0)),IF(EI36="",TRUE,IF(input_faculty_discipline="",FALSE,SUMPRODUCT(--ISNUMBER(SEARCH(","&amp;TRIM(TEXTSPLIT(EI36,","))&amp;",",","&amp;SUBSTITUTE(input_faculty_discipline," ","")&amp;",")))&gt;0)),IF(EK36="",TRUE,IF(input_faculty_discipline="",FALSE,SUMPRODUCT(--ISNUMBER(SEARCH(","&amp;TRIM(TEXTSPLIT(EK36,","))&amp;",",","&amp;SUBSTITUTE(input_faculty_discipline," ","")&amp;",")))=COUNTA(TEXTSPLIT(EK36,",")))))</f>
        <v/>
      </c>
      <c r="JG36" s="19">
        <f>AND(IF(EM36="",TRUE,IF(input_faculty_expertise="",FALSE,SUMPRODUCT(--ISNUMBER(SEARCH(","&amp;TRIM(TEXTSPLIT(EM36,","))&amp;",",","&amp;SUBSTITUTE(input_faculty_expertise," ","")&amp;",")))&gt;0)),IF(EO36="",TRUE,IF(input_faculty_expertise="",FALSE,SUMPRODUCT(--ISNUMBER(SEARCH(","&amp;TRIM(TEXTSPLIT(EO36,","))&amp;",",","&amp;SUBSTITUTE(input_faculty_expertise," ","")&amp;",")))=COUNTA(TEXTSPLIT(EO36,",")))),IF(EQ36="",TRUE,IF(input_faculty_expertise="",TRUE,SUMPRODUCT(--ISNUMBER(SEARCH(","&amp;TRIM(TEXTSPLIT(EQ36,","))&amp;",",","&amp;SUBSTITUTE(input_faculty_expertise," ","")&amp;",")))=0)),IF(ES36="",TRUE,IF(input_faculty_expertise="",FALSE,SUMPRODUCT(--ISNUMBER(SEARCH(","&amp;TRIM(TEXTSPLIT(ES36,","))&amp;",",","&amp;SUBSTITUTE(input_faculty_expertise," ","")&amp;",")))&gt;0)),IF(EU36="",TRUE,IF(input_faculty_expertise="",FALSE,SUMPRODUCT(--ISNUMBER(SEARCH(","&amp;TRIM(TEXTSPLIT(EU36,","))&amp;",",","&amp;SUBSTITUTE(input_faculty_expertise," ","")&amp;",")))=COUNTA(TEXTSPLIT(EU36,",")))))</f>
        <v/>
      </c>
      <c r="JH36" s="19">
        <f>AND(IF(EW36="",TRUE,IF(input_global_network_school="",FALSE,SUMPRODUCT(--ISNUMBER(SEARCH(","&amp;TRIM(TEXTSPLIT(EW36,","))&amp;",",","&amp;SUBSTITUTE(input_global_network_school," ","")&amp;",")))&gt;0)),IF(EY36="",TRUE,IF(input_global_network_school="",FALSE,SUMPRODUCT(--ISNUMBER(SEARCH(","&amp;TRIM(TEXTSPLIT(EY36,","))&amp;",",","&amp;SUBSTITUTE(input_global_network_school," ","")&amp;",")))=COUNTA(TEXTSPLIT(EY36,",")))),IF(FA36="",TRUE,IF(input_global_network_school="",TRUE,SUMPRODUCT(--ISNUMBER(SEARCH(","&amp;TRIM(TEXTSPLIT(FA36,","))&amp;",",","&amp;SUBSTITUTE(input_global_network_school," ","")&amp;",")))=0)),IF(FC36="",TRUE,IF(input_global_network_school="",FALSE,SUMPRODUCT(--ISNUMBER(SEARCH(","&amp;TRIM(TEXTSPLIT(FC36,","))&amp;",",","&amp;SUBSTITUTE(input_global_network_school," ","")&amp;",")))&gt;0)),IF(FE36="",TRUE,IF(input_global_network_school="",FALSE,SUMPRODUCT(--ISNUMBER(SEARCH(","&amp;TRIM(TEXTSPLIT(FE36,","))&amp;",",","&amp;SUBSTITUTE(input_global_network_school," ","")&amp;",")))=COUNTA(TEXTSPLIT(FE36,",")))))</f>
        <v/>
      </c>
      <c r="JI36" s="19">
        <f>AND(IF(FG36="",TRUE,IF(input_industry="",FALSE,SUMPRODUCT(--ISNUMBER(SEARCH(","&amp;TRIM(TEXTSPLIT(FG36,","))&amp;",",","&amp;SUBSTITUTE(input_industry," ","")&amp;",")))&gt;0)),IF(FI36="",TRUE,IF(input_industry="",FALSE,SUMPRODUCT(--ISNUMBER(SEARCH(","&amp;TRIM(TEXTSPLIT(FI36,","))&amp;",",","&amp;SUBSTITUTE(input_industry," ","")&amp;",")))=COUNTA(TEXTSPLIT(FI36,",")))),IF(FK36="",TRUE,IF(input_industry="",TRUE,SUMPRODUCT(--ISNUMBER(SEARCH(","&amp;TRIM(TEXTSPLIT(FK36,","))&amp;",",","&amp;SUBSTITUTE(input_industry," ","")&amp;",")))=0)),IF(FM36="",TRUE,IF(input_industry="",FALSE,SUMPRODUCT(--ISNUMBER(SEARCH(","&amp;TRIM(TEXTSPLIT(FM36,","))&amp;",",","&amp;SUBSTITUTE(input_industry," ","")&amp;",")))&gt;0)),IF(FO36="",TRUE,IF(input_industry="",FALSE,SUMPRODUCT(--ISNUMBER(SEARCH(","&amp;TRIM(TEXTSPLIT(FO36,","))&amp;",",","&amp;SUBSTITUTE(input_industry," ","")&amp;",")))=COUNTA(TEXTSPLIT(FO36,",")))))</f>
        <v/>
      </c>
      <c r="JJ36" s="19">
        <f>AND(IF(FQ36="",TRUE,IF(input_location="",FALSE,SUMPRODUCT(--ISNUMBER(SEARCH(","&amp;TRIM(TEXTSPLIT(FQ36,","))&amp;",",","&amp;SUBSTITUTE(input_location," ","")&amp;",")))&gt;0)),IF(FS36="",TRUE,IF(input_location="",FALSE,SUMPRODUCT(--ISNUMBER(SEARCH(","&amp;TRIM(TEXTSPLIT(FS36,","))&amp;",",","&amp;SUBSTITUTE(input_location," ","")&amp;",")))=COUNTA(TEXTSPLIT(FS36,",")))),IF(FU36="",TRUE,IF(input_location="",TRUE,SUMPRODUCT(--ISNUMBER(SEARCH(","&amp;TRIM(TEXTSPLIT(FU36,","))&amp;",",","&amp;SUBSTITUTE(input_location," ","")&amp;",")))=0)),IF(FW36="",TRUE,IF(input_location="",FALSE,SUMPRODUCT(--ISNUMBER(SEARCH(","&amp;TRIM(TEXTSPLIT(FW36,","))&amp;",",","&amp;SUBSTITUTE(input_location," ","")&amp;",")))&gt;0)),IF(FY36="",TRUE,IF(input_location="",FALSE,SUMPRODUCT(--ISNUMBER(SEARCH(","&amp;TRIM(TEXTSPLIT(FY36,","))&amp;",",","&amp;SUBSTITUTE(input_location," ","")&amp;",")))=COUNTA(TEXTSPLIT(FY36,",")))))</f>
        <v/>
      </c>
      <c r="JK36" s="19">
        <f>AND(IF(GA36="",TRUE,IF(input_modality="",FALSE,SUMPRODUCT(--ISNUMBER(SEARCH(","&amp;TRIM(TEXTSPLIT(GA36,","))&amp;",",","&amp;SUBSTITUTE(input_modality," ","")&amp;",")))&gt;0)),IF(GC36="",TRUE,IF(input_modality="",FALSE,SUMPRODUCT(--ISNUMBER(SEARCH(","&amp;TRIM(TEXTSPLIT(GC36,","))&amp;",",","&amp;SUBSTITUTE(input_modality," ","")&amp;",")))=COUNTA(TEXTSPLIT(GC36,",")))),IF(GE36="",TRUE,IF(input_modality="",TRUE,SUMPRODUCT(--ISNUMBER(SEARCH(","&amp;TRIM(TEXTSPLIT(GE36,","))&amp;",",","&amp;SUBSTITUTE(input_modality," ","")&amp;",")))=0)),IF(GG36="",TRUE,IF(input_modality="",FALSE,SUMPRODUCT(--ISNUMBER(SEARCH(","&amp;TRIM(TEXTSPLIT(GG36,","))&amp;",",","&amp;SUBSTITUTE(input_modality," ","")&amp;",")))&gt;0)),IF(GI36="",TRUE,IF(input_modality="",FALSE,SUMPRODUCT(--ISNUMBER(SEARCH(","&amp;TRIM(TEXTSPLIT(GI36,","))&amp;",",","&amp;SUBSTITUTE(input_modality," ","")&amp;",")))=COUNTA(TEXTSPLIT(GI36,",")))))</f>
        <v/>
      </c>
      <c r="JL36" s="19">
        <f>AND(IF(GK36="",TRUE,IF(input_organizer="",FALSE,SUMPRODUCT(--ISNUMBER(SEARCH(","&amp;TRIM(TEXTSPLIT(GK36,","))&amp;",",","&amp;SUBSTITUTE(input_organizer," ","")&amp;",")))&gt;0)),IF(GM36="",TRUE,IF(input_organizer="",FALSE,SUMPRODUCT(--ISNUMBER(SEARCH(","&amp;TRIM(TEXTSPLIT(GM36,","))&amp;",",","&amp;SUBSTITUTE(input_organizer," ","")&amp;",")))=COUNTA(TEXTSPLIT(GM36,",")))),IF(GO36="",TRUE,IF(input_organizer="",TRUE,SUMPRODUCT(--ISNUMBER(SEARCH(","&amp;TRIM(TEXTSPLIT(GO36,","))&amp;",",","&amp;SUBSTITUTE(input_organizer," ","")&amp;",")))=0)),IF(GQ36="",TRUE,IF(input_organizer="",FALSE,SUMPRODUCT(--ISNUMBER(SEARCH(","&amp;TRIM(TEXTSPLIT(GQ36,","))&amp;",",","&amp;SUBSTITUTE(input_organizer," ","")&amp;",")))&gt;0)),IF(GS36="",TRUE,IF(input_organizer="",FALSE,SUMPRODUCT(--ISNUMBER(SEARCH(","&amp;TRIM(TEXTSPLIT(GS36,","))&amp;",",","&amp;SUBSTITUTE(input_organizer," ","")&amp;",")))=COUNTA(TEXTSPLIT(GS36,",")))))</f>
        <v/>
      </c>
      <c r="JM36" s="19">
        <f>AND(IF(GU36="",TRUE,IF(input_profile_type="",FALSE,SUMPRODUCT(--ISNUMBER(SEARCH(","&amp;TRIM(TEXTSPLIT(GU36,","))&amp;",",","&amp;SUBSTITUTE(input_profile_type," ","")&amp;",")))&gt;0)),IF(GW36="",TRUE,IF(input_profile_type="",FALSE,SUMPRODUCT(--ISNUMBER(SEARCH(","&amp;TRIM(TEXTSPLIT(GW36,","))&amp;",",","&amp;SUBSTITUTE(input_profile_type," ","")&amp;",")))=COUNTA(TEXTSPLIT(GW36,",")))),IF(GY36="",TRUE,IF(input_profile_type="",TRUE,SUMPRODUCT(--ISNUMBER(SEARCH(","&amp;TRIM(TEXTSPLIT(GY36,","))&amp;",",","&amp;SUBSTITUTE(input_profile_type," ","")&amp;",")))=0)),IF(HA36="",TRUE,IF(input_profile_type="",FALSE,SUMPRODUCT(--ISNUMBER(SEARCH(","&amp;TRIM(TEXTSPLIT(HA36,","))&amp;",",","&amp;SUBSTITUTE(input_profile_type," ","")&amp;",")))&gt;0)),IF(HC36="",TRUE,IF(input_profile_type="",FALSE,SUMPRODUCT(--ISNUMBER(SEARCH(","&amp;TRIM(TEXTSPLIT(HC36,","))&amp;",",","&amp;SUBSTITUTE(input_profile_type," ","")&amp;",")))=COUNTA(TEXTSPLIT(HC36,",")))))</f>
        <v/>
      </c>
      <c r="JN36" s="19">
        <f>AND(IF(HE36="",TRUE,IF(input_program="",FALSE,SUMPRODUCT(--ISNUMBER(SEARCH(","&amp;TRIM(TEXTSPLIT(HE36,","))&amp;",",","&amp;SUBSTITUTE(input_program," ","")&amp;",")))&gt;0)),IF(HG36="",TRUE,IF(input_program="",FALSE,SUMPRODUCT(--ISNUMBER(SEARCH(","&amp;TRIM(TEXTSPLIT(HG36,","))&amp;",",","&amp;SUBSTITUTE(input_program," ","")&amp;",")))=COUNTA(TEXTSPLIT(HG36,",")))),IF(HI36="",TRUE,IF(input_program="",TRUE,SUMPRODUCT(--ISNUMBER(SEARCH(","&amp;TRIM(TEXTSPLIT(HI36,","))&amp;",",","&amp;SUBSTITUTE(input_program," ","")&amp;",")))=0)),IF(HK36="",TRUE,IF(input_program="",FALSE,SUMPRODUCT(--ISNUMBER(SEARCH(","&amp;TRIM(TEXTSPLIT(HK36,","))&amp;",",","&amp;SUBSTITUTE(input_program," ","")&amp;",")))&gt;0)),IF(HM36="",TRUE,IF(input_program="",FALSE,SUMPRODUCT(--ISNUMBER(SEARCH(","&amp;TRIM(TEXTSPLIT(HM36,","))&amp;",",","&amp;SUBSTITUTE(input_program," ","")&amp;",")))=COUNTA(TEXTSPLIT(HM36,",")))))</f>
        <v/>
      </c>
      <c r="JO36" s="19">
        <f>AND(IF(HO36="",TRUE,IF(input_story_categories="",FALSE,SUMPRODUCT(--ISNUMBER(SEARCH(","&amp;TRIM(TEXTSPLIT(HO36,","))&amp;",",","&amp;SUBSTITUTE(input_story_categories," ","")&amp;",")))&gt;0)),IF(HQ36="",TRUE,IF(input_story_categories="",FALSE,SUMPRODUCT(--ISNUMBER(SEARCH(","&amp;TRIM(TEXTSPLIT(HQ36,","))&amp;",",","&amp;SUBSTITUTE(input_story_categories," ","")&amp;",")))=COUNTA(TEXTSPLIT(HQ36,",")))),IF(HS36="",TRUE,IF(input_story_categories="",TRUE,SUMPRODUCT(--ISNUMBER(SEARCH(","&amp;TRIM(TEXTSPLIT(HS36,","))&amp;",",","&amp;SUBSTITUTE(input_story_categories," ","")&amp;",")))=0)),IF(HU36="",TRUE,IF(input_story_categories="",FALSE,SUMPRODUCT(--ISNUMBER(SEARCH(","&amp;TRIM(TEXTSPLIT(HU36,","))&amp;",",","&amp;SUBSTITUTE(input_story_categories," ","")&amp;",")))&gt;0)),IF(HW36="",TRUE,IF(input_story_categories="",FALSE,SUMPRODUCT(--ISNUMBER(SEARCH(","&amp;TRIM(TEXTSPLIT(HW36,","))&amp;",",","&amp;SUBSTITUTE(input_story_categories," ","")&amp;",")))=COUNTA(TEXTSPLIT(HW36,",")))))</f>
        <v/>
      </c>
      <c r="JP36" s="19">
        <f>AND(IF(HY36="",TRUE,IF(input_story_type="",FALSE,SUMPRODUCT(--ISNUMBER(SEARCH(","&amp;TRIM(TEXTSPLIT(HY36,","))&amp;",",","&amp;SUBSTITUTE(input_story_type," ","")&amp;",")))&gt;0)),IF(IA36="",TRUE,IF(input_story_type="",FALSE,SUMPRODUCT(--ISNUMBER(SEARCH(","&amp;TRIM(TEXTSPLIT(IA36,","))&amp;",",","&amp;SUBSTITUTE(input_story_type," ","")&amp;",")))=COUNTA(TEXTSPLIT(IA36,",")))),IF(IC36="",TRUE,IF(input_story_type="",TRUE,SUMPRODUCT(--ISNUMBER(SEARCH(","&amp;TRIM(TEXTSPLIT(IC36,","))&amp;",",","&amp;SUBSTITUTE(input_story_type," ","")&amp;",")))=0)),IF(IE36="",TRUE,IF(input_story_type="",FALSE,SUMPRODUCT(--ISNUMBER(SEARCH(","&amp;TRIM(TEXTSPLIT(IE36,","))&amp;",",","&amp;SUBSTITUTE(input_story_type," ","")&amp;",")))&gt;0)),IF(IG36="",TRUE,IF(input_story_type="",FALSE,SUMPRODUCT(--ISNUMBER(SEARCH(","&amp;TRIM(TEXTSPLIT(IG36,","))&amp;",",","&amp;SUBSTITUTE(input_story_type," ","")&amp;",")))=COUNTA(TEXTSPLIT(IG36,",")))))</f>
        <v/>
      </c>
      <c r="JQ36" s="19">
        <f>AND(IF(II36="",TRUE,IF(input_topics="",FALSE,SUMPRODUCT(--ISNUMBER(SEARCH(","&amp;TRIM(TEXTSPLIT(II36,","))&amp;",",","&amp;SUBSTITUTE(input_topics," ","")&amp;",")))&gt;0)),IF(IK36="",TRUE,IF(input_topics="",FALSE,SUMPRODUCT(--ISNUMBER(SEARCH(","&amp;TRIM(TEXTSPLIT(IK36,","))&amp;",",","&amp;SUBSTITUTE(input_topics," ","")&amp;",")))=COUNTA(TEXTSPLIT(IK36,",")))),IF(IM36="",TRUE,IF(input_topics="",TRUE,SUMPRODUCT(--ISNUMBER(SEARCH(","&amp;TRIM(TEXTSPLIT(IM36,","))&amp;",",","&amp;SUBSTITUTE(input_topics," ","")&amp;",")))=0)),IF(IO36="",TRUE,IF(input_topics="",FALSE,SUMPRODUCT(--ISNUMBER(SEARCH(","&amp;TRIM(TEXTSPLIT(IO36,","))&amp;",",","&amp;SUBSTITUTE(input_topics," ","")&amp;",")))&gt;0)),IF(IQ36="",TRUE,IF(input_topics="",FALSE,SUMPRODUCT(--ISNUMBER(SEARCH(","&amp;TRIM(TEXTSPLIT(IQ36,","))&amp;",",","&amp;SUBSTITUTE(input_topics," ","")&amp;",")))=COUNTA(TEXTSPLIT(IQ36,",")))))</f>
        <v/>
      </c>
    </row>
    <row r="37">
      <c r="A37" s="24">
        <f>IF(NOT(IS37),"Excluded",IF(AND(IT37,IU37,IV37,IW37,IX37,IY37,IZ37,JA37,JB37,JC37,JD37,JE37,JF37,JG37,JH37,JI37,JJ37,JK37,JL37,JM37,JN37,JO37,JP37,JQ37),IF(I37&gt;0,"Eligible but limited","Will appear"),"Excluded"))</f>
        <v/>
      </c>
      <c r="B37" s="24" t="inlineStr">
        <is>
          <t>All Publications by Author</t>
        </is>
      </c>
      <c r="C37" s="27" t="inlineStr">
        <is>
          <t>/faculty-research/faculty-directory/k-sudhir</t>
        </is>
      </c>
      <c r="D37" s="24" t="inlineStr">
        <is>
          <t>/faculty-research/faculty-directory/k-sudhir</t>
        </is>
      </c>
      <c r="E37" s="24" t="n">
        <v>1</v>
      </c>
      <c r="F37" s="24" t="inlineStr">
        <is>
          <t>publications</t>
        </is>
      </c>
      <c r="G37" s="24" t="inlineStr">
        <is>
          <t>publication_teaser_list</t>
        </is>
      </c>
      <c r="H37" s="24" t="inlineStr">
        <is>
          <t>publication_teaser_list_all_by_author</t>
        </is>
      </c>
      <c r="I37" s="24" t="n"/>
      <c r="J37" s="24" t="inlineStr">
        <is>
          <t>View/config rules</t>
        </is>
      </c>
      <c r="K37" s="24" t="inlineStr">
        <is>
          <t>Page placement</t>
        </is>
      </c>
      <c r="L37" s="24" t="inlineStr">
        <is>
          <t>Content type: publications; Source: View/config rules</t>
        </is>
      </c>
      <c r="IS37" s="19">
        <f>IF(input_content_type="",FALSE,ISNUMBER(SEARCH(","&amp;LOWER(input_content_type)&amp;",",","&amp;LOWER(SUBSTITUTE(F37," ",""))&amp;",")))</f>
        <v/>
      </c>
      <c r="IT37" s="19">
        <f>AND(IF(M37="",TRUE,IF(input_affiliations="",FALSE,SUMPRODUCT(--ISNUMBER(SEARCH(","&amp;TRIM(TEXTSPLIT(M37,","))&amp;",",","&amp;SUBSTITUTE(input_affiliations," ","")&amp;",")))&gt;0)),IF(O37="",TRUE,IF(input_affiliations="",FALSE,SUMPRODUCT(--ISNUMBER(SEARCH(","&amp;TRIM(TEXTSPLIT(O37,","))&amp;",",","&amp;SUBSTITUTE(input_affiliations," ","")&amp;",")))=COUNTA(TEXTSPLIT(O37,",")))),IF(Q37="",TRUE,IF(input_affiliations="",TRUE,SUMPRODUCT(--ISNUMBER(SEARCH(","&amp;TRIM(TEXTSPLIT(Q37,","))&amp;",",","&amp;SUBSTITUTE(input_affiliations," ","")&amp;",")))=0)),IF(S37="",TRUE,IF(input_affiliations="",FALSE,SUMPRODUCT(--ISNUMBER(SEARCH(","&amp;TRIM(TEXTSPLIT(S37,","))&amp;",",","&amp;SUBSTITUTE(input_affiliations," ","")&amp;",")))&gt;0)),IF(U37="",TRUE,IF(input_affiliations="",FALSE,SUMPRODUCT(--ISNUMBER(SEARCH(","&amp;TRIM(TEXTSPLIT(U37,","))&amp;",",","&amp;SUBSTITUTE(input_affiliations," ","")&amp;",")))=COUNTA(TEXTSPLIT(U37,",")))))</f>
        <v/>
      </c>
      <c r="IU37" s="19">
        <f>AND(IF(W37="",TRUE,IF(input_announcement_category="",FALSE,SUMPRODUCT(--ISNUMBER(SEARCH(","&amp;TRIM(TEXTSPLIT(W37,","))&amp;",",","&amp;SUBSTITUTE(input_announcement_category," ","")&amp;",")))&gt;0)),IF(Y37="",TRUE,IF(input_announcement_category="",FALSE,SUMPRODUCT(--ISNUMBER(SEARCH(","&amp;TRIM(TEXTSPLIT(Y37,","))&amp;",",","&amp;SUBSTITUTE(input_announcement_category," ","")&amp;",")))=COUNTA(TEXTSPLIT(Y37,",")))),IF(AA37="",TRUE,IF(input_announcement_category="",TRUE,SUMPRODUCT(--ISNUMBER(SEARCH(","&amp;TRIM(TEXTSPLIT(AA37,","))&amp;",",","&amp;SUBSTITUTE(input_announcement_category," ","")&amp;",")))=0)),IF(AC37="",TRUE,IF(input_announcement_category="",FALSE,SUMPRODUCT(--ISNUMBER(SEARCH(","&amp;TRIM(TEXTSPLIT(AC37,","))&amp;",",","&amp;SUBSTITUTE(input_announcement_category," ","")&amp;",")))&gt;0)),IF(AE37="",TRUE,IF(input_announcement_category="",FALSE,SUMPRODUCT(--ISNUMBER(SEARCH(","&amp;TRIM(TEXTSPLIT(AE37,","))&amp;",",","&amp;SUBSTITUTE(input_announcement_category," ","")&amp;",")))=COUNTA(TEXTSPLIT(AE37,",")))))</f>
        <v/>
      </c>
      <c r="IV37" s="19">
        <f>AND(IF(AG37="",TRUE,IF(input_area_of_focus="",FALSE,SUMPRODUCT(--ISNUMBER(SEARCH(","&amp;TRIM(TEXTSPLIT(AG37,","))&amp;",",","&amp;SUBSTITUTE(input_area_of_focus," ","")&amp;",")))&gt;0)),IF(AI37="",TRUE,IF(input_area_of_focus="",FALSE,SUMPRODUCT(--ISNUMBER(SEARCH(","&amp;TRIM(TEXTSPLIT(AI37,","))&amp;",",","&amp;SUBSTITUTE(input_area_of_focus," ","")&amp;",")))=COUNTA(TEXTSPLIT(AI37,",")))),IF(AK37="",TRUE,IF(input_area_of_focus="",TRUE,SUMPRODUCT(--ISNUMBER(SEARCH(","&amp;TRIM(TEXTSPLIT(AK37,","))&amp;",",","&amp;SUBSTITUTE(input_area_of_focus," ","")&amp;",")))=0)),IF(AM37="",TRUE,IF(input_area_of_focus="",FALSE,SUMPRODUCT(--ISNUMBER(SEARCH(","&amp;TRIM(TEXTSPLIT(AM37,","))&amp;",",","&amp;SUBSTITUTE(input_area_of_focus," ","")&amp;",")))&gt;0)),IF(AO37="",TRUE,IF(input_area_of_focus="",FALSE,SUMPRODUCT(--ISNUMBER(SEARCH(","&amp;TRIM(TEXTSPLIT(AO37,","))&amp;",",","&amp;SUBSTITUTE(input_area_of_focus," ","")&amp;",")))=COUNTA(TEXTSPLIT(AO37,",")))))</f>
        <v/>
      </c>
      <c r="IW37" s="19">
        <f>AND(IF(AQ37="",TRUE,IF(input_audience="",FALSE,SUMPRODUCT(--ISNUMBER(SEARCH(","&amp;TRIM(TEXTSPLIT(AQ37,","))&amp;",",","&amp;SUBSTITUTE(input_audience," ","")&amp;",")))&gt;0)),IF(AS37="",TRUE,IF(input_audience="",FALSE,SUMPRODUCT(--ISNUMBER(SEARCH(","&amp;TRIM(TEXTSPLIT(AS37,","))&amp;",",","&amp;SUBSTITUTE(input_audience," ","")&amp;",")))=COUNTA(TEXTSPLIT(AS37,",")))),IF(AU37="",TRUE,IF(input_audience="",TRUE,SUMPRODUCT(--ISNUMBER(SEARCH(","&amp;TRIM(TEXTSPLIT(AU37,","))&amp;",",","&amp;SUBSTITUTE(input_audience," ","")&amp;",")))=0)),IF(AW37="",TRUE,IF(input_audience="",FALSE,SUMPRODUCT(--ISNUMBER(SEARCH(","&amp;TRIM(TEXTSPLIT(AW37,","))&amp;",",","&amp;SUBSTITUTE(input_audience," ","")&amp;",")))&gt;0)),IF(AY37="",TRUE,IF(input_audience="",FALSE,SUMPRODUCT(--ISNUMBER(SEARCH(","&amp;TRIM(TEXTSPLIT(AY37,","))&amp;",",","&amp;SUBSTITUTE(input_audience," ","")&amp;",")))=COUNTA(TEXTSPLIT(AY37,",")))))</f>
        <v/>
      </c>
      <c r="IX37" s="19">
        <f>AND(IF(BA37="",TRUE,IF(input_challenge_opportunities="",FALSE,SUMPRODUCT(--ISNUMBER(SEARCH(","&amp;TRIM(TEXTSPLIT(BA37,","))&amp;",",","&amp;SUBSTITUTE(input_challenge_opportunities," ","")&amp;",")))&gt;0)),IF(BC37="",TRUE,IF(input_challenge_opportunities="",FALSE,SUMPRODUCT(--ISNUMBER(SEARCH(","&amp;TRIM(TEXTSPLIT(BC37,","))&amp;",",","&amp;SUBSTITUTE(input_challenge_opportunities," ","")&amp;",")))=COUNTA(TEXTSPLIT(BC37,",")))),IF(BE37="",TRUE,IF(input_challenge_opportunities="",TRUE,SUMPRODUCT(--ISNUMBER(SEARCH(","&amp;TRIM(TEXTSPLIT(BE37,","))&amp;",",","&amp;SUBSTITUTE(input_challenge_opportunities," ","")&amp;",")))=0)),IF(BG37="",TRUE,IF(input_challenge_opportunities="",FALSE,SUMPRODUCT(--ISNUMBER(SEARCH(","&amp;TRIM(TEXTSPLIT(BG37,","))&amp;",",","&amp;SUBSTITUTE(input_challenge_opportunities," ","")&amp;",")))&gt;0)),IF(BI37="",TRUE,IF(input_challenge_opportunities="",FALSE,SUMPRODUCT(--ISNUMBER(SEARCH(","&amp;TRIM(TEXTSPLIT(BI37,","))&amp;",",","&amp;SUBSTITUTE(input_challenge_opportunities," ","")&amp;",")))=COUNTA(TEXTSPLIT(BI37,",")))))</f>
        <v/>
      </c>
      <c r="IY37" s="19">
        <f>AND(IF(BK37="",TRUE,IF(input_context="",FALSE,SUMPRODUCT(--ISNUMBER(SEARCH(","&amp;TRIM(TEXTSPLIT(BK37,","))&amp;",",","&amp;SUBSTITUTE(input_context," ","")&amp;",")))&gt;0)),IF(BM37="",TRUE,IF(input_context="",FALSE,SUMPRODUCT(--ISNUMBER(SEARCH(","&amp;TRIM(TEXTSPLIT(BM37,","))&amp;",",","&amp;SUBSTITUTE(input_context," ","")&amp;",")))=COUNTA(TEXTSPLIT(BM37,",")))),IF(BO37="",TRUE,IF(input_context="",TRUE,SUMPRODUCT(--ISNUMBER(SEARCH(","&amp;TRIM(TEXTSPLIT(BO37,","))&amp;",",","&amp;SUBSTITUTE(input_context," ","")&amp;",")))=0)),IF(BQ37="",TRUE,IF(input_context="",FALSE,SUMPRODUCT(--ISNUMBER(SEARCH(","&amp;TRIM(TEXTSPLIT(BQ37,","))&amp;",",","&amp;SUBSTITUTE(input_context," ","")&amp;",")))&gt;0)),IF(BS37="",TRUE,IF(input_context="",FALSE,SUMPRODUCT(--ISNUMBER(SEARCH(","&amp;TRIM(TEXTSPLIT(BS37,","))&amp;",",","&amp;SUBSTITUTE(input_context," ","")&amp;",")))=COUNTA(TEXTSPLIT(BS37,",")))))</f>
        <v/>
      </c>
      <c r="IZ37" s="19">
        <f>AND(IF(BU37="",TRUE,IF(input_enews_announcement_type="",FALSE,SUMPRODUCT(--ISNUMBER(SEARCH(","&amp;TRIM(TEXTSPLIT(BU37,","))&amp;",",","&amp;SUBSTITUTE(input_enews_announcement_type," ","")&amp;",")))&gt;0)),IF(BW37="",TRUE,IF(input_enews_announcement_type="",FALSE,SUMPRODUCT(--ISNUMBER(SEARCH(","&amp;TRIM(TEXTSPLIT(BW37,","))&amp;",",","&amp;SUBSTITUTE(input_enews_announcement_type," ","")&amp;",")))=COUNTA(TEXTSPLIT(BW37,",")))),IF(BY37="",TRUE,IF(input_enews_announcement_type="",TRUE,SUMPRODUCT(--ISNUMBER(SEARCH(","&amp;TRIM(TEXTSPLIT(BY37,","))&amp;",",","&amp;SUBSTITUTE(input_enews_announcement_type," ","")&amp;",")))=0)),IF(CA37="",TRUE,IF(input_enews_announcement_type="",FALSE,SUMPRODUCT(--ISNUMBER(SEARCH(","&amp;TRIM(TEXTSPLIT(CA37,","))&amp;",",","&amp;SUBSTITUTE(input_enews_announcement_type," ","")&amp;",")))&gt;0)),IF(CC37="",TRUE,IF(input_enews_announcement_type="",FALSE,SUMPRODUCT(--ISNUMBER(SEARCH(","&amp;TRIM(TEXTSPLIT(CC37,","))&amp;",",","&amp;SUBSTITUTE(input_enews_announcement_type," ","")&amp;",")))=COUNTA(TEXTSPLIT(CC37,",")))))</f>
        <v/>
      </c>
      <c r="JA37" s="19">
        <f>AND(IF(CE37="",TRUE,IF(input_enews_audience="",FALSE,SUMPRODUCT(--ISNUMBER(SEARCH(","&amp;TRIM(TEXTSPLIT(CE37,","))&amp;",",","&amp;SUBSTITUTE(input_enews_audience," ","")&amp;",")))&gt;0)),IF(CG37="",TRUE,IF(input_enews_audience="",FALSE,SUMPRODUCT(--ISNUMBER(SEARCH(","&amp;TRIM(TEXTSPLIT(CG37,","))&amp;",",","&amp;SUBSTITUTE(input_enews_audience," ","")&amp;",")))=COUNTA(TEXTSPLIT(CG37,",")))),IF(CI37="",TRUE,IF(input_enews_audience="",TRUE,SUMPRODUCT(--ISNUMBER(SEARCH(","&amp;TRIM(TEXTSPLIT(CI37,","))&amp;",",","&amp;SUBSTITUTE(input_enews_audience," ","")&amp;",")))=0)),IF(CK37="",TRUE,IF(input_enews_audience="",FALSE,SUMPRODUCT(--ISNUMBER(SEARCH(","&amp;TRIM(TEXTSPLIT(CK37,","))&amp;",",","&amp;SUBSTITUTE(input_enews_audience," ","")&amp;",")))&gt;0)),IF(CM37="",TRUE,IF(input_enews_audience="",FALSE,SUMPRODUCT(--ISNUMBER(SEARCH(","&amp;TRIM(TEXTSPLIT(CM37,","))&amp;",",","&amp;SUBSTITUTE(input_enews_audience," ","")&amp;",")))=COUNTA(TEXTSPLIT(CM37,",")))))</f>
        <v/>
      </c>
      <c r="JB37" s="19">
        <f>AND(IF(CO37="",TRUE,IF(input_event_location="",FALSE,SUMPRODUCT(--ISNUMBER(SEARCH(","&amp;TRIM(TEXTSPLIT(CO37,","))&amp;",",","&amp;SUBSTITUTE(input_event_location," ","")&amp;",")))&gt;0)),IF(CQ37="",TRUE,IF(input_event_location="",FALSE,SUMPRODUCT(--ISNUMBER(SEARCH(","&amp;TRIM(TEXTSPLIT(CQ37,","))&amp;",",","&amp;SUBSTITUTE(input_event_location," ","")&amp;",")))=COUNTA(TEXTSPLIT(CQ37,",")))),IF(CS37="",TRUE,IF(input_event_location="",TRUE,SUMPRODUCT(--ISNUMBER(SEARCH(","&amp;TRIM(TEXTSPLIT(CS37,","))&amp;",",","&amp;SUBSTITUTE(input_event_location," ","")&amp;",")))=0)),IF(CU37="",TRUE,IF(input_event_location="",FALSE,SUMPRODUCT(--ISNUMBER(SEARCH(","&amp;TRIM(TEXTSPLIT(CU37,","))&amp;",",","&amp;SUBSTITUTE(input_event_location," ","")&amp;",")))&gt;0)),IF(CW37="",TRUE,IF(input_event_location="",FALSE,SUMPRODUCT(--ISNUMBER(SEARCH(","&amp;TRIM(TEXTSPLIT(CW37,","))&amp;",",","&amp;SUBSTITUTE(input_event_location," ","")&amp;",")))=COUNTA(TEXTSPLIT(CW37,",")))))</f>
        <v/>
      </c>
      <c r="JC37" s="19">
        <f>AND(IF(CY37="",TRUE,IF(input_event_type="",FALSE,SUMPRODUCT(--ISNUMBER(SEARCH(","&amp;TRIM(TEXTSPLIT(CY37,","))&amp;",",","&amp;SUBSTITUTE(input_event_type," ","")&amp;",")))&gt;0)),IF(DA37="",TRUE,IF(input_event_type="",FALSE,SUMPRODUCT(--ISNUMBER(SEARCH(","&amp;TRIM(TEXTSPLIT(DA37,","))&amp;",",","&amp;SUBSTITUTE(input_event_type," ","")&amp;",")))=COUNTA(TEXTSPLIT(DA37,",")))),IF(DC37="",TRUE,IF(input_event_type="",TRUE,SUMPRODUCT(--ISNUMBER(SEARCH(","&amp;TRIM(TEXTSPLIT(DC37,","))&amp;",",","&amp;SUBSTITUTE(input_event_type," ","")&amp;",")))=0)),IF(DE37="",TRUE,IF(input_event_type="",FALSE,SUMPRODUCT(--ISNUMBER(SEARCH(","&amp;TRIM(TEXTSPLIT(DE37,","))&amp;",",","&amp;SUBSTITUTE(input_event_type," ","")&amp;",")))&gt;0)),IF(DG37="",TRUE,IF(input_event_type="",FALSE,SUMPRODUCT(--ISNUMBER(SEARCH(","&amp;TRIM(TEXTSPLIT(DG37,","))&amp;",",","&amp;SUBSTITUTE(input_event_type," ","")&amp;",")))=COUNTA(TEXTSPLIT(DG37,",")))))</f>
        <v/>
      </c>
      <c r="JD37" s="19">
        <f>AND(IF(DI37="",TRUE,IF(input_executive_education_focus="",FALSE,SUMPRODUCT(--ISNUMBER(SEARCH(","&amp;TRIM(TEXTSPLIT(DI37,","))&amp;",",","&amp;SUBSTITUTE(input_executive_education_focus," ","")&amp;",")))&gt;0)),IF(DK37="",TRUE,IF(input_executive_education_focus="",FALSE,SUMPRODUCT(--ISNUMBER(SEARCH(","&amp;TRIM(TEXTSPLIT(DK37,","))&amp;",",","&amp;SUBSTITUTE(input_executive_education_focus," ","")&amp;",")))=COUNTA(TEXTSPLIT(DK37,",")))),IF(DM37="",TRUE,IF(input_executive_education_focus="",TRUE,SUMPRODUCT(--ISNUMBER(SEARCH(","&amp;TRIM(TEXTSPLIT(DM37,","))&amp;",",","&amp;SUBSTITUTE(input_executive_education_focus," ","")&amp;",")))=0)),IF(DO37="",TRUE,IF(input_executive_education_focus="",FALSE,SUMPRODUCT(--ISNUMBER(SEARCH(","&amp;TRIM(TEXTSPLIT(DO37,","))&amp;",",","&amp;SUBSTITUTE(input_executive_education_focus," ","")&amp;",")))&gt;0)),IF(DQ37="",TRUE,IF(input_executive_education_focus="",FALSE,SUMPRODUCT(--ISNUMBER(SEARCH(","&amp;TRIM(TEXTSPLIT(DQ37,","))&amp;",",","&amp;SUBSTITUTE(input_executive_education_focus," ","")&amp;",")))=COUNTA(TEXTSPLIT(DQ37,",")))))</f>
        <v/>
      </c>
      <c r="JE37" s="19">
        <f>AND(IF(DS37="",TRUE,IF(input_faculty_category="",FALSE,SUMPRODUCT(--ISNUMBER(SEARCH(","&amp;TRIM(TEXTSPLIT(DS37,","))&amp;",",","&amp;SUBSTITUTE(input_faculty_category," ","")&amp;",")))&gt;0)),IF(DU37="",TRUE,IF(input_faculty_category="",FALSE,SUMPRODUCT(--ISNUMBER(SEARCH(","&amp;TRIM(TEXTSPLIT(DU37,","))&amp;",",","&amp;SUBSTITUTE(input_faculty_category," ","")&amp;",")))=COUNTA(TEXTSPLIT(DU37,",")))),IF(DW37="",TRUE,IF(input_faculty_category="",TRUE,SUMPRODUCT(--ISNUMBER(SEARCH(","&amp;TRIM(TEXTSPLIT(DW37,","))&amp;",",","&amp;SUBSTITUTE(input_faculty_category," ","")&amp;",")))=0)),IF(DY37="",TRUE,IF(input_faculty_category="",FALSE,SUMPRODUCT(--ISNUMBER(SEARCH(","&amp;TRIM(TEXTSPLIT(DY37,","))&amp;",",","&amp;SUBSTITUTE(input_faculty_category," ","")&amp;",")))&gt;0)),IF(EA37="",TRUE,IF(input_faculty_category="",FALSE,SUMPRODUCT(--ISNUMBER(SEARCH(","&amp;TRIM(TEXTSPLIT(EA37,","))&amp;",",","&amp;SUBSTITUTE(input_faculty_category," ","")&amp;",")))=COUNTA(TEXTSPLIT(EA37,",")))))</f>
        <v/>
      </c>
      <c r="JF37" s="19">
        <f>AND(IF(EC37="",TRUE,IF(input_faculty_discipline="",FALSE,SUMPRODUCT(--ISNUMBER(SEARCH(","&amp;TRIM(TEXTSPLIT(EC37,","))&amp;",",","&amp;SUBSTITUTE(input_faculty_discipline," ","")&amp;",")))&gt;0)),IF(EE37="",TRUE,IF(input_faculty_discipline="",FALSE,SUMPRODUCT(--ISNUMBER(SEARCH(","&amp;TRIM(TEXTSPLIT(EE37,","))&amp;",",","&amp;SUBSTITUTE(input_faculty_discipline," ","")&amp;",")))=COUNTA(TEXTSPLIT(EE37,",")))),IF(EG37="",TRUE,IF(input_faculty_discipline="",TRUE,SUMPRODUCT(--ISNUMBER(SEARCH(","&amp;TRIM(TEXTSPLIT(EG37,","))&amp;",",","&amp;SUBSTITUTE(input_faculty_discipline," ","")&amp;",")))=0)),IF(EI37="",TRUE,IF(input_faculty_discipline="",FALSE,SUMPRODUCT(--ISNUMBER(SEARCH(","&amp;TRIM(TEXTSPLIT(EI37,","))&amp;",",","&amp;SUBSTITUTE(input_faculty_discipline," ","")&amp;",")))&gt;0)),IF(EK37="",TRUE,IF(input_faculty_discipline="",FALSE,SUMPRODUCT(--ISNUMBER(SEARCH(","&amp;TRIM(TEXTSPLIT(EK37,","))&amp;",",","&amp;SUBSTITUTE(input_faculty_discipline," ","")&amp;",")))=COUNTA(TEXTSPLIT(EK37,",")))))</f>
        <v/>
      </c>
      <c r="JG37" s="19">
        <f>AND(IF(EM37="",TRUE,IF(input_faculty_expertise="",FALSE,SUMPRODUCT(--ISNUMBER(SEARCH(","&amp;TRIM(TEXTSPLIT(EM37,","))&amp;",",","&amp;SUBSTITUTE(input_faculty_expertise," ","")&amp;",")))&gt;0)),IF(EO37="",TRUE,IF(input_faculty_expertise="",FALSE,SUMPRODUCT(--ISNUMBER(SEARCH(","&amp;TRIM(TEXTSPLIT(EO37,","))&amp;",",","&amp;SUBSTITUTE(input_faculty_expertise," ","")&amp;",")))=COUNTA(TEXTSPLIT(EO37,",")))),IF(EQ37="",TRUE,IF(input_faculty_expertise="",TRUE,SUMPRODUCT(--ISNUMBER(SEARCH(","&amp;TRIM(TEXTSPLIT(EQ37,","))&amp;",",","&amp;SUBSTITUTE(input_faculty_expertise," ","")&amp;",")))=0)),IF(ES37="",TRUE,IF(input_faculty_expertise="",FALSE,SUMPRODUCT(--ISNUMBER(SEARCH(","&amp;TRIM(TEXTSPLIT(ES37,","))&amp;",",","&amp;SUBSTITUTE(input_faculty_expertise," ","")&amp;",")))&gt;0)),IF(EU37="",TRUE,IF(input_faculty_expertise="",FALSE,SUMPRODUCT(--ISNUMBER(SEARCH(","&amp;TRIM(TEXTSPLIT(EU37,","))&amp;",",","&amp;SUBSTITUTE(input_faculty_expertise," ","")&amp;",")))=COUNTA(TEXTSPLIT(EU37,",")))))</f>
        <v/>
      </c>
      <c r="JH37" s="19">
        <f>AND(IF(EW37="",TRUE,IF(input_global_network_school="",FALSE,SUMPRODUCT(--ISNUMBER(SEARCH(","&amp;TRIM(TEXTSPLIT(EW37,","))&amp;",",","&amp;SUBSTITUTE(input_global_network_school," ","")&amp;",")))&gt;0)),IF(EY37="",TRUE,IF(input_global_network_school="",FALSE,SUMPRODUCT(--ISNUMBER(SEARCH(","&amp;TRIM(TEXTSPLIT(EY37,","))&amp;",",","&amp;SUBSTITUTE(input_global_network_school," ","")&amp;",")))=COUNTA(TEXTSPLIT(EY37,",")))),IF(FA37="",TRUE,IF(input_global_network_school="",TRUE,SUMPRODUCT(--ISNUMBER(SEARCH(","&amp;TRIM(TEXTSPLIT(FA37,","))&amp;",",","&amp;SUBSTITUTE(input_global_network_school," ","")&amp;",")))=0)),IF(FC37="",TRUE,IF(input_global_network_school="",FALSE,SUMPRODUCT(--ISNUMBER(SEARCH(","&amp;TRIM(TEXTSPLIT(FC37,","))&amp;",",","&amp;SUBSTITUTE(input_global_network_school," ","")&amp;",")))&gt;0)),IF(FE37="",TRUE,IF(input_global_network_school="",FALSE,SUMPRODUCT(--ISNUMBER(SEARCH(","&amp;TRIM(TEXTSPLIT(FE37,","))&amp;",",","&amp;SUBSTITUTE(input_global_network_school," ","")&amp;",")))=COUNTA(TEXTSPLIT(FE37,",")))))</f>
        <v/>
      </c>
      <c r="JI37" s="19">
        <f>AND(IF(FG37="",TRUE,IF(input_industry="",FALSE,SUMPRODUCT(--ISNUMBER(SEARCH(","&amp;TRIM(TEXTSPLIT(FG37,","))&amp;",",","&amp;SUBSTITUTE(input_industry," ","")&amp;",")))&gt;0)),IF(FI37="",TRUE,IF(input_industry="",FALSE,SUMPRODUCT(--ISNUMBER(SEARCH(","&amp;TRIM(TEXTSPLIT(FI37,","))&amp;",",","&amp;SUBSTITUTE(input_industry," ","")&amp;",")))=COUNTA(TEXTSPLIT(FI37,",")))),IF(FK37="",TRUE,IF(input_industry="",TRUE,SUMPRODUCT(--ISNUMBER(SEARCH(","&amp;TRIM(TEXTSPLIT(FK37,","))&amp;",",","&amp;SUBSTITUTE(input_industry," ","")&amp;",")))=0)),IF(FM37="",TRUE,IF(input_industry="",FALSE,SUMPRODUCT(--ISNUMBER(SEARCH(","&amp;TRIM(TEXTSPLIT(FM37,","))&amp;",",","&amp;SUBSTITUTE(input_industry," ","")&amp;",")))&gt;0)),IF(FO37="",TRUE,IF(input_industry="",FALSE,SUMPRODUCT(--ISNUMBER(SEARCH(","&amp;TRIM(TEXTSPLIT(FO37,","))&amp;",",","&amp;SUBSTITUTE(input_industry," ","")&amp;",")))=COUNTA(TEXTSPLIT(FO37,",")))))</f>
        <v/>
      </c>
      <c r="JJ37" s="19">
        <f>AND(IF(FQ37="",TRUE,IF(input_location="",FALSE,SUMPRODUCT(--ISNUMBER(SEARCH(","&amp;TRIM(TEXTSPLIT(FQ37,","))&amp;",",","&amp;SUBSTITUTE(input_location," ","")&amp;",")))&gt;0)),IF(FS37="",TRUE,IF(input_location="",FALSE,SUMPRODUCT(--ISNUMBER(SEARCH(","&amp;TRIM(TEXTSPLIT(FS37,","))&amp;",",","&amp;SUBSTITUTE(input_location," ","")&amp;",")))=COUNTA(TEXTSPLIT(FS37,",")))),IF(FU37="",TRUE,IF(input_location="",TRUE,SUMPRODUCT(--ISNUMBER(SEARCH(","&amp;TRIM(TEXTSPLIT(FU37,","))&amp;",",","&amp;SUBSTITUTE(input_location," ","")&amp;",")))=0)),IF(FW37="",TRUE,IF(input_location="",FALSE,SUMPRODUCT(--ISNUMBER(SEARCH(","&amp;TRIM(TEXTSPLIT(FW37,","))&amp;",",","&amp;SUBSTITUTE(input_location," ","")&amp;",")))&gt;0)),IF(FY37="",TRUE,IF(input_location="",FALSE,SUMPRODUCT(--ISNUMBER(SEARCH(","&amp;TRIM(TEXTSPLIT(FY37,","))&amp;",",","&amp;SUBSTITUTE(input_location," ","")&amp;",")))=COUNTA(TEXTSPLIT(FY37,",")))))</f>
        <v/>
      </c>
      <c r="JK37" s="19">
        <f>AND(IF(GA37="",TRUE,IF(input_modality="",FALSE,SUMPRODUCT(--ISNUMBER(SEARCH(","&amp;TRIM(TEXTSPLIT(GA37,","))&amp;",",","&amp;SUBSTITUTE(input_modality," ","")&amp;",")))&gt;0)),IF(GC37="",TRUE,IF(input_modality="",FALSE,SUMPRODUCT(--ISNUMBER(SEARCH(","&amp;TRIM(TEXTSPLIT(GC37,","))&amp;",",","&amp;SUBSTITUTE(input_modality," ","")&amp;",")))=COUNTA(TEXTSPLIT(GC37,",")))),IF(GE37="",TRUE,IF(input_modality="",TRUE,SUMPRODUCT(--ISNUMBER(SEARCH(","&amp;TRIM(TEXTSPLIT(GE37,","))&amp;",",","&amp;SUBSTITUTE(input_modality," ","")&amp;",")))=0)),IF(GG37="",TRUE,IF(input_modality="",FALSE,SUMPRODUCT(--ISNUMBER(SEARCH(","&amp;TRIM(TEXTSPLIT(GG37,","))&amp;",",","&amp;SUBSTITUTE(input_modality," ","")&amp;",")))&gt;0)),IF(GI37="",TRUE,IF(input_modality="",FALSE,SUMPRODUCT(--ISNUMBER(SEARCH(","&amp;TRIM(TEXTSPLIT(GI37,","))&amp;",",","&amp;SUBSTITUTE(input_modality," ","")&amp;",")))=COUNTA(TEXTSPLIT(GI37,",")))))</f>
        <v/>
      </c>
      <c r="JL37" s="19">
        <f>AND(IF(GK37="",TRUE,IF(input_organizer="",FALSE,SUMPRODUCT(--ISNUMBER(SEARCH(","&amp;TRIM(TEXTSPLIT(GK37,","))&amp;",",","&amp;SUBSTITUTE(input_organizer," ","")&amp;",")))&gt;0)),IF(GM37="",TRUE,IF(input_organizer="",FALSE,SUMPRODUCT(--ISNUMBER(SEARCH(","&amp;TRIM(TEXTSPLIT(GM37,","))&amp;",",","&amp;SUBSTITUTE(input_organizer," ","")&amp;",")))=COUNTA(TEXTSPLIT(GM37,",")))),IF(GO37="",TRUE,IF(input_organizer="",TRUE,SUMPRODUCT(--ISNUMBER(SEARCH(","&amp;TRIM(TEXTSPLIT(GO37,","))&amp;",",","&amp;SUBSTITUTE(input_organizer," ","")&amp;",")))=0)),IF(GQ37="",TRUE,IF(input_organizer="",FALSE,SUMPRODUCT(--ISNUMBER(SEARCH(","&amp;TRIM(TEXTSPLIT(GQ37,","))&amp;",",","&amp;SUBSTITUTE(input_organizer," ","")&amp;",")))&gt;0)),IF(GS37="",TRUE,IF(input_organizer="",FALSE,SUMPRODUCT(--ISNUMBER(SEARCH(","&amp;TRIM(TEXTSPLIT(GS37,","))&amp;",",","&amp;SUBSTITUTE(input_organizer," ","")&amp;",")))=COUNTA(TEXTSPLIT(GS37,",")))))</f>
        <v/>
      </c>
      <c r="JM37" s="19">
        <f>AND(IF(GU37="",TRUE,IF(input_profile_type="",FALSE,SUMPRODUCT(--ISNUMBER(SEARCH(","&amp;TRIM(TEXTSPLIT(GU37,","))&amp;",",","&amp;SUBSTITUTE(input_profile_type," ","")&amp;",")))&gt;0)),IF(GW37="",TRUE,IF(input_profile_type="",FALSE,SUMPRODUCT(--ISNUMBER(SEARCH(","&amp;TRIM(TEXTSPLIT(GW37,","))&amp;",",","&amp;SUBSTITUTE(input_profile_type," ","")&amp;",")))=COUNTA(TEXTSPLIT(GW37,",")))),IF(GY37="",TRUE,IF(input_profile_type="",TRUE,SUMPRODUCT(--ISNUMBER(SEARCH(","&amp;TRIM(TEXTSPLIT(GY37,","))&amp;",",","&amp;SUBSTITUTE(input_profile_type," ","")&amp;",")))=0)),IF(HA37="",TRUE,IF(input_profile_type="",FALSE,SUMPRODUCT(--ISNUMBER(SEARCH(","&amp;TRIM(TEXTSPLIT(HA37,","))&amp;",",","&amp;SUBSTITUTE(input_profile_type," ","")&amp;",")))&gt;0)),IF(HC37="",TRUE,IF(input_profile_type="",FALSE,SUMPRODUCT(--ISNUMBER(SEARCH(","&amp;TRIM(TEXTSPLIT(HC37,","))&amp;",",","&amp;SUBSTITUTE(input_profile_type," ","")&amp;",")))=COUNTA(TEXTSPLIT(HC37,",")))))</f>
        <v/>
      </c>
      <c r="JN37" s="19">
        <f>AND(IF(HE37="",TRUE,IF(input_program="",FALSE,SUMPRODUCT(--ISNUMBER(SEARCH(","&amp;TRIM(TEXTSPLIT(HE37,","))&amp;",",","&amp;SUBSTITUTE(input_program," ","")&amp;",")))&gt;0)),IF(HG37="",TRUE,IF(input_program="",FALSE,SUMPRODUCT(--ISNUMBER(SEARCH(","&amp;TRIM(TEXTSPLIT(HG37,","))&amp;",",","&amp;SUBSTITUTE(input_program," ","")&amp;",")))=COUNTA(TEXTSPLIT(HG37,",")))),IF(HI37="",TRUE,IF(input_program="",TRUE,SUMPRODUCT(--ISNUMBER(SEARCH(","&amp;TRIM(TEXTSPLIT(HI37,","))&amp;",",","&amp;SUBSTITUTE(input_program," ","")&amp;",")))=0)),IF(HK37="",TRUE,IF(input_program="",FALSE,SUMPRODUCT(--ISNUMBER(SEARCH(","&amp;TRIM(TEXTSPLIT(HK37,","))&amp;",",","&amp;SUBSTITUTE(input_program," ","")&amp;",")))&gt;0)),IF(HM37="",TRUE,IF(input_program="",FALSE,SUMPRODUCT(--ISNUMBER(SEARCH(","&amp;TRIM(TEXTSPLIT(HM37,","))&amp;",",","&amp;SUBSTITUTE(input_program," ","")&amp;",")))=COUNTA(TEXTSPLIT(HM37,",")))))</f>
        <v/>
      </c>
      <c r="JO37" s="19">
        <f>AND(IF(HO37="",TRUE,IF(input_story_categories="",FALSE,SUMPRODUCT(--ISNUMBER(SEARCH(","&amp;TRIM(TEXTSPLIT(HO37,","))&amp;",",","&amp;SUBSTITUTE(input_story_categories," ","")&amp;",")))&gt;0)),IF(HQ37="",TRUE,IF(input_story_categories="",FALSE,SUMPRODUCT(--ISNUMBER(SEARCH(","&amp;TRIM(TEXTSPLIT(HQ37,","))&amp;",",","&amp;SUBSTITUTE(input_story_categories," ","")&amp;",")))=COUNTA(TEXTSPLIT(HQ37,",")))),IF(HS37="",TRUE,IF(input_story_categories="",TRUE,SUMPRODUCT(--ISNUMBER(SEARCH(","&amp;TRIM(TEXTSPLIT(HS37,","))&amp;",",","&amp;SUBSTITUTE(input_story_categories," ","")&amp;",")))=0)),IF(HU37="",TRUE,IF(input_story_categories="",FALSE,SUMPRODUCT(--ISNUMBER(SEARCH(","&amp;TRIM(TEXTSPLIT(HU37,","))&amp;",",","&amp;SUBSTITUTE(input_story_categories," ","")&amp;",")))&gt;0)),IF(HW37="",TRUE,IF(input_story_categories="",FALSE,SUMPRODUCT(--ISNUMBER(SEARCH(","&amp;TRIM(TEXTSPLIT(HW37,","))&amp;",",","&amp;SUBSTITUTE(input_story_categories," ","")&amp;",")))=COUNTA(TEXTSPLIT(HW37,",")))))</f>
        <v/>
      </c>
      <c r="JP37" s="19">
        <f>AND(IF(HY37="",TRUE,IF(input_story_type="",FALSE,SUMPRODUCT(--ISNUMBER(SEARCH(","&amp;TRIM(TEXTSPLIT(HY37,","))&amp;",",","&amp;SUBSTITUTE(input_story_type," ","")&amp;",")))&gt;0)),IF(IA37="",TRUE,IF(input_story_type="",FALSE,SUMPRODUCT(--ISNUMBER(SEARCH(","&amp;TRIM(TEXTSPLIT(IA37,","))&amp;",",","&amp;SUBSTITUTE(input_story_type," ","")&amp;",")))=COUNTA(TEXTSPLIT(IA37,",")))),IF(IC37="",TRUE,IF(input_story_type="",TRUE,SUMPRODUCT(--ISNUMBER(SEARCH(","&amp;TRIM(TEXTSPLIT(IC37,","))&amp;",",","&amp;SUBSTITUTE(input_story_type," ","")&amp;",")))=0)),IF(IE37="",TRUE,IF(input_story_type="",FALSE,SUMPRODUCT(--ISNUMBER(SEARCH(","&amp;TRIM(TEXTSPLIT(IE37,","))&amp;",",","&amp;SUBSTITUTE(input_story_type," ","")&amp;",")))&gt;0)),IF(IG37="",TRUE,IF(input_story_type="",FALSE,SUMPRODUCT(--ISNUMBER(SEARCH(","&amp;TRIM(TEXTSPLIT(IG37,","))&amp;",",","&amp;SUBSTITUTE(input_story_type," ","")&amp;",")))=COUNTA(TEXTSPLIT(IG37,",")))))</f>
        <v/>
      </c>
      <c r="JQ37" s="19">
        <f>AND(IF(II37="",TRUE,IF(input_topics="",FALSE,SUMPRODUCT(--ISNUMBER(SEARCH(","&amp;TRIM(TEXTSPLIT(II37,","))&amp;",",","&amp;SUBSTITUTE(input_topics," ","")&amp;",")))&gt;0)),IF(IK37="",TRUE,IF(input_topics="",FALSE,SUMPRODUCT(--ISNUMBER(SEARCH(","&amp;TRIM(TEXTSPLIT(IK37,","))&amp;",",","&amp;SUBSTITUTE(input_topics," ","")&amp;",")))=COUNTA(TEXTSPLIT(IK37,",")))),IF(IM37="",TRUE,IF(input_topics="",TRUE,SUMPRODUCT(--ISNUMBER(SEARCH(","&amp;TRIM(TEXTSPLIT(IM37,","))&amp;",",","&amp;SUBSTITUTE(input_topics," ","")&amp;",")))=0)),IF(IO37="",TRUE,IF(input_topics="",FALSE,SUMPRODUCT(--ISNUMBER(SEARCH(","&amp;TRIM(TEXTSPLIT(IO37,","))&amp;",",","&amp;SUBSTITUTE(input_topics," ","")&amp;",")))&gt;0)),IF(IQ37="",TRUE,IF(input_topics="",FALSE,SUMPRODUCT(--ISNUMBER(SEARCH(","&amp;TRIM(TEXTSPLIT(IQ37,","))&amp;",",","&amp;SUBSTITUTE(input_topics," ","")&amp;",")))=COUNTA(TEXTSPLIT(IQ37,",")))))</f>
        <v/>
      </c>
    </row>
    <row r="38">
      <c r="A38" s="24">
        <f>IF(NOT(IS38),"Excluded",IF(AND(IT38,IU38,IV38,IW38,IX38,IY38,IZ38,JA38,JB38,JC38,JD38,JE38,JF38,JG38,JH38,JI38,JJ38,JK38,JL38,JM38,JN38,JO38,JP38,JQ38),IF(I38&gt;0,"Eligible but limited","Will appear"),"Excluded"))</f>
        <v/>
      </c>
      <c r="B38" s="24" t="inlineStr">
        <is>
          <t>All Publications by Author</t>
        </is>
      </c>
      <c r="C38" s="27" t="inlineStr">
        <is>
          <t>/faculty-research/faculty-directory/katja-seim</t>
        </is>
      </c>
      <c r="D38" s="24" t="inlineStr">
        <is>
          <t>/faculty-research/faculty-directory/katja-seim</t>
        </is>
      </c>
      <c r="E38" s="24" t="n">
        <v>1</v>
      </c>
      <c r="F38" s="24" t="inlineStr">
        <is>
          <t>publications</t>
        </is>
      </c>
      <c r="G38" s="24" t="inlineStr">
        <is>
          <t>publication_teaser_list</t>
        </is>
      </c>
      <c r="H38" s="24" t="inlineStr">
        <is>
          <t>publication_teaser_list_all_by_author</t>
        </is>
      </c>
      <c r="I38" s="24" t="n"/>
      <c r="J38" s="24" t="inlineStr">
        <is>
          <t>View/config rules</t>
        </is>
      </c>
      <c r="K38" s="24" t="inlineStr">
        <is>
          <t>Page placement</t>
        </is>
      </c>
      <c r="L38" s="24" t="inlineStr">
        <is>
          <t>Content type: publications; Source: View/config rules</t>
        </is>
      </c>
      <c r="IS38" s="19">
        <f>IF(input_content_type="",FALSE,ISNUMBER(SEARCH(","&amp;LOWER(input_content_type)&amp;",",","&amp;LOWER(SUBSTITUTE(F38," ",""))&amp;",")))</f>
        <v/>
      </c>
      <c r="IT38" s="19">
        <f>AND(IF(M38="",TRUE,IF(input_affiliations="",FALSE,SUMPRODUCT(--ISNUMBER(SEARCH(","&amp;TRIM(TEXTSPLIT(M38,","))&amp;",",","&amp;SUBSTITUTE(input_affiliations," ","")&amp;",")))&gt;0)),IF(O38="",TRUE,IF(input_affiliations="",FALSE,SUMPRODUCT(--ISNUMBER(SEARCH(","&amp;TRIM(TEXTSPLIT(O38,","))&amp;",",","&amp;SUBSTITUTE(input_affiliations," ","")&amp;",")))=COUNTA(TEXTSPLIT(O38,",")))),IF(Q38="",TRUE,IF(input_affiliations="",TRUE,SUMPRODUCT(--ISNUMBER(SEARCH(","&amp;TRIM(TEXTSPLIT(Q38,","))&amp;",",","&amp;SUBSTITUTE(input_affiliations," ","")&amp;",")))=0)),IF(S38="",TRUE,IF(input_affiliations="",FALSE,SUMPRODUCT(--ISNUMBER(SEARCH(","&amp;TRIM(TEXTSPLIT(S38,","))&amp;",",","&amp;SUBSTITUTE(input_affiliations," ","")&amp;",")))&gt;0)),IF(U38="",TRUE,IF(input_affiliations="",FALSE,SUMPRODUCT(--ISNUMBER(SEARCH(","&amp;TRIM(TEXTSPLIT(U38,","))&amp;",",","&amp;SUBSTITUTE(input_affiliations," ","")&amp;",")))=COUNTA(TEXTSPLIT(U38,",")))))</f>
        <v/>
      </c>
      <c r="IU38" s="19">
        <f>AND(IF(W38="",TRUE,IF(input_announcement_category="",FALSE,SUMPRODUCT(--ISNUMBER(SEARCH(","&amp;TRIM(TEXTSPLIT(W38,","))&amp;",",","&amp;SUBSTITUTE(input_announcement_category," ","")&amp;",")))&gt;0)),IF(Y38="",TRUE,IF(input_announcement_category="",FALSE,SUMPRODUCT(--ISNUMBER(SEARCH(","&amp;TRIM(TEXTSPLIT(Y38,","))&amp;",",","&amp;SUBSTITUTE(input_announcement_category," ","")&amp;",")))=COUNTA(TEXTSPLIT(Y38,",")))),IF(AA38="",TRUE,IF(input_announcement_category="",TRUE,SUMPRODUCT(--ISNUMBER(SEARCH(","&amp;TRIM(TEXTSPLIT(AA38,","))&amp;",",","&amp;SUBSTITUTE(input_announcement_category," ","")&amp;",")))=0)),IF(AC38="",TRUE,IF(input_announcement_category="",FALSE,SUMPRODUCT(--ISNUMBER(SEARCH(","&amp;TRIM(TEXTSPLIT(AC38,","))&amp;",",","&amp;SUBSTITUTE(input_announcement_category," ","")&amp;",")))&gt;0)),IF(AE38="",TRUE,IF(input_announcement_category="",FALSE,SUMPRODUCT(--ISNUMBER(SEARCH(","&amp;TRIM(TEXTSPLIT(AE38,","))&amp;",",","&amp;SUBSTITUTE(input_announcement_category," ","")&amp;",")))=COUNTA(TEXTSPLIT(AE38,",")))))</f>
        <v/>
      </c>
      <c r="IV38" s="19">
        <f>AND(IF(AG38="",TRUE,IF(input_area_of_focus="",FALSE,SUMPRODUCT(--ISNUMBER(SEARCH(","&amp;TRIM(TEXTSPLIT(AG38,","))&amp;",",","&amp;SUBSTITUTE(input_area_of_focus," ","")&amp;",")))&gt;0)),IF(AI38="",TRUE,IF(input_area_of_focus="",FALSE,SUMPRODUCT(--ISNUMBER(SEARCH(","&amp;TRIM(TEXTSPLIT(AI38,","))&amp;",",","&amp;SUBSTITUTE(input_area_of_focus," ","")&amp;",")))=COUNTA(TEXTSPLIT(AI38,",")))),IF(AK38="",TRUE,IF(input_area_of_focus="",TRUE,SUMPRODUCT(--ISNUMBER(SEARCH(","&amp;TRIM(TEXTSPLIT(AK38,","))&amp;",",","&amp;SUBSTITUTE(input_area_of_focus," ","")&amp;",")))=0)),IF(AM38="",TRUE,IF(input_area_of_focus="",FALSE,SUMPRODUCT(--ISNUMBER(SEARCH(","&amp;TRIM(TEXTSPLIT(AM38,","))&amp;",",","&amp;SUBSTITUTE(input_area_of_focus," ","")&amp;",")))&gt;0)),IF(AO38="",TRUE,IF(input_area_of_focus="",FALSE,SUMPRODUCT(--ISNUMBER(SEARCH(","&amp;TRIM(TEXTSPLIT(AO38,","))&amp;",",","&amp;SUBSTITUTE(input_area_of_focus," ","")&amp;",")))=COUNTA(TEXTSPLIT(AO38,",")))))</f>
        <v/>
      </c>
      <c r="IW38" s="19">
        <f>AND(IF(AQ38="",TRUE,IF(input_audience="",FALSE,SUMPRODUCT(--ISNUMBER(SEARCH(","&amp;TRIM(TEXTSPLIT(AQ38,","))&amp;",",","&amp;SUBSTITUTE(input_audience," ","")&amp;",")))&gt;0)),IF(AS38="",TRUE,IF(input_audience="",FALSE,SUMPRODUCT(--ISNUMBER(SEARCH(","&amp;TRIM(TEXTSPLIT(AS38,","))&amp;",",","&amp;SUBSTITUTE(input_audience," ","")&amp;",")))=COUNTA(TEXTSPLIT(AS38,",")))),IF(AU38="",TRUE,IF(input_audience="",TRUE,SUMPRODUCT(--ISNUMBER(SEARCH(","&amp;TRIM(TEXTSPLIT(AU38,","))&amp;",",","&amp;SUBSTITUTE(input_audience," ","")&amp;",")))=0)),IF(AW38="",TRUE,IF(input_audience="",FALSE,SUMPRODUCT(--ISNUMBER(SEARCH(","&amp;TRIM(TEXTSPLIT(AW38,","))&amp;",",","&amp;SUBSTITUTE(input_audience," ","")&amp;",")))&gt;0)),IF(AY38="",TRUE,IF(input_audience="",FALSE,SUMPRODUCT(--ISNUMBER(SEARCH(","&amp;TRIM(TEXTSPLIT(AY38,","))&amp;",",","&amp;SUBSTITUTE(input_audience," ","")&amp;",")))=COUNTA(TEXTSPLIT(AY38,",")))))</f>
        <v/>
      </c>
      <c r="IX38" s="19">
        <f>AND(IF(BA38="",TRUE,IF(input_challenge_opportunities="",FALSE,SUMPRODUCT(--ISNUMBER(SEARCH(","&amp;TRIM(TEXTSPLIT(BA38,","))&amp;",",","&amp;SUBSTITUTE(input_challenge_opportunities," ","")&amp;",")))&gt;0)),IF(BC38="",TRUE,IF(input_challenge_opportunities="",FALSE,SUMPRODUCT(--ISNUMBER(SEARCH(","&amp;TRIM(TEXTSPLIT(BC38,","))&amp;",",","&amp;SUBSTITUTE(input_challenge_opportunities," ","")&amp;",")))=COUNTA(TEXTSPLIT(BC38,",")))),IF(BE38="",TRUE,IF(input_challenge_opportunities="",TRUE,SUMPRODUCT(--ISNUMBER(SEARCH(","&amp;TRIM(TEXTSPLIT(BE38,","))&amp;",",","&amp;SUBSTITUTE(input_challenge_opportunities," ","")&amp;",")))=0)),IF(BG38="",TRUE,IF(input_challenge_opportunities="",FALSE,SUMPRODUCT(--ISNUMBER(SEARCH(","&amp;TRIM(TEXTSPLIT(BG38,","))&amp;",",","&amp;SUBSTITUTE(input_challenge_opportunities," ","")&amp;",")))&gt;0)),IF(BI38="",TRUE,IF(input_challenge_opportunities="",FALSE,SUMPRODUCT(--ISNUMBER(SEARCH(","&amp;TRIM(TEXTSPLIT(BI38,","))&amp;",",","&amp;SUBSTITUTE(input_challenge_opportunities," ","")&amp;",")))=COUNTA(TEXTSPLIT(BI38,",")))))</f>
        <v/>
      </c>
      <c r="IY38" s="19">
        <f>AND(IF(BK38="",TRUE,IF(input_context="",FALSE,SUMPRODUCT(--ISNUMBER(SEARCH(","&amp;TRIM(TEXTSPLIT(BK38,","))&amp;",",","&amp;SUBSTITUTE(input_context," ","")&amp;",")))&gt;0)),IF(BM38="",TRUE,IF(input_context="",FALSE,SUMPRODUCT(--ISNUMBER(SEARCH(","&amp;TRIM(TEXTSPLIT(BM38,","))&amp;",",","&amp;SUBSTITUTE(input_context," ","")&amp;",")))=COUNTA(TEXTSPLIT(BM38,",")))),IF(BO38="",TRUE,IF(input_context="",TRUE,SUMPRODUCT(--ISNUMBER(SEARCH(","&amp;TRIM(TEXTSPLIT(BO38,","))&amp;",",","&amp;SUBSTITUTE(input_context," ","")&amp;",")))=0)),IF(BQ38="",TRUE,IF(input_context="",FALSE,SUMPRODUCT(--ISNUMBER(SEARCH(","&amp;TRIM(TEXTSPLIT(BQ38,","))&amp;",",","&amp;SUBSTITUTE(input_context," ","")&amp;",")))&gt;0)),IF(BS38="",TRUE,IF(input_context="",FALSE,SUMPRODUCT(--ISNUMBER(SEARCH(","&amp;TRIM(TEXTSPLIT(BS38,","))&amp;",",","&amp;SUBSTITUTE(input_context," ","")&amp;",")))=COUNTA(TEXTSPLIT(BS38,",")))))</f>
        <v/>
      </c>
      <c r="IZ38" s="19">
        <f>AND(IF(BU38="",TRUE,IF(input_enews_announcement_type="",FALSE,SUMPRODUCT(--ISNUMBER(SEARCH(","&amp;TRIM(TEXTSPLIT(BU38,","))&amp;",",","&amp;SUBSTITUTE(input_enews_announcement_type," ","")&amp;",")))&gt;0)),IF(BW38="",TRUE,IF(input_enews_announcement_type="",FALSE,SUMPRODUCT(--ISNUMBER(SEARCH(","&amp;TRIM(TEXTSPLIT(BW38,","))&amp;",",","&amp;SUBSTITUTE(input_enews_announcement_type," ","")&amp;",")))=COUNTA(TEXTSPLIT(BW38,",")))),IF(BY38="",TRUE,IF(input_enews_announcement_type="",TRUE,SUMPRODUCT(--ISNUMBER(SEARCH(","&amp;TRIM(TEXTSPLIT(BY38,","))&amp;",",","&amp;SUBSTITUTE(input_enews_announcement_type," ","")&amp;",")))=0)),IF(CA38="",TRUE,IF(input_enews_announcement_type="",FALSE,SUMPRODUCT(--ISNUMBER(SEARCH(","&amp;TRIM(TEXTSPLIT(CA38,","))&amp;",",","&amp;SUBSTITUTE(input_enews_announcement_type," ","")&amp;",")))&gt;0)),IF(CC38="",TRUE,IF(input_enews_announcement_type="",FALSE,SUMPRODUCT(--ISNUMBER(SEARCH(","&amp;TRIM(TEXTSPLIT(CC38,","))&amp;",",","&amp;SUBSTITUTE(input_enews_announcement_type," ","")&amp;",")))=COUNTA(TEXTSPLIT(CC38,",")))))</f>
        <v/>
      </c>
      <c r="JA38" s="19">
        <f>AND(IF(CE38="",TRUE,IF(input_enews_audience="",FALSE,SUMPRODUCT(--ISNUMBER(SEARCH(","&amp;TRIM(TEXTSPLIT(CE38,","))&amp;",",","&amp;SUBSTITUTE(input_enews_audience," ","")&amp;",")))&gt;0)),IF(CG38="",TRUE,IF(input_enews_audience="",FALSE,SUMPRODUCT(--ISNUMBER(SEARCH(","&amp;TRIM(TEXTSPLIT(CG38,","))&amp;",",","&amp;SUBSTITUTE(input_enews_audience," ","")&amp;",")))=COUNTA(TEXTSPLIT(CG38,",")))),IF(CI38="",TRUE,IF(input_enews_audience="",TRUE,SUMPRODUCT(--ISNUMBER(SEARCH(","&amp;TRIM(TEXTSPLIT(CI38,","))&amp;",",","&amp;SUBSTITUTE(input_enews_audience," ","")&amp;",")))=0)),IF(CK38="",TRUE,IF(input_enews_audience="",FALSE,SUMPRODUCT(--ISNUMBER(SEARCH(","&amp;TRIM(TEXTSPLIT(CK38,","))&amp;",",","&amp;SUBSTITUTE(input_enews_audience," ","")&amp;",")))&gt;0)),IF(CM38="",TRUE,IF(input_enews_audience="",FALSE,SUMPRODUCT(--ISNUMBER(SEARCH(","&amp;TRIM(TEXTSPLIT(CM38,","))&amp;",",","&amp;SUBSTITUTE(input_enews_audience," ","")&amp;",")))=COUNTA(TEXTSPLIT(CM38,",")))))</f>
        <v/>
      </c>
      <c r="JB38" s="19">
        <f>AND(IF(CO38="",TRUE,IF(input_event_location="",FALSE,SUMPRODUCT(--ISNUMBER(SEARCH(","&amp;TRIM(TEXTSPLIT(CO38,","))&amp;",",","&amp;SUBSTITUTE(input_event_location," ","")&amp;",")))&gt;0)),IF(CQ38="",TRUE,IF(input_event_location="",FALSE,SUMPRODUCT(--ISNUMBER(SEARCH(","&amp;TRIM(TEXTSPLIT(CQ38,","))&amp;",",","&amp;SUBSTITUTE(input_event_location," ","")&amp;",")))=COUNTA(TEXTSPLIT(CQ38,",")))),IF(CS38="",TRUE,IF(input_event_location="",TRUE,SUMPRODUCT(--ISNUMBER(SEARCH(","&amp;TRIM(TEXTSPLIT(CS38,","))&amp;",",","&amp;SUBSTITUTE(input_event_location," ","")&amp;",")))=0)),IF(CU38="",TRUE,IF(input_event_location="",FALSE,SUMPRODUCT(--ISNUMBER(SEARCH(","&amp;TRIM(TEXTSPLIT(CU38,","))&amp;",",","&amp;SUBSTITUTE(input_event_location," ","")&amp;",")))&gt;0)),IF(CW38="",TRUE,IF(input_event_location="",FALSE,SUMPRODUCT(--ISNUMBER(SEARCH(","&amp;TRIM(TEXTSPLIT(CW38,","))&amp;",",","&amp;SUBSTITUTE(input_event_location," ","")&amp;",")))=COUNTA(TEXTSPLIT(CW38,",")))))</f>
        <v/>
      </c>
      <c r="JC38" s="19">
        <f>AND(IF(CY38="",TRUE,IF(input_event_type="",FALSE,SUMPRODUCT(--ISNUMBER(SEARCH(","&amp;TRIM(TEXTSPLIT(CY38,","))&amp;",",","&amp;SUBSTITUTE(input_event_type," ","")&amp;",")))&gt;0)),IF(DA38="",TRUE,IF(input_event_type="",FALSE,SUMPRODUCT(--ISNUMBER(SEARCH(","&amp;TRIM(TEXTSPLIT(DA38,","))&amp;",",","&amp;SUBSTITUTE(input_event_type," ","")&amp;",")))=COUNTA(TEXTSPLIT(DA38,",")))),IF(DC38="",TRUE,IF(input_event_type="",TRUE,SUMPRODUCT(--ISNUMBER(SEARCH(","&amp;TRIM(TEXTSPLIT(DC38,","))&amp;",",","&amp;SUBSTITUTE(input_event_type," ","")&amp;",")))=0)),IF(DE38="",TRUE,IF(input_event_type="",FALSE,SUMPRODUCT(--ISNUMBER(SEARCH(","&amp;TRIM(TEXTSPLIT(DE38,","))&amp;",",","&amp;SUBSTITUTE(input_event_type," ","")&amp;",")))&gt;0)),IF(DG38="",TRUE,IF(input_event_type="",FALSE,SUMPRODUCT(--ISNUMBER(SEARCH(","&amp;TRIM(TEXTSPLIT(DG38,","))&amp;",",","&amp;SUBSTITUTE(input_event_type," ","")&amp;",")))=COUNTA(TEXTSPLIT(DG38,",")))))</f>
        <v/>
      </c>
      <c r="JD38" s="19">
        <f>AND(IF(DI38="",TRUE,IF(input_executive_education_focus="",FALSE,SUMPRODUCT(--ISNUMBER(SEARCH(","&amp;TRIM(TEXTSPLIT(DI38,","))&amp;",",","&amp;SUBSTITUTE(input_executive_education_focus," ","")&amp;",")))&gt;0)),IF(DK38="",TRUE,IF(input_executive_education_focus="",FALSE,SUMPRODUCT(--ISNUMBER(SEARCH(","&amp;TRIM(TEXTSPLIT(DK38,","))&amp;",",","&amp;SUBSTITUTE(input_executive_education_focus," ","")&amp;",")))=COUNTA(TEXTSPLIT(DK38,",")))),IF(DM38="",TRUE,IF(input_executive_education_focus="",TRUE,SUMPRODUCT(--ISNUMBER(SEARCH(","&amp;TRIM(TEXTSPLIT(DM38,","))&amp;",",","&amp;SUBSTITUTE(input_executive_education_focus," ","")&amp;",")))=0)),IF(DO38="",TRUE,IF(input_executive_education_focus="",FALSE,SUMPRODUCT(--ISNUMBER(SEARCH(","&amp;TRIM(TEXTSPLIT(DO38,","))&amp;",",","&amp;SUBSTITUTE(input_executive_education_focus," ","")&amp;",")))&gt;0)),IF(DQ38="",TRUE,IF(input_executive_education_focus="",FALSE,SUMPRODUCT(--ISNUMBER(SEARCH(","&amp;TRIM(TEXTSPLIT(DQ38,","))&amp;",",","&amp;SUBSTITUTE(input_executive_education_focus," ","")&amp;",")))=COUNTA(TEXTSPLIT(DQ38,",")))))</f>
        <v/>
      </c>
      <c r="JE38" s="19">
        <f>AND(IF(DS38="",TRUE,IF(input_faculty_category="",FALSE,SUMPRODUCT(--ISNUMBER(SEARCH(","&amp;TRIM(TEXTSPLIT(DS38,","))&amp;",",","&amp;SUBSTITUTE(input_faculty_category," ","")&amp;",")))&gt;0)),IF(DU38="",TRUE,IF(input_faculty_category="",FALSE,SUMPRODUCT(--ISNUMBER(SEARCH(","&amp;TRIM(TEXTSPLIT(DU38,","))&amp;",",","&amp;SUBSTITUTE(input_faculty_category," ","")&amp;",")))=COUNTA(TEXTSPLIT(DU38,",")))),IF(DW38="",TRUE,IF(input_faculty_category="",TRUE,SUMPRODUCT(--ISNUMBER(SEARCH(","&amp;TRIM(TEXTSPLIT(DW38,","))&amp;",",","&amp;SUBSTITUTE(input_faculty_category," ","")&amp;",")))=0)),IF(DY38="",TRUE,IF(input_faculty_category="",FALSE,SUMPRODUCT(--ISNUMBER(SEARCH(","&amp;TRIM(TEXTSPLIT(DY38,","))&amp;",",","&amp;SUBSTITUTE(input_faculty_category," ","")&amp;",")))&gt;0)),IF(EA38="",TRUE,IF(input_faculty_category="",FALSE,SUMPRODUCT(--ISNUMBER(SEARCH(","&amp;TRIM(TEXTSPLIT(EA38,","))&amp;",",","&amp;SUBSTITUTE(input_faculty_category," ","")&amp;",")))=COUNTA(TEXTSPLIT(EA38,",")))))</f>
        <v/>
      </c>
      <c r="JF38" s="19">
        <f>AND(IF(EC38="",TRUE,IF(input_faculty_discipline="",FALSE,SUMPRODUCT(--ISNUMBER(SEARCH(","&amp;TRIM(TEXTSPLIT(EC38,","))&amp;",",","&amp;SUBSTITUTE(input_faculty_discipline," ","")&amp;",")))&gt;0)),IF(EE38="",TRUE,IF(input_faculty_discipline="",FALSE,SUMPRODUCT(--ISNUMBER(SEARCH(","&amp;TRIM(TEXTSPLIT(EE38,","))&amp;",",","&amp;SUBSTITUTE(input_faculty_discipline," ","")&amp;",")))=COUNTA(TEXTSPLIT(EE38,",")))),IF(EG38="",TRUE,IF(input_faculty_discipline="",TRUE,SUMPRODUCT(--ISNUMBER(SEARCH(","&amp;TRIM(TEXTSPLIT(EG38,","))&amp;",",","&amp;SUBSTITUTE(input_faculty_discipline," ","")&amp;",")))=0)),IF(EI38="",TRUE,IF(input_faculty_discipline="",FALSE,SUMPRODUCT(--ISNUMBER(SEARCH(","&amp;TRIM(TEXTSPLIT(EI38,","))&amp;",",","&amp;SUBSTITUTE(input_faculty_discipline," ","")&amp;",")))&gt;0)),IF(EK38="",TRUE,IF(input_faculty_discipline="",FALSE,SUMPRODUCT(--ISNUMBER(SEARCH(","&amp;TRIM(TEXTSPLIT(EK38,","))&amp;",",","&amp;SUBSTITUTE(input_faculty_discipline," ","")&amp;",")))=COUNTA(TEXTSPLIT(EK38,",")))))</f>
        <v/>
      </c>
      <c r="JG38" s="19">
        <f>AND(IF(EM38="",TRUE,IF(input_faculty_expertise="",FALSE,SUMPRODUCT(--ISNUMBER(SEARCH(","&amp;TRIM(TEXTSPLIT(EM38,","))&amp;",",","&amp;SUBSTITUTE(input_faculty_expertise," ","")&amp;",")))&gt;0)),IF(EO38="",TRUE,IF(input_faculty_expertise="",FALSE,SUMPRODUCT(--ISNUMBER(SEARCH(","&amp;TRIM(TEXTSPLIT(EO38,","))&amp;",",","&amp;SUBSTITUTE(input_faculty_expertise," ","")&amp;",")))=COUNTA(TEXTSPLIT(EO38,",")))),IF(EQ38="",TRUE,IF(input_faculty_expertise="",TRUE,SUMPRODUCT(--ISNUMBER(SEARCH(","&amp;TRIM(TEXTSPLIT(EQ38,","))&amp;",",","&amp;SUBSTITUTE(input_faculty_expertise," ","")&amp;",")))=0)),IF(ES38="",TRUE,IF(input_faculty_expertise="",FALSE,SUMPRODUCT(--ISNUMBER(SEARCH(","&amp;TRIM(TEXTSPLIT(ES38,","))&amp;",",","&amp;SUBSTITUTE(input_faculty_expertise," ","")&amp;",")))&gt;0)),IF(EU38="",TRUE,IF(input_faculty_expertise="",FALSE,SUMPRODUCT(--ISNUMBER(SEARCH(","&amp;TRIM(TEXTSPLIT(EU38,","))&amp;",",","&amp;SUBSTITUTE(input_faculty_expertise," ","")&amp;",")))=COUNTA(TEXTSPLIT(EU38,",")))))</f>
        <v/>
      </c>
      <c r="JH38" s="19">
        <f>AND(IF(EW38="",TRUE,IF(input_global_network_school="",FALSE,SUMPRODUCT(--ISNUMBER(SEARCH(","&amp;TRIM(TEXTSPLIT(EW38,","))&amp;",",","&amp;SUBSTITUTE(input_global_network_school," ","")&amp;",")))&gt;0)),IF(EY38="",TRUE,IF(input_global_network_school="",FALSE,SUMPRODUCT(--ISNUMBER(SEARCH(","&amp;TRIM(TEXTSPLIT(EY38,","))&amp;",",","&amp;SUBSTITUTE(input_global_network_school," ","")&amp;",")))=COUNTA(TEXTSPLIT(EY38,",")))),IF(FA38="",TRUE,IF(input_global_network_school="",TRUE,SUMPRODUCT(--ISNUMBER(SEARCH(","&amp;TRIM(TEXTSPLIT(FA38,","))&amp;",",","&amp;SUBSTITUTE(input_global_network_school," ","")&amp;",")))=0)),IF(FC38="",TRUE,IF(input_global_network_school="",FALSE,SUMPRODUCT(--ISNUMBER(SEARCH(","&amp;TRIM(TEXTSPLIT(FC38,","))&amp;",",","&amp;SUBSTITUTE(input_global_network_school," ","")&amp;",")))&gt;0)),IF(FE38="",TRUE,IF(input_global_network_school="",FALSE,SUMPRODUCT(--ISNUMBER(SEARCH(","&amp;TRIM(TEXTSPLIT(FE38,","))&amp;",",","&amp;SUBSTITUTE(input_global_network_school," ","")&amp;",")))=COUNTA(TEXTSPLIT(FE38,",")))))</f>
        <v/>
      </c>
      <c r="JI38" s="19">
        <f>AND(IF(FG38="",TRUE,IF(input_industry="",FALSE,SUMPRODUCT(--ISNUMBER(SEARCH(","&amp;TRIM(TEXTSPLIT(FG38,","))&amp;",",","&amp;SUBSTITUTE(input_industry," ","")&amp;",")))&gt;0)),IF(FI38="",TRUE,IF(input_industry="",FALSE,SUMPRODUCT(--ISNUMBER(SEARCH(","&amp;TRIM(TEXTSPLIT(FI38,","))&amp;",",","&amp;SUBSTITUTE(input_industry," ","")&amp;",")))=COUNTA(TEXTSPLIT(FI38,",")))),IF(FK38="",TRUE,IF(input_industry="",TRUE,SUMPRODUCT(--ISNUMBER(SEARCH(","&amp;TRIM(TEXTSPLIT(FK38,","))&amp;",",","&amp;SUBSTITUTE(input_industry," ","")&amp;",")))=0)),IF(FM38="",TRUE,IF(input_industry="",FALSE,SUMPRODUCT(--ISNUMBER(SEARCH(","&amp;TRIM(TEXTSPLIT(FM38,","))&amp;",",","&amp;SUBSTITUTE(input_industry," ","")&amp;",")))&gt;0)),IF(FO38="",TRUE,IF(input_industry="",FALSE,SUMPRODUCT(--ISNUMBER(SEARCH(","&amp;TRIM(TEXTSPLIT(FO38,","))&amp;",",","&amp;SUBSTITUTE(input_industry," ","")&amp;",")))=COUNTA(TEXTSPLIT(FO38,",")))))</f>
        <v/>
      </c>
      <c r="JJ38" s="19">
        <f>AND(IF(FQ38="",TRUE,IF(input_location="",FALSE,SUMPRODUCT(--ISNUMBER(SEARCH(","&amp;TRIM(TEXTSPLIT(FQ38,","))&amp;",",","&amp;SUBSTITUTE(input_location," ","")&amp;",")))&gt;0)),IF(FS38="",TRUE,IF(input_location="",FALSE,SUMPRODUCT(--ISNUMBER(SEARCH(","&amp;TRIM(TEXTSPLIT(FS38,","))&amp;",",","&amp;SUBSTITUTE(input_location," ","")&amp;",")))=COUNTA(TEXTSPLIT(FS38,",")))),IF(FU38="",TRUE,IF(input_location="",TRUE,SUMPRODUCT(--ISNUMBER(SEARCH(","&amp;TRIM(TEXTSPLIT(FU38,","))&amp;",",","&amp;SUBSTITUTE(input_location," ","")&amp;",")))=0)),IF(FW38="",TRUE,IF(input_location="",FALSE,SUMPRODUCT(--ISNUMBER(SEARCH(","&amp;TRIM(TEXTSPLIT(FW38,","))&amp;",",","&amp;SUBSTITUTE(input_location," ","")&amp;",")))&gt;0)),IF(FY38="",TRUE,IF(input_location="",FALSE,SUMPRODUCT(--ISNUMBER(SEARCH(","&amp;TRIM(TEXTSPLIT(FY38,","))&amp;",",","&amp;SUBSTITUTE(input_location," ","")&amp;",")))=COUNTA(TEXTSPLIT(FY38,",")))))</f>
        <v/>
      </c>
      <c r="JK38" s="19">
        <f>AND(IF(GA38="",TRUE,IF(input_modality="",FALSE,SUMPRODUCT(--ISNUMBER(SEARCH(","&amp;TRIM(TEXTSPLIT(GA38,","))&amp;",",","&amp;SUBSTITUTE(input_modality," ","")&amp;",")))&gt;0)),IF(GC38="",TRUE,IF(input_modality="",FALSE,SUMPRODUCT(--ISNUMBER(SEARCH(","&amp;TRIM(TEXTSPLIT(GC38,","))&amp;",",","&amp;SUBSTITUTE(input_modality," ","")&amp;",")))=COUNTA(TEXTSPLIT(GC38,",")))),IF(GE38="",TRUE,IF(input_modality="",TRUE,SUMPRODUCT(--ISNUMBER(SEARCH(","&amp;TRIM(TEXTSPLIT(GE38,","))&amp;",",","&amp;SUBSTITUTE(input_modality," ","")&amp;",")))=0)),IF(GG38="",TRUE,IF(input_modality="",FALSE,SUMPRODUCT(--ISNUMBER(SEARCH(","&amp;TRIM(TEXTSPLIT(GG38,","))&amp;",",","&amp;SUBSTITUTE(input_modality," ","")&amp;",")))&gt;0)),IF(GI38="",TRUE,IF(input_modality="",FALSE,SUMPRODUCT(--ISNUMBER(SEARCH(","&amp;TRIM(TEXTSPLIT(GI38,","))&amp;",",","&amp;SUBSTITUTE(input_modality," ","")&amp;",")))=COUNTA(TEXTSPLIT(GI38,",")))))</f>
        <v/>
      </c>
      <c r="JL38" s="19">
        <f>AND(IF(GK38="",TRUE,IF(input_organizer="",FALSE,SUMPRODUCT(--ISNUMBER(SEARCH(","&amp;TRIM(TEXTSPLIT(GK38,","))&amp;",",","&amp;SUBSTITUTE(input_organizer," ","")&amp;",")))&gt;0)),IF(GM38="",TRUE,IF(input_organizer="",FALSE,SUMPRODUCT(--ISNUMBER(SEARCH(","&amp;TRIM(TEXTSPLIT(GM38,","))&amp;",",","&amp;SUBSTITUTE(input_organizer," ","")&amp;",")))=COUNTA(TEXTSPLIT(GM38,",")))),IF(GO38="",TRUE,IF(input_organizer="",TRUE,SUMPRODUCT(--ISNUMBER(SEARCH(","&amp;TRIM(TEXTSPLIT(GO38,","))&amp;",",","&amp;SUBSTITUTE(input_organizer," ","")&amp;",")))=0)),IF(GQ38="",TRUE,IF(input_organizer="",FALSE,SUMPRODUCT(--ISNUMBER(SEARCH(","&amp;TRIM(TEXTSPLIT(GQ38,","))&amp;",",","&amp;SUBSTITUTE(input_organizer," ","")&amp;",")))&gt;0)),IF(GS38="",TRUE,IF(input_organizer="",FALSE,SUMPRODUCT(--ISNUMBER(SEARCH(","&amp;TRIM(TEXTSPLIT(GS38,","))&amp;",",","&amp;SUBSTITUTE(input_organizer," ","")&amp;",")))=COUNTA(TEXTSPLIT(GS38,",")))))</f>
        <v/>
      </c>
      <c r="JM38" s="19">
        <f>AND(IF(GU38="",TRUE,IF(input_profile_type="",FALSE,SUMPRODUCT(--ISNUMBER(SEARCH(","&amp;TRIM(TEXTSPLIT(GU38,","))&amp;",",","&amp;SUBSTITUTE(input_profile_type," ","")&amp;",")))&gt;0)),IF(GW38="",TRUE,IF(input_profile_type="",FALSE,SUMPRODUCT(--ISNUMBER(SEARCH(","&amp;TRIM(TEXTSPLIT(GW38,","))&amp;",",","&amp;SUBSTITUTE(input_profile_type," ","")&amp;",")))=COUNTA(TEXTSPLIT(GW38,",")))),IF(GY38="",TRUE,IF(input_profile_type="",TRUE,SUMPRODUCT(--ISNUMBER(SEARCH(","&amp;TRIM(TEXTSPLIT(GY38,","))&amp;",",","&amp;SUBSTITUTE(input_profile_type," ","")&amp;",")))=0)),IF(HA38="",TRUE,IF(input_profile_type="",FALSE,SUMPRODUCT(--ISNUMBER(SEARCH(","&amp;TRIM(TEXTSPLIT(HA38,","))&amp;",",","&amp;SUBSTITUTE(input_profile_type," ","")&amp;",")))&gt;0)),IF(HC38="",TRUE,IF(input_profile_type="",FALSE,SUMPRODUCT(--ISNUMBER(SEARCH(","&amp;TRIM(TEXTSPLIT(HC38,","))&amp;",",","&amp;SUBSTITUTE(input_profile_type," ","")&amp;",")))=COUNTA(TEXTSPLIT(HC38,",")))))</f>
        <v/>
      </c>
      <c r="JN38" s="19">
        <f>AND(IF(HE38="",TRUE,IF(input_program="",FALSE,SUMPRODUCT(--ISNUMBER(SEARCH(","&amp;TRIM(TEXTSPLIT(HE38,","))&amp;",",","&amp;SUBSTITUTE(input_program," ","")&amp;",")))&gt;0)),IF(HG38="",TRUE,IF(input_program="",FALSE,SUMPRODUCT(--ISNUMBER(SEARCH(","&amp;TRIM(TEXTSPLIT(HG38,","))&amp;",",","&amp;SUBSTITUTE(input_program," ","")&amp;",")))=COUNTA(TEXTSPLIT(HG38,",")))),IF(HI38="",TRUE,IF(input_program="",TRUE,SUMPRODUCT(--ISNUMBER(SEARCH(","&amp;TRIM(TEXTSPLIT(HI38,","))&amp;",",","&amp;SUBSTITUTE(input_program," ","")&amp;",")))=0)),IF(HK38="",TRUE,IF(input_program="",FALSE,SUMPRODUCT(--ISNUMBER(SEARCH(","&amp;TRIM(TEXTSPLIT(HK38,","))&amp;",",","&amp;SUBSTITUTE(input_program," ","")&amp;",")))&gt;0)),IF(HM38="",TRUE,IF(input_program="",FALSE,SUMPRODUCT(--ISNUMBER(SEARCH(","&amp;TRIM(TEXTSPLIT(HM38,","))&amp;",",","&amp;SUBSTITUTE(input_program," ","")&amp;",")))=COUNTA(TEXTSPLIT(HM38,",")))))</f>
        <v/>
      </c>
      <c r="JO38" s="19">
        <f>AND(IF(HO38="",TRUE,IF(input_story_categories="",FALSE,SUMPRODUCT(--ISNUMBER(SEARCH(","&amp;TRIM(TEXTSPLIT(HO38,","))&amp;",",","&amp;SUBSTITUTE(input_story_categories," ","")&amp;",")))&gt;0)),IF(HQ38="",TRUE,IF(input_story_categories="",FALSE,SUMPRODUCT(--ISNUMBER(SEARCH(","&amp;TRIM(TEXTSPLIT(HQ38,","))&amp;",",","&amp;SUBSTITUTE(input_story_categories," ","")&amp;",")))=COUNTA(TEXTSPLIT(HQ38,",")))),IF(HS38="",TRUE,IF(input_story_categories="",TRUE,SUMPRODUCT(--ISNUMBER(SEARCH(","&amp;TRIM(TEXTSPLIT(HS38,","))&amp;",",","&amp;SUBSTITUTE(input_story_categories," ","")&amp;",")))=0)),IF(HU38="",TRUE,IF(input_story_categories="",FALSE,SUMPRODUCT(--ISNUMBER(SEARCH(","&amp;TRIM(TEXTSPLIT(HU38,","))&amp;",",","&amp;SUBSTITUTE(input_story_categories," ","")&amp;",")))&gt;0)),IF(HW38="",TRUE,IF(input_story_categories="",FALSE,SUMPRODUCT(--ISNUMBER(SEARCH(","&amp;TRIM(TEXTSPLIT(HW38,","))&amp;",",","&amp;SUBSTITUTE(input_story_categories," ","")&amp;",")))=COUNTA(TEXTSPLIT(HW38,",")))))</f>
        <v/>
      </c>
      <c r="JP38" s="19">
        <f>AND(IF(HY38="",TRUE,IF(input_story_type="",FALSE,SUMPRODUCT(--ISNUMBER(SEARCH(","&amp;TRIM(TEXTSPLIT(HY38,","))&amp;",",","&amp;SUBSTITUTE(input_story_type," ","")&amp;",")))&gt;0)),IF(IA38="",TRUE,IF(input_story_type="",FALSE,SUMPRODUCT(--ISNUMBER(SEARCH(","&amp;TRIM(TEXTSPLIT(IA38,","))&amp;",",","&amp;SUBSTITUTE(input_story_type," ","")&amp;",")))=COUNTA(TEXTSPLIT(IA38,",")))),IF(IC38="",TRUE,IF(input_story_type="",TRUE,SUMPRODUCT(--ISNUMBER(SEARCH(","&amp;TRIM(TEXTSPLIT(IC38,","))&amp;",",","&amp;SUBSTITUTE(input_story_type," ","")&amp;",")))=0)),IF(IE38="",TRUE,IF(input_story_type="",FALSE,SUMPRODUCT(--ISNUMBER(SEARCH(","&amp;TRIM(TEXTSPLIT(IE38,","))&amp;",",","&amp;SUBSTITUTE(input_story_type," ","")&amp;",")))&gt;0)),IF(IG38="",TRUE,IF(input_story_type="",FALSE,SUMPRODUCT(--ISNUMBER(SEARCH(","&amp;TRIM(TEXTSPLIT(IG38,","))&amp;",",","&amp;SUBSTITUTE(input_story_type," ","")&amp;",")))=COUNTA(TEXTSPLIT(IG38,",")))))</f>
        <v/>
      </c>
      <c r="JQ38" s="19">
        <f>AND(IF(II38="",TRUE,IF(input_topics="",FALSE,SUMPRODUCT(--ISNUMBER(SEARCH(","&amp;TRIM(TEXTSPLIT(II38,","))&amp;",",","&amp;SUBSTITUTE(input_topics," ","")&amp;",")))&gt;0)),IF(IK38="",TRUE,IF(input_topics="",FALSE,SUMPRODUCT(--ISNUMBER(SEARCH(","&amp;TRIM(TEXTSPLIT(IK38,","))&amp;",",","&amp;SUBSTITUTE(input_topics," ","")&amp;",")))=COUNTA(TEXTSPLIT(IK38,",")))),IF(IM38="",TRUE,IF(input_topics="",TRUE,SUMPRODUCT(--ISNUMBER(SEARCH(","&amp;TRIM(TEXTSPLIT(IM38,","))&amp;",",","&amp;SUBSTITUTE(input_topics," ","")&amp;",")))=0)),IF(IO38="",TRUE,IF(input_topics="",FALSE,SUMPRODUCT(--ISNUMBER(SEARCH(","&amp;TRIM(TEXTSPLIT(IO38,","))&amp;",",","&amp;SUBSTITUTE(input_topics," ","")&amp;",")))&gt;0)),IF(IQ38="",TRUE,IF(input_topics="",FALSE,SUMPRODUCT(--ISNUMBER(SEARCH(","&amp;TRIM(TEXTSPLIT(IQ38,","))&amp;",",","&amp;SUBSTITUTE(input_topics," ","")&amp;",")))=COUNTA(TEXTSPLIT(IQ38,",")))))</f>
        <v/>
      </c>
    </row>
    <row r="39">
      <c r="A39" s="24">
        <f>IF(NOT(IS39),"Excluded",IF(AND(IT39,IU39,IV39,IW39,IX39,IY39,IZ39,JA39,JB39,JC39,JD39,JE39,JF39,JG39,JH39,JI39,JJ39,JK39,JL39,JM39,JN39,JO39,JP39,JQ39),IF(I39&gt;0,"Eligible but limited","Will appear"),"Excluded"))</f>
        <v/>
      </c>
      <c r="B39" s="24" t="inlineStr">
        <is>
          <t>All Publications by Author</t>
        </is>
      </c>
      <c r="C39" s="27" t="inlineStr">
        <is>
          <t>/faculty-research/faculty-directory/kelly-shue</t>
        </is>
      </c>
      <c r="D39" s="24" t="inlineStr">
        <is>
          <t>/faculty-research/faculty-directory/kelly-shue</t>
        </is>
      </c>
      <c r="E39" s="24" t="n">
        <v>1</v>
      </c>
      <c r="F39" s="24" t="inlineStr">
        <is>
          <t>publications</t>
        </is>
      </c>
      <c r="G39" s="24" t="inlineStr">
        <is>
          <t>publication_teaser_list</t>
        </is>
      </c>
      <c r="H39" s="24" t="inlineStr">
        <is>
          <t>publication_teaser_list_all_by_author</t>
        </is>
      </c>
      <c r="I39" s="24" t="n"/>
      <c r="J39" s="24" t="inlineStr">
        <is>
          <t>View/config rules</t>
        </is>
      </c>
      <c r="K39" s="24" t="inlineStr">
        <is>
          <t>Page placement</t>
        </is>
      </c>
      <c r="L39" s="24" t="inlineStr">
        <is>
          <t>Content type: publications; Source: View/config rules</t>
        </is>
      </c>
      <c r="IS39" s="19">
        <f>IF(input_content_type="",FALSE,ISNUMBER(SEARCH(","&amp;LOWER(input_content_type)&amp;",",","&amp;LOWER(SUBSTITUTE(F39," ",""))&amp;",")))</f>
        <v/>
      </c>
      <c r="IT39" s="19">
        <f>AND(IF(M39="",TRUE,IF(input_affiliations="",FALSE,SUMPRODUCT(--ISNUMBER(SEARCH(","&amp;TRIM(TEXTSPLIT(M39,","))&amp;",",","&amp;SUBSTITUTE(input_affiliations," ","")&amp;",")))&gt;0)),IF(O39="",TRUE,IF(input_affiliations="",FALSE,SUMPRODUCT(--ISNUMBER(SEARCH(","&amp;TRIM(TEXTSPLIT(O39,","))&amp;",",","&amp;SUBSTITUTE(input_affiliations," ","")&amp;",")))=COUNTA(TEXTSPLIT(O39,",")))),IF(Q39="",TRUE,IF(input_affiliations="",TRUE,SUMPRODUCT(--ISNUMBER(SEARCH(","&amp;TRIM(TEXTSPLIT(Q39,","))&amp;",",","&amp;SUBSTITUTE(input_affiliations," ","")&amp;",")))=0)),IF(S39="",TRUE,IF(input_affiliations="",FALSE,SUMPRODUCT(--ISNUMBER(SEARCH(","&amp;TRIM(TEXTSPLIT(S39,","))&amp;",",","&amp;SUBSTITUTE(input_affiliations," ","")&amp;",")))&gt;0)),IF(U39="",TRUE,IF(input_affiliations="",FALSE,SUMPRODUCT(--ISNUMBER(SEARCH(","&amp;TRIM(TEXTSPLIT(U39,","))&amp;",",","&amp;SUBSTITUTE(input_affiliations," ","")&amp;",")))=COUNTA(TEXTSPLIT(U39,",")))))</f>
        <v/>
      </c>
      <c r="IU39" s="19">
        <f>AND(IF(W39="",TRUE,IF(input_announcement_category="",FALSE,SUMPRODUCT(--ISNUMBER(SEARCH(","&amp;TRIM(TEXTSPLIT(W39,","))&amp;",",","&amp;SUBSTITUTE(input_announcement_category," ","")&amp;",")))&gt;0)),IF(Y39="",TRUE,IF(input_announcement_category="",FALSE,SUMPRODUCT(--ISNUMBER(SEARCH(","&amp;TRIM(TEXTSPLIT(Y39,","))&amp;",",","&amp;SUBSTITUTE(input_announcement_category," ","")&amp;",")))=COUNTA(TEXTSPLIT(Y39,",")))),IF(AA39="",TRUE,IF(input_announcement_category="",TRUE,SUMPRODUCT(--ISNUMBER(SEARCH(","&amp;TRIM(TEXTSPLIT(AA39,","))&amp;",",","&amp;SUBSTITUTE(input_announcement_category," ","")&amp;",")))=0)),IF(AC39="",TRUE,IF(input_announcement_category="",FALSE,SUMPRODUCT(--ISNUMBER(SEARCH(","&amp;TRIM(TEXTSPLIT(AC39,","))&amp;",",","&amp;SUBSTITUTE(input_announcement_category," ","")&amp;",")))&gt;0)),IF(AE39="",TRUE,IF(input_announcement_category="",FALSE,SUMPRODUCT(--ISNUMBER(SEARCH(","&amp;TRIM(TEXTSPLIT(AE39,","))&amp;",",","&amp;SUBSTITUTE(input_announcement_category," ","")&amp;",")))=COUNTA(TEXTSPLIT(AE39,",")))))</f>
        <v/>
      </c>
      <c r="IV39" s="19">
        <f>AND(IF(AG39="",TRUE,IF(input_area_of_focus="",FALSE,SUMPRODUCT(--ISNUMBER(SEARCH(","&amp;TRIM(TEXTSPLIT(AG39,","))&amp;",",","&amp;SUBSTITUTE(input_area_of_focus," ","")&amp;",")))&gt;0)),IF(AI39="",TRUE,IF(input_area_of_focus="",FALSE,SUMPRODUCT(--ISNUMBER(SEARCH(","&amp;TRIM(TEXTSPLIT(AI39,","))&amp;",",","&amp;SUBSTITUTE(input_area_of_focus," ","")&amp;",")))=COUNTA(TEXTSPLIT(AI39,",")))),IF(AK39="",TRUE,IF(input_area_of_focus="",TRUE,SUMPRODUCT(--ISNUMBER(SEARCH(","&amp;TRIM(TEXTSPLIT(AK39,","))&amp;",",","&amp;SUBSTITUTE(input_area_of_focus," ","")&amp;",")))=0)),IF(AM39="",TRUE,IF(input_area_of_focus="",FALSE,SUMPRODUCT(--ISNUMBER(SEARCH(","&amp;TRIM(TEXTSPLIT(AM39,","))&amp;",",","&amp;SUBSTITUTE(input_area_of_focus," ","")&amp;",")))&gt;0)),IF(AO39="",TRUE,IF(input_area_of_focus="",FALSE,SUMPRODUCT(--ISNUMBER(SEARCH(","&amp;TRIM(TEXTSPLIT(AO39,","))&amp;",",","&amp;SUBSTITUTE(input_area_of_focus," ","")&amp;",")))=COUNTA(TEXTSPLIT(AO39,",")))))</f>
        <v/>
      </c>
      <c r="IW39" s="19">
        <f>AND(IF(AQ39="",TRUE,IF(input_audience="",FALSE,SUMPRODUCT(--ISNUMBER(SEARCH(","&amp;TRIM(TEXTSPLIT(AQ39,","))&amp;",",","&amp;SUBSTITUTE(input_audience," ","")&amp;",")))&gt;0)),IF(AS39="",TRUE,IF(input_audience="",FALSE,SUMPRODUCT(--ISNUMBER(SEARCH(","&amp;TRIM(TEXTSPLIT(AS39,","))&amp;",",","&amp;SUBSTITUTE(input_audience," ","")&amp;",")))=COUNTA(TEXTSPLIT(AS39,",")))),IF(AU39="",TRUE,IF(input_audience="",TRUE,SUMPRODUCT(--ISNUMBER(SEARCH(","&amp;TRIM(TEXTSPLIT(AU39,","))&amp;",",","&amp;SUBSTITUTE(input_audience," ","")&amp;",")))=0)),IF(AW39="",TRUE,IF(input_audience="",FALSE,SUMPRODUCT(--ISNUMBER(SEARCH(","&amp;TRIM(TEXTSPLIT(AW39,","))&amp;",",","&amp;SUBSTITUTE(input_audience," ","")&amp;",")))&gt;0)),IF(AY39="",TRUE,IF(input_audience="",FALSE,SUMPRODUCT(--ISNUMBER(SEARCH(","&amp;TRIM(TEXTSPLIT(AY39,","))&amp;",",","&amp;SUBSTITUTE(input_audience," ","")&amp;",")))=COUNTA(TEXTSPLIT(AY39,",")))))</f>
        <v/>
      </c>
      <c r="IX39" s="19">
        <f>AND(IF(BA39="",TRUE,IF(input_challenge_opportunities="",FALSE,SUMPRODUCT(--ISNUMBER(SEARCH(","&amp;TRIM(TEXTSPLIT(BA39,","))&amp;",",","&amp;SUBSTITUTE(input_challenge_opportunities," ","")&amp;",")))&gt;0)),IF(BC39="",TRUE,IF(input_challenge_opportunities="",FALSE,SUMPRODUCT(--ISNUMBER(SEARCH(","&amp;TRIM(TEXTSPLIT(BC39,","))&amp;",",","&amp;SUBSTITUTE(input_challenge_opportunities," ","")&amp;",")))=COUNTA(TEXTSPLIT(BC39,",")))),IF(BE39="",TRUE,IF(input_challenge_opportunities="",TRUE,SUMPRODUCT(--ISNUMBER(SEARCH(","&amp;TRIM(TEXTSPLIT(BE39,","))&amp;",",","&amp;SUBSTITUTE(input_challenge_opportunities," ","")&amp;",")))=0)),IF(BG39="",TRUE,IF(input_challenge_opportunities="",FALSE,SUMPRODUCT(--ISNUMBER(SEARCH(","&amp;TRIM(TEXTSPLIT(BG39,","))&amp;",",","&amp;SUBSTITUTE(input_challenge_opportunities," ","")&amp;",")))&gt;0)),IF(BI39="",TRUE,IF(input_challenge_opportunities="",FALSE,SUMPRODUCT(--ISNUMBER(SEARCH(","&amp;TRIM(TEXTSPLIT(BI39,","))&amp;",",","&amp;SUBSTITUTE(input_challenge_opportunities," ","")&amp;",")))=COUNTA(TEXTSPLIT(BI39,",")))))</f>
        <v/>
      </c>
      <c r="IY39" s="19">
        <f>AND(IF(BK39="",TRUE,IF(input_context="",FALSE,SUMPRODUCT(--ISNUMBER(SEARCH(","&amp;TRIM(TEXTSPLIT(BK39,","))&amp;",",","&amp;SUBSTITUTE(input_context," ","")&amp;",")))&gt;0)),IF(BM39="",TRUE,IF(input_context="",FALSE,SUMPRODUCT(--ISNUMBER(SEARCH(","&amp;TRIM(TEXTSPLIT(BM39,","))&amp;",",","&amp;SUBSTITUTE(input_context," ","")&amp;",")))=COUNTA(TEXTSPLIT(BM39,",")))),IF(BO39="",TRUE,IF(input_context="",TRUE,SUMPRODUCT(--ISNUMBER(SEARCH(","&amp;TRIM(TEXTSPLIT(BO39,","))&amp;",",","&amp;SUBSTITUTE(input_context," ","")&amp;",")))=0)),IF(BQ39="",TRUE,IF(input_context="",FALSE,SUMPRODUCT(--ISNUMBER(SEARCH(","&amp;TRIM(TEXTSPLIT(BQ39,","))&amp;",",","&amp;SUBSTITUTE(input_context," ","")&amp;",")))&gt;0)),IF(BS39="",TRUE,IF(input_context="",FALSE,SUMPRODUCT(--ISNUMBER(SEARCH(","&amp;TRIM(TEXTSPLIT(BS39,","))&amp;",",","&amp;SUBSTITUTE(input_context," ","")&amp;",")))=COUNTA(TEXTSPLIT(BS39,",")))))</f>
        <v/>
      </c>
      <c r="IZ39" s="19">
        <f>AND(IF(BU39="",TRUE,IF(input_enews_announcement_type="",FALSE,SUMPRODUCT(--ISNUMBER(SEARCH(","&amp;TRIM(TEXTSPLIT(BU39,","))&amp;",",","&amp;SUBSTITUTE(input_enews_announcement_type," ","")&amp;",")))&gt;0)),IF(BW39="",TRUE,IF(input_enews_announcement_type="",FALSE,SUMPRODUCT(--ISNUMBER(SEARCH(","&amp;TRIM(TEXTSPLIT(BW39,","))&amp;",",","&amp;SUBSTITUTE(input_enews_announcement_type," ","")&amp;",")))=COUNTA(TEXTSPLIT(BW39,",")))),IF(BY39="",TRUE,IF(input_enews_announcement_type="",TRUE,SUMPRODUCT(--ISNUMBER(SEARCH(","&amp;TRIM(TEXTSPLIT(BY39,","))&amp;",",","&amp;SUBSTITUTE(input_enews_announcement_type," ","")&amp;",")))=0)),IF(CA39="",TRUE,IF(input_enews_announcement_type="",FALSE,SUMPRODUCT(--ISNUMBER(SEARCH(","&amp;TRIM(TEXTSPLIT(CA39,","))&amp;",",","&amp;SUBSTITUTE(input_enews_announcement_type," ","")&amp;",")))&gt;0)),IF(CC39="",TRUE,IF(input_enews_announcement_type="",FALSE,SUMPRODUCT(--ISNUMBER(SEARCH(","&amp;TRIM(TEXTSPLIT(CC39,","))&amp;",",","&amp;SUBSTITUTE(input_enews_announcement_type," ","")&amp;",")))=COUNTA(TEXTSPLIT(CC39,",")))))</f>
        <v/>
      </c>
      <c r="JA39" s="19">
        <f>AND(IF(CE39="",TRUE,IF(input_enews_audience="",FALSE,SUMPRODUCT(--ISNUMBER(SEARCH(","&amp;TRIM(TEXTSPLIT(CE39,","))&amp;",",","&amp;SUBSTITUTE(input_enews_audience," ","")&amp;",")))&gt;0)),IF(CG39="",TRUE,IF(input_enews_audience="",FALSE,SUMPRODUCT(--ISNUMBER(SEARCH(","&amp;TRIM(TEXTSPLIT(CG39,","))&amp;",",","&amp;SUBSTITUTE(input_enews_audience," ","")&amp;",")))=COUNTA(TEXTSPLIT(CG39,",")))),IF(CI39="",TRUE,IF(input_enews_audience="",TRUE,SUMPRODUCT(--ISNUMBER(SEARCH(","&amp;TRIM(TEXTSPLIT(CI39,","))&amp;",",","&amp;SUBSTITUTE(input_enews_audience," ","")&amp;",")))=0)),IF(CK39="",TRUE,IF(input_enews_audience="",FALSE,SUMPRODUCT(--ISNUMBER(SEARCH(","&amp;TRIM(TEXTSPLIT(CK39,","))&amp;",",","&amp;SUBSTITUTE(input_enews_audience," ","")&amp;",")))&gt;0)),IF(CM39="",TRUE,IF(input_enews_audience="",FALSE,SUMPRODUCT(--ISNUMBER(SEARCH(","&amp;TRIM(TEXTSPLIT(CM39,","))&amp;",",","&amp;SUBSTITUTE(input_enews_audience," ","")&amp;",")))=COUNTA(TEXTSPLIT(CM39,",")))))</f>
        <v/>
      </c>
      <c r="JB39" s="19">
        <f>AND(IF(CO39="",TRUE,IF(input_event_location="",FALSE,SUMPRODUCT(--ISNUMBER(SEARCH(","&amp;TRIM(TEXTSPLIT(CO39,","))&amp;",",","&amp;SUBSTITUTE(input_event_location," ","")&amp;",")))&gt;0)),IF(CQ39="",TRUE,IF(input_event_location="",FALSE,SUMPRODUCT(--ISNUMBER(SEARCH(","&amp;TRIM(TEXTSPLIT(CQ39,","))&amp;",",","&amp;SUBSTITUTE(input_event_location," ","")&amp;",")))=COUNTA(TEXTSPLIT(CQ39,",")))),IF(CS39="",TRUE,IF(input_event_location="",TRUE,SUMPRODUCT(--ISNUMBER(SEARCH(","&amp;TRIM(TEXTSPLIT(CS39,","))&amp;",",","&amp;SUBSTITUTE(input_event_location," ","")&amp;",")))=0)),IF(CU39="",TRUE,IF(input_event_location="",FALSE,SUMPRODUCT(--ISNUMBER(SEARCH(","&amp;TRIM(TEXTSPLIT(CU39,","))&amp;",",","&amp;SUBSTITUTE(input_event_location," ","")&amp;",")))&gt;0)),IF(CW39="",TRUE,IF(input_event_location="",FALSE,SUMPRODUCT(--ISNUMBER(SEARCH(","&amp;TRIM(TEXTSPLIT(CW39,","))&amp;",",","&amp;SUBSTITUTE(input_event_location," ","")&amp;",")))=COUNTA(TEXTSPLIT(CW39,",")))))</f>
        <v/>
      </c>
      <c r="JC39" s="19">
        <f>AND(IF(CY39="",TRUE,IF(input_event_type="",FALSE,SUMPRODUCT(--ISNUMBER(SEARCH(","&amp;TRIM(TEXTSPLIT(CY39,","))&amp;",",","&amp;SUBSTITUTE(input_event_type," ","")&amp;",")))&gt;0)),IF(DA39="",TRUE,IF(input_event_type="",FALSE,SUMPRODUCT(--ISNUMBER(SEARCH(","&amp;TRIM(TEXTSPLIT(DA39,","))&amp;",",","&amp;SUBSTITUTE(input_event_type," ","")&amp;",")))=COUNTA(TEXTSPLIT(DA39,",")))),IF(DC39="",TRUE,IF(input_event_type="",TRUE,SUMPRODUCT(--ISNUMBER(SEARCH(","&amp;TRIM(TEXTSPLIT(DC39,","))&amp;",",","&amp;SUBSTITUTE(input_event_type," ","")&amp;",")))=0)),IF(DE39="",TRUE,IF(input_event_type="",FALSE,SUMPRODUCT(--ISNUMBER(SEARCH(","&amp;TRIM(TEXTSPLIT(DE39,","))&amp;",",","&amp;SUBSTITUTE(input_event_type," ","")&amp;",")))&gt;0)),IF(DG39="",TRUE,IF(input_event_type="",FALSE,SUMPRODUCT(--ISNUMBER(SEARCH(","&amp;TRIM(TEXTSPLIT(DG39,","))&amp;",",","&amp;SUBSTITUTE(input_event_type," ","")&amp;",")))=COUNTA(TEXTSPLIT(DG39,",")))))</f>
        <v/>
      </c>
      <c r="JD39" s="19">
        <f>AND(IF(DI39="",TRUE,IF(input_executive_education_focus="",FALSE,SUMPRODUCT(--ISNUMBER(SEARCH(","&amp;TRIM(TEXTSPLIT(DI39,","))&amp;",",","&amp;SUBSTITUTE(input_executive_education_focus," ","")&amp;",")))&gt;0)),IF(DK39="",TRUE,IF(input_executive_education_focus="",FALSE,SUMPRODUCT(--ISNUMBER(SEARCH(","&amp;TRIM(TEXTSPLIT(DK39,","))&amp;",",","&amp;SUBSTITUTE(input_executive_education_focus," ","")&amp;",")))=COUNTA(TEXTSPLIT(DK39,",")))),IF(DM39="",TRUE,IF(input_executive_education_focus="",TRUE,SUMPRODUCT(--ISNUMBER(SEARCH(","&amp;TRIM(TEXTSPLIT(DM39,","))&amp;",",","&amp;SUBSTITUTE(input_executive_education_focus," ","")&amp;",")))=0)),IF(DO39="",TRUE,IF(input_executive_education_focus="",FALSE,SUMPRODUCT(--ISNUMBER(SEARCH(","&amp;TRIM(TEXTSPLIT(DO39,","))&amp;",",","&amp;SUBSTITUTE(input_executive_education_focus," ","")&amp;",")))&gt;0)),IF(DQ39="",TRUE,IF(input_executive_education_focus="",FALSE,SUMPRODUCT(--ISNUMBER(SEARCH(","&amp;TRIM(TEXTSPLIT(DQ39,","))&amp;",",","&amp;SUBSTITUTE(input_executive_education_focus," ","")&amp;",")))=COUNTA(TEXTSPLIT(DQ39,",")))))</f>
        <v/>
      </c>
      <c r="JE39" s="19">
        <f>AND(IF(DS39="",TRUE,IF(input_faculty_category="",FALSE,SUMPRODUCT(--ISNUMBER(SEARCH(","&amp;TRIM(TEXTSPLIT(DS39,","))&amp;",",","&amp;SUBSTITUTE(input_faculty_category," ","")&amp;",")))&gt;0)),IF(DU39="",TRUE,IF(input_faculty_category="",FALSE,SUMPRODUCT(--ISNUMBER(SEARCH(","&amp;TRIM(TEXTSPLIT(DU39,","))&amp;",",","&amp;SUBSTITUTE(input_faculty_category," ","")&amp;",")))=COUNTA(TEXTSPLIT(DU39,",")))),IF(DW39="",TRUE,IF(input_faculty_category="",TRUE,SUMPRODUCT(--ISNUMBER(SEARCH(","&amp;TRIM(TEXTSPLIT(DW39,","))&amp;",",","&amp;SUBSTITUTE(input_faculty_category," ","")&amp;",")))=0)),IF(DY39="",TRUE,IF(input_faculty_category="",FALSE,SUMPRODUCT(--ISNUMBER(SEARCH(","&amp;TRIM(TEXTSPLIT(DY39,","))&amp;",",","&amp;SUBSTITUTE(input_faculty_category," ","")&amp;",")))&gt;0)),IF(EA39="",TRUE,IF(input_faculty_category="",FALSE,SUMPRODUCT(--ISNUMBER(SEARCH(","&amp;TRIM(TEXTSPLIT(EA39,","))&amp;",",","&amp;SUBSTITUTE(input_faculty_category," ","")&amp;",")))=COUNTA(TEXTSPLIT(EA39,",")))))</f>
        <v/>
      </c>
      <c r="JF39" s="19">
        <f>AND(IF(EC39="",TRUE,IF(input_faculty_discipline="",FALSE,SUMPRODUCT(--ISNUMBER(SEARCH(","&amp;TRIM(TEXTSPLIT(EC39,","))&amp;",",","&amp;SUBSTITUTE(input_faculty_discipline," ","")&amp;",")))&gt;0)),IF(EE39="",TRUE,IF(input_faculty_discipline="",FALSE,SUMPRODUCT(--ISNUMBER(SEARCH(","&amp;TRIM(TEXTSPLIT(EE39,","))&amp;",",","&amp;SUBSTITUTE(input_faculty_discipline," ","")&amp;",")))=COUNTA(TEXTSPLIT(EE39,",")))),IF(EG39="",TRUE,IF(input_faculty_discipline="",TRUE,SUMPRODUCT(--ISNUMBER(SEARCH(","&amp;TRIM(TEXTSPLIT(EG39,","))&amp;",",","&amp;SUBSTITUTE(input_faculty_discipline," ","")&amp;",")))=0)),IF(EI39="",TRUE,IF(input_faculty_discipline="",FALSE,SUMPRODUCT(--ISNUMBER(SEARCH(","&amp;TRIM(TEXTSPLIT(EI39,","))&amp;",",","&amp;SUBSTITUTE(input_faculty_discipline," ","")&amp;",")))&gt;0)),IF(EK39="",TRUE,IF(input_faculty_discipline="",FALSE,SUMPRODUCT(--ISNUMBER(SEARCH(","&amp;TRIM(TEXTSPLIT(EK39,","))&amp;",",","&amp;SUBSTITUTE(input_faculty_discipline," ","")&amp;",")))=COUNTA(TEXTSPLIT(EK39,",")))))</f>
        <v/>
      </c>
      <c r="JG39" s="19">
        <f>AND(IF(EM39="",TRUE,IF(input_faculty_expertise="",FALSE,SUMPRODUCT(--ISNUMBER(SEARCH(","&amp;TRIM(TEXTSPLIT(EM39,","))&amp;",",","&amp;SUBSTITUTE(input_faculty_expertise," ","")&amp;",")))&gt;0)),IF(EO39="",TRUE,IF(input_faculty_expertise="",FALSE,SUMPRODUCT(--ISNUMBER(SEARCH(","&amp;TRIM(TEXTSPLIT(EO39,","))&amp;",",","&amp;SUBSTITUTE(input_faculty_expertise," ","")&amp;",")))=COUNTA(TEXTSPLIT(EO39,",")))),IF(EQ39="",TRUE,IF(input_faculty_expertise="",TRUE,SUMPRODUCT(--ISNUMBER(SEARCH(","&amp;TRIM(TEXTSPLIT(EQ39,","))&amp;",",","&amp;SUBSTITUTE(input_faculty_expertise," ","")&amp;",")))=0)),IF(ES39="",TRUE,IF(input_faculty_expertise="",FALSE,SUMPRODUCT(--ISNUMBER(SEARCH(","&amp;TRIM(TEXTSPLIT(ES39,","))&amp;",",","&amp;SUBSTITUTE(input_faculty_expertise," ","")&amp;",")))&gt;0)),IF(EU39="",TRUE,IF(input_faculty_expertise="",FALSE,SUMPRODUCT(--ISNUMBER(SEARCH(","&amp;TRIM(TEXTSPLIT(EU39,","))&amp;",",","&amp;SUBSTITUTE(input_faculty_expertise," ","")&amp;",")))=COUNTA(TEXTSPLIT(EU39,",")))))</f>
        <v/>
      </c>
      <c r="JH39" s="19">
        <f>AND(IF(EW39="",TRUE,IF(input_global_network_school="",FALSE,SUMPRODUCT(--ISNUMBER(SEARCH(","&amp;TRIM(TEXTSPLIT(EW39,","))&amp;",",","&amp;SUBSTITUTE(input_global_network_school," ","")&amp;",")))&gt;0)),IF(EY39="",TRUE,IF(input_global_network_school="",FALSE,SUMPRODUCT(--ISNUMBER(SEARCH(","&amp;TRIM(TEXTSPLIT(EY39,","))&amp;",",","&amp;SUBSTITUTE(input_global_network_school," ","")&amp;",")))=COUNTA(TEXTSPLIT(EY39,",")))),IF(FA39="",TRUE,IF(input_global_network_school="",TRUE,SUMPRODUCT(--ISNUMBER(SEARCH(","&amp;TRIM(TEXTSPLIT(FA39,","))&amp;",",","&amp;SUBSTITUTE(input_global_network_school," ","")&amp;",")))=0)),IF(FC39="",TRUE,IF(input_global_network_school="",FALSE,SUMPRODUCT(--ISNUMBER(SEARCH(","&amp;TRIM(TEXTSPLIT(FC39,","))&amp;",",","&amp;SUBSTITUTE(input_global_network_school," ","")&amp;",")))&gt;0)),IF(FE39="",TRUE,IF(input_global_network_school="",FALSE,SUMPRODUCT(--ISNUMBER(SEARCH(","&amp;TRIM(TEXTSPLIT(FE39,","))&amp;",",","&amp;SUBSTITUTE(input_global_network_school," ","")&amp;",")))=COUNTA(TEXTSPLIT(FE39,",")))))</f>
        <v/>
      </c>
      <c r="JI39" s="19">
        <f>AND(IF(FG39="",TRUE,IF(input_industry="",FALSE,SUMPRODUCT(--ISNUMBER(SEARCH(","&amp;TRIM(TEXTSPLIT(FG39,","))&amp;",",","&amp;SUBSTITUTE(input_industry," ","")&amp;",")))&gt;0)),IF(FI39="",TRUE,IF(input_industry="",FALSE,SUMPRODUCT(--ISNUMBER(SEARCH(","&amp;TRIM(TEXTSPLIT(FI39,","))&amp;",",","&amp;SUBSTITUTE(input_industry," ","")&amp;",")))=COUNTA(TEXTSPLIT(FI39,",")))),IF(FK39="",TRUE,IF(input_industry="",TRUE,SUMPRODUCT(--ISNUMBER(SEARCH(","&amp;TRIM(TEXTSPLIT(FK39,","))&amp;",",","&amp;SUBSTITUTE(input_industry," ","")&amp;",")))=0)),IF(FM39="",TRUE,IF(input_industry="",FALSE,SUMPRODUCT(--ISNUMBER(SEARCH(","&amp;TRIM(TEXTSPLIT(FM39,","))&amp;",",","&amp;SUBSTITUTE(input_industry," ","")&amp;",")))&gt;0)),IF(FO39="",TRUE,IF(input_industry="",FALSE,SUMPRODUCT(--ISNUMBER(SEARCH(","&amp;TRIM(TEXTSPLIT(FO39,","))&amp;",",","&amp;SUBSTITUTE(input_industry," ","")&amp;",")))=COUNTA(TEXTSPLIT(FO39,",")))))</f>
        <v/>
      </c>
      <c r="JJ39" s="19">
        <f>AND(IF(FQ39="",TRUE,IF(input_location="",FALSE,SUMPRODUCT(--ISNUMBER(SEARCH(","&amp;TRIM(TEXTSPLIT(FQ39,","))&amp;",",","&amp;SUBSTITUTE(input_location," ","")&amp;",")))&gt;0)),IF(FS39="",TRUE,IF(input_location="",FALSE,SUMPRODUCT(--ISNUMBER(SEARCH(","&amp;TRIM(TEXTSPLIT(FS39,","))&amp;",",","&amp;SUBSTITUTE(input_location," ","")&amp;",")))=COUNTA(TEXTSPLIT(FS39,",")))),IF(FU39="",TRUE,IF(input_location="",TRUE,SUMPRODUCT(--ISNUMBER(SEARCH(","&amp;TRIM(TEXTSPLIT(FU39,","))&amp;",",","&amp;SUBSTITUTE(input_location," ","")&amp;",")))=0)),IF(FW39="",TRUE,IF(input_location="",FALSE,SUMPRODUCT(--ISNUMBER(SEARCH(","&amp;TRIM(TEXTSPLIT(FW39,","))&amp;",",","&amp;SUBSTITUTE(input_location," ","")&amp;",")))&gt;0)),IF(FY39="",TRUE,IF(input_location="",FALSE,SUMPRODUCT(--ISNUMBER(SEARCH(","&amp;TRIM(TEXTSPLIT(FY39,","))&amp;",",","&amp;SUBSTITUTE(input_location," ","")&amp;",")))=COUNTA(TEXTSPLIT(FY39,",")))))</f>
        <v/>
      </c>
      <c r="JK39" s="19">
        <f>AND(IF(GA39="",TRUE,IF(input_modality="",FALSE,SUMPRODUCT(--ISNUMBER(SEARCH(","&amp;TRIM(TEXTSPLIT(GA39,","))&amp;",",","&amp;SUBSTITUTE(input_modality," ","")&amp;",")))&gt;0)),IF(GC39="",TRUE,IF(input_modality="",FALSE,SUMPRODUCT(--ISNUMBER(SEARCH(","&amp;TRIM(TEXTSPLIT(GC39,","))&amp;",",","&amp;SUBSTITUTE(input_modality," ","")&amp;",")))=COUNTA(TEXTSPLIT(GC39,",")))),IF(GE39="",TRUE,IF(input_modality="",TRUE,SUMPRODUCT(--ISNUMBER(SEARCH(","&amp;TRIM(TEXTSPLIT(GE39,","))&amp;",",","&amp;SUBSTITUTE(input_modality," ","")&amp;",")))=0)),IF(GG39="",TRUE,IF(input_modality="",FALSE,SUMPRODUCT(--ISNUMBER(SEARCH(","&amp;TRIM(TEXTSPLIT(GG39,","))&amp;",",","&amp;SUBSTITUTE(input_modality," ","")&amp;",")))&gt;0)),IF(GI39="",TRUE,IF(input_modality="",FALSE,SUMPRODUCT(--ISNUMBER(SEARCH(","&amp;TRIM(TEXTSPLIT(GI39,","))&amp;",",","&amp;SUBSTITUTE(input_modality," ","")&amp;",")))=COUNTA(TEXTSPLIT(GI39,",")))))</f>
        <v/>
      </c>
      <c r="JL39" s="19">
        <f>AND(IF(GK39="",TRUE,IF(input_organizer="",FALSE,SUMPRODUCT(--ISNUMBER(SEARCH(","&amp;TRIM(TEXTSPLIT(GK39,","))&amp;",",","&amp;SUBSTITUTE(input_organizer," ","")&amp;",")))&gt;0)),IF(GM39="",TRUE,IF(input_organizer="",FALSE,SUMPRODUCT(--ISNUMBER(SEARCH(","&amp;TRIM(TEXTSPLIT(GM39,","))&amp;",",","&amp;SUBSTITUTE(input_organizer," ","")&amp;",")))=COUNTA(TEXTSPLIT(GM39,",")))),IF(GO39="",TRUE,IF(input_organizer="",TRUE,SUMPRODUCT(--ISNUMBER(SEARCH(","&amp;TRIM(TEXTSPLIT(GO39,","))&amp;",",","&amp;SUBSTITUTE(input_organizer," ","")&amp;",")))=0)),IF(GQ39="",TRUE,IF(input_organizer="",FALSE,SUMPRODUCT(--ISNUMBER(SEARCH(","&amp;TRIM(TEXTSPLIT(GQ39,","))&amp;",",","&amp;SUBSTITUTE(input_organizer," ","")&amp;",")))&gt;0)),IF(GS39="",TRUE,IF(input_organizer="",FALSE,SUMPRODUCT(--ISNUMBER(SEARCH(","&amp;TRIM(TEXTSPLIT(GS39,","))&amp;",",","&amp;SUBSTITUTE(input_organizer," ","")&amp;",")))=COUNTA(TEXTSPLIT(GS39,",")))))</f>
        <v/>
      </c>
      <c r="JM39" s="19">
        <f>AND(IF(GU39="",TRUE,IF(input_profile_type="",FALSE,SUMPRODUCT(--ISNUMBER(SEARCH(","&amp;TRIM(TEXTSPLIT(GU39,","))&amp;",",","&amp;SUBSTITUTE(input_profile_type," ","")&amp;",")))&gt;0)),IF(GW39="",TRUE,IF(input_profile_type="",FALSE,SUMPRODUCT(--ISNUMBER(SEARCH(","&amp;TRIM(TEXTSPLIT(GW39,","))&amp;",",","&amp;SUBSTITUTE(input_profile_type," ","")&amp;",")))=COUNTA(TEXTSPLIT(GW39,",")))),IF(GY39="",TRUE,IF(input_profile_type="",TRUE,SUMPRODUCT(--ISNUMBER(SEARCH(","&amp;TRIM(TEXTSPLIT(GY39,","))&amp;",",","&amp;SUBSTITUTE(input_profile_type," ","")&amp;",")))=0)),IF(HA39="",TRUE,IF(input_profile_type="",FALSE,SUMPRODUCT(--ISNUMBER(SEARCH(","&amp;TRIM(TEXTSPLIT(HA39,","))&amp;",",","&amp;SUBSTITUTE(input_profile_type," ","")&amp;",")))&gt;0)),IF(HC39="",TRUE,IF(input_profile_type="",FALSE,SUMPRODUCT(--ISNUMBER(SEARCH(","&amp;TRIM(TEXTSPLIT(HC39,","))&amp;",",","&amp;SUBSTITUTE(input_profile_type," ","")&amp;",")))=COUNTA(TEXTSPLIT(HC39,",")))))</f>
        <v/>
      </c>
      <c r="JN39" s="19">
        <f>AND(IF(HE39="",TRUE,IF(input_program="",FALSE,SUMPRODUCT(--ISNUMBER(SEARCH(","&amp;TRIM(TEXTSPLIT(HE39,","))&amp;",",","&amp;SUBSTITUTE(input_program," ","")&amp;",")))&gt;0)),IF(HG39="",TRUE,IF(input_program="",FALSE,SUMPRODUCT(--ISNUMBER(SEARCH(","&amp;TRIM(TEXTSPLIT(HG39,","))&amp;",",","&amp;SUBSTITUTE(input_program," ","")&amp;",")))=COUNTA(TEXTSPLIT(HG39,",")))),IF(HI39="",TRUE,IF(input_program="",TRUE,SUMPRODUCT(--ISNUMBER(SEARCH(","&amp;TRIM(TEXTSPLIT(HI39,","))&amp;",",","&amp;SUBSTITUTE(input_program," ","")&amp;",")))=0)),IF(HK39="",TRUE,IF(input_program="",FALSE,SUMPRODUCT(--ISNUMBER(SEARCH(","&amp;TRIM(TEXTSPLIT(HK39,","))&amp;",",","&amp;SUBSTITUTE(input_program," ","")&amp;",")))&gt;0)),IF(HM39="",TRUE,IF(input_program="",FALSE,SUMPRODUCT(--ISNUMBER(SEARCH(","&amp;TRIM(TEXTSPLIT(HM39,","))&amp;",",","&amp;SUBSTITUTE(input_program," ","")&amp;",")))=COUNTA(TEXTSPLIT(HM39,",")))))</f>
        <v/>
      </c>
      <c r="JO39" s="19">
        <f>AND(IF(HO39="",TRUE,IF(input_story_categories="",FALSE,SUMPRODUCT(--ISNUMBER(SEARCH(","&amp;TRIM(TEXTSPLIT(HO39,","))&amp;",",","&amp;SUBSTITUTE(input_story_categories," ","")&amp;",")))&gt;0)),IF(HQ39="",TRUE,IF(input_story_categories="",FALSE,SUMPRODUCT(--ISNUMBER(SEARCH(","&amp;TRIM(TEXTSPLIT(HQ39,","))&amp;",",","&amp;SUBSTITUTE(input_story_categories," ","")&amp;",")))=COUNTA(TEXTSPLIT(HQ39,",")))),IF(HS39="",TRUE,IF(input_story_categories="",TRUE,SUMPRODUCT(--ISNUMBER(SEARCH(","&amp;TRIM(TEXTSPLIT(HS39,","))&amp;",",","&amp;SUBSTITUTE(input_story_categories," ","")&amp;",")))=0)),IF(HU39="",TRUE,IF(input_story_categories="",FALSE,SUMPRODUCT(--ISNUMBER(SEARCH(","&amp;TRIM(TEXTSPLIT(HU39,","))&amp;",",","&amp;SUBSTITUTE(input_story_categories," ","")&amp;",")))&gt;0)),IF(HW39="",TRUE,IF(input_story_categories="",FALSE,SUMPRODUCT(--ISNUMBER(SEARCH(","&amp;TRIM(TEXTSPLIT(HW39,","))&amp;",",","&amp;SUBSTITUTE(input_story_categories," ","")&amp;",")))=COUNTA(TEXTSPLIT(HW39,",")))))</f>
        <v/>
      </c>
      <c r="JP39" s="19">
        <f>AND(IF(HY39="",TRUE,IF(input_story_type="",FALSE,SUMPRODUCT(--ISNUMBER(SEARCH(","&amp;TRIM(TEXTSPLIT(HY39,","))&amp;",",","&amp;SUBSTITUTE(input_story_type," ","")&amp;",")))&gt;0)),IF(IA39="",TRUE,IF(input_story_type="",FALSE,SUMPRODUCT(--ISNUMBER(SEARCH(","&amp;TRIM(TEXTSPLIT(IA39,","))&amp;",",","&amp;SUBSTITUTE(input_story_type," ","")&amp;",")))=COUNTA(TEXTSPLIT(IA39,",")))),IF(IC39="",TRUE,IF(input_story_type="",TRUE,SUMPRODUCT(--ISNUMBER(SEARCH(","&amp;TRIM(TEXTSPLIT(IC39,","))&amp;",",","&amp;SUBSTITUTE(input_story_type," ","")&amp;",")))=0)),IF(IE39="",TRUE,IF(input_story_type="",FALSE,SUMPRODUCT(--ISNUMBER(SEARCH(","&amp;TRIM(TEXTSPLIT(IE39,","))&amp;",",","&amp;SUBSTITUTE(input_story_type," ","")&amp;",")))&gt;0)),IF(IG39="",TRUE,IF(input_story_type="",FALSE,SUMPRODUCT(--ISNUMBER(SEARCH(","&amp;TRIM(TEXTSPLIT(IG39,","))&amp;",",","&amp;SUBSTITUTE(input_story_type," ","")&amp;",")))=COUNTA(TEXTSPLIT(IG39,",")))))</f>
        <v/>
      </c>
      <c r="JQ39" s="19">
        <f>AND(IF(II39="",TRUE,IF(input_topics="",FALSE,SUMPRODUCT(--ISNUMBER(SEARCH(","&amp;TRIM(TEXTSPLIT(II39,","))&amp;",",","&amp;SUBSTITUTE(input_topics," ","")&amp;",")))&gt;0)),IF(IK39="",TRUE,IF(input_topics="",FALSE,SUMPRODUCT(--ISNUMBER(SEARCH(","&amp;TRIM(TEXTSPLIT(IK39,","))&amp;",",","&amp;SUBSTITUTE(input_topics," ","")&amp;",")))=COUNTA(TEXTSPLIT(IK39,",")))),IF(IM39="",TRUE,IF(input_topics="",TRUE,SUMPRODUCT(--ISNUMBER(SEARCH(","&amp;TRIM(TEXTSPLIT(IM39,","))&amp;",",","&amp;SUBSTITUTE(input_topics," ","")&amp;",")))=0)),IF(IO39="",TRUE,IF(input_topics="",FALSE,SUMPRODUCT(--ISNUMBER(SEARCH(","&amp;TRIM(TEXTSPLIT(IO39,","))&amp;",",","&amp;SUBSTITUTE(input_topics," ","")&amp;",")))&gt;0)),IF(IQ39="",TRUE,IF(input_topics="",FALSE,SUMPRODUCT(--ISNUMBER(SEARCH(","&amp;TRIM(TEXTSPLIT(IQ39,","))&amp;",",","&amp;SUBSTITUTE(input_topics," ","")&amp;",")))=COUNTA(TEXTSPLIT(IQ39,",")))))</f>
        <v/>
      </c>
    </row>
    <row r="40">
      <c r="A40" s="24">
        <f>IF(NOT(IS40),"Excluded",IF(AND(IT40,IU40,IV40,IW40,IX40,IY40,IZ40,JA40,JB40,JC40,JD40,JE40,JF40,JG40,JH40,JI40,JJ40,JK40,JL40,JM40,JN40,JO40,JP40,JQ40),IF(I40&gt;0,"Eligible but limited","Will appear"),"Excluded"))</f>
        <v/>
      </c>
      <c r="B40" s="24" t="inlineStr">
        <is>
          <t>All Publications by Author</t>
        </is>
      </c>
      <c r="C40" s="27" t="inlineStr">
        <is>
          <t>/faculty-research/faculty-directory/kosuke-uetake</t>
        </is>
      </c>
      <c r="D40" s="24" t="inlineStr">
        <is>
          <t>/faculty-research/faculty-directory/kosuke-uetake</t>
        </is>
      </c>
      <c r="E40" s="24" t="n">
        <v>1</v>
      </c>
      <c r="F40" s="24" t="inlineStr">
        <is>
          <t>publications</t>
        </is>
      </c>
      <c r="G40" s="24" t="inlineStr">
        <is>
          <t>publication_teaser_list</t>
        </is>
      </c>
      <c r="H40" s="24" t="inlineStr">
        <is>
          <t>publication_teaser_list_all_by_author</t>
        </is>
      </c>
      <c r="I40" s="24" t="n"/>
      <c r="J40" s="24" t="inlineStr">
        <is>
          <t>View/config rules</t>
        </is>
      </c>
      <c r="K40" s="24" t="inlineStr">
        <is>
          <t>Page placement</t>
        </is>
      </c>
      <c r="L40" s="24" t="inlineStr">
        <is>
          <t>Content type: publications; Source: View/config rules</t>
        </is>
      </c>
      <c r="IS40" s="19">
        <f>IF(input_content_type="",FALSE,ISNUMBER(SEARCH(","&amp;LOWER(input_content_type)&amp;",",","&amp;LOWER(SUBSTITUTE(F40," ",""))&amp;",")))</f>
        <v/>
      </c>
      <c r="IT40" s="19">
        <f>AND(IF(M40="",TRUE,IF(input_affiliations="",FALSE,SUMPRODUCT(--ISNUMBER(SEARCH(","&amp;TRIM(TEXTSPLIT(M40,","))&amp;",",","&amp;SUBSTITUTE(input_affiliations," ","")&amp;",")))&gt;0)),IF(O40="",TRUE,IF(input_affiliations="",FALSE,SUMPRODUCT(--ISNUMBER(SEARCH(","&amp;TRIM(TEXTSPLIT(O40,","))&amp;",",","&amp;SUBSTITUTE(input_affiliations," ","")&amp;",")))=COUNTA(TEXTSPLIT(O40,",")))),IF(Q40="",TRUE,IF(input_affiliations="",TRUE,SUMPRODUCT(--ISNUMBER(SEARCH(","&amp;TRIM(TEXTSPLIT(Q40,","))&amp;",",","&amp;SUBSTITUTE(input_affiliations," ","")&amp;",")))=0)),IF(S40="",TRUE,IF(input_affiliations="",FALSE,SUMPRODUCT(--ISNUMBER(SEARCH(","&amp;TRIM(TEXTSPLIT(S40,","))&amp;",",","&amp;SUBSTITUTE(input_affiliations," ","")&amp;",")))&gt;0)),IF(U40="",TRUE,IF(input_affiliations="",FALSE,SUMPRODUCT(--ISNUMBER(SEARCH(","&amp;TRIM(TEXTSPLIT(U40,","))&amp;",",","&amp;SUBSTITUTE(input_affiliations," ","")&amp;",")))=COUNTA(TEXTSPLIT(U40,",")))))</f>
        <v/>
      </c>
      <c r="IU40" s="19">
        <f>AND(IF(W40="",TRUE,IF(input_announcement_category="",FALSE,SUMPRODUCT(--ISNUMBER(SEARCH(","&amp;TRIM(TEXTSPLIT(W40,","))&amp;",",","&amp;SUBSTITUTE(input_announcement_category," ","")&amp;",")))&gt;0)),IF(Y40="",TRUE,IF(input_announcement_category="",FALSE,SUMPRODUCT(--ISNUMBER(SEARCH(","&amp;TRIM(TEXTSPLIT(Y40,","))&amp;",",","&amp;SUBSTITUTE(input_announcement_category," ","")&amp;",")))=COUNTA(TEXTSPLIT(Y40,",")))),IF(AA40="",TRUE,IF(input_announcement_category="",TRUE,SUMPRODUCT(--ISNUMBER(SEARCH(","&amp;TRIM(TEXTSPLIT(AA40,","))&amp;",",","&amp;SUBSTITUTE(input_announcement_category," ","")&amp;",")))=0)),IF(AC40="",TRUE,IF(input_announcement_category="",FALSE,SUMPRODUCT(--ISNUMBER(SEARCH(","&amp;TRIM(TEXTSPLIT(AC40,","))&amp;",",","&amp;SUBSTITUTE(input_announcement_category," ","")&amp;",")))&gt;0)),IF(AE40="",TRUE,IF(input_announcement_category="",FALSE,SUMPRODUCT(--ISNUMBER(SEARCH(","&amp;TRIM(TEXTSPLIT(AE40,","))&amp;",",","&amp;SUBSTITUTE(input_announcement_category," ","")&amp;",")))=COUNTA(TEXTSPLIT(AE40,",")))))</f>
        <v/>
      </c>
      <c r="IV40" s="19">
        <f>AND(IF(AG40="",TRUE,IF(input_area_of_focus="",FALSE,SUMPRODUCT(--ISNUMBER(SEARCH(","&amp;TRIM(TEXTSPLIT(AG40,","))&amp;",",","&amp;SUBSTITUTE(input_area_of_focus," ","")&amp;",")))&gt;0)),IF(AI40="",TRUE,IF(input_area_of_focus="",FALSE,SUMPRODUCT(--ISNUMBER(SEARCH(","&amp;TRIM(TEXTSPLIT(AI40,","))&amp;",",","&amp;SUBSTITUTE(input_area_of_focus," ","")&amp;",")))=COUNTA(TEXTSPLIT(AI40,",")))),IF(AK40="",TRUE,IF(input_area_of_focus="",TRUE,SUMPRODUCT(--ISNUMBER(SEARCH(","&amp;TRIM(TEXTSPLIT(AK40,","))&amp;",",","&amp;SUBSTITUTE(input_area_of_focus," ","")&amp;",")))=0)),IF(AM40="",TRUE,IF(input_area_of_focus="",FALSE,SUMPRODUCT(--ISNUMBER(SEARCH(","&amp;TRIM(TEXTSPLIT(AM40,","))&amp;",",","&amp;SUBSTITUTE(input_area_of_focus," ","")&amp;",")))&gt;0)),IF(AO40="",TRUE,IF(input_area_of_focus="",FALSE,SUMPRODUCT(--ISNUMBER(SEARCH(","&amp;TRIM(TEXTSPLIT(AO40,","))&amp;",",","&amp;SUBSTITUTE(input_area_of_focus," ","")&amp;",")))=COUNTA(TEXTSPLIT(AO40,",")))))</f>
        <v/>
      </c>
      <c r="IW40" s="19">
        <f>AND(IF(AQ40="",TRUE,IF(input_audience="",FALSE,SUMPRODUCT(--ISNUMBER(SEARCH(","&amp;TRIM(TEXTSPLIT(AQ40,","))&amp;",",","&amp;SUBSTITUTE(input_audience," ","")&amp;",")))&gt;0)),IF(AS40="",TRUE,IF(input_audience="",FALSE,SUMPRODUCT(--ISNUMBER(SEARCH(","&amp;TRIM(TEXTSPLIT(AS40,","))&amp;",",","&amp;SUBSTITUTE(input_audience," ","")&amp;",")))=COUNTA(TEXTSPLIT(AS40,",")))),IF(AU40="",TRUE,IF(input_audience="",TRUE,SUMPRODUCT(--ISNUMBER(SEARCH(","&amp;TRIM(TEXTSPLIT(AU40,","))&amp;",",","&amp;SUBSTITUTE(input_audience," ","")&amp;",")))=0)),IF(AW40="",TRUE,IF(input_audience="",FALSE,SUMPRODUCT(--ISNUMBER(SEARCH(","&amp;TRIM(TEXTSPLIT(AW40,","))&amp;",",","&amp;SUBSTITUTE(input_audience," ","")&amp;",")))&gt;0)),IF(AY40="",TRUE,IF(input_audience="",FALSE,SUMPRODUCT(--ISNUMBER(SEARCH(","&amp;TRIM(TEXTSPLIT(AY40,","))&amp;",",","&amp;SUBSTITUTE(input_audience," ","")&amp;",")))=COUNTA(TEXTSPLIT(AY40,",")))))</f>
        <v/>
      </c>
      <c r="IX40" s="19">
        <f>AND(IF(BA40="",TRUE,IF(input_challenge_opportunities="",FALSE,SUMPRODUCT(--ISNUMBER(SEARCH(","&amp;TRIM(TEXTSPLIT(BA40,","))&amp;",",","&amp;SUBSTITUTE(input_challenge_opportunities," ","")&amp;",")))&gt;0)),IF(BC40="",TRUE,IF(input_challenge_opportunities="",FALSE,SUMPRODUCT(--ISNUMBER(SEARCH(","&amp;TRIM(TEXTSPLIT(BC40,","))&amp;",",","&amp;SUBSTITUTE(input_challenge_opportunities," ","")&amp;",")))=COUNTA(TEXTSPLIT(BC40,",")))),IF(BE40="",TRUE,IF(input_challenge_opportunities="",TRUE,SUMPRODUCT(--ISNUMBER(SEARCH(","&amp;TRIM(TEXTSPLIT(BE40,","))&amp;",",","&amp;SUBSTITUTE(input_challenge_opportunities," ","")&amp;",")))=0)),IF(BG40="",TRUE,IF(input_challenge_opportunities="",FALSE,SUMPRODUCT(--ISNUMBER(SEARCH(","&amp;TRIM(TEXTSPLIT(BG40,","))&amp;",",","&amp;SUBSTITUTE(input_challenge_opportunities," ","")&amp;",")))&gt;0)),IF(BI40="",TRUE,IF(input_challenge_opportunities="",FALSE,SUMPRODUCT(--ISNUMBER(SEARCH(","&amp;TRIM(TEXTSPLIT(BI40,","))&amp;",",","&amp;SUBSTITUTE(input_challenge_opportunities," ","")&amp;",")))=COUNTA(TEXTSPLIT(BI40,",")))))</f>
        <v/>
      </c>
      <c r="IY40" s="19">
        <f>AND(IF(BK40="",TRUE,IF(input_context="",FALSE,SUMPRODUCT(--ISNUMBER(SEARCH(","&amp;TRIM(TEXTSPLIT(BK40,","))&amp;",",","&amp;SUBSTITUTE(input_context," ","")&amp;",")))&gt;0)),IF(BM40="",TRUE,IF(input_context="",FALSE,SUMPRODUCT(--ISNUMBER(SEARCH(","&amp;TRIM(TEXTSPLIT(BM40,","))&amp;",",","&amp;SUBSTITUTE(input_context," ","")&amp;",")))=COUNTA(TEXTSPLIT(BM40,",")))),IF(BO40="",TRUE,IF(input_context="",TRUE,SUMPRODUCT(--ISNUMBER(SEARCH(","&amp;TRIM(TEXTSPLIT(BO40,","))&amp;",",","&amp;SUBSTITUTE(input_context," ","")&amp;",")))=0)),IF(BQ40="",TRUE,IF(input_context="",FALSE,SUMPRODUCT(--ISNUMBER(SEARCH(","&amp;TRIM(TEXTSPLIT(BQ40,","))&amp;",",","&amp;SUBSTITUTE(input_context," ","")&amp;",")))&gt;0)),IF(BS40="",TRUE,IF(input_context="",FALSE,SUMPRODUCT(--ISNUMBER(SEARCH(","&amp;TRIM(TEXTSPLIT(BS40,","))&amp;",",","&amp;SUBSTITUTE(input_context," ","")&amp;",")))=COUNTA(TEXTSPLIT(BS40,",")))))</f>
        <v/>
      </c>
      <c r="IZ40" s="19">
        <f>AND(IF(BU40="",TRUE,IF(input_enews_announcement_type="",FALSE,SUMPRODUCT(--ISNUMBER(SEARCH(","&amp;TRIM(TEXTSPLIT(BU40,","))&amp;",",","&amp;SUBSTITUTE(input_enews_announcement_type," ","")&amp;",")))&gt;0)),IF(BW40="",TRUE,IF(input_enews_announcement_type="",FALSE,SUMPRODUCT(--ISNUMBER(SEARCH(","&amp;TRIM(TEXTSPLIT(BW40,","))&amp;",",","&amp;SUBSTITUTE(input_enews_announcement_type," ","")&amp;",")))=COUNTA(TEXTSPLIT(BW40,",")))),IF(BY40="",TRUE,IF(input_enews_announcement_type="",TRUE,SUMPRODUCT(--ISNUMBER(SEARCH(","&amp;TRIM(TEXTSPLIT(BY40,","))&amp;",",","&amp;SUBSTITUTE(input_enews_announcement_type," ","")&amp;",")))=0)),IF(CA40="",TRUE,IF(input_enews_announcement_type="",FALSE,SUMPRODUCT(--ISNUMBER(SEARCH(","&amp;TRIM(TEXTSPLIT(CA40,","))&amp;",",","&amp;SUBSTITUTE(input_enews_announcement_type," ","")&amp;",")))&gt;0)),IF(CC40="",TRUE,IF(input_enews_announcement_type="",FALSE,SUMPRODUCT(--ISNUMBER(SEARCH(","&amp;TRIM(TEXTSPLIT(CC40,","))&amp;",",","&amp;SUBSTITUTE(input_enews_announcement_type," ","")&amp;",")))=COUNTA(TEXTSPLIT(CC40,",")))))</f>
        <v/>
      </c>
      <c r="JA40" s="19">
        <f>AND(IF(CE40="",TRUE,IF(input_enews_audience="",FALSE,SUMPRODUCT(--ISNUMBER(SEARCH(","&amp;TRIM(TEXTSPLIT(CE40,","))&amp;",",","&amp;SUBSTITUTE(input_enews_audience," ","")&amp;",")))&gt;0)),IF(CG40="",TRUE,IF(input_enews_audience="",FALSE,SUMPRODUCT(--ISNUMBER(SEARCH(","&amp;TRIM(TEXTSPLIT(CG40,","))&amp;",",","&amp;SUBSTITUTE(input_enews_audience," ","")&amp;",")))=COUNTA(TEXTSPLIT(CG40,",")))),IF(CI40="",TRUE,IF(input_enews_audience="",TRUE,SUMPRODUCT(--ISNUMBER(SEARCH(","&amp;TRIM(TEXTSPLIT(CI40,","))&amp;",",","&amp;SUBSTITUTE(input_enews_audience," ","")&amp;",")))=0)),IF(CK40="",TRUE,IF(input_enews_audience="",FALSE,SUMPRODUCT(--ISNUMBER(SEARCH(","&amp;TRIM(TEXTSPLIT(CK40,","))&amp;",",","&amp;SUBSTITUTE(input_enews_audience," ","")&amp;",")))&gt;0)),IF(CM40="",TRUE,IF(input_enews_audience="",FALSE,SUMPRODUCT(--ISNUMBER(SEARCH(","&amp;TRIM(TEXTSPLIT(CM40,","))&amp;",",","&amp;SUBSTITUTE(input_enews_audience," ","")&amp;",")))=COUNTA(TEXTSPLIT(CM40,",")))))</f>
        <v/>
      </c>
      <c r="JB40" s="19">
        <f>AND(IF(CO40="",TRUE,IF(input_event_location="",FALSE,SUMPRODUCT(--ISNUMBER(SEARCH(","&amp;TRIM(TEXTSPLIT(CO40,","))&amp;",",","&amp;SUBSTITUTE(input_event_location," ","")&amp;",")))&gt;0)),IF(CQ40="",TRUE,IF(input_event_location="",FALSE,SUMPRODUCT(--ISNUMBER(SEARCH(","&amp;TRIM(TEXTSPLIT(CQ40,","))&amp;",",","&amp;SUBSTITUTE(input_event_location," ","")&amp;",")))=COUNTA(TEXTSPLIT(CQ40,",")))),IF(CS40="",TRUE,IF(input_event_location="",TRUE,SUMPRODUCT(--ISNUMBER(SEARCH(","&amp;TRIM(TEXTSPLIT(CS40,","))&amp;",",","&amp;SUBSTITUTE(input_event_location," ","")&amp;",")))=0)),IF(CU40="",TRUE,IF(input_event_location="",FALSE,SUMPRODUCT(--ISNUMBER(SEARCH(","&amp;TRIM(TEXTSPLIT(CU40,","))&amp;",",","&amp;SUBSTITUTE(input_event_location," ","")&amp;",")))&gt;0)),IF(CW40="",TRUE,IF(input_event_location="",FALSE,SUMPRODUCT(--ISNUMBER(SEARCH(","&amp;TRIM(TEXTSPLIT(CW40,","))&amp;",",","&amp;SUBSTITUTE(input_event_location," ","")&amp;",")))=COUNTA(TEXTSPLIT(CW40,",")))))</f>
        <v/>
      </c>
      <c r="JC40" s="19">
        <f>AND(IF(CY40="",TRUE,IF(input_event_type="",FALSE,SUMPRODUCT(--ISNUMBER(SEARCH(","&amp;TRIM(TEXTSPLIT(CY40,","))&amp;",",","&amp;SUBSTITUTE(input_event_type," ","")&amp;",")))&gt;0)),IF(DA40="",TRUE,IF(input_event_type="",FALSE,SUMPRODUCT(--ISNUMBER(SEARCH(","&amp;TRIM(TEXTSPLIT(DA40,","))&amp;",",","&amp;SUBSTITUTE(input_event_type," ","")&amp;",")))=COUNTA(TEXTSPLIT(DA40,",")))),IF(DC40="",TRUE,IF(input_event_type="",TRUE,SUMPRODUCT(--ISNUMBER(SEARCH(","&amp;TRIM(TEXTSPLIT(DC40,","))&amp;",",","&amp;SUBSTITUTE(input_event_type," ","")&amp;",")))=0)),IF(DE40="",TRUE,IF(input_event_type="",FALSE,SUMPRODUCT(--ISNUMBER(SEARCH(","&amp;TRIM(TEXTSPLIT(DE40,","))&amp;",",","&amp;SUBSTITUTE(input_event_type," ","")&amp;",")))&gt;0)),IF(DG40="",TRUE,IF(input_event_type="",FALSE,SUMPRODUCT(--ISNUMBER(SEARCH(","&amp;TRIM(TEXTSPLIT(DG40,","))&amp;",",","&amp;SUBSTITUTE(input_event_type," ","")&amp;",")))=COUNTA(TEXTSPLIT(DG40,",")))))</f>
        <v/>
      </c>
      <c r="JD40" s="19">
        <f>AND(IF(DI40="",TRUE,IF(input_executive_education_focus="",FALSE,SUMPRODUCT(--ISNUMBER(SEARCH(","&amp;TRIM(TEXTSPLIT(DI40,","))&amp;",",","&amp;SUBSTITUTE(input_executive_education_focus," ","")&amp;",")))&gt;0)),IF(DK40="",TRUE,IF(input_executive_education_focus="",FALSE,SUMPRODUCT(--ISNUMBER(SEARCH(","&amp;TRIM(TEXTSPLIT(DK40,","))&amp;",",","&amp;SUBSTITUTE(input_executive_education_focus," ","")&amp;",")))=COUNTA(TEXTSPLIT(DK40,",")))),IF(DM40="",TRUE,IF(input_executive_education_focus="",TRUE,SUMPRODUCT(--ISNUMBER(SEARCH(","&amp;TRIM(TEXTSPLIT(DM40,","))&amp;",",","&amp;SUBSTITUTE(input_executive_education_focus," ","")&amp;",")))=0)),IF(DO40="",TRUE,IF(input_executive_education_focus="",FALSE,SUMPRODUCT(--ISNUMBER(SEARCH(","&amp;TRIM(TEXTSPLIT(DO40,","))&amp;",",","&amp;SUBSTITUTE(input_executive_education_focus," ","")&amp;",")))&gt;0)),IF(DQ40="",TRUE,IF(input_executive_education_focus="",FALSE,SUMPRODUCT(--ISNUMBER(SEARCH(","&amp;TRIM(TEXTSPLIT(DQ40,","))&amp;",",","&amp;SUBSTITUTE(input_executive_education_focus," ","")&amp;",")))=COUNTA(TEXTSPLIT(DQ40,",")))))</f>
        <v/>
      </c>
      <c r="JE40" s="19">
        <f>AND(IF(DS40="",TRUE,IF(input_faculty_category="",FALSE,SUMPRODUCT(--ISNUMBER(SEARCH(","&amp;TRIM(TEXTSPLIT(DS40,","))&amp;",",","&amp;SUBSTITUTE(input_faculty_category," ","")&amp;",")))&gt;0)),IF(DU40="",TRUE,IF(input_faculty_category="",FALSE,SUMPRODUCT(--ISNUMBER(SEARCH(","&amp;TRIM(TEXTSPLIT(DU40,","))&amp;",",","&amp;SUBSTITUTE(input_faculty_category," ","")&amp;",")))=COUNTA(TEXTSPLIT(DU40,",")))),IF(DW40="",TRUE,IF(input_faculty_category="",TRUE,SUMPRODUCT(--ISNUMBER(SEARCH(","&amp;TRIM(TEXTSPLIT(DW40,","))&amp;",",","&amp;SUBSTITUTE(input_faculty_category," ","")&amp;",")))=0)),IF(DY40="",TRUE,IF(input_faculty_category="",FALSE,SUMPRODUCT(--ISNUMBER(SEARCH(","&amp;TRIM(TEXTSPLIT(DY40,","))&amp;",",","&amp;SUBSTITUTE(input_faculty_category," ","")&amp;",")))&gt;0)),IF(EA40="",TRUE,IF(input_faculty_category="",FALSE,SUMPRODUCT(--ISNUMBER(SEARCH(","&amp;TRIM(TEXTSPLIT(EA40,","))&amp;",",","&amp;SUBSTITUTE(input_faculty_category," ","")&amp;",")))=COUNTA(TEXTSPLIT(EA40,",")))))</f>
        <v/>
      </c>
      <c r="JF40" s="19">
        <f>AND(IF(EC40="",TRUE,IF(input_faculty_discipline="",FALSE,SUMPRODUCT(--ISNUMBER(SEARCH(","&amp;TRIM(TEXTSPLIT(EC40,","))&amp;",",","&amp;SUBSTITUTE(input_faculty_discipline," ","")&amp;",")))&gt;0)),IF(EE40="",TRUE,IF(input_faculty_discipline="",FALSE,SUMPRODUCT(--ISNUMBER(SEARCH(","&amp;TRIM(TEXTSPLIT(EE40,","))&amp;",",","&amp;SUBSTITUTE(input_faculty_discipline," ","")&amp;",")))=COUNTA(TEXTSPLIT(EE40,",")))),IF(EG40="",TRUE,IF(input_faculty_discipline="",TRUE,SUMPRODUCT(--ISNUMBER(SEARCH(","&amp;TRIM(TEXTSPLIT(EG40,","))&amp;",",","&amp;SUBSTITUTE(input_faculty_discipline," ","")&amp;",")))=0)),IF(EI40="",TRUE,IF(input_faculty_discipline="",FALSE,SUMPRODUCT(--ISNUMBER(SEARCH(","&amp;TRIM(TEXTSPLIT(EI40,","))&amp;",",","&amp;SUBSTITUTE(input_faculty_discipline," ","")&amp;",")))&gt;0)),IF(EK40="",TRUE,IF(input_faculty_discipline="",FALSE,SUMPRODUCT(--ISNUMBER(SEARCH(","&amp;TRIM(TEXTSPLIT(EK40,","))&amp;",",","&amp;SUBSTITUTE(input_faculty_discipline," ","")&amp;",")))=COUNTA(TEXTSPLIT(EK40,",")))))</f>
        <v/>
      </c>
      <c r="JG40" s="19">
        <f>AND(IF(EM40="",TRUE,IF(input_faculty_expertise="",FALSE,SUMPRODUCT(--ISNUMBER(SEARCH(","&amp;TRIM(TEXTSPLIT(EM40,","))&amp;",",","&amp;SUBSTITUTE(input_faculty_expertise," ","")&amp;",")))&gt;0)),IF(EO40="",TRUE,IF(input_faculty_expertise="",FALSE,SUMPRODUCT(--ISNUMBER(SEARCH(","&amp;TRIM(TEXTSPLIT(EO40,","))&amp;",",","&amp;SUBSTITUTE(input_faculty_expertise," ","")&amp;",")))=COUNTA(TEXTSPLIT(EO40,",")))),IF(EQ40="",TRUE,IF(input_faculty_expertise="",TRUE,SUMPRODUCT(--ISNUMBER(SEARCH(","&amp;TRIM(TEXTSPLIT(EQ40,","))&amp;",",","&amp;SUBSTITUTE(input_faculty_expertise," ","")&amp;",")))=0)),IF(ES40="",TRUE,IF(input_faculty_expertise="",FALSE,SUMPRODUCT(--ISNUMBER(SEARCH(","&amp;TRIM(TEXTSPLIT(ES40,","))&amp;",",","&amp;SUBSTITUTE(input_faculty_expertise," ","")&amp;",")))&gt;0)),IF(EU40="",TRUE,IF(input_faculty_expertise="",FALSE,SUMPRODUCT(--ISNUMBER(SEARCH(","&amp;TRIM(TEXTSPLIT(EU40,","))&amp;",",","&amp;SUBSTITUTE(input_faculty_expertise," ","")&amp;",")))=COUNTA(TEXTSPLIT(EU40,",")))))</f>
        <v/>
      </c>
      <c r="JH40" s="19">
        <f>AND(IF(EW40="",TRUE,IF(input_global_network_school="",FALSE,SUMPRODUCT(--ISNUMBER(SEARCH(","&amp;TRIM(TEXTSPLIT(EW40,","))&amp;",",","&amp;SUBSTITUTE(input_global_network_school," ","")&amp;",")))&gt;0)),IF(EY40="",TRUE,IF(input_global_network_school="",FALSE,SUMPRODUCT(--ISNUMBER(SEARCH(","&amp;TRIM(TEXTSPLIT(EY40,","))&amp;",",","&amp;SUBSTITUTE(input_global_network_school," ","")&amp;",")))=COUNTA(TEXTSPLIT(EY40,",")))),IF(FA40="",TRUE,IF(input_global_network_school="",TRUE,SUMPRODUCT(--ISNUMBER(SEARCH(","&amp;TRIM(TEXTSPLIT(FA40,","))&amp;",",","&amp;SUBSTITUTE(input_global_network_school," ","")&amp;",")))=0)),IF(FC40="",TRUE,IF(input_global_network_school="",FALSE,SUMPRODUCT(--ISNUMBER(SEARCH(","&amp;TRIM(TEXTSPLIT(FC40,","))&amp;",",","&amp;SUBSTITUTE(input_global_network_school," ","")&amp;",")))&gt;0)),IF(FE40="",TRUE,IF(input_global_network_school="",FALSE,SUMPRODUCT(--ISNUMBER(SEARCH(","&amp;TRIM(TEXTSPLIT(FE40,","))&amp;",",","&amp;SUBSTITUTE(input_global_network_school," ","")&amp;",")))=COUNTA(TEXTSPLIT(FE40,",")))))</f>
        <v/>
      </c>
      <c r="JI40" s="19">
        <f>AND(IF(FG40="",TRUE,IF(input_industry="",FALSE,SUMPRODUCT(--ISNUMBER(SEARCH(","&amp;TRIM(TEXTSPLIT(FG40,","))&amp;",",","&amp;SUBSTITUTE(input_industry," ","")&amp;",")))&gt;0)),IF(FI40="",TRUE,IF(input_industry="",FALSE,SUMPRODUCT(--ISNUMBER(SEARCH(","&amp;TRIM(TEXTSPLIT(FI40,","))&amp;",",","&amp;SUBSTITUTE(input_industry," ","")&amp;",")))=COUNTA(TEXTSPLIT(FI40,",")))),IF(FK40="",TRUE,IF(input_industry="",TRUE,SUMPRODUCT(--ISNUMBER(SEARCH(","&amp;TRIM(TEXTSPLIT(FK40,","))&amp;",",","&amp;SUBSTITUTE(input_industry," ","")&amp;",")))=0)),IF(FM40="",TRUE,IF(input_industry="",FALSE,SUMPRODUCT(--ISNUMBER(SEARCH(","&amp;TRIM(TEXTSPLIT(FM40,","))&amp;",",","&amp;SUBSTITUTE(input_industry," ","")&amp;",")))&gt;0)),IF(FO40="",TRUE,IF(input_industry="",FALSE,SUMPRODUCT(--ISNUMBER(SEARCH(","&amp;TRIM(TEXTSPLIT(FO40,","))&amp;",",","&amp;SUBSTITUTE(input_industry," ","")&amp;",")))=COUNTA(TEXTSPLIT(FO40,",")))))</f>
        <v/>
      </c>
      <c r="JJ40" s="19">
        <f>AND(IF(FQ40="",TRUE,IF(input_location="",FALSE,SUMPRODUCT(--ISNUMBER(SEARCH(","&amp;TRIM(TEXTSPLIT(FQ40,","))&amp;",",","&amp;SUBSTITUTE(input_location," ","")&amp;",")))&gt;0)),IF(FS40="",TRUE,IF(input_location="",FALSE,SUMPRODUCT(--ISNUMBER(SEARCH(","&amp;TRIM(TEXTSPLIT(FS40,","))&amp;",",","&amp;SUBSTITUTE(input_location," ","")&amp;",")))=COUNTA(TEXTSPLIT(FS40,",")))),IF(FU40="",TRUE,IF(input_location="",TRUE,SUMPRODUCT(--ISNUMBER(SEARCH(","&amp;TRIM(TEXTSPLIT(FU40,","))&amp;",",","&amp;SUBSTITUTE(input_location," ","")&amp;",")))=0)),IF(FW40="",TRUE,IF(input_location="",FALSE,SUMPRODUCT(--ISNUMBER(SEARCH(","&amp;TRIM(TEXTSPLIT(FW40,","))&amp;",",","&amp;SUBSTITUTE(input_location," ","")&amp;",")))&gt;0)),IF(FY40="",TRUE,IF(input_location="",FALSE,SUMPRODUCT(--ISNUMBER(SEARCH(","&amp;TRIM(TEXTSPLIT(FY40,","))&amp;",",","&amp;SUBSTITUTE(input_location," ","")&amp;",")))=COUNTA(TEXTSPLIT(FY40,",")))))</f>
        <v/>
      </c>
      <c r="JK40" s="19">
        <f>AND(IF(GA40="",TRUE,IF(input_modality="",FALSE,SUMPRODUCT(--ISNUMBER(SEARCH(","&amp;TRIM(TEXTSPLIT(GA40,","))&amp;",",","&amp;SUBSTITUTE(input_modality," ","")&amp;",")))&gt;0)),IF(GC40="",TRUE,IF(input_modality="",FALSE,SUMPRODUCT(--ISNUMBER(SEARCH(","&amp;TRIM(TEXTSPLIT(GC40,","))&amp;",",","&amp;SUBSTITUTE(input_modality," ","")&amp;",")))=COUNTA(TEXTSPLIT(GC40,",")))),IF(GE40="",TRUE,IF(input_modality="",TRUE,SUMPRODUCT(--ISNUMBER(SEARCH(","&amp;TRIM(TEXTSPLIT(GE40,","))&amp;",",","&amp;SUBSTITUTE(input_modality," ","")&amp;",")))=0)),IF(GG40="",TRUE,IF(input_modality="",FALSE,SUMPRODUCT(--ISNUMBER(SEARCH(","&amp;TRIM(TEXTSPLIT(GG40,","))&amp;",",","&amp;SUBSTITUTE(input_modality," ","")&amp;",")))&gt;0)),IF(GI40="",TRUE,IF(input_modality="",FALSE,SUMPRODUCT(--ISNUMBER(SEARCH(","&amp;TRIM(TEXTSPLIT(GI40,","))&amp;",",","&amp;SUBSTITUTE(input_modality," ","")&amp;",")))=COUNTA(TEXTSPLIT(GI40,",")))))</f>
        <v/>
      </c>
      <c r="JL40" s="19">
        <f>AND(IF(GK40="",TRUE,IF(input_organizer="",FALSE,SUMPRODUCT(--ISNUMBER(SEARCH(","&amp;TRIM(TEXTSPLIT(GK40,","))&amp;",",","&amp;SUBSTITUTE(input_organizer," ","")&amp;",")))&gt;0)),IF(GM40="",TRUE,IF(input_organizer="",FALSE,SUMPRODUCT(--ISNUMBER(SEARCH(","&amp;TRIM(TEXTSPLIT(GM40,","))&amp;",",","&amp;SUBSTITUTE(input_organizer," ","")&amp;",")))=COUNTA(TEXTSPLIT(GM40,",")))),IF(GO40="",TRUE,IF(input_organizer="",TRUE,SUMPRODUCT(--ISNUMBER(SEARCH(","&amp;TRIM(TEXTSPLIT(GO40,","))&amp;",",","&amp;SUBSTITUTE(input_organizer," ","")&amp;",")))=0)),IF(GQ40="",TRUE,IF(input_organizer="",FALSE,SUMPRODUCT(--ISNUMBER(SEARCH(","&amp;TRIM(TEXTSPLIT(GQ40,","))&amp;",",","&amp;SUBSTITUTE(input_organizer," ","")&amp;",")))&gt;0)),IF(GS40="",TRUE,IF(input_organizer="",FALSE,SUMPRODUCT(--ISNUMBER(SEARCH(","&amp;TRIM(TEXTSPLIT(GS40,","))&amp;",",","&amp;SUBSTITUTE(input_organizer," ","")&amp;",")))=COUNTA(TEXTSPLIT(GS40,",")))))</f>
        <v/>
      </c>
      <c r="JM40" s="19">
        <f>AND(IF(GU40="",TRUE,IF(input_profile_type="",FALSE,SUMPRODUCT(--ISNUMBER(SEARCH(","&amp;TRIM(TEXTSPLIT(GU40,","))&amp;",",","&amp;SUBSTITUTE(input_profile_type," ","")&amp;",")))&gt;0)),IF(GW40="",TRUE,IF(input_profile_type="",FALSE,SUMPRODUCT(--ISNUMBER(SEARCH(","&amp;TRIM(TEXTSPLIT(GW40,","))&amp;",",","&amp;SUBSTITUTE(input_profile_type," ","")&amp;",")))=COUNTA(TEXTSPLIT(GW40,",")))),IF(GY40="",TRUE,IF(input_profile_type="",TRUE,SUMPRODUCT(--ISNUMBER(SEARCH(","&amp;TRIM(TEXTSPLIT(GY40,","))&amp;",",","&amp;SUBSTITUTE(input_profile_type," ","")&amp;",")))=0)),IF(HA40="",TRUE,IF(input_profile_type="",FALSE,SUMPRODUCT(--ISNUMBER(SEARCH(","&amp;TRIM(TEXTSPLIT(HA40,","))&amp;",",","&amp;SUBSTITUTE(input_profile_type," ","")&amp;",")))&gt;0)),IF(HC40="",TRUE,IF(input_profile_type="",FALSE,SUMPRODUCT(--ISNUMBER(SEARCH(","&amp;TRIM(TEXTSPLIT(HC40,","))&amp;",",","&amp;SUBSTITUTE(input_profile_type," ","")&amp;",")))=COUNTA(TEXTSPLIT(HC40,",")))))</f>
        <v/>
      </c>
      <c r="JN40" s="19">
        <f>AND(IF(HE40="",TRUE,IF(input_program="",FALSE,SUMPRODUCT(--ISNUMBER(SEARCH(","&amp;TRIM(TEXTSPLIT(HE40,","))&amp;",",","&amp;SUBSTITUTE(input_program," ","")&amp;",")))&gt;0)),IF(HG40="",TRUE,IF(input_program="",FALSE,SUMPRODUCT(--ISNUMBER(SEARCH(","&amp;TRIM(TEXTSPLIT(HG40,","))&amp;",",","&amp;SUBSTITUTE(input_program," ","")&amp;",")))=COUNTA(TEXTSPLIT(HG40,",")))),IF(HI40="",TRUE,IF(input_program="",TRUE,SUMPRODUCT(--ISNUMBER(SEARCH(","&amp;TRIM(TEXTSPLIT(HI40,","))&amp;",",","&amp;SUBSTITUTE(input_program," ","")&amp;",")))=0)),IF(HK40="",TRUE,IF(input_program="",FALSE,SUMPRODUCT(--ISNUMBER(SEARCH(","&amp;TRIM(TEXTSPLIT(HK40,","))&amp;",",","&amp;SUBSTITUTE(input_program," ","")&amp;",")))&gt;0)),IF(HM40="",TRUE,IF(input_program="",FALSE,SUMPRODUCT(--ISNUMBER(SEARCH(","&amp;TRIM(TEXTSPLIT(HM40,","))&amp;",",","&amp;SUBSTITUTE(input_program," ","")&amp;",")))=COUNTA(TEXTSPLIT(HM40,",")))))</f>
        <v/>
      </c>
      <c r="JO40" s="19">
        <f>AND(IF(HO40="",TRUE,IF(input_story_categories="",FALSE,SUMPRODUCT(--ISNUMBER(SEARCH(","&amp;TRIM(TEXTSPLIT(HO40,","))&amp;",",","&amp;SUBSTITUTE(input_story_categories," ","")&amp;",")))&gt;0)),IF(HQ40="",TRUE,IF(input_story_categories="",FALSE,SUMPRODUCT(--ISNUMBER(SEARCH(","&amp;TRIM(TEXTSPLIT(HQ40,","))&amp;",",","&amp;SUBSTITUTE(input_story_categories," ","")&amp;",")))=COUNTA(TEXTSPLIT(HQ40,",")))),IF(HS40="",TRUE,IF(input_story_categories="",TRUE,SUMPRODUCT(--ISNUMBER(SEARCH(","&amp;TRIM(TEXTSPLIT(HS40,","))&amp;",",","&amp;SUBSTITUTE(input_story_categories," ","")&amp;",")))=0)),IF(HU40="",TRUE,IF(input_story_categories="",FALSE,SUMPRODUCT(--ISNUMBER(SEARCH(","&amp;TRIM(TEXTSPLIT(HU40,","))&amp;",",","&amp;SUBSTITUTE(input_story_categories," ","")&amp;",")))&gt;0)),IF(HW40="",TRUE,IF(input_story_categories="",FALSE,SUMPRODUCT(--ISNUMBER(SEARCH(","&amp;TRIM(TEXTSPLIT(HW40,","))&amp;",",","&amp;SUBSTITUTE(input_story_categories," ","")&amp;",")))=COUNTA(TEXTSPLIT(HW40,",")))))</f>
        <v/>
      </c>
      <c r="JP40" s="19">
        <f>AND(IF(HY40="",TRUE,IF(input_story_type="",FALSE,SUMPRODUCT(--ISNUMBER(SEARCH(","&amp;TRIM(TEXTSPLIT(HY40,","))&amp;",",","&amp;SUBSTITUTE(input_story_type," ","")&amp;",")))&gt;0)),IF(IA40="",TRUE,IF(input_story_type="",FALSE,SUMPRODUCT(--ISNUMBER(SEARCH(","&amp;TRIM(TEXTSPLIT(IA40,","))&amp;",",","&amp;SUBSTITUTE(input_story_type," ","")&amp;",")))=COUNTA(TEXTSPLIT(IA40,",")))),IF(IC40="",TRUE,IF(input_story_type="",TRUE,SUMPRODUCT(--ISNUMBER(SEARCH(","&amp;TRIM(TEXTSPLIT(IC40,","))&amp;",",","&amp;SUBSTITUTE(input_story_type," ","")&amp;",")))=0)),IF(IE40="",TRUE,IF(input_story_type="",FALSE,SUMPRODUCT(--ISNUMBER(SEARCH(","&amp;TRIM(TEXTSPLIT(IE40,","))&amp;",",","&amp;SUBSTITUTE(input_story_type," ","")&amp;",")))&gt;0)),IF(IG40="",TRUE,IF(input_story_type="",FALSE,SUMPRODUCT(--ISNUMBER(SEARCH(","&amp;TRIM(TEXTSPLIT(IG40,","))&amp;",",","&amp;SUBSTITUTE(input_story_type," ","")&amp;",")))=COUNTA(TEXTSPLIT(IG40,",")))))</f>
        <v/>
      </c>
      <c r="JQ40" s="19">
        <f>AND(IF(II40="",TRUE,IF(input_topics="",FALSE,SUMPRODUCT(--ISNUMBER(SEARCH(","&amp;TRIM(TEXTSPLIT(II40,","))&amp;",",","&amp;SUBSTITUTE(input_topics," ","")&amp;",")))&gt;0)),IF(IK40="",TRUE,IF(input_topics="",FALSE,SUMPRODUCT(--ISNUMBER(SEARCH(","&amp;TRIM(TEXTSPLIT(IK40,","))&amp;",",","&amp;SUBSTITUTE(input_topics," ","")&amp;",")))=COUNTA(TEXTSPLIT(IK40,",")))),IF(IM40="",TRUE,IF(input_topics="",TRUE,SUMPRODUCT(--ISNUMBER(SEARCH(","&amp;TRIM(TEXTSPLIT(IM40,","))&amp;",",","&amp;SUBSTITUTE(input_topics," ","")&amp;",")))=0)),IF(IO40="",TRUE,IF(input_topics="",FALSE,SUMPRODUCT(--ISNUMBER(SEARCH(","&amp;TRIM(TEXTSPLIT(IO40,","))&amp;",",","&amp;SUBSTITUTE(input_topics," ","")&amp;",")))&gt;0)),IF(IQ40="",TRUE,IF(input_topics="",FALSE,SUMPRODUCT(--ISNUMBER(SEARCH(","&amp;TRIM(TEXTSPLIT(IQ40,","))&amp;",",","&amp;SUBSTITUTE(input_topics," ","")&amp;",")))=COUNTA(TEXTSPLIT(IQ40,",")))))</f>
        <v/>
      </c>
    </row>
    <row r="41">
      <c r="A41" s="24">
        <f>IF(NOT(IS41),"Excluded",IF(AND(IT41,IU41,IV41,IW41,IX41,IY41,IZ41,JA41,JB41,JC41,JD41,JE41,JF41,JG41,JH41,JI41,JJ41,JK41,JL41,JM41,JN41,JO41,JP41,JQ41),IF(I41&gt;0,"Eligible but limited","Will appear"),"Excluded"))</f>
        <v/>
      </c>
      <c r="B41" s="24" t="inlineStr">
        <is>
          <t>All Publications by Author</t>
        </is>
      </c>
      <c r="C41" s="27" t="inlineStr">
        <is>
          <t>/faculty-research/faculty-directory/laura-adler</t>
        </is>
      </c>
      <c r="D41" s="24" t="inlineStr">
        <is>
          <t>/faculty-research/faculty-directory/laura-adler</t>
        </is>
      </c>
      <c r="E41" s="24" t="n">
        <v>1</v>
      </c>
      <c r="F41" s="24" t="inlineStr">
        <is>
          <t>publications</t>
        </is>
      </c>
      <c r="G41" s="24" t="inlineStr">
        <is>
          <t>publication_teaser_list</t>
        </is>
      </c>
      <c r="H41" s="24" t="inlineStr">
        <is>
          <t>publication_teaser_list_all_by_author</t>
        </is>
      </c>
      <c r="I41" s="24" t="n"/>
      <c r="J41" s="24" t="inlineStr">
        <is>
          <t>View/config rules</t>
        </is>
      </c>
      <c r="K41" s="24" t="inlineStr">
        <is>
          <t>Page placement</t>
        </is>
      </c>
      <c r="L41" s="24" t="inlineStr">
        <is>
          <t>Content type: publications; Source: View/config rules</t>
        </is>
      </c>
      <c r="IS41" s="19">
        <f>IF(input_content_type="",FALSE,ISNUMBER(SEARCH(","&amp;LOWER(input_content_type)&amp;",",","&amp;LOWER(SUBSTITUTE(F41," ",""))&amp;",")))</f>
        <v/>
      </c>
      <c r="IT41" s="19">
        <f>AND(IF(M41="",TRUE,IF(input_affiliations="",FALSE,SUMPRODUCT(--ISNUMBER(SEARCH(","&amp;TRIM(TEXTSPLIT(M41,","))&amp;",",","&amp;SUBSTITUTE(input_affiliations," ","")&amp;",")))&gt;0)),IF(O41="",TRUE,IF(input_affiliations="",FALSE,SUMPRODUCT(--ISNUMBER(SEARCH(","&amp;TRIM(TEXTSPLIT(O41,","))&amp;",",","&amp;SUBSTITUTE(input_affiliations," ","")&amp;",")))=COUNTA(TEXTSPLIT(O41,",")))),IF(Q41="",TRUE,IF(input_affiliations="",TRUE,SUMPRODUCT(--ISNUMBER(SEARCH(","&amp;TRIM(TEXTSPLIT(Q41,","))&amp;",",","&amp;SUBSTITUTE(input_affiliations," ","")&amp;",")))=0)),IF(S41="",TRUE,IF(input_affiliations="",FALSE,SUMPRODUCT(--ISNUMBER(SEARCH(","&amp;TRIM(TEXTSPLIT(S41,","))&amp;",",","&amp;SUBSTITUTE(input_affiliations," ","")&amp;",")))&gt;0)),IF(U41="",TRUE,IF(input_affiliations="",FALSE,SUMPRODUCT(--ISNUMBER(SEARCH(","&amp;TRIM(TEXTSPLIT(U41,","))&amp;",",","&amp;SUBSTITUTE(input_affiliations," ","")&amp;",")))=COUNTA(TEXTSPLIT(U41,",")))))</f>
        <v/>
      </c>
      <c r="IU41" s="19">
        <f>AND(IF(W41="",TRUE,IF(input_announcement_category="",FALSE,SUMPRODUCT(--ISNUMBER(SEARCH(","&amp;TRIM(TEXTSPLIT(W41,","))&amp;",",","&amp;SUBSTITUTE(input_announcement_category," ","")&amp;",")))&gt;0)),IF(Y41="",TRUE,IF(input_announcement_category="",FALSE,SUMPRODUCT(--ISNUMBER(SEARCH(","&amp;TRIM(TEXTSPLIT(Y41,","))&amp;",",","&amp;SUBSTITUTE(input_announcement_category," ","")&amp;",")))=COUNTA(TEXTSPLIT(Y41,",")))),IF(AA41="",TRUE,IF(input_announcement_category="",TRUE,SUMPRODUCT(--ISNUMBER(SEARCH(","&amp;TRIM(TEXTSPLIT(AA41,","))&amp;",",","&amp;SUBSTITUTE(input_announcement_category," ","")&amp;",")))=0)),IF(AC41="",TRUE,IF(input_announcement_category="",FALSE,SUMPRODUCT(--ISNUMBER(SEARCH(","&amp;TRIM(TEXTSPLIT(AC41,","))&amp;",",","&amp;SUBSTITUTE(input_announcement_category," ","")&amp;",")))&gt;0)),IF(AE41="",TRUE,IF(input_announcement_category="",FALSE,SUMPRODUCT(--ISNUMBER(SEARCH(","&amp;TRIM(TEXTSPLIT(AE41,","))&amp;",",","&amp;SUBSTITUTE(input_announcement_category," ","")&amp;",")))=COUNTA(TEXTSPLIT(AE41,",")))))</f>
        <v/>
      </c>
      <c r="IV41" s="19">
        <f>AND(IF(AG41="",TRUE,IF(input_area_of_focus="",FALSE,SUMPRODUCT(--ISNUMBER(SEARCH(","&amp;TRIM(TEXTSPLIT(AG41,","))&amp;",",","&amp;SUBSTITUTE(input_area_of_focus," ","")&amp;",")))&gt;0)),IF(AI41="",TRUE,IF(input_area_of_focus="",FALSE,SUMPRODUCT(--ISNUMBER(SEARCH(","&amp;TRIM(TEXTSPLIT(AI41,","))&amp;",",","&amp;SUBSTITUTE(input_area_of_focus," ","")&amp;",")))=COUNTA(TEXTSPLIT(AI41,",")))),IF(AK41="",TRUE,IF(input_area_of_focus="",TRUE,SUMPRODUCT(--ISNUMBER(SEARCH(","&amp;TRIM(TEXTSPLIT(AK41,","))&amp;",",","&amp;SUBSTITUTE(input_area_of_focus," ","")&amp;",")))=0)),IF(AM41="",TRUE,IF(input_area_of_focus="",FALSE,SUMPRODUCT(--ISNUMBER(SEARCH(","&amp;TRIM(TEXTSPLIT(AM41,","))&amp;",",","&amp;SUBSTITUTE(input_area_of_focus," ","")&amp;",")))&gt;0)),IF(AO41="",TRUE,IF(input_area_of_focus="",FALSE,SUMPRODUCT(--ISNUMBER(SEARCH(","&amp;TRIM(TEXTSPLIT(AO41,","))&amp;",",","&amp;SUBSTITUTE(input_area_of_focus," ","")&amp;",")))=COUNTA(TEXTSPLIT(AO41,",")))))</f>
        <v/>
      </c>
      <c r="IW41" s="19">
        <f>AND(IF(AQ41="",TRUE,IF(input_audience="",FALSE,SUMPRODUCT(--ISNUMBER(SEARCH(","&amp;TRIM(TEXTSPLIT(AQ41,","))&amp;",",","&amp;SUBSTITUTE(input_audience," ","")&amp;",")))&gt;0)),IF(AS41="",TRUE,IF(input_audience="",FALSE,SUMPRODUCT(--ISNUMBER(SEARCH(","&amp;TRIM(TEXTSPLIT(AS41,","))&amp;",",","&amp;SUBSTITUTE(input_audience," ","")&amp;",")))=COUNTA(TEXTSPLIT(AS41,",")))),IF(AU41="",TRUE,IF(input_audience="",TRUE,SUMPRODUCT(--ISNUMBER(SEARCH(","&amp;TRIM(TEXTSPLIT(AU41,","))&amp;",",","&amp;SUBSTITUTE(input_audience," ","")&amp;",")))=0)),IF(AW41="",TRUE,IF(input_audience="",FALSE,SUMPRODUCT(--ISNUMBER(SEARCH(","&amp;TRIM(TEXTSPLIT(AW41,","))&amp;",",","&amp;SUBSTITUTE(input_audience," ","")&amp;",")))&gt;0)),IF(AY41="",TRUE,IF(input_audience="",FALSE,SUMPRODUCT(--ISNUMBER(SEARCH(","&amp;TRIM(TEXTSPLIT(AY41,","))&amp;",",","&amp;SUBSTITUTE(input_audience," ","")&amp;",")))=COUNTA(TEXTSPLIT(AY41,",")))))</f>
        <v/>
      </c>
      <c r="IX41" s="19">
        <f>AND(IF(BA41="",TRUE,IF(input_challenge_opportunities="",FALSE,SUMPRODUCT(--ISNUMBER(SEARCH(","&amp;TRIM(TEXTSPLIT(BA41,","))&amp;",",","&amp;SUBSTITUTE(input_challenge_opportunities," ","")&amp;",")))&gt;0)),IF(BC41="",TRUE,IF(input_challenge_opportunities="",FALSE,SUMPRODUCT(--ISNUMBER(SEARCH(","&amp;TRIM(TEXTSPLIT(BC41,","))&amp;",",","&amp;SUBSTITUTE(input_challenge_opportunities," ","")&amp;",")))=COUNTA(TEXTSPLIT(BC41,",")))),IF(BE41="",TRUE,IF(input_challenge_opportunities="",TRUE,SUMPRODUCT(--ISNUMBER(SEARCH(","&amp;TRIM(TEXTSPLIT(BE41,","))&amp;",",","&amp;SUBSTITUTE(input_challenge_opportunities," ","")&amp;",")))=0)),IF(BG41="",TRUE,IF(input_challenge_opportunities="",FALSE,SUMPRODUCT(--ISNUMBER(SEARCH(","&amp;TRIM(TEXTSPLIT(BG41,","))&amp;",",","&amp;SUBSTITUTE(input_challenge_opportunities," ","")&amp;",")))&gt;0)),IF(BI41="",TRUE,IF(input_challenge_opportunities="",FALSE,SUMPRODUCT(--ISNUMBER(SEARCH(","&amp;TRIM(TEXTSPLIT(BI41,","))&amp;",",","&amp;SUBSTITUTE(input_challenge_opportunities," ","")&amp;",")))=COUNTA(TEXTSPLIT(BI41,",")))))</f>
        <v/>
      </c>
      <c r="IY41" s="19">
        <f>AND(IF(BK41="",TRUE,IF(input_context="",FALSE,SUMPRODUCT(--ISNUMBER(SEARCH(","&amp;TRIM(TEXTSPLIT(BK41,","))&amp;",",","&amp;SUBSTITUTE(input_context," ","")&amp;",")))&gt;0)),IF(BM41="",TRUE,IF(input_context="",FALSE,SUMPRODUCT(--ISNUMBER(SEARCH(","&amp;TRIM(TEXTSPLIT(BM41,","))&amp;",",","&amp;SUBSTITUTE(input_context," ","")&amp;",")))=COUNTA(TEXTSPLIT(BM41,",")))),IF(BO41="",TRUE,IF(input_context="",TRUE,SUMPRODUCT(--ISNUMBER(SEARCH(","&amp;TRIM(TEXTSPLIT(BO41,","))&amp;",",","&amp;SUBSTITUTE(input_context," ","")&amp;",")))=0)),IF(BQ41="",TRUE,IF(input_context="",FALSE,SUMPRODUCT(--ISNUMBER(SEARCH(","&amp;TRIM(TEXTSPLIT(BQ41,","))&amp;",",","&amp;SUBSTITUTE(input_context," ","")&amp;",")))&gt;0)),IF(BS41="",TRUE,IF(input_context="",FALSE,SUMPRODUCT(--ISNUMBER(SEARCH(","&amp;TRIM(TEXTSPLIT(BS41,","))&amp;",",","&amp;SUBSTITUTE(input_context," ","")&amp;",")))=COUNTA(TEXTSPLIT(BS41,",")))))</f>
        <v/>
      </c>
      <c r="IZ41" s="19">
        <f>AND(IF(BU41="",TRUE,IF(input_enews_announcement_type="",FALSE,SUMPRODUCT(--ISNUMBER(SEARCH(","&amp;TRIM(TEXTSPLIT(BU41,","))&amp;",",","&amp;SUBSTITUTE(input_enews_announcement_type," ","")&amp;",")))&gt;0)),IF(BW41="",TRUE,IF(input_enews_announcement_type="",FALSE,SUMPRODUCT(--ISNUMBER(SEARCH(","&amp;TRIM(TEXTSPLIT(BW41,","))&amp;",",","&amp;SUBSTITUTE(input_enews_announcement_type," ","")&amp;",")))=COUNTA(TEXTSPLIT(BW41,",")))),IF(BY41="",TRUE,IF(input_enews_announcement_type="",TRUE,SUMPRODUCT(--ISNUMBER(SEARCH(","&amp;TRIM(TEXTSPLIT(BY41,","))&amp;",",","&amp;SUBSTITUTE(input_enews_announcement_type," ","")&amp;",")))=0)),IF(CA41="",TRUE,IF(input_enews_announcement_type="",FALSE,SUMPRODUCT(--ISNUMBER(SEARCH(","&amp;TRIM(TEXTSPLIT(CA41,","))&amp;",",","&amp;SUBSTITUTE(input_enews_announcement_type," ","")&amp;",")))&gt;0)),IF(CC41="",TRUE,IF(input_enews_announcement_type="",FALSE,SUMPRODUCT(--ISNUMBER(SEARCH(","&amp;TRIM(TEXTSPLIT(CC41,","))&amp;",",","&amp;SUBSTITUTE(input_enews_announcement_type," ","")&amp;",")))=COUNTA(TEXTSPLIT(CC41,",")))))</f>
        <v/>
      </c>
      <c r="JA41" s="19">
        <f>AND(IF(CE41="",TRUE,IF(input_enews_audience="",FALSE,SUMPRODUCT(--ISNUMBER(SEARCH(","&amp;TRIM(TEXTSPLIT(CE41,","))&amp;",",","&amp;SUBSTITUTE(input_enews_audience," ","")&amp;",")))&gt;0)),IF(CG41="",TRUE,IF(input_enews_audience="",FALSE,SUMPRODUCT(--ISNUMBER(SEARCH(","&amp;TRIM(TEXTSPLIT(CG41,","))&amp;",",","&amp;SUBSTITUTE(input_enews_audience," ","")&amp;",")))=COUNTA(TEXTSPLIT(CG41,",")))),IF(CI41="",TRUE,IF(input_enews_audience="",TRUE,SUMPRODUCT(--ISNUMBER(SEARCH(","&amp;TRIM(TEXTSPLIT(CI41,","))&amp;",",","&amp;SUBSTITUTE(input_enews_audience," ","")&amp;",")))=0)),IF(CK41="",TRUE,IF(input_enews_audience="",FALSE,SUMPRODUCT(--ISNUMBER(SEARCH(","&amp;TRIM(TEXTSPLIT(CK41,","))&amp;",",","&amp;SUBSTITUTE(input_enews_audience," ","")&amp;",")))&gt;0)),IF(CM41="",TRUE,IF(input_enews_audience="",FALSE,SUMPRODUCT(--ISNUMBER(SEARCH(","&amp;TRIM(TEXTSPLIT(CM41,","))&amp;",",","&amp;SUBSTITUTE(input_enews_audience," ","")&amp;",")))=COUNTA(TEXTSPLIT(CM41,",")))))</f>
        <v/>
      </c>
      <c r="JB41" s="19">
        <f>AND(IF(CO41="",TRUE,IF(input_event_location="",FALSE,SUMPRODUCT(--ISNUMBER(SEARCH(","&amp;TRIM(TEXTSPLIT(CO41,","))&amp;",",","&amp;SUBSTITUTE(input_event_location," ","")&amp;",")))&gt;0)),IF(CQ41="",TRUE,IF(input_event_location="",FALSE,SUMPRODUCT(--ISNUMBER(SEARCH(","&amp;TRIM(TEXTSPLIT(CQ41,","))&amp;",",","&amp;SUBSTITUTE(input_event_location," ","")&amp;",")))=COUNTA(TEXTSPLIT(CQ41,",")))),IF(CS41="",TRUE,IF(input_event_location="",TRUE,SUMPRODUCT(--ISNUMBER(SEARCH(","&amp;TRIM(TEXTSPLIT(CS41,","))&amp;",",","&amp;SUBSTITUTE(input_event_location," ","")&amp;",")))=0)),IF(CU41="",TRUE,IF(input_event_location="",FALSE,SUMPRODUCT(--ISNUMBER(SEARCH(","&amp;TRIM(TEXTSPLIT(CU41,","))&amp;",",","&amp;SUBSTITUTE(input_event_location," ","")&amp;",")))&gt;0)),IF(CW41="",TRUE,IF(input_event_location="",FALSE,SUMPRODUCT(--ISNUMBER(SEARCH(","&amp;TRIM(TEXTSPLIT(CW41,","))&amp;",",","&amp;SUBSTITUTE(input_event_location," ","")&amp;",")))=COUNTA(TEXTSPLIT(CW41,",")))))</f>
        <v/>
      </c>
      <c r="JC41" s="19">
        <f>AND(IF(CY41="",TRUE,IF(input_event_type="",FALSE,SUMPRODUCT(--ISNUMBER(SEARCH(","&amp;TRIM(TEXTSPLIT(CY41,","))&amp;",",","&amp;SUBSTITUTE(input_event_type," ","")&amp;",")))&gt;0)),IF(DA41="",TRUE,IF(input_event_type="",FALSE,SUMPRODUCT(--ISNUMBER(SEARCH(","&amp;TRIM(TEXTSPLIT(DA41,","))&amp;",",","&amp;SUBSTITUTE(input_event_type," ","")&amp;",")))=COUNTA(TEXTSPLIT(DA41,",")))),IF(DC41="",TRUE,IF(input_event_type="",TRUE,SUMPRODUCT(--ISNUMBER(SEARCH(","&amp;TRIM(TEXTSPLIT(DC41,","))&amp;",",","&amp;SUBSTITUTE(input_event_type," ","")&amp;",")))=0)),IF(DE41="",TRUE,IF(input_event_type="",FALSE,SUMPRODUCT(--ISNUMBER(SEARCH(","&amp;TRIM(TEXTSPLIT(DE41,","))&amp;",",","&amp;SUBSTITUTE(input_event_type," ","")&amp;",")))&gt;0)),IF(DG41="",TRUE,IF(input_event_type="",FALSE,SUMPRODUCT(--ISNUMBER(SEARCH(","&amp;TRIM(TEXTSPLIT(DG41,","))&amp;",",","&amp;SUBSTITUTE(input_event_type," ","")&amp;",")))=COUNTA(TEXTSPLIT(DG41,",")))))</f>
        <v/>
      </c>
      <c r="JD41" s="19">
        <f>AND(IF(DI41="",TRUE,IF(input_executive_education_focus="",FALSE,SUMPRODUCT(--ISNUMBER(SEARCH(","&amp;TRIM(TEXTSPLIT(DI41,","))&amp;",",","&amp;SUBSTITUTE(input_executive_education_focus," ","")&amp;",")))&gt;0)),IF(DK41="",TRUE,IF(input_executive_education_focus="",FALSE,SUMPRODUCT(--ISNUMBER(SEARCH(","&amp;TRIM(TEXTSPLIT(DK41,","))&amp;",",","&amp;SUBSTITUTE(input_executive_education_focus," ","")&amp;",")))=COUNTA(TEXTSPLIT(DK41,",")))),IF(DM41="",TRUE,IF(input_executive_education_focus="",TRUE,SUMPRODUCT(--ISNUMBER(SEARCH(","&amp;TRIM(TEXTSPLIT(DM41,","))&amp;",",","&amp;SUBSTITUTE(input_executive_education_focus," ","")&amp;",")))=0)),IF(DO41="",TRUE,IF(input_executive_education_focus="",FALSE,SUMPRODUCT(--ISNUMBER(SEARCH(","&amp;TRIM(TEXTSPLIT(DO41,","))&amp;",",","&amp;SUBSTITUTE(input_executive_education_focus," ","")&amp;",")))&gt;0)),IF(DQ41="",TRUE,IF(input_executive_education_focus="",FALSE,SUMPRODUCT(--ISNUMBER(SEARCH(","&amp;TRIM(TEXTSPLIT(DQ41,","))&amp;",",","&amp;SUBSTITUTE(input_executive_education_focus," ","")&amp;",")))=COUNTA(TEXTSPLIT(DQ41,",")))))</f>
        <v/>
      </c>
      <c r="JE41" s="19">
        <f>AND(IF(DS41="",TRUE,IF(input_faculty_category="",FALSE,SUMPRODUCT(--ISNUMBER(SEARCH(","&amp;TRIM(TEXTSPLIT(DS41,","))&amp;",",","&amp;SUBSTITUTE(input_faculty_category," ","")&amp;",")))&gt;0)),IF(DU41="",TRUE,IF(input_faculty_category="",FALSE,SUMPRODUCT(--ISNUMBER(SEARCH(","&amp;TRIM(TEXTSPLIT(DU41,","))&amp;",",","&amp;SUBSTITUTE(input_faculty_category," ","")&amp;",")))=COUNTA(TEXTSPLIT(DU41,",")))),IF(DW41="",TRUE,IF(input_faculty_category="",TRUE,SUMPRODUCT(--ISNUMBER(SEARCH(","&amp;TRIM(TEXTSPLIT(DW41,","))&amp;",",","&amp;SUBSTITUTE(input_faculty_category," ","")&amp;",")))=0)),IF(DY41="",TRUE,IF(input_faculty_category="",FALSE,SUMPRODUCT(--ISNUMBER(SEARCH(","&amp;TRIM(TEXTSPLIT(DY41,","))&amp;",",","&amp;SUBSTITUTE(input_faculty_category," ","")&amp;",")))&gt;0)),IF(EA41="",TRUE,IF(input_faculty_category="",FALSE,SUMPRODUCT(--ISNUMBER(SEARCH(","&amp;TRIM(TEXTSPLIT(EA41,","))&amp;",",","&amp;SUBSTITUTE(input_faculty_category," ","")&amp;",")))=COUNTA(TEXTSPLIT(EA41,",")))))</f>
        <v/>
      </c>
      <c r="JF41" s="19">
        <f>AND(IF(EC41="",TRUE,IF(input_faculty_discipline="",FALSE,SUMPRODUCT(--ISNUMBER(SEARCH(","&amp;TRIM(TEXTSPLIT(EC41,","))&amp;",",","&amp;SUBSTITUTE(input_faculty_discipline," ","")&amp;",")))&gt;0)),IF(EE41="",TRUE,IF(input_faculty_discipline="",FALSE,SUMPRODUCT(--ISNUMBER(SEARCH(","&amp;TRIM(TEXTSPLIT(EE41,","))&amp;",",","&amp;SUBSTITUTE(input_faculty_discipline," ","")&amp;",")))=COUNTA(TEXTSPLIT(EE41,",")))),IF(EG41="",TRUE,IF(input_faculty_discipline="",TRUE,SUMPRODUCT(--ISNUMBER(SEARCH(","&amp;TRIM(TEXTSPLIT(EG41,","))&amp;",",","&amp;SUBSTITUTE(input_faculty_discipline," ","")&amp;",")))=0)),IF(EI41="",TRUE,IF(input_faculty_discipline="",FALSE,SUMPRODUCT(--ISNUMBER(SEARCH(","&amp;TRIM(TEXTSPLIT(EI41,","))&amp;",",","&amp;SUBSTITUTE(input_faculty_discipline," ","")&amp;",")))&gt;0)),IF(EK41="",TRUE,IF(input_faculty_discipline="",FALSE,SUMPRODUCT(--ISNUMBER(SEARCH(","&amp;TRIM(TEXTSPLIT(EK41,","))&amp;",",","&amp;SUBSTITUTE(input_faculty_discipline," ","")&amp;",")))=COUNTA(TEXTSPLIT(EK41,",")))))</f>
        <v/>
      </c>
      <c r="JG41" s="19">
        <f>AND(IF(EM41="",TRUE,IF(input_faculty_expertise="",FALSE,SUMPRODUCT(--ISNUMBER(SEARCH(","&amp;TRIM(TEXTSPLIT(EM41,","))&amp;",",","&amp;SUBSTITUTE(input_faculty_expertise," ","")&amp;",")))&gt;0)),IF(EO41="",TRUE,IF(input_faculty_expertise="",FALSE,SUMPRODUCT(--ISNUMBER(SEARCH(","&amp;TRIM(TEXTSPLIT(EO41,","))&amp;",",","&amp;SUBSTITUTE(input_faculty_expertise," ","")&amp;",")))=COUNTA(TEXTSPLIT(EO41,",")))),IF(EQ41="",TRUE,IF(input_faculty_expertise="",TRUE,SUMPRODUCT(--ISNUMBER(SEARCH(","&amp;TRIM(TEXTSPLIT(EQ41,","))&amp;",",","&amp;SUBSTITUTE(input_faculty_expertise," ","")&amp;",")))=0)),IF(ES41="",TRUE,IF(input_faculty_expertise="",FALSE,SUMPRODUCT(--ISNUMBER(SEARCH(","&amp;TRIM(TEXTSPLIT(ES41,","))&amp;",",","&amp;SUBSTITUTE(input_faculty_expertise," ","")&amp;",")))&gt;0)),IF(EU41="",TRUE,IF(input_faculty_expertise="",FALSE,SUMPRODUCT(--ISNUMBER(SEARCH(","&amp;TRIM(TEXTSPLIT(EU41,","))&amp;",",","&amp;SUBSTITUTE(input_faculty_expertise," ","")&amp;",")))=COUNTA(TEXTSPLIT(EU41,",")))))</f>
        <v/>
      </c>
      <c r="JH41" s="19">
        <f>AND(IF(EW41="",TRUE,IF(input_global_network_school="",FALSE,SUMPRODUCT(--ISNUMBER(SEARCH(","&amp;TRIM(TEXTSPLIT(EW41,","))&amp;",",","&amp;SUBSTITUTE(input_global_network_school," ","")&amp;",")))&gt;0)),IF(EY41="",TRUE,IF(input_global_network_school="",FALSE,SUMPRODUCT(--ISNUMBER(SEARCH(","&amp;TRIM(TEXTSPLIT(EY41,","))&amp;",",","&amp;SUBSTITUTE(input_global_network_school," ","")&amp;",")))=COUNTA(TEXTSPLIT(EY41,",")))),IF(FA41="",TRUE,IF(input_global_network_school="",TRUE,SUMPRODUCT(--ISNUMBER(SEARCH(","&amp;TRIM(TEXTSPLIT(FA41,","))&amp;",",","&amp;SUBSTITUTE(input_global_network_school," ","")&amp;",")))=0)),IF(FC41="",TRUE,IF(input_global_network_school="",FALSE,SUMPRODUCT(--ISNUMBER(SEARCH(","&amp;TRIM(TEXTSPLIT(FC41,","))&amp;",",","&amp;SUBSTITUTE(input_global_network_school," ","")&amp;",")))&gt;0)),IF(FE41="",TRUE,IF(input_global_network_school="",FALSE,SUMPRODUCT(--ISNUMBER(SEARCH(","&amp;TRIM(TEXTSPLIT(FE41,","))&amp;",",","&amp;SUBSTITUTE(input_global_network_school," ","")&amp;",")))=COUNTA(TEXTSPLIT(FE41,",")))))</f>
        <v/>
      </c>
      <c r="JI41" s="19">
        <f>AND(IF(FG41="",TRUE,IF(input_industry="",FALSE,SUMPRODUCT(--ISNUMBER(SEARCH(","&amp;TRIM(TEXTSPLIT(FG41,","))&amp;",",","&amp;SUBSTITUTE(input_industry," ","")&amp;",")))&gt;0)),IF(FI41="",TRUE,IF(input_industry="",FALSE,SUMPRODUCT(--ISNUMBER(SEARCH(","&amp;TRIM(TEXTSPLIT(FI41,","))&amp;",",","&amp;SUBSTITUTE(input_industry," ","")&amp;",")))=COUNTA(TEXTSPLIT(FI41,",")))),IF(FK41="",TRUE,IF(input_industry="",TRUE,SUMPRODUCT(--ISNUMBER(SEARCH(","&amp;TRIM(TEXTSPLIT(FK41,","))&amp;",",","&amp;SUBSTITUTE(input_industry," ","")&amp;",")))=0)),IF(FM41="",TRUE,IF(input_industry="",FALSE,SUMPRODUCT(--ISNUMBER(SEARCH(","&amp;TRIM(TEXTSPLIT(FM41,","))&amp;",",","&amp;SUBSTITUTE(input_industry," ","")&amp;",")))&gt;0)),IF(FO41="",TRUE,IF(input_industry="",FALSE,SUMPRODUCT(--ISNUMBER(SEARCH(","&amp;TRIM(TEXTSPLIT(FO41,","))&amp;",",","&amp;SUBSTITUTE(input_industry," ","")&amp;",")))=COUNTA(TEXTSPLIT(FO41,",")))))</f>
        <v/>
      </c>
      <c r="JJ41" s="19">
        <f>AND(IF(FQ41="",TRUE,IF(input_location="",FALSE,SUMPRODUCT(--ISNUMBER(SEARCH(","&amp;TRIM(TEXTSPLIT(FQ41,","))&amp;",",","&amp;SUBSTITUTE(input_location," ","")&amp;",")))&gt;0)),IF(FS41="",TRUE,IF(input_location="",FALSE,SUMPRODUCT(--ISNUMBER(SEARCH(","&amp;TRIM(TEXTSPLIT(FS41,","))&amp;",",","&amp;SUBSTITUTE(input_location," ","")&amp;",")))=COUNTA(TEXTSPLIT(FS41,",")))),IF(FU41="",TRUE,IF(input_location="",TRUE,SUMPRODUCT(--ISNUMBER(SEARCH(","&amp;TRIM(TEXTSPLIT(FU41,","))&amp;",",","&amp;SUBSTITUTE(input_location," ","")&amp;",")))=0)),IF(FW41="",TRUE,IF(input_location="",FALSE,SUMPRODUCT(--ISNUMBER(SEARCH(","&amp;TRIM(TEXTSPLIT(FW41,","))&amp;",",","&amp;SUBSTITUTE(input_location," ","")&amp;",")))&gt;0)),IF(FY41="",TRUE,IF(input_location="",FALSE,SUMPRODUCT(--ISNUMBER(SEARCH(","&amp;TRIM(TEXTSPLIT(FY41,","))&amp;",",","&amp;SUBSTITUTE(input_location," ","")&amp;",")))=COUNTA(TEXTSPLIT(FY41,",")))))</f>
        <v/>
      </c>
      <c r="JK41" s="19">
        <f>AND(IF(GA41="",TRUE,IF(input_modality="",FALSE,SUMPRODUCT(--ISNUMBER(SEARCH(","&amp;TRIM(TEXTSPLIT(GA41,","))&amp;",",","&amp;SUBSTITUTE(input_modality," ","")&amp;",")))&gt;0)),IF(GC41="",TRUE,IF(input_modality="",FALSE,SUMPRODUCT(--ISNUMBER(SEARCH(","&amp;TRIM(TEXTSPLIT(GC41,","))&amp;",",","&amp;SUBSTITUTE(input_modality," ","")&amp;",")))=COUNTA(TEXTSPLIT(GC41,",")))),IF(GE41="",TRUE,IF(input_modality="",TRUE,SUMPRODUCT(--ISNUMBER(SEARCH(","&amp;TRIM(TEXTSPLIT(GE41,","))&amp;",",","&amp;SUBSTITUTE(input_modality," ","")&amp;",")))=0)),IF(GG41="",TRUE,IF(input_modality="",FALSE,SUMPRODUCT(--ISNUMBER(SEARCH(","&amp;TRIM(TEXTSPLIT(GG41,","))&amp;",",","&amp;SUBSTITUTE(input_modality," ","")&amp;",")))&gt;0)),IF(GI41="",TRUE,IF(input_modality="",FALSE,SUMPRODUCT(--ISNUMBER(SEARCH(","&amp;TRIM(TEXTSPLIT(GI41,","))&amp;",",","&amp;SUBSTITUTE(input_modality," ","")&amp;",")))=COUNTA(TEXTSPLIT(GI41,",")))))</f>
        <v/>
      </c>
      <c r="JL41" s="19">
        <f>AND(IF(GK41="",TRUE,IF(input_organizer="",FALSE,SUMPRODUCT(--ISNUMBER(SEARCH(","&amp;TRIM(TEXTSPLIT(GK41,","))&amp;",",","&amp;SUBSTITUTE(input_organizer," ","")&amp;",")))&gt;0)),IF(GM41="",TRUE,IF(input_organizer="",FALSE,SUMPRODUCT(--ISNUMBER(SEARCH(","&amp;TRIM(TEXTSPLIT(GM41,","))&amp;",",","&amp;SUBSTITUTE(input_organizer," ","")&amp;",")))=COUNTA(TEXTSPLIT(GM41,",")))),IF(GO41="",TRUE,IF(input_organizer="",TRUE,SUMPRODUCT(--ISNUMBER(SEARCH(","&amp;TRIM(TEXTSPLIT(GO41,","))&amp;",",","&amp;SUBSTITUTE(input_organizer," ","")&amp;",")))=0)),IF(GQ41="",TRUE,IF(input_organizer="",FALSE,SUMPRODUCT(--ISNUMBER(SEARCH(","&amp;TRIM(TEXTSPLIT(GQ41,","))&amp;",",","&amp;SUBSTITUTE(input_organizer," ","")&amp;",")))&gt;0)),IF(GS41="",TRUE,IF(input_organizer="",FALSE,SUMPRODUCT(--ISNUMBER(SEARCH(","&amp;TRIM(TEXTSPLIT(GS41,","))&amp;",",","&amp;SUBSTITUTE(input_organizer," ","")&amp;",")))=COUNTA(TEXTSPLIT(GS41,",")))))</f>
        <v/>
      </c>
      <c r="JM41" s="19">
        <f>AND(IF(GU41="",TRUE,IF(input_profile_type="",FALSE,SUMPRODUCT(--ISNUMBER(SEARCH(","&amp;TRIM(TEXTSPLIT(GU41,","))&amp;",",","&amp;SUBSTITUTE(input_profile_type," ","")&amp;",")))&gt;0)),IF(GW41="",TRUE,IF(input_profile_type="",FALSE,SUMPRODUCT(--ISNUMBER(SEARCH(","&amp;TRIM(TEXTSPLIT(GW41,","))&amp;",",","&amp;SUBSTITUTE(input_profile_type," ","")&amp;",")))=COUNTA(TEXTSPLIT(GW41,",")))),IF(GY41="",TRUE,IF(input_profile_type="",TRUE,SUMPRODUCT(--ISNUMBER(SEARCH(","&amp;TRIM(TEXTSPLIT(GY41,","))&amp;",",","&amp;SUBSTITUTE(input_profile_type," ","")&amp;",")))=0)),IF(HA41="",TRUE,IF(input_profile_type="",FALSE,SUMPRODUCT(--ISNUMBER(SEARCH(","&amp;TRIM(TEXTSPLIT(HA41,","))&amp;",",","&amp;SUBSTITUTE(input_profile_type," ","")&amp;",")))&gt;0)),IF(HC41="",TRUE,IF(input_profile_type="",FALSE,SUMPRODUCT(--ISNUMBER(SEARCH(","&amp;TRIM(TEXTSPLIT(HC41,","))&amp;",",","&amp;SUBSTITUTE(input_profile_type," ","")&amp;",")))=COUNTA(TEXTSPLIT(HC41,",")))))</f>
        <v/>
      </c>
      <c r="JN41" s="19">
        <f>AND(IF(HE41="",TRUE,IF(input_program="",FALSE,SUMPRODUCT(--ISNUMBER(SEARCH(","&amp;TRIM(TEXTSPLIT(HE41,","))&amp;",",","&amp;SUBSTITUTE(input_program," ","")&amp;",")))&gt;0)),IF(HG41="",TRUE,IF(input_program="",FALSE,SUMPRODUCT(--ISNUMBER(SEARCH(","&amp;TRIM(TEXTSPLIT(HG41,","))&amp;",",","&amp;SUBSTITUTE(input_program," ","")&amp;",")))=COUNTA(TEXTSPLIT(HG41,",")))),IF(HI41="",TRUE,IF(input_program="",TRUE,SUMPRODUCT(--ISNUMBER(SEARCH(","&amp;TRIM(TEXTSPLIT(HI41,","))&amp;",",","&amp;SUBSTITUTE(input_program," ","")&amp;",")))=0)),IF(HK41="",TRUE,IF(input_program="",FALSE,SUMPRODUCT(--ISNUMBER(SEARCH(","&amp;TRIM(TEXTSPLIT(HK41,","))&amp;",",","&amp;SUBSTITUTE(input_program," ","")&amp;",")))&gt;0)),IF(HM41="",TRUE,IF(input_program="",FALSE,SUMPRODUCT(--ISNUMBER(SEARCH(","&amp;TRIM(TEXTSPLIT(HM41,","))&amp;",",","&amp;SUBSTITUTE(input_program," ","")&amp;",")))=COUNTA(TEXTSPLIT(HM41,",")))))</f>
        <v/>
      </c>
      <c r="JO41" s="19">
        <f>AND(IF(HO41="",TRUE,IF(input_story_categories="",FALSE,SUMPRODUCT(--ISNUMBER(SEARCH(","&amp;TRIM(TEXTSPLIT(HO41,","))&amp;",",","&amp;SUBSTITUTE(input_story_categories," ","")&amp;",")))&gt;0)),IF(HQ41="",TRUE,IF(input_story_categories="",FALSE,SUMPRODUCT(--ISNUMBER(SEARCH(","&amp;TRIM(TEXTSPLIT(HQ41,","))&amp;",",","&amp;SUBSTITUTE(input_story_categories," ","")&amp;",")))=COUNTA(TEXTSPLIT(HQ41,",")))),IF(HS41="",TRUE,IF(input_story_categories="",TRUE,SUMPRODUCT(--ISNUMBER(SEARCH(","&amp;TRIM(TEXTSPLIT(HS41,","))&amp;",",","&amp;SUBSTITUTE(input_story_categories," ","")&amp;",")))=0)),IF(HU41="",TRUE,IF(input_story_categories="",FALSE,SUMPRODUCT(--ISNUMBER(SEARCH(","&amp;TRIM(TEXTSPLIT(HU41,","))&amp;",",","&amp;SUBSTITUTE(input_story_categories," ","")&amp;",")))&gt;0)),IF(HW41="",TRUE,IF(input_story_categories="",FALSE,SUMPRODUCT(--ISNUMBER(SEARCH(","&amp;TRIM(TEXTSPLIT(HW41,","))&amp;",",","&amp;SUBSTITUTE(input_story_categories," ","")&amp;",")))=COUNTA(TEXTSPLIT(HW41,",")))))</f>
        <v/>
      </c>
      <c r="JP41" s="19">
        <f>AND(IF(HY41="",TRUE,IF(input_story_type="",FALSE,SUMPRODUCT(--ISNUMBER(SEARCH(","&amp;TRIM(TEXTSPLIT(HY41,","))&amp;",",","&amp;SUBSTITUTE(input_story_type," ","")&amp;",")))&gt;0)),IF(IA41="",TRUE,IF(input_story_type="",FALSE,SUMPRODUCT(--ISNUMBER(SEARCH(","&amp;TRIM(TEXTSPLIT(IA41,","))&amp;",",","&amp;SUBSTITUTE(input_story_type," ","")&amp;",")))=COUNTA(TEXTSPLIT(IA41,",")))),IF(IC41="",TRUE,IF(input_story_type="",TRUE,SUMPRODUCT(--ISNUMBER(SEARCH(","&amp;TRIM(TEXTSPLIT(IC41,","))&amp;",",","&amp;SUBSTITUTE(input_story_type," ","")&amp;",")))=0)),IF(IE41="",TRUE,IF(input_story_type="",FALSE,SUMPRODUCT(--ISNUMBER(SEARCH(","&amp;TRIM(TEXTSPLIT(IE41,","))&amp;",",","&amp;SUBSTITUTE(input_story_type," ","")&amp;",")))&gt;0)),IF(IG41="",TRUE,IF(input_story_type="",FALSE,SUMPRODUCT(--ISNUMBER(SEARCH(","&amp;TRIM(TEXTSPLIT(IG41,","))&amp;",",","&amp;SUBSTITUTE(input_story_type," ","")&amp;",")))=COUNTA(TEXTSPLIT(IG41,",")))))</f>
        <v/>
      </c>
      <c r="JQ41" s="19">
        <f>AND(IF(II41="",TRUE,IF(input_topics="",FALSE,SUMPRODUCT(--ISNUMBER(SEARCH(","&amp;TRIM(TEXTSPLIT(II41,","))&amp;",",","&amp;SUBSTITUTE(input_topics," ","")&amp;",")))&gt;0)),IF(IK41="",TRUE,IF(input_topics="",FALSE,SUMPRODUCT(--ISNUMBER(SEARCH(","&amp;TRIM(TEXTSPLIT(IK41,","))&amp;",",","&amp;SUBSTITUTE(input_topics," ","")&amp;",")))=COUNTA(TEXTSPLIT(IK41,",")))),IF(IM41="",TRUE,IF(input_topics="",TRUE,SUMPRODUCT(--ISNUMBER(SEARCH(","&amp;TRIM(TEXTSPLIT(IM41,","))&amp;",",","&amp;SUBSTITUTE(input_topics," ","")&amp;",")))=0)),IF(IO41="",TRUE,IF(input_topics="",FALSE,SUMPRODUCT(--ISNUMBER(SEARCH(","&amp;TRIM(TEXTSPLIT(IO41,","))&amp;",",","&amp;SUBSTITUTE(input_topics," ","")&amp;",")))&gt;0)),IF(IQ41="",TRUE,IF(input_topics="",FALSE,SUMPRODUCT(--ISNUMBER(SEARCH(","&amp;TRIM(TEXTSPLIT(IQ41,","))&amp;",",","&amp;SUBSTITUTE(input_topics," ","")&amp;",")))=COUNTA(TEXTSPLIT(IQ41,",")))))</f>
        <v/>
      </c>
    </row>
    <row r="42">
      <c r="A42" s="24">
        <f>IF(NOT(IS42),"Excluded",IF(AND(IT42,IU42,IV42,IW42,IX42,IY42,IZ42,JA42,JB42,JC42,JD42,JE42,JF42,JG42,JH42,JI42,JJ42,JK42,JL42,JM42,JN42,JO42,JP42,JQ42),IF(I42&gt;0,"Eligible but limited","Will appear"),"Excluded"))</f>
        <v/>
      </c>
      <c r="B42" s="24" t="inlineStr">
        <is>
          <t>All Publications by Author</t>
        </is>
      </c>
      <c r="C42" s="27" t="inlineStr">
        <is>
          <t>/faculty-research/faculty-directory/lorenzo-caliendo</t>
        </is>
      </c>
      <c r="D42" s="24" t="inlineStr">
        <is>
          <t>/faculty-research/faculty-directory/lorenzo-caliendo</t>
        </is>
      </c>
      <c r="E42" s="24" t="n">
        <v>1</v>
      </c>
      <c r="F42" s="24" t="inlineStr">
        <is>
          <t>publications</t>
        </is>
      </c>
      <c r="G42" s="24" t="inlineStr">
        <is>
          <t>publication_teaser_list</t>
        </is>
      </c>
      <c r="H42" s="24" t="inlineStr">
        <is>
          <t>publication_teaser_list_all_by_author</t>
        </is>
      </c>
      <c r="I42" s="24" t="n"/>
      <c r="J42" s="24" t="inlineStr">
        <is>
          <t>View/config rules</t>
        </is>
      </c>
      <c r="K42" s="24" t="inlineStr">
        <is>
          <t>Page placement</t>
        </is>
      </c>
      <c r="L42" s="24" t="inlineStr">
        <is>
          <t>Content type: publications; Source: View/config rules</t>
        </is>
      </c>
      <c r="IS42" s="19">
        <f>IF(input_content_type="",FALSE,ISNUMBER(SEARCH(","&amp;LOWER(input_content_type)&amp;",",","&amp;LOWER(SUBSTITUTE(F42," ",""))&amp;",")))</f>
        <v/>
      </c>
      <c r="IT42" s="19">
        <f>AND(IF(M42="",TRUE,IF(input_affiliations="",FALSE,SUMPRODUCT(--ISNUMBER(SEARCH(","&amp;TRIM(TEXTSPLIT(M42,","))&amp;",",","&amp;SUBSTITUTE(input_affiliations," ","")&amp;",")))&gt;0)),IF(O42="",TRUE,IF(input_affiliations="",FALSE,SUMPRODUCT(--ISNUMBER(SEARCH(","&amp;TRIM(TEXTSPLIT(O42,","))&amp;",",","&amp;SUBSTITUTE(input_affiliations," ","")&amp;",")))=COUNTA(TEXTSPLIT(O42,",")))),IF(Q42="",TRUE,IF(input_affiliations="",TRUE,SUMPRODUCT(--ISNUMBER(SEARCH(","&amp;TRIM(TEXTSPLIT(Q42,","))&amp;",",","&amp;SUBSTITUTE(input_affiliations," ","")&amp;",")))=0)),IF(S42="",TRUE,IF(input_affiliations="",FALSE,SUMPRODUCT(--ISNUMBER(SEARCH(","&amp;TRIM(TEXTSPLIT(S42,","))&amp;",",","&amp;SUBSTITUTE(input_affiliations," ","")&amp;",")))&gt;0)),IF(U42="",TRUE,IF(input_affiliations="",FALSE,SUMPRODUCT(--ISNUMBER(SEARCH(","&amp;TRIM(TEXTSPLIT(U42,","))&amp;",",","&amp;SUBSTITUTE(input_affiliations," ","")&amp;",")))=COUNTA(TEXTSPLIT(U42,",")))))</f>
        <v/>
      </c>
      <c r="IU42" s="19">
        <f>AND(IF(W42="",TRUE,IF(input_announcement_category="",FALSE,SUMPRODUCT(--ISNUMBER(SEARCH(","&amp;TRIM(TEXTSPLIT(W42,","))&amp;",",","&amp;SUBSTITUTE(input_announcement_category," ","")&amp;",")))&gt;0)),IF(Y42="",TRUE,IF(input_announcement_category="",FALSE,SUMPRODUCT(--ISNUMBER(SEARCH(","&amp;TRIM(TEXTSPLIT(Y42,","))&amp;",",","&amp;SUBSTITUTE(input_announcement_category," ","")&amp;",")))=COUNTA(TEXTSPLIT(Y42,",")))),IF(AA42="",TRUE,IF(input_announcement_category="",TRUE,SUMPRODUCT(--ISNUMBER(SEARCH(","&amp;TRIM(TEXTSPLIT(AA42,","))&amp;",",","&amp;SUBSTITUTE(input_announcement_category," ","")&amp;",")))=0)),IF(AC42="",TRUE,IF(input_announcement_category="",FALSE,SUMPRODUCT(--ISNUMBER(SEARCH(","&amp;TRIM(TEXTSPLIT(AC42,","))&amp;",",","&amp;SUBSTITUTE(input_announcement_category," ","")&amp;",")))&gt;0)),IF(AE42="",TRUE,IF(input_announcement_category="",FALSE,SUMPRODUCT(--ISNUMBER(SEARCH(","&amp;TRIM(TEXTSPLIT(AE42,","))&amp;",",","&amp;SUBSTITUTE(input_announcement_category," ","")&amp;",")))=COUNTA(TEXTSPLIT(AE42,",")))))</f>
        <v/>
      </c>
      <c r="IV42" s="19">
        <f>AND(IF(AG42="",TRUE,IF(input_area_of_focus="",FALSE,SUMPRODUCT(--ISNUMBER(SEARCH(","&amp;TRIM(TEXTSPLIT(AG42,","))&amp;",",","&amp;SUBSTITUTE(input_area_of_focus," ","")&amp;",")))&gt;0)),IF(AI42="",TRUE,IF(input_area_of_focus="",FALSE,SUMPRODUCT(--ISNUMBER(SEARCH(","&amp;TRIM(TEXTSPLIT(AI42,","))&amp;",",","&amp;SUBSTITUTE(input_area_of_focus," ","")&amp;",")))=COUNTA(TEXTSPLIT(AI42,",")))),IF(AK42="",TRUE,IF(input_area_of_focus="",TRUE,SUMPRODUCT(--ISNUMBER(SEARCH(","&amp;TRIM(TEXTSPLIT(AK42,","))&amp;",",","&amp;SUBSTITUTE(input_area_of_focus," ","")&amp;",")))=0)),IF(AM42="",TRUE,IF(input_area_of_focus="",FALSE,SUMPRODUCT(--ISNUMBER(SEARCH(","&amp;TRIM(TEXTSPLIT(AM42,","))&amp;",",","&amp;SUBSTITUTE(input_area_of_focus," ","")&amp;",")))&gt;0)),IF(AO42="",TRUE,IF(input_area_of_focus="",FALSE,SUMPRODUCT(--ISNUMBER(SEARCH(","&amp;TRIM(TEXTSPLIT(AO42,","))&amp;",",","&amp;SUBSTITUTE(input_area_of_focus," ","")&amp;",")))=COUNTA(TEXTSPLIT(AO42,",")))))</f>
        <v/>
      </c>
      <c r="IW42" s="19">
        <f>AND(IF(AQ42="",TRUE,IF(input_audience="",FALSE,SUMPRODUCT(--ISNUMBER(SEARCH(","&amp;TRIM(TEXTSPLIT(AQ42,","))&amp;",",","&amp;SUBSTITUTE(input_audience," ","")&amp;",")))&gt;0)),IF(AS42="",TRUE,IF(input_audience="",FALSE,SUMPRODUCT(--ISNUMBER(SEARCH(","&amp;TRIM(TEXTSPLIT(AS42,","))&amp;",",","&amp;SUBSTITUTE(input_audience," ","")&amp;",")))=COUNTA(TEXTSPLIT(AS42,",")))),IF(AU42="",TRUE,IF(input_audience="",TRUE,SUMPRODUCT(--ISNUMBER(SEARCH(","&amp;TRIM(TEXTSPLIT(AU42,","))&amp;",",","&amp;SUBSTITUTE(input_audience," ","")&amp;",")))=0)),IF(AW42="",TRUE,IF(input_audience="",FALSE,SUMPRODUCT(--ISNUMBER(SEARCH(","&amp;TRIM(TEXTSPLIT(AW42,","))&amp;",",","&amp;SUBSTITUTE(input_audience," ","")&amp;",")))&gt;0)),IF(AY42="",TRUE,IF(input_audience="",FALSE,SUMPRODUCT(--ISNUMBER(SEARCH(","&amp;TRIM(TEXTSPLIT(AY42,","))&amp;",",","&amp;SUBSTITUTE(input_audience," ","")&amp;",")))=COUNTA(TEXTSPLIT(AY42,",")))))</f>
        <v/>
      </c>
      <c r="IX42" s="19">
        <f>AND(IF(BA42="",TRUE,IF(input_challenge_opportunities="",FALSE,SUMPRODUCT(--ISNUMBER(SEARCH(","&amp;TRIM(TEXTSPLIT(BA42,","))&amp;",",","&amp;SUBSTITUTE(input_challenge_opportunities," ","")&amp;",")))&gt;0)),IF(BC42="",TRUE,IF(input_challenge_opportunities="",FALSE,SUMPRODUCT(--ISNUMBER(SEARCH(","&amp;TRIM(TEXTSPLIT(BC42,","))&amp;",",","&amp;SUBSTITUTE(input_challenge_opportunities," ","")&amp;",")))=COUNTA(TEXTSPLIT(BC42,",")))),IF(BE42="",TRUE,IF(input_challenge_opportunities="",TRUE,SUMPRODUCT(--ISNUMBER(SEARCH(","&amp;TRIM(TEXTSPLIT(BE42,","))&amp;",",","&amp;SUBSTITUTE(input_challenge_opportunities," ","")&amp;",")))=0)),IF(BG42="",TRUE,IF(input_challenge_opportunities="",FALSE,SUMPRODUCT(--ISNUMBER(SEARCH(","&amp;TRIM(TEXTSPLIT(BG42,","))&amp;",",","&amp;SUBSTITUTE(input_challenge_opportunities," ","")&amp;",")))&gt;0)),IF(BI42="",TRUE,IF(input_challenge_opportunities="",FALSE,SUMPRODUCT(--ISNUMBER(SEARCH(","&amp;TRIM(TEXTSPLIT(BI42,","))&amp;",",","&amp;SUBSTITUTE(input_challenge_opportunities," ","")&amp;",")))=COUNTA(TEXTSPLIT(BI42,",")))))</f>
        <v/>
      </c>
      <c r="IY42" s="19">
        <f>AND(IF(BK42="",TRUE,IF(input_context="",FALSE,SUMPRODUCT(--ISNUMBER(SEARCH(","&amp;TRIM(TEXTSPLIT(BK42,","))&amp;",",","&amp;SUBSTITUTE(input_context," ","")&amp;",")))&gt;0)),IF(BM42="",TRUE,IF(input_context="",FALSE,SUMPRODUCT(--ISNUMBER(SEARCH(","&amp;TRIM(TEXTSPLIT(BM42,","))&amp;",",","&amp;SUBSTITUTE(input_context," ","")&amp;",")))=COUNTA(TEXTSPLIT(BM42,",")))),IF(BO42="",TRUE,IF(input_context="",TRUE,SUMPRODUCT(--ISNUMBER(SEARCH(","&amp;TRIM(TEXTSPLIT(BO42,","))&amp;",",","&amp;SUBSTITUTE(input_context," ","")&amp;",")))=0)),IF(BQ42="",TRUE,IF(input_context="",FALSE,SUMPRODUCT(--ISNUMBER(SEARCH(","&amp;TRIM(TEXTSPLIT(BQ42,","))&amp;",",","&amp;SUBSTITUTE(input_context," ","")&amp;",")))&gt;0)),IF(BS42="",TRUE,IF(input_context="",FALSE,SUMPRODUCT(--ISNUMBER(SEARCH(","&amp;TRIM(TEXTSPLIT(BS42,","))&amp;",",","&amp;SUBSTITUTE(input_context," ","")&amp;",")))=COUNTA(TEXTSPLIT(BS42,",")))))</f>
        <v/>
      </c>
      <c r="IZ42" s="19">
        <f>AND(IF(BU42="",TRUE,IF(input_enews_announcement_type="",FALSE,SUMPRODUCT(--ISNUMBER(SEARCH(","&amp;TRIM(TEXTSPLIT(BU42,","))&amp;",",","&amp;SUBSTITUTE(input_enews_announcement_type," ","")&amp;",")))&gt;0)),IF(BW42="",TRUE,IF(input_enews_announcement_type="",FALSE,SUMPRODUCT(--ISNUMBER(SEARCH(","&amp;TRIM(TEXTSPLIT(BW42,","))&amp;",",","&amp;SUBSTITUTE(input_enews_announcement_type," ","")&amp;",")))=COUNTA(TEXTSPLIT(BW42,",")))),IF(BY42="",TRUE,IF(input_enews_announcement_type="",TRUE,SUMPRODUCT(--ISNUMBER(SEARCH(","&amp;TRIM(TEXTSPLIT(BY42,","))&amp;",",","&amp;SUBSTITUTE(input_enews_announcement_type," ","")&amp;",")))=0)),IF(CA42="",TRUE,IF(input_enews_announcement_type="",FALSE,SUMPRODUCT(--ISNUMBER(SEARCH(","&amp;TRIM(TEXTSPLIT(CA42,","))&amp;",",","&amp;SUBSTITUTE(input_enews_announcement_type," ","")&amp;",")))&gt;0)),IF(CC42="",TRUE,IF(input_enews_announcement_type="",FALSE,SUMPRODUCT(--ISNUMBER(SEARCH(","&amp;TRIM(TEXTSPLIT(CC42,","))&amp;",",","&amp;SUBSTITUTE(input_enews_announcement_type," ","")&amp;",")))=COUNTA(TEXTSPLIT(CC42,",")))))</f>
        <v/>
      </c>
      <c r="JA42" s="19">
        <f>AND(IF(CE42="",TRUE,IF(input_enews_audience="",FALSE,SUMPRODUCT(--ISNUMBER(SEARCH(","&amp;TRIM(TEXTSPLIT(CE42,","))&amp;",",","&amp;SUBSTITUTE(input_enews_audience," ","")&amp;",")))&gt;0)),IF(CG42="",TRUE,IF(input_enews_audience="",FALSE,SUMPRODUCT(--ISNUMBER(SEARCH(","&amp;TRIM(TEXTSPLIT(CG42,","))&amp;",",","&amp;SUBSTITUTE(input_enews_audience," ","")&amp;",")))=COUNTA(TEXTSPLIT(CG42,",")))),IF(CI42="",TRUE,IF(input_enews_audience="",TRUE,SUMPRODUCT(--ISNUMBER(SEARCH(","&amp;TRIM(TEXTSPLIT(CI42,","))&amp;",",","&amp;SUBSTITUTE(input_enews_audience," ","")&amp;",")))=0)),IF(CK42="",TRUE,IF(input_enews_audience="",FALSE,SUMPRODUCT(--ISNUMBER(SEARCH(","&amp;TRIM(TEXTSPLIT(CK42,","))&amp;",",","&amp;SUBSTITUTE(input_enews_audience," ","")&amp;",")))&gt;0)),IF(CM42="",TRUE,IF(input_enews_audience="",FALSE,SUMPRODUCT(--ISNUMBER(SEARCH(","&amp;TRIM(TEXTSPLIT(CM42,","))&amp;",",","&amp;SUBSTITUTE(input_enews_audience," ","")&amp;",")))=COUNTA(TEXTSPLIT(CM42,",")))))</f>
        <v/>
      </c>
      <c r="JB42" s="19">
        <f>AND(IF(CO42="",TRUE,IF(input_event_location="",FALSE,SUMPRODUCT(--ISNUMBER(SEARCH(","&amp;TRIM(TEXTSPLIT(CO42,","))&amp;",",","&amp;SUBSTITUTE(input_event_location," ","")&amp;",")))&gt;0)),IF(CQ42="",TRUE,IF(input_event_location="",FALSE,SUMPRODUCT(--ISNUMBER(SEARCH(","&amp;TRIM(TEXTSPLIT(CQ42,","))&amp;",",","&amp;SUBSTITUTE(input_event_location," ","")&amp;",")))=COUNTA(TEXTSPLIT(CQ42,",")))),IF(CS42="",TRUE,IF(input_event_location="",TRUE,SUMPRODUCT(--ISNUMBER(SEARCH(","&amp;TRIM(TEXTSPLIT(CS42,","))&amp;",",","&amp;SUBSTITUTE(input_event_location," ","")&amp;",")))=0)),IF(CU42="",TRUE,IF(input_event_location="",FALSE,SUMPRODUCT(--ISNUMBER(SEARCH(","&amp;TRIM(TEXTSPLIT(CU42,","))&amp;",",","&amp;SUBSTITUTE(input_event_location," ","")&amp;",")))&gt;0)),IF(CW42="",TRUE,IF(input_event_location="",FALSE,SUMPRODUCT(--ISNUMBER(SEARCH(","&amp;TRIM(TEXTSPLIT(CW42,","))&amp;",",","&amp;SUBSTITUTE(input_event_location," ","")&amp;",")))=COUNTA(TEXTSPLIT(CW42,",")))))</f>
        <v/>
      </c>
      <c r="JC42" s="19">
        <f>AND(IF(CY42="",TRUE,IF(input_event_type="",FALSE,SUMPRODUCT(--ISNUMBER(SEARCH(","&amp;TRIM(TEXTSPLIT(CY42,","))&amp;",",","&amp;SUBSTITUTE(input_event_type," ","")&amp;",")))&gt;0)),IF(DA42="",TRUE,IF(input_event_type="",FALSE,SUMPRODUCT(--ISNUMBER(SEARCH(","&amp;TRIM(TEXTSPLIT(DA42,","))&amp;",",","&amp;SUBSTITUTE(input_event_type," ","")&amp;",")))=COUNTA(TEXTSPLIT(DA42,",")))),IF(DC42="",TRUE,IF(input_event_type="",TRUE,SUMPRODUCT(--ISNUMBER(SEARCH(","&amp;TRIM(TEXTSPLIT(DC42,","))&amp;",",","&amp;SUBSTITUTE(input_event_type," ","")&amp;",")))=0)),IF(DE42="",TRUE,IF(input_event_type="",FALSE,SUMPRODUCT(--ISNUMBER(SEARCH(","&amp;TRIM(TEXTSPLIT(DE42,","))&amp;",",","&amp;SUBSTITUTE(input_event_type," ","")&amp;",")))&gt;0)),IF(DG42="",TRUE,IF(input_event_type="",FALSE,SUMPRODUCT(--ISNUMBER(SEARCH(","&amp;TRIM(TEXTSPLIT(DG42,","))&amp;",",","&amp;SUBSTITUTE(input_event_type," ","")&amp;",")))=COUNTA(TEXTSPLIT(DG42,",")))))</f>
        <v/>
      </c>
      <c r="JD42" s="19">
        <f>AND(IF(DI42="",TRUE,IF(input_executive_education_focus="",FALSE,SUMPRODUCT(--ISNUMBER(SEARCH(","&amp;TRIM(TEXTSPLIT(DI42,","))&amp;",",","&amp;SUBSTITUTE(input_executive_education_focus," ","")&amp;",")))&gt;0)),IF(DK42="",TRUE,IF(input_executive_education_focus="",FALSE,SUMPRODUCT(--ISNUMBER(SEARCH(","&amp;TRIM(TEXTSPLIT(DK42,","))&amp;",",","&amp;SUBSTITUTE(input_executive_education_focus," ","")&amp;",")))=COUNTA(TEXTSPLIT(DK42,",")))),IF(DM42="",TRUE,IF(input_executive_education_focus="",TRUE,SUMPRODUCT(--ISNUMBER(SEARCH(","&amp;TRIM(TEXTSPLIT(DM42,","))&amp;",",","&amp;SUBSTITUTE(input_executive_education_focus," ","")&amp;",")))=0)),IF(DO42="",TRUE,IF(input_executive_education_focus="",FALSE,SUMPRODUCT(--ISNUMBER(SEARCH(","&amp;TRIM(TEXTSPLIT(DO42,","))&amp;",",","&amp;SUBSTITUTE(input_executive_education_focus," ","")&amp;",")))&gt;0)),IF(DQ42="",TRUE,IF(input_executive_education_focus="",FALSE,SUMPRODUCT(--ISNUMBER(SEARCH(","&amp;TRIM(TEXTSPLIT(DQ42,","))&amp;",",","&amp;SUBSTITUTE(input_executive_education_focus," ","")&amp;",")))=COUNTA(TEXTSPLIT(DQ42,",")))))</f>
        <v/>
      </c>
      <c r="JE42" s="19">
        <f>AND(IF(DS42="",TRUE,IF(input_faculty_category="",FALSE,SUMPRODUCT(--ISNUMBER(SEARCH(","&amp;TRIM(TEXTSPLIT(DS42,","))&amp;",",","&amp;SUBSTITUTE(input_faculty_category," ","")&amp;",")))&gt;0)),IF(DU42="",TRUE,IF(input_faculty_category="",FALSE,SUMPRODUCT(--ISNUMBER(SEARCH(","&amp;TRIM(TEXTSPLIT(DU42,","))&amp;",",","&amp;SUBSTITUTE(input_faculty_category," ","")&amp;",")))=COUNTA(TEXTSPLIT(DU42,",")))),IF(DW42="",TRUE,IF(input_faculty_category="",TRUE,SUMPRODUCT(--ISNUMBER(SEARCH(","&amp;TRIM(TEXTSPLIT(DW42,","))&amp;",",","&amp;SUBSTITUTE(input_faculty_category," ","")&amp;",")))=0)),IF(DY42="",TRUE,IF(input_faculty_category="",FALSE,SUMPRODUCT(--ISNUMBER(SEARCH(","&amp;TRIM(TEXTSPLIT(DY42,","))&amp;",",","&amp;SUBSTITUTE(input_faculty_category," ","")&amp;",")))&gt;0)),IF(EA42="",TRUE,IF(input_faculty_category="",FALSE,SUMPRODUCT(--ISNUMBER(SEARCH(","&amp;TRIM(TEXTSPLIT(EA42,","))&amp;",",","&amp;SUBSTITUTE(input_faculty_category," ","")&amp;",")))=COUNTA(TEXTSPLIT(EA42,",")))))</f>
        <v/>
      </c>
      <c r="JF42" s="19">
        <f>AND(IF(EC42="",TRUE,IF(input_faculty_discipline="",FALSE,SUMPRODUCT(--ISNUMBER(SEARCH(","&amp;TRIM(TEXTSPLIT(EC42,","))&amp;",",","&amp;SUBSTITUTE(input_faculty_discipline," ","")&amp;",")))&gt;0)),IF(EE42="",TRUE,IF(input_faculty_discipline="",FALSE,SUMPRODUCT(--ISNUMBER(SEARCH(","&amp;TRIM(TEXTSPLIT(EE42,","))&amp;",",","&amp;SUBSTITUTE(input_faculty_discipline," ","")&amp;",")))=COUNTA(TEXTSPLIT(EE42,",")))),IF(EG42="",TRUE,IF(input_faculty_discipline="",TRUE,SUMPRODUCT(--ISNUMBER(SEARCH(","&amp;TRIM(TEXTSPLIT(EG42,","))&amp;",",","&amp;SUBSTITUTE(input_faculty_discipline," ","")&amp;",")))=0)),IF(EI42="",TRUE,IF(input_faculty_discipline="",FALSE,SUMPRODUCT(--ISNUMBER(SEARCH(","&amp;TRIM(TEXTSPLIT(EI42,","))&amp;",",","&amp;SUBSTITUTE(input_faculty_discipline," ","")&amp;",")))&gt;0)),IF(EK42="",TRUE,IF(input_faculty_discipline="",FALSE,SUMPRODUCT(--ISNUMBER(SEARCH(","&amp;TRIM(TEXTSPLIT(EK42,","))&amp;",",","&amp;SUBSTITUTE(input_faculty_discipline," ","")&amp;",")))=COUNTA(TEXTSPLIT(EK42,",")))))</f>
        <v/>
      </c>
      <c r="JG42" s="19">
        <f>AND(IF(EM42="",TRUE,IF(input_faculty_expertise="",FALSE,SUMPRODUCT(--ISNUMBER(SEARCH(","&amp;TRIM(TEXTSPLIT(EM42,","))&amp;",",","&amp;SUBSTITUTE(input_faculty_expertise," ","")&amp;",")))&gt;0)),IF(EO42="",TRUE,IF(input_faculty_expertise="",FALSE,SUMPRODUCT(--ISNUMBER(SEARCH(","&amp;TRIM(TEXTSPLIT(EO42,","))&amp;",",","&amp;SUBSTITUTE(input_faculty_expertise," ","")&amp;",")))=COUNTA(TEXTSPLIT(EO42,",")))),IF(EQ42="",TRUE,IF(input_faculty_expertise="",TRUE,SUMPRODUCT(--ISNUMBER(SEARCH(","&amp;TRIM(TEXTSPLIT(EQ42,","))&amp;",",","&amp;SUBSTITUTE(input_faculty_expertise," ","")&amp;",")))=0)),IF(ES42="",TRUE,IF(input_faculty_expertise="",FALSE,SUMPRODUCT(--ISNUMBER(SEARCH(","&amp;TRIM(TEXTSPLIT(ES42,","))&amp;",",","&amp;SUBSTITUTE(input_faculty_expertise," ","")&amp;",")))&gt;0)),IF(EU42="",TRUE,IF(input_faculty_expertise="",FALSE,SUMPRODUCT(--ISNUMBER(SEARCH(","&amp;TRIM(TEXTSPLIT(EU42,","))&amp;",",","&amp;SUBSTITUTE(input_faculty_expertise," ","")&amp;",")))=COUNTA(TEXTSPLIT(EU42,",")))))</f>
        <v/>
      </c>
      <c r="JH42" s="19">
        <f>AND(IF(EW42="",TRUE,IF(input_global_network_school="",FALSE,SUMPRODUCT(--ISNUMBER(SEARCH(","&amp;TRIM(TEXTSPLIT(EW42,","))&amp;",",","&amp;SUBSTITUTE(input_global_network_school," ","")&amp;",")))&gt;0)),IF(EY42="",TRUE,IF(input_global_network_school="",FALSE,SUMPRODUCT(--ISNUMBER(SEARCH(","&amp;TRIM(TEXTSPLIT(EY42,","))&amp;",",","&amp;SUBSTITUTE(input_global_network_school," ","")&amp;",")))=COUNTA(TEXTSPLIT(EY42,",")))),IF(FA42="",TRUE,IF(input_global_network_school="",TRUE,SUMPRODUCT(--ISNUMBER(SEARCH(","&amp;TRIM(TEXTSPLIT(FA42,","))&amp;",",","&amp;SUBSTITUTE(input_global_network_school," ","")&amp;",")))=0)),IF(FC42="",TRUE,IF(input_global_network_school="",FALSE,SUMPRODUCT(--ISNUMBER(SEARCH(","&amp;TRIM(TEXTSPLIT(FC42,","))&amp;",",","&amp;SUBSTITUTE(input_global_network_school," ","")&amp;",")))&gt;0)),IF(FE42="",TRUE,IF(input_global_network_school="",FALSE,SUMPRODUCT(--ISNUMBER(SEARCH(","&amp;TRIM(TEXTSPLIT(FE42,","))&amp;",",","&amp;SUBSTITUTE(input_global_network_school," ","")&amp;",")))=COUNTA(TEXTSPLIT(FE42,",")))))</f>
        <v/>
      </c>
      <c r="JI42" s="19">
        <f>AND(IF(FG42="",TRUE,IF(input_industry="",FALSE,SUMPRODUCT(--ISNUMBER(SEARCH(","&amp;TRIM(TEXTSPLIT(FG42,","))&amp;",",","&amp;SUBSTITUTE(input_industry," ","")&amp;",")))&gt;0)),IF(FI42="",TRUE,IF(input_industry="",FALSE,SUMPRODUCT(--ISNUMBER(SEARCH(","&amp;TRIM(TEXTSPLIT(FI42,","))&amp;",",","&amp;SUBSTITUTE(input_industry," ","")&amp;",")))=COUNTA(TEXTSPLIT(FI42,",")))),IF(FK42="",TRUE,IF(input_industry="",TRUE,SUMPRODUCT(--ISNUMBER(SEARCH(","&amp;TRIM(TEXTSPLIT(FK42,","))&amp;",",","&amp;SUBSTITUTE(input_industry," ","")&amp;",")))=0)),IF(FM42="",TRUE,IF(input_industry="",FALSE,SUMPRODUCT(--ISNUMBER(SEARCH(","&amp;TRIM(TEXTSPLIT(FM42,","))&amp;",",","&amp;SUBSTITUTE(input_industry," ","")&amp;",")))&gt;0)),IF(FO42="",TRUE,IF(input_industry="",FALSE,SUMPRODUCT(--ISNUMBER(SEARCH(","&amp;TRIM(TEXTSPLIT(FO42,","))&amp;",",","&amp;SUBSTITUTE(input_industry," ","")&amp;",")))=COUNTA(TEXTSPLIT(FO42,",")))))</f>
        <v/>
      </c>
      <c r="JJ42" s="19">
        <f>AND(IF(FQ42="",TRUE,IF(input_location="",FALSE,SUMPRODUCT(--ISNUMBER(SEARCH(","&amp;TRIM(TEXTSPLIT(FQ42,","))&amp;",",","&amp;SUBSTITUTE(input_location," ","")&amp;",")))&gt;0)),IF(FS42="",TRUE,IF(input_location="",FALSE,SUMPRODUCT(--ISNUMBER(SEARCH(","&amp;TRIM(TEXTSPLIT(FS42,","))&amp;",",","&amp;SUBSTITUTE(input_location," ","")&amp;",")))=COUNTA(TEXTSPLIT(FS42,",")))),IF(FU42="",TRUE,IF(input_location="",TRUE,SUMPRODUCT(--ISNUMBER(SEARCH(","&amp;TRIM(TEXTSPLIT(FU42,","))&amp;",",","&amp;SUBSTITUTE(input_location," ","")&amp;",")))=0)),IF(FW42="",TRUE,IF(input_location="",FALSE,SUMPRODUCT(--ISNUMBER(SEARCH(","&amp;TRIM(TEXTSPLIT(FW42,","))&amp;",",","&amp;SUBSTITUTE(input_location," ","")&amp;",")))&gt;0)),IF(FY42="",TRUE,IF(input_location="",FALSE,SUMPRODUCT(--ISNUMBER(SEARCH(","&amp;TRIM(TEXTSPLIT(FY42,","))&amp;",",","&amp;SUBSTITUTE(input_location," ","")&amp;",")))=COUNTA(TEXTSPLIT(FY42,",")))))</f>
        <v/>
      </c>
      <c r="JK42" s="19">
        <f>AND(IF(GA42="",TRUE,IF(input_modality="",FALSE,SUMPRODUCT(--ISNUMBER(SEARCH(","&amp;TRIM(TEXTSPLIT(GA42,","))&amp;",",","&amp;SUBSTITUTE(input_modality," ","")&amp;",")))&gt;0)),IF(GC42="",TRUE,IF(input_modality="",FALSE,SUMPRODUCT(--ISNUMBER(SEARCH(","&amp;TRIM(TEXTSPLIT(GC42,","))&amp;",",","&amp;SUBSTITUTE(input_modality," ","")&amp;",")))=COUNTA(TEXTSPLIT(GC42,",")))),IF(GE42="",TRUE,IF(input_modality="",TRUE,SUMPRODUCT(--ISNUMBER(SEARCH(","&amp;TRIM(TEXTSPLIT(GE42,","))&amp;",",","&amp;SUBSTITUTE(input_modality," ","")&amp;",")))=0)),IF(GG42="",TRUE,IF(input_modality="",FALSE,SUMPRODUCT(--ISNUMBER(SEARCH(","&amp;TRIM(TEXTSPLIT(GG42,","))&amp;",",","&amp;SUBSTITUTE(input_modality," ","")&amp;",")))&gt;0)),IF(GI42="",TRUE,IF(input_modality="",FALSE,SUMPRODUCT(--ISNUMBER(SEARCH(","&amp;TRIM(TEXTSPLIT(GI42,","))&amp;",",","&amp;SUBSTITUTE(input_modality," ","")&amp;",")))=COUNTA(TEXTSPLIT(GI42,",")))))</f>
        <v/>
      </c>
      <c r="JL42" s="19">
        <f>AND(IF(GK42="",TRUE,IF(input_organizer="",FALSE,SUMPRODUCT(--ISNUMBER(SEARCH(","&amp;TRIM(TEXTSPLIT(GK42,","))&amp;",",","&amp;SUBSTITUTE(input_organizer," ","")&amp;",")))&gt;0)),IF(GM42="",TRUE,IF(input_organizer="",FALSE,SUMPRODUCT(--ISNUMBER(SEARCH(","&amp;TRIM(TEXTSPLIT(GM42,","))&amp;",",","&amp;SUBSTITUTE(input_organizer," ","")&amp;",")))=COUNTA(TEXTSPLIT(GM42,",")))),IF(GO42="",TRUE,IF(input_organizer="",TRUE,SUMPRODUCT(--ISNUMBER(SEARCH(","&amp;TRIM(TEXTSPLIT(GO42,","))&amp;",",","&amp;SUBSTITUTE(input_organizer," ","")&amp;",")))=0)),IF(GQ42="",TRUE,IF(input_organizer="",FALSE,SUMPRODUCT(--ISNUMBER(SEARCH(","&amp;TRIM(TEXTSPLIT(GQ42,","))&amp;",",","&amp;SUBSTITUTE(input_organizer," ","")&amp;",")))&gt;0)),IF(GS42="",TRUE,IF(input_organizer="",FALSE,SUMPRODUCT(--ISNUMBER(SEARCH(","&amp;TRIM(TEXTSPLIT(GS42,","))&amp;",",","&amp;SUBSTITUTE(input_organizer," ","")&amp;",")))=COUNTA(TEXTSPLIT(GS42,",")))))</f>
        <v/>
      </c>
      <c r="JM42" s="19">
        <f>AND(IF(GU42="",TRUE,IF(input_profile_type="",FALSE,SUMPRODUCT(--ISNUMBER(SEARCH(","&amp;TRIM(TEXTSPLIT(GU42,","))&amp;",",","&amp;SUBSTITUTE(input_profile_type," ","")&amp;",")))&gt;0)),IF(GW42="",TRUE,IF(input_profile_type="",FALSE,SUMPRODUCT(--ISNUMBER(SEARCH(","&amp;TRIM(TEXTSPLIT(GW42,","))&amp;",",","&amp;SUBSTITUTE(input_profile_type," ","")&amp;",")))=COUNTA(TEXTSPLIT(GW42,",")))),IF(GY42="",TRUE,IF(input_profile_type="",TRUE,SUMPRODUCT(--ISNUMBER(SEARCH(","&amp;TRIM(TEXTSPLIT(GY42,","))&amp;",",","&amp;SUBSTITUTE(input_profile_type," ","")&amp;",")))=0)),IF(HA42="",TRUE,IF(input_profile_type="",FALSE,SUMPRODUCT(--ISNUMBER(SEARCH(","&amp;TRIM(TEXTSPLIT(HA42,","))&amp;",",","&amp;SUBSTITUTE(input_profile_type," ","")&amp;",")))&gt;0)),IF(HC42="",TRUE,IF(input_profile_type="",FALSE,SUMPRODUCT(--ISNUMBER(SEARCH(","&amp;TRIM(TEXTSPLIT(HC42,","))&amp;",",","&amp;SUBSTITUTE(input_profile_type," ","")&amp;",")))=COUNTA(TEXTSPLIT(HC42,",")))))</f>
        <v/>
      </c>
      <c r="JN42" s="19">
        <f>AND(IF(HE42="",TRUE,IF(input_program="",FALSE,SUMPRODUCT(--ISNUMBER(SEARCH(","&amp;TRIM(TEXTSPLIT(HE42,","))&amp;",",","&amp;SUBSTITUTE(input_program," ","")&amp;",")))&gt;0)),IF(HG42="",TRUE,IF(input_program="",FALSE,SUMPRODUCT(--ISNUMBER(SEARCH(","&amp;TRIM(TEXTSPLIT(HG42,","))&amp;",",","&amp;SUBSTITUTE(input_program," ","")&amp;",")))=COUNTA(TEXTSPLIT(HG42,",")))),IF(HI42="",TRUE,IF(input_program="",TRUE,SUMPRODUCT(--ISNUMBER(SEARCH(","&amp;TRIM(TEXTSPLIT(HI42,","))&amp;",",","&amp;SUBSTITUTE(input_program," ","")&amp;",")))=0)),IF(HK42="",TRUE,IF(input_program="",FALSE,SUMPRODUCT(--ISNUMBER(SEARCH(","&amp;TRIM(TEXTSPLIT(HK42,","))&amp;",",","&amp;SUBSTITUTE(input_program," ","")&amp;",")))&gt;0)),IF(HM42="",TRUE,IF(input_program="",FALSE,SUMPRODUCT(--ISNUMBER(SEARCH(","&amp;TRIM(TEXTSPLIT(HM42,","))&amp;",",","&amp;SUBSTITUTE(input_program," ","")&amp;",")))=COUNTA(TEXTSPLIT(HM42,",")))))</f>
        <v/>
      </c>
      <c r="JO42" s="19">
        <f>AND(IF(HO42="",TRUE,IF(input_story_categories="",FALSE,SUMPRODUCT(--ISNUMBER(SEARCH(","&amp;TRIM(TEXTSPLIT(HO42,","))&amp;",",","&amp;SUBSTITUTE(input_story_categories," ","")&amp;",")))&gt;0)),IF(HQ42="",TRUE,IF(input_story_categories="",FALSE,SUMPRODUCT(--ISNUMBER(SEARCH(","&amp;TRIM(TEXTSPLIT(HQ42,","))&amp;",",","&amp;SUBSTITUTE(input_story_categories," ","")&amp;",")))=COUNTA(TEXTSPLIT(HQ42,",")))),IF(HS42="",TRUE,IF(input_story_categories="",TRUE,SUMPRODUCT(--ISNUMBER(SEARCH(","&amp;TRIM(TEXTSPLIT(HS42,","))&amp;",",","&amp;SUBSTITUTE(input_story_categories," ","")&amp;",")))=0)),IF(HU42="",TRUE,IF(input_story_categories="",FALSE,SUMPRODUCT(--ISNUMBER(SEARCH(","&amp;TRIM(TEXTSPLIT(HU42,","))&amp;",",","&amp;SUBSTITUTE(input_story_categories," ","")&amp;",")))&gt;0)),IF(HW42="",TRUE,IF(input_story_categories="",FALSE,SUMPRODUCT(--ISNUMBER(SEARCH(","&amp;TRIM(TEXTSPLIT(HW42,","))&amp;",",","&amp;SUBSTITUTE(input_story_categories," ","")&amp;",")))=COUNTA(TEXTSPLIT(HW42,",")))))</f>
        <v/>
      </c>
      <c r="JP42" s="19">
        <f>AND(IF(HY42="",TRUE,IF(input_story_type="",FALSE,SUMPRODUCT(--ISNUMBER(SEARCH(","&amp;TRIM(TEXTSPLIT(HY42,","))&amp;",",","&amp;SUBSTITUTE(input_story_type," ","")&amp;",")))&gt;0)),IF(IA42="",TRUE,IF(input_story_type="",FALSE,SUMPRODUCT(--ISNUMBER(SEARCH(","&amp;TRIM(TEXTSPLIT(IA42,","))&amp;",",","&amp;SUBSTITUTE(input_story_type," ","")&amp;",")))=COUNTA(TEXTSPLIT(IA42,",")))),IF(IC42="",TRUE,IF(input_story_type="",TRUE,SUMPRODUCT(--ISNUMBER(SEARCH(","&amp;TRIM(TEXTSPLIT(IC42,","))&amp;",",","&amp;SUBSTITUTE(input_story_type," ","")&amp;",")))=0)),IF(IE42="",TRUE,IF(input_story_type="",FALSE,SUMPRODUCT(--ISNUMBER(SEARCH(","&amp;TRIM(TEXTSPLIT(IE42,","))&amp;",",","&amp;SUBSTITUTE(input_story_type," ","")&amp;",")))&gt;0)),IF(IG42="",TRUE,IF(input_story_type="",FALSE,SUMPRODUCT(--ISNUMBER(SEARCH(","&amp;TRIM(TEXTSPLIT(IG42,","))&amp;",",","&amp;SUBSTITUTE(input_story_type," ","")&amp;",")))=COUNTA(TEXTSPLIT(IG42,",")))))</f>
        <v/>
      </c>
      <c r="JQ42" s="19">
        <f>AND(IF(II42="",TRUE,IF(input_topics="",FALSE,SUMPRODUCT(--ISNUMBER(SEARCH(","&amp;TRIM(TEXTSPLIT(II42,","))&amp;",",","&amp;SUBSTITUTE(input_topics," ","")&amp;",")))&gt;0)),IF(IK42="",TRUE,IF(input_topics="",FALSE,SUMPRODUCT(--ISNUMBER(SEARCH(","&amp;TRIM(TEXTSPLIT(IK42,","))&amp;",",","&amp;SUBSTITUTE(input_topics," ","")&amp;",")))=COUNTA(TEXTSPLIT(IK42,",")))),IF(IM42="",TRUE,IF(input_topics="",TRUE,SUMPRODUCT(--ISNUMBER(SEARCH(","&amp;TRIM(TEXTSPLIT(IM42,","))&amp;",",","&amp;SUBSTITUTE(input_topics," ","")&amp;",")))=0)),IF(IO42="",TRUE,IF(input_topics="",FALSE,SUMPRODUCT(--ISNUMBER(SEARCH(","&amp;TRIM(TEXTSPLIT(IO42,","))&amp;",",","&amp;SUBSTITUTE(input_topics," ","")&amp;",")))&gt;0)),IF(IQ42="",TRUE,IF(input_topics="",FALSE,SUMPRODUCT(--ISNUMBER(SEARCH(","&amp;TRIM(TEXTSPLIT(IQ42,","))&amp;",",","&amp;SUBSTITUTE(input_topics," ","")&amp;",")))=COUNTA(TEXTSPLIT(IQ42,",")))))</f>
        <v/>
      </c>
    </row>
    <row r="43">
      <c r="A43" s="24">
        <f>IF(NOT(IS43),"Excluded",IF(AND(IT43,IU43,IV43,IW43,IX43,IY43,IZ43,JA43,JB43,JC43,JD43,JE43,JF43,JG43,JH43,JI43,JJ43,JK43,JL43,JM43,JN43,JO43,JP43,JQ43),IF(I43&gt;0,"Eligible but limited","Will appear"),"Excluded"))</f>
        <v/>
      </c>
      <c r="B43" s="24" t="inlineStr">
        <is>
          <t>All Publications by Author</t>
        </is>
      </c>
      <c r="C43" s="27" t="inlineStr">
        <is>
          <t>/faculty-research/faculty-directory/nathan-novemsky</t>
        </is>
      </c>
      <c r="D43" s="24" t="inlineStr">
        <is>
          <t>/faculty-research/faculty-directory/nathan-novemsky</t>
        </is>
      </c>
      <c r="E43" s="24" t="n">
        <v>1</v>
      </c>
      <c r="F43" s="24" t="inlineStr">
        <is>
          <t>publications</t>
        </is>
      </c>
      <c r="G43" s="24" t="inlineStr">
        <is>
          <t>publication_teaser_list</t>
        </is>
      </c>
      <c r="H43" s="24" t="inlineStr">
        <is>
          <t>publication_teaser_list_all_by_author</t>
        </is>
      </c>
      <c r="I43" s="24" t="n"/>
      <c r="J43" s="24" t="inlineStr">
        <is>
          <t>View/config rules</t>
        </is>
      </c>
      <c r="K43" s="24" t="inlineStr">
        <is>
          <t>Page placement</t>
        </is>
      </c>
      <c r="L43" s="24" t="inlineStr">
        <is>
          <t>Content type: publications; Source: View/config rules</t>
        </is>
      </c>
      <c r="IS43" s="19">
        <f>IF(input_content_type="",FALSE,ISNUMBER(SEARCH(","&amp;LOWER(input_content_type)&amp;",",","&amp;LOWER(SUBSTITUTE(F43," ",""))&amp;",")))</f>
        <v/>
      </c>
      <c r="IT43" s="19">
        <f>AND(IF(M43="",TRUE,IF(input_affiliations="",FALSE,SUMPRODUCT(--ISNUMBER(SEARCH(","&amp;TRIM(TEXTSPLIT(M43,","))&amp;",",","&amp;SUBSTITUTE(input_affiliations," ","")&amp;",")))&gt;0)),IF(O43="",TRUE,IF(input_affiliations="",FALSE,SUMPRODUCT(--ISNUMBER(SEARCH(","&amp;TRIM(TEXTSPLIT(O43,","))&amp;",",","&amp;SUBSTITUTE(input_affiliations," ","")&amp;",")))=COUNTA(TEXTSPLIT(O43,",")))),IF(Q43="",TRUE,IF(input_affiliations="",TRUE,SUMPRODUCT(--ISNUMBER(SEARCH(","&amp;TRIM(TEXTSPLIT(Q43,","))&amp;",",","&amp;SUBSTITUTE(input_affiliations," ","")&amp;",")))=0)),IF(S43="",TRUE,IF(input_affiliations="",FALSE,SUMPRODUCT(--ISNUMBER(SEARCH(","&amp;TRIM(TEXTSPLIT(S43,","))&amp;",",","&amp;SUBSTITUTE(input_affiliations," ","")&amp;",")))&gt;0)),IF(U43="",TRUE,IF(input_affiliations="",FALSE,SUMPRODUCT(--ISNUMBER(SEARCH(","&amp;TRIM(TEXTSPLIT(U43,","))&amp;",",","&amp;SUBSTITUTE(input_affiliations," ","")&amp;",")))=COUNTA(TEXTSPLIT(U43,",")))))</f>
        <v/>
      </c>
      <c r="IU43" s="19">
        <f>AND(IF(W43="",TRUE,IF(input_announcement_category="",FALSE,SUMPRODUCT(--ISNUMBER(SEARCH(","&amp;TRIM(TEXTSPLIT(W43,","))&amp;",",","&amp;SUBSTITUTE(input_announcement_category," ","")&amp;",")))&gt;0)),IF(Y43="",TRUE,IF(input_announcement_category="",FALSE,SUMPRODUCT(--ISNUMBER(SEARCH(","&amp;TRIM(TEXTSPLIT(Y43,","))&amp;",",","&amp;SUBSTITUTE(input_announcement_category," ","")&amp;",")))=COUNTA(TEXTSPLIT(Y43,",")))),IF(AA43="",TRUE,IF(input_announcement_category="",TRUE,SUMPRODUCT(--ISNUMBER(SEARCH(","&amp;TRIM(TEXTSPLIT(AA43,","))&amp;",",","&amp;SUBSTITUTE(input_announcement_category," ","")&amp;",")))=0)),IF(AC43="",TRUE,IF(input_announcement_category="",FALSE,SUMPRODUCT(--ISNUMBER(SEARCH(","&amp;TRIM(TEXTSPLIT(AC43,","))&amp;",",","&amp;SUBSTITUTE(input_announcement_category," ","")&amp;",")))&gt;0)),IF(AE43="",TRUE,IF(input_announcement_category="",FALSE,SUMPRODUCT(--ISNUMBER(SEARCH(","&amp;TRIM(TEXTSPLIT(AE43,","))&amp;",",","&amp;SUBSTITUTE(input_announcement_category," ","")&amp;",")))=COUNTA(TEXTSPLIT(AE43,",")))))</f>
        <v/>
      </c>
      <c r="IV43" s="19">
        <f>AND(IF(AG43="",TRUE,IF(input_area_of_focus="",FALSE,SUMPRODUCT(--ISNUMBER(SEARCH(","&amp;TRIM(TEXTSPLIT(AG43,","))&amp;",",","&amp;SUBSTITUTE(input_area_of_focus," ","")&amp;",")))&gt;0)),IF(AI43="",TRUE,IF(input_area_of_focus="",FALSE,SUMPRODUCT(--ISNUMBER(SEARCH(","&amp;TRIM(TEXTSPLIT(AI43,","))&amp;",",","&amp;SUBSTITUTE(input_area_of_focus," ","")&amp;",")))=COUNTA(TEXTSPLIT(AI43,",")))),IF(AK43="",TRUE,IF(input_area_of_focus="",TRUE,SUMPRODUCT(--ISNUMBER(SEARCH(","&amp;TRIM(TEXTSPLIT(AK43,","))&amp;",",","&amp;SUBSTITUTE(input_area_of_focus," ","")&amp;",")))=0)),IF(AM43="",TRUE,IF(input_area_of_focus="",FALSE,SUMPRODUCT(--ISNUMBER(SEARCH(","&amp;TRIM(TEXTSPLIT(AM43,","))&amp;",",","&amp;SUBSTITUTE(input_area_of_focus," ","")&amp;",")))&gt;0)),IF(AO43="",TRUE,IF(input_area_of_focus="",FALSE,SUMPRODUCT(--ISNUMBER(SEARCH(","&amp;TRIM(TEXTSPLIT(AO43,","))&amp;",",","&amp;SUBSTITUTE(input_area_of_focus," ","")&amp;",")))=COUNTA(TEXTSPLIT(AO43,",")))))</f>
        <v/>
      </c>
      <c r="IW43" s="19">
        <f>AND(IF(AQ43="",TRUE,IF(input_audience="",FALSE,SUMPRODUCT(--ISNUMBER(SEARCH(","&amp;TRIM(TEXTSPLIT(AQ43,","))&amp;",",","&amp;SUBSTITUTE(input_audience," ","")&amp;",")))&gt;0)),IF(AS43="",TRUE,IF(input_audience="",FALSE,SUMPRODUCT(--ISNUMBER(SEARCH(","&amp;TRIM(TEXTSPLIT(AS43,","))&amp;",",","&amp;SUBSTITUTE(input_audience," ","")&amp;",")))=COUNTA(TEXTSPLIT(AS43,",")))),IF(AU43="",TRUE,IF(input_audience="",TRUE,SUMPRODUCT(--ISNUMBER(SEARCH(","&amp;TRIM(TEXTSPLIT(AU43,","))&amp;",",","&amp;SUBSTITUTE(input_audience," ","")&amp;",")))=0)),IF(AW43="",TRUE,IF(input_audience="",FALSE,SUMPRODUCT(--ISNUMBER(SEARCH(","&amp;TRIM(TEXTSPLIT(AW43,","))&amp;",",","&amp;SUBSTITUTE(input_audience," ","")&amp;",")))&gt;0)),IF(AY43="",TRUE,IF(input_audience="",FALSE,SUMPRODUCT(--ISNUMBER(SEARCH(","&amp;TRIM(TEXTSPLIT(AY43,","))&amp;",",","&amp;SUBSTITUTE(input_audience," ","")&amp;",")))=COUNTA(TEXTSPLIT(AY43,",")))))</f>
        <v/>
      </c>
      <c r="IX43" s="19">
        <f>AND(IF(BA43="",TRUE,IF(input_challenge_opportunities="",FALSE,SUMPRODUCT(--ISNUMBER(SEARCH(","&amp;TRIM(TEXTSPLIT(BA43,","))&amp;",",","&amp;SUBSTITUTE(input_challenge_opportunities," ","")&amp;",")))&gt;0)),IF(BC43="",TRUE,IF(input_challenge_opportunities="",FALSE,SUMPRODUCT(--ISNUMBER(SEARCH(","&amp;TRIM(TEXTSPLIT(BC43,","))&amp;",",","&amp;SUBSTITUTE(input_challenge_opportunities," ","")&amp;",")))=COUNTA(TEXTSPLIT(BC43,",")))),IF(BE43="",TRUE,IF(input_challenge_opportunities="",TRUE,SUMPRODUCT(--ISNUMBER(SEARCH(","&amp;TRIM(TEXTSPLIT(BE43,","))&amp;",",","&amp;SUBSTITUTE(input_challenge_opportunities," ","")&amp;",")))=0)),IF(BG43="",TRUE,IF(input_challenge_opportunities="",FALSE,SUMPRODUCT(--ISNUMBER(SEARCH(","&amp;TRIM(TEXTSPLIT(BG43,","))&amp;",",","&amp;SUBSTITUTE(input_challenge_opportunities," ","")&amp;",")))&gt;0)),IF(BI43="",TRUE,IF(input_challenge_opportunities="",FALSE,SUMPRODUCT(--ISNUMBER(SEARCH(","&amp;TRIM(TEXTSPLIT(BI43,","))&amp;",",","&amp;SUBSTITUTE(input_challenge_opportunities," ","")&amp;",")))=COUNTA(TEXTSPLIT(BI43,",")))))</f>
        <v/>
      </c>
      <c r="IY43" s="19">
        <f>AND(IF(BK43="",TRUE,IF(input_context="",FALSE,SUMPRODUCT(--ISNUMBER(SEARCH(","&amp;TRIM(TEXTSPLIT(BK43,","))&amp;",",","&amp;SUBSTITUTE(input_context," ","")&amp;",")))&gt;0)),IF(BM43="",TRUE,IF(input_context="",FALSE,SUMPRODUCT(--ISNUMBER(SEARCH(","&amp;TRIM(TEXTSPLIT(BM43,","))&amp;",",","&amp;SUBSTITUTE(input_context," ","")&amp;",")))=COUNTA(TEXTSPLIT(BM43,",")))),IF(BO43="",TRUE,IF(input_context="",TRUE,SUMPRODUCT(--ISNUMBER(SEARCH(","&amp;TRIM(TEXTSPLIT(BO43,","))&amp;",",","&amp;SUBSTITUTE(input_context," ","")&amp;",")))=0)),IF(BQ43="",TRUE,IF(input_context="",FALSE,SUMPRODUCT(--ISNUMBER(SEARCH(","&amp;TRIM(TEXTSPLIT(BQ43,","))&amp;",",","&amp;SUBSTITUTE(input_context," ","")&amp;",")))&gt;0)),IF(BS43="",TRUE,IF(input_context="",FALSE,SUMPRODUCT(--ISNUMBER(SEARCH(","&amp;TRIM(TEXTSPLIT(BS43,","))&amp;",",","&amp;SUBSTITUTE(input_context," ","")&amp;",")))=COUNTA(TEXTSPLIT(BS43,",")))))</f>
        <v/>
      </c>
      <c r="IZ43" s="19">
        <f>AND(IF(BU43="",TRUE,IF(input_enews_announcement_type="",FALSE,SUMPRODUCT(--ISNUMBER(SEARCH(","&amp;TRIM(TEXTSPLIT(BU43,","))&amp;",",","&amp;SUBSTITUTE(input_enews_announcement_type," ","")&amp;",")))&gt;0)),IF(BW43="",TRUE,IF(input_enews_announcement_type="",FALSE,SUMPRODUCT(--ISNUMBER(SEARCH(","&amp;TRIM(TEXTSPLIT(BW43,","))&amp;",",","&amp;SUBSTITUTE(input_enews_announcement_type," ","")&amp;",")))=COUNTA(TEXTSPLIT(BW43,",")))),IF(BY43="",TRUE,IF(input_enews_announcement_type="",TRUE,SUMPRODUCT(--ISNUMBER(SEARCH(","&amp;TRIM(TEXTSPLIT(BY43,","))&amp;",",","&amp;SUBSTITUTE(input_enews_announcement_type," ","")&amp;",")))=0)),IF(CA43="",TRUE,IF(input_enews_announcement_type="",FALSE,SUMPRODUCT(--ISNUMBER(SEARCH(","&amp;TRIM(TEXTSPLIT(CA43,","))&amp;",",","&amp;SUBSTITUTE(input_enews_announcement_type," ","")&amp;",")))&gt;0)),IF(CC43="",TRUE,IF(input_enews_announcement_type="",FALSE,SUMPRODUCT(--ISNUMBER(SEARCH(","&amp;TRIM(TEXTSPLIT(CC43,","))&amp;",",","&amp;SUBSTITUTE(input_enews_announcement_type," ","")&amp;",")))=COUNTA(TEXTSPLIT(CC43,",")))))</f>
        <v/>
      </c>
      <c r="JA43" s="19">
        <f>AND(IF(CE43="",TRUE,IF(input_enews_audience="",FALSE,SUMPRODUCT(--ISNUMBER(SEARCH(","&amp;TRIM(TEXTSPLIT(CE43,","))&amp;",",","&amp;SUBSTITUTE(input_enews_audience," ","")&amp;",")))&gt;0)),IF(CG43="",TRUE,IF(input_enews_audience="",FALSE,SUMPRODUCT(--ISNUMBER(SEARCH(","&amp;TRIM(TEXTSPLIT(CG43,","))&amp;",",","&amp;SUBSTITUTE(input_enews_audience," ","")&amp;",")))=COUNTA(TEXTSPLIT(CG43,",")))),IF(CI43="",TRUE,IF(input_enews_audience="",TRUE,SUMPRODUCT(--ISNUMBER(SEARCH(","&amp;TRIM(TEXTSPLIT(CI43,","))&amp;",",","&amp;SUBSTITUTE(input_enews_audience," ","")&amp;",")))=0)),IF(CK43="",TRUE,IF(input_enews_audience="",FALSE,SUMPRODUCT(--ISNUMBER(SEARCH(","&amp;TRIM(TEXTSPLIT(CK43,","))&amp;",",","&amp;SUBSTITUTE(input_enews_audience," ","")&amp;",")))&gt;0)),IF(CM43="",TRUE,IF(input_enews_audience="",FALSE,SUMPRODUCT(--ISNUMBER(SEARCH(","&amp;TRIM(TEXTSPLIT(CM43,","))&amp;",",","&amp;SUBSTITUTE(input_enews_audience," ","")&amp;",")))=COUNTA(TEXTSPLIT(CM43,",")))))</f>
        <v/>
      </c>
      <c r="JB43" s="19">
        <f>AND(IF(CO43="",TRUE,IF(input_event_location="",FALSE,SUMPRODUCT(--ISNUMBER(SEARCH(","&amp;TRIM(TEXTSPLIT(CO43,","))&amp;",",","&amp;SUBSTITUTE(input_event_location," ","")&amp;",")))&gt;0)),IF(CQ43="",TRUE,IF(input_event_location="",FALSE,SUMPRODUCT(--ISNUMBER(SEARCH(","&amp;TRIM(TEXTSPLIT(CQ43,","))&amp;",",","&amp;SUBSTITUTE(input_event_location," ","")&amp;",")))=COUNTA(TEXTSPLIT(CQ43,",")))),IF(CS43="",TRUE,IF(input_event_location="",TRUE,SUMPRODUCT(--ISNUMBER(SEARCH(","&amp;TRIM(TEXTSPLIT(CS43,","))&amp;",",","&amp;SUBSTITUTE(input_event_location," ","")&amp;",")))=0)),IF(CU43="",TRUE,IF(input_event_location="",FALSE,SUMPRODUCT(--ISNUMBER(SEARCH(","&amp;TRIM(TEXTSPLIT(CU43,","))&amp;",",","&amp;SUBSTITUTE(input_event_location," ","")&amp;",")))&gt;0)),IF(CW43="",TRUE,IF(input_event_location="",FALSE,SUMPRODUCT(--ISNUMBER(SEARCH(","&amp;TRIM(TEXTSPLIT(CW43,","))&amp;",",","&amp;SUBSTITUTE(input_event_location," ","")&amp;",")))=COUNTA(TEXTSPLIT(CW43,",")))))</f>
        <v/>
      </c>
      <c r="JC43" s="19">
        <f>AND(IF(CY43="",TRUE,IF(input_event_type="",FALSE,SUMPRODUCT(--ISNUMBER(SEARCH(","&amp;TRIM(TEXTSPLIT(CY43,","))&amp;",",","&amp;SUBSTITUTE(input_event_type," ","")&amp;",")))&gt;0)),IF(DA43="",TRUE,IF(input_event_type="",FALSE,SUMPRODUCT(--ISNUMBER(SEARCH(","&amp;TRIM(TEXTSPLIT(DA43,","))&amp;",",","&amp;SUBSTITUTE(input_event_type," ","")&amp;",")))=COUNTA(TEXTSPLIT(DA43,",")))),IF(DC43="",TRUE,IF(input_event_type="",TRUE,SUMPRODUCT(--ISNUMBER(SEARCH(","&amp;TRIM(TEXTSPLIT(DC43,","))&amp;",",","&amp;SUBSTITUTE(input_event_type," ","")&amp;",")))=0)),IF(DE43="",TRUE,IF(input_event_type="",FALSE,SUMPRODUCT(--ISNUMBER(SEARCH(","&amp;TRIM(TEXTSPLIT(DE43,","))&amp;",",","&amp;SUBSTITUTE(input_event_type," ","")&amp;",")))&gt;0)),IF(DG43="",TRUE,IF(input_event_type="",FALSE,SUMPRODUCT(--ISNUMBER(SEARCH(","&amp;TRIM(TEXTSPLIT(DG43,","))&amp;",",","&amp;SUBSTITUTE(input_event_type," ","")&amp;",")))=COUNTA(TEXTSPLIT(DG43,",")))))</f>
        <v/>
      </c>
      <c r="JD43" s="19">
        <f>AND(IF(DI43="",TRUE,IF(input_executive_education_focus="",FALSE,SUMPRODUCT(--ISNUMBER(SEARCH(","&amp;TRIM(TEXTSPLIT(DI43,","))&amp;",",","&amp;SUBSTITUTE(input_executive_education_focus," ","")&amp;",")))&gt;0)),IF(DK43="",TRUE,IF(input_executive_education_focus="",FALSE,SUMPRODUCT(--ISNUMBER(SEARCH(","&amp;TRIM(TEXTSPLIT(DK43,","))&amp;",",","&amp;SUBSTITUTE(input_executive_education_focus," ","")&amp;",")))=COUNTA(TEXTSPLIT(DK43,",")))),IF(DM43="",TRUE,IF(input_executive_education_focus="",TRUE,SUMPRODUCT(--ISNUMBER(SEARCH(","&amp;TRIM(TEXTSPLIT(DM43,","))&amp;",",","&amp;SUBSTITUTE(input_executive_education_focus," ","")&amp;",")))=0)),IF(DO43="",TRUE,IF(input_executive_education_focus="",FALSE,SUMPRODUCT(--ISNUMBER(SEARCH(","&amp;TRIM(TEXTSPLIT(DO43,","))&amp;",",","&amp;SUBSTITUTE(input_executive_education_focus," ","")&amp;",")))&gt;0)),IF(DQ43="",TRUE,IF(input_executive_education_focus="",FALSE,SUMPRODUCT(--ISNUMBER(SEARCH(","&amp;TRIM(TEXTSPLIT(DQ43,","))&amp;",",","&amp;SUBSTITUTE(input_executive_education_focus," ","")&amp;",")))=COUNTA(TEXTSPLIT(DQ43,",")))))</f>
        <v/>
      </c>
      <c r="JE43" s="19">
        <f>AND(IF(DS43="",TRUE,IF(input_faculty_category="",FALSE,SUMPRODUCT(--ISNUMBER(SEARCH(","&amp;TRIM(TEXTSPLIT(DS43,","))&amp;",",","&amp;SUBSTITUTE(input_faculty_category," ","")&amp;",")))&gt;0)),IF(DU43="",TRUE,IF(input_faculty_category="",FALSE,SUMPRODUCT(--ISNUMBER(SEARCH(","&amp;TRIM(TEXTSPLIT(DU43,","))&amp;",",","&amp;SUBSTITUTE(input_faculty_category," ","")&amp;",")))=COUNTA(TEXTSPLIT(DU43,",")))),IF(DW43="",TRUE,IF(input_faculty_category="",TRUE,SUMPRODUCT(--ISNUMBER(SEARCH(","&amp;TRIM(TEXTSPLIT(DW43,","))&amp;",",","&amp;SUBSTITUTE(input_faculty_category," ","")&amp;",")))=0)),IF(DY43="",TRUE,IF(input_faculty_category="",FALSE,SUMPRODUCT(--ISNUMBER(SEARCH(","&amp;TRIM(TEXTSPLIT(DY43,","))&amp;",",","&amp;SUBSTITUTE(input_faculty_category," ","")&amp;",")))&gt;0)),IF(EA43="",TRUE,IF(input_faculty_category="",FALSE,SUMPRODUCT(--ISNUMBER(SEARCH(","&amp;TRIM(TEXTSPLIT(EA43,","))&amp;",",","&amp;SUBSTITUTE(input_faculty_category," ","")&amp;",")))=COUNTA(TEXTSPLIT(EA43,",")))))</f>
        <v/>
      </c>
      <c r="JF43" s="19">
        <f>AND(IF(EC43="",TRUE,IF(input_faculty_discipline="",FALSE,SUMPRODUCT(--ISNUMBER(SEARCH(","&amp;TRIM(TEXTSPLIT(EC43,","))&amp;",",","&amp;SUBSTITUTE(input_faculty_discipline," ","")&amp;",")))&gt;0)),IF(EE43="",TRUE,IF(input_faculty_discipline="",FALSE,SUMPRODUCT(--ISNUMBER(SEARCH(","&amp;TRIM(TEXTSPLIT(EE43,","))&amp;",",","&amp;SUBSTITUTE(input_faculty_discipline," ","")&amp;",")))=COUNTA(TEXTSPLIT(EE43,",")))),IF(EG43="",TRUE,IF(input_faculty_discipline="",TRUE,SUMPRODUCT(--ISNUMBER(SEARCH(","&amp;TRIM(TEXTSPLIT(EG43,","))&amp;",",","&amp;SUBSTITUTE(input_faculty_discipline," ","")&amp;",")))=0)),IF(EI43="",TRUE,IF(input_faculty_discipline="",FALSE,SUMPRODUCT(--ISNUMBER(SEARCH(","&amp;TRIM(TEXTSPLIT(EI43,","))&amp;",",","&amp;SUBSTITUTE(input_faculty_discipline," ","")&amp;",")))&gt;0)),IF(EK43="",TRUE,IF(input_faculty_discipline="",FALSE,SUMPRODUCT(--ISNUMBER(SEARCH(","&amp;TRIM(TEXTSPLIT(EK43,","))&amp;",",","&amp;SUBSTITUTE(input_faculty_discipline," ","")&amp;",")))=COUNTA(TEXTSPLIT(EK43,",")))))</f>
        <v/>
      </c>
      <c r="JG43" s="19">
        <f>AND(IF(EM43="",TRUE,IF(input_faculty_expertise="",FALSE,SUMPRODUCT(--ISNUMBER(SEARCH(","&amp;TRIM(TEXTSPLIT(EM43,","))&amp;",",","&amp;SUBSTITUTE(input_faculty_expertise," ","")&amp;",")))&gt;0)),IF(EO43="",TRUE,IF(input_faculty_expertise="",FALSE,SUMPRODUCT(--ISNUMBER(SEARCH(","&amp;TRIM(TEXTSPLIT(EO43,","))&amp;",",","&amp;SUBSTITUTE(input_faculty_expertise," ","")&amp;",")))=COUNTA(TEXTSPLIT(EO43,",")))),IF(EQ43="",TRUE,IF(input_faculty_expertise="",TRUE,SUMPRODUCT(--ISNUMBER(SEARCH(","&amp;TRIM(TEXTSPLIT(EQ43,","))&amp;",",","&amp;SUBSTITUTE(input_faculty_expertise," ","")&amp;",")))=0)),IF(ES43="",TRUE,IF(input_faculty_expertise="",FALSE,SUMPRODUCT(--ISNUMBER(SEARCH(","&amp;TRIM(TEXTSPLIT(ES43,","))&amp;",",","&amp;SUBSTITUTE(input_faculty_expertise," ","")&amp;",")))&gt;0)),IF(EU43="",TRUE,IF(input_faculty_expertise="",FALSE,SUMPRODUCT(--ISNUMBER(SEARCH(","&amp;TRIM(TEXTSPLIT(EU43,","))&amp;",",","&amp;SUBSTITUTE(input_faculty_expertise," ","")&amp;",")))=COUNTA(TEXTSPLIT(EU43,",")))))</f>
        <v/>
      </c>
      <c r="JH43" s="19">
        <f>AND(IF(EW43="",TRUE,IF(input_global_network_school="",FALSE,SUMPRODUCT(--ISNUMBER(SEARCH(","&amp;TRIM(TEXTSPLIT(EW43,","))&amp;",",","&amp;SUBSTITUTE(input_global_network_school," ","")&amp;",")))&gt;0)),IF(EY43="",TRUE,IF(input_global_network_school="",FALSE,SUMPRODUCT(--ISNUMBER(SEARCH(","&amp;TRIM(TEXTSPLIT(EY43,","))&amp;",",","&amp;SUBSTITUTE(input_global_network_school," ","")&amp;",")))=COUNTA(TEXTSPLIT(EY43,",")))),IF(FA43="",TRUE,IF(input_global_network_school="",TRUE,SUMPRODUCT(--ISNUMBER(SEARCH(","&amp;TRIM(TEXTSPLIT(FA43,","))&amp;",",","&amp;SUBSTITUTE(input_global_network_school," ","")&amp;",")))=0)),IF(FC43="",TRUE,IF(input_global_network_school="",FALSE,SUMPRODUCT(--ISNUMBER(SEARCH(","&amp;TRIM(TEXTSPLIT(FC43,","))&amp;",",","&amp;SUBSTITUTE(input_global_network_school," ","")&amp;",")))&gt;0)),IF(FE43="",TRUE,IF(input_global_network_school="",FALSE,SUMPRODUCT(--ISNUMBER(SEARCH(","&amp;TRIM(TEXTSPLIT(FE43,","))&amp;",",","&amp;SUBSTITUTE(input_global_network_school," ","")&amp;",")))=COUNTA(TEXTSPLIT(FE43,",")))))</f>
        <v/>
      </c>
      <c r="JI43" s="19">
        <f>AND(IF(FG43="",TRUE,IF(input_industry="",FALSE,SUMPRODUCT(--ISNUMBER(SEARCH(","&amp;TRIM(TEXTSPLIT(FG43,","))&amp;",",","&amp;SUBSTITUTE(input_industry," ","")&amp;",")))&gt;0)),IF(FI43="",TRUE,IF(input_industry="",FALSE,SUMPRODUCT(--ISNUMBER(SEARCH(","&amp;TRIM(TEXTSPLIT(FI43,","))&amp;",",","&amp;SUBSTITUTE(input_industry," ","")&amp;",")))=COUNTA(TEXTSPLIT(FI43,",")))),IF(FK43="",TRUE,IF(input_industry="",TRUE,SUMPRODUCT(--ISNUMBER(SEARCH(","&amp;TRIM(TEXTSPLIT(FK43,","))&amp;",",","&amp;SUBSTITUTE(input_industry," ","")&amp;",")))=0)),IF(FM43="",TRUE,IF(input_industry="",FALSE,SUMPRODUCT(--ISNUMBER(SEARCH(","&amp;TRIM(TEXTSPLIT(FM43,","))&amp;",",","&amp;SUBSTITUTE(input_industry," ","")&amp;",")))&gt;0)),IF(FO43="",TRUE,IF(input_industry="",FALSE,SUMPRODUCT(--ISNUMBER(SEARCH(","&amp;TRIM(TEXTSPLIT(FO43,","))&amp;",",","&amp;SUBSTITUTE(input_industry," ","")&amp;",")))=COUNTA(TEXTSPLIT(FO43,",")))))</f>
        <v/>
      </c>
      <c r="JJ43" s="19">
        <f>AND(IF(FQ43="",TRUE,IF(input_location="",FALSE,SUMPRODUCT(--ISNUMBER(SEARCH(","&amp;TRIM(TEXTSPLIT(FQ43,","))&amp;",",","&amp;SUBSTITUTE(input_location," ","")&amp;",")))&gt;0)),IF(FS43="",TRUE,IF(input_location="",FALSE,SUMPRODUCT(--ISNUMBER(SEARCH(","&amp;TRIM(TEXTSPLIT(FS43,","))&amp;",",","&amp;SUBSTITUTE(input_location," ","")&amp;",")))=COUNTA(TEXTSPLIT(FS43,",")))),IF(FU43="",TRUE,IF(input_location="",TRUE,SUMPRODUCT(--ISNUMBER(SEARCH(","&amp;TRIM(TEXTSPLIT(FU43,","))&amp;",",","&amp;SUBSTITUTE(input_location," ","")&amp;",")))=0)),IF(FW43="",TRUE,IF(input_location="",FALSE,SUMPRODUCT(--ISNUMBER(SEARCH(","&amp;TRIM(TEXTSPLIT(FW43,","))&amp;",",","&amp;SUBSTITUTE(input_location," ","")&amp;",")))&gt;0)),IF(FY43="",TRUE,IF(input_location="",FALSE,SUMPRODUCT(--ISNUMBER(SEARCH(","&amp;TRIM(TEXTSPLIT(FY43,","))&amp;",",","&amp;SUBSTITUTE(input_location," ","")&amp;",")))=COUNTA(TEXTSPLIT(FY43,",")))))</f>
        <v/>
      </c>
      <c r="JK43" s="19">
        <f>AND(IF(GA43="",TRUE,IF(input_modality="",FALSE,SUMPRODUCT(--ISNUMBER(SEARCH(","&amp;TRIM(TEXTSPLIT(GA43,","))&amp;",",","&amp;SUBSTITUTE(input_modality," ","")&amp;",")))&gt;0)),IF(GC43="",TRUE,IF(input_modality="",FALSE,SUMPRODUCT(--ISNUMBER(SEARCH(","&amp;TRIM(TEXTSPLIT(GC43,","))&amp;",",","&amp;SUBSTITUTE(input_modality," ","")&amp;",")))=COUNTA(TEXTSPLIT(GC43,",")))),IF(GE43="",TRUE,IF(input_modality="",TRUE,SUMPRODUCT(--ISNUMBER(SEARCH(","&amp;TRIM(TEXTSPLIT(GE43,","))&amp;",",","&amp;SUBSTITUTE(input_modality," ","")&amp;",")))=0)),IF(GG43="",TRUE,IF(input_modality="",FALSE,SUMPRODUCT(--ISNUMBER(SEARCH(","&amp;TRIM(TEXTSPLIT(GG43,","))&amp;",",","&amp;SUBSTITUTE(input_modality," ","")&amp;",")))&gt;0)),IF(GI43="",TRUE,IF(input_modality="",FALSE,SUMPRODUCT(--ISNUMBER(SEARCH(","&amp;TRIM(TEXTSPLIT(GI43,","))&amp;",",","&amp;SUBSTITUTE(input_modality," ","")&amp;",")))=COUNTA(TEXTSPLIT(GI43,",")))))</f>
        <v/>
      </c>
      <c r="JL43" s="19">
        <f>AND(IF(GK43="",TRUE,IF(input_organizer="",FALSE,SUMPRODUCT(--ISNUMBER(SEARCH(","&amp;TRIM(TEXTSPLIT(GK43,","))&amp;",",","&amp;SUBSTITUTE(input_organizer," ","")&amp;",")))&gt;0)),IF(GM43="",TRUE,IF(input_organizer="",FALSE,SUMPRODUCT(--ISNUMBER(SEARCH(","&amp;TRIM(TEXTSPLIT(GM43,","))&amp;",",","&amp;SUBSTITUTE(input_organizer," ","")&amp;",")))=COUNTA(TEXTSPLIT(GM43,",")))),IF(GO43="",TRUE,IF(input_organizer="",TRUE,SUMPRODUCT(--ISNUMBER(SEARCH(","&amp;TRIM(TEXTSPLIT(GO43,","))&amp;",",","&amp;SUBSTITUTE(input_organizer," ","")&amp;",")))=0)),IF(GQ43="",TRUE,IF(input_organizer="",FALSE,SUMPRODUCT(--ISNUMBER(SEARCH(","&amp;TRIM(TEXTSPLIT(GQ43,","))&amp;",",","&amp;SUBSTITUTE(input_organizer," ","")&amp;",")))&gt;0)),IF(GS43="",TRUE,IF(input_organizer="",FALSE,SUMPRODUCT(--ISNUMBER(SEARCH(","&amp;TRIM(TEXTSPLIT(GS43,","))&amp;",",","&amp;SUBSTITUTE(input_organizer," ","")&amp;",")))=COUNTA(TEXTSPLIT(GS43,",")))))</f>
        <v/>
      </c>
      <c r="JM43" s="19">
        <f>AND(IF(GU43="",TRUE,IF(input_profile_type="",FALSE,SUMPRODUCT(--ISNUMBER(SEARCH(","&amp;TRIM(TEXTSPLIT(GU43,","))&amp;",",","&amp;SUBSTITUTE(input_profile_type," ","")&amp;",")))&gt;0)),IF(GW43="",TRUE,IF(input_profile_type="",FALSE,SUMPRODUCT(--ISNUMBER(SEARCH(","&amp;TRIM(TEXTSPLIT(GW43,","))&amp;",",","&amp;SUBSTITUTE(input_profile_type," ","")&amp;",")))=COUNTA(TEXTSPLIT(GW43,",")))),IF(GY43="",TRUE,IF(input_profile_type="",TRUE,SUMPRODUCT(--ISNUMBER(SEARCH(","&amp;TRIM(TEXTSPLIT(GY43,","))&amp;",",","&amp;SUBSTITUTE(input_profile_type," ","")&amp;",")))=0)),IF(HA43="",TRUE,IF(input_profile_type="",FALSE,SUMPRODUCT(--ISNUMBER(SEARCH(","&amp;TRIM(TEXTSPLIT(HA43,","))&amp;",",","&amp;SUBSTITUTE(input_profile_type," ","")&amp;",")))&gt;0)),IF(HC43="",TRUE,IF(input_profile_type="",FALSE,SUMPRODUCT(--ISNUMBER(SEARCH(","&amp;TRIM(TEXTSPLIT(HC43,","))&amp;",",","&amp;SUBSTITUTE(input_profile_type," ","")&amp;",")))=COUNTA(TEXTSPLIT(HC43,",")))))</f>
        <v/>
      </c>
      <c r="JN43" s="19">
        <f>AND(IF(HE43="",TRUE,IF(input_program="",FALSE,SUMPRODUCT(--ISNUMBER(SEARCH(","&amp;TRIM(TEXTSPLIT(HE43,","))&amp;",",","&amp;SUBSTITUTE(input_program," ","")&amp;",")))&gt;0)),IF(HG43="",TRUE,IF(input_program="",FALSE,SUMPRODUCT(--ISNUMBER(SEARCH(","&amp;TRIM(TEXTSPLIT(HG43,","))&amp;",",","&amp;SUBSTITUTE(input_program," ","")&amp;",")))=COUNTA(TEXTSPLIT(HG43,",")))),IF(HI43="",TRUE,IF(input_program="",TRUE,SUMPRODUCT(--ISNUMBER(SEARCH(","&amp;TRIM(TEXTSPLIT(HI43,","))&amp;",",","&amp;SUBSTITUTE(input_program," ","")&amp;",")))=0)),IF(HK43="",TRUE,IF(input_program="",FALSE,SUMPRODUCT(--ISNUMBER(SEARCH(","&amp;TRIM(TEXTSPLIT(HK43,","))&amp;",",","&amp;SUBSTITUTE(input_program," ","")&amp;",")))&gt;0)),IF(HM43="",TRUE,IF(input_program="",FALSE,SUMPRODUCT(--ISNUMBER(SEARCH(","&amp;TRIM(TEXTSPLIT(HM43,","))&amp;",",","&amp;SUBSTITUTE(input_program," ","")&amp;",")))=COUNTA(TEXTSPLIT(HM43,",")))))</f>
        <v/>
      </c>
      <c r="JO43" s="19">
        <f>AND(IF(HO43="",TRUE,IF(input_story_categories="",FALSE,SUMPRODUCT(--ISNUMBER(SEARCH(","&amp;TRIM(TEXTSPLIT(HO43,","))&amp;",",","&amp;SUBSTITUTE(input_story_categories," ","")&amp;",")))&gt;0)),IF(HQ43="",TRUE,IF(input_story_categories="",FALSE,SUMPRODUCT(--ISNUMBER(SEARCH(","&amp;TRIM(TEXTSPLIT(HQ43,","))&amp;",",","&amp;SUBSTITUTE(input_story_categories," ","")&amp;",")))=COUNTA(TEXTSPLIT(HQ43,",")))),IF(HS43="",TRUE,IF(input_story_categories="",TRUE,SUMPRODUCT(--ISNUMBER(SEARCH(","&amp;TRIM(TEXTSPLIT(HS43,","))&amp;",",","&amp;SUBSTITUTE(input_story_categories," ","")&amp;",")))=0)),IF(HU43="",TRUE,IF(input_story_categories="",FALSE,SUMPRODUCT(--ISNUMBER(SEARCH(","&amp;TRIM(TEXTSPLIT(HU43,","))&amp;",",","&amp;SUBSTITUTE(input_story_categories," ","")&amp;",")))&gt;0)),IF(HW43="",TRUE,IF(input_story_categories="",FALSE,SUMPRODUCT(--ISNUMBER(SEARCH(","&amp;TRIM(TEXTSPLIT(HW43,","))&amp;",",","&amp;SUBSTITUTE(input_story_categories," ","")&amp;",")))=COUNTA(TEXTSPLIT(HW43,",")))))</f>
        <v/>
      </c>
      <c r="JP43" s="19">
        <f>AND(IF(HY43="",TRUE,IF(input_story_type="",FALSE,SUMPRODUCT(--ISNUMBER(SEARCH(","&amp;TRIM(TEXTSPLIT(HY43,","))&amp;",",","&amp;SUBSTITUTE(input_story_type," ","")&amp;",")))&gt;0)),IF(IA43="",TRUE,IF(input_story_type="",FALSE,SUMPRODUCT(--ISNUMBER(SEARCH(","&amp;TRIM(TEXTSPLIT(IA43,","))&amp;",",","&amp;SUBSTITUTE(input_story_type," ","")&amp;",")))=COUNTA(TEXTSPLIT(IA43,",")))),IF(IC43="",TRUE,IF(input_story_type="",TRUE,SUMPRODUCT(--ISNUMBER(SEARCH(","&amp;TRIM(TEXTSPLIT(IC43,","))&amp;",",","&amp;SUBSTITUTE(input_story_type," ","")&amp;",")))=0)),IF(IE43="",TRUE,IF(input_story_type="",FALSE,SUMPRODUCT(--ISNUMBER(SEARCH(","&amp;TRIM(TEXTSPLIT(IE43,","))&amp;",",","&amp;SUBSTITUTE(input_story_type," ","")&amp;",")))&gt;0)),IF(IG43="",TRUE,IF(input_story_type="",FALSE,SUMPRODUCT(--ISNUMBER(SEARCH(","&amp;TRIM(TEXTSPLIT(IG43,","))&amp;",",","&amp;SUBSTITUTE(input_story_type," ","")&amp;",")))=COUNTA(TEXTSPLIT(IG43,",")))))</f>
        <v/>
      </c>
      <c r="JQ43" s="19">
        <f>AND(IF(II43="",TRUE,IF(input_topics="",FALSE,SUMPRODUCT(--ISNUMBER(SEARCH(","&amp;TRIM(TEXTSPLIT(II43,","))&amp;",",","&amp;SUBSTITUTE(input_topics," ","")&amp;",")))&gt;0)),IF(IK43="",TRUE,IF(input_topics="",FALSE,SUMPRODUCT(--ISNUMBER(SEARCH(","&amp;TRIM(TEXTSPLIT(IK43,","))&amp;",",","&amp;SUBSTITUTE(input_topics," ","")&amp;",")))=COUNTA(TEXTSPLIT(IK43,",")))),IF(IM43="",TRUE,IF(input_topics="",TRUE,SUMPRODUCT(--ISNUMBER(SEARCH(","&amp;TRIM(TEXTSPLIT(IM43,","))&amp;",",","&amp;SUBSTITUTE(input_topics," ","")&amp;",")))=0)),IF(IO43="",TRUE,IF(input_topics="",FALSE,SUMPRODUCT(--ISNUMBER(SEARCH(","&amp;TRIM(TEXTSPLIT(IO43,","))&amp;",",","&amp;SUBSTITUTE(input_topics," ","")&amp;",")))&gt;0)),IF(IQ43="",TRUE,IF(input_topics="",FALSE,SUMPRODUCT(--ISNUMBER(SEARCH(","&amp;TRIM(TEXTSPLIT(IQ43,","))&amp;",",","&amp;SUBSTITUTE(input_topics," ","")&amp;",")))=COUNTA(TEXTSPLIT(IQ43,",")))))</f>
        <v/>
      </c>
    </row>
    <row r="44">
      <c r="A44" s="24">
        <f>IF(NOT(IS44),"Excluded",IF(AND(IT44,IU44,IV44,IW44,IX44,IY44,IZ44,JA44,JB44,JC44,JD44,JE44,JF44,JG44,JH44,JI44,JJ44,JK44,JL44,JM44,JN44,JO44,JP44,JQ44),IF(I44&gt;0,"Eligible but limited","Will appear"),"Excluded"))</f>
        <v/>
      </c>
      <c r="B44" s="24" t="inlineStr">
        <is>
          <t>All Publications by Author</t>
        </is>
      </c>
      <c r="C44" s="27" t="inlineStr">
        <is>
          <t>/faculty-research/faculty-directory/nicholas-c-barberis</t>
        </is>
      </c>
      <c r="D44" s="24" t="inlineStr">
        <is>
          <t>/faculty-research/faculty-directory/nicholas-c-barberis</t>
        </is>
      </c>
      <c r="E44" s="24" t="n">
        <v>1</v>
      </c>
      <c r="F44" s="24" t="inlineStr">
        <is>
          <t>publications</t>
        </is>
      </c>
      <c r="G44" s="24" t="inlineStr">
        <is>
          <t>publication_teaser_list</t>
        </is>
      </c>
      <c r="H44" s="24" t="inlineStr">
        <is>
          <t>publication_teaser_list_all_by_author</t>
        </is>
      </c>
      <c r="I44" s="24" t="n"/>
      <c r="J44" s="24" t="inlineStr">
        <is>
          <t>View/config rules</t>
        </is>
      </c>
      <c r="K44" s="24" t="inlineStr">
        <is>
          <t>Page placement</t>
        </is>
      </c>
      <c r="L44" s="24" t="inlineStr">
        <is>
          <t>Content type: publications; Source: View/config rules</t>
        </is>
      </c>
      <c r="IS44" s="19">
        <f>IF(input_content_type="",FALSE,ISNUMBER(SEARCH(","&amp;LOWER(input_content_type)&amp;",",","&amp;LOWER(SUBSTITUTE(F44," ",""))&amp;",")))</f>
        <v/>
      </c>
      <c r="IT44" s="19">
        <f>AND(IF(M44="",TRUE,IF(input_affiliations="",FALSE,SUMPRODUCT(--ISNUMBER(SEARCH(","&amp;TRIM(TEXTSPLIT(M44,","))&amp;",",","&amp;SUBSTITUTE(input_affiliations," ","")&amp;",")))&gt;0)),IF(O44="",TRUE,IF(input_affiliations="",FALSE,SUMPRODUCT(--ISNUMBER(SEARCH(","&amp;TRIM(TEXTSPLIT(O44,","))&amp;",",","&amp;SUBSTITUTE(input_affiliations," ","")&amp;",")))=COUNTA(TEXTSPLIT(O44,",")))),IF(Q44="",TRUE,IF(input_affiliations="",TRUE,SUMPRODUCT(--ISNUMBER(SEARCH(","&amp;TRIM(TEXTSPLIT(Q44,","))&amp;",",","&amp;SUBSTITUTE(input_affiliations," ","")&amp;",")))=0)),IF(S44="",TRUE,IF(input_affiliations="",FALSE,SUMPRODUCT(--ISNUMBER(SEARCH(","&amp;TRIM(TEXTSPLIT(S44,","))&amp;",",","&amp;SUBSTITUTE(input_affiliations," ","")&amp;",")))&gt;0)),IF(U44="",TRUE,IF(input_affiliations="",FALSE,SUMPRODUCT(--ISNUMBER(SEARCH(","&amp;TRIM(TEXTSPLIT(U44,","))&amp;",",","&amp;SUBSTITUTE(input_affiliations," ","")&amp;",")))=COUNTA(TEXTSPLIT(U44,",")))))</f>
        <v/>
      </c>
      <c r="IU44" s="19">
        <f>AND(IF(W44="",TRUE,IF(input_announcement_category="",FALSE,SUMPRODUCT(--ISNUMBER(SEARCH(","&amp;TRIM(TEXTSPLIT(W44,","))&amp;",",","&amp;SUBSTITUTE(input_announcement_category," ","")&amp;",")))&gt;0)),IF(Y44="",TRUE,IF(input_announcement_category="",FALSE,SUMPRODUCT(--ISNUMBER(SEARCH(","&amp;TRIM(TEXTSPLIT(Y44,","))&amp;",",","&amp;SUBSTITUTE(input_announcement_category," ","")&amp;",")))=COUNTA(TEXTSPLIT(Y44,",")))),IF(AA44="",TRUE,IF(input_announcement_category="",TRUE,SUMPRODUCT(--ISNUMBER(SEARCH(","&amp;TRIM(TEXTSPLIT(AA44,","))&amp;",",","&amp;SUBSTITUTE(input_announcement_category," ","")&amp;",")))=0)),IF(AC44="",TRUE,IF(input_announcement_category="",FALSE,SUMPRODUCT(--ISNUMBER(SEARCH(","&amp;TRIM(TEXTSPLIT(AC44,","))&amp;",",","&amp;SUBSTITUTE(input_announcement_category," ","")&amp;",")))&gt;0)),IF(AE44="",TRUE,IF(input_announcement_category="",FALSE,SUMPRODUCT(--ISNUMBER(SEARCH(","&amp;TRIM(TEXTSPLIT(AE44,","))&amp;",",","&amp;SUBSTITUTE(input_announcement_category," ","")&amp;",")))=COUNTA(TEXTSPLIT(AE44,",")))))</f>
        <v/>
      </c>
      <c r="IV44" s="19">
        <f>AND(IF(AG44="",TRUE,IF(input_area_of_focus="",FALSE,SUMPRODUCT(--ISNUMBER(SEARCH(","&amp;TRIM(TEXTSPLIT(AG44,","))&amp;",",","&amp;SUBSTITUTE(input_area_of_focus," ","")&amp;",")))&gt;0)),IF(AI44="",TRUE,IF(input_area_of_focus="",FALSE,SUMPRODUCT(--ISNUMBER(SEARCH(","&amp;TRIM(TEXTSPLIT(AI44,","))&amp;",",","&amp;SUBSTITUTE(input_area_of_focus," ","")&amp;",")))=COUNTA(TEXTSPLIT(AI44,",")))),IF(AK44="",TRUE,IF(input_area_of_focus="",TRUE,SUMPRODUCT(--ISNUMBER(SEARCH(","&amp;TRIM(TEXTSPLIT(AK44,","))&amp;",",","&amp;SUBSTITUTE(input_area_of_focus," ","")&amp;",")))=0)),IF(AM44="",TRUE,IF(input_area_of_focus="",FALSE,SUMPRODUCT(--ISNUMBER(SEARCH(","&amp;TRIM(TEXTSPLIT(AM44,","))&amp;",",","&amp;SUBSTITUTE(input_area_of_focus," ","")&amp;",")))&gt;0)),IF(AO44="",TRUE,IF(input_area_of_focus="",FALSE,SUMPRODUCT(--ISNUMBER(SEARCH(","&amp;TRIM(TEXTSPLIT(AO44,","))&amp;",",","&amp;SUBSTITUTE(input_area_of_focus," ","")&amp;",")))=COUNTA(TEXTSPLIT(AO44,",")))))</f>
        <v/>
      </c>
      <c r="IW44" s="19">
        <f>AND(IF(AQ44="",TRUE,IF(input_audience="",FALSE,SUMPRODUCT(--ISNUMBER(SEARCH(","&amp;TRIM(TEXTSPLIT(AQ44,","))&amp;",",","&amp;SUBSTITUTE(input_audience," ","")&amp;",")))&gt;0)),IF(AS44="",TRUE,IF(input_audience="",FALSE,SUMPRODUCT(--ISNUMBER(SEARCH(","&amp;TRIM(TEXTSPLIT(AS44,","))&amp;",",","&amp;SUBSTITUTE(input_audience," ","")&amp;",")))=COUNTA(TEXTSPLIT(AS44,",")))),IF(AU44="",TRUE,IF(input_audience="",TRUE,SUMPRODUCT(--ISNUMBER(SEARCH(","&amp;TRIM(TEXTSPLIT(AU44,","))&amp;",",","&amp;SUBSTITUTE(input_audience," ","")&amp;",")))=0)),IF(AW44="",TRUE,IF(input_audience="",FALSE,SUMPRODUCT(--ISNUMBER(SEARCH(","&amp;TRIM(TEXTSPLIT(AW44,","))&amp;",",","&amp;SUBSTITUTE(input_audience," ","")&amp;",")))&gt;0)),IF(AY44="",TRUE,IF(input_audience="",FALSE,SUMPRODUCT(--ISNUMBER(SEARCH(","&amp;TRIM(TEXTSPLIT(AY44,","))&amp;",",","&amp;SUBSTITUTE(input_audience," ","")&amp;",")))=COUNTA(TEXTSPLIT(AY44,",")))))</f>
        <v/>
      </c>
      <c r="IX44" s="19">
        <f>AND(IF(BA44="",TRUE,IF(input_challenge_opportunities="",FALSE,SUMPRODUCT(--ISNUMBER(SEARCH(","&amp;TRIM(TEXTSPLIT(BA44,","))&amp;",",","&amp;SUBSTITUTE(input_challenge_opportunities," ","")&amp;",")))&gt;0)),IF(BC44="",TRUE,IF(input_challenge_opportunities="",FALSE,SUMPRODUCT(--ISNUMBER(SEARCH(","&amp;TRIM(TEXTSPLIT(BC44,","))&amp;",",","&amp;SUBSTITUTE(input_challenge_opportunities," ","")&amp;",")))=COUNTA(TEXTSPLIT(BC44,",")))),IF(BE44="",TRUE,IF(input_challenge_opportunities="",TRUE,SUMPRODUCT(--ISNUMBER(SEARCH(","&amp;TRIM(TEXTSPLIT(BE44,","))&amp;",",","&amp;SUBSTITUTE(input_challenge_opportunities," ","")&amp;",")))=0)),IF(BG44="",TRUE,IF(input_challenge_opportunities="",FALSE,SUMPRODUCT(--ISNUMBER(SEARCH(","&amp;TRIM(TEXTSPLIT(BG44,","))&amp;",",","&amp;SUBSTITUTE(input_challenge_opportunities," ","")&amp;",")))&gt;0)),IF(BI44="",TRUE,IF(input_challenge_opportunities="",FALSE,SUMPRODUCT(--ISNUMBER(SEARCH(","&amp;TRIM(TEXTSPLIT(BI44,","))&amp;",",","&amp;SUBSTITUTE(input_challenge_opportunities," ","")&amp;",")))=COUNTA(TEXTSPLIT(BI44,",")))))</f>
        <v/>
      </c>
      <c r="IY44" s="19">
        <f>AND(IF(BK44="",TRUE,IF(input_context="",FALSE,SUMPRODUCT(--ISNUMBER(SEARCH(","&amp;TRIM(TEXTSPLIT(BK44,","))&amp;",",","&amp;SUBSTITUTE(input_context," ","")&amp;",")))&gt;0)),IF(BM44="",TRUE,IF(input_context="",FALSE,SUMPRODUCT(--ISNUMBER(SEARCH(","&amp;TRIM(TEXTSPLIT(BM44,","))&amp;",",","&amp;SUBSTITUTE(input_context," ","")&amp;",")))=COUNTA(TEXTSPLIT(BM44,",")))),IF(BO44="",TRUE,IF(input_context="",TRUE,SUMPRODUCT(--ISNUMBER(SEARCH(","&amp;TRIM(TEXTSPLIT(BO44,","))&amp;",",","&amp;SUBSTITUTE(input_context," ","")&amp;",")))=0)),IF(BQ44="",TRUE,IF(input_context="",FALSE,SUMPRODUCT(--ISNUMBER(SEARCH(","&amp;TRIM(TEXTSPLIT(BQ44,","))&amp;",",","&amp;SUBSTITUTE(input_context," ","")&amp;",")))&gt;0)),IF(BS44="",TRUE,IF(input_context="",FALSE,SUMPRODUCT(--ISNUMBER(SEARCH(","&amp;TRIM(TEXTSPLIT(BS44,","))&amp;",",","&amp;SUBSTITUTE(input_context," ","")&amp;",")))=COUNTA(TEXTSPLIT(BS44,",")))))</f>
        <v/>
      </c>
      <c r="IZ44" s="19">
        <f>AND(IF(BU44="",TRUE,IF(input_enews_announcement_type="",FALSE,SUMPRODUCT(--ISNUMBER(SEARCH(","&amp;TRIM(TEXTSPLIT(BU44,","))&amp;",",","&amp;SUBSTITUTE(input_enews_announcement_type," ","")&amp;",")))&gt;0)),IF(BW44="",TRUE,IF(input_enews_announcement_type="",FALSE,SUMPRODUCT(--ISNUMBER(SEARCH(","&amp;TRIM(TEXTSPLIT(BW44,","))&amp;",",","&amp;SUBSTITUTE(input_enews_announcement_type," ","")&amp;",")))=COUNTA(TEXTSPLIT(BW44,",")))),IF(BY44="",TRUE,IF(input_enews_announcement_type="",TRUE,SUMPRODUCT(--ISNUMBER(SEARCH(","&amp;TRIM(TEXTSPLIT(BY44,","))&amp;",",","&amp;SUBSTITUTE(input_enews_announcement_type," ","")&amp;",")))=0)),IF(CA44="",TRUE,IF(input_enews_announcement_type="",FALSE,SUMPRODUCT(--ISNUMBER(SEARCH(","&amp;TRIM(TEXTSPLIT(CA44,","))&amp;",",","&amp;SUBSTITUTE(input_enews_announcement_type," ","")&amp;",")))&gt;0)),IF(CC44="",TRUE,IF(input_enews_announcement_type="",FALSE,SUMPRODUCT(--ISNUMBER(SEARCH(","&amp;TRIM(TEXTSPLIT(CC44,","))&amp;",",","&amp;SUBSTITUTE(input_enews_announcement_type," ","")&amp;",")))=COUNTA(TEXTSPLIT(CC44,",")))))</f>
        <v/>
      </c>
      <c r="JA44" s="19">
        <f>AND(IF(CE44="",TRUE,IF(input_enews_audience="",FALSE,SUMPRODUCT(--ISNUMBER(SEARCH(","&amp;TRIM(TEXTSPLIT(CE44,","))&amp;",",","&amp;SUBSTITUTE(input_enews_audience," ","")&amp;",")))&gt;0)),IF(CG44="",TRUE,IF(input_enews_audience="",FALSE,SUMPRODUCT(--ISNUMBER(SEARCH(","&amp;TRIM(TEXTSPLIT(CG44,","))&amp;",",","&amp;SUBSTITUTE(input_enews_audience," ","")&amp;",")))=COUNTA(TEXTSPLIT(CG44,",")))),IF(CI44="",TRUE,IF(input_enews_audience="",TRUE,SUMPRODUCT(--ISNUMBER(SEARCH(","&amp;TRIM(TEXTSPLIT(CI44,","))&amp;",",","&amp;SUBSTITUTE(input_enews_audience," ","")&amp;",")))=0)),IF(CK44="",TRUE,IF(input_enews_audience="",FALSE,SUMPRODUCT(--ISNUMBER(SEARCH(","&amp;TRIM(TEXTSPLIT(CK44,","))&amp;",",","&amp;SUBSTITUTE(input_enews_audience," ","")&amp;",")))&gt;0)),IF(CM44="",TRUE,IF(input_enews_audience="",FALSE,SUMPRODUCT(--ISNUMBER(SEARCH(","&amp;TRIM(TEXTSPLIT(CM44,","))&amp;",",","&amp;SUBSTITUTE(input_enews_audience," ","")&amp;",")))=COUNTA(TEXTSPLIT(CM44,",")))))</f>
        <v/>
      </c>
      <c r="JB44" s="19">
        <f>AND(IF(CO44="",TRUE,IF(input_event_location="",FALSE,SUMPRODUCT(--ISNUMBER(SEARCH(","&amp;TRIM(TEXTSPLIT(CO44,","))&amp;",",","&amp;SUBSTITUTE(input_event_location," ","")&amp;",")))&gt;0)),IF(CQ44="",TRUE,IF(input_event_location="",FALSE,SUMPRODUCT(--ISNUMBER(SEARCH(","&amp;TRIM(TEXTSPLIT(CQ44,","))&amp;",",","&amp;SUBSTITUTE(input_event_location," ","")&amp;",")))=COUNTA(TEXTSPLIT(CQ44,",")))),IF(CS44="",TRUE,IF(input_event_location="",TRUE,SUMPRODUCT(--ISNUMBER(SEARCH(","&amp;TRIM(TEXTSPLIT(CS44,","))&amp;",",","&amp;SUBSTITUTE(input_event_location," ","")&amp;",")))=0)),IF(CU44="",TRUE,IF(input_event_location="",FALSE,SUMPRODUCT(--ISNUMBER(SEARCH(","&amp;TRIM(TEXTSPLIT(CU44,","))&amp;",",","&amp;SUBSTITUTE(input_event_location," ","")&amp;",")))&gt;0)),IF(CW44="",TRUE,IF(input_event_location="",FALSE,SUMPRODUCT(--ISNUMBER(SEARCH(","&amp;TRIM(TEXTSPLIT(CW44,","))&amp;",",","&amp;SUBSTITUTE(input_event_location," ","")&amp;",")))=COUNTA(TEXTSPLIT(CW44,",")))))</f>
        <v/>
      </c>
      <c r="JC44" s="19">
        <f>AND(IF(CY44="",TRUE,IF(input_event_type="",FALSE,SUMPRODUCT(--ISNUMBER(SEARCH(","&amp;TRIM(TEXTSPLIT(CY44,","))&amp;",",","&amp;SUBSTITUTE(input_event_type," ","")&amp;",")))&gt;0)),IF(DA44="",TRUE,IF(input_event_type="",FALSE,SUMPRODUCT(--ISNUMBER(SEARCH(","&amp;TRIM(TEXTSPLIT(DA44,","))&amp;",",","&amp;SUBSTITUTE(input_event_type," ","")&amp;",")))=COUNTA(TEXTSPLIT(DA44,",")))),IF(DC44="",TRUE,IF(input_event_type="",TRUE,SUMPRODUCT(--ISNUMBER(SEARCH(","&amp;TRIM(TEXTSPLIT(DC44,","))&amp;",",","&amp;SUBSTITUTE(input_event_type," ","")&amp;",")))=0)),IF(DE44="",TRUE,IF(input_event_type="",FALSE,SUMPRODUCT(--ISNUMBER(SEARCH(","&amp;TRIM(TEXTSPLIT(DE44,","))&amp;",",","&amp;SUBSTITUTE(input_event_type," ","")&amp;",")))&gt;0)),IF(DG44="",TRUE,IF(input_event_type="",FALSE,SUMPRODUCT(--ISNUMBER(SEARCH(","&amp;TRIM(TEXTSPLIT(DG44,","))&amp;",",","&amp;SUBSTITUTE(input_event_type," ","")&amp;",")))=COUNTA(TEXTSPLIT(DG44,",")))))</f>
        <v/>
      </c>
      <c r="JD44" s="19">
        <f>AND(IF(DI44="",TRUE,IF(input_executive_education_focus="",FALSE,SUMPRODUCT(--ISNUMBER(SEARCH(","&amp;TRIM(TEXTSPLIT(DI44,","))&amp;",",","&amp;SUBSTITUTE(input_executive_education_focus," ","")&amp;",")))&gt;0)),IF(DK44="",TRUE,IF(input_executive_education_focus="",FALSE,SUMPRODUCT(--ISNUMBER(SEARCH(","&amp;TRIM(TEXTSPLIT(DK44,","))&amp;",",","&amp;SUBSTITUTE(input_executive_education_focus," ","")&amp;",")))=COUNTA(TEXTSPLIT(DK44,",")))),IF(DM44="",TRUE,IF(input_executive_education_focus="",TRUE,SUMPRODUCT(--ISNUMBER(SEARCH(","&amp;TRIM(TEXTSPLIT(DM44,","))&amp;",",","&amp;SUBSTITUTE(input_executive_education_focus," ","")&amp;",")))=0)),IF(DO44="",TRUE,IF(input_executive_education_focus="",FALSE,SUMPRODUCT(--ISNUMBER(SEARCH(","&amp;TRIM(TEXTSPLIT(DO44,","))&amp;",",","&amp;SUBSTITUTE(input_executive_education_focus," ","")&amp;",")))&gt;0)),IF(DQ44="",TRUE,IF(input_executive_education_focus="",FALSE,SUMPRODUCT(--ISNUMBER(SEARCH(","&amp;TRIM(TEXTSPLIT(DQ44,","))&amp;",",","&amp;SUBSTITUTE(input_executive_education_focus," ","")&amp;",")))=COUNTA(TEXTSPLIT(DQ44,",")))))</f>
        <v/>
      </c>
      <c r="JE44" s="19">
        <f>AND(IF(DS44="",TRUE,IF(input_faculty_category="",FALSE,SUMPRODUCT(--ISNUMBER(SEARCH(","&amp;TRIM(TEXTSPLIT(DS44,","))&amp;",",","&amp;SUBSTITUTE(input_faculty_category," ","")&amp;",")))&gt;0)),IF(DU44="",TRUE,IF(input_faculty_category="",FALSE,SUMPRODUCT(--ISNUMBER(SEARCH(","&amp;TRIM(TEXTSPLIT(DU44,","))&amp;",",","&amp;SUBSTITUTE(input_faculty_category," ","")&amp;",")))=COUNTA(TEXTSPLIT(DU44,",")))),IF(DW44="",TRUE,IF(input_faculty_category="",TRUE,SUMPRODUCT(--ISNUMBER(SEARCH(","&amp;TRIM(TEXTSPLIT(DW44,","))&amp;",",","&amp;SUBSTITUTE(input_faculty_category," ","")&amp;",")))=0)),IF(DY44="",TRUE,IF(input_faculty_category="",FALSE,SUMPRODUCT(--ISNUMBER(SEARCH(","&amp;TRIM(TEXTSPLIT(DY44,","))&amp;",",","&amp;SUBSTITUTE(input_faculty_category," ","")&amp;",")))&gt;0)),IF(EA44="",TRUE,IF(input_faculty_category="",FALSE,SUMPRODUCT(--ISNUMBER(SEARCH(","&amp;TRIM(TEXTSPLIT(EA44,","))&amp;",",","&amp;SUBSTITUTE(input_faculty_category," ","")&amp;",")))=COUNTA(TEXTSPLIT(EA44,",")))))</f>
        <v/>
      </c>
      <c r="JF44" s="19">
        <f>AND(IF(EC44="",TRUE,IF(input_faculty_discipline="",FALSE,SUMPRODUCT(--ISNUMBER(SEARCH(","&amp;TRIM(TEXTSPLIT(EC44,","))&amp;",",","&amp;SUBSTITUTE(input_faculty_discipline," ","")&amp;",")))&gt;0)),IF(EE44="",TRUE,IF(input_faculty_discipline="",FALSE,SUMPRODUCT(--ISNUMBER(SEARCH(","&amp;TRIM(TEXTSPLIT(EE44,","))&amp;",",","&amp;SUBSTITUTE(input_faculty_discipline," ","")&amp;",")))=COUNTA(TEXTSPLIT(EE44,",")))),IF(EG44="",TRUE,IF(input_faculty_discipline="",TRUE,SUMPRODUCT(--ISNUMBER(SEARCH(","&amp;TRIM(TEXTSPLIT(EG44,","))&amp;",",","&amp;SUBSTITUTE(input_faculty_discipline," ","")&amp;",")))=0)),IF(EI44="",TRUE,IF(input_faculty_discipline="",FALSE,SUMPRODUCT(--ISNUMBER(SEARCH(","&amp;TRIM(TEXTSPLIT(EI44,","))&amp;",",","&amp;SUBSTITUTE(input_faculty_discipline," ","")&amp;",")))&gt;0)),IF(EK44="",TRUE,IF(input_faculty_discipline="",FALSE,SUMPRODUCT(--ISNUMBER(SEARCH(","&amp;TRIM(TEXTSPLIT(EK44,","))&amp;",",","&amp;SUBSTITUTE(input_faculty_discipline," ","")&amp;",")))=COUNTA(TEXTSPLIT(EK44,",")))))</f>
        <v/>
      </c>
      <c r="JG44" s="19">
        <f>AND(IF(EM44="",TRUE,IF(input_faculty_expertise="",FALSE,SUMPRODUCT(--ISNUMBER(SEARCH(","&amp;TRIM(TEXTSPLIT(EM44,","))&amp;",",","&amp;SUBSTITUTE(input_faculty_expertise," ","")&amp;",")))&gt;0)),IF(EO44="",TRUE,IF(input_faculty_expertise="",FALSE,SUMPRODUCT(--ISNUMBER(SEARCH(","&amp;TRIM(TEXTSPLIT(EO44,","))&amp;",",","&amp;SUBSTITUTE(input_faculty_expertise," ","")&amp;",")))=COUNTA(TEXTSPLIT(EO44,",")))),IF(EQ44="",TRUE,IF(input_faculty_expertise="",TRUE,SUMPRODUCT(--ISNUMBER(SEARCH(","&amp;TRIM(TEXTSPLIT(EQ44,","))&amp;",",","&amp;SUBSTITUTE(input_faculty_expertise," ","")&amp;",")))=0)),IF(ES44="",TRUE,IF(input_faculty_expertise="",FALSE,SUMPRODUCT(--ISNUMBER(SEARCH(","&amp;TRIM(TEXTSPLIT(ES44,","))&amp;",",","&amp;SUBSTITUTE(input_faculty_expertise," ","")&amp;",")))&gt;0)),IF(EU44="",TRUE,IF(input_faculty_expertise="",FALSE,SUMPRODUCT(--ISNUMBER(SEARCH(","&amp;TRIM(TEXTSPLIT(EU44,","))&amp;",",","&amp;SUBSTITUTE(input_faculty_expertise," ","")&amp;",")))=COUNTA(TEXTSPLIT(EU44,",")))))</f>
        <v/>
      </c>
      <c r="JH44" s="19">
        <f>AND(IF(EW44="",TRUE,IF(input_global_network_school="",FALSE,SUMPRODUCT(--ISNUMBER(SEARCH(","&amp;TRIM(TEXTSPLIT(EW44,","))&amp;",",","&amp;SUBSTITUTE(input_global_network_school," ","")&amp;",")))&gt;0)),IF(EY44="",TRUE,IF(input_global_network_school="",FALSE,SUMPRODUCT(--ISNUMBER(SEARCH(","&amp;TRIM(TEXTSPLIT(EY44,","))&amp;",",","&amp;SUBSTITUTE(input_global_network_school," ","")&amp;",")))=COUNTA(TEXTSPLIT(EY44,",")))),IF(FA44="",TRUE,IF(input_global_network_school="",TRUE,SUMPRODUCT(--ISNUMBER(SEARCH(","&amp;TRIM(TEXTSPLIT(FA44,","))&amp;",",","&amp;SUBSTITUTE(input_global_network_school," ","")&amp;",")))=0)),IF(FC44="",TRUE,IF(input_global_network_school="",FALSE,SUMPRODUCT(--ISNUMBER(SEARCH(","&amp;TRIM(TEXTSPLIT(FC44,","))&amp;",",","&amp;SUBSTITUTE(input_global_network_school," ","")&amp;",")))&gt;0)),IF(FE44="",TRUE,IF(input_global_network_school="",FALSE,SUMPRODUCT(--ISNUMBER(SEARCH(","&amp;TRIM(TEXTSPLIT(FE44,","))&amp;",",","&amp;SUBSTITUTE(input_global_network_school," ","")&amp;",")))=COUNTA(TEXTSPLIT(FE44,",")))))</f>
        <v/>
      </c>
      <c r="JI44" s="19">
        <f>AND(IF(FG44="",TRUE,IF(input_industry="",FALSE,SUMPRODUCT(--ISNUMBER(SEARCH(","&amp;TRIM(TEXTSPLIT(FG44,","))&amp;",",","&amp;SUBSTITUTE(input_industry," ","")&amp;",")))&gt;0)),IF(FI44="",TRUE,IF(input_industry="",FALSE,SUMPRODUCT(--ISNUMBER(SEARCH(","&amp;TRIM(TEXTSPLIT(FI44,","))&amp;",",","&amp;SUBSTITUTE(input_industry," ","")&amp;",")))=COUNTA(TEXTSPLIT(FI44,",")))),IF(FK44="",TRUE,IF(input_industry="",TRUE,SUMPRODUCT(--ISNUMBER(SEARCH(","&amp;TRIM(TEXTSPLIT(FK44,","))&amp;",",","&amp;SUBSTITUTE(input_industry," ","")&amp;",")))=0)),IF(FM44="",TRUE,IF(input_industry="",FALSE,SUMPRODUCT(--ISNUMBER(SEARCH(","&amp;TRIM(TEXTSPLIT(FM44,","))&amp;",",","&amp;SUBSTITUTE(input_industry," ","")&amp;",")))&gt;0)),IF(FO44="",TRUE,IF(input_industry="",FALSE,SUMPRODUCT(--ISNUMBER(SEARCH(","&amp;TRIM(TEXTSPLIT(FO44,","))&amp;",",","&amp;SUBSTITUTE(input_industry," ","")&amp;",")))=COUNTA(TEXTSPLIT(FO44,",")))))</f>
        <v/>
      </c>
      <c r="JJ44" s="19">
        <f>AND(IF(FQ44="",TRUE,IF(input_location="",FALSE,SUMPRODUCT(--ISNUMBER(SEARCH(","&amp;TRIM(TEXTSPLIT(FQ44,","))&amp;",",","&amp;SUBSTITUTE(input_location," ","")&amp;",")))&gt;0)),IF(FS44="",TRUE,IF(input_location="",FALSE,SUMPRODUCT(--ISNUMBER(SEARCH(","&amp;TRIM(TEXTSPLIT(FS44,","))&amp;",",","&amp;SUBSTITUTE(input_location," ","")&amp;",")))=COUNTA(TEXTSPLIT(FS44,",")))),IF(FU44="",TRUE,IF(input_location="",TRUE,SUMPRODUCT(--ISNUMBER(SEARCH(","&amp;TRIM(TEXTSPLIT(FU44,","))&amp;",",","&amp;SUBSTITUTE(input_location," ","")&amp;",")))=0)),IF(FW44="",TRUE,IF(input_location="",FALSE,SUMPRODUCT(--ISNUMBER(SEARCH(","&amp;TRIM(TEXTSPLIT(FW44,","))&amp;",",","&amp;SUBSTITUTE(input_location," ","")&amp;",")))&gt;0)),IF(FY44="",TRUE,IF(input_location="",FALSE,SUMPRODUCT(--ISNUMBER(SEARCH(","&amp;TRIM(TEXTSPLIT(FY44,","))&amp;",",","&amp;SUBSTITUTE(input_location," ","")&amp;",")))=COUNTA(TEXTSPLIT(FY44,",")))))</f>
        <v/>
      </c>
      <c r="JK44" s="19">
        <f>AND(IF(GA44="",TRUE,IF(input_modality="",FALSE,SUMPRODUCT(--ISNUMBER(SEARCH(","&amp;TRIM(TEXTSPLIT(GA44,","))&amp;",",","&amp;SUBSTITUTE(input_modality," ","")&amp;",")))&gt;0)),IF(GC44="",TRUE,IF(input_modality="",FALSE,SUMPRODUCT(--ISNUMBER(SEARCH(","&amp;TRIM(TEXTSPLIT(GC44,","))&amp;",",","&amp;SUBSTITUTE(input_modality," ","")&amp;",")))=COUNTA(TEXTSPLIT(GC44,",")))),IF(GE44="",TRUE,IF(input_modality="",TRUE,SUMPRODUCT(--ISNUMBER(SEARCH(","&amp;TRIM(TEXTSPLIT(GE44,","))&amp;",",","&amp;SUBSTITUTE(input_modality," ","")&amp;",")))=0)),IF(GG44="",TRUE,IF(input_modality="",FALSE,SUMPRODUCT(--ISNUMBER(SEARCH(","&amp;TRIM(TEXTSPLIT(GG44,","))&amp;",",","&amp;SUBSTITUTE(input_modality," ","")&amp;",")))&gt;0)),IF(GI44="",TRUE,IF(input_modality="",FALSE,SUMPRODUCT(--ISNUMBER(SEARCH(","&amp;TRIM(TEXTSPLIT(GI44,","))&amp;",",","&amp;SUBSTITUTE(input_modality," ","")&amp;",")))=COUNTA(TEXTSPLIT(GI44,",")))))</f>
        <v/>
      </c>
      <c r="JL44" s="19">
        <f>AND(IF(GK44="",TRUE,IF(input_organizer="",FALSE,SUMPRODUCT(--ISNUMBER(SEARCH(","&amp;TRIM(TEXTSPLIT(GK44,","))&amp;",",","&amp;SUBSTITUTE(input_organizer," ","")&amp;",")))&gt;0)),IF(GM44="",TRUE,IF(input_organizer="",FALSE,SUMPRODUCT(--ISNUMBER(SEARCH(","&amp;TRIM(TEXTSPLIT(GM44,","))&amp;",",","&amp;SUBSTITUTE(input_organizer," ","")&amp;",")))=COUNTA(TEXTSPLIT(GM44,",")))),IF(GO44="",TRUE,IF(input_organizer="",TRUE,SUMPRODUCT(--ISNUMBER(SEARCH(","&amp;TRIM(TEXTSPLIT(GO44,","))&amp;",",","&amp;SUBSTITUTE(input_organizer," ","")&amp;",")))=0)),IF(GQ44="",TRUE,IF(input_organizer="",FALSE,SUMPRODUCT(--ISNUMBER(SEARCH(","&amp;TRIM(TEXTSPLIT(GQ44,","))&amp;",",","&amp;SUBSTITUTE(input_organizer," ","")&amp;",")))&gt;0)),IF(GS44="",TRUE,IF(input_organizer="",FALSE,SUMPRODUCT(--ISNUMBER(SEARCH(","&amp;TRIM(TEXTSPLIT(GS44,","))&amp;",",","&amp;SUBSTITUTE(input_organizer," ","")&amp;",")))=COUNTA(TEXTSPLIT(GS44,",")))))</f>
        <v/>
      </c>
      <c r="JM44" s="19">
        <f>AND(IF(GU44="",TRUE,IF(input_profile_type="",FALSE,SUMPRODUCT(--ISNUMBER(SEARCH(","&amp;TRIM(TEXTSPLIT(GU44,","))&amp;",",","&amp;SUBSTITUTE(input_profile_type," ","")&amp;",")))&gt;0)),IF(GW44="",TRUE,IF(input_profile_type="",FALSE,SUMPRODUCT(--ISNUMBER(SEARCH(","&amp;TRIM(TEXTSPLIT(GW44,","))&amp;",",","&amp;SUBSTITUTE(input_profile_type," ","")&amp;",")))=COUNTA(TEXTSPLIT(GW44,",")))),IF(GY44="",TRUE,IF(input_profile_type="",TRUE,SUMPRODUCT(--ISNUMBER(SEARCH(","&amp;TRIM(TEXTSPLIT(GY44,","))&amp;",",","&amp;SUBSTITUTE(input_profile_type," ","")&amp;",")))=0)),IF(HA44="",TRUE,IF(input_profile_type="",FALSE,SUMPRODUCT(--ISNUMBER(SEARCH(","&amp;TRIM(TEXTSPLIT(HA44,","))&amp;",",","&amp;SUBSTITUTE(input_profile_type," ","")&amp;",")))&gt;0)),IF(HC44="",TRUE,IF(input_profile_type="",FALSE,SUMPRODUCT(--ISNUMBER(SEARCH(","&amp;TRIM(TEXTSPLIT(HC44,","))&amp;",",","&amp;SUBSTITUTE(input_profile_type," ","")&amp;",")))=COUNTA(TEXTSPLIT(HC44,",")))))</f>
        <v/>
      </c>
      <c r="JN44" s="19">
        <f>AND(IF(HE44="",TRUE,IF(input_program="",FALSE,SUMPRODUCT(--ISNUMBER(SEARCH(","&amp;TRIM(TEXTSPLIT(HE44,","))&amp;",",","&amp;SUBSTITUTE(input_program," ","")&amp;",")))&gt;0)),IF(HG44="",TRUE,IF(input_program="",FALSE,SUMPRODUCT(--ISNUMBER(SEARCH(","&amp;TRIM(TEXTSPLIT(HG44,","))&amp;",",","&amp;SUBSTITUTE(input_program," ","")&amp;",")))=COUNTA(TEXTSPLIT(HG44,",")))),IF(HI44="",TRUE,IF(input_program="",TRUE,SUMPRODUCT(--ISNUMBER(SEARCH(","&amp;TRIM(TEXTSPLIT(HI44,","))&amp;",",","&amp;SUBSTITUTE(input_program," ","")&amp;",")))=0)),IF(HK44="",TRUE,IF(input_program="",FALSE,SUMPRODUCT(--ISNUMBER(SEARCH(","&amp;TRIM(TEXTSPLIT(HK44,","))&amp;",",","&amp;SUBSTITUTE(input_program," ","")&amp;",")))&gt;0)),IF(HM44="",TRUE,IF(input_program="",FALSE,SUMPRODUCT(--ISNUMBER(SEARCH(","&amp;TRIM(TEXTSPLIT(HM44,","))&amp;",",","&amp;SUBSTITUTE(input_program," ","")&amp;",")))=COUNTA(TEXTSPLIT(HM44,",")))))</f>
        <v/>
      </c>
      <c r="JO44" s="19">
        <f>AND(IF(HO44="",TRUE,IF(input_story_categories="",FALSE,SUMPRODUCT(--ISNUMBER(SEARCH(","&amp;TRIM(TEXTSPLIT(HO44,","))&amp;",",","&amp;SUBSTITUTE(input_story_categories," ","")&amp;",")))&gt;0)),IF(HQ44="",TRUE,IF(input_story_categories="",FALSE,SUMPRODUCT(--ISNUMBER(SEARCH(","&amp;TRIM(TEXTSPLIT(HQ44,","))&amp;",",","&amp;SUBSTITUTE(input_story_categories," ","")&amp;",")))=COUNTA(TEXTSPLIT(HQ44,",")))),IF(HS44="",TRUE,IF(input_story_categories="",TRUE,SUMPRODUCT(--ISNUMBER(SEARCH(","&amp;TRIM(TEXTSPLIT(HS44,","))&amp;",",","&amp;SUBSTITUTE(input_story_categories," ","")&amp;",")))=0)),IF(HU44="",TRUE,IF(input_story_categories="",FALSE,SUMPRODUCT(--ISNUMBER(SEARCH(","&amp;TRIM(TEXTSPLIT(HU44,","))&amp;",",","&amp;SUBSTITUTE(input_story_categories," ","")&amp;",")))&gt;0)),IF(HW44="",TRUE,IF(input_story_categories="",FALSE,SUMPRODUCT(--ISNUMBER(SEARCH(","&amp;TRIM(TEXTSPLIT(HW44,","))&amp;",",","&amp;SUBSTITUTE(input_story_categories," ","")&amp;",")))=COUNTA(TEXTSPLIT(HW44,",")))))</f>
        <v/>
      </c>
      <c r="JP44" s="19">
        <f>AND(IF(HY44="",TRUE,IF(input_story_type="",FALSE,SUMPRODUCT(--ISNUMBER(SEARCH(","&amp;TRIM(TEXTSPLIT(HY44,","))&amp;",",","&amp;SUBSTITUTE(input_story_type," ","")&amp;",")))&gt;0)),IF(IA44="",TRUE,IF(input_story_type="",FALSE,SUMPRODUCT(--ISNUMBER(SEARCH(","&amp;TRIM(TEXTSPLIT(IA44,","))&amp;",",","&amp;SUBSTITUTE(input_story_type," ","")&amp;",")))=COUNTA(TEXTSPLIT(IA44,",")))),IF(IC44="",TRUE,IF(input_story_type="",TRUE,SUMPRODUCT(--ISNUMBER(SEARCH(","&amp;TRIM(TEXTSPLIT(IC44,","))&amp;",",","&amp;SUBSTITUTE(input_story_type," ","")&amp;",")))=0)),IF(IE44="",TRUE,IF(input_story_type="",FALSE,SUMPRODUCT(--ISNUMBER(SEARCH(","&amp;TRIM(TEXTSPLIT(IE44,","))&amp;",",","&amp;SUBSTITUTE(input_story_type," ","")&amp;",")))&gt;0)),IF(IG44="",TRUE,IF(input_story_type="",FALSE,SUMPRODUCT(--ISNUMBER(SEARCH(","&amp;TRIM(TEXTSPLIT(IG44,","))&amp;",",","&amp;SUBSTITUTE(input_story_type," ","")&amp;",")))=COUNTA(TEXTSPLIT(IG44,",")))))</f>
        <v/>
      </c>
      <c r="JQ44" s="19">
        <f>AND(IF(II44="",TRUE,IF(input_topics="",FALSE,SUMPRODUCT(--ISNUMBER(SEARCH(","&amp;TRIM(TEXTSPLIT(II44,","))&amp;",",","&amp;SUBSTITUTE(input_topics," ","")&amp;",")))&gt;0)),IF(IK44="",TRUE,IF(input_topics="",FALSE,SUMPRODUCT(--ISNUMBER(SEARCH(","&amp;TRIM(TEXTSPLIT(IK44,","))&amp;",",","&amp;SUBSTITUTE(input_topics," ","")&amp;",")))=COUNTA(TEXTSPLIT(IK44,",")))),IF(IM44="",TRUE,IF(input_topics="",TRUE,SUMPRODUCT(--ISNUMBER(SEARCH(","&amp;TRIM(TEXTSPLIT(IM44,","))&amp;",",","&amp;SUBSTITUTE(input_topics," ","")&amp;",")))=0)),IF(IO44="",TRUE,IF(input_topics="",FALSE,SUMPRODUCT(--ISNUMBER(SEARCH(","&amp;TRIM(TEXTSPLIT(IO44,","))&amp;",",","&amp;SUBSTITUTE(input_topics," ","")&amp;",")))&gt;0)),IF(IQ44="",TRUE,IF(input_topics="",FALSE,SUMPRODUCT(--ISNUMBER(SEARCH(","&amp;TRIM(TEXTSPLIT(IQ44,","))&amp;",",","&amp;SUBSTITUTE(input_topics," ","")&amp;",")))=COUNTA(TEXTSPLIT(IQ44,",")))))</f>
        <v/>
      </c>
    </row>
    <row r="45">
      <c r="A45" s="24">
        <f>IF(NOT(IS45),"Excluded",IF(AND(IT45,IU45,IV45,IW45,IX45,IY45,IZ45,JA45,JB45,JC45,JD45,JE45,JF45,JG45,JH45,JI45,JJ45,JK45,JL45,JM45,JN45,JO45,JP45,JQ45),IF(I45&gt;0,"Eligible but limited","Will appear"),"Excluded"))</f>
        <v/>
      </c>
      <c r="B45" s="24" t="inlineStr">
        <is>
          <t>All Publications by Author</t>
        </is>
      </c>
      <c r="C45" s="27" t="inlineStr">
        <is>
          <t>/faculty-research/faculty-directory/paul-goldsmith-pinkham</t>
        </is>
      </c>
      <c r="D45" s="24" t="inlineStr">
        <is>
          <t>/faculty-research/faculty-directory/paul-goldsmith-pinkham</t>
        </is>
      </c>
      <c r="E45" s="24" t="n">
        <v>1</v>
      </c>
      <c r="F45" s="24" t="inlineStr">
        <is>
          <t>publications</t>
        </is>
      </c>
      <c r="G45" s="24" t="inlineStr">
        <is>
          <t>publication_teaser_list</t>
        </is>
      </c>
      <c r="H45" s="24" t="inlineStr">
        <is>
          <t>publication_teaser_list_all_by_author</t>
        </is>
      </c>
      <c r="I45" s="24" t="n"/>
      <c r="J45" s="24" t="inlineStr">
        <is>
          <t>View/config rules</t>
        </is>
      </c>
      <c r="K45" s="24" t="inlineStr">
        <is>
          <t>Page placement</t>
        </is>
      </c>
      <c r="L45" s="24" t="inlineStr">
        <is>
          <t>Content type: publications; Source: View/config rules</t>
        </is>
      </c>
      <c r="IS45" s="19">
        <f>IF(input_content_type="",FALSE,ISNUMBER(SEARCH(","&amp;LOWER(input_content_type)&amp;",",","&amp;LOWER(SUBSTITUTE(F45," ",""))&amp;",")))</f>
        <v/>
      </c>
      <c r="IT45" s="19">
        <f>AND(IF(M45="",TRUE,IF(input_affiliations="",FALSE,SUMPRODUCT(--ISNUMBER(SEARCH(","&amp;TRIM(TEXTSPLIT(M45,","))&amp;",",","&amp;SUBSTITUTE(input_affiliations," ","")&amp;",")))&gt;0)),IF(O45="",TRUE,IF(input_affiliations="",FALSE,SUMPRODUCT(--ISNUMBER(SEARCH(","&amp;TRIM(TEXTSPLIT(O45,","))&amp;",",","&amp;SUBSTITUTE(input_affiliations," ","")&amp;",")))=COUNTA(TEXTSPLIT(O45,",")))),IF(Q45="",TRUE,IF(input_affiliations="",TRUE,SUMPRODUCT(--ISNUMBER(SEARCH(","&amp;TRIM(TEXTSPLIT(Q45,","))&amp;",",","&amp;SUBSTITUTE(input_affiliations," ","")&amp;",")))=0)),IF(S45="",TRUE,IF(input_affiliations="",FALSE,SUMPRODUCT(--ISNUMBER(SEARCH(","&amp;TRIM(TEXTSPLIT(S45,","))&amp;",",","&amp;SUBSTITUTE(input_affiliations," ","")&amp;",")))&gt;0)),IF(U45="",TRUE,IF(input_affiliations="",FALSE,SUMPRODUCT(--ISNUMBER(SEARCH(","&amp;TRIM(TEXTSPLIT(U45,","))&amp;",",","&amp;SUBSTITUTE(input_affiliations," ","")&amp;",")))=COUNTA(TEXTSPLIT(U45,",")))))</f>
        <v/>
      </c>
      <c r="IU45" s="19">
        <f>AND(IF(W45="",TRUE,IF(input_announcement_category="",FALSE,SUMPRODUCT(--ISNUMBER(SEARCH(","&amp;TRIM(TEXTSPLIT(W45,","))&amp;",",","&amp;SUBSTITUTE(input_announcement_category," ","")&amp;",")))&gt;0)),IF(Y45="",TRUE,IF(input_announcement_category="",FALSE,SUMPRODUCT(--ISNUMBER(SEARCH(","&amp;TRIM(TEXTSPLIT(Y45,","))&amp;",",","&amp;SUBSTITUTE(input_announcement_category," ","")&amp;",")))=COUNTA(TEXTSPLIT(Y45,",")))),IF(AA45="",TRUE,IF(input_announcement_category="",TRUE,SUMPRODUCT(--ISNUMBER(SEARCH(","&amp;TRIM(TEXTSPLIT(AA45,","))&amp;",",","&amp;SUBSTITUTE(input_announcement_category," ","")&amp;",")))=0)),IF(AC45="",TRUE,IF(input_announcement_category="",FALSE,SUMPRODUCT(--ISNUMBER(SEARCH(","&amp;TRIM(TEXTSPLIT(AC45,","))&amp;",",","&amp;SUBSTITUTE(input_announcement_category," ","")&amp;",")))&gt;0)),IF(AE45="",TRUE,IF(input_announcement_category="",FALSE,SUMPRODUCT(--ISNUMBER(SEARCH(","&amp;TRIM(TEXTSPLIT(AE45,","))&amp;",",","&amp;SUBSTITUTE(input_announcement_category," ","")&amp;",")))=COUNTA(TEXTSPLIT(AE45,",")))))</f>
        <v/>
      </c>
      <c r="IV45" s="19">
        <f>AND(IF(AG45="",TRUE,IF(input_area_of_focus="",FALSE,SUMPRODUCT(--ISNUMBER(SEARCH(","&amp;TRIM(TEXTSPLIT(AG45,","))&amp;",",","&amp;SUBSTITUTE(input_area_of_focus," ","")&amp;",")))&gt;0)),IF(AI45="",TRUE,IF(input_area_of_focus="",FALSE,SUMPRODUCT(--ISNUMBER(SEARCH(","&amp;TRIM(TEXTSPLIT(AI45,","))&amp;",",","&amp;SUBSTITUTE(input_area_of_focus," ","")&amp;",")))=COUNTA(TEXTSPLIT(AI45,",")))),IF(AK45="",TRUE,IF(input_area_of_focus="",TRUE,SUMPRODUCT(--ISNUMBER(SEARCH(","&amp;TRIM(TEXTSPLIT(AK45,","))&amp;",",","&amp;SUBSTITUTE(input_area_of_focus," ","")&amp;",")))=0)),IF(AM45="",TRUE,IF(input_area_of_focus="",FALSE,SUMPRODUCT(--ISNUMBER(SEARCH(","&amp;TRIM(TEXTSPLIT(AM45,","))&amp;",",","&amp;SUBSTITUTE(input_area_of_focus," ","")&amp;",")))&gt;0)),IF(AO45="",TRUE,IF(input_area_of_focus="",FALSE,SUMPRODUCT(--ISNUMBER(SEARCH(","&amp;TRIM(TEXTSPLIT(AO45,","))&amp;",",","&amp;SUBSTITUTE(input_area_of_focus," ","")&amp;",")))=COUNTA(TEXTSPLIT(AO45,",")))))</f>
        <v/>
      </c>
      <c r="IW45" s="19">
        <f>AND(IF(AQ45="",TRUE,IF(input_audience="",FALSE,SUMPRODUCT(--ISNUMBER(SEARCH(","&amp;TRIM(TEXTSPLIT(AQ45,","))&amp;",",","&amp;SUBSTITUTE(input_audience," ","")&amp;",")))&gt;0)),IF(AS45="",TRUE,IF(input_audience="",FALSE,SUMPRODUCT(--ISNUMBER(SEARCH(","&amp;TRIM(TEXTSPLIT(AS45,","))&amp;",",","&amp;SUBSTITUTE(input_audience," ","")&amp;",")))=COUNTA(TEXTSPLIT(AS45,",")))),IF(AU45="",TRUE,IF(input_audience="",TRUE,SUMPRODUCT(--ISNUMBER(SEARCH(","&amp;TRIM(TEXTSPLIT(AU45,","))&amp;",",","&amp;SUBSTITUTE(input_audience," ","")&amp;",")))=0)),IF(AW45="",TRUE,IF(input_audience="",FALSE,SUMPRODUCT(--ISNUMBER(SEARCH(","&amp;TRIM(TEXTSPLIT(AW45,","))&amp;",",","&amp;SUBSTITUTE(input_audience," ","")&amp;",")))&gt;0)),IF(AY45="",TRUE,IF(input_audience="",FALSE,SUMPRODUCT(--ISNUMBER(SEARCH(","&amp;TRIM(TEXTSPLIT(AY45,","))&amp;",",","&amp;SUBSTITUTE(input_audience," ","")&amp;",")))=COUNTA(TEXTSPLIT(AY45,",")))))</f>
        <v/>
      </c>
      <c r="IX45" s="19">
        <f>AND(IF(BA45="",TRUE,IF(input_challenge_opportunities="",FALSE,SUMPRODUCT(--ISNUMBER(SEARCH(","&amp;TRIM(TEXTSPLIT(BA45,","))&amp;",",","&amp;SUBSTITUTE(input_challenge_opportunities," ","")&amp;",")))&gt;0)),IF(BC45="",TRUE,IF(input_challenge_opportunities="",FALSE,SUMPRODUCT(--ISNUMBER(SEARCH(","&amp;TRIM(TEXTSPLIT(BC45,","))&amp;",",","&amp;SUBSTITUTE(input_challenge_opportunities," ","")&amp;",")))=COUNTA(TEXTSPLIT(BC45,",")))),IF(BE45="",TRUE,IF(input_challenge_opportunities="",TRUE,SUMPRODUCT(--ISNUMBER(SEARCH(","&amp;TRIM(TEXTSPLIT(BE45,","))&amp;",",","&amp;SUBSTITUTE(input_challenge_opportunities," ","")&amp;",")))=0)),IF(BG45="",TRUE,IF(input_challenge_opportunities="",FALSE,SUMPRODUCT(--ISNUMBER(SEARCH(","&amp;TRIM(TEXTSPLIT(BG45,","))&amp;",",","&amp;SUBSTITUTE(input_challenge_opportunities," ","")&amp;",")))&gt;0)),IF(BI45="",TRUE,IF(input_challenge_opportunities="",FALSE,SUMPRODUCT(--ISNUMBER(SEARCH(","&amp;TRIM(TEXTSPLIT(BI45,","))&amp;",",","&amp;SUBSTITUTE(input_challenge_opportunities," ","")&amp;",")))=COUNTA(TEXTSPLIT(BI45,",")))))</f>
        <v/>
      </c>
      <c r="IY45" s="19">
        <f>AND(IF(BK45="",TRUE,IF(input_context="",FALSE,SUMPRODUCT(--ISNUMBER(SEARCH(","&amp;TRIM(TEXTSPLIT(BK45,","))&amp;",",","&amp;SUBSTITUTE(input_context," ","")&amp;",")))&gt;0)),IF(BM45="",TRUE,IF(input_context="",FALSE,SUMPRODUCT(--ISNUMBER(SEARCH(","&amp;TRIM(TEXTSPLIT(BM45,","))&amp;",",","&amp;SUBSTITUTE(input_context," ","")&amp;",")))=COUNTA(TEXTSPLIT(BM45,",")))),IF(BO45="",TRUE,IF(input_context="",TRUE,SUMPRODUCT(--ISNUMBER(SEARCH(","&amp;TRIM(TEXTSPLIT(BO45,","))&amp;",",","&amp;SUBSTITUTE(input_context," ","")&amp;",")))=0)),IF(BQ45="",TRUE,IF(input_context="",FALSE,SUMPRODUCT(--ISNUMBER(SEARCH(","&amp;TRIM(TEXTSPLIT(BQ45,","))&amp;",",","&amp;SUBSTITUTE(input_context," ","")&amp;",")))&gt;0)),IF(BS45="",TRUE,IF(input_context="",FALSE,SUMPRODUCT(--ISNUMBER(SEARCH(","&amp;TRIM(TEXTSPLIT(BS45,","))&amp;",",","&amp;SUBSTITUTE(input_context," ","")&amp;",")))=COUNTA(TEXTSPLIT(BS45,",")))))</f>
        <v/>
      </c>
      <c r="IZ45" s="19">
        <f>AND(IF(BU45="",TRUE,IF(input_enews_announcement_type="",FALSE,SUMPRODUCT(--ISNUMBER(SEARCH(","&amp;TRIM(TEXTSPLIT(BU45,","))&amp;",",","&amp;SUBSTITUTE(input_enews_announcement_type," ","")&amp;",")))&gt;0)),IF(BW45="",TRUE,IF(input_enews_announcement_type="",FALSE,SUMPRODUCT(--ISNUMBER(SEARCH(","&amp;TRIM(TEXTSPLIT(BW45,","))&amp;",",","&amp;SUBSTITUTE(input_enews_announcement_type," ","")&amp;",")))=COUNTA(TEXTSPLIT(BW45,",")))),IF(BY45="",TRUE,IF(input_enews_announcement_type="",TRUE,SUMPRODUCT(--ISNUMBER(SEARCH(","&amp;TRIM(TEXTSPLIT(BY45,","))&amp;",",","&amp;SUBSTITUTE(input_enews_announcement_type," ","")&amp;",")))=0)),IF(CA45="",TRUE,IF(input_enews_announcement_type="",FALSE,SUMPRODUCT(--ISNUMBER(SEARCH(","&amp;TRIM(TEXTSPLIT(CA45,","))&amp;",",","&amp;SUBSTITUTE(input_enews_announcement_type," ","")&amp;",")))&gt;0)),IF(CC45="",TRUE,IF(input_enews_announcement_type="",FALSE,SUMPRODUCT(--ISNUMBER(SEARCH(","&amp;TRIM(TEXTSPLIT(CC45,","))&amp;",",","&amp;SUBSTITUTE(input_enews_announcement_type," ","")&amp;",")))=COUNTA(TEXTSPLIT(CC45,",")))))</f>
        <v/>
      </c>
      <c r="JA45" s="19">
        <f>AND(IF(CE45="",TRUE,IF(input_enews_audience="",FALSE,SUMPRODUCT(--ISNUMBER(SEARCH(","&amp;TRIM(TEXTSPLIT(CE45,","))&amp;",",","&amp;SUBSTITUTE(input_enews_audience," ","")&amp;",")))&gt;0)),IF(CG45="",TRUE,IF(input_enews_audience="",FALSE,SUMPRODUCT(--ISNUMBER(SEARCH(","&amp;TRIM(TEXTSPLIT(CG45,","))&amp;",",","&amp;SUBSTITUTE(input_enews_audience," ","")&amp;",")))=COUNTA(TEXTSPLIT(CG45,",")))),IF(CI45="",TRUE,IF(input_enews_audience="",TRUE,SUMPRODUCT(--ISNUMBER(SEARCH(","&amp;TRIM(TEXTSPLIT(CI45,","))&amp;",",","&amp;SUBSTITUTE(input_enews_audience," ","")&amp;",")))=0)),IF(CK45="",TRUE,IF(input_enews_audience="",FALSE,SUMPRODUCT(--ISNUMBER(SEARCH(","&amp;TRIM(TEXTSPLIT(CK45,","))&amp;",",","&amp;SUBSTITUTE(input_enews_audience," ","")&amp;",")))&gt;0)),IF(CM45="",TRUE,IF(input_enews_audience="",FALSE,SUMPRODUCT(--ISNUMBER(SEARCH(","&amp;TRIM(TEXTSPLIT(CM45,","))&amp;",",","&amp;SUBSTITUTE(input_enews_audience," ","")&amp;",")))=COUNTA(TEXTSPLIT(CM45,",")))))</f>
        <v/>
      </c>
      <c r="JB45" s="19">
        <f>AND(IF(CO45="",TRUE,IF(input_event_location="",FALSE,SUMPRODUCT(--ISNUMBER(SEARCH(","&amp;TRIM(TEXTSPLIT(CO45,","))&amp;",",","&amp;SUBSTITUTE(input_event_location," ","")&amp;",")))&gt;0)),IF(CQ45="",TRUE,IF(input_event_location="",FALSE,SUMPRODUCT(--ISNUMBER(SEARCH(","&amp;TRIM(TEXTSPLIT(CQ45,","))&amp;",",","&amp;SUBSTITUTE(input_event_location," ","")&amp;",")))=COUNTA(TEXTSPLIT(CQ45,",")))),IF(CS45="",TRUE,IF(input_event_location="",TRUE,SUMPRODUCT(--ISNUMBER(SEARCH(","&amp;TRIM(TEXTSPLIT(CS45,","))&amp;",",","&amp;SUBSTITUTE(input_event_location," ","")&amp;",")))=0)),IF(CU45="",TRUE,IF(input_event_location="",FALSE,SUMPRODUCT(--ISNUMBER(SEARCH(","&amp;TRIM(TEXTSPLIT(CU45,","))&amp;",",","&amp;SUBSTITUTE(input_event_location," ","")&amp;",")))&gt;0)),IF(CW45="",TRUE,IF(input_event_location="",FALSE,SUMPRODUCT(--ISNUMBER(SEARCH(","&amp;TRIM(TEXTSPLIT(CW45,","))&amp;",",","&amp;SUBSTITUTE(input_event_location," ","")&amp;",")))=COUNTA(TEXTSPLIT(CW45,",")))))</f>
        <v/>
      </c>
      <c r="JC45" s="19">
        <f>AND(IF(CY45="",TRUE,IF(input_event_type="",FALSE,SUMPRODUCT(--ISNUMBER(SEARCH(","&amp;TRIM(TEXTSPLIT(CY45,","))&amp;",",","&amp;SUBSTITUTE(input_event_type," ","")&amp;",")))&gt;0)),IF(DA45="",TRUE,IF(input_event_type="",FALSE,SUMPRODUCT(--ISNUMBER(SEARCH(","&amp;TRIM(TEXTSPLIT(DA45,","))&amp;",",","&amp;SUBSTITUTE(input_event_type," ","")&amp;",")))=COUNTA(TEXTSPLIT(DA45,",")))),IF(DC45="",TRUE,IF(input_event_type="",TRUE,SUMPRODUCT(--ISNUMBER(SEARCH(","&amp;TRIM(TEXTSPLIT(DC45,","))&amp;",",","&amp;SUBSTITUTE(input_event_type," ","")&amp;",")))=0)),IF(DE45="",TRUE,IF(input_event_type="",FALSE,SUMPRODUCT(--ISNUMBER(SEARCH(","&amp;TRIM(TEXTSPLIT(DE45,","))&amp;",",","&amp;SUBSTITUTE(input_event_type," ","")&amp;",")))&gt;0)),IF(DG45="",TRUE,IF(input_event_type="",FALSE,SUMPRODUCT(--ISNUMBER(SEARCH(","&amp;TRIM(TEXTSPLIT(DG45,","))&amp;",",","&amp;SUBSTITUTE(input_event_type," ","")&amp;",")))=COUNTA(TEXTSPLIT(DG45,",")))))</f>
        <v/>
      </c>
      <c r="JD45" s="19">
        <f>AND(IF(DI45="",TRUE,IF(input_executive_education_focus="",FALSE,SUMPRODUCT(--ISNUMBER(SEARCH(","&amp;TRIM(TEXTSPLIT(DI45,","))&amp;",",","&amp;SUBSTITUTE(input_executive_education_focus," ","")&amp;",")))&gt;0)),IF(DK45="",TRUE,IF(input_executive_education_focus="",FALSE,SUMPRODUCT(--ISNUMBER(SEARCH(","&amp;TRIM(TEXTSPLIT(DK45,","))&amp;",",","&amp;SUBSTITUTE(input_executive_education_focus," ","")&amp;",")))=COUNTA(TEXTSPLIT(DK45,",")))),IF(DM45="",TRUE,IF(input_executive_education_focus="",TRUE,SUMPRODUCT(--ISNUMBER(SEARCH(","&amp;TRIM(TEXTSPLIT(DM45,","))&amp;",",","&amp;SUBSTITUTE(input_executive_education_focus," ","")&amp;",")))=0)),IF(DO45="",TRUE,IF(input_executive_education_focus="",FALSE,SUMPRODUCT(--ISNUMBER(SEARCH(","&amp;TRIM(TEXTSPLIT(DO45,","))&amp;",",","&amp;SUBSTITUTE(input_executive_education_focus," ","")&amp;",")))&gt;0)),IF(DQ45="",TRUE,IF(input_executive_education_focus="",FALSE,SUMPRODUCT(--ISNUMBER(SEARCH(","&amp;TRIM(TEXTSPLIT(DQ45,","))&amp;",",","&amp;SUBSTITUTE(input_executive_education_focus," ","")&amp;",")))=COUNTA(TEXTSPLIT(DQ45,",")))))</f>
        <v/>
      </c>
      <c r="JE45" s="19">
        <f>AND(IF(DS45="",TRUE,IF(input_faculty_category="",FALSE,SUMPRODUCT(--ISNUMBER(SEARCH(","&amp;TRIM(TEXTSPLIT(DS45,","))&amp;",",","&amp;SUBSTITUTE(input_faculty_category," ","")&amp;",")))&gt;0)),IF(DU45="",TRUE,IF(input_faculty_category="",FALSE,SUMPRODUCT(--ISNUMBER(SEARCH(","&amp;TRIM(TEXTSPLIT(DU45,","))&amp;",",","&amp;SUBSTITUTE(input_faculty_category," ","")&amp;",")))=COUNTA(TEXTSPLIT(DU45,",")))),IF(DW45="",TRUE,IF(input_faculty_category="",TRUE,SUMPRODUCT(--ISNUMBER(SEARCH(","&amp;TRIM(TEXTSPLIT(DW45,","))&amp;",",","&amp;SUBSTITUTE(input_faculty_category," ","")&amp;",")))=0)),IF(DY45="",TRUE,IF(input_faculty_category="",FALSE,SUMPRODUCT(--ISNUMBER(SEARCH(","&amp;TRIM(TEXTSPLIT(DY45,","))&amp;",",","&amp;SUBSTITUTE(input_faculty_category," ","")&amp;",")))&gt;0)),IF(EA45="",TRUE,IF(input_faculty_category="",FALSE,SUMPRODUCT(--ISNUMBER(SEARCH(","&amp;TRIM(TEXTSPLIT(EA45,","))&amp;",",","&amp;SUBSTITUTE(input_faculty_category," ","")&amp;",")))=COUNTA(TEXTSPLIT(EA45,",")))))</f>
        <v/>
      </c>
      <c r="JF45" s="19">
        <f>AND(IF(EC45="",TRUE,IF(input_faculty_discipline="",FALSE,SUMPRODUCT(--ISNUMBER(SEARCH(","&amp;TRIM(TEXTSPLIT(EC45,","))&amp;",",","&amp;SUBSTITUTE(input_faculty_discipline," ","")&amp;",")))&gt;0)),IF(EE45="",TRUE,IF(input_faculty_discipline="",FALSE,SUMPRODUCT(--ISNUMBER(SEARCH(","&amp;TRIM(TEXTSPLIT(EE45,","))&amp;",",","&amp;SUBSTITUTE(input_faculty_discipline," ","")&amp;",")))=COUNTA(TEXTSPLIT(EE45,",")))),IF(EG45="",TRUE,IF(input_faculty_discipline="",TRUE,SUMPRODUCT(--ISNUMBER(SEARCH(","&amp;TRIM(TEXTSPLIT(EG45,","))&amp;",",","&amp;SUBSTITUTE(input_faculty_discipline," ","")&amp;",")))=0)),IF(EI45="",TRUE,IF(input_faculty_discipline="",FALSE,SUMPRODUCT(--ISNUMBER(SEARCH(","&amp;TRIM(TEXTSPLIT(EI45,","))&amp;",",","&amp;SUBSTITUTE(input_faculty_discipline," ","")&amp;",")))&gt;0)),IF(EK45="",TRUE,IF(input_faculty_discipline="",FALSE,SUMPRODUCT(--ISNUMBER(SEARCH(","&amp;TRIM(TEXTSPLIT(EK45,","))&amp;",",","&amp;SUBSTITUTE(input_faculty_discipline," ","")&amp;",")))=COUNTA(TEXTSPLIT(EK45,",")))))</f>
        <v/>
      </c>
      <c r="JG45" s="19">
        <f>AND(IF(EM45="",TRUE,IF(input_faculty_expertise="",FALSE,SUMPRODUCT(--ISNUMBER(SEARCH(","&amp;TRIM(TEXTSPLIT(EM45,","))&amp;",",","&amp;SUBSTITUTE(input_faculty_expertise," ","")&amp;",")))&gt;0)),IF(EO45="",TRUE,IF(input_faculty_expertise="",FALSE,SUMPRODUCT(--ISNUMBER(SEARCH(","&amp;TRIM(TEXTSPLIT(EO45,","))&amp;",",","&amp;SUBSTITUTE(input_faculty_expertise," ","")&amp;",")))=COUNTA(TEXTSPLIT(EO45,",")))),IF(EQ45="",TRUE,IF(input_faculty_expertise="",TRUE,SUMPRODUCT(--ISNUMBER(SEARCH(","&amp;TRIM(TEXTSPLIT(EQ45,","))&amp;",",","&amp;SUBSTITUTE(input_faculty_expertise," ","")&amp;",")))=0)),IF(ES45="",TRUE,IF(input_faculty_expertise="",FALSE,SUMPRODUCT(--ISNUMBER(SEARCH(","&amp;TRIM(TEXTSPLIT(ES45,","))&amp;",",","&amp;SUBSTITUTE(input_faculty_expertise," ","")&amp;",")))&gt;0)),IF(EU45="",TRUE,IF(input_faculty_expertise="",FALSE,SUMPRODUCT(--ISNUMBER(SEARCH(","&amp;TRIM(TEXTSPLIT(EU45,","))&amp;",",","&amp;SUBSTITUTE(input_faculty_expertise," ","")&amp;",")))=COUNTA(TEXTSPLIT(EU45,",")))))</f>
        <v/>
      </c>
      <c r="JH45" s="19">
        <f>AND(IF(EW45="",TRUE,IF(input_global_network_school="",FALSE,SUMPRODUCT(--ISNUMBER(SEARCH(","&amp;TRIM(TEXTSPLIT(EW45,","))&amp;",",","&amp;SUBSTITUTE(input_global_network_school," ","")&amp;",")))&gt;0)),IF(EY45="",TRUE,IF(input_global_network_school="",FALSE,SUMPRODUCT(--ISNUMBER(SEARCH(","&amp;TRIM(TEXTSPLIT(EY45,","))&amp;",",","&amp;SUBSTITUTE(input_global_network_school," ","")&amp;",")))=COUNTA(TEXTSPLIT(EY45,",")))),IF(FA45="",TRUE,IF(input_global_network_school="",TRUE,SUMPRODUCT(--ISNUMBER(SEARCH(","&amp;TRIM(TEXTSPLIT(FA45,","))&amp;",",","&amp;SUBSTITUTE(input_global_network_school," ","")&amp;",")))=0)),IF(FC45="",TRUE,IF(input_global_network_school="",FALSE,SUMPRODUCT(--ISNUMBER(SEARCH(","&amp;TRIM(TEXTSPLIT(FC45,","))&amp;",",","&amp;SUBSTITUTE(input_global_network_school," ","")&amp;",")))&gt;0)),IF(FE45="",TRUE,IF(input_global_network_school="",FALSE,SUMPRODUCT(--ISNUMBER(SEARCH(","&amp;TRIM(TEXTSPLIT(FE45,","))&amp;",",","&amp;SUBSTITUTE(input_global_network_school," ","")&amp;",")))=COUNTA(TEXTSPLIT(FE45,",")))))</f>
        <v/>
      </c>
      <c r="JI45" s="19">
        <f>AND(IF(FG45="",TRUE,IF(input_industry="",FALSE,SUMPRODUCT(--ISNUMBER(SEARCH(","&amp;TRIM(TEXTSPLIT(FG45,","))&amp;",",","&amp;SUBSTITUTE(input_industry," ","")&amp;",")))&gt;0)),IF(FI45="",TRUE,IF(input_industry="",FALSE,SUMPRODUCT(--ISNUMBER(SEARCH(","&amp;TRIM(TEXTSPLIT(FI45,","))&amp;",",","&amp;SUBSTITUTE(input_industry," ","")&amp;",")))=COUNTA(TEXTSPLIT(FI45,",")))),IF(FK45="",TRUE,IF(input_industry="",TRUE,SUMPRODUCT(--ISNUMBER(SEARCH(","&amp;TRIM(TEXTSPLIT(FK45,","))&amp;",",","&amp;SUBSTITUTE(input_industry," ","")&amp;",")))=0)),IF(FM45="",TRUE,IF(input_industry="",FALSE,SUMPRODUCT(--ISNUMBER(SEARCH(","&amp;TRIM(TEXTSPLIT(FM45,","))&amp;",",","&amp;SUBSTITUTE(input_industry," ","")&amp;",")))&gt;0)),IF(FO45="",TRUE,IF(input_industry="",FALSE,SUMPRODUCT(--ISNUMBER(SEARCH(","&amp;TRIM(TEXTSPLIT(FO45,","))&amp;",",","&amp;SUBSTITUTE(input_industry," ","")&amp;",")))=COUNTA(TEXTSPLIT(FO45,",")))))</f>
        <v/>
      </c>
      <c r="JJ45" s="19">
        <f>AND(IF(FQ45="",TRUE,IF(input_location="",FALSE,SUMPRODUCT(--ISNUMBER(SEARCH(","&amp;TRIM(TEXTSPLIT(FQ45,","))&amp;",",","&amp;SUBSTITUTE(input_location," ","")&amp;",")))&gt;0)),IF(FS45="",TRUE,IF(input_location="",FALSE,SUMPRODUCT(--ISNUMBER(SEARCH(","&amp;TRIM(TEXTSPLIT(FS45,","))&amp;",",","&amp;SUBSTITUTE(input_location," ","")&amp;",")))=COUNTA(TEXTSPLIT(FS45,",")))),IF(FU45="",TRUE,IF(input_location="",TRUE,SUMPRODUCT(--ISNUMBER(SEARCH(","&amp;TRIM(TEXTSPLIT(FU45,","))&amp;",",","&amp;SUBSTITUTE(input_location," ","")&amp;",")))=0)),IF(FW45="",TRUE,IF(input_location="",FALSE,SUMPRODUCT(--ISNUMBER(SEARCH(","&amp;TRIM(TEXTSPLIT(FW45,","))&amp;",",","&amp;SUBSTITUTE(input_location," ","")&amp;",")))&gt;0)),IF(FY45="",TRUE,IF(input_location="",FALSE,SUMPRODUCT(--ISNUMBER(SEARCH(","&amp;TRIM(TEXTSPLIT(FY45,","))&amp;",",","&amp;SUBSTITUTE(input_location," ","")&amp;",")))=COUNTA(TEXTSPLIT(FY45,",")))))</f>
        <v/>
      </c>
      <c r="JK45" s="19">
        <f>AND(IF(GA45="",TRUE,IF(input_modality="",FALSE,SUMPRODUCT(--ISNUMBER(SEARCH(","&amp;TRIM(TEXTSPLIT(GA45,","))&amp;",",","&amp;SUBSTITUTE(input_modality," ","")&amp;",")))&gt;0)),IF(GC45="",TRUE,IF(input_modality="",FALSE,SUMPRODUCT(--ISNUMBER(SEARCH(","&amp;TRIM(TEXTSPLIT(GC45,","))&amp;",",","&amp;SUBSTITUTE(input_modality," ","")&amp;",")))=COUNTA(TEXTSPLIT(GC45,",")))),IF(GE45="",TRUE,IF(input_modality="",TRUE,SUMPRODUCT(--ISNUMBER(SEARCH(","&amp;TRIM(TEXTSPLIT(GE45,","))&amp;",",","&amp;SUBSTITUTE(input_modality," ","")&amp;",")))=0)),IF(GG45="",TRUE,IF(input_modality="",FALSE,SUMPRODUCT(--ISNUMBER(SEARCH(","&amp;TRIM(TEXTSPLIT(GG45,","))&amp;",",","&amp;SUBSTITUTE(input_modality," ","")&amp;",")))&gt;0)),IF(GI45="",TRUE,IF(input_modality="",FALSE,SUMPRODUCT(--ISNUMBER(SEARCH(","&amp;TRIM(TEXTSPLIT(GI45,","))&amp;",",","&amp;SUBSTITUTE(input_modality," ","")&amp;",")))=COUNTA(TEXTSPLIT(GI45,",")))))</f>
        <v/>
      </c>
      <c r="JL45" s="19">
        <f>AND(IF(GK45="",TRUE,IF(input_organizer="",FALSE,SUMPRODUCT(--ISNUMBER(SEARCH(","&amp;TRIM(TEXTSPLIT(GK45,","))&amp;",",","&amp;SUBSTITUTE(input_organizer," ","")&amp;",")))&gt;0)),IF(GM45="",TRUE,IF(input_organizer="",FALSE,SUMPRODUCT(--ISNUMBER(SEARCH(","&amp;TRIM(TEXTSPLIT(GM45,","))&amp;",",","&amp;SUBSTITUTE(input_organizer," ","")&amp;",")))=COUNTA(TEXTSPLIT(GM45,",")))),IF(GO45="",TRUE,IF(input_organizer="",TRUE,SUMPRODUCT(--ISNUMBER(SEARCH(","&amp;TRIM(TEXTSPLIT(GO45,","))&amp;",",","&amp;SUBSTITUTE(input_organizer," ","")&amp;",")))=0)),IF(GQ45="",TRUE,IF(input_organizer="",FALSE,SUMPRODUCT(--ISNUMBER(SEARCH(","&amp;TRIM(TEXTSPLIT(GQ45,","))&amp;",",","&amp;SUBSTITUTE(input_organizer," ","")&amp;",")))&gt;0)),IF(GS45="",TRUE,IF(input_organizer="",FALSE,SUMPRODUCT(--ISNUMBER(SEARCH(","&amp;TRIM(TEXTSPLIT(GS45,","))&amp;",",","&amp;SUBSTITUTE(input_organizer," ","")&amp;",")))=COUNTA(TEXTSPLIT(GS45,",")))))</f>
        <v/>
      </c>
      <c r="JM45" s="19">
        <f>AND(IF(GU45="",TRUE,IF(input_profile_type="",FALSE,SUMPRODUCT(--ISNUMBER(SEARCH(","&amp;TRIM(TEXTSPLIT(GU45,","))&amp;",",","&amp;SUBSTITUTE(input_profile_type," ","")&amp;",")))&gt;0)),IF(GW45="",TRUE,IF(input_profile_type="",FALSE,SUMPRODUCT(--ISNUMBER(SEARCH(","&amp;TRIM(TEXTSPLIT(GW45,","))&amp;",",","&amp;SUBSTITUTE(input_profile_type," ","")&amp;",")))=COUNTA(TEXTSPLIT(GW45,",")))),IF(GY45="",TRUE,IF(input_profile_type="",TRUE,SUMPRODUCT(--ISNUMBER(SEARCH(","&amp;TRIM(TEXTSPLIT(GY45,","))&amp;",",","&amp;SUBSTITUTE(input_profile_type," ","")&amp;",")))=0)),IF(HA45="",TRUE,IF(input_profile_type="",FALSE,SUMPRODUCT(--ISNUMBER(SEARCH(","&amp;TRIM(TEXTSPLIT(HA45,","))&amp;",",","&amp;SUBSTITUTE(input_profile_type," ","")&amp;",")))&gt;0)),IF(HC45="",TRUE,IF(input_profile_type="",FALSE,SUMPRODUCT(--ISNUMBER(SEARCH(","&amp;TRIM(TEXTSPLIT(HC45,","))&amp;",",","&amp;SUBSTITUTE(input_profile_type," ","")&amp;",")))=COUNTA(TEXTSPLIT(HC45,",")))))</f>
        <v/>
      </c>
      <c r="JN45" s="19">
        <f>AND(IF(HE45="",TRUE,IF(input_program="",FALSE,SUMPRODUCT(--ISNUMBER(SEARCH(","&amp;TRIM(TEXTSPLIT(HE45,","))&amp;",",","&amp;SUBSTITUTE(input_program," ","")&amp;",")))&gt;0)),IF(HG45="",TRUE,IF(input_program="",FALSE,SUMPRODUCT(--ISNUMBER(SEARCH(","&amp;TRIM(TEXTSPLIT(HG45,","))&amp;",",","&amp;SUBSTITUTE(input_program," ","")&amp;",")))=COUNTA(TEXTSPLIT(HG45,",")))),IF(HI45="",TRUE,IF(input_program="",TRUE,SUMPRODUCT(--ISNUMBER(SEARCH(","&amp;TRIM(TEXTSPLIT(HI45,","))&amp;",",","&amp;SUBSTITUTE(input_program," ","")&amp;",")))=0)),IF(HK45="",TRUE,IF(input_program="",FALSE,SUMPRODUCT(--ISNUMBER(SEARCH(","&amp;TRIM(TEXTSPLIT(HK45,","))&amp;",",","&amp;SUBSTITUTE(input_program," ","")&amp;",")))&gt;0)),IF(HM45="",TRUE,IF(input_program="",FALSE,SUMPRODUCT(--ISNUMBER(SEARCH(","&amp;TRIM(TEXTSPLIT(HM45,","))&amp;",",","&amp;SUBSTITUTE(input_program," ","")&amp;",")))=COUNTA(TEXTSPLIT(HM45,",")))))</f>
        <v/>
      </c>
      <c r="JO45" s="19">
        <f>AND(IF(HO45="",TRUE,IF(input_story_categories="",FALSE,SUMPRODUCT(--ISNUMBER(SEARCH(","&amp;TRIM(TEXTSPLIT(HO45,","))&amp;",",","&amp;SUBSTITUTE(input_story_categories," ","")&amp;",")))&gt;0)),IF(HQ45="",TRUE,IF(input_story_categories="",FALSE,SUMPRODUCT(--ISNUMBER(SEARCH(","&amp;TRIM(TEXTSPLIT(HQ45,","))&amp;",",","&amp;SUBSTITUTE(input_story_categories," ","")&amp;",")))=COUNTA(TEXTSPLIT(HQ45,",")))),IF(HS45="",TRUE,IF(input_story_categories="",TRUE,SUMPRODUCT(--ISNUMBER(SEARCH(","&amp;TRIM(TEXTSPLIT(HS45,","))&amp;",",","&amp;SUBSTITUTE(input_story_categories," ","")&amp;",")))=0)),IF(HU45="",TRUE,IF(input_story_categories="",FALSE,SUMPRODUCT(--ISNUMBER(SEARCH(","&amp;TRIM(TEXTSPLIT(HU45,","))&amp;",",","&amp;SUBSTITUTE(input_story_categories," ","")&amp;",")))&gt;0)),IF(HW45="",TRUE,IF(input_story_categories="",FALSE,SUMPRODUCT(--ISNUMBER(SEARCH(","&amp;TRIM(TEXTSPLIT(HW45,","))&amp;",",","&amp;SUBSTITUTE(input_story_categories," ","")&amp;",")))=COUNTA(TEXTSPLIT(HW45,",")))))</f>
        <v/>
      </c>
      <c r="JP45" s="19">
        <f>AND(IF(HY45="",TRUE,IF(input_story_type="",FALSE,SUMPRODUCT(--ISNUMBER(SEARCH(","&amp;TRIM(TEXTSPLIT(HY45,","))&amp;",",","&amp;SUBSTITUTE(input_story_type," ","")&amp;",")))&gt;0)),IF(IA45="",TRUE,IF(input_story_type="",FALSE,SUMPRODUCT(--ISNUMBER(SEARCH(","&amp;TRIM(TEXTSPLIT(IA45,","))&amp;",",","&amp;SUBSTITUTE(input_story_type," ","")&amp;",")))=COUNTA(TEXTSPLIT(IA45,",")))),IF(IC45="",TRUE,IF(input_story_type="",TRUE,SUMPRODUCT(--ISNUMBER(SEARCH(","&amp;TRIM(TEXTSPLIT(IC45,","))&amp;",",","&amp;SUBSTITUTE(input_story_type," ","")&amp;",")))=0)),IF(IE45="",TRUE,IF(input_story_type="",FALSE,SUMPRODUCT(--ISNUMBER(SEARCH(","&amp;TRIM(TEXTSPLIT(IE45,","))&amp;",",","&amp;SUBSTITUTE(input_story_type," ","")&amp;",")))&gt;0)),IF(IG45="",TRUE,IF(input_story_type="",FALSE,SUMPRODUCT(--ISNUMBER(SEARCH(","&amp;TRIM(TEXTSPLIT(IG45,","))&amp;",",","&amp;SUBSTITUTE(input_story_type," ","")&amp;",")))=COUNTA(TEXTSPLIT(IG45,",")))))</f>
        <v/>
      </c>
      <c r="JQ45" s="19">
        <f>AND(IF(II45="",TRUE,IF(input_topics="",FALSE,SUMPRODUCT(--ISNUMBER(SEARCH(","&amp;TRIM(TEXTSPLIT(II45,","))&amp;",",","&amp;SUBSTITUTE(input_topics," ","")&amp;",")))&gt;0)),IF(IK45="",TRUE,IF(input_topics="",FALSE,SUMPRODUCT(--ISNUMBER(SEARCH(","&amp;TRIM(TEXTSPLIT(IK45,","))&amp;",",","&amp;SUBSTITUTE(input_topics," ","")&amp;",")))=COUNTA(TEXTSPLIT(IK45,",")))),IF(IM45="",TRUE,IF(input_topics="",TRUE,SUMPRODUCT(--ISNUMBER(SEARCH(","&amp;TRIM(TEXTSPLIT(IM45,","))&amp;",",","&amp;SUBSTITUTE(input_topics," ","")&amp;",")))=0)),IF(IO45="",TRUE,IF(input_topics="",FALSE,SUMPRODUCT(--ISNUMBER(SEARCH(","&amp;TRIM(TEXTSPLIT(IO45,","))&amp;",",","&amp;SUBSTITUTE(input_topics," ","")&amp;",")))&gt;0)),IF(IQ45="",TRUE,IF(input_topics="",FALSE,SUMPRODUCT(--ISNUMBER(SEARCH(","&amp;TRIM(TEXTSPLIT(IQ45,","))&amp;",",","&amp;SUBSTITUTE(input_topics," ","")&amp;",")))=COUNTA(TEXTSPLIT(IQ45,",")))))</f>
        <v/>
      </c>
    </row>
    <row r="46">
      <c r="A46" s="24">
        <f>IF(NOT(IS46),"Excluded",IF(AND(IT46,IU46,IV46,IW46,IX46,IY46,IZ46,JA46,JB46,JC46,JD46,JE46,JF46,JG46,JH46,JI46,JJ46,JK46,JL46,JM46,JN46,JO46,JP46,JQ46),IF(I46&gt;0,"Eligible but limited","Will appear"),"Excluded"))</f>
        <v/>
      </c>
      <c r="B46" s="24" t="inlineStr">
        <is>
          <t>All Publications by Author</t>
        </is>
      </c>
      <c r="C46" s="27" t="inlineStr">
        <is>
          <t>/faculty-research/faculty-directory/peter-k-schott</t>
        </is>
      </c>
      <c r="D46" s="24" t="inlineStr">
        <is>
          <t>/faculty-research/faculty-directory/peter-k-schott</t>
        </is>
      </c>
      <c r="E46" s="24" t="n">
        <v>1</v>
      </c>
      <c r="F46" s="24" t="inlineStr">
        <is>
          <t>publications</t>
        </is>
      </c>
      <c r="G46" s="24" t="inlineStr">
        <is>
          <t>publication_teaser_list</t>
        </is>
      </c>
      <c r="H46" s="24" t="inlineStr">
        <is>
          <t>publication_teaser_list_all_by_author</t>
        </is>
      </c>
      <c r="I46" s="24" t="n"/>
      <c r="J46" s="24" t="inlineStr">
        <is>
          <t>View/config rules</t>
        </is>
      </c>
      <c r="K46" s="24" t="inlineStr">
        <is>
          <t>Page placement</t>
        </is>
      </c>
      <c r="L46" s="24" t="inlineStr">
        <is>
          <t>Content type: publications; Source: View/config rules</t>
        </is>
      </c>
      <c r="IS46" s="19">
        <f>IF(input_content_type="",FALSE,ISNUMBER(SEARCH(","&amp;LOWER(input_content_type)&amp;",",","&amp;LOWER(SUBSTITUTE(F46," ",""))&amp;",")))</f>
        <v/>
      </c>
      <c r="IT46" s="19">
        <f>AND(IF(M46="",TRUE,IF(input_affiliations="",FALSE,SUMPRODUCT(--ISNUMBER(SEARCH(","&amp;TRIM(TEXTSPLIT(M46,","))&amp;",",","&amp;SUBSTITUTE(input_affiliations," ","")&amp;",")))&gt;0)),IF(O46="",TRUE,IF(input_affiliations="",FALSE,SUMPRODUCT(--ISNUMBER(SEARCH(","&amp;TRIM(TEXTSPLIT(O46,","))&amp;",",","&amp;SUBSTITUTE(input_affiliations," ","")&amp;",")))=COUNTA(TEXTSPLIT(O46,",")))),IF(Q46="",TRUE,IF(input_affiliations="",TRUE,SUMPRODUCT(--ISNUMBER(SEARCH(","&amp;TRIM(TEXTSPLIT(Q46,","))&amp;",",","&amp;SUBSTITUTE(input_affiliations," ","")&amp;",")))=0)),IF(S46="",TRUE,IF(input_affiliations="",FALSE,SUMPRODUCT(--ISNUMBER(SEARCH(","&amp;TRIM(TEXTSPLIT(S46,","))&amp;",",","&amp;SUBSTITUTE(input_affiliations," ","")&amp;",")))&gt;0)),IF(U46="",TRUE,IF(input_affiliations="",FALSE,SUMPRODUCT(--ISNUMBER(SEARCH(","&amp;TRIM(TEXTSPLIT(U46,","))&amp;",",","&amp;SUBSTITUTE(input_affiliations," ","")&amp;",")))=COUNTA(TEXTSPLIT(U46,",")))))</f>
        <v/>
      </c>
      <c r="IU46" s="19">
        <f>AND(IF(W46="",TRUE,IF(input_announcement_category="",FALSE,SUMPRODUCT(--ISNUMBER(SEARCH(","&amp;TRIM(TEXTSPLIT(W46,","))&amp;",",","&amp;SUBSTITUTE(input_announcement_category," ","")&amp;",")))&gt;0)),IF(Y46="",TRUE,IF(input_announcement_category="",FALSE,SUMPRODUCT(--ISNUMBER(SEARCH(","&amp;TRIM(TEXTSPLIT(Y46,","))&amp;",",","&amp;SUBSTITUTE(input_announcement_category," ","")&amp;",")))=COUNTA(TEXTSPLIT(Y46,",")))),IF(AA46="",TRUE,IF(input_announcement_category="",TRUE,SUMPRODUCT(--ISNUMBER(SEARCH(","&amp;TRIM(TEXTSPLIT(AA46,","))&amp;",",","&amp;SUBSTITUTE(input_announcement_category," ","")&amp;",")))=0)),IF(AC46="",TRUE,IF(input_announcement_category="",FALSE,SUMPRODUCT(--ISNUMBER(SEARCH(","&amp;TRIM(TEXTSPLIT(AC46,","))&amp;",",","&amp;SUBSTITUTE(input_announcement_category," ","")&amp;",")))&gt;0)),IF(AE46="",TRUE,IF(input_announcement_category="",FALSE,SUMPRODUCT(--ISNUMBER(SEARCH(","&amp;TRIM(TEXTSPLIT(AE46,","))&amp;",",","&amp;SUBSTITUTE(input_announcement_category," ","")&amp;",")))=COUNTA(TEXTSPLIT(AE46,",")))))</f>
        <v/>
      </c>
      <c r="IV46" s="19">
        <f>AND(IF(AG46="",TRUE,IF(input_area_of_focus="",FALSE,SUMPRODUCT(--ISNUMBER(SEARCH(","&amp;TRIM(TEXTSPLIT(AG46,","))&amp;",",","&amp;SUBSTITUTE(input_area_of_focus," ","")&amp;",")))&gt;0)),IF(AI46="",TRUE,IF(input_area_of_focus="",FALSE,SUMPRODUCT(--ISNUMBER(SEARCH(","&amp;TRIM(TEXTSPLIT(AI46,","))&amp;",",","&amp;SUBSTITUTE(input_area_of_focus," ","")&amp;",")))=COUNTA(TEXTSPLIT(AI46,",")))),IF(AK46="",TRUE,IF(input_area_of_focus="",TRUE,SUMPRODUCT(--ISNUMBER(SEARCH(","&amp;TRIM(TEXTSPLIT(AK46,","))&amp;",",","&amp;SUBSTITUTE(input_area_of_focus," ","")&amp;",")))=0)),IF(AM46="",TRUE,IF(input_area_of_focus="",FALSE,SUMPRODUCT(--ISNUMBER(SEARCH(","&amp;TRIM(TEXTSPLIT(AM46,","))&amp;",",","&amp;SUBSTITUTE(input_area_of_focus," ","")&amp;",")))&gt;0)),IF(AO46="",TRUE,IF(input_area_of_focus="",FALSE,SUMPRODUCT(--ISNUMBER(SEARCH(","&amp;TRIM(TEXTSPLIT(AO46,","))&amp;",",","&amp;SUBSTITUTE(input_area_of_focus," ","")&amp;",")))=COUNTA(TEXTSPLIT(AO46,",")))))</f>
        <v/>
      </c>
      <c r="IW46" s="19">
        <f>AND(IF(AQ46="",TRUE,IF(input_audience="",FALSE,SUMPRODUCT(--ISNUMBER(SEARCH(","&amp;TRIM(TEXTSPLIT(AQ46,","))&amp;",",","&amp;SUBSTITUTE(input_audience," ","")&amp;",")))&gt;0)),IF(AS46="",TRUE,IF(input_audience="",FALSE,SUMPRODUCT(--ISNUMBER(SEARCH(","&amp;TRIM(TEXTSPLIT(AS46,","))&amp;",",","&amp;SUBSTITUTE(input_audience," ","")&amp;",")))=COUNTA(TEXTSPLIT(AS46,",")))),IF(AU46="",TRUE,IF(input_audience="",TRUE,SUMPRODUCT(--ISNUMBER(SEARCH(","&amp;TRIM(TEXTSPLIT(AU46,","))&amp;",",","&amp;SUBSTITUTE(input_audience," ","")&amp;",")))=0)),IF(AW46="",TRUE,IF(input_audience="",FALSE,SUMPRODUCT(--ISNUMBER(SEARCH(","&amp;TRIM(TEXTSPLIT(AW46,","))&amp;",",","&amp;SUBSTITUTE(input_audience," ","")&amp;",")))&gt;0)),IF(AY46="",TRUE,IF(input_audience="",FALSE,SUMPRODUCT(--ISNUMBER(SEARCH(","&amp;TRIM(TEXTSPLIT(AY46,","))&amp;",",","&amp;SUBSTITUTE(input_audience," ","")&amp;",")))=COUNTA(TEXTSPLIT(AY46,",")))))</f>
        <v/>
      </c>
      <c r="IX46" s="19">
        <f>AND(IF(BA46="",TRUE,IF(input_challenge_opportunities="",FALSE,SUMPRODUCT(--ISNUMBER(SEARCH(","&amp;TRIM(TEXTSPLIT(BA46,","))&amp;",",","&amp;SUBSTITUTE(input_challenge_opportunities," ","")&amp;",")))&gt;0)),IF(BC46="",TRUE,IF(input_challenge_opportunities="",FALSE,SUMPRODUCT(--ISNUMBER(SEARCH(","&amp;TRIM(TEXTSPLIT(BC46,","))&amp;",",","&amp;SUBSTITUTE(input_challenge_opportunities," ","")&amp;",")))=COUNTA(TEXTSPLIT(BC46,",")))),IF(BE46="",TRUE,IF(input_challenge_opportunities="",TRUE,SUMPRODUCT(--ISNUMBER(SEARCH(","&amp;TRIM(TEXTSPLIT(BE46,","))&amp;",",","&amp;SUBSTITUTE(input_challenge_opportunities," ","")&amp;",")))=0)),IF(BG46="",TRUE,IF(input_challenge_opportunities="",FALSE,SUMPRODUCT(--ISNUMBER(SEARCH(","&amp;TRIM(TEXTSPLIT(BG46,","))&amp;",",","&amp;SUBSTITUTE(input_challenge_opportunities," ","")&amp;",")))&gt;0)),IF(BI46="",TRUE,IF(input_challenge_opportunities="",FALSE,SUMPRODUCT(--ISNUMBER(SEARCH(","&amp;TRIM(TEXTSPLIT(BI46,","))&amp;",",","&amp;SUBSTITUTE(input_challenge_opportunities," ","")&amp;",")))=COUNTA(TEXTSPLIT(BI46,",")))))</f>
        <v/>
      </c>
      <c r="IY46" s="19">
        <f>AND(IF(BK46="",TRUE,IF(input_context="",FALSE,SUMPRODUCT(--ISNUMBER(SEARCH(","&amp;TRIM(TEXTSPLIT(BK46,","))&amp;",",","&amp;SUBSTITUTE(input_context," ","")&amp;",")))&gt;0)),IF(BM46="",TRUE,IF(input_context="",FALSE,SUMPRODUCT(--ISNUMBER(SEARCH(","&amp;TRIM(TEXTSPLIT(BM46,","))&amp;",",","&amp;SUBSTITUTE(input_context," ","")&amp;",")))=COUNTA(TEXTSPLIT(BM46,",")))),IF(BO46="",TRUE,IF(input_context="",TRUE,SUMPRODUCT(--ISNUMBER(SEARCH(","&amp;TRIM(TEXTSPLIT(BO46,","))&amp;",",","&amp;SUBSTITUTE(input_context," ","")&amp;",")))=0)),IF(BQ46="",TRUE,IF(input_context="",FALSE,SUMPRODUCT(--ISNUMBER(SEARCH(","&amp;TRIM(TEXTSPLIT(BQ46,","))&amp;",",","&amp;SUBSTITUTE(input_context," ","")&amp;",")))&gt;0)),IF(BS46="",TRUE,IF(input_context="",FALSE,SUMPRODUCT(--ISNUMBER(SEARCH(","&amp;TRIM(TEXTSPLIT(BS46,","))&amp;",",","&amp;SUBSTITUTE(input_context," ","")&amp;",")))=COUNTA(TEXTSPLIT(BS46,",")))))</f>
        <v/>
      </c>
      <c r="IZ46" s="19">
        <f>AND(IF(BU46="",TRUE,IF(input_enews_announcement_type="",FALSE,SUMPRODUCT(--ISNUMBER(SEARCH(","&amp;TRIM(TEXTSPLIT(BU46,","))&amp;",",","&amp;SUBSTITUTE(input_enews_announcement_type," ","")&amp;",")))&gt;0)),IF(BW46="",TRUE,IF(input_enews_announcement_type="",FALSE,SUMPRODUCT(--ISNUMBER(SEARCH(","&amp;TRIM(TEXTSPLIT(BW46,","))&amp;",",","&amp;SUBSTITUTE(input_enews_announcement_type," ","")&amp;",")))=COUNTA(TEXTSPLIT(BW46,",")))),IF(BY46="",TRUE,IF(input_enews_announcement_type="",TRUE,SUMPRODUCT(--ISNUMBER(SEARCH(","&amp;TRIM(TEXTSPLIT(BY46,","))&amp;",",","&amp;SUBSTITUTE(input_enews_announcement_type," ","")&amp;",")))=0)),IF(CA46="",TRUE,IF(input_enews_announcement_type="",FALSE,SUMPRODUCT(--ISNUMBER(SEARCH(","&amp;TRIM(TEXTSPLIT(CA46,","))&amp;",",","&amp;SUBSTITUTE(input_enews_announcement_type," ","")&amp;",")))&gt;0)),IF(CC46="",TRUE,IF(input_enews_announcement_type="",FALSE,SUMPRODUCT(--ISNUMBER(SEARCH(","&amp;TRIM(TEXTSPLIT(CC46,","))&amp;",",","&amp;SUBSTITUTE(input_enews_announcement_type," ","")&amp;",")))=COUNTA(TEXTSPLIT(CC46,",")))))</f>
        <v/>
      </c>
      <c r="JA46" s="19">
        <f>AND(IF(CE46="",TRUE,IF(input_enews_audience="",FALSE,SUMPRODUCT(--ISNUMBER(SEARCH(","&amp;TRIM(TEXTSPLIT(CE46,","))&amp;",",","&amp;SUBSTITUTE(input_enews_audience," ","")&amp;",")))&gt;0)),IF(CG46="",TRUE,IF(input_enews_audience="",FALSE,SUMPRODUCT(--ISNUMBER(SEARCH(","&amp;TRIM(TEXTSPLIT(CG46,","))&amp;",",","&amp;SUBSTITUTE(input_enews_audience," ","")&amp;",")))=COUNTA(TEXTSPLIT(CG46,",")))),IF(CI46="",TRUE,IF(input_enews_audience="",TRUE,SUMPRODUCT(--ISNUMBER(SEARCH(","&amp;TRIM(TEXTSPLIT(CI46,","))&amp;",",","&amp;SUBSTITUTE(input_enews_audience," ","")&amp;",")))=0)),IF(CK46="",TRUE,IF(input_enews_audience="",FALSE,SUMPRODUCT(--ISNUMBER(SEARCH(","&amp;TRIM(TEXTSPLIT(CK46,","))&amp;",",","&amp;SUBSTITUTE(input_enews_audience," ","")&amp;",")))&gt;0)),IF(CM46="",TRUE,IF(input_enews_audience="",FALSE,SUMPRODUCT(--ISNUMBER(SEARCH(","&amp;TRIM(TEXTSPLIT(CM46,","))&amp;",",","&amp;SUBSTITUTE(input_enews_audience," ","")&amp;",")))=COUNTA(TEXTSPLIT(CM46,",")))))</f>
        <v/>
      </c>
      <c r="JB46" s="19">
        <f>AND(IF(CO46="",TRUE,IF(input_event_location="",FALSE,SUMPRODUCT(--ISNUMBER(SEARCH(","&amp;TRIM(TEXTSPLIT(CO46,","))&amp;",",","&amp;SUBSTITUTE(input_event_location," ","")&amp;",")))&gt;0)),IF(CQ46="",TRUE,IF(input_event_location="",FALSE,SUMPRODUCT(--ISNUMBER(SEARCH(","&amp;TRIM(TEXTSPLIT(CQ46,","))&amp;",",","&amp;SUBSTITUTE(input_event_location," ","")&amp;",")))=COUNTA(TEXTSPLIT(CQ46,",")))),IF(CS46="",TRUE,IF(input_event_location="",TRUE,SUMPRODUCT(--ISNUMBER(SEARCH(","&amp;TRIM(TEXTSPLIT(CS46,","))&amp;",",","&amp;SUBSTITUTE(input_event_location," ","")&amp;",")))=0)),IF(CU46="",TRUE,IF(input_event_location="",FALSE,SUMPRODUCT(--ISNUMBER(SEARCH(","&amp;TRIM(TEXTSPLIT(CU46,","))&amp;",",","&amp;SUBSTITUTE(input_event_location," ","")&amp;",")))&gt;0)),IF(CW46="",TRUE,IF(input_event_location="",FALSE,SUMPRODUCT(--ISNUMBER(SEARCH(","&amp;TRIM(TEXTSPLIT(CW46,","))&amp;",",","&amp;SUBSTITUTE(input_event_location," ","")&amp;",")))=COUNTA(TEXTSPLIT(CW46,",")))))</f>
        <v/>
      </c>
      <c r="JC46" s="19">
        <f>AND(IF(CY46="",TRUE,IF(input_event_type="",FALSE,SUMPRODUCT(--ISNUMBER(SEARCH(","&amp;TRIM(TEXTSPLIT(CY46,","))&amp;",",","&amp;SUBSTITUTE(input_event_type," ","")&amp;",")))&gt;0)),IF(DA46="",TRUE,IF(input_event_type="",FALSE,SUMPRODUCT(--ISNUMBER(SEARCH(","&amp;TRIM(TEXTSPLIT(DA46,","))&amp;",",","&amp;SUBSTITUTE(input_event_type," ","")&amp;",")))=COUNTA(TEXTSPLIT(DA46,",")))),IF(DC46="",TRUE,IF(input_event_type="",TRUE,SUMPRODUCT(--ISNUMBER(SEARCH(","&amp;TRIM(TEXTSPLIT(DC46,","))&amp;",",","&amp;SUBSTITUTE(input_event_type," ","")&amp;",")))=0)),IF(DE46="",TRUE,IF(input_event_type="",FALSE,SUMPRODUCT(--ISNUMBER(SEARCH(","&amp;TRIM(TEXTSPLIT(DE46,","))&amp;",",","&amp;SUBSTITUTE(input_event_type," ","")&amp;",")))&gt;0)),IF(DG46="",TRUE,IF(input_event_type="",FALSE,SUMPRODUCT(--ISNUMBER(SEARCH(","&amp;TRIM(TEXTSPLIT(DG46,","))&amp;",",","&amp;SUBSTITUTE(input_event_type," ","")&amp;",")))=COUNTA(TEXTSPLIT(DG46,",")))))</f>
        <v/>
      </c>
      <c r="JD46" s="19">
        <f>AND(IF(DI46="",TRUE,IF(input_executive_education_focus="",FALSE,SUMPRODUCT(--ISNUMBER(SEARCH(","&amp;TRIM(TEXTSPLIT(DI46,","))&amp;",",","&amp;SUBSTITUTE(input_executive_education_focus," ","")&amp;",")))&gt;0)),IF(DK46="",TRUE,IF(input_executive_education_focus="",FALSE,SUMPRODUCT(--ISNUMBER(SEARCH(","&amp;TRIM(TEXTSPLIT(DK46,","))&amp;",",","&amp;SUBSTITUTE(input_executive_education_focus," ","")&amp;",")))=COUNTA(TEXTSPLIT(DK46,",")))),IF(DM46="",TRUE,IF(input_executive_education_focus="",TRUE,SUMPRODUCT(--ISNUMBER(SEARCH(","&amp;TRIM(TEXTSPLIT(DM46,","))&amp;",",","&amp;SUBSTITUTE(input_executive_education_focus," ","")&amp;",")))=0)),IF(DO46="",TRUE,IF(input_executive_education_focus="",FALSE,SUMPRODUCT(--ISNUMBER(SEARCH(","&amp;TRIM(TEXTSPLIT(DO46,","))&amp;",",","&amp;SUBSTITUTE(input_executive_education_focus," ","")&amp;",")))&gt;0)),IF(DQ46="",TRUE,IF(input_executive_education_focus="",FALSE,SUMPRODUCT(--ISNUMBER(SEARCH(","&amp;TRIM(TEXTSPLIT(DQ46,","))&amp;",",","&amp;SUBSTITUTE(input_executive_education_focus," ","")&amp;",")))=COUNTA(TEXTSPLIT(DQ46,",")))))</f>
        <v/>
      </c>
      <c r="JE46" s="19">
        <f>AND(IF(DS46="",TRUE,IF(input_faculty_category="",FALSE,SUMPRODUCT(--ISNUMBER(SEARCH(","&amp;TRIM(TEXTSPLIT(DS46,","))&amp;",",","&amp;SUBSTITUTE(input_faculty_category," ","")&amp;",")))&gt;0)),IF(DU46="",TRUE,IF(input_faculty_category="",FALSE,SUMPRODUCT(--ISNUMBER(SEARCH(","&amp;TRIM(TEXTSPLIT(DU46,","))&amp;",",","&amp;SUBSTITUTE(input_faculty_category," ","")&amp;",")))=COUNTA(TEXTSPLIT(DU46,",")))),IF(DW46="",TRUE,IF(input_faculty_category="",TRUE,SUMPRODUCT(--ISNUMBER(SEARCH(","&amp;TRIM(TEXTSPLIT(DW46,","))&amp;",",","&amp;SUBSTITUTE(input_faculty_category," ","")&amp;",")))=0)),IF(DY46="",TRUE,IF(input_faculty_category="",FALSE,SUMPRODUCT(--ISNUMBER(SEARCH(","&amp;TRIM(TEXTSPLIT(DY46,","))&amp;",",","&amp;SUBSTITUTE(input_faculty_category," ","")&amp;",")))&gt;0)),IF(EA46="",TRUE,IF(input_faculty_category="",FALSE,SUMPRODUCT(--ISNUMBER(SEARCH(","&amp;TRIM(TEXTSPLIT(EA46,","))&amp;",",","&amp;SUBSTITUTE(input_faculty_category," ","")&amp;",")))=COUNTA(TEXTSPLIT(EA46,",")))))</f>
        <v/>
      </c>
      <c r="JF46" s="19">
        <f>AND(IF(EC46="",TRUE,IF(input_faculty_discipline="",FALSE,SUMPRODUCT(--ISNUMBER(SEARCH(","&amp;TRIM(TEXTSPLIT(EC46,","))&amp;",",","&amp;SUBSTITUTE(input_faculty_discipline," ","")&amp;",")))&gt;0)),IF(EE46="",TRUE,IF(input_faculty_discipline="",FALSE,SUMPRODUCT(--ISNUMBER(SEARCH(","&amp;TRIM(TEXTSPLIT(EE46,","))&amp;",",","&amp;SUBSTITUTE(input_faculty_discipline," ","")&amp;",")))=COUNTA(TEXTSPLIT(EE46,",")))),IF(EG46="",TRUE,IF(input_faculty_discipline="",TRUE,SUMPRODUCT(--ISNUMBER(SEARCH(","&amp;TRIM(TEXTSPLIT(EG46,","))&amp;",",","&amp;SUBSTITUTE(input_faculty_discipline," ","")&amp;",")))=0)),IF(EI46="",TRUE,IF(input_faculty_discipline="",FALSE,SUMPRODUCT(--ISNUMBER(SEARCH(","&amp;TRIM(TEXTSPLIT(EI46,","))&amp;",",","&amp;SUBSTITUTE(input_faculty_discipline," ","")&amp;",")))&gt;0)),IF(EK46="",TRUE,IF(input_faculty_discipline="",FALSE,SUMPRODUCT(--ISNUMBER(SEARCH(","&amp;TRIM(TEXTSPLIT(EK46,","))&amp;",",","&amp;SUBSTITUTE(input_faculty_discipline," ","")&amp;",")))=COUNTA(TEXTSPLIT(EK46,",")))))</f>
        <v/>
      </c>
      <c r="JG46" s="19">
        <f>AND(IF(EM46="",TRUE,IF(input_faculty_expertise="",FALSE,SUMPRODUCT(--ISNUMBER(SEARCH(","&amp;TRIM(TEXTSPLIT(EM46,","))&amp;",",","&amp;SUBSTITUTE(input_faculty_expertise," ","")&amp;",")))&gt;0)),IF(EO46="",TRUE,IF(input_faculty_expertise="",FALSE,SUMPRODUCT(--ISNUMBER(SEARCH(","&amp;TRIM(TEXTSPLIT(EO46,","))&amp;",",","&amp;SUBSTITUTE(input_faculty_expertise," ","")&amp;",")))=COUNTA(TEXTSPLIT(EO46,",")))),IF(EQ46="",TRUE,IF(input_faculty_expertise="",TRUE,SUMPRODUCT(--ISNUMBER(SEARCH(","&amp;TRIM(TEXTSPLIT(EQ46,","))&amp;",",","&amp;SUBSTITUTE(input_faculty_expertise," ","")&amp;",")))=0)),IF(ES46="",TRUE,IF(input_faculty_expertise="",FALSE,SUMPRODUCT(--ISNUMBER(SEARCH(","&amp;TRIM(TEXTSPLIT(ES46,","))&amp;",",","&amp;SUBSTITUTE(input_faculty_expertise," ","")&amp;",")))&gt;0)),IF(EU46="",TRUE,IF(input_faculty_expertise="",FALSE,SUMPRODUCT(--ISNUMBER(SEARCH(","&amp;TRIM(TEXTSPLIT(EU46,","))&amp;",",","&amp;SUBSTITUTE(input_faculty_expertise," ","")&amp;",")))=COUNTA(TEXTSPLIT(EU46,",")))))</f>
        <v/>
      </c>
      <c r="JH46" s="19">
        <f>AND(IF(EW46="",TRUE,IF(input_global_network_school="",FALSE,SUMPRODUCT(--ISNUMBER(SEARCH(","&amp;TRIM(TEXTSPLIT(EW46,","))&amp;",",","&amp;SUBSTITUTE(input_global_network_school," ","")&amp;",")))&gt;0)),IF(EY46="",TRUE,IF(input_global_network_school="",FALSE,SUMPRODUCT(--ISNUMBER(SEARCH(","&amp;TRIM(TEXTSPLIT(EY46,","))&amp;",",","&amp;SUBSTITUTE(input_global_network_school," ","")&amp;",")))=COUNTA(TEXTSPLIT(EY46,",")))),IF(FA46="",TRUE,IF(input_global_network_school="",TRUE,SUMPRODUCT(--ISNUMBER(SEARCH(","&amp;TRIM(TEXTSPLIT(FA46,","))&amp;",",","&amp;SUBSTITUTE(input_global_network_school," ","")&amp;",")))=0)),IF(FC46="",TRUE,IF(input_global_network_school="",FALSE,SUMPRODUCT(--ISNUMBER(SEARCH(","&amp;TRIM(TEXTSPLIT(FC46,","))&amp;",",","&amp;SUBSTITUTE(input_global_network_school," ","")&amp;",")))&gt;0)),IF(FE46="",TRUE,IF(input_global_network_school="",FALSE,SUMPRODUCT(--ISNUMBER(SEARCH(","&amp;TRIM(TEXTSPLIT(FE46,","))&amp;",",","&amp;SUBSTITUTE(input_global_network_school," ","")&amp;",")))=COUNTA(TEXTSPLIT(FE46,",")))))</f>
        <v/>
      </c>
      <c r="JI46" s="19">
        <f>AND(IF(FG46="",TRUE,IF(input_industry="",FALSE,SUMPRODUCT(--ISNUMBER(SEARCH(","&amp;TRIM(TEXTSPLIT(FG46,","))&amp;",",","&amp;SUBSTITUTE(input_industry," ","")&amp;",")))&gt;0)),IF(FI46="",TRUE,IF(input_industry="",FALSE,SUMPRODUCT(--ISNUMBER(SEARCH(","&amp;TRIM(TEXTSPLIT(FI46,","))&amp;",",","&amp;SUBSTITUTE(input_industry," ","")&amp;",")))=COUNTA(TEXTSPLIT(FI46,",")))),IF(FK46="",TRUE,IF(input_industry="",TRUE,SUMPRODUCT(--ISNUMBER(SEARCH(","&amp;TRIM(TEXTSPLIT(FK46,","))&amp;",",","&amp;SUBSTITUTE(input_industry," ","")&amp;",")))=0)),IF(FM46="",TRUE,IF(input_industry="",FALSE,SUMPRODUCT(--ISNUMBER(SEARCH(","&amp;TRIM(TEXTSPLIT(FM46,","))&amp;",",","&amp;SUBSTITUTE(input_industry," ","")&amp;",")))&gt;0)),IF(FO46="",TRUE,IF(input_industry="",FALSE,SUMPRODUCT(--ISNUMBER(SEARCH(","&amp;TRIM(TEXTSPLIT(FO46,","))&amp;",",","&amp;SUBSTITUTE(input_industry," ","")&amp;",")))=COUNTA(TEXTSPLIT(FO46,",")))))</f>
        <v/>
      </c>
      <c r="JJ46" s="19">
        <f>AND(IF(FQ46="",TRUE,IF(input_location="",FALSE,SUMPRODUCT(--ISNUMBER(SEARCH(","&amp;TRIM(TEXTSPLIT(FQ46,","))&amp;",",","&amp;SUBSTITUTE(input_location," ","")&amp;",")))&gt;0)),IF(FS46="",TRUE,IF(input_location="",FALSE,SUMPRODUCT(--ISNUMBER(SEARCH(","&amp;TRIM(TEXTSPLIT(FS46,","))&amp;",",","&amp;SUBSTITUTE(input_location," ","")&amp;",")))=COUNTA(TEXTSPLIT(FS46,",")))),IF(FU46="",TRUE,IF(input_location="",TRUE,SUMPRODUCT(--ISNUMBER(SEARCH(","&amp;TRIM(TEXTSPLIT(FU46,","))&amp;",",","&amp;SUBSTITUTE(input_location," ","")&amp;",")))=0)),IF(FW46="",TRUE,IF(input_location="",FALSE,SUMPRODUCT(--ISNUMBER(SEARCH(","&amp;TRIM(TEXTSPLIT(FW46,","))&amp;",",","&amp;SUBSTITUTE(input_location," ","")&amp;",")))&gt;0)),IF(FY46="",TRUE,IF(input_location="",FALSE,SUMPRODUCT(--ISNUMBER(SEARCH(","&amp;TRIM(TEXTSPLIT(FY46,","))&amp;",",","&amp;SUBSTITUTE(input_location," ","")&amp;",")))=COUNTA(TEXTSPLIT(FY46,",")))))</f>
        <v/>
      </c>
      <c r="JK46" s="19">
        <f>AND(IF(GA46="",TRUE,IF(input_modality="",FALSE,SUMPRODUCT(--ISNUMBER(SEARCH(","&amp;TRIM(TEXTSPLIT(GA46,","))&amp;",",","&amp;SUBSTITUTE(input_modality," ","")&amp;",")))&gt;0)),IF(GC46="",TRUE,IF(input_modality="",FALSE,SUMPRODUCT(--ISNUMBER(SEARCH(","&amp;TRIM(TEXTSPLIT(GC46,","))&amp;",",","&amp;SUBSTITUTE(input_modality," ","")&amp;",")))=COUNTA(TEXTSPLIT(GC46,",")))),IF(GE46="",TRUE,IF(input_modality="",TRUE,SUMPRODUCT(--ISNUMBER(SEARCH(","&amp;TRIM(TEXTSPLIT(GE46,","))&amp;",",","&amp;SUBSTITUTE(input_modality," ","")&amp;",")))=0)),IF(GG46="",TRUE,IF(input_modality="",FALSE,SUMPRODUCT(--ISNUMBER(SEARCH(","&amp;TRIM(TEXTSPLIT(GG46,","))&amp;",",","&amp;SUBSTITUTE(input_modality," ","")&amp;",")))&gt;0)),IF(GI46="",TRUE,IF(input_modality="",FALSE,SUMPRODUCT(--ISNUMBER(SEARCH(","&amp;TRIM(TEXTSPLIT(GI46,","))&amp;",",","&amp;SUBSTITUTE(input_modality," ","")&amp;",")))=COUNTA(TEXTSPLIT(GI46,",")))))</f>
        <v/>
      </c>
      <c r="JL46" s="19">
        <f>AND(IF(GK46="",TRUE,IF(input_organizer="",FALSE,SUMPRODUCT(--ISNUMBER(SEARCH(","&amp;TRIM(TEXTSPLIT(GK46,","))&amp;",",","&amp;SUBSTITUTE(input_organizer," ","")&amp;",")))&gt;0)),IF(GM46="",TRUE,IF(input_organizer="",FALSE,SUMPRODUCT(--ISNUMBER(SEARCH(","&amp;TRIM(TEXTSPLIT(GM46,","))&amp;",",","&amp;SUBSTITUTE(input_organizer," ","")&amp;",")))=COUNTA(TEXTSPLIT(GM46,",")))),IF(GO46="",TRUE,IF(input_organizer="",TRUE,SUMPRODUCT(--ISNUMBER(SEARCH(","&amp;TRIM(TEXTSPLIT(GO46,","))&amp;",",","&amp;SUBSTITUTE(input_organizer," ","")&amp;",")))=0)),IF(GQ46="",TRUE,IF(input_organizer="",FALSE,SUMPRODUCT(--ISNUMBER(SEARCH(","&amp;TRIM(TEXTSPLIT(GQ46,","))&amp;",",","&amp;SUBSTITUTE(input_organizer," ","")&amp;",")))&gt;0)),IF(GS46="",TRUE,IF(input_organizer="",FALSE,SUMPRODUCT(--ISNUMBER(SEARCH(","&amp;TRIM(TEXTSPLIT(GS46,","))&amp;",",","&amp;SUBSTITUTE(input_organizer," ","")&amp;",")))=COUNTA(TEXTSPLIT(GS46,",")))))</f>
        <v/>
      </c>
      <c r="JM46" s="19">
        <f>AND(IF(GU46="",TRUE,IF(input_profile_type="",FALSE,SUMPRODUCT(--ISNUMBER(SEARCH(","&amp;TRIM(TEXTSPLIT(GU46,","))&amp;",",","&amp;SUBSTITUTE(input_profile_type," ","")&amp;",")))&gt;0)),IF(GW46="",TRUE,IF(input_profile_type="",FALSE,SUMPRODUCT(--ISNUMBER(SEARCH(","&amp;TRIM(TEXTSPLIT(GW46,","))&amp;",",","&amp;SUBSTITUTE(input_profile_type," ","")&amp;",")))=COUNTA(TEXTSPLIT(GW46,",")))),IF(GY46="",TRUE,IF(input_profile_type="",TRUE,SUMPRODUCT(--ISNUMBER(SEARCH(","&amp;TRIM(TEXTSPLIT(GY46,","))&amp;",",","&amp;SUBSTITUTE(input_profile_type," ","")&amp;",")))=0)),IF(HA46="",TRUE,IF(input_profile_type="",FALSE,SUMPRODUCT(--ISNUMBER(SEARCH(","&amp;TRIM(TEXTSPLIT(HA46,","))&amp;",",","&amp;SUBSTITUTE(input_profile_type," ","")&amp;",")))&gt;0)),IF(HC46="",TRUE,IF(input_profile_type="",FALSE,SUMPRODUCT(--ISNUMBER(SEARCH(","&amp;TRIM(TEXTSPLIT(HC46,","))&amp;",",","&amp;SUBSTITUTE(input_profile_type," ","")&amp;",")))=COUNTA(TEXTSPLIT(HC46,",")))))</f>
        <v/>
      </c>
      <c r="JN46" s="19">
        <f>AND(IF(HE46="",TRUE,IF(input_program="",FALSE,SUMPRODUCT(--ISNUMBER(SEARCH(","&amp;TRIM(TEXTSPLIT(HE46,","))&amp;",",","&amp;SUBSTITUTE(input_program," ","")&amp;",")))&gt;0)),IF(HG46="",TRUE,IF(input_program="",FALSE,SUMPRODUCT(--ISNUMBER(SEARCH(","&amp;TRIM(TEXTSPLIT(HG46,","))&amp;",",","&amp;SUBSTITUTE(input_program," ","")&amp;",")))=COUNTA(TEXTSPLIT(HG46,",")))),IF(HI46="",TRUE,IF(input_program="",TRUE,SUMPRODUCT(--ISNUMBER(SEARCH(","&amp;TRIM(TEXTSPLIT(HI46,","))&amp;",",","&amp;SUBSTITUTE(input_program," ","")&amp;",")))=0)),IF(HK46="",TRUE,IF(input_program="",FALSE,SUMPRODUCT(--ISNUMBER(SEARCH(","&amp;TRIM(TEXTSPLIT(HK46,","))&amp;",",","&amp;SUBSTITUTE(input_program," ","")&amp;",")))&gt;0)),IF(HM46="",TRUE,IF(input_program="",FALSE,SUMPRODUCT(--ISNUMBER(SEARCH(","&amp;TRIM(TEXTSPLIT(HM46,","))&amp;",",","&amp;SUBSTITUTE(input_program," ","")&amp;",")))=COUNTA(TEXTSPLIT(HM46,",")))))</f>
        <v/>
      </c>
      <c r="JO46" s="19">
        <f>AND(IF(HO46="",TRUE,IF(input_story_categories="",FALSE,SUMPRODUCT(--ISNUMBER(SEARCH(","&amp;TRIM(TEXTSPLIT(HO46,","))&amp;",",","&amp;SUBSTITUTE(input_story_categories," ","")&amp;",")))&gt;0)),IF(HQ46="",TRUE,IF(input_story_categories="",FALSE,SUMPRODUCT(--ISNUMBER(SEARCH(","&amp;TRIM(TEXTSPLIT(HQ46,","))&amp;",",","&amp;SUBSTITUTE(input_story_categories," ","")&amp;",")))=COUNTA(TEXTSPLIT(HQ46,",")))),IF(HS46="",TRUE,IF(input_story_categories="",TRUE,SUMPRODUCT(--ISNUMBER(SEARCH(","&amp;TRIM(TEXTSPLIT(HS46,","))&amp;",",","&amp;SUBSTITUTE(input_story_categories," ","")&amp;",")))=0)),IF(HU46="",TRUE,IF(input_story_categories="",FALSE,SUMPRODUCT(--ISNUMBER(SEARCH(","&amp;TRIM(TEXTSPLIT(HU46,","))&amp;",",","&amp;SUBSTITUTE(input_story_categories," ","")&amp;",")))&gt;0)),IF(HW46="",TRUE,IF(input_story_categories="",FALSE,SUMPRODUCT(--ISNUMBER(SEARCH(","&amp;TRIM(TEXTSPLIT(HW46,","))&amp;",",","&amp;SUBSTITUTE(input_story_categories," ","")&amp;",")))=COUNTA(TEXTSPLIT(HW46,",")))))</f>
        <v/>
      </c>
      <c r="JP46" s="19">
        <f>AND(IF(HY46="",TRUE,IF(input_story_type="",FALSE,SUMPRODUCT(--ISNUMBER(SEARCH(","&amp;TRIM(TEXTSPLIT(HY46,","))&amp;",",","&amp;SUBSTITUTE(input_story_type," ","")&amp;",")))&gt;0)),IF(IA46="",TRUE,IF(input_story_type="",FALSE,SUMPRODUCT(--ISNUMBER(SEARCH(","&amp;TRIM(TEXTSPLIT(IA46,","))&amp;",",","&amp;SUBSTITUTE(input_story_type," ","")&amp;",")))=COUNTA(TEXTSPLIT(IA46,",")))),IF(IC46="",TRUE,IF(input_story_type="",TRUE,SUMPRODUCT(--ISNUMBER(SEARCH(","&amp;TRIM(TEXTSPLIT(IC46,","))&amp;",",","&amp;SUBSTITUTE(input_story_type," ","")&amp;",")))=0)),IF(IE46="",TRUE,IF(input_story_type="",FALSE,SUMPRODUCT(--ISNUMBER(SEARCH(","&amp;TRIM(TEXTSPLIT(IE46,","))&amp;",",","&amp;SUBSTITUTE(input_story_type," ","")&amp;",")))&gt;0)),IF(IG46="",TRUE,IF(input_story_type="",FALSE,SUMPRODUCT(--ISNUMBER(SEARCH(","&amp;TRIM(TEXTSPLIT(IG46,","))&amp;",",","&amp;SUBSTITUTE(input_story_type," ","")&amp;",")))=COUNTA(TEXTSPLIT(IG46,",")))))</f>
        <v/>
      </c>
      <c r="JQ46" s="19">
        <f>AND(IF(II46="",TRUE,IF(input_topics="",FALSE,SUMPRODUCT(--ISNUMBER(SEARCH(","&amp;TRIM(TEXTSPLIT(II46,","))&amp;",",","&amp;SUBSTITUTE(input_topics," ","")&amp;",")))&gt;0)),IF(IK46="",TRUE,IF(input_topics="",FALSE,SUMPRODUCT(--ISNUMBER(SEARCH(","&amp;TRIM(TEXTSPLIT(IK46,","))&amp;",",","&amp;SUBSTITUTE(input_topics," ","")&amp;",")))=COUNTA(TEXTSPLIT(IK46,",")))),IF(IM46="",TRUE,IF(input_topics="",TRUE,SUMPRODUCT(--ISNUMBER(SEARCH(","&amp;TRIM(TEXTSPLIT(IM46,","))&amp;",",","&amp;SUBSTITUTE(input_topics," ","")&amp;",")))=0)),IF(IO46="",TRUE,IF(input_topics="",FALSE,SUMPRODUCT(--ISNUMBER(SEARCH(","&amp;TRIM(TEXTSPLIT(IO46,","))&amp;",",","&amp;SUBSTITUTE(input_topics," ","")&amp;",")))&gt;0)),IF(IQ46="",TRUE,IF(input_topics="",FALSE,SUMPRODUCT(--ISNUMBER(SEARCH(","&amp;TRIM(TEXTSPLIT(IQ46,","))&amp;",",","&amp;SUBSTITUTE(input_topics," ","")&amp;",")))=COUNTA(TEXTSPLIT(IQ46,",")))))</f>
        <v/>
      </c>
    </row>
    <row r="47">
      <c r="A47" s="24">
        <f>IF(NOT(IS47),"Excluded",IF(AND(IT47,IU47,IV47,IW47,IX47,IY47,IZ47,JA47,JB47,JC47,JD47,JE47,JF47,JG47,JH47,JI47,JJ47,JK47,JL47,JM47,JN47,JO47,JP47,JQ47),IF(I47&gt;0,"Eligible but limited","Will appear"),"Excluded"))</f>
        <v/>
      </c>
      <c r="B47" s="24" t="inlineStr">
        <is>
          <t>All Publications by Author</t>
        </is>
      </c>
      <c r="C47" s="27" t="inlineStr">
        <is>
          <t>/faculty-research/faculty-directory/rick-antle</t>
        </is>
      </c>
      <c r="D47" s="24" t="inlineStr">
        <is>
          <t>/faculty-research/faculty-directory/rick-antle</t>
        </is>
      </c>
      <c r="E47" s="24" t="n">
        <v>1</v>
      </c>
      <c r="F47" s="24" t="inlineStr">
        <is>
          <t>publications</t>
        </is>
      </c>
      <c r="G47" s="24" t="inlineStr">
        <is>
          <t>publication_teaser_list</t>
        </is>
      </c>
      <c r="H47" s="24" t="inlineStr">
        <is>
          <t>publication_teaser_list_all_by_author</t>
        </is>
      </c>
      <c r="I47" s="24" t="n"/>
      <c r="J47" s="24" t="inlineStr">
        <is>
          <t>View/config rules</t>
        </is>
      </c>
      <c r="K47" s="24" t="inlineStr">
        <is>
          <t>Page placement</t>
        </is>
      </c>
      <c r="L47" s="24" t="inlineStr">
        <is>
          <t>Content type: publications; Source: View/config rules</t>
        </is>
      </c>
      <c r="IS47" s="19">
        <f>IF(input_content_type="",FALSE,ISNUMBER(SEARCH(","&amp;LOWER(input_content_type)&amp;",",","&amp;LOWER(SUBSTITUTE(F47," ",""))&amp;",")))</f>
        <v/>
      </c>
      <c r="IT47" s="19">
        <f>AND(IF(M47="",TRUE,IF(input_affiliations="",FALSE,SUMPRODUCT(--ISNUMBER(SEARCH(","&amp;TRIM(TEXTSPLIT(M47,","))&amp;",",","&amp;SUBSTITUTE(input_affiliations," ","")&amp;",")))&gt;0)),IF(O47="",TRUE,IF(input_affiliations="",FALSE,SUMPRODUCT(--ISNUMBER(SEARCH(","&amp;TRIM(TEXTSPLIT(O47,","))&amp;",",","&amp;SUBSTITUTE(input_affiliations," ","")&amp;",")))=COUNTA(TEXTSPLIT(O47,",")))),IF(Q47="",TRUE,IF(input_affiliations="",TRUE,SUMPRODUCT(--ISNUMBER(SEARCH(","&amp;TRIM(TEXTSPLIT(Q47,","))&amp;",",","&amp;SUBSTITUTE(input_affiliations," ","")&amp;",")))=0)),IF(S47="",TRUE,IF(input_affiliations="",FALSE,SUMPRODUCT(--ISNUMBER(SEARCH(","&amp;TRIM(TEXTSPLIT(S47,","))&amp;",",","&amp;SUBSTITUTE(input_affiliations," ","")&amp;",")))&gt;0)),IF(U47="",TRUE,IF(input_affiliations="",FALSE,SUMPRODUCT(--ISNUMBER(SEARCH(","&amp;TRIM(TEXTSPLIT(U47,","))&amp;",",","&amp;SUBSTITUTE(input_affiliations," ","")&amp;",")))=COUNTA(TEXTSPLIT(U47,",")))))</f>
        <v/>
      </c>
      <c r="IU47" s="19">
        <f>AND(IF(W47="",TRUE,IF(input_announcement_category="",FALSE,SUMPRODUCT(--ISNUMBER(SEARCH(","&amp;TRIM(TEXTSPLIT(W47,","))&amp;",",","&amp;SUBSTITUTE(input_announcement_category," ","")&amp;",")))&gt;0)),IF(Y47="",TRUE,IF(input_announcement_category="",FALSE,SUMPRODUCT(--ISNUMBER(SEARCH(","&amp;TRIM(TEXTSPLIT(Y47,","))&amp;",",","&amp;SUBSTITUTE(input_announcement_category," ","")&amp;",")))=COUNTA(TEXTSPLIT(Y47,",")))),IF(AA47="",TRUE,IF(input_announcement_category="",TRUE,SUMPRODUCT(--ISNUMBER(SEARCH(","&amp;TRIM(TEXTSPLIT(AA47,","))&amp;",",","&amp;SUBSTITUTE(input_announcement_category," ","")&amp;",")))=0)),IF(AC47="",TRUE,IF(input_announcement_category="",FALSE,SUMPRODUCT(--ISNUMBER(SEARCH(","&amp;TRIM(TEXTSPLIT(AC47,","))&amp;",",","&amp;SUBSTITUTE(input_announcement_category," ","")&amp;",")))&gt;0)),IF(AE47="",TRUE,IF(input_announcement_category="",FALSE,SUMPRODUCT(--ISNUMBER(SEARCH(","&amp;TRIM(TEXTSPLIT(AE47,","))&amp;",",","&amp;SUBSTITUTE(input_announcement_category," ","")&amp;",")))=COUNTA(TEXTSPLIT(AE47,",")))))</f>
        <v/>
      </c>
      <c r="IV47" s="19">
        <f>AND(IF(AG47="",TRUE,IF(input_area_of_focus="",FALSE,SUMPRODUCT(--ISNUMBER(SEARCH(","&amp;TRIM(TEXTSPLIT(AG47,","))&amp;",",","&amp;SUBSTITUTE(input_area_of_focus," ","")&amp;",")))&gt;0)),IF(AI47="",TRUE,IF(input_area_of_focus="",FALSE,SUMPRODUCT(--ISNUMBER(SEARCH(","&amp;TRIM(TEXTSPLIT(AI47,","))&amp;",",","&amp;SUBSTITUTE(input_area_of_focus," ","")&amp;",")))=COUNTA(TEXTSPLIT(AI47,",")))),IF(AK47="",TRUE,IF(input_area_of_focus="",TRUE,SUMPRODUCT(--ISNUMBER(SEARCH(","&amp;TRIM(TEXTSPLIT(AK47,","))&amp;",",","&amp;SUBSTITUTE(input_area_of_focus," ","")&amp;",")))=0)),IF(AM47="",TRUE,IF(input_area_of_focus="",FALSE,SUMPRODUCT(--ISNUMBER(SEARCH(","&amp;TRIM(TEXTSPLIT(AM47,","))&amp;",",","&amp;SUBSTITUTE(input_area_of_focus," ","")&amp;",")))&gt;0)),IF(AO47="",TRUE,IF(input_area_of_focus="",FALSE,SUMPRODUCT(--ISNUMBER(SEARCH(","&amp;TRIM(TEXTSPLIT(AO47,","))&amp;",",","&amp;SUBSTITUTE(input_area_of_focus," ","")&amp;",")))=COUNTA(TEXTSPLIT(AO47,",")))))</f>
        <v/>
      </c>
      <c r="IW47" s="19">
        <f>AND(IF(AQ47="",TRUE,IF(input_audience="",FALSE,SUMPRODUCT(--ISNUMBER(SEARCH(","&amp;TRIM(TEXTSPLIT(AQ47,","))&amp;",",","&amp;SUBSTITUTE(input_audience," ","")&amp;",")))&gt;0)),IF(AS47="",TRUE,IF(input_audience="",FALSE,SUMPRODUCT(--ISNUMBER(SEARCH(","&amp;TRIM(TEXTSPLIT(AS47,","))&amp;",",","&amp;SUBSTITUTE(input_audience," ","")&amp;",")))=COUNTA(TEXTSPLIT(AS47,",")))),IF(AU47="",TRUE,IF(input_audience="",TRUE,SUMPRODUCT(--ISNUMBER(SEARCH(","&amp;TRIM(TEXTSPLIT(AU47,","))&amp;",",","&amp;SUBSTITUTE(input_audience," ","")&amp;",")))=0)),IF(AW47="",TRUE,IF(input_audience="",FALSE,SUMPRODUCT(--ISNUMBER(SEARCH(","&amp;TRIM(TEXTSPLIT(AW47,","))&amp;",",","&amp;SUBSTITUTE(input_audience," ","")&amp;",")))&gt;0)),IF(AY47="",TRUE,IF(input_audience="",FALSE,SUMPRODUCT(--ISNUMBER(SEARCH(","&amp;TRIM(TEXTSPLIT(AY47,","))&amp;",",","&amp;SUBSTITUTE(input_audience," ","")&amp;",")))=COUNTA(TEXTSPLIT(AY47,",")))))</f>
        <v/>
      </c>
      <c r="IX47" s="19">
        <f>AND(IF(BA47="",TRUE,IF(input_challenge_opportunities="",FALSE,SUMPRODUCT(--ISNUMBER(SEARCH(","&amp;TRIM(TEXTSPLIT(BA47,","))&amp;",",","&amp;SUBSTITUTE(input_challenge_opportunities," ","")&amp;",")))&gt;0)),IF(BC47="",TRUE,IF(input_challenge_opportunities="",FALSE,SUMPRODUCT(--ISNUMBER(SEARCH(","&amp;TRIM(TEXTSPLIT(BC47,","))&amp;",",","&amp;SUBSTITUTE(input_challenge_opportunities," ","")&amp;",")))=COUNTA(TEXTSPLIT(BC47,",")))),IF(BE47="",TRUE,IF(input_challenge_opportunities="",TRUE,SUMPRODUCT(--ISNUMBER(SEARCH(","&amp;TRIM(TEXTSPLIT(BE47,","))&amp;",",","&amp;SUBSTITUTE(input_challenge_opportunities," ","")&amp;",")))=0)),IF(BG47="",TRUE,IF(input_challenge_opportunities="",FALSE,SUMPRODUCT(--ISNUMBER(SEARCH(","&amp;TRIM(TEXTSPLIT(BG47,","))&amp;",",","&amp;SUBSTITUTE(input_challenge_opportunities," ","")&amp;",")))&gt;0)),IF(BI47="",TRUE,IF(input_challenge_opportunities="",FALSE,SUMPRODUCT(--ISNUMBER(SEARCH(","&amp;TRIM(TEXTSPLIT(BI47,","))&amp;",",","&amp;SUBSTITUTE(input_challenge_opportunities," ","")&amp;",")))=COUNTA(TEXTSPLIT(BI47,",")))))</f>
        <v/>
      </c>
      <c r="IY47" s="19">
        <f>AND(IF(BK47="",TRUE,IF(input_context="",FALSE,SUMPRODUCT(--ISNUMBER(SEARCH(","&amp;TRIM(TEXTSPLIT(BK47,","))&amp;",",","&amp;SUBSTITUTE(input_context," ","")&amp;",")))&gt;0)),IF(BM47="",TRUE,IF(input_context="",FALSE,SUMPRODUCT(--ISNUMBER(SEARCH(","&amp;TRIM(TEXTSPLIT(BM47,","))&amp;",",","&amp;SUBSTITUTE(input_context," ","")&amp;",")))=COUNTA(TEXTSPLIT(BM47,",")))),IF(BO47="",TRUE,IF(input_context="",TRUE,SUMPRODUCT(--ISNUMBER(SEARCH(","&amp;TRIM(TEXTSPLIT(BO47,","))&amp;",",","&amp;SUBSTITUTE(input_context," ","")&amp;",")))=0)),IF(BQ47="",TRUE,IF(input_context="",FALSE,SUMPRODUCT(--ISNUMBER(SEARCH(","&amp;TRIM(TEXTSPLIT(BQ47,","))&amp;",",","&amp;SUBSTITUTE(input_context," ","")&amp;",")))&gt;0)),IF(BS47="",TRUE,IF(input_context="",FALSE,SUMPRODUCT(--ISNUMBER(SEARCH(","&amp;TRIM(TEXTSPLIT(BS47,","))&amp;",",","&amp;SUBSTITUTE(input_context," ","")&amp;",")))=COUNTA(TEXTSPLIT(BS47,",")))))</f>
        <v/>
      </c>
      <c r="IZ47" s="19">
        <f>AND(IF(BU47="",TRUE,IF(input_enews_announcement_type="",FALSE,SUMPRODUCT(--ISNUMBER(SEARCH(","&amp;TRIM(TEXTSPLIT(BU47,","))&amp;",",","&amp;SUBSTITUTE(input_enews_announcement_type," ","")&amp;",")))&gt;0)),IF(BW47="",TRUE,IF(input_enews_announcement_type="",FALSE,SUMPRODUCT(--ISNUMBER(SEARCH(","&amp;TRIM(TEXTSPLIT(BW47,","))&amp;",",","&amp;SUBSTITUTE(input_enews_announcement_type," ","")&amp;",")))=COUNTA(TEXTSPLIT(BW47,",")))),IF(BY47="",TRUE,IF(input_enews_announcement_type="",TRUE,SUMPRODUCT(--ISNUMBER(SEARCH(","&amp;TRIM(TEXTSPLIT(BY47,","))&amp;",",","&amp;SUBSTITUTE(input_enews_announcement_type," ","")&amp;",")))=0)),IF(CA47="",TRUE,IF(input_enews_announcement_type="",FALSE,SUMPRODUCT(--ISNUMBER(SEARCH(","&amp;TRIM(TEXTSPLIT(CA47,","))&amp;",",","&amp;SUBSTITUTE(input_enews_announcement_type," ","")&amp;",")))&gt;0)),IF(CC47="",TRUE,IF(input_enews_announcement_type="",FALSE,SUMPRODUCT(--ISNUMBER(SEARCH(","&amp;TRIM(TEXTSPLIT(CC47,","))&amp;",",","&amp;SUBSTITUTE(input_enews_announcement_type," ","")&amp;",")))=COUNTA(TEXTSPLIT(CC47,",")))))</f>
        <v/>
      </c>
      <c r="JA47" s="19">
        <f>AND(IF(CE47="",TRUE,IF(input_enews_audience="",FALSE,SUMPRODUCT(--ISNUMBER(SEARCH(","&amp;TRIM(TEXTSPLIT(CE47,","))&amp;",",","&amp;SUBSTITUTE(input_enews_audience," ","")&amp;",")))&gt;0)),IF(CG47="",TRUE,IF(input_enews_audience="",FALSE,SUMPRODUCT(--ISNUMBER(SEARCH(","&amp;TRIM(TEXTSPLIT(CG47,","))&amp;",",","&amp;SUBSTITUTE(input_enews_audience," ","")&amp;",")))=COUNTA(TEXTSPLIT(CG47,",")))),IF(CI47="",TRUE,IF(input_enews_audience="",TRUE,SUMPRODUCT(--ISNUMBER(SEARCH(","&amp;TRIM(TEXTSPLIT(CI47,","))&amp;",",","&amp;SUBSTITUTE(input_enews_audience," ","")&amp;",")))=0)),IF(CK47="",TRUE,IF(input_enews_audience="",FALSE,SUMPRODUCT(--ISNUMBER(SEARCH(","&amp;TRIM(TEXTSPLIT(CK47,","))&amp;",",","&amp;SUBSTITUTE(input_enews_audience," ","")&amp;",")))&gt;0)),IF(CM47="",TRUE,IF(input_enews_audience="",FALSE,SUMPRODUCT(--ISNUMBER(SEARCH(","&amp;TRIM(TEXTSPLIT(CM47,","))&amp;",",","&amp;SUBSTITUTE(input_enews_audience," ","")&amp;",")))=COUNTA(TEXTSPLIT(CM47,",")))))</f>
        <v/>
      </c>
      <c r="JB47" s="19">
        <f>AND(IF(CO47="",TRUE,IF(input_event_location="",FALSE,SUMPRODUCT(--ISNUMBER(SEARCH(","&amp;TRIM(TEXTSPLIT(CO47,","))&amp;",",","&amp;SUBSTITUTE(input_event_location," ","")&amp;",")))&gt;0)),IF(CQ47="",TRUE,IF(input_event_location="",FALSE,SUMPRODUCT(--ISNUMBER(SEARCH(","&amp;TRIM(TEXTSPLIT(CQ47,","))&amp;",",","&amp;SUBSTITUTE(input_event_location," ","")&amp;",")))=COUNTA(TEXTSPLIT(CQ47,",")))),IF(CS47="",TRUE,IF(input_event_location="",TRUE,SUMPRODUCT(--ISNUMBER(SEARCH(","&amp;TRIM(TEXTSPLIT(CS47,","))&amp;",",","&amp;SUBSTITUTE(input_event_location," ","")&amp;",")))=0)),IF(CU47="",TRUE,IF(input_event_location="",FALSE,SUMPRODUCT(--ISNUMBER(SEARCH(","&amp;TRIM(TEXTSPLIT(CU47,","))&amp;",",","&amp;SUBSTITUTE(input_event_location," ","")&amp;",")))&gt;0)),IF(CW47="",TRUE,IF(input_event_location="",FALSE,SUMPRODUCT(--ISNUMBER(SEARCH(","&amp;TRIM(TEXTSPLIT(CW47,","))&amp;",",","&amp;SUBSTITUTE(input_event_location," ","")&amp;",")))=COUNTA(TEXTSPLIT(CW47,",")))))</f>
        <v/>
      </c>
      <c r="JC47" s="19">
        <f>AND(IF(CY47="",TRUE,IF(input_event_type="",FALSE,SUMPRODUCT(--ISNUMBER(SEARCH(","&amp;TRIM(TEXTSPLIT(CY47,","))&amp;",",","&amp;SUBSTITUTE(input_event_type," ","")&amp;",")))&gt;0)),IF(DA47="",TRUE,IF(input_event_type="",FALSE,SUMPRODUCT(--ISNUMBER(SEARCH(","&amp;TRIM(TEXTSPLIT(DA47,","))&amp;",",","&amp;SUBSTITUTE(input_event_type," ","")&amp;",")))=COUNTA(TEXTSPLIT(DA47,",")))),IF(DC47="",TRUE,IF(input_event_type="",TRUE,SUMPRODUCT(--ISNUMBER(SEARCH(","&amp;TRIM(TEXTSPLIT(DC47,","))&amp;",",","&amp;SUBSTITUTE(input_event_type," ","")&amp;",")))=0)),IF(DE47="",TRUE,IF(input_event_type="",FALSE,SUMPRODUCT(--ISNUMBER(SEARCH(","&amp;TRIM(TEXTSPLIT(DE47,","))&amp;",",","&amp;SUBSTITUTE(input_event_type," ","")&amp;",")))&gt;0)),IF(DG47="",TRUE,IF(input_event_type="",FALSE,SUMPRODUCT(--ISNUMBER(SEARCH(","&amp;TRIM(TEXTSPLIT(DG47,","))&amp;",",","&amp;SUBSTITUTE(input_event_type," ","")&amp;",")))=COUNTA(TEXTSPLIT(DG47,",")))))</f>
        <v/>
      </c>
      <c r="JD47" s="19">
        <f>AND(IF(DI47="",TRUE,IF(input_executive_education_focus="",FALSE,SUMPRODUCT(--ISNUMBER(SEARCH(","&amp;TRIM(TEXTSPLIT(DI47,","))&amp;",",","&amp;SUBSTITUTE(input_executive_education_focus," ","")&amp;",")))&gt;0)),IF(DK47="",TRUE,IF(input_executive_education_focus="",FALSE,SUMPRODUCT(--ISNUMBER(SEARCH(","&amp;TRIM(TEXTSPLIT(DK47,","))&amp;",",","&amp;SUBSTITUTE(input_executive_education_focus," ","")&amp;",")))=COUNTA(TEXTSPLIT(DK47,",")))),IF(DM47="",TRUE,IF(input_executive_education_focus="",TRUE,SUMPRODUCT(--ISNUMBER(SEARCH(","&amp;TRIM(TEXTSPLIT(DM47,","))&amp;",",","&amp;SUBSTITUTE(input_executive_education_focus," ","")&amp;",")))=0)),IF(DO47="",TRUE,IF(input_executive_education_focus="",FALSE,SUMPRODUCT(--ISNUMBER(SEARCH(","&amp;TRIM(TEXTSPLIT(DO47,","))&amp;",",","&amp;SUBSTITUTE(input_executive_education_focus," ","")&amp;",")))&gt;0)),IF(DQ47="",TRUE,IF(input_executive_education_focus="",FALSE,SUMPRODUCT(--ISNUMBER(SEARCH(","&amp;TRIM(TEXTSPLIT(DQ47,","))&amp;",",","&amp;SUBSTITUTE(input_executive_education_focus," ","")&amp;",")))=COUNTA(TEXTSPLIT(DQ47,",")))))</f>
        <v/>
      </c>
      <c r="JE47" s="19">
        <f>AND(IF(DS47="",TRUE,IF(input_faculty_category="",FALSE,SUMPRODUCT(--ISNUMBER(SEARCH(","&amp;TRIM(TEXTSPLIT(DS47,","))&amp;",",","&amp;SUBSTITUTE(input_faculty_category," ","")&amp;",")))&gt;0)),IF(DU47="",TRUE,IF(input_faculty_category="",FALSE,SUMPRODUCT(--ISNUMBER(SEARCH(","&amp;TRIM(TEXTSPLIT(DU47,","))&amp;",",","&amp;SUBSTITUTE(input_faculty_category," ","")&amp;",")))=COUNTA(TEXTSPLIT(DU47,",")))),IF(DW47="",TRUE,IF(input_faculty_category="",TRUE,SUMPRODUCT(--ISNUMBER(SEARCH(","&amp;TRIM(TEXTSPLIT(DW47,","))&amp;",",","&amp;SUBSTITUTE(input_faculty_category," ","")&amp;",")))=0)),IF(DY47="",TRUE,IF(input_faculty_category="",FALSE,SUMPRODUCT(--ISNUMBER(SEARCH(","&amp;TRIM(TEXTSPLIT(DY47,","))&amp;",",","&amp;SUBSTITUTE(input_faculty_category," ","")&amp;",")))&gt;0)),IF(EA47="",TRUE,IF(input_faculty_category="",FALSE,SUMPRODUCT(--ISNUMBER(SEARCH(","&amp;TRIM(TEXTSPLIT(EA47,","))&amp;",",","&amp;SUBSTITUTE(input_faculty_category," ","")&amp;",")))=COUNTA(TEXTSPLIT(EA47,",")))))</f>
        <v/>
      </c>
      <c r="JF47" s="19">
        <f>AND(IF(EC47="",TRUE,IF(input_faculty_discipline="",FALSE,SUMPRODUCT(--ISNUMBER(SEARCH(","&amp;TRIM(TEXTSPLIT(EC47,","))&amp;",",","&amp;SUBSTITUTE(input_faculty_discipline," ","")&amp;",")))&gt;0)),IF(EE47="",TRUE,IF(input_faculty_discipline="",FALSE,SUMPRODUCT(--ISNUMBER(SEARCH(","&amp;TRIM(TEXTSPLIT(EE47,","))&amp;",",","&amp;SUBSTITUTE(input_faculty_discipline," ","")&amp;",")))=COUNTA(TEXTSPLIT(EE47,",")))),IF(EG47="",TRUE,IF(input_faculty_discipline="",TRUE,SUMPRODUCT(--ISNUMBER(SEARCH(","&amp;TRIM(TEXTSPLIT(EG47,","))&amp;",",","&amp;SUBSTITUTE(input_faculty_discipline," ","")&amp;",")))=0)),IF(EI47="",TRUE,IF(input_faculty_discipline="",FALSE,SUMPRODUCT(--ISNUMBER(SEARCH(","&amp;TRIM(TEXTSPLIT(EI47,","))&amp;",",","&amp;SUBSTITUTE(input_faculty_discipline," ","")&amp;",")))&gt;0)),IF(EK47="",TRUE,IF(input_faculty_discipline="",FALSE,SUMPRODUCT(--ISNUMBER(SEARCH(","&amp;TRIM(TEXTSPLIT(EK47,","))&amp;",",","&amp;SUBSTITUTE(input_faculty_discipline," ","")&amp;",")))=COUNTA(TEXTSPLIT(EK47,",")))))</f>
        <v/>
      </c>
      <c r="JG47" s="19">
        <f>AND(IF(EM47="",TRUE,IF(input_faculty_expertise="",FALSE,SUMPRODUCT(--ISNUMBER(SEARCH(","&amp;TRIM(TEXTSPLIT(EM47,","))&amp;",",","&amp;SUBSTITUTE(input_faculty_expertise," ","")&amp;",")))&gt;0)),IF(EO47="",TRUE,IF(input_faculty_expertise="",FALSE,SUMPRODUCT(--ISNUMBER(SEARCH(","&amp;TRIM(TEXTSPLIT(EO47,","))&amp;",",","&amp;SUBSTITUTE(input_faculty_expertise," ","")&amp;",")))=COUNTA(TEXTSPLIT(EO47,",")))),IF(EQ47="",TRUE,IF(input_faculty_expertise="",TRUE,SUMPRODUCT(--ISNUMBER(SEARCH(","&amp;TRIM(TEXTSPLIT(EQ47,","))&amp;",",","&amp;SUBSTITUTE(input_faculty_expertise," ","")&amp;",")))=0)),IF(ES47="",TRUE,IF(input_faculty_expertise="",FALSE,SUMPRODUCT(--ISNUMBER(SEARCH(","&amp;TRIM(TEXTSPLIT(ES47,","))&amp;",",","&amp;SUBSTITUTE(input_faculty_expertise," ","")&amp;",")))&gt;0)),IF(EU47="",TRUE,IF(input_faculty_expertise="",FALSE,SUMPRODUCT(--ISNUMBER(SEARCH(","&amp;TRIM(TEXTSPLIT(EU47,","))&amp;",",","&amp;SUBSTITUTE(input_faculty_expertise," ","")&amp;",")))=COUNTA(TEXTSPLIT(EU47,",")))))</f>
        <v/>
      </c>
      <c r="JH47" s="19">
        <f>AND(IF(EW47="",TRUE,IF(input_global_network_school="",FALSE,SUMPRODUCT(--ISNUMBER(SEARCH(","&amp;TRIM(TEXTSPLIT(EW47,","))&amp;",",","&amp;SUBSTITUTE(input_global_network_school," ","")&amp;",")))&gt;0)),IF(EY47="",TRUE,IF(input_global_network_school="",FALSE,SUMPRODUCT(--ISNUMBER(SEARCH(","&amp;TRIM(TEXTSPLIT(EY47,","))&amp;",",","&amp;SUBSTITUTE(input_global_network_school," ","")&amp;",")))=COUNTA(TEXTSPLIT(EY47,",")))),IF(FA47="",TRUE,IF(input_global_network_school="",TRUE,SUMPRODUCT(--ISNUMBER(SEARCH(","&amp;TRIM(TEXTSPLIT(FA47,","))&amp;",",","&amp;SUBSTITUTE(input_global_network_school," ","")&amp;",")))=0)),IF(FC47="",TRUE,IF(input_global_network_school="",FALSE,SUMPRODUCT(--ISNUMBER(SEARCH(","&amp;TRIM(TEXTSPLIT(FC47,","))&amp;",",","&amp;SUBSTITUTE(input_global_network_school," ","")&amp;",")))&gt;0)),IF(FE47="",TRUE,IF(input_global_network_school="",FALSE,SUMPRODUCT(--ISNUMBER(SEARCH(","&amp;TRIM(TEXTSPLIT(FE47,","))&amp;",",","&amp;SUBSTITUTE(input_global_network_school," ","")&amp;",")))=COUNTA(TEXTSPLIT(FE47,",")))))</f>
        <v/>
      </c>
      <c r="JI47" s="19">
        <f>AND(IF(FG47="",TRUE,IF(input_industry="",FALSE,SUMPRODUCT(--ISNUMBER(SEARCH(","&amp;TRIM(TEXTSPLIT(FG47,","))&amp;",",","&amp;SUBSTITUTE(input_industry," ","")&amp;",")))&gt;0)),IF(FI47="",TRUE,IF(input_industry="",FALSE,SUMPRODUCT(--ISNUMBER(SEARCH(","&amp;TRIM(TEXTSPLIT(FI47,","))&amp;",",","&amp;SUBSTITUTE(input_industry," ","")&amp;",")))=COUNTA(TEXTSPLIT(FI47,",")))),IF(FK47="",TRUE,IF(input_industry="",TRUE,SUMPRODUCT(--ISNUMBER(SEARCH(","&amp;TRIM(TEXTSPLIT(FK47,","))&amp;",",","&amp;SUBSTITUTE(input_industry," ","")&amp;",")))=0)),IF(FM47="",TRUE,IF(input_industry="",FALSE,SUMPRODUCT(--ISNUMBER(SEARCH(","&amp;TRIM(TEXTSPLIT(FM47,","))&amp;",",","&amp;SUBSTITUTE(input_industry," ","")&amp;",")))&gt;0)),IF(FO47="",TRUE,IF(input_industry="",FALSE,SUMPRODUCT(--ISNUMBER(SEARCH(","&amp;TRIM(TEXTSPLIT(FO47,","))&amp;",",","&amp;SUBSTITUTE(input_industry," ","")&amp;",")))=COUNTA(TEXTSPLIT(FO47,",")))))</f>
        <v/>
      </c>
      <c r="JJ47" s="19">
        <f>AND(IF(FQ47="",TRUE,IF(input_location="",FALSE,SUMPRODUCT(--ISNUMBER(SEARCH(","&amp;TRIM(TEXTSPLIT(FQ47,","))&amp;",",","&amp;SUBSTITUTE(input_location," ","")&amp;",")))&gt;0)),IF(FS47="",TRUE,IF(input_location="",FALSE,SUMPRODUCT(--ISNUMBER(SEARCH(","&amp;TRIM(TEXTSPLIT(FS47,","))&amp;",",","&amp;SUBSTITUTE(input_location," ","")&amp;",")))=COUNTA(TEXTSPLIT(FS47,",")))),IF(FU47="",TRUE,IF(input_location="",TRUE,SUMPRODUCT(--ISNUMBER(SEARCH(","&amp;TRIM(TEXTSPLIT(FU47,","))&amp;",",","&amp;SUBSTITUTE(input_location," ","")&amp;",")))=0)),IF(FW47="",TRUE,IF(input_location="",FALSE,SUMPRODUCT(--ISNUMBER(SEARCH(","&amp;TRIM(TEXTSPLIT(FW47,","))&amp;",",","&amp;SUBSTITUTE(input_location," ","")&amp;",")))&gt;0)),IF(FY47="",TRUE,IF(input_location="",FALSE,SUMPRODUCT(--ISNUMBER(SEARCH(","&amp;TRIM(TEXTSPLIT(FY47,","))&amp;",",","&amp;SUBSTITUTE(input_location," ","")&amp;",")))=COUNTA(TEXTSPLIT(FY47,",")))))</f>
        <v/>
      </c>
      <c r="JK47" s="19">
        <f>AND(IF(GA47="",TRUE,IF(input_modality="",FALSE,SUMPRODUCT(--ISNUMBER(SEARCH(","&amp;TRIM(TEXTSPLIT(GA47,","))&amp;",",","&amp;SUBSTITUTE(input_modality," ","")&amp;",")))&gt;0)),IF(GC47="",TRUE,IF(input_modality="",FALSE,SUMPRODUCT(--ISNUMBER(SEARCH(","&amp;TRIM(TEXTSPLIT(GC47,","))&amp;",",","&amp;SUBSTITUTE(input_modality," ","")&amp;",")))=COUNTA(TEXTSPLIT(GC47,",")))),IF(GE47="",TRUE,IF(input_modality="",TRUE,SUMPRODUCT(--ISNUMBER(SEARCH(","&amp;TRIM(TEXTSPLIT(GE47,","))&amp;",",","&amp;SUBSTITUTE(input_modality," ","")&amp;",")))=0)),IF(GG47="",TRUE,IF(input_modality="",FALSE,SUMPRODUCT(--ISNUMBER(SEARCH(","&amp;TRIM(TEXTSPLIT(GG47,","))&amp;",",","&amp;SUBSTITUTE(input_modality," ","")&amp;",")))&gt;0)),IF(GI47="",TRUE,IF(input_modality="",FALSE,SUMPRODUCT(--ISNUMBER(SEARCH(","&amp;TRIM(TEXTSPLIT(GI47,","))&amp;",",","&amp;SUBSTITUTE(input_modality," ","")&amp;",")))=COUNTA(TEXTSPLIT(GI47,",")))))</f>
        <v/>
      </c>
      <c r="JL47" s="19">
        <f>AND(IF(GK47="",TRUE,IF(input_organizer="",FALSE,SUMPRODUCT(--ISNUMBER(SEARCH(","&amp;TRIM(TEXTSPLIT(GK47,","))&amp;",",","&amp;SUBSTITUTE(input_organizer," ","")&amp;",")))&gt;0)),IF(GM47="",TRUE,IF(input_organizer="",FALSE,SUMPRODUCT(--ISNUMBER(SEARCH(","&amp;TRIM(TEXTSPLIT(GM47,","))&amp;",",","&amp;SUBSTITUTE(input_organizer," ","")&amp;",")))=COUNTA(TEXTSPLIT(GM47,",")))),IF(GO47="",TRUE,IF(input_organizer="",TRUE,SUMPRODUCT(--ISNUMBER(SEARCH(","&amp;TRIM(TEXTSPLIT(GO47,","))&amp;",",","&amp;SUBSTITUTE(input_organizer," ","")&amp;",")))=0)),IF(GQ47="",TRUE,IF(input_organizer="",FALSE,SUMPRODUCT(--ISNUMBER(SEARCH(","&amp;TRIM(TEXTSPLIT(GQ47,","))&amp;",",","&amp;SUBSTITUTE(input_organizer," ","")&amp;",")))&gt;0)),IF(GS47="",TRUE,IF(input_organizer="",FALSE,SUMPRODUCT(--ISNUMBER(SEARCH(","&amp;TRIM(TEXTSPLIT(GS47,","))&amp;",",","&amp;SUBSTITUTE(input_organizer," ","")&amp;",")))=COUNTA(TEXTSPLIT(GS47,",")))))</f>
        <v/>
      </c>
      <c r="JM47" s="19">
        <f>AND(IF(GU47="",TRUE,IF(input_profile_type="",FALSE,SUMPRODUCT(--ISNUMBER(SEARCH(","&amp;TRIM(TEXTSPLIT(GU47,","))&amp;",",","&amp;SUBSTITUTE(input_profile_type," ","")&amp;",")))&gt;0)),IF(GW47="",TRUE,IF(input_profile_type="",FALSE,SUMPRODUCT(--ISNUMBER(SEARCH(","&amp;TRIM(TEXTSPLIT(GW47,","))&amp;",",","&amp;SUBSTITUTE(input_profile_type," ","")&amp;",")))=COUNTA(TEXTSPLIT(GW47,",")))),IF(GY47="",TRUE,IF(input_profile_type="",TRUE,SUMPRODUCT(--ISNUMBER(SEARCH(","&amp;TRIM(TEXTSPLIT(GY47,","))&amp;",",","&amp;SUBSTITUTE(input_profile_type," ","")&amp;",")))=0)),IF(HA47="",TRUE,IF(input_profile_type="",FALSE,SUMPRODUCT(--ISNUMBER(SEARCH(","&amp;TRIM(TEXTSPLIT(HA47,","))&amp;",",","&amp;SUBSTITUTE(input_profile_type," ","")&amp;",")))&gt;0)),IF(HC47="",TRUE,IF(input_profile_type="",FALSE,SUMPRODUCT(--ISNUMBER(SEARCH(","&amp;TRIM(TEXTSPLIT(HC47,","))&amp;",",","&amp;SUBSTITUTE(input_profile_type," ","")&amp;",")))=COUNTA(TEXTSPLIT(HC47,",")))))</f>
        <v/>
      </c>
      <c r="JN47" s="19">
        <f>AND(IF(HE47="",TRUE,IF(input_program="",FALSE,SUMPRODUCT(--ISNUMBER(SEARCH(","&amp;TRIM(TEXTSPLIT(HE47,","))&amp;",",","&amp;SUBSTITUTE(input_program," ","")&amp;",")))&gt;0)),IF(HG47="",TRUE,IF(input_program="",FALSE,SUMPRODUCT(--ISNUMBER(SEARCH(","&amp;TRIM(TEXTSPLIT(HG47,","))&amp;",",","&amp;SUBSTITUTE(input_program," ","")&amp;",")))=COUNTA(TEXTSPLIT(HG47,",")))),IF(HI47="",TRUE,IF(input_program="",TRUE,SUMPRODUCT(--ISNUMBER(SEARCH(","&amp;TRIM(TEXTSPLIT(HI47,","))&amp;",",","&amp;SUBSTITUTE(input_program," ","")&amp;",")))=0)),IF(HK47="",TRUE,IF(input_program="",FALSE,SUMPRODUCT(--ISNUMBER(SEARCH(","&amp;TRIM(TEXTSPLIT(HK47,","))&amp;",",","&amp;SUBSTITUTE(input_program," ","")&amp;",")))&gt;0)),IF(HM47="",TRUE,IF(input_program="",FALSE,SUMPRODUCT(--ISNUMBER(SEARCH(","&amp;TRIM(TEXTSPLIT(HM47,","))&amp;",",","&amp;SUBSTITUTE(input_program," ","")&amp;",")))=COUNTA(TEXTSPLIT(HM47,",")))))</f>
        <v/>
      </c>
      <c r="JO47" s="19">
        <f>AND(IF(HO47="",TRUE,IF(input_story_categories="",FALSE,SUMPRODUCT(--ISNUMBER(SEARCH(","&amp;TRIM(TEXTSPLIT(HO47,","))&amp;",",","&amp;SUBSTITUTE(input_story_categories," ","")&amp;",")))&gt;0)),IF(HQ47="",TRUE,IF(input_story_categories="",FALSE,SUMPRODUCT(--ISNUMBER(SEARCH(","&amp;TRIM(TEXTSPLIT(HQ47,","))&amp;",",","&amp;SUBSTITUTE(input_story_categories," ","")&amp;",")))=COUNTA(TEXTSPLIT(HQ47,",")))),IF(HS47="",TRUE,IF(input_story_categories="",TRUE,SUMPRODUCT(--ISNUMBER(SEARCH(","&amp;TRIM(TEXTSPLIT(HS47,","))&amp;",",","&amp;SUBSTITUTE(input_story_categories," ","")&amp;",")))=0)),IF(HU47="",TRUE,IF(input_story_categories="",FALSE,SUMPRODUCT(--ISNUMBER(SEARCH(","&amp;TRIM(TEXTSPLIT(HU47,","))&amp;",",","&amp;SUBSTITUTE(input_story_categories," ","")&amp;",")))&gt;0)),IF(HW47="",TRUE,IF(input_story_categories="",FALSE,SUMPRODUCT(--ISNUMBER(SEARCH(","&amp;TRIM(TEXTSPLIT(HW47,","))&amp;",",","&amp;SUBSTITUTE(input_story_categories," ","")&amp;",")))=COUNTA(TEXTSPLIT(HW47,",")))))</f>
        <v/>
      </c>
      <c r="JP47" s="19">
        <f>AND(IF(HY47="",TRUE,IF(input_story_type="",FALSE,SUMPRODUCT(--ISNUMBER(SEARCH(","&amp;TRIM(TEXTSPLIT(HY47,","))&amp;",",","&amp;SUBSTITUTE(input_story_type," ","")&amp;",")))&gt;0)),IF(IA47="",TRUE,IF(input_story_type="",FALSE,SUMPRODUCT(--ISNUMBER(SEARCH(","&amp;TRIM(TEXTSPLIT(IA47,","))&amp;",",","&amp;SUBSTITUTE(input_story_type," ","")&amp;",")))=COUNTA(TEXTSPLIT(IA47,",")))),IF(IC47="",TRUE,IF(input_story_type="",TRUE,SUMPRODUCT(--ISNUMBER(SEARCH(","&amp;TRIM(TEXTSPLIT(IC47,","))&amp;",",","&amp;SUBSTITUTE(input_story_type," ","")&amp;",")))=0)),IF(IE47="",TRUE,IF(input_story_type="",FALSE,SUMPRODUCT(--ISNUMBER(SEARCH(","&amp;TRIM(TEXTSPLIT(IE47,","))&amp;",",","&amp;SUBSTITUTE(input_story_type," ","")&amp;",")))&gt;0)),IF(IG47="",TRUE,IF(input_story_type="",FALSE,SUMPRODUCT(--ISNUMBER(SEARCH(","&amp;TRIM(TEXTSPLIT(IG47,","))&amp;",",","&amp;SUBSTITUTE(input_story_type," ","")&amp;",")))=COUNTA(TEXTSPLIT(IG47,",")))))</f>
        <v/>
      </c>
      <c r="JQ47" s="19">
        <f>AND(IF(II47="",TRUE,IF(input_topics="",FALSE,SUMPRODUCT(--ISNUMBER(SEARCH(","&amp;TRIM(TEXTSPLIT(II47,","))&amp;",",","&amp;SUBSTITUTE(input_topics," ","")&amp;",")))&gt;0)),IF(IK47="",TRUE,IF(input_topics="",FALSE,SUMPRODUCT(--ISNUMBER(SEARCH(","&amp;TRIM(TEXTSPLIT(IK47,","))&amp;",",","&amp;SUBSTITUTE(input_topics," ","")&amp;",")))=COUNTA(TEXTSPLIT(IK47,",")))),IF(IM47="",TRUE,IF(input_topics="",TRUE,SUMPRODUCT(--ISNUMBER(SEARCH(","&amp;TRIM(TEXTSPLIT(IM47,","))&amp;",",","&amp;SUBSTITUTE(input_topics," ","")&amp;",")))=0)),IF(IO47="",TRUE,IF(input_topics="",FALSE,SUMPRODUCT(--ISNUMBER(SEARCH(","&amp;TRIM(TEXTSPLIT(IO47,","))&amp;",",","&amp;SUBSTITUTE(input_topics," ","")&amp;",")))&gt;0)),IF(IQ47="",TRUE,IF(input_topics="",FALSE,SUMPRODUCT(--ISNUMBER(SEARCH(","&amp;TRIM(TEXTSPLIT(IQ47,","))&amp;",",","&amp;SUBSTITUTE(input_topics," ","")&amp;",")))=COUNTA(TEXTSPLIT(IQ47,",")))))</f>
        <v/>
      </c>
    </row>
    <row r="48">
      <c r="A48" s="24">
        <f>IF(NOT(IS48),"Excluded",IF(AND(IT48,IU48,IV48,IW48,IX48,IY48,IZ48,JA48,JB48,JC48,JD48,JE48,JF48,JG48,JH48,JI48,JJ48,JK48,JL48,JM48,JN48,JO48,JP48,JQ48),IF(I48&gt;0,"Eligible but limited","Will appear"),"Excluded"))</f>
        <v/>
      </c>
      <c r="B48" s="24" t="inlineStr">
        <is>
          <t>All Publications by Author</t>
        </is>
      </c>
      <c r="C48" s="27" t="inlineStr">
        <is>
          <t>/faculty-research/faculty-directory/sang-kim</t>
        </is>
      </c>
      <c r="D48" s="24" t="inlineStr">
        <is>
          <t>/faculty-research/faculty-directory/sang-kim</t>
        </is>
      </c>
      <c r="E48" s="24" t="n">
        <v>1</v>
      </c>
      <c r="F48" s="24" t="inlineStr">
        <is>
          <t>publications</t>
        </is>
      </c>
      <c r="G48" s="24" t="inlineStr">
        <is>
          <t>publication_teaser_list</t>
        </is>
      </c>
      <c r="H48" s="24" t="inlineStr">
        <is>
          <t>publication_teaser_list_all_by_author</t>
        </is>
      </c>
      <c r="I48" s="24" t="n"/>
      <c r="J48" s="24" t="inlineStr">
        <is>
          <t>View/config rules</t>
        </is>
      </c>
      <c r="K48" s="24" t="inlineStr">
        <is>
          <t>Page placement</t>
        </is>
      </c>
      <c r="L48" s="24" t="inlineStr">
        <is>
          <t>Content type: publications; Source: View/config rules</t>
        </is>
      </c>
      <c r="IS48" s="19">
        <f>IF(input_content_type="",FALSE,ISNUMBER(SEARCH(","&amp;LOWER(input_content_type)&amp;",",","&amp;LOWER(SUBSTITUTE(F48," ",""))&amp;",")))</f>
        <v/>
      </c>
      <c r="IT48" s="19">
        <f>AND(IF(M48="",TRUE,IF(input_affiliations="",FALSE,SUMPRODUCT(--ISNUMBER(SEARCH(","&amp;TRIM(TEXTSPLIT(M48,","))&amp;",",","&amp;SUBSTITUTE(input_affiliations," ","")&amp;",")))&gt;0)),IF(O48="",TRUE,IF(input_affiliations="",FALSE,SUMPRODUCT(--ISNUMBER(SEARCH(","&amp;TRIM(TEXTSPLIT(O48,","))&amp;",",","&amp;SUBSTITUTE(input_affiliations," ","")&amp;",")))=COUNTA(TEXTSPLIT(O48,",")))),IF(Q48="",TRUE,IF(input_affiliations="",TRUE,SUMPRODUCT(--ISNUMBER(SEARCH(","&amp;TRIM(TEXTSPLIT(Q48,","))&amp;",",","&amp;SUBSTITUTE(input_affiliations," ","")&amp;",")))=0)),IF(S48="",TRUE,IF(input_affiliations="",FALSE,SUMPRODUCT(--ISNUMBER(SEARCH(","&amp;TRIM(TEXTSPLIT(S48,","))&amp;",",","&amp;SUBSTITUTE(input_affiliations," ","")&amp;",")))&gt;0)),IF(U48="",TRUE,IF(input_affiliations="",FALSE,SUMPRODUCT(--ISNUMBER(SEARCH(","&amp;TRIM(TEXTSPLIT(U48,","))&amp;",",","&amp;SUBSTITUTE(input_affiliations," ","")&amp;",")))=COUNTA(TEXTSPLIT(U48,",")))))</f>
        <v/>
      </c>
      <c r="IU48" s="19">
        <f>AND(IF(W48="",TRUE,IF(input_announcement_category="",FALSE,SUMPRODUCT(--ISNUMBER(SEARCH(","&amp;TRIM(TEXTSPLIT(W48,","))&amp;",",","&amp;SUBSTITUTE(input_announcement_category," ","")&amp;",")))&gt;0)),IF(Y48="",TRUE,IF(input_announcement_category="",FALSE,SUMPRODUCT(--ISNUMBER(SEARCH(","&amp;TRIM(TEXTSPLIT(Y48,","))&amp;",",","&amp;SUBSTITUTE(input_announcement_category," ","")&amp;",")))=COUNTA(TEXTSPLIT(Y48,",")))),IF(AA48="",TRUE,IF(input_announcement_category="",TRUE,SUMPRODUCT(--ISNUMBER(SEARCH(","&amp;TRIM(TEXTSPLIT(AA48,","))&amp;",",","&amp;SUBSTITUTE(input_announcement_category," ","")&amp;",")))=0)),IF(AC48="",TRUE,IF(input_announcement_category="",FALSE,SUMPRODUCT(--ISNUMBER(SEARCH(","&amp;TRIM(TEXTSPLIT(AC48,","))&amp;",",","&amp;SUBSTITUTE(input_announcement_category," ","")&amp;",")))&gt;0)),IF(AE48="",TRUE,IF(input_announcement_category="",FALSE,SUMPRODUCT(--ISNUMBER(SEARCH(","&amp;TRIM(TEXTSPLIT(AE48,","))&amp;",",","&amp;SUBSTITUTE(input_announcement_category," ","")&amp;",")))=COUNTA(TEXTSPLIT(AE48,",")))))</f>
        <v/>
      </c>
      <c r="IV48" s="19">
        <f>AND(IF(AG48="",TRUE,IF(input_area_of_focus="",FALSE,SUMPRODUCT(--ISNUMBER(SEARCH(","&amp;TRIM(TEXTSPLIT(AG48,","))&amp;",",","&amp;SUBSTITUTE(input_area_of_focus," ","")&amp;",")))&gt;0)),IF(AI48="",TRUE,IF(input_area_of_focus="",FALSE,SUMPRODUCT(--ISNUMBER(SEARCH(","&amp;TRIM(TEXTSPLIT(AI48,","))&amp;",",","&amp;SUBSTITUTE(input_area_of_focus," ","")&amp;",")))=COUNTA(TEXTSPLIT(AI48,",")))),IF(AK48="",TRUE,IF(input_area_of_focus="",TRUE,SUMPRODUCT(--ISNUMBER(SEARCH(","&amp;TRIM(TEXTSPLIT(AK48,","))&amp;",",","&amp;SUBSTITUTE(input_area_of_focus," ","")&amp;",")))=0)),IF(AM48="",TRUE,IF(input_area_of_focus="",FALSE,SUMPRODUCT(--ISNUMBER(SEARCH(","&amp;TRIM(TEXTSPLIT(AM48,","))&amp;",",","&amp;SUBSTITUTE(input_area_of_focus," ","")&amp;",")))&gt;0)),IF(AO48="",TRUE,IF(input_area_of_focus="",FALSE,SUMPRODUCT(--ISNUMBER(SEARCH(","&amp;TRIM(TEXTSPLIT(AO48,","))&amp;",",","&amp;SUBSTITUTE(input_area_of_focus," ","")&amp;",")))=COUNTA(TEXTSPLIT(AO48,",")))))</f>
        <v/>
      </c>
      <c r="IW48" s="19">
        <f>AND(IF(AQ48="",TRUE,IF(input_audience="",FALSE,SUMPRODUCT(--ISNUMBER(SEARCH(","&amp;TRIM(TEXTSPLIT(AQ48,","))&amp;",",","&amp;SUBSTITUTE(input_audience," ","")&amp;",")))&gt;0)),IF(AS48="",TRUE,IF(input_audience="",FALSE,SUMPRODUCT(--ISNUMBER(SEARCH(","&amp;TRIM(TEXTSPLIT(AS48,","))&amp;",",","&amp;SUBSTITUTE(input_audience," ","")&amp;",")))=COUNTA(TEXTSPLIT(AS48,",")))),IF(AU48="",TRUE,IF(input_audience="",TRUE,SUMPRODUCT(--ISNUMBER(SEARCH(","&amp;TRIM(TEXTSPLIT(AU48,","))&amp;",",","&amp;SUBSTITUTE(input_audience," ","")&amp;",")))=0)),IF(AW48="",TRUE,IF(input_audience="",FALSE,SUMPRODUCT(--ISNUMBER(SEARCH(","&amp;TRIM(TEXTSPLIT(AW48,","))&amp;",",","&amp;SUBSTITUTE(input_audience," ","")&amp;",")))&gt;0)),IF(AY48="",TRUE,IF(input_audience="",FALSE,SUMPRODUCT(--ISNUMBER(SEARCH(","&amp;TRIM(TEXTSPLIT(AY48,","))&amp;",",","&amp;SUBSTITUTE(input_audience," ","")&amp;",")))=COUNTA(TEXTSPLIT(AY48,",")))))</f>
        <v/>
      </c>
      <c r="IX48" s="19">
        <f>AND(IF(BA48="",TRUE,IF(input_challenge_opportunities="",FALSE,SUMPRODUCT(--ISNUMBER(SEARCH(","&amp;TRIM(TEXTSPLIT(BA48,","))&amp;",",","&amp;SUBSTITUTE(input_challenge_opportunities," ","")&amp;",")))&gt;0)),IF(BC48="",TRUE,IF(input_challenge_opportunities="",FALSE,SUMPRODUCT(--ISNUMBER(SEARCH(","&amp;TRIM(TEXTSPLIT(BC48,","))&amp;",",","&amp;SUBSTITUTE(input_challenge_opportunities," ","")&amp;",")))=COUNTA(TEXTSPLIT(BC48,",")))),IF(BE48="",TRUE,IF(input_challenge_opportunities="",TRUE,SUMPRODUCT(--ISNUMBER(SEARCH(","&amp;TRIM(TEXTSPLIT(BE48,","))&amp;",",","&amp;SUBSTITUTE(input_challenge_opportunities," ","")&amp;",")))=0)),IF(BG48="",TRUE,IF(input_challenge_opportunities="",FALSE,SUMPRODUCT(--ISNUMBER(SEARCH(","&amp;TRIM(TEXTSPLIT(BG48,","))&amp;",",","&amp;SUBSTITUTE(input_challenge_opportunities," ","")&amp;",")))&gt;0)),IF(BI48="",TRUE,IF(input_challenge_opportunities="",FALSE,SUMPRODUCT(--ISNUMBER(SEARCH(","&amp;TRIM(TEXTSPLIT(BI48,","))&amp;",",","&amp;SUBSTITUTE(input_challenge_opportunities," ","")&amp;",")))=COUNTA(TEXTSPLIT(BI48,",")))))</f>
        <v/>
      </c>
      <c r="IY48" s="19">
        <f>AND(IF(BK48="",TRUE,IF(input_context="",FALSE,SUMPRODUCT(--ISNUMBER(SEARCH(","&amp;TRIM(TEXTSPLIT(BK48,","))&amp;",",","&amp;SUBSTITUTE(input_context," ","")&amp;",")))&gt;0)),IF(BM48="",TRUE,IF(input_context="",FALSE,SUMPRODUCT(--ISNUMBER(SEARCH(","&amp;TRIM(TEXTSPLIT(BM48,","))&amp;",",","&amp;SUBSTITUTE(input_context," ","")&amp;",")))=COUNTA(TEXTSPLIT(BM48,",")))),IF(BO48="",TRUE,IF(input_context="",TRUE,SUMPRODUCT(--ISNUMBER(SEARCH(","&amp;TRIM(TEXTSPLIT(BO48,","))&amp;",",","&amp;SUBSTITUTE(input_context," ","")&amp;",")))=0)),IF(BQ48="",TRUE,IF(input_context="",FALSE,SUMPRODUCT(--ISNUMBER(SEARCH(","&amp;TRIM(TEXTSPLIT(BQ48,","))&amp;",",","&amp;SUBSTITUTE(input_context," ","")&amp;",")))&gt;0)),IF(BS48="",TRUE,IF(input_context="",FALSE,SUMPRODUCT(--ISNUMBER(SEARCH(","&amp;TRIM(TEXTSPLIT(BS48,","))&amp;",",","&amp;SUBSTITUTE(input_context," ","")&amp;",")))=COUNTA(TEXTSPLIT(BS48,",")))))</f>
        <v/>
      </c>
      <c r="IZ48" s="19">
        <f>AND(IF(BU48="",TRUE,IF(input_enews_announcement_type="",FALSE,SUMPRODUCT(--ISNUMBER(SEARCH(","&amp;TRIM(TEXTSPLIT(BU48,","))&amp;",",","&amp;SUBSTITUTE(input_enews_announcement_type," ","")&amp;",")))&gt;0)),IF(BW48="",TRUE,IF(input_enews_announcement_type="",FALSE,SUMPRODUCT(--ISNUMBER(SEARCH(","&amp;TRIM(TEXTSPLIT(BW48,","))&amp;",",","&amp;SUBSTITUTE(input_enews_announcement_type," ","")&amp;",")))=COUNTA(TEXTSPLIT(BW48,",")))),IF(BY48="",TRUE,IF(input_enews_announcement_type="",TRUE,SUMPRODUCT(--ISNUMBER(SEARCH(","&amp;TRIM(TEXTSPLIT(BY48,","))&amp;",",","&amp;SUBSTITUTE(input_enews_announcement_type," ","")&amp;",")))=0)),IF(CA48="",TRUE,IF(input_enews_announcement_type="",FALSE,SUMPRODUCT(--ISNUMBER(SEARCH(","&amp;TRIM(TEXTSPLIT(CA48,","))&amp;",",","&amp;SUBSTITUTE(input_enews_announcement_type," ","")&amp;",")))&gt;0)),IF(CC48="",TRUE,IF(input_enews_announcement_type="",FALSE,SUMPRODUCT(--ISNUMBER(SEARCH(","&amp;TRIM(TEXTSPLIT(CC48,","))&amp;",",","&amp;SUBSTITUTE(input_enews_announcement_type," ","")&amp;",")))=COUNTA(TEXTSPLIT(CC48,",")))))</f>
        <v/>
      </c>
      <c r="JA48" s="19">
        <f>AND(IF(CE48="",TRUE,IF(input_enews_audience="",FALSE,SUMPRODUCT(--ISNUMBER(SEARCH(","&amp;TRIM(TEXTSPLIT(CE48,","))&amp;",",","&amp;SUBSTITUTE(input_enews_audience," ","")&amp;",")))&gt;0)),IF(CG48="",TRUE,IF(input_enews_audience="",FALSE,SUMPRODUCT(--ISNUMBER(SEARCH(","&amp;TRIM(TEXTSPLIT(CG48,","))&amp;",",","&amp;SUBSTITUTE(input_enews_audience," ","")&amp;",")))=COUNTA(TEXTSPLIT(CG48,",")))),IF(CI48="",TRUE,IF(input_enews_audience="",TRUE,SUMPRODUCT(--ISNUMBER(SEARCH(","&amp;TRIM(TEXTSPLIT(CI48,","))&amp;",",","&amp;SUBSTITUTE(input_enews_audience," ","")&amp;",")))=0)),IF(CK48="",TRUE,IF(input_enews_audience="",FALSE,SUMPRODUCT(--ISNUMBER(SEARCH(","&amp;TRIM(TEXTSPLIT(CK48,","))&amp;",",","&amp;SUBSTITUTE(input_enews_audience," ","")&amp;",")))&gt;0)),IF(CM48="",TRUE,IF(input_enews_audience="",FALSE,SUMPRODUCT(--ISNUMBER(SEARCH(","&amp;TRIM(TEXTSPLIT(CM48,","))&amp;",",","&amp;SUBSTITUTE(input_enews_audience," ","")&amp;",")))=COUNTA(TEXTSPLIT(CM48,",")))))</f>
        <v/>
      </c>
      <c r="JB48" s="19">
        <f>AND(IF(CO48="",TRUE,IF(input_event_location="",FALSE,SUMPRODUCT(--ISNUMBER(SEARCH(","&amp;TRIM(TEXTSPLIT(CO48,","))&amp;",",","&amp;SUBSTITUTE(input_event_location," ","")&amp;",")))&gt;0)),IF(CQ48="",TRUE,IF(input_event_location="",FALSE,SUMPRODUCT(--ISNUMBER(SEARCH(","&amp;TRIM(TEXTSPLIT(CQ48,","))&amp;",",","&amp;SUBSTITUTE(input_event_location," ","")&amp;",")))=COUNTA(TEXTSPLIT(CQ48,",")))),IF(CS48="",TRUE,IF(input_event_location="",TRUE,SUMPRODUCT(--ISNUMBER(SEARCH(","&amp;TRIM(TEXTSPLIT(CS48,","))&amp;",",","&amp;SUBSTITUTE(input_event_location," ","")&amp;",")))=0)),IF(CU48="",TRUE,IF(input_event_location="",FALSE,SUMPRODUCT(--ISNUMBER(SEARCH(","&amp;TRIM(TEXTSPLIT(CU48,","))&amp;",",","&amp;SUBSTITUTE(input_event_location," ","")&amp;",")))&gt;0)),IF(CW48="",TRUE,IF(input_event_location="",FALSE,SUMPRODUCT(--ISNUMBER(SEARCH(","&amp;TRIM(TEXTSPLIT(CW48,","))&amp;",",","&amp;SUBSTITUTE(input_event_location," ","")&amp;",")))=COUNTA(TEXTSPLIT(CW48,",")))))</f>
        <v/>
      </c>
      <c r="JC48" s="19">
        <f>AND(IF(CY48="",TRUE,IF(input_event_type="",FALSE,SUMPRODUCT(--ISNUMBER(SEARCH(","&amp;TRIM(TEXTSPLIT(CY48,","))&amp;",",","&amp;SUBSTITUTE(input_event_type," ","")&amp;",")))&gt;0)),IF(DA48="",TRUE,IF(input_event_type="",FALSE,SUMPRODUCT(--ISNUMBER(SEARCH(","&amp;TRIM(TEXTSPLIT(DA48,","))&amp;",",","&amp;SUBSTITUTE(input_event_type," ","")&amp;",")))=COUNTA(TEXTSPLIT(DA48,",")))),IF(DC48="",TRUE,IF(input_event_type="",TRUE,SUMPRODUCT(--ISNUMBER(SEARCH(","&amp;TRIM(TEXTSPLIT(DC48,","))&amp;",",","&amp;SUBSTITUTE(input_event_type," ","")&amp;",")))=0)),IF(DE48="",TRUE,IF(input_event_type="",FALSE,SUMPRODUCT(--ISNUMBER(SEARCH(","&amp;TRIM(TEXTSPLIT(DE48,","))&amp;",",","&amp;SUBSTITUTE(input_event_type," ","")&amp;",")))&gt;0)),IF(DG48="",TRUE,IF(input_event_type="",FALSE,SUMPRODUCT(--ISNUMBER(SEARCH(","&amp;TRIM(TEXTSPLIT(DG48,","))&amp;",",","&amp;SUBSTITUTE(input_event_type," ","")&amp;",")))=COUNTA(TEXTSPLIT(DG48,",")))))</f>
        <v/>
      </c>
      <c r="JD48" s="19">
        <f>AND(IF(DI48="",TRUE,IF(input_executive_education_focus="",FALSE,SUMPRODUCT(--ISNUMBER(SEARCH(","&amp;TRIM(TEXTSPLIT(DI48,","))&amp;",",","&amp;SUBSTITUTE(input_executive_education_focus," ","")&amp;",")))&gt;0)),IF(DK48="",TRUE,IF(input_executive_education_focus="",FALSE,SUMPRODUCT(--ISNUMBER(SEARCH(","&amp;TRIM(TEXTSPLIT(DK48,","))&amp;",",","&amp;SUBSTITUTE(input_executive_education_focus," ","")&amp;",")))=COUNTA(TEXTSPLIT(DK48,",")))),IF(DM48="",TRUE,IF(input_executive_education_focus="",TRUE,SUMPRODUCT(--ISNUMBER(SEARCH(","&amp;TRIM(TEXTSPLIT(DM48,","))&amp;",",","&amp;SUBSTITUTE(input_executive_education_focus," ","")&amp;",")))=0)),IF(DO48="",TRUE,IF(input_executive_education_focus="",FALSE,SUMPRODUCT(--ISNUMBER(SEARCH(","&amp;TRIM(TEXTSPLIT(DO48,","))&amp;",",","&amp;SUBSTITUTE(input_executive_education_focus," ","")&amp;",")))&gt;0)),IF(DQ48="",TRUE,IF(input_executive_education_focus="",FALSE,SUMPRODUCT(--ISNUMBER(SEARCH(","&amp;TRIM(TEXTSPLIT(DQ48,","))&amp;",",","&amp;SUBSTITUTE(input_executive_education_focus," ","")&amp;",")))=COUNTA(TEXTSPLIT(DQ48,",")))))</f>
        <v/>
      </c>
      <c r="JE48" s="19">
        <f>AND(IF(DS48="",TRUE,IF(input_faculty_category="",FALSE,SUMPRODUCT(--ISNUMBER(SEARCH(","&amp;TRIM(TEXTSPLIT(DS48,","))&amp;",",","&amp;SUBSTITUTE(input_faculty_category," ","")&amp;",")))&gt;0)),IF(DU48="",TRUE,IF(input_faculty_category="",FALSE,SUMPRODUCT(--ISNUMBER(SEARCH(","&amp;TRIM(TEXTSPLIT(DU48,","))&amp;",",","&amp;SUBSTITUTE(input_faculty_category," ","")&amp;",")))=COUNTA(TEXTSPLIT(DU48,",")))),IF(DW48="",TRUE,IF(input_faculty_category="",TRUE,SUMPRODUCT(--ISNUMBER(SEARCH(","&amp;TRIM(TEXTSPLIT(DW48,","))&amp;",",","&amp;SUBSTITUTE(input_faculty_category," ","")&amp;",")))=0)),IF(DY48="",TRUE,IF(input_faculty_category="",FALSE,SUMPRODUCT(--ISNUMBER(SEARCH(","&amp;TRIM(TEXTSPLIT(DY48,","))&amp;",",","&amp;SUBSTITUTE(input_faculty_category," ","")&amp;",")))&gt;0)),IF(EA48="",TRUE,IF(input_faculty_category="",FALSE,SUMPRODUCT(--ISNUMBER(SEARCH(","&amp;TRIM(TEXTSPLIT(EA48,","))&amp;",",","&amp;SUBSTITUTE(input_faculty_category," ","")&amp;",")))=COUNTA(TEXTSPLIT(EA48,",")))))</f>
        <v/>
      </c>
      <c r="JF48" s="19">
        <f>AND(IF(EC48="",TRUE,IF(input_faculty_discipline="",FALSE,SUMPRODUCT(--ISNUMBER(SEARCH(","&amp;TRIM(TEXTSPLIT(EC48,","))&amp;",",","&amp;SUBSTITUTE(input_faculty_discipline," ","")&amp;",")))&gt;0)),IF(EE48="",TRUE,IF(input_faculty_discipline="",FALSE,SUMPRODUCT(--ISNUMBER(SEARCH(","&amp;TRIM(TEXTSPLIT(EE48,","))&amp;",",","&amp;SUBSTITUTE(input_faculty_discipline," ","")&amp;",")))=COUNTA(TEXTSPLIT(EE48,",")))),IF(EG48="",TRUE,IF(input_faculty_discipline="",TRUE,SUMPRODUCT(--ISNUMBER(SEARCH(","&amp;TRIM(TEXTSPLIT(EG48,","))&amp;",",","&amp;SUBSTITUTE(input_faculty_discipline," ","")&amp;",")))=0)),IF(EI48="",TRUE,IF(input_faculty_discipline="",FALSE,SUMPRODUCT(--ISNUMBER(SEARCH(","&amp;TRIM(TEXTSPLIT(EI48,","))&amp;",",","&amp;SUBSTITUTE(input_faculty_discipline," ","")&amp;",")))&gt;0)),IF(EK48="",TRUE,IF(input_faculty_discipline="",FALSE,SUMPRODUCT(--ISNUMBER(SEARCH(","&amp;TRIM(TEXTSPLIT(EK48,","))&amp;",",","&amp;SUBSTITUTE(input_faculty_discipline," ","")&amp;",")))=COUNTA(TEXTSPLIT(EK48,",")))))</f>
        <v/>
      </c>
      <c r="JG48" s="19">
        <f>AND(IF(EM48="",TRUE,IF(input_faculty_expertise="",FALSE,SUMPRODUCT(--ISNUMBER(SEARCH(","&amp;TRIM(TEXTSPLIT(EM48,","))&amp;",",","&amp;SUBSTITUTE(input_faculty_expertise," ","")&amp;",")))&gt;0)),IF(EO48="",TRUE,IF(input_faculty_expertise="",FALSE,SUMPRODUCT(--ISNUMBER(SEARCH(","&amp;TRIM(TEXTSPLIT(EO48,","))&amp;",",","&amp;SUBSTITUTE(input_faculty_expertise," ","")&amp;",")))=COUNTA(TEXTSPLIT(EO48,",")))),IF(EQ48="",TRUE,IF(input_faculty_expertise="",TRUE,SUMPRODUCT(--ISNUMBER(SEARCH(","&amp;TRIM(TEXTSPLIT(EQ48,","))&amp;",",","&amp;SUBSTITUTE(input_faculty_expertise," ","")&amp;",")))=0)),IF(ES48="",TRUE,IF(input_faculty_expertise="",FALSE,SUMPRODUCT(--ISNUMBER(SEARCH(","&amp;TRIM(TEXTSPLIT(ES48,","))&amp;",",","&amp;SUBSTITUTE(input_faculty_expertise," ","")&amp;",")))&gt;0)),IF(EU48="",TRUE,IF(input_faculty_expertise="",FALSE,SUMPRODUCT(--ISNUMBER(SEARCH(","&amp;TRIM(TEXTSPLIT(EU48,","))&amp;",",","&amp;SUBSTITUTE(input_faculty_expertise," ","")&amp;",")))=COUNTA(TEXTSPLIT(EU48,",")))))</f>
        <v/>
      </c>
      <c r="JH48" s="19">
        <f>AND(IF(EW48="",TRUE,IF(input_global_network_school="",FALSE,SUMPRODUCT(--ISNUMBER(SEARCH(","&amp;TRIM(TEXTSPLIT(EW48,","))&amp;",",","&amp;SUBSTITUTE(input_global_network_school," ","")&amp;",")))&gt;0)),IF(EY48="",TRUE,IF(input_global_network_school="",FALSE,SUMPRODUCT(--ISNUMBER(SEARCH(","&amp;TRIM(TEXTSPLIT(EY48,","))&amp;",",","&amp;SUBSTITUTE(input_global_network_school," ","")&amp;",")))=COUNTA(TEXTSPLIT(EY48,",")))),IF(FA48="",TRUE,IF(input_global_network_school="",TRUE,SUMPRODUCT(--ISNUMBER(SEARCH(","&amp;TRIM(TEXTSPLIT(FA48,","))&amp;",",","&amp;SUBSTITUTE(input_global_network_school," ","")&amp;",")))=0)),IF(FC48="",TRUE,IF(input_global_network_school="",FALSE,SUMPRODUCT(--ISNUMBER(SEARCH(","&amp;TRIM(TEXTSPLIT(FC48,","))&amp;",",","&amp;SUBSTITUTE(input_global_network_school," ","")&amp;",")))&gt;0)),IF(FE48="",TRUE,IF(input_global_network_school="",FALSE,SUMPRODUCT(--ISNUMBER(SEARCH(","&amp;TRIM(TEXTSPLIT(FE48,","))&amp;",",","&amp;SUBSTITUTE(input_global_network_school," ","")&amp;",")))=COUNTA(TEXTSPLIT(FE48,",")))))</f>
        <v/>
      </c>
      <c r="JI48" s="19">
        <f>AND(IF(FG48="",TRUE,IF(input_industry="",FALSE,SUMPRODUCT(--ISNUMBER(SEARCH(","&amp;TRIM(TEXTSPLIT(FG48,","))&amp;",",","&amp;SUBSTITUTE(input_industry," ","")&amp;",")))&gt;0)),IF(FI48="",TRUE,IF(input_industry="",FALSE,SUMPRODUCT(--ISNUMBER(SEARCH(","&amp;TRIM(TEXTSPLIT(FI48,","))&amp;",",","&amp;SUBSTITUTE(input_industry," ","")&amp;",")))=COUNTA(TEXTSPLIT(FI48,",")))),IF(FK48="",TRUE,IF(input_industry="",TRUE,SUMPRODUCT(--ISNUMBER(SEARCH(","&amp;TRIM(TEXTSPLIT(FK48,","))&amp;",",","&amp;SUBSTITUTE(input_industry," ","")&amp;",")))=0)),IF(FM48="",TRUE,IF(input_industry="",FALSE,SUMPRODUCT(--ISNUMBER(SEARCH(","&amp;TRIM(TEXTSPLIT(FM48,","))&amp;",",","&amp;SUBSTITUTE(input_industry," ","")&amp;",")))&gt;0)),IF(FO48="",TRUE,IF(input_industry="",FALSE,SUMPRODUCT(--ISNUMBER(SEARCH(","&amp;TRIM(TEXTSPLIT(FO48,","))&amp;",",","&amp;SUBSTITUTE(input_industry," ","")&amp;",")))=COUNTA(TEXTSPLIT(FO48,",")))))</f>
        <v/>
      </c>
      <c r="JJ48" s="19">
        <f>AND(IF(FQ48="",TRUE,IF(input_location="",FALSE,SUMPRODUCT(--ISNUMBER(SEARCH(","&amp;TRIM(TEXTSPLIT(FQ48,","))&amp;",",","&amp;SUBSTITUTE(input_location," ","")&amp;",")))&gt;0)),IF(FS48="",TRUE,IF(input_location="",FALSE,SUMPRODUCT(--ISNUMBER(SEARCH(","&amp;TRIM(TEXTSPLIT(FS48,","))&amp;",",","&amp;SUBSTITUTE(input_location," ","")&amp;",")))=COUNTA(TEXTSPLIT(FS48,",")))),IF(FU48="",TRUE,IF(input_location="",TRUE,SUMPRODUCT(--ISNUMBER(SEARCH(","&amp;TRIM(TEXTSPLIT(FU48,","))&amp;",",","&amp;SUBSTITUTE(input_location," ","")&amp;",")))=0)),IF(FW48="",TRUE,IF(input_location="",FALSE,SUMPRODUCT(--ISNUMBER(SEARCH(","&amp;TRIM(TEXTSPLIT(FW48,","))&amp;",",","&amp;SUBSTITUTE(input_location," ","")&amp;",")))&gt;0)),IF(FY48="",TRUE,IF(input_location="",FALSE,SUMPRODUCT(--ISNUMBER(SEARCH(","&amp;TRIM(TEXTSPLIT(FY48,","))&amp;",",","&amp;SUBSTITUTE(input_location," ","")&amp;",")))=COUNTA(TEXTSPLIT(FY48,",")))))</f>
        <v/>
      </c>
      <c r="JK48" s="19">
        <f>AND(IF(GA48="",TRUE,IF(input_modality="",FALSE,SUMPRODUCT(--ISNUMBER(SEARCH(","&amp;TRIM(TEXTSPLIT(GA48,","))&amp;",",","&amp;SUBSTITUTE(input_modality," ","")&amp;",")))&gt;0)),IF(GC48="",TRUE,IF(input_modality="",FALSE,SUMPRODUCT(--ISNUMBER(SEARCH(","&amp;TRIM(TEXTSPLIT(GC48,","))&amp;",",","&amp;SUBSTITUTE(input_modality," ","")&amp;",")))=COUNTA(TEXTSPLIT(GC48,",")))),IF(GE48="",TRUE,IF(input_modality="",TRUE,SUMPRODUCT(--ISNUMBER(SEARCH(","&amp;TRIM(TEXTSPLIT(GE48,","))&amp;",",","&amp;SUBSTITUTE(input_modality," ","")&amp;",")))=0)),IF(GG48="",TRUE,IF(input_modality="",FALSE,SUMPRODUCT(--ISNUMBER(SEARCH(","&amp;TRIM(TEXTSPLIT(GG48,","))&amp;",",","&amp;SUBSTITUTE(input_modality," ","")&amp;",")))&gt;0)),IF(GI48="",TRUE,IF(input_modality="",FALSE,SUMPRODUCT(--ISNUMBER(SEARCH(","&amp;TRIM(TEXTSPLIT(GI48,","))&amp;",",","&amp;SUBSTITUTE(input_modality," ","")&amp;",")))=COUNTA(TEXTSPLIT(GI48,",")))))</f>
        <v/>
      </c>
      <c r="JL48" s="19">
        <f>AND(IF(GK48="",TRUE,IF(input_organizer="",FALSE,SUMPRODUCT(--ISNUMBER(SEARCH(","&amp;TRIM(TEXTSPLIT(GK48,","))&amp;",",","&amp;SUBSTITUTE(input_organizer," ","")&amp;",")))&gt;0)),IF(GM48="",TRUE,IF(input_organizer="",FALSE,SUMPRODUCT(--ISNUMBER(SEARCH(","&amp;TRIM(TEXTSPLIT(GM48,","))&amp;",",","&amp;SUBSTITUTE(input_organizer," ","")&amp;",")))=COUNTA(TEXTSPLIT(GM48,",")))),IF(GO48="",TRUE,IF(input_organizer="",TRUE,SUMPRODUCT(--ISNUMBER(SEARCH(","&amp;TRIM(TEXTSPLIT(GO48,","))&amp;",",","&amp;SUBSTITUTE(input_organizer," ","")&amp;",")))=0)),IF(GQ48="",TRUE,IF(input_organizer="",FALSE,SUMPRODUCT(--ISNUMBER(SEARCH(","&amp;TRIM(TEXTSPLIT(GQ48,","))&amp;",",","&amp;SUBSTITUTE(input_organizer," ","")&amp;",")))&gt;0)),IF(GS48="",TRUE,IF(input_organizer="",FALSE,SUMPRODUCT(--ISNUMBER(SEARCH(","&amp;TRIM(TEXTSPLIT(GS48,","))&amp;",",","&amp;SUBSTITUTE(input_organizer," ","")&amp;",")))=COUNTA(TEXTSPLIT(GS48,",")))))</f>
        <v/>
      </c>
      <c r="JM48" s="19">
        <f>AND(IF(GU48="",TRUE,IF(input_profile_type="",FALSE,SUMPRODUCT(--ISNUMBER(SEARCH(","&amp;TRIM(TEXTSPLIT(GU48,","))&amp;",",","&amp;SUBSTITUTE(input_profile_type," ","")&amp;",")))&gt;0)),IF(GW48="",TRUE,IF(input_profile_type="",FALSE,SUMPRODUCT(--ISNUMBER(SEARCH(","&amp;TRIM(TEXTSPLIT(GW48,","))&amp;",",","&amp;SUBSTITUTE(input_profile_type," ","")&amp;",")))=COUNTA(TEXTSPLIT(GW48,",")))),IF(GY48="",TRUE,IF(input_profile_type="",TRUE,SUMPRODUCT(--ISNUMBER(SEARCH(","&amp;TRIM(TEXTSPLIT(GY48,","))&amp;",",","&amp;SUBSTITUTE(input_profile_type," ","")&amp;",")))=0)),IF(HA48="",TRUE,IF(input_profile_type="",FALSE,SUMPRODUCT(--ISNUMBER(SEARCH(","&amp;TRIM(TEXTSPLIT(HA48,","))&amp;",",","&amp;SUBSTITUTE(input_profile_type," ","")&amp;",")))&gt;0)),IF(HC48="",TRUE,IF(input_profile_type="",FALSE,SUMPRODUCT(--ISNUMBER(SEARCH(","&amp;TRIM(TEXTSPLIT(HC48,","))&amp;",",","&amp;SUBSTITUTE(input_profile_type," ","")&amp;",")))=COUNTA(TEXTSPLIT(HC48,",")))))</f>
        <v/>
      </c>
      <c r="JN48" s="19">
        <f>AND(IF(HE48="",TRUE,IF(input_program="",FALSE,SUMPRODUCT(--ISNUMBER(SEARCH(","&amp;TRIM(TEXTSPLIT(HE48,","))&amp;",",","&amp;SUBSTITUTE(input_program," ","")&amp;",")))&gt;0)),IF(HG48="",TRUE,IF(input_program="",FALSE,SUMPRODUCT(--ISNUMBER(SEARCH(","&amp;TRIM(TEXTSPLIT(HG48,","))&amp;",",","&amp;SUBSTITUTE(input_program," ","")&amp;",")))=COUNTA(TEXTSPLIT(HG48,",")))),IF(HI48="",TRUE,IF(input_program="",TRUE,SUMPRODUCT(--ISNUMBER(SEARCH(","&amp;TRIM(TEXTSPLIT(HI48,","))&amp;",",","&amp;SUBSTITUTE(input_program," ","")&amp;",")))=0)),IF(HK48="",TRUE,IF(input_program="",FALSE,SUMPRODUCT(--ISNUMBER(SEARCH(","&amp;TRIM(TEXTSPLIT(HK48,","))&amp;",",","&amp;SUBSTITUTE(input_program," ","")&amp;",")))&gt;0)),IF(HM48="",TRUE,IF(input_program="",FALSE,SUMPRODUCT(--ISNUMBER(SEARCH(","&amp;TRIM(TEXTSPLIT(HM48,","))&amp;",",","&amp;SUBSTITUTE(input_program," ","")&amp;",")))=COUNTA(TEXTSPLIT(HM48,",")))))</f>
        <v/>
      </c>
      <c r="JO48" s="19">
        <f>AND(IF(HO48="",TRUE,IF(input_story_categories="",FALSE,SUMPRODUCT(--ISNUMBER(SEARCH(","&amp;TRIM(TEXTSPLIT(HO48,","))&amp;",",","&amp;SUBSTITUTE(input_story_categories," ","")&amp;",")))&gt;0)),IF(HQ48="",TRUE,IF(input_story_categories="",FALSE,SUMPRODUCT(--ISNUMBER(SEARCH(","&amp;TRIM(TEXTSPLIT(HQ48,","))&amp;",",","&amp;SUBSTITUTE(input_story_categories," ","")&amp;",")))=COUNTA(TEXTSPLIT(HQ48,",")))),IF(HS48="",TRUE,IF(input_story_categories="",TRUE,SUMPRODUCT(--ISNUMBER(SEARCH(","&amp;TRIM(TEXTSPLIT(HS48,","))&amp;",",","&amp;SUBSTITUTE(input_story_categories," ","")&amp;",")))=0)),IF(HU48="",TRUE,IF(input_story_categories="",FALSE,SUMPRODUCT(--ISNUMBER(SEARCH(","&amp;TRIM(TEXTSPLIT(HU48,","))&amp;",",","&amp;SUBSTITUTE(input_story_categories," ","")&amp;",")))&gt;0)),IF(HW48="",TRUE,IF(input_story_categories="",FALSE,SUMPRODUCT(--ISNUMBER(SEARCH(","&amp;TRIM(TEXTSPLIT(HW48,","))&amp;",",","&amp;SUBSTITUTE(input_story_categories," ","")&amp;",")))=COUNTA(TEXTSPLIT(HW48,",")))))</f>
        <v/>
      </c>
      <c r="JP48" s="19">
        <f>AND(IF(HY48="",TRUE,IF(input_story_type="",FALSE,SUMPRODUCT(--ISNUMBER(SEARCH(","&amp;TRIM(TEXTSPLIT(HY48,","))&amp;",",","&amp;SUBSTITUTE(input_story_type," ","")&amp;",")))&gt;0)),IF(IA48="",TRUE,IF(input_story_type="",FALSE,SUMPRODUCT(--ISNUMBER(SEARCH(","&amp;TRIM(TEXTSPLIT(IA48,","))&amp;",",","&amp;SUBSTITUTE(input_story_type," ","")&amp;",")))=COUNTA(TEXTSPLIT(IA48,",")))),IF(IC48="",TRUE,IF(input_story_type="",TRUE,SUMPRODUCT(--ISNUMBER(SEARCH(","&amp;TRIM(TEXTSPLIT(IC48,","))&amp;",",","&amp;SUBSTITUTE(input_story_type," ","")&amp;",")))=0)),IF(IE48="",TRUE,IF(input_story_type="",FALSE,SUMPRODUCT(--ISNUMBER(SEARCH(","&amp;TRIM(TEXTSPLIT(IE48,","))&amp;",",","&amp;SUBSTITUTE(input_story_type," ","")&amp;",")))&gt;0)),IF(IG48="",TRUE,IF(input_story_type="",FALSE,SUMPRODUCT(--ISNUMBER(SEARCH(","&amp;TRIM(TEXTSPLIT(IG48,","))&amp;",",","&amp;SUBSTITUTE(input_story_type," ","")&amp;",")))=COUNTA(TEXTSPLIT(IG48,",")))))</f>
        <v/>
      </c>
      <c r="JQ48" s="19">
        <f>AND(IF(II48="",TRUE,IF(input_topics="",FALSE,SUMPRODUCT(--ISNUMBER(SEARCH(","&amp;TRIM(TEXTSPLIT(II48,","))&amp;",",","&amp;SUBSTITUTE(input_topics," ","")&amp;",")))&gt;0)),IF(IK48="",TRUE,IF(input_topics="",FALSE,SUMPRODUCT(--ISNUMBER(SEARCH(","&amp;TRIM(TEXTSPLIT(IK48,","))&amp;",",","&amp;SUBSTITUTE(input_topics," ","")&amp;",")))=COUNTA(TEXTSPLIT(IK48,",")))),IF(IM48="",TRUE,IF(input_topics="",TRUE,SUMPRODUCT(--ISNUMBER(SEARCH(","&amp;TRIM(TEXTSPLIT(IM48,","))&amp;",",","&amp;SUBSTITUTE(input_topics," ","")&amp;",")))=0)),IF(IO48="",TRUE,IF(input_topics="",FALSE,SUMPRODUCT(--ISNUMBER(SEARCH(","&amp;TRIM(TEXTSPLIT(IO48,","))&amp;",",","&amp;SUBSTITUTE(input_topics," ","")&amp;",")))&gt;0)),IF(IQ48="",TRUE,IF(input_topics="",FALSE,SUMPRODUCT(--ISNUMBER(SEARCH(","&amp;TRIM(TEXTSPLIT(IQ48,","))&amp;",",","&amp;SUBSTITUTE(input_topics," ","")&amp;",")))=COUNTA(TEXTSPLIT(IQ48,",")))))</f>
        <v/>
      </c>
    </row>
    <row r="49">
      <c r="A49" s="24">
        <f>IF(NOT(IS49),"Excluded",IF(AND(IT49,IU49,IV49,IW49,IX49,IY49,IZ49,JA49,JB49,JC49,JD49,JE49,JF49,JG49,JH49,JI49,JJ49,JK49,JL49,JM49,JN49,JO49,JP49,JQ49),IF(I49&gt;0,"Eligible but limited","Will appear"),"Excluded"))</f>
        <v/>
      </c>
      <c r="B49" s="24" t="inlineStr">
        <is>
          <t>All Publications by Author</t>
        </is>
      </c>
      <c r="C49" s="27" t="inlineStr">
        <is>
          <t>/faculty-research/faculty-directory/shane-frederick</t>
        </is>
      </c>
      <c r="D49" s="24" t="inlineStr">
        <is>
          <t>/faculty-research/faculty-directory/shane-frederick</t>
        </is>
      </c>
      <c r="E49" s="24" t="n">
        <v>1</v>
      </c>
      <c r="F49" s="24" t="inlineStr">
        <is>
          <t>publications</t>
        </is>
      </c>
      <c r="G49" s="24" t="inlineStr">
        <is>
          <t>publication_teaser_list</t>
        </is>
      </c>
      <c r="H49" s="24" t="inlineStr">
        <is>
          <t>publication_teaser_list_all_by_author</t>
        </is>
      </c>
      <c r="I49" s="24" t="n"/>
      <c r="J49" s="24" t="inlineStr">
        <is>
          <t>View/config rules</t>
        </is>
      </c>
      <c r="K49" s="24" t="inlineStr">
        <is>
          <t>Page placement</t>
        </is>
      </c>
      <c r="L49" s="24" t="inlineStr">
        <is>
          <t>Content type: publications; Source: View/config rules</t>
        </is>
      </c>
      <c r="IS49" s="19">
        <f>IF(input_content_type="",FALSE,ISNUMBER(SEARCH(","&amp;LOWER(input_content_type)&amp;",",","&amp;LOWER(SUBSTITUTE(F49," ",""))&amp;",")))</f>
        <v/>
      </c>
      <c r="IT49" s="19">
        <f>AND(IF(M49="",TRUE,IF(input_affiliations="",FALSE,SUMPRODUCT(--ISNUMBER(SEARCH(","&amp;TRIM(TEXTSPLIT(M49,","))&amp;",",","&amp;SUBSTITUTE(input_affiliations," ","")&amp;",")))&gt;0)),IF(O49="",TRUE,IF(input_affiliations="",FALSE,SUMPRODUCT(--ISNUMBER(SEARCH(","&amp;TRIM(TEXTSPLIT(O49,","))&amp;",",","&amp;SUBSTITUTE(input_affiliations," ","")&amp;",")))=COUNTA(TEXTSPLIT(O49,",")))),IF(Q49="",TRUE,IF(input_affiliations="",TRUE,SUMPRODUCT(--ISNUMBER(SEARCH(","&amp;TRIM(TEXTSPLIT(Q49,","))&amp;",",","&amp;SUBSTITUTE(input_affiliations," ","")&amp;",")))=0)),IF(S49="",TRUE,IF(input_affiliations="",FALSE,SUMPRODUCT(--ISNUMBER(SEARCH(","&amp;TRIM(TEXTSPLIT(S49,","))&amp;",",","&amp;SUBSTITUTE(input_affiliations," ","")&amp;",")))&gt;0)),IF(U49="",TRUE,IF(input_affiliations="",FALSE,SUMPRODUCT(--ISNUMBER(SEARCH(","&amp;TRIM(TEXTSPLIT(U49,","))&amp;",",","&amp;SUBSTITUTE(input_affiliations," ","")&amp;",")))=COUNTA(TEXTSPLIT(U49,",")))))</f>
        <v/>
      </c>
      <c r="IU49" s="19">
        <f>AND(IF(W49="",TRUE,IF(input_announcement_category="",FALSE,SUMPRODUCT(--ISNUMBER(SEARCH(","&amp;TRIM(TEXTSPLIT(W49,","))&amp;",",","&amp;SUBSTITUTE(input_announcement_category," ","")&amp;",")))&gt;0)),IF(Y49="",TRUE,IF(input_announcement_category="",FALSE,SUMPRODUCT(--ISNUMBER(SEARCH(","&amp;TRIM(TEXTSPLIT(Y49,","))&amp;",",","&amp;SUBSTITUTE(input_announcement_category," ","")&amp;",")))=COUNTA(TEXTSPLIT(Y49,",")))),IF(AA49="",TRUE,IF(input_announcement_category="",TRUE,SUMPRODUCT(--ISNUMBER(SEARCH(","&amp;TRIM(TEXTSPLIT(AA49,","))&amp;",",","&amp;SUBSTITUTE(input_announcement_category," ","")&amp;",")))=0)),IF(AC49="",TRUE,IF(input_announcement_category="",FALSE,SUMPRODUCT(--ISNUMBER(SEARCH(","&amp;TRIM(TEXTSPLIT(AC49,","))&amp;",",","&amp;SUBSTITUTE(input_announcement_category," ","")&amp;",")))&gt;0)),IF(AE49="",TRUE,IF(input_announcement_category="",FALSE,SUMPRODUCT(--ISNUMBER(SEARCH(","&amp;TRIM(TEXTSPLIT(AE49,","))&amp;",",","&amp;SUBSTITUTE(input_announcement_category," ","")&amp;",")))=COUNTA(TEXTSPLIT(AE49,",")))))</f>
        <v/>
      </c>
      <c r="IV49" s="19">
        <f>AND(IF(AG49="",TRUE,IF(input_area_of_focus="",FALSE,SUMPRODUCT(--ISNUMBER(SEARCH(","&amp;TRIM(TEXTSPLIT(AG49,","))&amp;",",","&amp;SUBSTITUTE(input_area_of_focus," ","")&amp;",")))&gt;0)),IF(AI49="",TRUE,IF(input_area_of_focus="",FALSE,SUMPRODUCT(--ISNUMBER(SEARCH(","&amp;TRIM(TEXTSPLIT(AI49,","))&amp;",",","&amp;SUBSTITUTE(input_area_of_focus," ","")&amp;",")))=COUNTA(TEXTSPLIT(AI49,",")))),IF(AK49="",TRUE,IF(input_area_of_focus="",TRUE,SUMPRODUCT(--ISNUMBER(SEARCH(","&amp;TRIM(TEXTSPLIT(AK49,","))&amp;",",","&amp;SUBSTITUTE(input_area_of_focus," ","")&amp;",")))=0)),IF(AM49="",TRUE,IF(input_area_of_focus="",FALSE,SUMPRODUCT(--ISNUMBER(SEARCH(","&amp;TRIM(TEXTSPLIT(AM49,","))&amp;",",","&amp;SUBSTITUTE(input_area_of_focus," ","")&amp;",")))&gt;0)),IF(AO49="",TRUE,IF(input_area_of_focus="",FALSE,SUMPRODUCT(--ISNUMBER(SEARCH(","&amp;TRIM(TEXTSPLIT(AO49,","))&amp;",",","&amp;SUBSTITUTE(input_area_of_focus," ","")&amp;",")))=COUNTA(TEXTSPLIT(AO49,",")))))</f>
        <v/>
      </c>
      <c r="IW49" s="19">
        <f>AND(IF(AQ49="",TRUE,IF(input_audience="",FALSE,SUMPRODUCT(--ISNUMBER(SEARCH(","&amp;TRIM(TEXTSPLIT(AQ49,","))&amp;",",","&amp;SUBSTITUTE(input_audience," ","")&amp;",")))&gt;0)),IF(AS49="",TRUE,IF(input_audience="",FALSE,SUMPRODUCT(--ISNUMBER(SEARCH(","&amp;TRIM(TEXTSPLIT(AS49,","))&amp;",",","&amp;SUBSTITUTE(input_audience," ","")&amp;",")))=COUNTA(TEXTSPLIT(AS49,",")))),IF(AU49="",TRUE,IF(input_audience="",TRUE,SUMPRODUCT(--ISNUMBER(SEARCH(","&amp;TRIM(TEXTSPLIT(AU49,","))&amp;",",","&amp;SUBSTITUTE(input_audience," ","")&amp;",")))=0)),IF(AW49="",TRUE,IF(input_audience="",FALSE,SUMPRODUCT(--ISNUMBER(SEARCH(","&amp;TRIM(TEXTSPLIT(AW49,","))&amp;",",","&amp;SUBSTITUTE(input_audience," ","")&amp;",")))&gt;0)),IF(AY49="",TRUE,IF(input_audience="",FALSE,SUMPRODUCT(--ISNUMBER(SEARCH(","&amp;TRIM(TEXTSPLIT(AY49,","))&amp;",",","&amp;SUBSTITUTE(input_audience," ","")&amp;",")))=COUNTA(TEXTSPLIT(AY49,",")))))</f>
        <v/>
      </c>
      <c r="IX49" s="19">
        <f>AND(IF(BA49="",TRUE,IF(input_challenge_opportunities="",FALSE,SUMPRODUCT(--ISNUMBER(SEARCH(","&amp;TRIM(TEXTSPLIT(BA49,","))&amp;",",","&amp;SUBSTITUTE(input_challenge_opportunities," ","")&amp;",")))&gt;0)),IF(BC49="",TRUE,IF(input_challenge_opportunities="",FALSE,SUMPRODUCT(--ISNUMBER(SEARCH(","&amp;TRIM(TEXTSPLIT(BC49,","))&amp;",",","&amp;SUBSTITUTE(input_challenge_opportunities," ","")&amp;",")))=COUNTA(TEXTSPLIT(BC49,",")))),IF(BE49="",TRUE,IF(input_challenge_opportunities="",TRUE,SUMPRODUCT(--ISNUMBER(SEARCH(","&amp;TRIM(TEXTSPLIT(BE49,","))&amp;",",","&amp;SUBSTITUTE(input_challenge_opportunities," ","")&amp;",")))=0)),IF(BG49="",TRUE,IF(input_challenge_opportunities="",FALSE,SUMPRODUCT(--ISNUMBER(SEARCH(","&amp;TRIM(TEXTSPLIT(BG49,","))&amp;",",","&amp;SUBSTITUTE(input_challenge_opportunities," ","")&amp;",")))&gt;0)),IF(BI49="",TRUE,IF(input_challenge_opportunities="",FALSE,SUMPRODUCT(--ISNUMBER(SEARCH(","&amp;TRIM(TEXTSPLIT(BI49,","))&amp;",",","&amp;SUBSTITUTE(input_challenge_opportunities," ","")&amp;",")))=COUNTA(TEXTSPLIT(BI49,",")))))</f>
        <v/>
      </c>
      <c r="IY49" s="19">
        <f>AND(IF(BK49="",TRUE,IF(input_context="",FALSE,SUMPRODUCT(--ISNUMBER(SEARCH(","&amp;TRIM(TEXTSPLIT(BK49,","))&amp;",",","&amp;SUBSTITUTE(input_context," ","")&amp;",")))&gt;0)),IF(BM49="",TRUE,IF(input_context="",FALSE,SUMPRODUCT(--ISNUMBER(SEARCH(","&amp;TRIM(TEXTSPLIT(BM49,","))&amp;",",","&amp;SUBSTITUTE(input_context," ","")&amp;",")))=COUNTA(TEXTSPLIT(BM49,",")))),IF(BO49="",TRUE,IF(input_context="",TRUE,SUMPRODUCT(--ISNUMBER(SEARCH(","&amp;TRIM(TEXTSPLIT(BO49,","))&amp;",",","&amp;SUBSTITUTE(input_context," ","")&amp;",")))=0)),IF(BQ49="",TRUE,IF(input_context="",FALSE,SUMPRODUCT(--ISNUMBER(SEARCH(","&amp;TRIM(TEXTSPLIT(BQ49,","))&amp;",",","&amp;SUBSTITUTE(input_context," ","")&amp;",")))&gt;0)),IF(BS49="",TRUE,IF(input_context="",FALSE,SUMPRODUCT(--ISNUMBER(SEARCH(","&amp;TRIM(TEXTSPLIT(BS49,","))&amp;",",","&amp;SUBSTITUTE(input_context," ","")&amp;",")))=COUNTA(TEXTSPLIT(BS49,",")))))</f>
        <v/>
      </c>
      <c r="IZ49" s="19">
        <f>AND(IF(BU49="",TRUE,IF(input_enews_announcement_type="",FALSE,SUMPRODUCT(--ISNUMBER(SEARCH(","&amp;TRIM(TEXTSPLIT(BU49,","))&amp;",",","&amp;SUBSTITUTE(input_enews_announcement_type," ","")&amp;",")))&gt;0)),IF(BW49="",TRUE,IF(input_enews_announcement_type="",FALSE,SUMPRODUCT(--ISNUMBER(SEARCH(","&amp;TRIM(TEXTSPLIT(BW49,","))&amp;",",","&amp;SUBSTITUTE(input_enews_announcement_type," ","")&amp;",")))=COUNTA(TEXTSPLIT(BW49,",")))),IF(BY49="",TRUE,IF(input_enews_announcement_type="",TRUE,SUMPRODUCT(--ISNUMBER(SEARCH(","&amp;TRIM(TEXTSPLIT(BY49,","))&amp;",",","&amp;SUBSTITUTE(input_enews_announcement_type," ","")&amp;",")))=0)),IF(CA49="",TRUE,IF(input_enews_announcement_type="",FALSE,SUMPRODUCT(--ISNUMBER(SEARCH(","&amp;TRIM(TEXTSPLIT(CA49,","))&amp;",",","&amp;SUBSTITUTE(input_enews_announcement_type," ","")&amp;",")))&gt;0)),IF(CC49="",TRUE,IF(input_enews_announcement_type="",FALSE,SUMPRODUCT(--ISNUMBER(SEARCH(","&amp;TRIM(TEXTSPLIT(CC49,","))&amp;",",","&amp;SUBSTITUTE(input_enews_announcement_type," ","")&amp;",")))=COUNTA(TEXTSPLIT(CC49,",")))))</f>
        <v/>
      </c>
      <c r="JA49" s="19">
        <f>AND(IF(CE49="",TRUE,IF(input_enews_audience="",FALSE,SUMPRODUCT(--ISNUMBER(SEARCH(","&amp;TRIM(TEXTSPLIT(CE49,","))&amp;",",","&amp;SUBSTITUTE(input_enews_audience," ","")&amp;",")))&gt;0)),IF(CG49="",TRUE,IF(input_enews_audience="",FALSE,SUMPRODUCT(--ISNUMBER(SEARCH(","&amp;TRIM(TEXTSPLIT(CG49,","))&amp;",",","&amp;SUBSTITUTE(input_enews_audience," ","")&amp;",")))=COUNTA(TEXTSPLIT(CG49,",")))),IF(CI49="",TRUE,IF(input_enews_audience="",TRUE,SUMPRODUCT(--ISNUMBER(SEARCH(","&amp;TRIM(TEXTSPLIT(CI49,","))&amp;",",","&amp;SUBSTITUTE(input_enews_audience," ","")&amp;",")))=0)),IF(CK49="",TRUE,IF(input_enews_audience="",FALSE,SUMPRODUCT(--ISNUMBER(SEARCH(","&amp;TRIM(TEXTSPLIT(CK49,","))&amp;",",","&amp;SUBSTITUTE(input_enews_audience," ","")&amp;",")))&gt;0)),IF(CM49="",TRUE,IF(input_enews_audience="",FALSE,SUMPRODUCT(--ISNUMBER(SEARCH(","&amp;TRIM(TEXTSPLIT(CM49,","))&amp;",",","&amp;SUBSTITUTE(input_enews_audience," ","")&amp;",")))=COUNTA(TEXTSPLIT(CM49,",")))))</f>
        <v/>
      </c>
      <c r="JB49" s="19">
        <f>AND(IF(CO49="",TRUE,IF(input_event_location="",FALSE,SUMPRODUCT(--ISNUMBER(SEARCH(","&amp;TRIM(TEXTSPLIT(CO49,","))&amp;",",","&amp;SUBSTITUTE(input_event_location," ","")&amp;",")))&gt;0)),IF(CQ49="",TRUE,IF(input_event_location="",FALSE,SUMPRODUCT(--ISNUMBER(SEARCH(","&amp;TRIM(TEXTSPLIT(CQ49,","))&amp;",",","&amp;SUBSTITUTE(input_event_location," ","")&amp;",")))=COUNTA(TEXTSPLIT(CQ49,",")))),IF(CS49="",TRUE,IF(input_event_location="",TRUE,SUMPRODUCT(--ISNUMBER(SEARCH(","&amp;TRIM(TEXTSPLIT(CS49,","))&amp;",",","&amp;SUBSTITUTE(input_event_location," ","")&amp;",")))=0)),IF(CU49="",TRUE,IF(input_event_location="",FALSE,SUMPRODUCT(--ISNUMBER(SEARCH(","&amp;TRIM(TEXTSPLIT(CU49,","))&amp;",",","&amp;SUBSTITUTE(input_event_location," ","")&amp;",")))&gt;0)),IF(CW49="",TRUE,IF(input_event_location="",FALSE,SUMPRODUCT(--ISNUMBER(SEARCH(","&amp;TRIM(TEXTSPLIT(CW49,","))&amp;",",","&amp;SUBSTITUTE(input_event_location," ","")&amp;",")))=COUNTA(TEXTSPLIT(CW49,",")))))</f>
        <v/>
      </c>
      <c r="JC49" s="19">
        <f>AND(IF(CY49="",TRUE,IF(input_event_type="",FALSE,SUMPRODUCT(--ISNUMBER(SEARCH(","&amp;TRIM(TEXTSPLIT(CY49,","))&amp;",",","&amp;SUBSTITUTE(input_event_type," ","")&amp;",")))&gt;0)),IF(DA49="",TRUE,IF(input_event_type="",FALSE,SUMPRODUCT(--ISNUMBER(SEARCH(","&amp;TRIM(TEXTSPLIT(DA49,","))&amp;",",","&amp;SUBSTITUTE(input_event_type," ","")&amp;",")))=COUNTA(TEXTSPLIT(DA49,",")))),IF(DC49="",TRUE,IF(input_event_type="",TRUE,SUMPRODUCT(--ISNUMBER(SEARCH(","&amp;TRIM(TEXTSPLIT(DC49,","))&amp;",",","&amp;SUBSTITUTE(input_event_type," ","")&amp;",")))=0)),IF(DE49="",TRUE,IF(input_event_type="",FALSE,SUMPRODUCT(--ISNUMBER(SEARCH(","&amp;TRIM(TEXTSPLIT(DE49,","))&amp;",",","&amp;SUBSTITUTE(input_event_type," ","")&amp;",")))&gt;0)),IF(DG49="",TRUE,IF(input_event_type="",FALSE,SUMPRODUCT(--ISNUMBER(SEARCH(","&amp;TRIM(TEXTSPLIT(DG49,","))&amp;",",","&amp;SUBSTITUTE(input_event_type," ","")&amp;",")))=COUNTA(TEXTSPLIT(DG49,",")))))</f>
        <v/>
      </c>
      <c r="JD49" s="19">
        <f>AND(IF(DI49="",TRUE,IF(input_executive_education_focus="",FALSE,SUMPRODUCT(--ISNUMBER(SEARCH(","&amp;TRIM(TEXTSPLIT(DI49,","))&amp;",",","&amp;SUBSTITUTE(input_executive_education_focus," ","")&amp;",")))&gt;0)),IF(DK49="",TRUE,IF(input_executive_education_focus="",FALSE,SUMPRODUCT(--ISNUMBER(SEARCH(","&amp;TRIM(TEXTSPLIT(DK49,","))&amp;",",","&amp;SUBSTITUTE(input_executive_education_focus," ","")&amp;",")))=COUNTA(TEXTSPLIT(DK49,",")))),IF(DM49="",TRUE,IF(input_executive_education_focus="",TRUE,SUMPRODUCT(--ISNUMBER(SEARCH(","&amp;TRIM(TEXTSPLIT(DM49,","))&amp;",",","&amp;SUBSTITUTE(input_executive_education_focus," ","")&amp;",")))=0)),IF(DO49="",TRUE,IF(input_executive_education_focus="",FALSE,SUMPRODUCT(--ISNUMBER(SEARCH(","&amp;TRIM(TEXTSPLIT(DO49,","))&amp;",",","&amp;SUBSTITUTE(input_executive_education_focus," ","")&amp;",")))&gt;0)),IF(DQ49="",TRUE,IF(input_executive_education_focus="",FALSE,SUMPRODUCT(--ISNUMBER(SEARCH(","&amp;TRIM(TEXTSPLIT(DQ49,","))&amp;",",","&amp;SUBSTITUTE(input_executive_education_focus," ","")&amp;",")))=COUNTA(TEXTSPLIT(DQ49,",")))))</f>
        <v/>
      </c>
      <c r="JE49" s="19">
        <f>AND(IF(DS49="",TRUE,IF(input_faculty_category="",FALSE,SUMPRODUCT(--ISNUMBER(SEARCH(","&amp;TRIM(TEXTSPLIT(DS49,","))&amp;",",","&amp;SUBSTITUTE(input_faculty_category," ","")&amp;",")))&gt;0)),IF(DU49="",TRUE,IF(input_faculty_category="",FALSE,SUMPRODUCT(--ISNUMBER(SEARCH(","&amp;TRIM(TEXTSPLIT(DU49,","))&amp;",",","&amp;SUBSTITUTE(input_faculty_category," ","")&amp;",")))=COUNTA(TEXTSPLIT(DU49,",")))),IF(DW49="",TRUE,IF(input_faculty_category="",TRUE,SUMPRODUCT(--ISNUMBER(SEARCH(","&amp;TRIM(TEXTSPLIT(DW49,","))&amp;",",","&amp;SUBSTITUTE(input_faculty_category," ","")&amp;",")))=0)),IF(DY49="",TRUE,IF(input_faculty_category="",FALSE,SUMPRODUCT(--ISNUMBER(SEARCH(","&amp;TRIM(TEXTSPLIT(DY49,","))&amp;",",","&amp;SUBSTITUTE(input_faculty_category," ","")&amp;",")))&gt;0)),IF(EA49="",TRUE,IF(input_faculty_category="",FALSE,SUMPRODUCT(--ISNUMBER(SEARCH(","&amp;TRIM(TEXTSPLIT(EA49,","))&amp;",",","&amp;SUBSTITUTE(input_faculty_category," ","")&amp;",")))=COUNTA(TEXTSPLIT(EA49,",")))))</f>
        <v/>
      </c>
      <c r="JF49" s="19">
        <f>AND(IF(EC49="",TRUE,IF(input_faculty_discipline="",FALSE,SUMPRODUCT(--ISNUMBER(SEARCH(","&amp;TRIM(TEXTSPLIT(EC49,","))&amp;",",","&amp;SUBSTITUTE(input_faculty_discipline," ","")&amp;",")))&gt;0)),IF(EE49="",TRUE,IF(input_faculty_discipline="",FALSE,SUMPRODUCT(--ISNUMBER(SEARCH(","&amp;TRIM(TEXTSPLIT(EE49,","))&amp;",",","&amp;SUBSTITUTE(input_faculty_discipline," ","")&amp;",")))=COUNTA(TEXTSPLIT(EE49,",")))),IF(EG49="",TRUE,IF(input_faculty_discipline="",TRUE,SUMPRODUCT(--ISNUMBER(SEARCH(","&amp;TRIM(TEXTSPLIT(EG49,","))&amp;",",","&amp;SUBSTITUTE(input_faculty_discipline," ","")&amp;",")))=0)),IF(EI49="",TRUE,IF(input_faculty_discipline="",FALSE,SUMPRODUCT(--ISNUMBER(SEARCH(","&amp;TRIM(TEXTSPLIT(EI49,","))&amp;",",","&amp;SUBSTITUTE(input_faculty_discipline," ","")&amp;",")))&gt;0)),IF(EK49="",TRUE,IF(input_faculty_discipline="",FALSE,SUMPRODUCT(--ISNUMBER(SEARCH(","&amp;TRIM(TEXTSPLIT(EK49,","))&amp;",",","&amp;SUBSTITUTE(input_faculty_discipline," ","")&amp;",")))=COUNTA(TEXTSPLIT(EK49,",")))))</f>
        <v/>
      </c>
      <c r="JG49" s="19">
        <f>AND(IF(EM49="",TRUE,IF(input_faculty_expertise="",FALSE,SUMPRODUCT(--ISNUMBER(SEARCH(","&amp;TRIM(TEXTSPLIT(EM49,","))&amp;",",","&amp;SUBSTITUTE(input_faculty_expertise," ","")&amp;",")))&gt;0)),IF(EO49="",TRUE,IF(input_faculty_expertise="",FALSE,SUMPRODUCT(--ISNUMBER(SEARCH(","&amp;TRIM(TEXTSPLIT(EO49,","))&amp;",",","&amp;SUBSTITUTE(input_faculty_expertise," ","")&amp;",")))=COUNTA(TEXTSPLIT(EO49,",")))),IF(EQ49="",TRUE,IF(input_faculty_expertise="",TRUE,SUMPRODUCT(--ISNUMBER(SEARCH(","&amp;TRIM(TEXTSPLIT(EQ49,","))&amp;",",","&amp;SUBSTITUTE(input_faculty_expertise," ","")&amp;",")))=0)),IF(ES49="",TRUE,IF(input_faculty_expertise="",FALSE,SUMPRODUCT(--ISNUMBER(SEARCH(","&amp;TRIM(TEXTSPLIT(ES49,","))&amp;",",","&amp;SUBSTITUTE(input_faculty_expertise," ","")&amp;",")))&gt;0)),IF(EU49="",TRUE,IF(input_faculty_expertise="",FALSE,SUMPRODUCT(--ISNUMBER(SEARCH(","&amp;TRIM(TEXTSPLIT(EU49,","))&amp;",",","&amp;SUBSTITUTE(input_faculty_expertise," ","")&amp;",")))=COUNTA(TEXTSPLIT(EU49,",")))))</f>
        <v/>
      </c>
      <c r="JH49" s="19">
        <f>AND(IF(EW49="",TRUE,IF(input_global_network_school="",FALSE,SUMPRODUCT(--ISNUMBER(SEARCH(","&amp;TRIM(TEXTSPLIT(EW49,","))&amp;",",","&amp;SUBSTITUTE(input_global_network_school," ","")&amp;",")))&gt;0)),IF(EY49="",TRUE,IF(input_global_network_school="",FALSE,SUMPRODUCT(--ISNUMBER(SEARCH(","&amp;TRIM(TEXTSPLIT(EY49,","))&amp;",",","&amp;SUBSTITUTE(input_global_network_school," ","")&amp;",")))=COUNTA(TEXTSPLIT(EY49,",")))),IF(FA49="",TRUE,IF(input_global_network_school="",TRUE,SUMPRODUCT(--ISNUMBER(SEARCH(","&amp;TRIM(TEXTSPLIT(FA49,","))&amp;",",","&amp;SUBSTITUTE(input_global_network_school," ","")&amp;",")))=0)),IF(FC49="",TRUE,IF(input_global_network_school="",FALSE,SUMPRODUCT(--ISNUMBER(SEARCH(","&amp;TRIM(TEXTSPLIT(FC49,","))&amp;",",","&amp;SUBSTITUTE(input_global_network_school," ","")&amp;",")))&gt;0)),IF(FE49="",TRUE,IF(input_global_network_school="",FALSE,SUMPRODUCT(--ISNUMBER(SEARCH(","&amp;TRIM(TEXTSPLIT(FE49,","))&amp;",",","&amp;SUBSTITUTE(input_global_network_school," ","")&amp;",")))=COUNTA(TEXTSPLIT(FE49,",")))))</f>
        <v/>
      </c>
      <c r="JI49" s="19">
        <f>AND(IF(FG49="",TRUE,IF(input_industry="",FALSE,SUMPRODUCT(--ISNUMBER(SEARCH(","&amp;TRIM(TEXTSPLIT(FG49,","))&amp;",",","&amp;SUBSTITUTE(input_industry," ","")&amp;",")))&gt;0)),IF(FI49="",TRUE,IF(input_industry="",FALSE,SUMPRODUCT(--ISNUMBER(SEARCH(","&amp;TRIM(TEXTSPLIT(FI49,","))&amp;",",","&amp;SUBSTITUTE(input_industry," ","")&amp;",")))=COUNTA(TEXTSPLIT(FI49,",")))),IF(FK49="",TRUE,IF(input_industry="",TRUE,SUMPRODUCT(--ISNUMBER(SEARCH(","&amp;TRIM(TEXTSPLIT(FK49,","))&amp;",",","&amp;SUBSTITUTE(input_industry," ","")&amp;",")))=0)),IF(FM49="",TRUE,IF(input_industry="",FALSE,SUMPRODUCT(--ISNUMBER(SEARCH(","&amp;TRIM(TEXTSPLIT(FM49,","))&amp;",",","&amp;SUBSTITUTE(input_industry," ","")&amp;",")))&gt;0)),IF(FO49="",TRUE,IF(input_industry="",FALSE,SUMPRODUCT(--ISNUMBER(SEARCH(","&amp;TRIM(TEXTSPLIT(FO49,","))&amp;",",","&amp;SUBSTITUTE(input_industry," ","")&amp;",")))=COUNTA(TEXTSPLIT(FO49,",")))))</f>
        <v/>
      </c>
      <c r="JJ49" s="19">
        <f>AND(IF(FQ49="",TRUE,IF(input_location="",FALSE,SUMPRODUCT(--ISNUMBER(SEARCH(","&amp;TRIM(TEXTSPLIT(FQ49,","))&amp;",",","&amp;SUBSTITUTE(input_location," ","")&amp;",")))&gt;0)),IF(FS49="",TRUE,IF(input_location="",FALSE,SUMPRODUCT(--ISNUMBER(SEARCH(","&amp;TRIM(TEXTSPLIT(FS49,","))&amp;",",","&amp;SUBSTITUTE(input_location," ","")&amp;",")))=COUNTA(TEXTSPLIT(FS49,",")))),IF(FU49="",TRUE,IF(input_location="",TRUE,SUMPRODUCT(--ISNUMBER(SEARCH(","&amp;TRIM(TEXTSPLIT(FU49,","))&amp;",",","&amp;SUBSTITUTE(input_location," ","")&amp;",")))=0)),IF(FW49="",TRUE,IF(input_location="",FALSE,SUMPRODUCT(--ISNUMBER(SEARCH(","&amp;TRIM(TEXTSPLIT(FW49,","))&amp;",",","&amp;SUBSTITUTE(input_location," ","")&amp;",")))&gt;0)),IF(FY49="",TRUE,IF(input_location="",FALSE,SUMPRODUCT(--ISNUMBER(SEARCH(","&amp;TRIM(TEXTSPLIT(FY49,","))&amp;",",","&amp;SUBSTITUTE(input_location," ","")&amp;",")))=COUNTA(TEXTSPLIT(FY49,",")))))</f>
        <v/>
      </c>
      <c r="JK49" s="19">
        <f>AND(IF(GA49="",TRUE,IF(input_modality="",FALSE,SUMPRODUCT(--ISNUMBER(SEARCH(","&amp;TRIM(TEXTSPLIT(GA49,","))&amp;",",","&amp;SUBSTITUTE(input_modality," ","")&amp;",")))&gt;0)),IF(GC49="",TRUE,IF(input_modality="",FALSE,SUMPRODUCT(--ISNUMBER(SEARCH(","&amp;TRIM(TEXTSPLIT(GC49,","))&amp;",",","&amp;SUBSTITUTE(input_modality," ","")&amp;",")))=COUNTA(TEXTSPLIT(GC49,",")))),IF(GE49="",TRUE,IF(input_modality="",TRUE,SUMPRODUCT(--ISNUMBER(SEARCH(","&amp;TRIM(TEXTSPLIT(GE49,","))&amp;",",","&amp;SUBSTITUTE(input_modality," ","")&amp;",")))=0)),IF(GG49="",TRUE,IF(input_modality="",FALSE,SUMPRODUCT(--ISNUMBER(SEARCH(","&amp;TRIM(TEXTSPLIT(GG49,","))&amp;",",","&amp;SUBSTITUTE(input_modality," ","")&amp;",")))&gt;0)),IF(GI49="",TRUE,IF(input_modality="",FALSE,SUMPRODUCT(--ISNUMBER(SEARCH(","&amp;TRIM(TEXTSPLIT(GI49,","))&amp;",",","&amp;SUBSTITUTE(input_modality," ","")&amp;",")))=COUNTA(TEXTSPLIT(GI49,",")))))</f>
        <v/>
      </c>
      <c r="JL49" s="19">
        <f>AND(IF(GK49="",TRUE,IF(input_organizer="",FALSE,SUMPRODUCT(--ISNUMBER(SEARCH(","&amp;TRIM(TEXTSPLIT(GK49,","))&amp;",",","&amp;SUBSTITUTE(input_organizer," ","")&amp;",")))&gt;0)),IF(GM49="",TRUE,IF(input_organizer="",FALSE,SUMPRODUCT(--ISNUMBER(SEARCH(","&amp;TRIM(TEXTSPLIT(GM49,","))&amp;",",","&amp;SUBSTITUTE(input_organizer," ","")&amp;",")))=COUNTA(TEXTSPLIT(GM49,",")))),IF(GO49="",TRUE,IF(input_organizer="",TRUE,SUMPRODUCT(--ISNUMBER(SEARCH(","&amp;TRIM(TEXTSPLIT(GO49,","))&amp;",",","&amp;SUBSTITUTE(input_organizer," ","")&amp;",")))=0)),IF(GQ49="",TRUE,IF(input_organizer="",FALSE,SUMPRODUCT(--ISNUMBER(SEARCH(","&amp;TRIM(TEXTSPLIT(GQ49,","))&amp;",",","&amp;SUBSTITUTE(input_organizer," ","")&amp;",")))&gt;0)),IF(GS49="",TRUE,IF(input_organizer="",FALSE,SUMPRODUCT(--ISNUMBER(SEARCH(","&amp;TRIM(TEXTSPLIT(GS49,","))&amp;",",","&amp;SUBSTITUTE(input_organizer," ","")&amp;",")))=COUNTA(TEXTSPLIT(GS49,",")))))</f>
        <v/>
      </c>
      <c r="JM49" s="19">
        <f>AND(IF(GU49="",TRUE,IF(input_profile_type="",FALSE,SUMPRODUCT(--ISNUMBER(SEARCH(","&amp;TRIM(TEXTSPLIT(GU49,","))&amp;",",","&amp;SUBSTITUTE(input_profile_type," ","")&amp;",")))&gt;0)),IF(GW49="",TRUE,IF(input_profile_type="",FALSE,SUMPRODUCT(--ISNUMBER(SEARCH(","&amp;TRIM(TEXTSPLIT(GW49,","))&amp;",",","&amp;SUBSTITUTE(input_profile_type," ","")&amp;",")))=COUNTA(TEXTSPLIT(GW49,",")))),IF(GY49="",TRUE,IF(input_profile_type="",TRUE,SUMPRODUCT(--ISNUMBER(SEARCH(","&amp;TRIM(TEXTSPLIT(GY49,","))&amp;",",","&amp;SUBSTITUTE(input_profile_type," ","")&amp;",")))=0)),IF(HA49="",TRUE,IF(input_profile_type="",FALSE,SUMPRODUCT(--ISNUMBER(SEARCH(","&amp;TRIM(TEXTSPLIT(HA49,","))&amp;",",","&amp;SUBSTITUTE(input_profile_type," ","")&amp;",")))&gt;0)),IF(HC49="",TRUE,IF(input_profile_type="",FALSE,SUMPRODUCT(--ISNUMBER(SEARCH(","&amp;TRIM(TEXTSPLIT(HC49,","))&amp;",",","&amp;SUBSTITUTE(input_profile_type," ","")&amp;",")))=COUNTA(TEXTSPLIT(HC49,",")))))</f>
        <v/>
      </c>
      <c r="JN49" s="19">
        <f>AND(IF(HE49="",TRUE,IF(input_program="",FALSE,SUMPRODUCT(--ISNUMBER(SEARCH(","&amp;TRIM(TEXTSPLIT(HE49,","))&amp;",",","&amp;SUBSTITUTE(input_program," ","")&amp;",")))&gt;0)),IF(HG49="",TRUE,IF(input_program="",FALSE,SUMPRODUCT(--ISNUMBER(SEARCH(","&amp;TRIM(TEXTSPLIT(HG49,","))&amp;",",","&amp;SUBSTITUTE(input_program," ","")&amp;",")))=COUNTA(TEXTSPLIT(HG49,",")))),IF(HI49="",TRUE,IF(input_program="",TRUE,SUMPRODUCT(--ISNUMBER(SEARCH(","&amp;TRIM(TEXTSPLIT(HI49,","))&amp;",",","&amp;SUBSTITUTE(input_program," ","")&amp;",")))=0)),IF(HK49="",TRUE,IF(input_program="",FALSE,SUMPRODUCT(--ISNUMBER(SEARCH(","&amp;TRIM(TEXTSPLIT(HK49,","))&amp;",",","&amp;SUBSTITUTE(input_program," ","")&amp;",")))&gt;0)),IF(HM49="",TRUE,IF(input_program="",FALSE,SUMPRODUCT(--ISNUMBER(SEARCH(","&amp;TRIM(TEXTSPLIT(HM49,","))&amp;",",","&amp;SUBSTITUTE(input_program," ","")&amp;",")))=COUNTA(TEXTSPLIT(HM49,",")))))</f>
        <v/>
      </c>
      <c r="JO49" s="19">
        <f>AND(IF(HO49="",TRUE,IF(input_story_categories="",FALSE,SUMPRODUCT(--ISNUMBER(SEARCH(","&amp;TRIM(TEXTSPLIT(HO49,","))&amp;",",","&amp;SUBSTITUTE(input_story_categories," ","")&amp;",")))&gt;0)),IF(HQ49="",TRUE,IF(input_story_categories="",FALSE,SUMPRODUCT(--ISNUMBER(SEARCH(","&amp;TRIM(TEXTSPLIT(HQ49,","))&amp;",",","&amp;SUBSTITUTE(input_story_categories," ","")&amp;",")))=COUNTA(TEXTSPLIT(HQ49,",")))),IF(HS49="",TRUE,IF(input_story_categories="",TRUE,SUMPRODUCT(--ISNUMBER(SEARCH(","&amp;TRIM(TEXTSPLIT(HS49,","))&amp;",",","&amp;SUBSTITUTE(input_story_categories," ","")&amp;",")))=0)),IF(HU49="",TRUE,IF(input_story_categories="",FALSE,SUMPRODUCT(--ISNUMBER(SEARCH(","&amp;TRIM(TEXTSPLIT(HU49,","))&amp;",",","&amp;SUBSTITUTE(input_story_categories," ","")&amp;",")))&gt;0)),IF(HW49="",TRUE,IF(input_story_categories="",FALSE,SUMPRODUCT(--ISNUMBER(SEARCH(","&amp;TRIM(TEXTSPLIT(HW49,","))&amp;",",","&amp;SUBSTITUTE(input_story_categories," ","")&amp;",")))=COUNTA(TEXTSPLIT(HW49,",")))))</f>
        <v/>
      </c>
      <c r="JP49" s="19">
        <f>AND(IF(HY49="",TRUE,IF(input_story_type="",FALSE,SUMPRODUCT(--ISNUMBER(SEARCH(","&amp;TRIM(TEXTSPLIT(HY49,","))&amp;",",","&amp;SUBSTITUTE(input_story_type," ","")&amp;",")))&gt;0)),IF(IA49="",TRUE,IF(input_story_type="",FALSE,SUMPRODUCT(--ISNUMBER(SEARCH(","&amp;TRIM(TEXTSPLIT(IA49,","))&amp;",",","&amp;SUBSTITUTE(input_story_type," ","")&amp;",")))=COUNTA(TEXTSPLIT(IA49,",")))),IF(IC49="",TRUE,IF(input_story_type="",TRUE,SUMPRODUCT(--ISNUMBER(SEARCH(","&amp;TRIM(TEXTSPLIT(IC49,","))&amp;",",","&amp;SUBSTITUTE(input_story_type," ","")&amp;",")))=0)),IF(IE49="",TRUE,IF(input_story_type="",FALSE,SUMPRODUCT(--ISNUMBER(SEARCH(","&amp;TRIM(TEXTSPLIT(IE49,","))&amp;",",","&amp;SUBSTITUTE(input_story_type," ","")&amp;",")))&gt;0)),IF(IG49="",TRUE,IF(input_story_type="",FALSE,SUMPRODUCT(--ISNUMBER(SEARCH(","&amp;TRIM(TEXTSPLIT(IG49,","))&amp;",",","&amp;SUBSTITUTE(input_story_type," ","")&amp;",")))=COUNTA(TEXTSPLIT(IG49,",")))))</f>
        <v/>
      </c>
      <c r="JQ49" s="19">
        <f>AND(IF(II49="",TRUE,IF(input_topics="",FALSE,SUMPRODUCT(--ISNUMBER(SEARCH(","&amp;TRIM(TEXTSPLIT(II49,","))&amp;",",","&amp;SUBSTITUTE(input_topics," ","")&amp;",")))&gt;0)),IF(IK49="",TRUE,IF(input_topics="",FALSE,SUMPRODUCT(--ISNUMBER(SEARCH(","&amp;TRIM(TEXTSPLIT(IK49,","))&amp;",",","&amp;SUBSTITUTE(input_topics," ","")&amp;",")))=COUNTA(TEXTSPLIT(IK49,",")))),IF(IM49="",TRUE,IF(input_topics="",TRUE,SUMPRODUCT(--ISNUMBER(SEARCH(","&amp;TRIM(TEXTSPLIT(IM49,","))&amp;",",","&amp;SUBSTITUTE(input_topics," ","")&amp;",")))=0)),IF(IO49="",TRUE,IF(input_topics="",FALSE,SUMPRODUCT(--ISNUMBER(SEARCH(","&amp;TRIM(TEXTSPLIT(IO49,","))&amp;",",","&amp;SUBSTITUTE(input_topics," ","")&amp;",")))&gt;0)),IF(IQ49="",TRUE,IF(input_topics="",FALSE,SUMPRODUCT(--ISNUMBER(SEARCH(","&amp;TRIM(TEXTSPLIT(IQ49,","))&amp;",",","&amp;SUBSTITUTE(input_topics," ","")&amp;",")))=COUNTA(TEXTSPLIT(IQ49,",")))))</f>
        <v/>
      </c>
    </row>
    <row r="50">
      <c r="A50" s="24">
        <f>IF(NOT(IS50),"Excluded",IF(AND(IT50,IU50,IV50,IW50,IX50,IY50,IZ50,JA50,JB50,JC50,JD50,JE50,JF50,JG50,JH50,JI50,JJ50,JK50,JL50,JM50,JN50,JO50,JP50,JQ50),IF(I50&gt;0,"Eligible but limited","Will appear"),"Excluded"))</f>
        <v/>
      </c>
      <c r="B50" s="24" t="inlineStr">
        <is>
          <t>All Publications by Author</t>
        </is>
      </c>
      <c r="C50" s="27" t="inlineStr">
        <is>
          <t>/faculty-research/faculty-directory/stefano-giglio</t>
        </is>
      </c>
      <c r="D50" s="24" t="inlineStr">
        <is>
          <t>/faculty-research/faculty-directory/stefano-giglio</t>
        </is>
      </c>
      <c r="E50" s="24" t="n">
        <v>1</v>
      </c>
      <c r="F50" s="24" t="inlineStr">
        <is>
          <t>publications</t>
        </is>
      </c>
      <c r="G50" s="24" t="inlineStr">
        <is>
          <t>publication_teaser_list</t>
        </is>
      </c>
      <c r="H50" s="24" t="inlineStr">
        <is>
          <t>publication_teaser_list_all_by_author</t>
        </is>
      </c>
      <c r="I50" s="24" t="n"/>
      <c r="J50" s="24" t="inlineStr">
        <is>
          <t>View/config rules</t>
        </is>
      </c>
      <c r="K50" s="24" t="inlineStr">
        <is>
          <t>Page placement</t>
        </is>
      </c>
      <c r="L50" s="24" t="inlineStr">
        <is>
          <t>Content type: publications; Source: View/config rules</t>
        </is>
      </c>
      <c r="IS50" s="19">
        <f>IF(input_content_type="",FALSE,ISNUMBER(SEARCH(","&amp;LOWER(input_content_type)&amp;",",","&amp;LOWER(SUBSTITUTE(F50," ",""))&amp;",")))</f>
        <v/>
      </c>
      <c r="IT50" s="19">
        <f>AND(IF(M50="",TRUE,IF(input_affiliations="",FALSE,SUMPRODUCT(--ISNUMBER(SEARCH(","&amp;TRIM(TEXTSPLIT(M50,","))&amp;",",","&amp;SUBSTITUTE(input_affiliations," ","")&amp;",")))&gt;0)),IF(O50="",TRUE,IF(input_affiliations="",FALSE,SUMPRODUCT(--ISNUMBER(SEARCH(","&amp;TRIM(TEXTSPLIT(O50,","))&amp;",",","&amp;SUBSTITUTE(input_affiliations," ","")&amp;",")))=COUNTA(TEXTSPLIT(O50,",")))),IF(Q50="",TRUE,IF(input_affiliations="",TRUE,SUMPRODUCT(--ISNUMBER(SEARCH(","&amp;TRIM(TEXTSPLIT(Q50,","))&amp;",",","&amp;SUBSTITUTE(input_affiliations," ","")&amp;",")))=0)),IF(S50="",TRUE,IF(input_affiliations="",FALSE,SUMPRODUCT(--ISNUMBER(SEARCH(","&amp;TRIM(TEXTSPLIT(S50,","))&amp;",",","&amp;SUBSTITUTE(input_affiliations," ","")&amp;",")))&gt;0)),IF(U50="",TRUE,IF(input_affiliations="",FALSE,SUMPRODUCT(--ISNUMBER(SEARCH(","&amp;TRIM(TEXTSPLIT(U50,","))&amp;",",","&amp;SUBSTITUTE(input_affiliations," ","")&amp;",")))=COUNTA(TEXTSPLIT(U50,",")))))</f>
        <v/>
      </c>
      <c r="IU50" s="19">
        <f>AND(IF(W50="",TRUE,IF(input_announcement_category="",FALSE,SUMPRODUCT(--ISNUMBER(SEARCH(","&amp;TRIM(TEXTSPLIT(W50,","))&amp;",",","&amp;SUBSTITUTE(input_announcement_category," ","")&amp;",")))&gt;0)),IF(Y50="",TRUE,IF(input_announcement_category="",FALSE,SUMPRODUCT(--ISNUMBER(SEARCH(","&amp;TRIM(TEXTSPLIT(Y50,","))&amp;",",","&amp;SUBSTITUTE(input_announcement_category," ","")&amp;",")))=COUNTA(TEXTSPLIT(Y50,",")))),IF(AA50="",TRUE,IF(input_announcement_category="",TRUE,SUMPRODUCT(--ISNUMBER(SEARCH(","&amp;TRIM(TEXTSPLIT(AA50,","))&amp;",",","&amp;SUBSTITUTE(input_announcement_category," ","")&amp;",")))=0)),IF(AC50="",TRUE,IF(input_announcement_category="",FALSE,SUMPRODUCT(--ISNUMBER(SEARCH(","&amp;TRIM(TEXTSPLIT(AC50,","))&amp;",",","&amp;SUBSTITUTE(input_announcement_category," ","")&amp;",")))&gt;0)),IF(AE50="",TRUE,IF(input_announcement_category="",FALSE,SUMPRODUCT(--ISNUMBER(SEARCH(","&amp;TRIM(TEXTSPLIT(AE50,","))&amp;",",","&amp;SUBSTITUTE(input_announcement_category," ","")&amp;",")))=COUNTA(TEXTSPLIT(AE50,",")))))</f>
        <v/>
      </c>
      <c r="IV50" s="19">
        <f>AND(IF(AG50="",TRUE,IF(input_area_of_focus="",FALSE,SUMPRODUCT(--ISNUMBER(SEARCH(","&amp;TRIM(TEXTSPLIT(AG50,","))&amp;",",","&amp;SUBSTITUTE(input_area_of_focus," ","")&amp;",")))&gt;0)),IF(AI50="",TRUE,IF(input_area_of_focus="",FALSE,SUMPRODUCT(--ISNUMBER(SEARCH(","&amp;TRIM(TEXTSPLIT(AI50,","))&amp;",",","&amp;SUBSTITUTE(input_area_of_focus," ","")&amp;",")))=COUNTA(TEXTSPLIT(AI50,",")))),IF(AK50="",TRUE,IF(input_area_of_focus="",TRUE,SUMPRODUCT(--ISNUMBER(SEARCH(","&amp;TRIM(TEXTSPLIT(AK50,","))&amp;",",","&amp;SUBSTITUTE(input_area_of_focus," ","")&amp;",")))=0)),IF(AM50="",TRUE,IF(input_area_of_focus="",FALSE,SUMPRODUCT(--ISNUMBER(SEARCH(","&amp;TRIM(TEXTSPLIT(AM50,","))&amp;",",","&amp;SUBSTITUTE(input_area_of_focus," ","")&amp;",")))&gt;0)),IF(AO50="",TRUE,IF(input_area_of_focus="",FALSE,SUMPRODUCT(--ISNUMBER(SEARCH(","&amp;TRIM(TEXTSPLIT(AO50,","))&amp;",",","&amp;SUBSTITUTE(input_area_of_focus," ","")&amp;",")))=COUNTA(TEXTSPLIT(AO50,",")))))</f>
        <v/>
      </c>
      <c r="IW50" s="19">
        <f>AND(IF(AQ50="",TRUE,IF(input_audience="",FALSE,SUMPRODUCT(--ISNUMBER(SEARCH(","&amp;TRIM(TEXTSPLIT(AQ50,","))&amp;",",","&amp;SUBSTITUTE(input_audience," ","")&amp;",")))&gt;0)),IF(AS50="",TRUE,IF(input_audience="",FALSE,SUMPRODUCT(--ISNUMBER(SEARCH(","&amp;TRIM(TEXTSPLIT(AS50,","))&amp;",",","&amp;SUBSTITUTE(input_audience," ","")&amp;",")))=COUNTA(TEXTSPLIT(AS50,",")))),IF(AU50="",TRUE,IF(input_audience="",TRUE,SUMPRODUCT(--ISNUMBER(SEARCH(","&amp;TRIM(TEXTSPLIT(AU50,","))&amp;",",","&amp;SUBSTITUTE(input_audience," ","")&amp;",")))=0)),IF(AW50="",TRUE,IF(input_audience="",FALSE,SUMPRODUCT(--ISNUMBER(SEARCH(","&amp;TRIM(TEXTSPLIT(AW50,","))&amp;",",","&amp;SUBSTITUTE(input_audience," ","")&amp;",")))&gt;0)),IF(AY50="",TRUE,IF(input_audience="",FALSE,SUMPRODUCT(--ISNUMBER(SEARCH(","&amp;TRIM(TEXTSPLIT(AY50,","))&amp;",",","&amp;SUBSTITUTE(input_audience," ","")&amp;",")))=COUNTA(TEXTSPLIT(AY50,",")))))</f>
        <v/>
      </c>
      <c r="IX50" s="19">
        <f>AND(IF(BA50="",TRUE,IF(input_challenge_opportunities="",FALSE,SUMPRODUCT(--ISNUMBER(SEARCH(","&amp;TRIM(TEXTSPLIT(BA50,","))&amp;",",","&amp;SUBSTITUTE(input_challenge_opportunities," ","")&amp;",")))&gt;0)),IF(BC50="",TRUE,IF(input_challenge_opportunities="",FALSE,SUMPRODUCT(--ISNUMBER(SEARCH(","&amp;TRIM(TEXTSPLIT(BC50,","))&amp;",",","&amp;SUBSTITUTE(input_challenge_opportunities," ","")&amp;",")))=COUNTA(TEXTSPLIT(BC50,",")))),IF(BE50="",TRUE,IF(input_challenge_opportunities="",TRUE,SUMPRODUCT(--ISNUMBER(SEARCH(","&amp;TRIM(TEXTSPLIT(BE50,","))&amp;",",","&amp;SUBSTITUTE(input_challenge_opportunities," ","")&amp;",")))=0)),IF(BG50="",TRUE,IF(input_challenge_opportunities="",FALSE,SUMPRODUCT(--ISNUMBER(SEARCH(","&amp;TRIM(TEXTSPLIT(BG50,","))&amp;",",","&amp;SUBSTITUTE(input_challenge_opportunities," ","")&amp;",")))&gt;0)),IF(BI50="",TRUE,IF(input_challenge_opportunities="",FALSE,SUMPRODUCT(--ISNUMBER(SEARCH(","&amp;TRIM(TEXTSPLIT(BI50,","))&amp;",",","&amp;SUBSTITUTE(input_challenge_opportunities," ","")&amp;",")))=COUNTA(TEXTSPLIT(BI50,",")))))</f>
        <v/>
      </c>
      <c r="IY50" s="19">
        <f>AND(IF(BK50="",TRUE,IF(input_context="",FALSE,SUMPRODUCT(--ISNUMBER(SEARCH(","&amp;TRIM(TEXTSPLIT(BK50,","))&amp;",",","&amp;SUBSTITUTE(input_context," ","")&amp;",")))&gt;0)),IF(BM50="",TRUE,IF(input_context="",FALSE,SUMPRODUCT(--ISNUMBER(SEARCH(","&amp;TRIM(TEXTSPLIT(BM50,","))&amp;",",","&amp;SUBSTITUTE(input_context," ","")&amp;",")))=COUNTA(TEXTSPLIT(BM50,",")))),IF(BO50="",TRUE,IF(input_context="",TRUE,SUMPRODUCT(--ISNUMBER(SEARCH(","&amp;TRIM(TEXTSPLIT(BO50,","))&amp;",",","&amp;SUBSTITUTE(input_context," ","")&amp;",")))=0)),IF(BQ50="",TRUE,IF(input_context="",FALSE,SUMPRODUCT(--ISNUMBER(SEARCH(","&amp;TRIM(TEXTSPLIT(BQ50,","))&amp;",",","&amp;SUBSTITUTE(input_context," ","")&amp;",")))&gt;0)),IF(BS50="",TRUE,IF(input_context="",FALSE,SUMPRODUCT(--ISNUMBER(SEARCH(","&amp;TRIM(TEXTSPLIT(BS50,","))&amp;",",","&amp;SUBSTITUTE(input_context," ","")&amp;",")))=COUNTA(TEXTSPLIT(BS50,",")))))</f>
        <v/>
      </c>
      <c r="IZ50" s="19">
        <f>AND(IF(BU50="",TRUE,IF(input_enews_announcement_type="",FALSE,SUMPRODUCT(--ISNUMBER(SEARCH(","&amp;TRIM(TEXTSPLIT(BU50,","))&amp;",",","&amp;SUBSTITUTE(input_enews_announcement_type," ","")&amp;",")))&gt;0)),IF(BW50="",TRUE,IF(input_enews_announcement_type="",FALSE,SUMPRODUCT(--ISNUMBER(SEARCH(","&amp;TRIM(TEXTSPLIT(BW50,","))&amp;",",","&amp;SUBSTITUTE(input_enews_announcement_type," ","")&amp;",")))=COUNTA(TEXTSPLIT(BW50,",")))),IF(BY50="",TRUE,IF(input_enews_announcement_type="",TRUE,SUMPRODUCT(--ISNUMBER(SEARCH(","&amp;TRIM(TEXTSPLIT(BY50,","))&amp;",",","&amp;SUBSTITUTE(input_enews_announcement_type," ","")&amp;",")))=0)),IF(CA50="",TRUE,IF(input_enews_announcement_type="",FALSE,SUMPRODUCT(--ISNUMBER(SEARCH(","&amp;TRIM(TEXTSPLIT(CA50,","))&amp;",",","&amp;SUBSTITUTE(input_enews_announcement_type," ","")&amp;",")))&gt;0)),IF(CC50="",TRUE,IF(input_enews_announcement_type="",FALSE,SUMPRODUCT(--ISNUMBER(SEARCH(","&amp;TRIM(TEXTSPLIT(CC50,","))&amp;",",","&amp;SUBSTITUTE(input_enews_announcement_type," ","")&amp;",")))=COUNTA(TEXTSPLIT(CC50,",")))))</f>
        <v/>
      </c>
      <c r="JA50" s="19">
        <f>AND(IF(CE50="",TRUE,IF(input_enews_audience="",FALSE,SUMPRODUCT(--ISNUMBER(SEARCH(","&amp;TRIM(TEXTSPLIT(CE50,","))&amp;",",","&amp;SUBSTITUTE(input_enews_audience," ","")&amp;",")))&gt;0)),IF(CG50="",TRUE,IF(input_enews_audience="",FALSE,SUMPRODUCT(--ISNUMBER(SEARCH(","&amp;TRIM(TEXTSPLIT(CG50,","))&amp;",",","&amp;SUBSTITUTE(input_enews_audience," ","")&amp;",")))=COUNTA(TEXTSPLIT(CG50,",")))),IF(CI50="",TRUE,IF(input_enews_audience="",TRUE,SUMPRODUCT(--ISNUMBER(SEARCH(","&amp;TRIM(TEXTSPLIT(CI50,","))&amp;",",","&amp;SUBSTITUTE(input_enews_audience," ","")&amp;",")))=0)),IF(CK50="",TRUE,IF(input_enews_audience="",FALSE,SUMPRODUCT(--ISNUMBER(SEARCH(","&amp;TRIM(TEXTSPLIT(CK50,","))&amp;",",","&amp;SUBSTITUTE(input_enews_audience," ","")&amp;",")))&gt;0)),IF(CM50="",TRUE,IF(input_enews_audience="",FALSE,SUMPRODUCT(--ISNUMBER(SEARCH(","&amp;TRIM(TEXTSPLIT(CM50,","))&amp;",",","&amp;SUBSTITUTE(input_enews_audience," ","")&amp;",")))=COUNTA(TEXTSPLIT(CM50,",")))))</f>
        <v/>
      </c>
      <c r="JB50" s="19">
        <f>AND(IF(CO50="",TRUE,IF(input_event_location="",FALSE,SUMPRODUCT(--ISNUMBER(SEARCH(","&amp;TRIM(TEXTSPLIT(CO50,","))&amp;",",","&amp;SUBSTITUTE(input_event_location," ","")&amp;",")))&gt;0)),IF(CQ50="",TRUE,IF(input_event_location="",FALSE,SUMPRODUCT(--ISNUMBER(SEARCH(","&amp;TRIM(TEXTSPLIT(CQ50,","))&amp;",",","&amp;SUBSTITUTE(input_event_location," ","")&amp;",")))=COUNTA(TEXTSPLIT(CQ50,",")))),IF(CS50="",TRUE,IF(input_event_location="",TRUE,SUMPRODUCT(--ISNUMBER(SEARCH(","&amp;TRIM(TEXTSPLIT(CS50,","))&amp;",",","&amp;SUBSTITUTE(input_event_location," ","")&amp;",")))=0)),IF(CU50="",TRUE,IF(input_event_location="",FALSE,SUMPRODUCT(--ISNUMBER(SEARCH(","&amp;TRIM(TEXTSPLIT(CU50,","))&amp;",",","&amp;SUBSTITUTE(input_event_location," ","")&amp;",")))&gt;0)),IF(CW50="",TRUE,IF(input_event_location="",FALSE,SUMPRODUCT(--ISNUMBER(SEARCH(","&amp;TRIM(TEXTSPLIT(CW50,","))&amp;",",","&amp;SUBSTITUTE(input_event_location," ","")&amp;",")))=COUNTA(TEXTSPLIT(CW50,",")))))</f>
        <v/>
      </c>
      <c r="JC50" s="19">
        <f>AND(IF(CY50="",TRUE,IF(input_event_type="",FALSE,SUMPRODUCT(--ISNUMBER(SEARCH(","&amp;TRIM(TEXTSPLIT(CY50,","))&amp;",",","&amp;SUBSTITUTE(input_event_type," ","")&amp;",")))&gt;0)),IF(DA50="",TRUE,IF(input_event_type="",FALSE,SUMPRODUCT(--ISNUMBER(SEARCH(","&amp;TRIM(TEXTSPLIT(DA50,","))&amp;",",","&amp;SUBSTITUTE(input_event_type," ","")&amp;",")))=COUNTA(TEXTSPLIT(DA50,",")))),IF(DC50="",TRUE,IF(input_event_type="",TRUE,SUMPRODUCT(--ISNUMBER(SEARCH(","&amp;TRIM(TEXTSPLIT(DC50,","))&amp;",",","&amp;SUBSTITUTE(input_event_type," ","")&amp;",")))=0)),IF(DE50="",TRUE,IF(input_event_type="",FALSE,SUMPRODUCT(--ISNUMBER(SEARCH(","&amp;TRIM(TEXTSPLIT(DE50,","))&amp;",",","&amp;SUBSTITUTE(input_event_type," ","")&amp;",")))&gt;0)),IF(DG50="",TRUE,IF(input_event_type="",FALSE,SUMPRODUCT(--ISNUMBER(SEARCH(","&amp;TRIM(TEXTSPLIT(DG50,","))&amp;",",","&amp;SUBSTITUTE(input_event_type," ","")&amp;",")))=COUNTA(TEXTSPLIT(DG50,",")))))</f>
        <v/>
      </c>
      <c r="JD50" s="19">
        <f>AND(IF(DI50="",TRUE,IF(input_executive_education_focus="",FALSE,SUMPRODUCT(--ISNUMBER(SEARCH(","&amp;TRIM(TEXTSPLIT(DI50,","))&amp;",",","&amp;SUBSTITUTE(input_executive_education_focus," ","")&amp;",")))&gt;0)),IF(DK50="",TRUE,IF(input_executive_education_focus="",FALSE,SUMPRODUCT(--ISNUMBER(SEARCH(","&amp;TRIM(TEXTSPLIT(DK50,","))&amp;",",","&amp;SUBSTITUTE(input_executive_education_focus," ","")&amp;",")))=COUNTA(TEXTSPLIT(DK50,",")))),IF(DM50="",TRUE,IF(input_executive_education_focus="",TRUE,SUMPRODUCT(--ISNUMBER(SEARCH(","&amp;TRIM(TEXTSPLIT(DM50,","))&amp;",",","&amp;SUBSTITUTE(input_executive_education_focus," ","")&amp;",")))=0)),IF(DO50="",TRUE,IF(input_executive_education_focus="",FALSE,SUMPRODUCT(--ISNUMBER(SEARCH(","&amp;TRIM(TEXTSPLIT(DO50,","))&amp;",",","&amp;SUBSTITUTE(input_executive_education_focus," ","")&amp;",")))&gt;0)),IF(DQ50="",TRUE,IF(input_executive_education_focus="",FALSE,SUMPRODUCT(--ISNUMBER(SEARCH(","&amp;TRIM(TEXTSPLIT(DQ50,","))&amp;",",","&amp;SUBSTITUTE(input_executive_education_focus," ","")&amp;",")))=COUNTA(TEXTSPLIT(DQ50,",")))))</f>
        <v/>
      </c>
      <c r="JE50" s="19">
        <f>AND(IF(DS50="",TRUE,IF(input_faculty_category="",FALSE,SUMPRODUCT(--ISNUMBER(SEARCH(","&amp;TRIM(TEXTSPLIT(DS50,","))&amp;",",","&amp;SUBSTITUTE(input_faculty_category," ","")&amp;",")))&gt;0)),IF(DU50="",TRUE,IF(input_faculty_category="",FALSE,SUMPRODUCT(--ISNUMBER(SEARCH(","&amp;TRIM(TEXTSPLIT(DU50,","))&amp;",",","&amp;SUBSTITUTE(input_faculty_category," ","")&amp;",")))=COUNTA(TEXTSPLIT(DU50,",")))),IF(DW50="",TRUE,IF(input_faculty_category="",TRUE,SUMPRODUCT(--ISNUMBER(SEARCH(","&amp;TRIM(TEXTSPLIT(DW50,","))&amp;",",","&amp;SUBSTITUTE(input_faculty_category," ","")&amp;",")))=0)),IF(DY50="",TRUE,IF(input_faculty_category="",FALSE,SUMPRODUCT(--ISNUMBER(SEARCH(","&amp;TRIM(TEXTSPLIT(DY50,","))&amp;",",","&amp;SUBSTITUTE(input_faculty_category," ","")&amp;",")))&gt;0)),IF(EA50="",TRUE,IF(input_faculty_category="",FALSE,SUMPRODUCT(--ISNUMBER(SEARCH(","&amp;TRIM(TEXTSPLIT(EA50,","))&amp;",",","&amp;SUBSTITUTE(input_faculty_category," ","")&amp;",")))=COUNTA(TEXTSPLIT(EA50,",")))))</f>
        <v/>
      </c>
      <c r="JF50" s="19">
        <f>AND(IF(EC50="",TRUE,IF(input_faculty_discipline="",FALSE,SUMPRODUCT(--ISNUMBER(SEARCH(","&amp;TRIM(TEXTSPLIT(EC50,","))&amp;",",","&amp;SUBSTITUTE(input_faculty_discipline," ","")&amp;",")))&gt;0)),IF(EE50="",TRUE,IF(input_faculty_discipline="",FALSE,SUMPRODUCT(--ISNUMBER(SEARCH(","&amp;TRIM(TEXTSPLIT(EE50,","))&amp;",",","&amp;SUBSTITUTE(input_faculty_discipline," ","")&amp;",")))=COUNTA(TEXTSPLIT(EE50,",")))),IF(EG50="",TRUE,IF(input_faculty_discipline="",TRUE,SUMPRODUCT(--ISNUMBER(SEARCH(","&amp;TRIM(TEXTSPLIT(EG50,","))&amp;",",","&amp;SUBSTITUTE(input_faculty_discipline," ","")&amp;",")))=0)),IF(EI50="",TRUE,IF(input_faculty_discipline="",FALSE,SUMPRODUCT(--ISNUMBER(SEARCH(","&amp;TRIM(TEXTSPLIT(EI50,","))&amp;",",","&amp;SUBSTITUTE(input_faculty_discipline," ","")&amp;",")))&gt;0)),IF(EK50="",TRUE,IF(input_faculty_discipline="",FALSE,SUMPRODUCT(--ISNUMBER(SEARCH(","&amp;TRIM(TEXTSPLIT(EK50,","))&amp;",",","&amp;SUBSTITUTE(input_faculty_discipline," ","")&amp;",")))=COUNTA(TEXTSPLIT(EK50,",")))))</f>
        <v/>
      </c>
      <c r="JG50" s="19">
        <f>AND(IF(EM50="",TRUE,IF(input_faculty_expertise="",FALSE,SUMPRODUCT(--ISNUMBER(SEARCH(","&amp;TRIM(TEXTSPLIT(EM50,","))&amp;",",","&amp;SUBSTITUTE(input_faculty_expertise," ","")&amp;",")))&gt;0)),IF(EO50="",TRUE,IF(input_faculty_expertise="",FALSE,SUMPRODUCT(--ISNUMBER(SEARCH(","&amp;TRIM(TEXTSPLIT(EO50,","))&amp;",",","&amp;SUBSTITUTE(input_faculty_expertise," ","")&amp;",")))=COUNTA(TEXTSPLIT(EO50,",")))),IF(EQ50="",TRUE,IF(input_faculty_expertise="",TRUE,SUMPRODUCT(--ISNUMBER(SEARCH(","&amp;TRIM(TEXTSPLIT(EQ50,","))&amp;",",","&amp;SUBSTITUTE(input_faculty_expertise," ","")&amp;",")))=0)),IF(ES50="",TRUE,IF(input_faculty_expertise="",FALSE,SUMPRODUCT(--ISNUMBER(SEARCH(","&amp;TRIM(TEXTSPLIT(ES50,","))&amp;",",","&amp;SUBSTITUTE(input_faculty_expertise," ","")&amp;",")))&gt;0)),IF(EU50="",TRUE,IF(input_faculty_expertise="",FALSE,SUMPRODUCT(--ISNUMBER(SEARCH(","&amp;TRIM(TEXTSPLIT(EU50,","))&amp;",",","&amp;SUBSTITUTE(input_faculty_expertise," ","")&amp;",")))=COUNTA(TEXTSPLIT(EU50,",")))))</f>
        <v/>
      </c>
      <c r="JH50" s="19">
        <f>AND(IF(EW50="",TRUE,IF(input_global_network_school="",FALSE,SUMPRODUCT(--ISNUMBER(SEARCH(","&amp;TRIM(TEXTSPLIT(EW50,","))&amp;",",","&amp;SUBSTITUTE(input_global_network_school," ","")&amp;",")))&gt;0)),IF(EY50="",TRUE,IF(input_global_network_school="",FALSE,SUMPRODUCT(--ISNUMBER(SEARCH(","&amp;TRIM(TEXTSPLIT(EY50,","))&amp;",",","&amp;SUBSTITUTE(input_global_network_school," ","")&amp;",")))=COUNTA(TEXTSPLIT(EY50,",")))),IF(FA50="",TRUE,IF(input_global_network_school="",TRUE,SUMPRODUCT(--ISNUMBER(SEARCH(","&amp;TRIM(TEXTSPLIT(FA50,","))&amp;",",","&amp;SUBSTITUTE(input_global_network_school," ","")&amp;",")))=0)),IF(FC50="",TRUE,IF(input_global_network_school="",FALSE,SUMPRODUCT(--ISNUMBER(SEARCH(","&amp;TRIM(TEXTSPLIT(FC50,","))&amp;",",","&amp;SUBSTITUTE(input_global_network_school," ","")&amp;",")))&gt;0)),IF(FE50="",TRUE,IF(input_global_network_school="",FALSE,SUMPRODUCT(--ISNUMBER(SEARCH(","&amp;TRIM(TEXTSPLIT(FE50,","))&amp;",",","&amp;SUBSTITUTE(input_global_network_school," ","")&amp;",")))=COUNTA(TEXTSPLIT(FE50,",")))))</f>
        <v/>
      </c>
      <c r="JI50" s="19">
        <f>AND(IF(FG50="",TRUE,IF(input_industry="",FALSE,SUMPRODUCT(--ISNUMBER(SEARCH(","&amp;TRIM(TEXTSPLIT(FG50,","))&amp;",",","&amp;SUBSTITUTE(input_industry," ","")&amp;",")))&gt;0)),IF(FI50="",TRUE,IF(input_industry="",FALSE,SUMPRODUCT(--ISNUMBER(SEARCH(","&amp;TRIM(TEXTSPLIT(FI50,","))&amp;",",","&amp;SUBSTITUTE(input_industry," ","")&amp;",")))=COUNTA(TEXTSPLIT(FI50,",")))),IF(FK50="",TRUE,IF(input_industry="",TRUE,SUMPRODUCT(--ISNUMBER(SEARCH(","&amp;TRIM(TEXTSPLIT(FK50,","))&amp;",",","&amp;SUBSTITUTE(input_industry," ","")&amp;",")))=0)),IF(FM50="",TRUE,IF(input_industry="",FALSE,SUMPRODUCT(--ISNUMBER(SEARCH(","&amp;TRIM(TEXTSPLIT(FM50,","))&amp;",",","&amp;SUBSTITUTE(input_industry," ","")&amp;",")))&gt;0)),IF(FO50="",TRUE,IF(input_industry="",FALSE,SUMPRODUCT(--ISNUMBER(SEARCH(","&amp;TRIM(TEXTSPLIT(FO50,","))&amp;",",","&amp;SUBSTITUTE(input_industry," ","")&amp;",")))=COUNTA(TEXTSPLIT(FO50,",")))))</f>
        <v/>
      </c>
      <c r="JJ50" s="19">
        <f>AND(IF(FQ50="",TRUE,IF(input_location="",FALSE,SUMPRODUCT(--ISNUMBER(SEARCH(","&amp;TRIM(TEXTSPLIT(FQ50,","))&amp;",",","&amp;SUBSTITUTE(input_location," ","")&amp;",")))&gt;0)),IF(FS50="",TRUE,IF(input_location="",FALSE,SUMPRODUCT(--ISNUMBER(SEARCH(","&amp;TRIM(TEXTSPLIT(FS50,","))&amp;",",","&amp;SUBSTITUTE(input_location," ","")&amp;",")))=COUNTA(TEXTSPLIT(FS50,",")))),IF(FU50="",TRUE,IF(input_location="",TRUE,SUMPRODUCT(--ISNUMBER(SEARCH(","&amp;TRIM(TEXTSPLIT(FU50,","))&amp;",",","&amp;SUBSTITUTE(input_location," ","")&amp;",")))=0)),IF(FW50="",TRUE,IF(input_location="",FALSE,SUMPRODUCT(--ISNUMBER(SEARCH(","&amp;TRIM(TEXTSPLIT(FW50,","))&amp;",",","&amp;SUBSTITUTE(input_location," ","")&amp;",")))&gt;0)),IF(FY50="",TRUE,IF(input_location="",FALSE,SUMPRODUCT(--ISNUMBER(SEARCH(","&amp;TRIM(TEXTSPLIT(FY50,","))&amp;",",","&amp;SUBSTITUTE(input_location," ","")&amp;",")))=COUNTA(TEXTSPLIT(FY50,",")))))</f>
        <v/>
      </c>
      <c r="JK50" s="19">
        <f>AND(IF(GA50="",TRUE,IF(input_modality="",FALSE,SUMPRODUCT(--ISNUMBER(SEARCH(","&amp;TRIM(TEXTSPLIT(GA50,","))&amp;",",","&amp;SUBSTITUTE(input_modality," ","")&amp;",")))&gt;0)),IF(GC50="",TRUE,IF(input_modality="",FALSE,SUMPRODUCT(--ISNUMBER(SEARCH(","&amp;TRIM(TEXTSPLIT(GC50,","))&amp;",",","&amp;SUBSTITUTE(input_modality," ","")&amp;",")))=COUNTA(TEXTSPLIT(GC50,",")))),IF(GE50="",TRUE,IF(input_modality="",TRUE,SUMPRODUCT(--ISNUMBER(SEARCH(","&amp;TRIM(TEXTSPLIT(GE50,","))&amp;",",","&amp;SUBSTITUTE(input_modality," ","")&amp;",")))=0)),IF(GG50="",TRUE,IF(input_modality="",FALSE,SUMPRODUCT(--ISNUMBER(SEARCH(","&amp;TRIM(TEXTSPLIT(GG50,","))&amp;",",","&amp;SUBSTITUTE(input_modality," ","")&amp;",")))&gt;0)),IF(GI50="",TRUE,IF(input_modality="",FALSE,SUMPRODUCT(--ISNUMBER(SEARCH(","&amp;TRIM(TEXTSPLIT(GI50,","))&amp;",",","&amp;SUBSTITUTE(input_modality," ","")&amp;",")))=COUNTA(TEXTSPLIT(GI50,",")))))</f>
        <v/>
      </c>
      <c r="JL50" s="19">
        <f>AND(IF(GK50="",TRUE,IF(input_organizer="",FALSE,SUMPRODUCT(--ISNUMBER(SEARCH(","&amp;TRIM(TEXTSPLIT(GK50,","))&amp;",",","&amp;SUBSTITUTE(input_organizer," ","")&amp;",")))&gt;0)),IF(GM50="",TRUE,IF(input_organizer="",FALSE,SUMPRODUCT(--ISNUMBER(SEARCH(","&amp;TRIM(TEXTSPLIT(GM50,","))&amp;",",","&amp;SUBSTITUTE(input_organizer," ","")&amp;",")))=COUNTA(TEXTSPLIT(GM50,",")))),IF(GO50="",TRUE,IF(input_organizer="",TRUE,SUMPRODUCT(--ISNUMBER(SEARCH(","&amp;TRIM(TEXTSPLIT(GO50,","))&amp;",",","&amp;SUBSTITUTE(input_organizer," ","")&amp;",")))=0)),IF(GQ50="",TRUE,IF(input_organizer="",FALSE,SUMPRODUCT(--ISNUMBER(SEARCH(","&amp;TRIM(TEXTSPLIT(GQ50,","))&amp;",",","&amp;SUBSTITUTE(input_organizer," ","")&amp;",")))&gt;0)),IF(GS50="",TRUE,IF(input_organizer="",FALSE,SUMPRODUCT(--ISNUMBER(SEARCH(","&amp;TRIM(TEXTSPLIT(GS50,","))&amp;",",","&amp;SUBSTITUTE(input_organizer," ","")&amp;",")))=COUNTA(TEXTSPLIT(GS50,",")))))</f>
        <v/>
      </c>
      <c r="JM50" s="19">
        <f>AND(IF(GU50="",TRUE,IF(input_profile_type="",FALSE,SUMPRODUCT(--ISNUMBER(SEARCH(","&amp;TRIM(TEXTSPLIT(GU50,","))&amp;",",","&amp;SUBSTITUTE(input_profile_type," ","")&amp;",")))&gt;0)),IF(GW50="",TRUE,IF(input_profile_type="",FALSE,SUMPRODUCT(--ISNUMBER(SEARCH(","&amp;TRIM(TEXTSPLIT(GW50,","))&amp;",",","&amp;SUBSTITUTE(input_profile_type," ","")&amp;",")))=COUNTA(TEXTSPLIT(GW50,",")))),IF(GY50="",TRUE,IF(input_profile_type="",TRUE,SUMPRODUCT(--ISNUMBER(SEARCH(","&amp;TRIM(TEXTSPLIT(GY50,","))&amp;",",","&amp;SUBSTITUTE(input_profile_type," ","")&amp;",")))=0)),IF(HA50="",TRUE,IF(input_profile_type="",FALSE,SUMPRODUCT(--ISNUMBER(SEARCH(","&amp;TRIM(TEXTSPLIT(HA50,","))&amp;",",","&amp;SUBSTITUTE(input_profile_type," ","")&amp;",")))&gt;0)),IF(HC50="",TRUE,IF(input_profile_type="",FALSE,SUMPRODUCT(--ISNUMBER(SEARCH(","&amp;TRIM(TEXTSPLIT(HC50,","))&amp;",",","&amp;SUBSTITUTE(input_profile_type," ","")&amp;",")))=COUNTA(TEXTSPLIT(HC50,",")))))</f>
        <v/>
      </c>
      <c r="JN50" s="19">
        <f>AND(IF(HE50="",TRUE,IF(input_program="",FALSE,SUMPRODUCT(--ISNUMBER(SEARCH(","&amp;TRIM(TEXTSPLIT(HE50,","))&amp;",",","&amp;SUBSTITUTE(input_program," ","")&amp;",")))&gt;0)),IF(HG50="",TRUE,IF(input_program="",FALSE,SUMPRODUCT(--ISNUMBER(SEARCH(","&amp;TRIM(TEXTSPLIT(HG50,","))&amp;",",","&amp;SUBSTITUTE(input_program," ","")&amp;",")))=COUNTA(TEXTSPLIT(HG50,",")))),IF(HI50="",TRUE,IF(input_program="",TRUE,SUMPRODUCT(--ISNUMBER(SEARCH(","&amp;TRIM(TEXTSPLIT(HI50,","))&amp;",",","&amp;SUBSTITUTE(input_program," ","")&amp;",")))=0)),IF(HK50="",TRUE,IF(input_program="",FALSE,SUMPRODUCT(--ISNUMBER(SEARCH(","&amp;TRIM(TEXTSPLIT(HK50,","))&amp;",",","&amp;SUBSTITUTE(input_program," ","")&amp;",")))&gt;0)),IF(HM50="",TRUE,IF(input_program="",FALSE,SUMPRODUCT(--ISNUMBER(SEARCH(","&amp;TRIM(TEXTSPLIT(HM50,","))&amp;",",","&amp;SUBSTITUTE(input_program," ","")&amp;",")))=COUNTA(TEXTSPLIT(HM50,",")))))</f>
        <v/>
      </c>
      <c r="JO50" s="19">
        <f>AND(IF(HO50="",TRUE,IF(input_story_categories="",FALSE,SUMPRODUCT(--ISNUMBER(SEARCH(","&amp;TRIM(TEXTSPLIT(HO50,","))&amp;",",","&amp;SUBSTITUTE(input_story_categories," ","")&amp;",")))&gt;0)),IF(HQ50="",TRUE,IF(input_story_categories="",FALSE,SUMPRODUCT(--ISNUMBER(SEARCH(","&amp;TRIM(TEXTSPLIT(HQ50,","))&amp;",",","&amp;SUBSTITUTE(input_story_categories," ","")&amp;",")))=COUNTA(TEXTSPLIT(HQ50,",")))),IF(HS50="",TRUE,IF(input_story_categories="",TRUE,SUMPRODUCT(--ISNUMBER(SEARCH(","&amp;TRIM(TEXTSPLIT(HS50,","))&amp;",",","&amp;SUBSTITUTE(input_story_categories," ","")&amp;",")))=0)),IF(HU50="",TRUE,IF(input_story_categories="",FALSE,SUMPRODUCT(--ISNUMBER(SEARCH(","&amp;TRIM(TEXTSPLIT(HU50,","))&amp;",",","&amp;SUBSTITUTE(input_story_categories," ","")&amp;",")))&gt;0)),IF(HW50="",TRUE,IF(input_story_categories="",FALSE,SUMPRODUCT(--ISNUMBER(SEARCH(","&amp;TRIM(TEXTSPLIT(HW50,","))&amp;",",","&amp;SUBSTITUTE(input_story_categories," ","")&amp;",")))=COUNTA(TEXTSPLIT(HW50,",")))))</f>
        <v/>
      </c>
      <c r="JP50" s="19">
        <f>AND(IF(HY50="",TRUE,IF(input_story_type="",FALSE,SUMPRODUCT(--ISNUMBER(SEARCH(","&amp;TRIM(TEXTSPLIT(HY50,","))&amp;",",","&amp;SUBSTITUTE(input_story_type," ","")&amp;",")))&gt;0)),IF(IA50="",TRUE,IF(input_story_type="",FALSE,SUMPRODUCT(--ISNUMBER(SEARCH(","&amp;TRIM(TEXTSPLIT(IA50,","))&amp;",",","&amp;SUBSTITUTE(input_story_type," ","")&amp;",")))=COUNTA(TEXTSPLIT(IA50,",")))),IF(IC50="",TRUE,IF(input_story_type="",TRUE,SUMPRODUCT(--ISNUMBER(SEARCH(","&amp;TRIM(TEXTSPLIT(IC50,","))&amp;",",","&amp;SUBSTITUTE(input_story_type," ","")&amp;",")))=0)),IF(IE50="",TRUE,IF(input_story_type="",FALSE,SUMPRODUCT(--ISNUMBER(SEARCH(","&amp;TRIM(TEXTSPLIT(IE50,","))&amp;",",","&amp;SUBSTITUTE(input_story_type," ","")&amp;",")))&gt;0)),IF(IG50="",TRUE,IF(input_story_type="",FALSE,SUMPRODUCT(--ISNUMBER(SEARCH(","&amp;TRIM(TEXTSPLIT(IG50,","))&amp;",",","&amp;SUBSTITUTE(input_story_type," ","")&amp;",")))=COUNTA(TEXTSPLIT(IG50,",")))))</f>
        <v/>
      </c>
      <c r="JQ50" s="19">
        <f>AND(IF(II50="",TRUE,IF(input_topics="",FALSE,SUMPRODUCT(--ISNUMBER(SEARCH(","&amp;TRIM(TEXTSPLIT(II50,","))&amp;",",","&amp;SUBSTITUTE(input_topics," ","")&amp;",")))&gt;0)),IF(IK50="",TRUE,IF(input_topics="",FALSE,SUMPRODUCT(--ISNUMBER(SEARCH(","&amp;TRIM(TEXTSPLIT(IK50,","))&amp;",",","&amp;SUBSTITUTE(input_topics," ","")&amp;",")))=COUNTA(TEXTSPLIT(IK50,",")))),IF(IM50="",TRUE,IF(input_topics="",TRUE,SUMPRODUCT(--ISNUMBER(SEARCH(","&amp;TRIM(TEXTSPLIT(IM50,","))&amp;",",","&amp;SUBSTITUTE(input_topics," ","")&amp;",")))=0)),IF(IO50="",TRUE,IF(input_topics="",FALSE,SUMPRODUCT(--ISNUMBER(SEARCH(","&amp;TRIM(TEXTSPLIT(IO50,","))&amp;",",","&amp;SUBSTITUTE(input_topics," ","")&amp;",")))&gt;0)),IF(IQ50="",TRUE,IF(input_topics="",FALSE,SUMPRODUCT(--ISNUMBER(SEARCH(","&amp;TRIM(TEXTSPLIT(IQ50,","))&amp;",",","&amp;SUBSTITUTE(input_topics," ","")&amp;",")))=COUNTA(TEXTSPLIT(IQ50,",")))))</f>
        <v/>
      </c>
    </row>
    <row r="51">
      <c r="A51" s="24">
        <f>IF(NOT(IS51),"Excluded",IF(AND(IT51,IU51,IV51,IW51,IX51,IY51,IZ51,JA51,JB51,JC51,JD51,JE51,JF51,JG51,JH51,JI51,JJ51,JK51,JL51,JM51,JN51,JO51,JP51,JQ51),IF(I51&gt;0,"Eligible but limited","Will appear"),"Excluded"))</f>
        <v/>
      </c>
      <c r="B51" s="24" t="inlineStr">
        <is>
          <t>All Publications by Author</t>
        </is>
      </c>
      <c r="C51" s="27" t="inlineStr">
        <is>
          <t>/faculty-research/faculty-directory/tauhid-zaman</t>
        </is>
      </c>
      <c r="D51" s="24" t="inlineStr">
        <is>
          <t>/faculty-research/faculty-directory/tauhid-zaman</t>
        </is>
      </c>
      <c r="E51" s="24" t="n">
        <v>1</v>
      </c>
      <c r="F51" s="24" t="inlineStr">
        <is>
          <t>publications</t>
        </is>
      </c>
      <c r="G51" s="24" t="inlineStr">
        <is>
          <t>publication_teaser_list</t>
        </is>
      </c>
      <c r="H51" s="24" t="inlineStr">
        <is>
          <t>publication_teaser_list_all_by_author</t>
        </is>
      </c>
      <c r="I51" s="24" t="n"/>
      <c r="J51" s="24" t="inlineStr">
        <is>
          <t>View/config rules</t>
        </is>
      </c>
      <c r="K51" s="24" t="inlineStr">
        <is>
          <t>Page placement</t>
        </is>
      </c>
      <c r="L51" s="24" t="inlineStr">
        <is>
          <t>Content type: publications; Source: View/config rules</t>
        </is>
      </c>
      <c r="IS51" s="19">
        <f>IF(input_content_type="",FALSE,ISNUMBER(SEARCH(","&amp;LOWER(input_content_type)&amp;",",","&amp;LOWER(SUBSTITUTE(F51," ",""))&amp;",")))</f>
        <v/>
      </c>
      <c r="IT51" s="19">
        <f>AND(IF(M51="",TRUE,IF(input_affiliations="",FALSE,SUMPRODUCT(--ISNUMBER(SEARCH(","&amp;TRIM(TEXTSPLIT(M51,","))&amp;",",","&amp;SUBSTITUTE(input_affiliations," ","")&amp;",")))&gt;0)),IF(O51="",TRUE,IF(input_affiliations="",FALSE,SUMPRODUCT(--ISNUMBER(SEARCH(","&amp;TRIM(TEXTSPLIT(O51,","))&amp;",",","&amp;SUBSTITUTE(input_affiliations," ","")&amp;",")))=COUNTA(TEXTSPLIT(O51,",")))),IF(Q51="",TRUE,IF(input_affiliations="",TRUE,SUMPRODUCT(--ISNUMBER(SEARCH(","&amp;TRIM(TEXTSPLIT(Q51,","))&amp;",",","&amp;SUBSTITUTE(input_affiliations," ","")&amp;",")))=0)),IF(S51="",TRUE,IF(input_affiliations="",FALSE,SUMPRODUCT(--ISNUMBER(SEARCH(","&amp;TRIM(TEXTSPLIT(S51,","))&amp;",",","&amp;SUBSTITUTE(input_affiliations," ","")&amp;",")))&gt;0)),IF(U51="",TRUE,IF(input_affiliations="",FALSE,SUMPRODUCT(--ISNUMBER(SEARCH(","&amp;TRIM(TEXTSPLIT(U51,","))&amp;",",","&amp;SUBSTITUTE(input_affiliations," ","")&amp;",")))=COUNTA(TEXTSPLIT(U51,",")))))</f>
        <v/>
      </c>
      <c r="IU51" s="19">
        <f>AND(IF(W51="",TRUE,IF(input_announcement_category="",FALSE,SUMPRODUCT(--ISNUMBER(SEARCH(","&amp;TRIM(TEXTSPLIT(W51,","))&amp;",",","&amp;SUBSTITUTE(input_announcement_category," ","")&amp;",")))&gt;0)),IF(Y51="",TRUE,IF(input_announcement_category="",FALSE,SUMPRODUCT(--ISNUMBER(SEARCH(","&amp;TRIM(TEXTSPLIT(Y51,","))&amp;",",","&amp;SUBSTITUTE(input_announcement_category," ","")&amp;",")))=COUNTA(TEXTSPLIT(Y51,",")))),IF(AA51="",TRUE,IF(input_announcement_category="",TRUE,SUMPRODUCT(--ISNUMBER(SEARCH(","&amp;TRIM(TEXTSPLIT(AA51,","))&amp;",",","&amp;SUBSTITUTE(input_announcement_category," ","")&amp;",")))=0)),IF(AC51="",TRUE,IF(input_announcement_category="",FALSE,SUMPRODUCT(--ISNUMBER(SEARCH(","&amp;TRIM(TEXTSPLIT(AC51,","))&amp;",",","&amp;SUBSTITUTE(input_announcement_category," ","")&amp;",")))&gt;0)),IF(AE51="",TRUE,IF(input_announcement_category="",FALSE,SUMPRODUCT(--ISNUMBER(SEARCH(","&amp;TRIM(TEXTSPLIT(AE51,","))&amp;",",","&amp;SUBSTITUTE(input_announcement_category," ","")&amp;",")))=COUNTA(TEXTSPLIT(AE51,",")))))</f>
        <v/>
      </c>
      <c r="IV51" s="19">
        <f>AND(IF(AG51="",TRUE,IF(input_area_of_focus="",FALSE,SUMPRODUCT(--ISNUMBER(SEARCH(","&amp;TRIM(TEXTSPLIT(AG51,","))&amp;",",","&amp;SUBSTITUTE(input_area_of_focus," ","")&amp;",")))&gt;0)),IF(AI51="",TRUE,IF(input_area_of_focus="",FALSE,SUMPRODUCT(--ISNUMBER(SEARCH(","&amp;TRIM(TEXTSPLIT(AI51,","))&amp;",",","&amp;SUBSTITUTE(input_area_of_focus," ","")&amp;",")))=COUNTA(TEXTSPLIT(AI51,",")))),IF(AK51="",TRUE,IF(input_area_of_focus="",TRUE,SUMPRODUCT(--ISNUMBER(SEARCH(","&amp;TRIM(TEXTSPLIT(AK51,","))&amp;",",","&amp;SUBSTITUTE(input_area_of_focus," ","")&amp;",")))=0)),IF(AM51="",TRUE,IF(input_area_of_focus="",FALSE,SUMPRODUCT(--ISNUMBER(SEARCH(","&amp;TRIM(TEXTSPLIT(AM51,","))&amp;",",","&amp;SUBSTITUTE(input_area_of_focus," ","")&amp;",")))&gt;0)),IF(AO51="",TRUE,IF(input_area_of_focus="",FALSE,SUMPRODUCT(--ISNUMBER(SEARCH(","&amp;TRIM(TEXTSPLIT(AO51,","))&amp;",",","&amp;SUBSTITUTE(input_area_of_focus," ","")&amp;",")))=COUNTA(TEXTSPLIT(AO51,",")))))</f>
        <v/>
      </c>
      <c r="IW51" s="19">
        <f>AND(IF(AQ51="",TRUE,IF(input_audience="",FALSE,SUMPRODUCT(--ISNUMBER(SEARCH(","&amp;TRIM(TEXTSPLIT(AQ51,","))&amp;",",","&amp;SUBSTITUTE(input_audience," ","")&amp;",")))&gt;0)),IF(AS51="",TRUE,IF(input_audience="",FALSE,SUMPRODUCT(--ISNUMBER(SEARCH(","&amp;TRIM(TEXTSPLIT(AS51,","))&amp;",",","&amp;SUBSTITUTE(input_audience," ","")&amp;",")))=COUNTA(TEXTSPLIT(AS51,",")))),IF(AU51="",TRUE,IF(input_audience="",TRUE,SUMPRODUCT(--ISNUMBER(SEARCH(","&amp;TRIM(TEXTSPLIT(AU51,","))&amp;",",","&amp;SUBSTITUTE(input_audience," ","")&amp;",")))=0)),IF(AW51="",TRUE,IF(input_audience="",FALSE,SUMPRODUCT(--ISNUMBER(SEARCH(","&amp;TRIM(TEXTSPLIT(AW51,","))&amp;",",","&amp;SUBSTITUTE(input_audience," ","")&amp;",")))&gt;0)),IF(AY51="",TRUE,IF(input_audience="",FALSE,SUMPRODUCT(--ISNUMBER(SEARCH(","&amp;TRIM(TEXTSPLIT(AY51,","))&amp;",",","&amp;SUBSTITUTE(input_audience," ","")&amp;",")))=COUNTA(TEXTSPLIT(AY51,",")))))</f>
        <v/>
      </c>
      <c r="IX51" s="19">
        <f>AND(IF(BA51="",TRUE,IF(input_challenge_opportunities="",FALSE,SUMPRODUCT(--ISNUMBER(SEARCH(","&amp;TRIM(TEXTSPLIT(BA51,","))&amp;",",","&amp;SUBSTITUTE(input_challenge_opportunities," ","")&amp;",")))&gt;0)),IF(BC51="",TRUE,IF(input_challenge_opportunities="",FALSE,SUMPRODUCT(--ISNUMBER(SEARCH(","&amp;TRIM(TEXTSPLIT(BC51,","))&amp;",",","&amp;SUBSTITUTE(input_challenge_opportunities," ","")&amp;",")))=COUNTA(TEXTSPLIT(BC51,",")))),IF(BE51="",TRUE,IF(input_challenge_opportunities="",TRUE,SUMPRODUCT(--ISNUMBER(SEARCH(","&amp;TRIM(TEXTSPLIT(BE51,","))&amp;",",","&amp;SUBSTITUTE(input_challenge_opportunities," ","")&amp;",")))=0)),IF(BG51="",TRUE,IF(input_challenge_opportunities="",FALSE,SUMPRODUCT(--ISNUMBER(SEARCH(","&amp;TRIM(TEXTSPLIT(BG51,","))&amp;",",","&amp;SUBSTITUTE(input_challenge_opportunities," ","")&amp;",")))&gt;0)),IF(BI51="",TRUE,IF(input_challenge_opportunities="",FALSE,SUMPRODUCT(--ISNUMBER(SEARCH(","&amp;TRIM(TEXTSPLIT(BI51,","))&amp;",",","&amp;SUBSTITUTE(input_challenge_opportunities," ","")&amp;",")))=COUNTA(TEXTSPLIT(BI51,",")))))</f>
        <v/>
      </c>
      <c r="IY51" s="19">
        <f>AND(IF(BK51="",TRUE,IF(input_context="",FALSE,SUMPRODUCT(--ISNUMBER(SEARCH(","&amp;TRIM(TEXTSPLIT(BK51,","))&amp;",",","&amp;SUBSTITUTE(input_context," ","")&amp;",")))&gt;0)),IF(BM51="",TRUE,IF(input_context="",FALSE,SUMPRODUCT(--ISNUMBER(SEARCH(","&amp;TRIM(TEXTSPLIT(BM51,","))&amp;",",","&amp;SUBSTITUTE(input_context," ","")&amp;",")))=COUNTA(TEXTSPLIT(BM51,",")))),IF(BO51="",TRUE,IF(input_context="",TRUE,SUMPRODUCT(--ISNUMBER(SEARCH(","&amp;TRIM(TEXTSPLIT(BO51,","))&amp;",",","&amp;SUBSTITUTE(input_context," ","")&amp;",")))=0)),IF(BQ51="",TRUE,IF(input_context="",FALSE,SUMPRODUCT(--ISNUMBER(SEARCH(","&amp;TRIM(TEXTSPLIT(BQ51,","))&amp;",",","&amp;SUBSTITUTE(input_context," ","")&amp;",")))&gt;0)),IF(BS51="",TRUE,IF(input_context="",FALSE,SUMPRODUCT(--ISNUMBER(SEARCH(","&amp;TRIM(TEXTSPLIT(BS51,","))&amp;",",","&amp;SUBSTITUTE(input_context," ","")&amp;",")))=COUNTA(TEXTSPLIT(BS51,",")))))</f>
        <v/>
      </c>
      <c r="IZ51" s="19">
        <f>AND(IF(BU51="",TRUE,IF(input_enews_announcement_type="",FALSE,SUMPRODUCT(--ISNUMBER(SEARCH(","&amp;TRIM(TEXTSPLIT(BU51,","))&amp;",",","&amp;SUBSTITUTE(input_enews_announcement_type," ","")&amp;",")))&gt;0)),IF(BW51="",TRUE,IF(input_enews_announcement_type="",FALSE,SUMPRODUCT(--ISNUMBER(SEARCH(","&amp;TRIM(TEXTSPLIT(BW51,","))&amp;",",","&amp;SUBSTITUTE(input_enews_announcement_type," ","")&amp;",")))=COUNTA(TEXTSPLIT(BW51,",")))),IF(BY51="",TRUE,IF(input_enews_announcement_type="",TRUE,SUMPRODUCT(--ISNUMBER(SEARCH(","&amp;TRIM(TEXTSPLIT(BY51,","))&amp;",",","&amp;SUBSTITUTE(input_enews_announcement_type," ","")&amp;",")))=0)),IF(CA51="",TRUE,IF(input_enews_announcement_type="",FALSE,SUMPRODUCT(--ISNUMBER(SEARCH(","&amp;TRIM(TEXTSPLIT(CA51,","))&amp;",",","&amp;SUBSTITUTE(input_enews_announcement_type," ","")&amp;",")))&gt;0)),IF(CC51="",TRUE,IF(input_enews_announcement_type="",FALSE,SUMPRODUCT(--ISNUMBER(SEARCH(","&amp;TRIM(TEXTSPLIT(CC51,","))&amp;",",","&amp;SUBSTITUTE(input_enews_announcement_type," ","")&amp;",")))=COUNTA(TEXTSPLIT(CC51,",")))))</f>
        <v/>
      </c>
      <c r="JA51" s="19">
        <f>AND(IF(CE51="",TRUE,IF(input_enews_audience="",FALSE,SUMPRODUCT(--ISNUMBER(SEARCH(","&amp;TRIM(TEXTSPLIT(CE51,","))&amp;",",","&amp;SUBSTITUTE(input_enews_audience," ","")&amp;",")))&gt;0)),IF(CG51="",TRUE,IF(input_enews_audience="",FALSE,SUMPRODUCT(--ISNUMBER(SEARCH(","&amp;TRIM(TEXTSPLIT(CG51,","))&amp;",",","&amp;SUBSTITUTE(input_enews_audience," ","")&amp;",")))=COUNTA(TEXTSPLIT(CG51,",")))),IF(CI51="",TRUE,IF(input_enews_audience="",TRUE,SUMPRODUCT(--ISNUMBER(SEARCH(","&amp;TRIM(TEXTSPLIT(CI51,","))&amp;",",","&amp;SUBSTITUTE(input_enews_audience," ","")&amp;",")))=0)),IF(CK51="",TRUE,IF(input_enews_audience="",FALSE,SUMPRODUCT(--ISNUMBER(SEARCH(","&amp;TRIM(TEXTSPLIT(CK51,","))&amp;",",","&amp;SUBSTITUTE(input_enews_audience," ","")&amp;",")))&gt;0)),IF(CM51="",TRUE,IF(input_enews_audience="",FALSE,SUMPRODUCT(--ISNUMBER(SEARCH(","&amp;TRIM(TEXTSPLIT(CM51,","))&amp;",",","&amp;SUBSTITUTE(input_enews_audience," ","")&amp;",")))=COUNTA(TEXTSPLIT(CM51,",")))))</f>
        <v/>
      </c>
      <c r="JB51" s="19">
        <f>AND(IF(CO51="",TRUE,IF(input_event_location="",FALSE,SUMPRODUCT(--ISNUMBER(SEARCH(","&amp;TRIM(TEXTSPLIT(CO51,","))&amp;",",","&amp;SUBSTITUTE(input_event_location," ","")&amp;",")))&gt;0)),IF(CQ51="",TRUE,IF(input_event_location="",FALSE,SUMPRODUCT(--ISNUMBER(SEARCH(","&amp;TRIM(TEXTSPLIT(CQ51,","))&amp;",",","&amp;SUBSTITUTE(input_event_location," ","")&amp;",")))=COUNTA(TEXTSPLIT(CQ51,",")))),IF(CS51="",TRUE,IF(input_event_location="",TRUE,SUMPRODUCT(--ISNUMBER(SEARCH(","&amp;TRIM(TEXTSPLIT(CS51,","))&amp;",",","&amp;SUBSTITUTE(input_event_location," ","")&amp;",")))=0)),IF(CU51="",TRUE,IF(input_event_location="",FALSE,SUMPRODUCT(--ISNUMBER(SEARCH(","&amp;TRIM(TEXTSPLIT(CU51,","))&amp;",",","&amp;SUBSTITUTE(input_event_location," ","")&amp;",")))&gt;0)),IF(CW51="",TRUE,IF(input_event_location="",FALSE,SUMPRODUCT(--ISNUMBER(SEARCH(","&amp;TRIM(TEXTSPLIT(CW51,","))&amp;",",","&amp;SUBSTITUTE(input_event_location," ","")&amp;",")))=COUNTA(TEXTSPLIT(CW51,",")))))</f>
        <v/>
      </c>
      <c r="JC51" s="19">
        <f>AND(IF(CY51="",TRUE,IF(input_event_type="",FALSE,SUMPRODUCT(--ISNUMBER(SEARCH(","&amp;TRIM(TEXTSPLIT(CY51,","))&amp;",",","&amp;SUBSTITUTE(input_event_type," ","")&amp;",")))&gt;0)),IF(DA51="",TRUE,IF(input_event_type="",FALSE,SUMPRODUCT(--ISNUMBER(SEARCH(","&amp;TRIM(TEXTSPLIT(DA51,","))&amp;",",","&amp;SUBSTITUTE(input_event_type," ","")&amp;",")))=COUNTA(TEXTSPLIT(DA51,",")))),IF(DC51="",TRUE,IF(input_event_type="",TRUE,SUMPRODUCT(--ISNUMBER(SEARCH(","&amp;TRIM(TEXTSPLIT(DC51,","))&amp;",",","&amp;SUBSTITUTE(input_event_type," ","")&amp;",")))=0)),IF(DE51="",TRUE,IF(input_event_type="",FALSE,SUMPRODUCT(--ISNUMBER(SEARCH(","&amp;TRIM(TEXTSPLIT(DE51,","))&amp;",",","&amp;SUBSTITUTE(input_event_type," ","")&amp;",")))&gt;0)),IF(DG51="",TRUE,IF(input_event_type="",FALSE,SUMPRODUCT(--ISNUMBER(SEARCH(","&amp;TRIM(TEXTSPLIT(DG51,","))&amp;",",","&amp;SUBSTITUTE(input_event_type," ","")&amp;",")))=COUNTA(TEXTSPLIT(DG51,",")))))</f>
        <v/>
      </c>
      <c r="JD51" s="19">
        <f>AND(IF(DI51="",TRUE,IF(input_executive_education_focus="",FALSE,SUMPRODUCT(--ISNUMBER(SEARCH(","&amp;TRIM(TEXTSPLIT(DI51,","))&amp;",",","&amp;SUBSTITUTE(input_executive_education_focus," ","")&amp;",")))&gt;0)),IF(DK51="",TRUE,IF(input_executive_education_focus="",FALSE,SUMPRODUCT(--ISNUMBER(SEARCH(","&amp;TRIM(TEXTSPLIT(DK51,","))&amp;",",","&amp;SUBSTITUTE(input_executive_education_focus," ","")&amp;",")))=COUNTA(TEXTSPLIT(DK51,",")))),IF(DM51="",TRUE,IF(input_executive_education_focus="",TRUE,SUMPRODUCT(--ISNUMBER(SEARCH(","&amp;TRIM(TEXTSPLIT(DM51,","))&amp;",",","&amp;SUBSTITUTE(input_executive_education_focus," ","")&amp;",")))=0)),IF(DO51="",TRUE,IF(input_executive_education_focus="",FALSE,SUMPRODUCT(--ISNUMBER(SEARCH(","&amp;TRIM(TEXTSPLIT(DO51,","))&amp;",",","&amp;SUBSTITUTE(input_executive_education_focus," ","")&amp;",")))&gt;0)),IF(DQ51="",TRUE,IF(input_executive_education_focus="",FALSE,SUMPRODUCT(--ISNUMBER(SEARCH(","&amp;TRIM(TEXTSPLIT(DQ51,","))&amp;",",","&amp;SUBSTITUTE(input_executive_education_focus," ","")&amp;",")))=COUNTA(TEXTSPLIT(DQ51,",")))))</f>
        <v/>
      </c>
      <c r="JE51" s="19">
        <f>AND(IF(DS51="",TRUE,IF(input_faculty_category="",FALSE,SUMPRODUCT(--ISNUMBER(SEARCH(","&amp;TRIM(TEXTSPLIT(DS51,","))&amp;",",","&amp;SUBSTITUTE(input_faculty_category," ","")&amp;",")))&gt;0)),IF(DU51="",TRUE,IF(input_faculty_category="",FALSE,SUMPRODUCT(--ISNUMBER(SEARCH(","&amp;TRIM(TEXTSPLIT(DU51,","))&amp;",",","&amp;SUBSTITUTE(input_faculty_category," ","")&amp;",")))=COUNTA(TEXTSPLIT(DU51,",")))),IF(DW51="",TRUE,IF(input_faculty_category="",TRUE,SUMPRODUCT(--ISNUMBER(SEARCH(","&amp;TRIM(TEXTSPLIT(DW51,","))&amp;",",","&amp;SUBSTITUTE(input_faculty_category," ","")&amp;",")))=0)),IF(DY51="",TRUE,IF(input_faculty_category="",FALSE,SUMPRODUCT(--ISNUMBER(SEARCH(","&amp;TRIM(TEXTSPLIT(DY51,","))&amp;",",","&amp;SUBSTITUTE(input_faculty_category," ","")&amp;",")))&gt;0)),IF(EA51="",TRUE,IF(input_faculty_category="",FALSE,SUMPRODUCT(--ISNUMBER(SEARCH(","&amp;TRIM(TEXTSPLIT(EA51,","))&amp;",",","&amp;SUBSTITUTE(input_faculty_category," ","")&amp;",")))=COUNTA(TEXTSPLIT(EA51,",")))))</f>
        <v/>
      </c>
      <c r="JF51" s="19">
        <f>AND(IF(EC51="",TRUE,IF(input_faculty_discipline="",FALSE,SUMPRODUCT(--ISNUMBER(SEARCH(","&amp;TRIM(TEXTSPLIT(EC51,","))&amp;",",","&amp;SUBSTITUTE(input_faculty_discipline," ","")&amp;",")))&gt;0)),IF(EE51="",TRUE,IF(input_faculty_discipline="",FALSE,SUMPRODUCT(--ISNUMBER(SEARCH(","&amp;TRIM(TEXTSPLIT(EE51,","))&amp;",",","&amp;SUBSTITUTE(input_faculty_discipline," ","")&amp;",")))=COUNTA(TEXTSPLIT(EE51,",")))),IF(EG51="",TRUE,IF(input_faculty_discipline="",TRUE,SUMPRODUCT(--ISNUMBER(SEARCH(","&amp;TRIM(TEXTSPLIT(EG51,","))&amp;",",","&amp;SUBSTITUTE(input_faculty_discipline," ","")&amp;",")))=0)),IF(EI51="",TRUE,IF(input_faculty_discipline="",FALSE,SUMPRODUCT(--ISNUMBER(SEARCH(","&amp;TRIM(TEXTSPLIT(EI51,","))&amp;",",","&amp;SUBSTITUTE(input_faculty_discipline," ","")&amp;",")))&gt;0)),IF(EK51="",TRUE,IF(input_faculty_discipline="",FALSE,SUMPRODUCT(--ISNUMBER(SEARCH(","&amp;TRIM(TEXTSPLIT(EK51,","))&amp;",",","&amp;SUBSTITUTE(input_faculty_discipline," ","")&amp;",")))=COUNTA(TEXTSPLIT(EK51,",")))))</f>
        <v/>
      </c>
      <c r="JG51" s="19">
        <f>AND(IF(EM51="",TRUE,IF(input_faculty_expertise="",FALSE,SUMPRODUCT(--ISNUMBER(SEARCH(","&amp;TRIM(TEXTSPLIT(EM51,","))&amp;",",","&amp;SUBSTITUTE(input_faculty_expertise," ","")&amp;",")))&gt;0)),IF(EO51="",TRUE,IF(input_faculty_expertise="",FALSE,SUMPRODUCT(--ISNUMBER(SEARCH(","&amp;TRIM(TEXTSPLIT(EO51,","))&amp;",",","&amp;SUBSTITUTE(input_faculty_expertise," ","")&amp;",")))=COUNTA(TEXTSPLIT(EO51,",")))),IF(EQ51="",TRUE,IF(input_faculty_expertise="",TRUE,SUMPRODUCT(--ISNUMBER(SEARCH(","&amp;TRIM(TEXTSPLIT(EQ51,","))&amp;",",","&amp;SUBSTITUTE(input_faculty_expertise," ","")&amp;",")))=0)),IF(ES51="",TRUE,IF(input_faculty_expertise="",FALSE,SUMPRODUCT(--ISNUMBER(SEARCH(","&amp;TRIM(TEXTSPLIT(ES51,","))&amp;",",","&amp;SUBSTITUTE(input_faculty_expertise," ","")&amp;",")))&gt;0)),IF(EU51="",TRUE,IF(input_faculty_expertise="",FALSE,SUMPRODUCT(--ISNUMBER(SEARCH(","&amp;TRIM(TEXTSPLIT(EU51,","))&amp;",",","&amp;SUBSTITUTE(input_faculty_expertise," ","")&amp;",")))=COUNTA(TEXTSPLIT(EU51,",")))))</f>
        <v/>
      </c>
      <c r="JH51" s="19">
        <f>AND(IF(EW51="",TRUE,IF(input_global_network_school="",FALSE,SUMPRODUCT(--ISNUMBER(SEARCH(","&amp;TRIM(TEXTSPLIT(EW51,","))&amp;",",","&amp;SUBSTITUTE(input_global_network_school," ","")&amp;",")))&gt;0)),IF(EY51="",TRUE,IF(input_global_network_school="",FALSE,SUMPRODUCT(--ISNUMBER(SEARCH(","&amp;TRIM(TEXTSPLIT(EY51,","))&amp;",",","&amp;SUBSTITUTE(input_global_network_school," ","")&amp;",")))=COUNTA(TEXTSPLIT(EY51,",")))),IF(FA51="",TRUE,IF(input_global_network_school="",TRUE,SUMPRODUCT(--ISNUMBER(SEARCH(","&amp;TRIM(TEXTSPLIT(FA51,","))&amp;",",","&amp;SUBSTITUTE(input_global_network_school," ","")&amp;",")))=0)),IF(FC51="",TRUE,IF(input_global_network_school="",FALSE,SUMPRODUCT(--ISNUMBER(SEARCH(","&amp;TRIM(TEXTSPLIT(FC51,","))&amp;",",","&amp;SUBSTITUTE(input_global_network_school," ","")&amp;",")))&gt;0)),IF(FE51="",TRUE,IF(input_global_network_school="",FALSE,SUMPRODUCT(--ISNUMBER(SEARCH(","&amp;TRIM(TEXTSPLIT(FE51,","))&amp;",",","&amp;SUBSTITUTE(input_global_network_school," ","")&amp;",")))=COUNTA(TEXTSPLIT(FE51,",")))))</f>
        <v/>
      </c>
      <c r="JI51" s="19">
        <f>AND(IF(FG51="",TRUE,IF(input_industry="",FALSE,SUMPRODUCT(--ISNUMBER(SEARCH(","&amp;TRIM(TEXTSPLIT(FG51,","))&amp;",",","&amp;SUBSTITUTE(input_industry," ","")&amp;",")))&gt;0)),IF(FI51="",TRUE,IF(input_industry="",FALSE,SUMPRODUCT(--ISNUMBER(SEARCH(","&amp;TRIM(TEXTSPLIT(FI51,","))&amp;",",","&amp;SUBSTITUTE(input_industry," ","")&amp;",")))=COUNTA(TEXTSPLIT(FI51,",")))),IF(FK51="",TRUE,IF(input_industry="",TRUE,SUMPRODUCT(--ISNUMBER(SEARCH(","&amp;TRIM(TEXTSPLIT(FK51,","))&amp;",",","&amp;SUBSTITUTE(input_industry," ","")&amp;",")))=0)),IF(FM51="",TRUE,IF(input_industry="",FALSE,SUMPRODUCT(--ISNUMBER(SEARCH(","&amp;TRIM(TEXTSPLIT(FM51,","))&amp;",",","&amp;SUBSTITUTE(input_industry," ","")&amp;",")))&gt;0)),IF(FO51="",TRUE,IF(input_industry="",FALSE,SUMPRODUCT(--ISNUMBER(SEARCH(","&amp;TRIM(TEXTSPLIT(FO51,","))&amp;",",","&amp;SUBSTITUTE(input_industry," ","")&amp;",")))=COUNTA(TEXTSPLIT(FO51,",")))))</f>
        <v/>
      </c>
      <c r="JJ51" s="19">
        <f>AND(IF(FQ51="",TRUE,IF(input_location="",FALSE,SUMPRODUCT(--ISNUMBER(SEARCH(","&amp;TRIM(TEXTSPLIT(FQ51,","))&amp;",",","&amp;SUBSTITUTE(input_location," ","")&amp;",")))&gt;0)),IF(FS51="",TRUE,IF(input_location="",FALSE,SUMPRODUCT(--ISNUMBER(SEARCH(","&amp;TRIM(TEXTSPLIT(FS51,","))&amp;",",","&amp;SUBSTITUTE(input_location," ","")&amp;",")))=COUNTA(TEXTSPLIT(FS51,",")))),IF(FU51="",TRUE,IF(input_location="",TRUE,SUMPRODUCT(--ISNUMBER(SEARCH(","&amp;TRIM(TEXTSPLIT(FU51,","))&amp;",",","&amp;SUBSTITUTE(input_location," ","")&amp;",")))=0)),IF(FW51="",TRUE,IF(input_location="",FALSE,SUMPRODUCT(--ISNUMBER(SEARCH(","&amp;TRIM(TEXTSPLIT(FW51,","))&amp;",",","&amp;SUBSTITUTE(input_location," ","")&amp;",")))&gt;0)),IF(FY51="",TRUE,IF(input_location="",FALSE,SUMPRODUCT(--ISNUMBER(SEARCH(","&amp;TRIM(TEXTSPLIT(FY51,","))&amp;",",","&amp;SUBSTITUTE(input_location," ","")&amp;",")))=COUNTA(TEXTSPLIT(FY51,",")))))</f>
        <v/>
      </c>
      <c r="JK51" s="19">
        <f>AND(IF(GA51="",TRUE,IF(input_modality="",FALSE,SUMPRODUCT(--ISNUMBER(SEARCH(","&amp;TRIM(TEXTSPLIT(GA51,","))&amp;",",","&amp;SUBSTITUTE(input_modality," ","")&amp;",")))&gt;0)),IF(GC51="",TRUE,IF(input_modality="",FALSE,SUMPRODUCT(--ISNUMBER(SEARCH(","&amp;TRIM(TEXTSPLIT(GC51,","))&amp;",",","&amp;SUBSTITUTE(input_modality," ","")&amp;",")))=COUNTA(TEXTSPLIT(GC51,",")))),IF(GE51="",TRUE,IF(input_modality="",TRUE,SUMPRODUCT(--ISNUMBER(SEARCH(","&amp;TRIM(TEXTSPLIT(GE51,","))&amp;",",","&amp;SUBSTITUTE(input_modality," ","")&amp;",")))=0)),IF(GG51="",TRUE,IF(input_modality="",FALSE,SUMPRODUCT(--ISNUMBER(SEARCH(","&amp;TRIM(TEXTSPLIT(GG51,","))&amp;",",","&amp;SUBSTITUTE(input_modality," ","")&amp;",")))&gt;0)),IF(GI51="",TRUE,IF(input_modality="",FALSE,SUMPRODUCT(--ISNUMBER(SEARCH(","&amp;TRIM(TEXTSPLIT(GI51,","))&amp;",",","&amp;SUBSTITUTE(input_modality," ","")&amp;",")))=COUNTA(TEXTSPLIT(GI51,",")))))</f>
        <v/>
      </c>
      <c r="JL51" s="19">
        <f>AND(IF(GK51="",TRUE,IF(input_organizer="",FALSE,SUMPRODUCT(--ISNUMBER(SEARCH(","&amp;TRIM(TEXTSPLIT(GK51,","))&amp;",",","&amp;SUBSTITUTE(input_organizer," ","")&amp;",")))&gt;0)),IF(GM51="",TRUE,IF(input_organizer="",FALSE,SUMPRODUCT(--ISNUMBER(SEARCH(","&amp;TRIM(TEXTSPLIT(GM51,","))&amp;",",","&amp;SUBSTITUTE(input_organizer," ","")&amp;",")))=COUNTA(TEXTSPLIT(GM51,",")))),IF(GO51="",TRUE,IF(input_organizer="",TRUE,SUMPRODUCT(--ISNUMBER(SEARCH(","&amp;TRIM(TEXTSPLIT(GO51,","))&amp;",",","&amp;SUBSTITUTE(input_organizer," ","")&amp;",")))=0)),IF(GQ51="",TRUE,IF(input_organizer="",FALSE,SUMPRODUCT(--ISNUMBER(SEARCH(","&amp;TRIM(TEXTSPLIT(GQ51,","))&amp;",",","&amp;SUBSTITUTE(input_organizer," ","")&amp;",")))&gt;0)),IF(GS51="",TRUE,IF(input_organizer="",FALSE,SUMPRODUCT(--ISNUMBER(SEARCH(","&amp;TRIM(TEXTSPLIT(GS51,","))&amp;",",","&amp;SUBSTITUTE(input_organizer," ","")&amp;",")))=COUNTA(TEXTSPLIT(GS51,",")))))</f>
        <v/>
      </c>
      <c r="JM51" s="19">
        <f>AND(IF(GU51="",TRUE,IF(input_profile_type="",FALSE,SUMPRODUCT(--ISNUMBER(SEARCH(","&amp;TRIM(TEXTSPLIT(GU51,","))&amp;",",","&amp;SUBSTITUTE(input_profile_type," ","")&amp;",")))&gt;0)),IF(GW51="",TRUE,IF(input_profile_type="",FALSE,SUMPRODUCT(--ISNUMBER(SEARCH(","&amp;TRIM(TEXTSPLIT(GW51,","))&amp;",",","&amp;SUBSTITUTE(input_profile_type," ","")&amp;",")))=COUNTA(TEXTSPLIT(GW51,",")))),IF(GY51="",TRUE,IF(input_profile_type="",TRUE,SUMPRODUCT(--ISNUMBER(SEARCH(","&amp;TRIM(TEXTSPLIT(GY51,","))&amp;",",","&amp;SUBSTITUTE(input_profile_type," ","")&amp;",")))=0)),IF(HA51="",TRUE,IF(input_profile_type="",FALSE,SUMPRODUCT(--ISNUMBER(SEARCH(","&amp;TRIM(TEXTSPLIT(HA51,","))&amp;",",","&amp;SUBSTITUTE(input_profile_type," ","")&amp;",")))&gt;0)),IF(HC51="",TRUE,IF(input_profile_type="",FALSE,SUMPRODUCT(--ISNUMBER(SEARCH(","&amp;TRIM(TEXTSPLIT(HC51,","))&amp;",",","&amp;SUBSTITUTE(input_profile_type," ","")&amp;",")))=COUNTA(TEXTSPLIT(HC51,",")))))</f>
        <v/>
      </c>
      <c r="JN51" s="19">
        <f>AND(IF(HE51="",TRUE,IF(input_program="",FALSE,SUMPRODUCT(--ISNUMBER(SEARCH(","&amp;TRIM(TEXTSPLIT(HE51,","))&amp;",",","&amp;SUBSTITUTE(input_program," ","")&amp;",")))&gt;0)),IF(HG51="",TRUE,IF(input_program="",FALSE,SUMPRODUCT(--ISNUMBER(SEARCH(","&amp;TRIM(TEXTSPLIT(HG51,","))&amp;",",","&amp;SUBSTITUTE(input_program," ","")&amp;",")))=COUNTA(TEXTSPLIT(HG51,",")))),IF(HI51="",TRUE,IF(input_program="",TRUE,SUMPRODUCT(--ISNUMBER(SEARCH(","&amp;TRIM(TEXTSPLIT(HI51,","))&amp;",",","&amp;SUBSTITUTE(input_program," ","")&amp;",")))=0)),IF(HK51="",TRUE,IF(input_program="",FALSE,SUMPRODUCT(--ISNUMBER(SEARCH(","&amp;TRIM(TEXTSPLIT(HK51,","))&amp;",",","&amp;SUBSTITUTE(input_program," ","")&amp;",")))&gt;0)),IF(HM51="",TRUE,IF(input_program="",FALSE,SUMPRODUCT(--ISNUMBER(SEARCH(","&amp;TRIM(TEXTSPLIT(HM51,","))&amp;",",","&amp;SUBSTITUTE(input_program," ","")&amp;",")))=COUNTA(TEXTSPLIT(HM51,",")))))</f>
        <v/>
      </c>
      <c r="JO51" s="19">
        <f>AND(IF(HO51="",TRUE,IF(input_story_categories="",FALSE,SUMPRODUCT(--ISNUMBER(SEARCH(","&amp;TRIM(TEXTSPLIT(HO51,","))&amp;",",","&amp;SUBSTITUTE(input_story_categories," ","")&amp;",")))&gt;0)),IF(HQ51="",TRUE,IF(input_story_categories="",FALSE,SUMPRODUCT(--ISNUMBER(SEARCH(","&amp;TRIM(TEXTSPLIT(HQ51,","))&amp;",",","&amp;SUBSTITUTE(input_story_categories," ","")&amp;",")))=COUNTA(TEXTSPLIT(HQ51,",")))),IF(HS51="",TRUE,IF(input_story_categories="",TRUE,SUMPRODUCT(--ISNUMBER(SEARCH(","&amp;TRIM(TEXTSPLIT(HS51,","))&amp;",",","&amp;SUBSTITUTE(input_story_categories," ","")&amp;",")))=0)),IF(HU51="",TRUE,IF(input_story_categories="",FALSE,SUMPRODUCT(--ISNUMBER(SEARCH(","&amp;TRIM(TEXTSPLIT(HU51,","))&amp;",",","&amp;SUBSTITUTE(input_story_categories," ","")&amp;",")))&gt;0)),IF(HW51="",TRUE,IF(input_story_categories="",FALSE,SUMPRODUCT(--ISNUMBER(SEARCH(","&amp;TRIM(TEXTSPLIT(HW51,","))&amp;",",","&amp;SUBSTITUTE(input_story_categories," ","")&amp;",")))=COUNTA(TEXTSPLIT(HW51,",")))))</f>
        <v/>
      </c>
      <c r="JP51" s="19">
        <f>AND(IF(HY51="",TRUE,IF(input_story_type="",FALSE,SUMPRODUCT(--ISNUMBER(SEARCH(","&amp;TRIM(TEXTSPLIT(HY51,","))&amp;",",","&amp;SUBSTITUTE(input_story_type," ","")&amp;",")))&gt;0)),IF(IA51="",TRUE,IF(input_story_type="",FALSE,SUMPRODUCT(--ISNUMBER(SEARCH(","&amp;TRIM(TEXTSPLIT(IA51,","))&amp;",",","&amp;SUBSTITUTE(input_story_type," ","")&amp;",")))=COUNTA(TEXTSPLIT(IA51,",")))),IF(IC51="",TRUE,IF(input_story_type="",TRUE,SUMPRODUCT(--ISNUMBER(SEARCH(","&amp;TRIM(TEXTSPLIT(IC51,","))&amp;",",","&amp;SUBSTITUTE(input_story_type," ","")&amp;",")))=0)),IF(IE51="",TRUE,IF(input_story_type="",FALSE,SUMPRODUCT(--ISNUMBER(SEARCH(","&amp;TRIM(TEXTSPLIT(IE51,","))&amp;",",","&amp;SUBSTITUTE(input_story_type," ","")&amp;",")))&gt;0)),IF(IG51="",TRUE,IF(input_story_type="",FALSE,SUMPRODUCT(--ISNUMBER(SEARCH(","&amp;TRIM(TEXTSPLIT(IG51,","))&amp;",",","&amp;SUBSTITUTE(input_story_type," ","")&amp;",")))=COUNTA(TEXTSPLIT(IG51,",")))))</f>
        <v/>
      </c>
      <c r="JQ51" s="19">
        <f>AND(IF(II51="",TRUE,IF(input_topics="",FALSE,SUMPRODUCT(--ISNUMBER(SEARCH(","&amp;TRIM(TEXTSPLIT(II51,","))&amp;",",","&amp;SUBSTITUTE(input_topics," ","")&amp;",")))&gt;0)),IF(IK51="",TRUE,IF(input_topics="",FALSE,SUMPRODUCT(--ISNUMBER(SEARCH(","&amp;TRIM(TEXTSPLIT(IK51,","))&amp;",",","&amp;SUBSTITUTE(input_topics," ","")&amp;",")))=COUNTA(TEXTSPLIT(IK51,",")))),IF(IM51="",TRUE,IF(input_topics="",TRUE,SUMPRODUCT(--ISNUMBER(SEARCH(","&amp;TRIM(TEXTSPLIT(IM51,","))&amp;",",","&amp;SUBSTITUTE(input_topics," ","")&amp;",")))=0)),IF(IO51="",TRUE,IF(input_topics="",FALSE,SUMPRODUCT(--ISNUMBER(SEARCH(","&amp;TRIM(TEXTSPLIT(IO51,","))&amp;",",","&amp;SUBSTITUTE(input_topics," ","")&amp;",")))&gt;0)),IF(IQ51="",TRUE,IF(input_topics="",FALSE,SUMPRODUCT(--ISNUMBER(SEARCH(","&amp;TRIM(TEXTSPLIT(IQ51,","))&amp;",",","&amp;SUBSTITUTE(input_topics," ","")&amp;",")))=COUNTA(TEXTSPLIT(IQ51,",")))))</f>
        <v/>
      </c>
    </row>
    <row r="52">
      <c r="A52" s="24">
        <f>IF(NOT(IS52),"Excluded",IF(AND(IT52,IU52,IV52,IW52,IX52,IY52,IZ52,JA52,JB52,JC52,JD52,JE52,JF52,JG52,JH52,JI52,JJ52,JK52,JL52,JM52,JN52,JO52,JP52,JQ52),IF(I52&gt;0,"Eligible but limited","Will appear"),"Excluded"))</f>
        <v/>
      </c>
      <c r="B52" s="24" t="inlineStr">
        <is>
          <t>All Publications by Author</t>
        </is>
      </c>
      <c r="C52" s="27" t="inlineStr">
        <is>
          <t>/faculty-research/faculty-directory/tobias-j-moskowitz</t>
        </is>
      </c>
      <c r="D52" s="24" t="inlineStr">
        <is>
          <t>/faculty-research/faculty-directory/tobias-j-moskowitz</t>
        </is>
      </c>
      <c r="E52" s="24" t="n">
        <v>1</v>
      </c>
      <c r="F52" s="24" t="inlineStr">
        <is>
          <t>publications</t>
        </is>
      </c>
      <c r="G52" s="24" t="inlineStr">
        <is>
          <t>publication_teaser_list</t>
        </is>
      </c>
      <c r="H52" s="24" t="inlineStr">
        <is>
          <t>publication_teaser_list_all_by_author</t>
        </is>
      </c>
      <c r="I52" s="24" t="n"/>
      <c r="J52" s="24" t="inlineStr">
        <is>
          <t>View/config rules</t>
        </is>
      </c>
      <c r="K52" s="24" t="inlineStr">
        <is>
          <t>Page placement</t>
        </is>
      </c>
      <c r="L52" s="24" t="inlineStr">
        <is>
          <t>Content type: publications; Source: View/config rules</t>
        </is>
      </c>
      <c r="IS52" s="19">
        <f>IF(input_content_type="",FALSE,ISNUMBER(SEARCH(","&amp;LOWER(input_content_type)&amp;",",","&amp;LOWER(SUBSTITUTE(F52," ",""))&amp;",")))</f>
        <v/>
      </c>
      <c r="IT52" s="19">
        <f>AND(IF(M52="",TRUE,IF(input_affiliations="",FALSE,SUMPRODUCT(--ISNUMBER(SEARCH(","&amp;TRIM(TEXTSPLIT(M52,","))&amp;",",","&amp;SUBSTITUTE(input_affiliations," ","")&amp;",")))&gt;0)),IF(O52="",TRUE,IF(input_affiliations="",FALSE,SUMPRODUCT(--ISNUMBER(SEARCH(","&amp;TRIM(TEXTSPLIT(O52,","))&amp;",",","&amp;SUBSTITUTE(input_affiliations," ","")&amp;",")))=COUNTA(TEXTSPLIT(O52,",")))),IF(Q52="",TRUE,IF(input_affiliations="",TRUE,SUMPRODUCT(--ISNUMBER(SEARCH(","&amp;TRIM(TEXTSPLIT(Q52,","))&amp;",",","&amp;SUBSTITUTE(input_affiliations," ","")&amp;",")))=0)),IF(S52="",TRUE,IF(input_affiliations="",FALSE,SUMPRODUCT(--ISNUMBER(SEARCH(","&amp;TRIM(TEXTSPLIT(S52,","))&amp;",",","&amp;SUBSTITUTE(input_affiliations," ","")&amp;",")))&gt;0)),IF(U52="",TRUE,IF(input_affiliations="",FALSE,SUMPRODUCT(--ISNUMBER(SEARCH(","&amp;TRIM(TEXTSPLIT(U52,","))&amp;",",","&amp;SUBSTITUTE(input_affiliations," ","")&amp;",")))=COUNTA(TEXTSPLIT(U52,",")))))</f>
        <v/>
      </c>
      <c r="IU52" s="19">
        <f>AND(IF(W52="",TRUE,IF(input_announcement_category="",FALSE,SUMPRODUCT(--ISNUMBER(SEARCH(","&amp;TRIM(TEXTSPLIT(W52,","))&amp;",",","&amp;SUBSTITUTE(input_announcement_category," ","")&amp;",")))&gt;0)),IF(Y52="",TRUE,IF(input_announcement_category="",FALSE,SUMPRODUCT(--ISNUMBER(SEARCH(","&amp;TRIM(TEXTSPLIT(Y52,","))&amp;",",","&amp;SUBSTITUTE(input_announcement_category," ","")&amp;",")))=COUNTA(TEXTSPLIT(Y52,",")))),IF(AA52="",TRUE,IF(input_announcement_category="",TRUE,SUMPRODUCT(--ISNUMBER(SEARCH(","&amp;TRIM(TEXTSPLIT(AA52,","))&amp;",",","&amp;SUBSTITUTE(input_announcement_category," ","")&amp;",")))=0)),IF(AC52="",TRUE,IF(input_announcement_category="",FALSE,SUMPRODUCT(--ISNUMBER(SEARCH(","&amp;TRIM(TEXTSPLIT(AC52,","))&amp;",",","&amp;SUBSTITUTE(input_announcement_category," ","")&amp;",")))&gt;0)),IF(AE52="",TRUE,IF(input_announcement_category="",FALSE,SUMPRODUCT(--ISNUMBER(SEARCH(","&amp;TRIM(TEXTSPLIT(AE52,","))&amp;",",","&amp;SUBSTITUTE(input_announcement_category," ","")&amp;",")))=COUNTA(TEXTSPLIT(AE52,",")))))</f>
        <v/>
      </c>
      <c r="IV52" s="19">
        <f>AND(IF(AG52="",TRUE,IF(input_area_of_focus="",FALSE,SUMPRODUCT(--ISNUMBER(SEARCH(","&amp;TRIM(TEXTSPLIT(AG52,","))&amp;",",","&amp;SUBSTITUTE(input_area_of_focus," ","")&amp;",")))&gt;0)),IF(AI52="",TRUE,IF(input_area_of_focus="",FALSE,SUMPRODUCT(--ISNUMBER(SEARCH(","&amp;TRIM(TEXTSPLIT(AI52,","))&amp;",",","&amp;SUBSTITUTE(input_area_of_focus," ","")&amp;",")))=COUNTA(TEXTSPLIT(AI52,",")))),IF(AK52="",TRUE,IF(input_area_of_focus="",TRUE,SUMPRODUCT(--ISNUMBER(SEARCH(","&amp;TRIM(TEXTSPLIT(AK52,","))&amp;",",","&amp;SUBSTITUTE(input_area_of_focus," ","")&amp;",")))=0)),IF(AM52="",TRUE,IF(input_area_of_focus="",FALSE,SUMPRODUCT(--ISNUMBER(SEARCH(","&amp;TRIM(TEXTSPLIT(AM52,","))&amp;",",","&amp;SUBSTITUTE(input_area_of_focus," ","")&amp;",")))&gt;0)),IF(AO52="",TRUE,IF(input_area_of_focus="",FALSE,SUMPRODUCT(--ISNUMBER(SEARCH(","&amp;TRIM(TEXTSPLIT(AO52,","))&amp;",",","&amp;SUBSTITUTE(input_area_of_focus," ","")&amp;",")))=COUNTA(TEXTSPLIT(AO52,",")))))</f>
        <v/>
      </c>
      <c r="IW52" s="19">
        <f>AND(IF(AQ52="",TRUE,IF(input_audience="",FALSE,SUMPRODUCT(--ISNUMBER(SEARCH(","&amp;TRIM(TEXTSPLIT(AQ52,","))&amp;",",","&amp;SUBSTITUTE(input_audience," ","")&amp;",")))&gt;0)),IF(AS52="",TRUE,IF(input_audience="",FALSE,SUMPRODUCT(--ISNUMBER(SEARCH(","&amp;TRIM(TEXTSPLIT(AS52,","))&amp;",",","&amp;SUBSTITUTE(input_audience," ","")&amp;",")))=COUNTA(TEXTSPLIT(AS52,",")))),IF(AU52="",TRUE,IF(input_audience="",TRUE,SUMPRODUCT(--ISNUMBER(SEARCH(","&amp;TRIM(TEXTSPLIT(AU52,","))&amp;",",","&amp;SUBSTITUTE(input_audience," ","")&amp;",")))=0)),IF(AW52="",TRUE,IF(input_audience="",FALSE,SUMPRODUCT(--ISNUMBER(SEARCH(","&amp;TRIM(TEXTSPLIT(AW52,","))&amp;",",","&amp;SUBSTITUTE(input_audience," ","")&amp;",")))&gt;0)),IF(AY52="",TRUE,IF(input_audience="",FALSE,SUMPRODUCT(--ISNUMBER(SEARCH(","&amp;TRIM(TEXTSPLIT(AY52,","))&amp;",",","&amp;SUBSTITUTE(input_audience," ","")&amp;",")))=COUNTA(TEXTSPLIT(AY52,",")))))</f>
        <v/>
      </c>
      <c r="IX52" s="19">
        <f>AND(IF(BA52="",TRUE,IF(input_challenge_opportunities="",FALSE,SUMPRODUCT(--ISNUMBER(SEARCH(","&amp;TRIM(TEXTSPLIT(BA52,","))&amp;",",","&amp;SUBSTITUTE(input_challenge_opportunities," ","")&amp;",")))&gt;0)),IF(BC52="",TRUE,IF(input_challenge_opportunities="",FALSE,SUMPRODUCT(--ISNUMBER(SEARCH(","&amp;TRIM(TEXTSPLIT(BC52,","))&amp;",",","&amp;SUBSTITUTE(input_challenge_opportunities," ","")&amp;",")))=COUNTA(TEXTSPLIT(BC52,",")))),IF(BE52="",TRUE,IF(input_challenge_opportunities="",TRUE,SUMPRODUCT(--ISNUMBER(SEARCH(","&amp;TRIM(TEXTSPLIT(BE52,","))&amp;",",","&amp;SUBSTITUTE(input_challenge_opportunities," ","")&amp;",")))=0)),IF(BG52="",TRUE,IF(input_challenge_opportunities="",FALSE,SUMPRODUCT(--ISNUMBER(SEARCH(","&amp;TRIM(TEXTSPLIT(BG52,","))&amp;",",","&amp;SUBSTITUTE(input_challenge_opportunities," ","")&amp;",")))&gt;0)),IF(BI52="",TRUE,IF(input_challenge_opportunities="",FALSE,SUMPRODUCT(--ISNUMBER(SEARCH(","&amp;TRIM(TEXTSPLIT(BI52,","))&amp;",",","&amp;SUBSTITUTE(input_challenge_opportunities," ","")&amp;",")))=COUNTA(TEXTSPLIT(BI52,",")))))</f>
        <v/>
      </c>
      <c r="IY52" s="19">
        <f>AND(IF(BK52="",TRUE,IF(input_context="",FALSE,SUMPRODUCT(--ISNUMBER(SEARCH(","&amp;TRIM(TEXTSPLIT(BK52,","))&amp;",",","&amp;SUBSTITUTE(input_context," ","")&amp;",")))&gt;0)),IF(BM52="",TRUE,IF(input_context="",FALSE,SUMPRODUCT(--ISNUMBER(SEARCH(","&amp;TRIM(TEXTSPLIT(BM52,","))&amp;",",","&amp;SUBSTITUTE(input_context," ","")&amp;",")))=COUNTA(TEXTSPLIT(BM52,",")))),IF(BO52="",TRUE,IF(input_context="",TRUE,SUMPRODUCT(--ISNUMBER(SEARCH(","&amp;TRIM(TEXTSPLIT(BO52,","))&amp;",",","&amp;SUBSTITUTE(input_context," ","")&amp;",")))=0)),IF(BQ52="",TRUE,IF(input_context="",FALSE,SUMPRODUCT(--ISNUMBER(SEARCH(","&amp;TRIM(TEXTSPLIT(BQ52,","))&amp;",",","&amp;SUBSTITUTE(input_context," ","")&amp;",")))&gt;0)),IF(BS52="",TRUE,IF(input_context="",FALSE,SUMPRODUCT(--ISNUMBER(SEARCH(","&amp;TRIM(TEXTSPLIT(BS52,","))&amp;",",","&amp;SUBSTITUTE(input_context," ","")&amp;",")))=COUNTA(TEXTSPLIT(BS52,",")))))</f>
        <v/>
      </c>
      <c r="IZ52" s="19">
        <f>AND(IF(BU52="",TRUE,IF(input_enews_announcement_type="",FALSE,SUMPRODUCT(--ISNUMBER(SEARCH(","&amp;TRIM(TEXTSPLIT(BU52,","))&amp;",",","&amp;SUBSTITUTE(input_enews_announcement_type," ","")&amp;",")))&gt;0)),IF(BW52="",TRUE,IF(input_enews_announcement_type="",FALSE,SUMPRODUCT(--ISNUMBER(SEARCH(","&amp;TRIM(TEXTSPLIT(BW52,","))&amp;",",","&amp;SUBSTITUTE(input_enews_announcement_type," ","")&amp;",")))=COUNTA(TEXTSPLIT(BW52,",")))),IF(BY52="",TRUE,IF(input_enews_announcement_type="",TRUE,SUMPRODUCT(--ISNUMBER(SEARCH(","&amp;TRIM(TEXTSPLIT(BY52,","))&amp;",",","&amp;SUBSTITUTE(input_enews_announcement_type," ","")&amp;",")))=0)),IF(CA52="",TRUE,IF(input_enews_announcement_type="",FALSE,SUMPRODUCT(--ISNUMBER(SEARCH(","&amp;TRIM(TEXTSPLIT(CA52,","))&amp;",",","&amp;SUBSTITUTE(input_enews_announcement_type," ","")&amp;",")))&gt;0)),IF(CC52="",TRUE,IF(input_enews_announcement_type="",FALSE,SUMPRODUCT(--ISNUMBER(SEARCH(","&amp;TRIM(TEXTSPLIT(CC52,","))&amp;",",","&amp;SUBSTITUTE(input_enews_announcement_type," ","")&amp;",")))=COUNTA(TEXTSPLIT(CC52,",")))))</f>
        <v/>
      </c>
      <c r="JA52" s="19">
        <f>AND(IF(CE52="",TRUE,IF(input_enews_audience="",FALSE,SUMPRODUCT(--ISNUMBER(SEARCH(","&amp;TRIM(TEXTSPLIT(CE52,","))&amp;",",","&amp;SUBSTITUTE(input_enews_audience," ","")&amp;",")))&gt;0)),IF(CG52="",TRUE,IF(input_enews_audience="",FALSE,SUMPRODUCT(--ISNUMBER(SEARCH(","&amp;TRIM(TEXTSPLIT(CG52,","))&amp;",",","&amp;SUBSTITUTE(input_enews_audience," ","")&amp;",")))=COUNTA(TEXTSPLIT(CG52,",")))),IF(CI52="",TRUE,IF(input_enews_audience="",TRUE,SUMPRODUCT(--ISNUMBER(SEARCH(","&amp;TRIM(TEXTSPLIT(CI52,","))&amp;",",","&amp;SUBSTITUTE(input_enews_audience," ","")&amp;",")))=0)),IF(CK52="",TRUE,IF(input_enews_audience="",FALSE,SUMPRODUCT(--ISNUMBER(SEARCH(","&amp;TRIM(TEXTSPLIT(CK52,","))&amp;",",","&amp;SUBSTITUTE(input_enews_audience," ","")&amp;",")))&gt;0)),IF(CM52="",TRUE,IF(input_enews_audience="",FALSE,SUMPRODUCT(--ISNUMBER(SEARCH(","&amp;TRIM(TEXTSPLIT(CM52,","))&amp;",",","&amp;SUBSTITUTE(input_enews_audience," ","")&amp;",")))=COUNTA(TEXTSPLIT(CM52,",")))))</f>
        <v/>
      </c>
      <c r="JB52" s="19">
        <f>AND(IF(CO52="",TRUE,IF(input_event_location="",FALSE,SUMPRODUCT(--ISNUMBER(SEARCH(","&amp;TRIM(TEXTSPLIT(CO52,","))&amp;",",","&amp;SUBSTITUTE(input_event_location," ","")&amp;",")))&gt;0)),IF(CQ52="",TRUE,IF(input_event_location="",FALSE,SUMPRODUCT(--ISNUMBER(SEARCH(","&amp;TRIM(TEXTSPLIT(CQ52,","))&amp;",",","&amp;SUBSTITUTE(input_event_location," ","")&amp;",")))=COUNTA(TEXTSPLIT(CQ52,",")))),IF(CS52="",TRUE,IF(input_event_location="",TRUE,SUMPRODUCT(--ISNUMBER(SEARCH(","&amp;TRIM(TEXTSPLIT(CS52,","))&amp;",",","&amp;SUBSTITUTE(input_event_location," ","")&amp;",")))=0)),IF(CU52="",TRUE,IF(input_event_location="",FALSE,SUMPRODUCT(--ISNUMBER(SEARCH(","&amp;TRIM(TEXTSPLIT(CU52,","))&amp;",",","&amp;SUBSTITUTE(input_event_location," ","")&amp;",")))&gt;0)),IF(CW52="",TRUE,IF(input_event_location="",FALSE,SUMPRODUCT(--ISNUMBER(SEARCH(","&amp;TRIM(TEXTSPLIT(CW52,","))&amp;",",","&amp;SUBSTITUTE(input_event_location," ","")&amp;",")))=COUNTA(TEXTSPLIT(CW52,",")))))</f>
        <v/>
      </c>
      <c r="JC52" s="19">
        <f>AND(IF(CY52="",TRUE,IF(input_event_type="",FALSE,SUMPRODUCT(--ISNUMBER(SEARCH(","&amp;TRIM(TEXTSPLIT(CY52,","))&amp;",",","&amp;SUBSTITUTE(input_event_type," ","")&amp;",")))&gt;0)),IF(DA52="",TRUE,IF(input_event_type="",FALSE,SUMPRODUCT(--ISNUMBER(SEARCH(","&amp;TRIM(TEXTSPLIT(DA52,","))&amp;",",","&amp;SUBSTITUTE(input_event_type," ","")&amp;",")))=COUNTA(TEXTSPLIT(DA52,",")))),IF(DC52="",TRUE,IF(input_event_type="",TRUE,SUMPRODUCT(--ISNUMBER(SEARCH(","&amp;TRIM(TEXTSPLIT(DC52,","))&amp;",",","&amp;SUBSTITUTE(input_event_type," ","")&amp;",")))=0)),IF(DE52="",TRUE,IF(input_event_type="",FALSE,SUMPRODUCT(--ISNUMBER(SEARCH(","&amp;TRIM(TEXTSPLIT(DE52,","))&amp;",",","&amp;SUBSTITUTE(input_event_type," ","")&amp;",")))&gt;0)),IF(DG52="",TRUE,IF(input_event_type="",FALSE,SUMPRODUCT(--ISNUMBER(SEARCH(","&amp;TRIM(TEXTSPLIT(DG52,","))&amp;",",","&amp;SUBSTITUTE(input_event_type," ","")&amp;",")))=COUNTA(TEXTSPLIT(DG52,",")))))</f>
        <v/>
      </c>
      <c r="JD52" s="19">
        <f>AND(IF(DI52="",TRUE,IF(input_executive_education_focus="",FALSE,SUMPRODUCT(--ISNUMBER(SEARCH(","&amp;TRIM(TEXTSPLIT(DI52,","))&amp;",",","&amp;SUBSTITUTE(input_executive_education_focus," ","")&amp;",")))&gt;0)),IF(DK52="",TRUE,IF(input_executive_education_focus="",FALSE,SUMPRODUCT(--ISNUMBER(SEARCH(","&amp;TRIM(TEXTSPLIT(DK52,","))&amp;",",","&amp;SUBSTITUTE(input_executive_education_focus," ","")&amp;",")))=COUNTA(TEXTSPLIT(DK52,",")))),IF(DM52="",TRUE,IF(input_executive_education_focus="",TRUE,SUMPRODUCT(--ISNUMBER(SEARCH(","&amp;TRIM(TEXTSPLIT(DM52,","))&amp;",",","&amp;SUBSTITUTE(input_executive_education_focus," ","")&amp;",")))=0)),IF(DO52="",TRUE,IF(input_executive_education_focus="",FALSE,SUMPRODUCT(--ISNUMBER(SEARCH(","&amp;TRIM(TEXTSPLIT(DO52,","))&amp;",",","&amp;SUBSTITUTE(input_executive_education_focus," ","")&amp;",")))&gt;0)),IF(DQ52="",TRUE,IF(input_executive_education_focus="",FALSE,SUMPRODUCT(--ISNUMBER(SEARCH(","&amp;TRIM(TEXTSPLIT(DQ52,","))&amp;",",","&amp;SUBSTITUTE(input_executive_education_focus," ","")&amp;",")))=COUNTA(TEXTSPLIT(DQ52,",")))))</f>
        <v/>
      </c>
      <c r="JE52" s="19">
        <f>AND(IF(DS52="",TRUE,IF(input_faculty_category="",FALSE,SUMPRODUCT(--ISNUMBER(SEARCH(","&amp;TRIM(TEXTSPLIT(DS52,","))&amp;",",","&amp;SUBSTITUTE(input_faculty_category," ","")&amp;",")))&gt;0)),IF(DU52="",TRUE,IF(input_faculty_category="",FALSE,SUMPRODUCT(--ISNUMBER(SEARCH(","&amp;TRIM(TEXTSPLIT(DU52,","))&amp;",",","&amp;SUBSTITUTE(input_faculty_category," ","")&amp;",")))=COUNTA(TEXTSPLIT(DU52,",")))),IF(DW52="",TRUE,IF(input_faculty_category="",TRUE,SUMPRODUCT(--ISNUMBER(SEARCH(","&amp;TRIM(TEXTSPLIT(DW52,","))&amp;",",","&amp;SUBSTITUTE(input_faculty_category," ","")&amp;",")))=0)),IF(DY52="",TRUE,IF(input_faculty_category="",FALSE,SUMPRODUCT(--ISNUMBER(SEARCH(","&amp;TRIM(TEXTSPLIT(DY52,","))&amp;",",","&amp;SUBSTITUTE(input_faculty_category," ","")&amp;",")))&gt;0)),IF(EA52="",TRUE,IF(input_faculty_category="",FALSE,SUMPRODUCT(--ISNUMBER(SEARCH(","&amp;TRIM(TEXTSPLIT(EA52,","))&amp;",",","&amp;SUBSTITUTE(input_faculty_category," ","")&amp;",")))=COUNTA(TEXTSPLIT(EA52,",")))))</f>
        <v/>
      </c>
      <c r="JF52" s="19">
        <f>AND(IF(EC52="",TRUE,IF(input_faculty_discipline="",FALSE,SUMPRODUCT(--ISNUMBER(SEARCH(","&amp;TRIM(TEXTSPLIT(EC52,","))&amp;",",","&amp;SUBSTITUTE(input_faculty_discipline," ","")&amp;",")))&gt;0)),IF(EE52="",TRUE,IF(input_faculty_discipline="",FALSE,SUMPRODUCT(--ISNUMBER(SEARCH(","&amp;TRIM(TEXTSPLIT(EE52,","))&amp;",",","&amp;SUBSTITUTE(input_faculty_discipline," ","")&amp;",")))=COUNTA(TEXTSPLIT(EE52,",")))),IF(EG52="",TRUE,IF(input_faculty_discipline="",TRUE,SUMPRODUCT(--ISNUMBER(SEARCH(","&amp;TRIM(TEXTSPLIT(EG52,","))&amp;",",","&amp;SUBSTITUTE(input_faculty_discipline," ","")&amp;",")))=0)),IF(EI52="",TRUE,IF(input_faculty_discipline="",FALSE,SUMPRODUCT(--ISNUMBER(SEARCH(","&amp;TRIM(TEXTSPLIT(EI52,","))&amp;",",","&amp;SUBSTITUTE(input_faculty_discipline," ","")&amp;",")))&gt;0)),IF(EK52="",TRUE,IF(input_faculty_discipline="",FALSE,SUMPRODUCT(--ISNUMBER(SEARCH(","&amp;TRIM(TEXTSPLIT(EK52,","))&amp;",",","&amp;SUBSTITUTE(input_faculty_discipline," ","")&amp;",")))=COUNTA(TEXTSPLIT(EK52,",")))))</f>
        <v/>
      </c>
      <c r="JG52" s="19">
        <f>AND(IF(EM52="",TRUE,IF(input_faculty_expertise="",FALSE,SUMPRODUCT(--ISNUMBER(SEARCH(","&amp;TRIM(TEXTSPLIT(EM52,","))&amp;",",","&amp;SUBSTITUTE(input_faculty_expertise," ","")&amp;",")))&gt;0)),IF(EO52="",TRUE,IF(input_faculty_expertise="",FALSE,SUMPRODUCT(--ISNUMBER(SEARCH(","&amp;TRIM(TEXTSPLIT(EO52,","))&amp;",",","&amp;SUBSTITUTE(input_faculty_expertise," ","")&amp;",")))=COUNTA(TEXTSPLIT(EO52,",")))),IF(EQ52="",TRUE,IF(input_faculty_expertise="",TRUE,SUMPRODUCT(--ISNUMBER(SEARCH(","&amp;TRIM(TEXTSPLIT(EQ52,","))&amp;",",","&amp;SUBSTITUTE(input_faculty_expertise," ","")&amp;",")))=0)),IF(ES52="",TRUE,IF(input_faculty_expertise="",FALSE,SUMPRODUCT(--ISNUMBER(SEARCH(","&amp;TRIM(TEXTSPLIT(ES52,","))&amp;",",","&amp;SUBSTITUTE(input_faculty_expertise," ","")&amp;",")))&gt;0)),IF(EU52="",TRUE,IF(input_faculty_expertise="",FALSE,SUMPRODUCT(--ISNUMBER(SEARCH(","&amp;TRIM(TEXTSPLIT(EU52,","))&amp;",",","&amp;SUBSTITUTE(input_faculty_expertise," ","")&amp;",")))=COUNTA(TEXTSPLIT(EU52,",")))))</f>
        <v/>
      </c>
      <c r="JH52" s="19">
        <f>AND(IF(EW52="",TRUE,IF(input_global_network_school="",FALSE,SUMPRODUCT(--ISNUMBER(SEARCH(","&amp;TRIM(TEXTSPLIT(EW52,","))&amp;",",","&amp;SUBSTITUTE(input_global_network_school," ","")&amp;",")))&gt;0)),IF(EY52="",TRUE,IF(input_global_network_school="",FALSE,SUMPRODUCT(--ISNUMBER(SEARCH(","&amp;TRIM(TEXTSPLIT(EY52,","))&amp;",",","&amp;SUBSTITUTE(input_global_network_school," ","")&amp;",")))=COUNTA(TEXTSPLIT(EY52,",")))),IF(FA52="",TRUE,IF(input_global_network_school="",TRUE,SUMPRODUCT(--ISNUMBER(SEARCH(","&amp;TRIM(TEXTSPLIT(FA52,","))&amp;",",","&amp;SUBSTITUTE(input_global_network_school," ","")&amp;",")))=0)),IF(FC52="",TRUE,IF(input_global_network_school="",FALSE,SUMPRODUCT(--ISNUMBER(SEARCH(","&amp;TRIM(TEXTSPLIT(FC52,","))&amp;",",","&amp;SUBSTITUTE(input_global_network_school," ","")&amp;",")))&gt;0)),IF(FE52="",TRUE,IF(input_global_network_school="",FALSE,SUMPRODUCT(--ISNUMBER(SEARCH(","&amp;TRIM(TEXTSPLIT(FE52,","))&amp;",",","&amp;SUBSTITUTE(input_global_network_school," ","")&amp;",")))=COUNTA(TEXTSPLIT(FE52,",")))))</f>
        <v/>
      </c>
      <c r="JI52" s="19">
        <f>AND(IF(FG52="",TRUE,IF(input_industry="",FALSE,SUMPRODUCT(--ISNUMBER(SEARCH(","&amp;TRIM(TEXTSPLIT(FG52,","))&amp;",",","&amp;SUBSTITUTE(input_industry," ","")&amp;",")))&gt;0)),IF(FI52="",TRUE,IF(input_industry="",FALSE,SUMPRODUCT(--ISNUMBER(SEARCH(","&amp;TRIM(TEXTSPLIT(FI52,","))&amp;",",","&amp;SUBSTITUTE(input_industry," ","")&amp;",")))=COUNTA(TEXTSPLIT(FI52,",")))),IF(FK52="",TRUE,IF(input_industry="",TRUE,SUMPRODUCT(--ISNUMBER(SEARCH(","&amp;TRIM(TEXTSPLIT(FK52,","))&amp;",",","&amp;SUBSTITUTE(input_industry," ","")&amp;",")))=0)),IF(FM52="",TRUE,IF(input_industry="",FALSE,SUMPRODUCT(--ISNUMBER(SEARCH(","&amp;TRIM(TEXTSPLIT(FM52,","))&amp;",",","&amp;SUBSTITUTE(input_industry," ","")&amp;",")))&gt;0)),IF(FO52="",TRUE,IF(input_industry="",FALSE,SUMPRODUCT(--ISNUMBER(SEARCH(","&amp;TRIM(TEXTSPLIT(FO52,","))&amp;",",","&amp;SUBSTITUTE(input_industry," ","")&amp;",")))=COUNTA(TEXTSPLIT(FO52,",")))))</f>
        <v/>
      </c>
      <c r="JJ52" s="19">
        <f>AND(IF(FQ52="",TRUE,IF(input_location="",FALSE,SUMPRODUCT(--ISNUMBER(SEARCH(","&amp;TRIM(TEXTSPLIT(FQ52,","))&amp;",",","&amp;SUBSTITUTE(input_location," ","")&amp;",")))&gt;0)),IF(FS52="",TRUE,IF(input_location="",FALSE,SUMPRODUCT(--ISNUMBER(SEARCH(","&amp;TRIM(TEXTSPLIT(FS52,","))&amp;",",","&amp;SUBSTITUTE(input_location," ","")&amp;",")))=COUNTA(TEXTSPLIT(FS52,",")))),IF(FU52="",TRUE,IF(input_location="",TRUE,SUMPRODUCT(--ISNUMBER(SEARCH(","&amp;TRIM(TEXTSPLIT(FU52,","))&amp;",",","&amp;SUBSTITUTE(input_location," ","")&amp;",")))=0)),IF(FW52="",TRUE,IF(input_location="",FALSE,SUMPRODUCT(--ISNUMBER(SEARCH(","&amp;TRIM(TEXTSPLIT(FW52,","))&amp;",",","&amp;SUBSTITUTE(input_location," ","")&amp;",")))&gt;0)),IF(FY52="",TRUE,IF(input_location="",FALSE,SUMPRODUCT(--ISNUMBER(SEARCH(","&amp;TRIM(TEXTSPLIT(FY52,","))&amp;",",","&amp;SUBSTITUTE(input_location," ","")&amp;",")))=COUNTA(TEXTSPLIT(FY52,",")))))</f>
        <v/>
      </c>
      <c r="JK52" s="19">
        <f>AND(IF(GA52="",TRUE,IF(input_modality="",FALSE,SUMPRODUCT(--ISNUMBER(SEARCH(","&amp;TRIM(TEXTSPLIT(GA52,","))&amp;",",","&amp;SUBSTITUTE(input_modality," ","")&amp;",")))&gt;0)),IF(GC52="",TRUE,IF(input_modality="",FALSE,SUMPRODUCT(--ISNUMBER(SEARCH(","&amp;TRIM(TEXTSPLIT(GC52,","))&amp;",",","&amp;SUBSTITUTE(input_modality," ","")&amp;",")))=COUNTA(TEXTSPLIT(GC52,",")))),IF(GE52="",TRUE,IF(input_modality="",TRUE,SUMPRODUCT(--ISNUMBER(SEARCH(","&amp;TRIM(TEXTSPLIT(GE52,","))&amp;",",","&amp;SUBSTITUTE(input_modality," ","")&amp;",")))=0)),IF(GG52="",TRUE,IF(input_modality="",FALSE,SUMPRODUCT(--ISNUMBER(SEARCH(","&amp;TRIM(TEXTSPLIT(GG52,","))&amp;",",","&amp;SUBSTITUTE(input_modality," ","")&amp;",")))&gt;0)),IF(GI52="",TRUE,IF(input_modality="",FALSE,SUMPRODUCT(--ISNUMBER(SEARCH(","&amp;TRIM(TEXTSPLIT(GI52,","))&amp;",",","&amp;SUBSTITUTE(input_modality," ","")&amp;",")))=COUNTA(TEXTSPLIT(GI52,",")))))</f>
        <v/>
      </c>
      <c r="JL52" s="19">
        <f>AND(IF(GK52="",TRUE,IF(input_organizer="",FALSE,SUMPRODUCT(--ISNUMBER(SEARCH(","&amp;TRIM(TEXTSPLIT(GK52,","))&amp;",",","&amp;SUBSTITUTE(input_organizer," ","")&amp;",")))&gt;0)),IF(GM52="",TRUE,IF(input_organizer="",FALSE,SUMPRODUCT(--ISNUMBER(SEARCH(","&amp;TRIM(TEXTSPLIT(GM52,","))&amp;",",","&amp;SUBSTITUTE(input_organizer," ","")&amp;",")))=COUNTA(TEXTSPLIT(GM52,",")))),IF(GO52="",TRUE,IF(input_organizer="",TRUE,SUMPRODUCT(--ISNUMBER(SEARCH(","&amp;TRIM(TEXTSPLIT(GO52,","))&amp;",",","&amp;SUBSTITUTE(input_organizer," ","")&amp;",")))=0)),IF(GQ52="",TRUE,IF(input_organizer="",FALSE,SUMPRODUCT(--ISNUMBER(SEARCH(","&amp;TRIM(TEXTSPLIT(GQ52,","))&amp;",",","&amp;SUBSTITUTE(input_organizer," ","")&amp;",")))&gt;0)),IF(GS52="",TRUE,IF(input_organizer="",FALSE,SUMPRODUCT(--ISNUMBER(SEARCH(","&amp;TRIM(TEXTSPLIT(GS52,","))&amp;",",","&amp;SUBSTITUTE(input_organizer," ","")&amp;",")))=COUNTA(TEXTSPLIT(GS52,",")))))</f>
        <v/>
      </c>
      <c r="JM52" s="19">
        <f>AND(IF(GU52="",TRUE,IF(input_profile_type="",FALSE,SUMPRODUCT(--ISNUMBER(SEARCH(","&amp;TRIM(TEXTSPLIT(GU52,","))&amp;",",","&amp;SUBSTITUTE(input_profile_type," ","")&amp;",")))&gt;0)),IF(GW52="",TRUE,IF(input_profile_type="",FALSE,SUMPRODUCT(--ISNUMBER(SEARCH(","&amp;TRIM(TEXTSPLIT(GW52,","))&amp;",",","&amp;SUBSTITUTE(input_profile_type," ","")&amp;",")))=COUNTA(TEXTSPLIT(GW52,",")))),IF(GY52="",TRUE,IF(input_profile_type="",TRUE,SUMPRODUCT(--ISNUMBER(SEARCH(","&amp;TRIM(TEXTSPLIT(GY52,","))&amp;",",","&amp;SUBSTITUTE(input_profile_type," ","")&amp;",")))=0)),IF(HA52="",TRUE,IF(input_profile_type="",FALSE,SUMPRODUCT(--ISNUMBER(SEARCH(","&amp;TRIM(TEXTSPLIT(HA52,","))&amp;",",","&amp;SUBSTITUTE(input_profile_type," ","")&amp;",")))&gt;0)),IF(HC52="",TRUE,IF(input_profile_type="",FALSE,SUMPRODUCT(--ISNUMBER(SEARCH(","&amp;TRIM(TEXTSPLIT(HC52,","))&amp;",",","&amp;SUBSTITUTE(input_profile_type," ","")&amp;",")))=COUNTA(TEXTSPLIT(HC52,",")))))</f>
        <v/>
      </c>
      <c r="JN52" s="19">
        <f>AND(IF(HE52="",TRUE,IF(input_program="",FALSE,SUMPRODUCT(--ISNUMBER(SEARCH(","&amp;TRIM(TEXTSPLIT(HE52,","))&amp;",",","&amp;SUBSTITUTE(input_program," ","")&amp;",")))&gt;0)),IF(HG52="",TRUE,IF(input_program="",FALSE,SUMPRODUCT(--ISNUMBER(SEARCH(","&amp;TRIM(TEXTSPLIT(HG52,","))&amp;",",","&amp;SUBSTITUTE(input_program," ","")&amp;",")))=COUNTA(TEXTSPLIT(HG52,",")))),IF(HI52="",TRUE,IF(input_program="",TRUE,SUMPRODUCT(--ISNUMBER(SEARCH(","&amp;TRIM(TEXTSPLIT(HI52,","))&amp;",",","&amp;SUBSTITUTE(input_program," ","")&amp;",")))=0)),IF(HK52="",TRUE,IF(input_program="",FALSE,SUMPRODUCT(--ISNUMBER(SEARCH(","&amp;TRIM(TEXTSPLIT(HK52,","))&amp;",",","&amp;SUBSTITUTE(input_program," ","")&amp;",")))&gt;0)),IF(HM52="",TRUE,IF(input_program="",FALSE,SUMPRODUCT(--ISNUMBER(SEARCH(","&amp;TRIM(TEXTSPLIT(HM52,","))&amp;",",","&amp;SUBSTITUTE(input_program," ","")&amp;",")))=COUNTA(TEXTSPLIT(HM52,",")))))</f>
        <v/>
      </c>
      <c r="JO52" s="19">
        <f>AND(IF(HO52="",TRUE,IF(input_story_categories="",FALSE,SUMPRODUCT(--ISNUMBER(SEARCH(","&amp;TRIM(TEXTSPLIT(HO52,","))&amp;",",","&amp;SUBSTITUTE(input_story_categories," ","")&amp;",")))&gt;0)),IF(HQ52="",TRUE,IF(input_story_categories="",FALSE,SUMPRODUCT(--ISNUMBER(SEARCH(","&amp;TRIM(TEXTSPLIT(HQ52,","))&amp;",",","&amp;SUBSTITUTE(input_story_categories," ","")&amp;",")))=COUNTA(TEXTSPLIT(HQ52,",")))),IF(HS52="",TRUE,IF(input_story_categories="",TRUE,SUMPRODUCT(--ISNUMBER(SEARCH(","&amp;TRIM(TEXTSPLIT(HS52,","))&amp;",",","&amp;SUBSTITUTE(input_story_categories," ","")&amp;",")))=0)),IF(HU52="",TRUE,IF(input_story_categories="",FALSE,SUMPRODUCT(--ISNUMBER(SEARCH(","&amp;TRIM(TEXTSPLIT(HU52,","))&amp;",",","&amp;SUBSTITUTE(input_story_categories," ","")&amp;",")))&gt;0)),IF(HW52="",TRUE,IF(input_story_categories="",FALSE,SUMPRODUCT(--ISNUMBER(SEARCH(","&amp;TRIM(TEXTSPLIT(HW52,","))&amp;",",","&amp;SUBSTITUTE(input_story_categories," ","")&amp;",")))=COUNTA(TEXTSPLIT(HW52,",")))))</f>
        <v/>
      </c>
      <c r="JP52" s="19">
        <f>AND(IF(HY52="",TRUE,IF(input_story_type="",FALSE,SUMPRODUCT(--ISNUMBER(SEARCH(","&amp;TRIM(TEXTSPLIT(HY52,","))&amp;",",","&amp;SUBSTITUTE(input_story_type," ","")&amp;",")))&gt;0)),IF(IA52="",TRUE,IF(input_story_type="",FALSE,SUMPRODUCT(--ISNUMBER(SEARCH(","&amp;TRIM(TEXTSPLIT(IA52,","))&amp;",",","&amp;SUBSTITUTE(input_story_type," ","")&amp;",")))=COUNTA(TEXTSPLIT(IA52,",")))),IF(IC52="",TRUE,IF(input_story_type="",TRUE,SUMPRODUCT(--ISNUMBER(SEARCH(","&amp;TRIM(TEXTSPLIT(IC52,","))&amp;",",","&amp;SUBSTITUTE(input_story_type," ","")&amp;",")))=0)),IF(IE52="",TRUE,IF(input_story_type="",FALSE,SUMPRODUCT(--ISNUMBER(SEARCH(","&amp;TRIM(TEXTSPLIT(IE52,","))&amp;",",","&amp;SUBSTITUTE(input_story_type," ","")&amp;",")))&gt;0)),IF(IG52="",TRUE,IF(input_story_type="",FALSE,SUMPRODUCT(--ISNUMBER(SEARCH(","&amp;TRIM(TEXTSPLIT(IG52,","))&amp;",",","&amp;SUBSTITUTE(input_story_type," ","")&amp;",")))=COUNTA(TEXTSPLIT(IG52,",")))))</f>
        <v/>
      </c>
      <c r="JQ52" s="19">
        <f>AND(IF(II52="",TRUE,IF(input_topics="",FALSE,SUMPRODUCT(--ISNUMBER(SEARCH(","&amp;TRIM(TEXTSPLIT(II52,","))&amp;",",","&amp;SUBSTITUTE(input_topics," ","")&amp;",")))&gt;0)),IF(IK52="",TRUE,IF(input_topics="",FALSE,SUMPRODUCT(--ISNUMBER(SEARCH(","&amp;TRIM(TEXTSPLIT(IK52,","))&amp;",",","&amp;SUBSTITUTE(input_topics," ","")&amp;",")))=COUNTA(TEXTSPLIT(IK52,",")))),IF(IM52="",TRUE,IF(input_topics="",TRUE,SUMPRODUCT(--ISNUMBER(SEARCH(","&amp;TRIM(TEXTSPLIT(IM52,","))&amp;",",","&amp;SUBSTITUTE(input_topics," ","")&amp;",")))=0)),IF(IO52="",TRUE,IF(input_topics="",FALSE,SUMPRODUCT(--ISNUMBER(SEARCH(","&amp;TRIM(TEXTSPLIT(IO52,","))&amp;",",","&amp;SUBSTITUTE(input_topics," ","")&amp;",")))&gt;0)),IF(IQ52="",TRUE,IF(input_topics="",FALSE,SUMPRODUCT(--ISNUMBER(SEARCH(","&amp;TRIM(TEXTSPLIT(IQ52,","))&amp;",",","&amp;SUBSTITUTE(input_topics," ","")&amp;",")))=COUNTA(TEXTSPLIT(IQ52,",")))))</f>
        <v/>
      </c>
    </row>
    <row r="53">
      <c r="A53" s="24">
        <f>IF(NOT(IS53),"Excluded",IF(AND(IT53,IU53,IV53,IW53,IX53,IY53,IZ53,JA53,JB53,JC53,JD53,JE53,JF53,JG53,JH53,JI53,JJ53,JK53,JL53,JM53,JN53,JO53,JP53,JQ53),IF(I53&gt;0,"Eligible but limited","Will appear"),"Excluded"))</f>
        <v/>
      </c>
      <c r="B53" s="24" t="inlineStr">
        <is>
          <t>All Publications by Author</t>
        </is>
      </c>
      <c r="C53" s="27" t="inlineStr">
        <is>
          <t>/faculty-research/faculty-directory/tony-sheldon</t>
        </is>
      </c>
      <c r="D53" s="24" t="inlineStr">
        <is>
          <t>/faculty-research/faculty-directory/tony-sheldon</t>
        </is>
      </c>
      <c r="E53" s="24" t="n">
        <v>1</v>
      </c>
      <c r="F53" s="24" t="inlineStr">
        <is>
          <t>publications</t>
        </is>
      </c>
      <c r="G53" s="24" t="inlineStr">
        <is>
          <t>publication_teaser_list</t>
        </is>
      </c>
      <c r="H53" s="24" t="inlineStr">
        <is>
          <t>publication_teaser_list_all_by_author</t>
        </is>
      </c>
      <c r="I53" s="24" t="n"/>
      <c r="J53" s="24" t="inlineStr">
        <is>
          <t>View/config rules</t>
        </is>
      </c>
      <c r="K53" s="24" t="inlineStr">
        <is>
          <t>Page placement</t>
        </is>
      </c>
      <c r="L53" s="24" t="inlineStr">
        <is>
          <t>Content type: publications; Source: View/config rules</t>
        </is>
      </c>
      <c r="IS53" s="19">
        <f>IF(input_content_type="",FALSE,ISNUMBER(SEARCH(","&amp;LOWER(input_content_type)&amp;",",","&amp;LOWER(SUBSTITUTE(F53," ",""))&amp;",")))</f>
        <v/>
      </c>
      <c r="IT53" s="19">
        <f>AND(IF(M53="",TRUE,IF(input_affiliations="",FALSE,SUMPRODUCT(--ISNUMBER(SEARCH(","&amp;TRIM(TEXTSPLIT(M53,","))&amp;",",","&amp;SUBSTITUTE(input_affiliations," ","")&amp;",")))&gt;0)),IF(O53="",TRUE,IF(input_affiliations="",FALSE,SUMPRODUCT(--ISNUMBER(SEARCH(","&amp;TRIM(TEXTSPLIT(O53,","))&amp;",",","&amp;SUBSTITUTE(input_affiliations," ","")&amp;",")))=COUNTA(TEXTSPLIT(O53,",")))),IF(Q53="",TRUE,IF(input_affiliations="",TRUE,SUMPRODUCT(--ISNUMBER(SEARCH(","&amp;TRIM(TEXTSPLIT(Q53,","))&amp;",",","&amp;SUBSTITUTE(input_affiliations," ","")&amp;",")))=0)),IF(S53="",TRUE,IF(input_affiliations="",FALSE,SUMPRODUCT(--ISNUMBER(SEARCH(","&amp;TRIM(TEXTSPLIT(S53,","))&amp;",",","&amp;SUBSTITUTE(input_affiliations," ","")&amp;",")))&gt;0)),IF(U53="",TRUE,IF(input_affiliations="",FALSE,SUMPRODUCT(--ISNUMBER(SEARCH(","&amp;TRIM(TEXTSPLIT(U53,","))&amp;",",","&amp;SUBSTITUTE(input_affiliations," ","")&amp;",")))=COUNTA(TEXTSPLIT(U53,",")))))</f>
        <v/>
      </c>
      <c r="IU53" s="19">
        <f>AND(IF(W53="",TRUE,IF(input_announcement_category="",FALSE,SUMPRODUCT(--ISNUMBER(SEARCH(","&amp;TRIM(TEXTSPLIT(W53,","))&amp;",",","&amp;SUBSTITUTE(input_announcement_category," ","")&amp;",")))&gt;0)),IF(Y53="",TRUE,IF(input_announcement_category="",FALSE,SUMPRODUCT(--ISNUMBER(SEARCH(","&amp;TRIM(TEXTSPLIT(Y53,","))&amp;",",","&amp;SUBSTITUTE(input_announcement_category," ","")&amp;",")))=COUNTA(TEXTSPLIT(Y53,",")))),IF(AA53="",TRUE,IF(input_announcement_category="",TRUE,SUMPRODUCT(--ISNUMBER(SEARCH(","&amp;TRIM(TEXTSPLIT(AA53,","))&amp;",",","&amp;SUBSTITUTE(input_announcement_category," ","")&amp;",")))=0)),IF(AC53="",TRUE,IF(input_announcement_category="",FALSE,SUMPRODUCT(--ISNUMBER(SEARCH(","&amp;TRIM(TEXTSPLIT(AC53,","))&amp;",",","&amp;SUBSTITUTE(input_announcement_category," ","")&amp;",")))&gt;0)),IF(AE53="",TRUE,IF(input_announcement_category="",FALSE,SUMPRODUCT(--ISNUMBER(SEARCH(","&amp;TRIM(TEXTSPLIT(AE53,","))&amp;",",","&amp;SUBSTITUTE(input_announcement_category," ","")&amp;",")))=COUNTA(TEXTSPLIT(AE53,",")))))</f>
        <v/>
      </c>
      <c r="IV53" s="19">
        <f>AND(IF(AG53="",TRUE,IF(input_area_of_focus="",FALSE,SUMPRODUCT(--ISNUMBER(SEARCH(","&amp;TRIM(TEXTSPLIT(AG53,","))&amp;",",","&amp;SUBSTITUTE(input_area_of_focus," ","")&amp;",")))&gt;0)),IF(AI53="",TRUE,IF(input_area_of_focus="",FALSE,SUMPRODUCT(--ISNUMBER(SEARCH(","&amp;TRIM(TEXTSPLIT(AI53,","))&amp;",",","&amp;SUBSTITUTE(input_area_of_focus," ","")&amp;",")))=COUNTA(TEXTSPLIT(AI53,",")))),IF(AK53="",TRUE,IF(input_area_of_focus="",TRUE,SUMPRODUCT(--ISNUMBER(SEARCH(","&amp;TRIM(TEXTSPLIT(AK53,","))&amp;",",","&amp;SUBSTITUTE(input_area_of_focus," ","")&amp;",")))=0)),IF(AM53="",TRUE,IF(input_area_of_focus="",FALSE,SUMPRODUCT(--ISNUMBER(SEARCH(","&amp;TRIM(TEXTSPLIT(AM53,","))&amp;",",","&amp;SUBSTITUTE(input_area_of_focus," ","")&amp;",")))&gt;0)),IF(AO53="",TRUE,IF(input_area_of_focus="",FALSE,SUMPRODUCT(--ISNUMBER(SEARCH(","&amp;TRIM(TEXTSPLIT(AO53,","))&amp;",",","&amp;SUBSTITUTE(input_area_of_focus," ","")&amp;",")))=COUNTA(TEXTSPLIT(AO53,",")))))</f>
        <v/>
      </c>
      <c r="IW53" s="19">
        <f>AND(IF(AQ53="",TRUE,IF(input_audience="",FALSE,SUMPRODUCT(--ISNUMBER(SEARCH(","&amp;TRIM(TEXTSPLIT(AQ53,","))&amp;",",","&amp;SUBSTITUTE(input_audience," ","")&amp;",")))&gt;0)),IF(AS53="",TRUE,IF(input_audience="",FALSE,SUMPRODUCT(--ISNUMBER(SEARCH(","&amp;TRIM(TEXTSPLIT(AS53,","))&amp;",",","&amp;SUBSTITUTE(input_audience," ","")&amp;",")))=COUNTA(TEXTSPLIT(AS53,",")))),IF(AU53="",TRUE,IF(input_audience="",TRUE,SUMPRODUCT(--ISNUMBER(SEARCH(","&amp;TRIM(TEXTSPLIT(AU53,","))&amp;",",","&amp;SUBSTITUTE(input_audience," ","")&amp;",")))=0)),IF(AW53="",TRUE,IF(input_audience="",FALSE,SUMPRODUCT(--ISNUMBER(SEARCH(","&amp;TRIM(TEXTSPLIT(AW53,","))&amp;",",","&amp;SUBSTITUTE(input_audience," ","")&amp;",")))&gt;0)),IF(AY53="",TRUE,IF(input_audience="",FALSE,SUMPRODUCT(--ISNUMBER(SEARCH(","&amp;TRIM(TEXTSPLIT(AY53,","))&amp;",",","&amp;SUBSTITUTE(input_audience," ","")&amp;",")))=COUNTA(TEXTSPLIT(AY53,",")))))</f>
        <v/>
      </c>
      <c r="IX53" s="19">
        <f>AND(IF(BA53="",TRUE,IF(input_challenge_opportunities="",FALSE,SUMPRODUCT(--ISNUMBER(SEARCH(","&amp;TRIM(TEXTSPLIT(BA53,","))&amp;",",","&amp;SUBSTITUTE(input_challenge_opportunities," ","")&amp;",")))&gt;0)),IF(BC53="",TRUE,IF(input_challenge_opportunities="",FALSE,SUMPRODUCT(--ISNUMBER(SEARCH(","&amp;TRIM(TEXTSPLIT(BC53,","))&amp;",",","&amp;SUBSTITUTE(input_challenge_opportunities," ","")&amp;",")))=COUNTA(TEXTSPLIT(BC53,",")))),IF(BE53="",TRUE,IF(input_challenge_opportunities="",TRUE,SUMPRODUCT(--ISNUMBER(SEARCH(","&amp;TRIM(TEXTSPLIT(BE53,","))&amp;",",","&amp;SUBSTITUTE(input_challenge_opportunities," ","")&amp;",")))=0)),IF(BG53="",TRUE,IF(input_challenge_opportunities="",FALSE,SUMPRODUCT(--ISNUMBER(SEARCH(","&amp;TRIM(TEXTSPLIT(BG53,","))&amp;",",","&amp;SUBSTITUTE(input_challenge_opportunities," ","")&amp;",")))&gt;0)),IF(BI53="",TRUE,IF(input_challenge_opportunities="",FALSE,SUMPRODUCT(--ISNUMBER(SEARCH(","&amp;TRIM(TEXTSPLIT(BI53,","))&amp;",",","&amp;SUBSTITUTE(input_challenge_opportunities," ","")&amp;",")))=COUNTA(TEXTSPLIT(BI53,",")))))</f>
        <v/>
      </c>
      <c r="IY53" s="19">
        <f>AND(IF(BK53="",TRUE,IF(input_context="",FALSE,SUMPRODUCT(--ISNUMBER(SEARCH(","&amp;TRIM(TEXTSPLIT(BK53,","))&amp;",",","&amp;SUBSTITUTE(input_context," ","")&amp;",")))&gt;0)),IF(BM53="",TRUE,IF(input_context="",FALSE,SUMPRODUCT(--ISNUMBER(SEARCH(","&amp;TRIM(TEXTSPLIT(BM53,","))&amp;",",","&amp;SUBSTITUTE(input_context," ","")&amp;",")))=COUNTA(TEXTSPLIT(BM53,",")))),IF(BO53="",TRUE,IF(input_context="",TRUE,SUMPRODUCT(--ISNUMBER(SEARCH(","&amp;TRIM(TEXTSPLIT(BO53,","))&amp;",",","&amp;SUBSTITUTE(input_context," ","")&amp;",")))=0)),IF(BQ53="",TRUE,IF(input_context="",FALSE,SUMPRODUCT(--ISNUMBER(SEARCH(","&amp;TRIM(TEXTSPLIT(BQ53,","))&amp;",",","&amp;SUBSTITUTE(input_context," ","")&amp;",")))&gt;0)),IF(BS53="",TRUE,IF(input_context="",FALSE,SUMPRODUCT(--ISNUMBER(SEARCH(","&amp;TRIM(TEXTSPLIT(BS53,","))&amp;",",","&amp;SUBSTITUTE(input_context," ","")&amp;",")))=COUNTA(TEXTSPLIT(BS53,",")))))</f>
        <v/>
      </c>
      <c r="IZ53" s="19">
        <f>AND(IF(BU53="",TRUE,IF(input_enews_announcement_type="",FALSE,SUMPRODUCT(--ISNUMBER(SEARCH(","&amp;TRIM(TEXTSPLIT(BU53,","))&amp;",",","&amp;SUBSTITUTE(input_enews_announcement_type," ","")&amp;",")))&gt;0)),IF(BW53="",TRUE,IF(input_enews_announcement_type="",FALSE,SUMPRODUCT(--ISNUMBER(SEARCH(","&amp;TRIM(TEXTSPLIT(BW53,","))&amp;",",","&amp;SUBSTITUTE(input_enews_announcement_type," ","")&amp;",")))=COUNTA(TEXTSPLIT(BW53,",")))),IF(BY53="",TRUE,IF(input_enews_announcement_type="",TRUE,SUMPRODUCT(--ISNUMBER(SEARCH(","&amp;TRIM(TEXTSPLIT(BY53,","))&amp;",",","&amp;SUBSTITUTE(input_enews_announcement_type," ","")&amp;",")))=0)),IF(CA53="",TRUE,IF(input_enews_announcement_type="",FALSE,SUMPRODUCT(--ISNUMBER(SEARCH(","&amp;TRIM(TEXTSPLIT(CA53,","))&amp;",",","&amp;SUBSTITUTE(input_enews_announcement_type," ","")&amp;",")))&gt;0)),IF(CC53="",TRUE,IF(input_enews_announcement_type="",FALSE,SUMPRODUCT(--ISNUMBER(SEARCH(","&amp;TRIM(TEXTSPLIT(CC53,","))&amp;",",","&amp;SUBSTITUTE(input_enews_announcement_type," ","")&amp;",")))=COUNTA(TEXTSPLIT(CC53,",")))))</f>
        <v/>
      </c>
      <c r="JA53" s="19">
        <f>AND(IF(CE53="",TRUE,IF(input_enews_audience="",FALSE,SUMPRODUCT(--ISNUMBER(SEARCH(","&amp;TRIM(TEXTSPLIT(CE53,","))&amp;",",","&amp;SUBSTITUTE(input_enews_audience," ","")&amp;",")))&gt;0)),IF(CG53="",TRUE,IF(input_enews_audience="",FALSE,SUMPRODUCT(--ISNUMBER(SEARCH(","&amp;TRIM(TEXTSPLIT(CG53,","))&amp;",",","&amp;SUBSTITUTE(input_enews_audience," ","")&amp;",")))=COUNTA(TEXTSPLIT(CG53,",")))),IF(CI53="",TRUE,IF(input_enews_audience="",TRUE,SUMPRODUCT(--ISNUMBER(SEARCH(","&amp;TRIM(TEXTSPLIT(CI53,","))&amp;",",","&amp;SUBSTITUTE(input_enews_audience," ","")&amp;",")))=0)),IF(CK53="",TRUE,IF(input_enews_audience="",FALSE,SUMPRODUCT(--ISNUMBER(SEARCH(","&amp;TRIM(TEXTSPLIT(CK53,","))&amp;",",","&amp;SUBSTITUTE(input_enews_audience," ","")&amp;",")))&gt;0)),IF(CM53="",TRUE,IF(input_enews_audience="",FALSE,SUMPRODUCT(--ISNUMBER(SEARCH(","&amp;TRIM(TEXTSPLIT(CM53,","))&amp;",",","&amp;SUBSTITUTE(input_enews_audience," ","")&amp;",")))=COUNTA(TEXTSPLIT(CM53,",")))))</f>
        <v/>
      </c>
      <c r="JB53" s="19">
        <f>AND(IF(CO53="",TRUE,IF(input_event_location="",FALSE,SUMPRODUCT(--ISNUMBER(SEARCH(","&amp;TRIM(TEXTSPLIT(CO53,","))&amp;",",","&amp;SUBSTITUTE(input_event_location," ","")&amp;",")))&gt;0)),IF(CQ53="",TRUE,IF(input_event_location="",FALSE,SUMPRODUCT(--ISNUMBER(SEARCH(","&amp;TRIM(TEXTSPLIT(CQ53,","))&amp;",",","&amp;SUBSTITUTE(input_event_location," ","")&amp;",")))=COUNTA(TEXTSPLIT(CQ53,",")))),IF(CS53="",TRUE,IF(input_event_location="",TRUE,SUMPRODUCT(--ISNUMBER(SEARCH(","&amp;TRIM(TEXTSPLIT(CS53,","))&amp;",",","&amp;SUBSTITUTE(input_event_location," ","")&amp;",")))=0)),IF(CU53="",TRUE,IF(input_event_location="",FALSE,SUMPRODUCT(--ISNUMBER(SEARCH(","&amp;TRIM(TEXTSPLIT(CU53,","))&amp;",",","&amp;SUBSTITUTE(input_event_location," ","")&amp;",")))&gt;0)),IF(CW53="",TRUE,IF(input_event_location="",FALSE,SUMPRODUCT(--ISNUMBER(SEARCH(","&amp;TRIM(TEXTSPLIT(CW53,","))&amp;",",","&amp;SUBSTITUTE(input_event_location," ","")&amp;",")))=COUNTA(TEXTSPLIT(CW53,",")))))</f>
        <v/>
      </c>
      <c r="JC53" s="19">
        <f>AND(IF(CY53="",TRUE,IF(input_event_type="",FALSE,SUMPRODUCT(--ISNUMBER(SEARCH(","&amp;TRIM(TEXTSPLIT(CY53,","))&amp;",",","&amp;SUBSTITUTE(input_event_type," ","")&amp;",")))&gt;0)),IF(DA53="",TRUE,IF(input_event_type="",FALSE,SUMPRODUCT(--ISNUMBER(SEARCH(","&amp;TRIM(TEXTSPLIT(DA53,","))&amp;",",","&amp;SUBSTITUTE(input_event_type," ","")&amp;",")))=COUNTA(TEXTSPLIT(DA53,",")))),IF(DC53="",TRUE,IF(input_event_type="",TRUE,SUMPRODUCT(--ISNUMBER(SEARCH(","&amp;TRIM(TEXTSPLIT(DC53,","))&amp;",",","&amp;SUBSTITUTE(input_event_type," ","")&amp;",")))=0)),IF(DE53="",TRUE,IF(input_event_type="",FALSE,SUMPRODUCT(--ISNUMBER(SEARCH(","&amp;TRIM(TEXTSPLIT(DE53,","))&amp;",",","&amp;SUBSTITUTE(input_event_type," ","")&amp;",")))&gt;0)),IF(DG53="",TRUE,IF(input_event_type="",FALSE,SUMPRODUCT(--ISNUMBER(SEARCH(","&amp;TRIM(TEXTSPLIT(DG53,","))&amp;",",","&amp;SUBSTITUTE(input_event_type," ","")&amp;",")))=COUNTA(TEXTSPLIT(DG53,",")))))</f>
        <v/>
      </c>
      <c r="JD53" s="19">
        <f>AND(IF(DI53="",TRUE,IF(input_executive_education_focus="",FALSE,SUMPRODUCT(--ISNUMBER(SEARCH(","&amp;TRIM(TEXTSPLIT(DI53,","))&amp;",",","&amp;SUBSTITUTE(input_executive_education_focus," ","")&amp;",")))&gt;0)),IF(DK53="",TRUE,IF(input_executive_education_focus="",FALSE,SUMPRODUCT(--ISNUMBER(SEARCH(","&amp;TRIM(TEXTSPLIT(DK53,","))&amp;",",","&amp;SUBSTITUTE(input_executive_education_focus," ","")&amp;",")))=COUNTA(TEXTSPLIT(DK53,",")))),IF(DM53="",TRUE,IF(input_executive_education_focus="",TRUE,SUMPRODUCT(--ISNUMBER(SEARCH(","&amp;TRIM(TEXTSPLIT(DM53,","))&amp;",",","&amp;SUBSTITUTE(input_executive_education_focus," ","")&amp;",")))=0)),IF(DO53="",TRUE,IF(input_executive_education_focus="",FALSE,SUMPRODUCT(--ISNUMBER(SEARCH(","&amp;TRIM(TEXTSPLIT(DO53,","))&amp;",",","&amp;SUBSTITUTE(input_executive_education_focus," ","")&amp;",")))&gt;0)),IF(DQ53="",TRUE,IF(input_executive_education_focus="",FALSE,SUMPRODUCT(--ISNUMBER(SEARCH(","&amp;TRIM(TEXTSPLIT(DQ53,","))&amp;",",","&amp;SUBSTITUTE(input_executive_education_focus," ","")&amp;",")))=COUNTA(TEXTSPLIT(DQ53,",")))))</f>
        <v/>
      </c>
      <c r="JE53" s="19">
        <f>AND(IF(DS53="",TRUE,IF(input_faculty_category="",FALSE,SUMPRODUCT(--ISNUMBER(SEARCH(","&amp;TRIM(TEXTSPLIT(DS53,","))&amp;",",","&amp;SUBSTITUTE(input_faculty_category," ","")&amp;",")))&gt;0)),IF(DU53="",TRUE,IF(input_faculty_category="",FALSE,SUMPRODUCT(--ISNUMBER(SEARCH(","&amp;TRIM(TEXTSPLIT(DU53,","))&amp;",",","&amp;SUBSTITUTE(input_faculty_category," ","")&amp;",")))=COUNTA(TEXTSPLIT(DU53,",")))),IF(DW53="",TRUE,IF(input_faculty_category="",TRUE,SUMPRODUCT(--ISNUMBER(SEARCH(","&amp;TRIM(TEXTSPLIT(DW53,","))&amp;",",","&amp;SUBSTITUTE(input_faculty_category," ","")&amp;",")))=0)),IF(DY53="",TRUE,IF(input_faculty_category="",FALSE,SUMPRODUCT(--ISNUMBER(SEARCH(","&amp;TRIM(TEXTSPLIT(DY53,","))&amp;",",","&amp;SUBSTITUTE(input_faculty_category," ","")&amp;",")))&gt;0)),IF(EA53="",TRUE,IF(input_faculty_category="",FALSE,SUMPRODUCT(--ISNUMBER(SEARCH(","&amp;TRIM(TEXTSPLIT(EA53,","))&amp;",",","&amp;SUBSTITUTE(input_faculty_category," ","")&amp;",")))=COUNTA(TEXTSPLIT(EA53,",")))))</f>
        <v/>
      </c>
      <c r="JF53" s="19">
        <f>AND(IF(EC53="",TRUE,IF(input_faculty_discipline="",FALSE,SUMPRODUCT(--ISNUMBER(SEARCH(","&amp;TRIM(TEXTSPLIT(EC53,","))&amp;",",","&amp;SUBSTITUTE(input_faculty_discipline," ","")&amp;",")))&gt;0)),IF(EE53="",TRUE,IF(input_faculty_discipline="",FALSE,SUMPRODUCT(--ISNUMBER(SEARCH(","&amp;TRIM(TEXTSPLIT(EE53,","))&amp;",",","&amp;SUBSTITUTE(input_faculty_discipline," ","")&amp;",")))=COUNTA(TEXTSPLIT(EE53,",")))),IF(EG53="",TRUE,IF(input_faculty_discipline="",TRUE,SUMPRODUCT(--ISNUMBER(SEARCH(","&amp;TRIM(TEXTSPLIT(EG53,","))&amp;",",","&amp;SUBSTITUTE(input_faculty_discipline," ","")&amp;",")))=0)),IF(EI53="",TRUE,IF(input_faculty_discipline="",FALSE,SUMPRODUCT(--ISNUMBER(SEARCH(","&amp;TRIM(TEXTSPLIT(EI53,","))&amp;",",","&amp;SUBSTITUTE(input_faculty_discipline," ","")&amp;",")))&gt;0)),IF(EK53="",TRUE,IF(input_faculty_discipline="",FALSE,SUMPRODUCT(--ISNUMBER(SEARCH(","&amp;TRIM(TEXTSPLIT(EK53,","))&amp;",",","&amp;SUBSTITUTE(input_faculty_discipline," ","")&amp;",")))=COUNTA(TEXTSPLIT(EK53,",")))))</f>
        <v/>
      </c>
      <c r="JG53" s="19">
        <f>AND(IF(EM53="",TRUE,IF(input_faculty_expertise="",FALSE,SUMPRODUCT(--ISNUMBER(SEARCH(","&amp;TRIM(TEXTSPLIT(EM53,","))&amp;",",","&amp;SUBSTITUTE(input_faculty_expertise," ","")&amp;",")))&gt;0)),IF(EO53="",TRUE,IF(input_faculty_expertise="",FALSE,SUMPRODUCT(--ISNUMBER(SEARCH(","&amp;TRIM(TEXTSPLIT(EO53,","))&amp;",",","&amp;SUBSTITUTE(input_faculty_expertise," ","")&amp;",")))=COUNTA(TEXTSPLIT(EO53,",")))),IF(EQ53="",TRUE,IF(input_faculty_expertise="",TRUE,SUMPRODUCT(--ISNUMBER(SEARCH(","&amp;TRIM(TEXTSPLIT(EQ53,","))&amp;",",","&amp;SUBSTITUTE(input_faculty_expertise," ","")&amp;",")))=0)),IF(ES53="",TRUE,IF(input_faculty_expertise="",FALSE,SUMPRODUCT(--ISNUMBER(SEARCH(","&amp;TRIM(TEXTSPLIT(ES53,","))&amp;",",","&amp;SUBSTITUTE(input_faculty_expertise," ","")&amp;",")))&gt;0)),IF(EU53="",TRUE,IF(input_faculty_expertise="",FALSE,SUMPRODUCT(--ISNUMBER(SEARCH(","&amp;TRIM(TEXTSPLIT(EU53,","))&amp;",",","&amp;SUBSTITUTE(input_faculty_expertise," ","")&amp;",")))=COUNTA(TEXTSPLIT(EU53,",")))))</f>
        <v/>
      </c>
      <c r="JH53" s="19">
        <f>AND(IF(EW53="",TRUE,IF(input_global_network_school="",FALSE,SUMPRODUCT(--ISNUMBER(SEARCH(","&amp;TRIM(TEXTSPLIT(EW53,","))&amp;",",","&amp;SUBSTITUTE(input_global_network_school," ","")&amp;",")))&gt;0)),IF(EY53="",TRUE,IF(input_global_network_school="",FALSE,SUMPRODUCT(--ISNUMBER(SEARCH(","&amp;TRIM(TEXTSPLIT(EY53,","))&amp;",",","&amp;SUBSTITUTE(input_global_network_school," ","")&amp;",")))=COUNTA(TEXTSPLIT(EY53,",")))),IF(FA53="",TRUE,IF(input_global_network_school="",TRUE,SUMPRODUCT(--ISNUMBER(SEARCH(","&amp;TRIM(TEXTSPLIT(FA53,","))&amp;",",","&amp;SUBSTITUTE(input_global_network_school," ","")&amp;",")))=0)),IF(FC53="",TRUE,IF(input_global_network_school="",FALSE,SUMPRODUCT(--ISNUMBER(SEARCH(","&amp;TRIM(TEXTSPLIT(FC53,","))&amp;",",","&amp;SUBSTITUTE(input_global_network_school," ","")&amp;",")))&gt;0)),IF(FE53="",TRUE,IF(input_global_network_school="",FALSE,SUMPRODUCT(--ISNUMBER(SEARCH(","&amp;TRIM(TEXTSPLIT(FE53,","))&amp;",",","&amp;SUBSTITUTE(input_global_network_school," ","")&amp;",")))=COUNTA(TEXTSPLIT(FE53,",")))))</f>
        <v/>
      </c>
      <c r="JI53" s="19">
        <f>AND(IF(FG53="",TRUE,IF(input_industry="",FALSE,SUMPRODUCT(--ISNUMBER(SEARCH(","&amp;TRIM(TEXTSPLIT(FG53,","))&amp;",",","&amp;SUBSTITUTE(input_industry," ","")&amp;",")))&gt;0)),IF(FI53="",TRUE,IF(input_industry="",FALSE,SUMPRODUCT(--ISNUMBER(SEARCH(","&amp;TRIM(TEXTSPLIT(FI53,","))&amp;",",","&amp;SUBSTITUTE(input_industry," ","")&amp;",")))=COUNTA(TEXTSPLIT(FI53,",")))),IF(FK53="",TRUE,IF(input_industry="",TRUE,SUMPRODUCT(--ISNUMBER(SEARCH(","&amp;TRIM(TEXTSPLIT(FK53,","))&amp;",",","&amp;SUBSTITUTE(input_industry," ","")&amp;",")))=0)),IF(FM53="",TRUE,IF(input_industry="",FALSE,SUMPRODUCT(--ISNUMBER(SEARCH(","&amp;TRIM(TEXTSPLIT(FM53,","))&amp;",",","&amp;SUBSTITUTE(input_industry," ","")&amp;",")))&gt;0)),IF(FO53="",TRUE,IF(input_industry="",FALSE,SUMPRODUCT(--ISNUMBER(SEARCH(","&amp;TRIM(TEXTSPLIT(FO53,","))&amp;",",","&amp;SUBSTITUTE(input_industry," ","")&amp;",")))=COUNTA(TEXTSPLIT(FO53,",")))))</f>
        <v/>
      </c>
      <c r="JJ53" s="19">
        <f>AND(IF(FQ53="",TRUE,IF(input_location="",FALSE,SUMPRODUCT(--ISNUMBER(SEARCH(","&amp;TRIM(TEXTSPLIT(FQ53,","))&amp;",",","&amp;SUBSTITUTE(input_location," ","")&amp;",")))&gt;0)),IF(FS53="",TRUE,IF(input_location="",FALSE,SUMPRODUCT(--ISNUMBER(SEARCH(","&amp;TRIM(TEXTSPLIT(FS53,","))&amp;",",","&amp;SUBSTITUTE(input_location," ","")&amp;",")))=COUNTA(TEXTSPLIT(FS53,",")))),IF(FU53="",TRUE,IF(input_location="",TRUE,SUMPRODUCT(--ISNUMBER(SEARCH(","&amp;TRIM(TEXTSPLIT(FU53,","))&amp;",",","&amp;SUBSTITUTE(input_location," ","")&amp;",")))=0)),IF(FW53="",TRUE,IF(input_location="",FALSE,SUMPRODUCT(--ISNUMBER(SEARCH(","&amp;TRIM(TEXTSPLIT(FW53,","))&amp;",",","&amp;SUBSTITUTE(input_location," ","")&amp;",")))&gt;0)),IF(FY53="",TRUE,IF(input_location="",FALSE,SUMPRODUCT(--ISNUMBER(SEARCH(","&amp;TRIM(TEXTSPLIT(FY53,","))&amp;",",","&amp;SUBSTITUTE(input_location," ","")&amp;",")))=COUNTA(TEXTSPLIT(FY53,",")))))</f>
        <v/>
      </c>
      <c r="JK53" s="19">
        <f>AND(IF(GA53="",TRUE,IF(input_modality="",FALSE,SUMPRODUCT(--ISNUMBER(SEARCH(","&amp;TRIM(TEXTSPLIT(GA53,","))&amp;",",","&amp;SUBSTITUTE(input_modality," ","")&amp;",")))&gt;0)),IF(GC53="",TRUE,IF(input_modality="",FALSE,SUMPRODUCT(--ISNUMBER(SEARCH(","&amp;TRIM(TEXTSPLIT(GC53,","))&amp;",",","&amp;SUBSTITUTE(input_modality," ","")&amp;",")))=COUNTA(TEXTSPLIT(GC53,",")))),IF(GE53="",TRUE,IF(input_modality="",TRUE,SUMPRODUCT(--ISNUMBER(SEARCH(","&amp;TRIM(TEXTSPLIT(GE53,","))&amp;",",","&amp;SUBSTITUTE(input_modality," ","")&amp;",")))=0)),IF(GG53="",TRUE,IF(input_modality="",FALSE,SUMPRODUCT(--ISNUMBER(SEARCH(","&amp;TRIM(TEXTSPLIT(GG53,","))&amp;",",","&amp;SUBSTITUTE(input_modality," ","")&amp;",")))&gt;0)),IF(GI53="",TRUE,IF(input_modality="",FALSE,SUMPRODUCT(--ISNUMBER(SEARCH(","&amp;TRIM(TEXTSPLIT(GI53,","))&amp;",",","&amp;SUBSTITUTE(input_modality," ","")&amp;",")))=COUNTA(TEXTSPLIT(GI53,",")))))</f>
        <v/>
      </c>
      <c r="JL53" s="19">
        <f>AND(IF(GK53="",TRUE,IF(input_organizer="",FALSE,SUMPRODUCT(--ISNUMBER(SEARCH(","&amp;TRIM(TEXTSPLIT(GK53,","))&amp;",",","&amp;SUBSTITUTE(input_organizer," ","")&amp;",")))&gt;0)),IF(GM53="",TRUE,IF(input_organizer="",FALSE,SUMPRODUCT(--ISNUMBER(SEARCH(","&amp;TRIM(TEXTSPLIT(GM53,","))&amp;",",","&amp;SUBSTITUTE(input_organizer," ","")&amp;",")))=COUNTA(TEXTSPLIT(GM53,",")))),IF(GO53="",TRUE,IF(input_organizer="",TRUE,SUMPRODUCT(--ISNUMBER(SEARCH(","&amp;TRIM(TEXTSPLIT(GO53,","))&amp;",",","&amp;SUBSTITUTE(input_organizer," ","")&amp;",")))=0)),IF(GQ53="",TRUE,IF(input_organizer="",FALSE,SUMPRODUCT(--ISNUMBER(SEARCH(","&amp;TRIM(TEXTSPLIT(GQ53,","))&amp;",",","&amp;SUBSTITUTE(input_organizer," ","")&amp;",")))&gt;0)),IF(GS53="",TRUE,IF(input_organizer="",FALSE,SUMPRODUCT(--ISNUMBER(SEARCH(","&amp;TRIM(TEXTSPLIT(GS53,","))&amp;",",","&amp;SUBSTITUTE(input_organizer," ","")&amp;",")))=COUNTA(TEXTSPLIT(GS53,",")))))</f>
        <v/>
      </c>
      <c r="JM53" s="19">
        <f>AND(IF(GU53="",TRUE,IF(input_profile_type="",FALSE,SUMPRODUCT(--ISNUMBER(SEARCH(","&amp;TRIM(TEXTSPLIT(GU53,","))&amp;",",","&amp;SUBSTITUTE(input_profile_type," ","")&amp;",")))&gt;0)),IF(GW53="",TRUE,IF(input_profile_type="",FALSE,SUMPRODUCT(--ISNUMBER(SEARCH(","&amp;TRIM(TEXTSPLIT(GW53,","))&amp;",",","&amp;SUBSTITUTE(input_profile_type," ","")&amp;",")))=COUNTA(TEXTSPLIT(GW53,",")))),IF(GY53="",TRUE,IF(input_profile_type="",TRUE,SUMPRODUCT(--ISNUMBER(SEARCH(","&amp;TRIM(TEXTSPLIT(GY53,","))&amp;",",","&amp;SUBSTITUTE(input_profile_type," ","")&amp;",")))=0)),IF(HA53="",TRUE,IF(input_profile_type="",FALSE,SUMPRODUCT(--ISNUMBER(SEARCH(","&amp;TRIM(TEXTSPLIT(HA53,","))&amp;",",","&amp;SUBSTITUTE(input_profile_type," ","")&amp;",")))&gt;0)),IF(HC53="",TRUE,IF(input_profile_type="",FALSE,SUMPRODUCT(--ISNUMBER(SEARCH(","&amp;TRIM(TEXTSPLIT(HC53,","))&amp;",",","&amp;SUBSTITUTE(input_profile_type," ","")&amp;",")))=COUNTA(TEXTSPLIT(HC53,",")))))</f>
        <v/>
      </c>
      <c r="JN53" s="19">
        <f>AND(IF(HE53="",TRUE,IF(input_program="",FALSE,SUMPRODUCT(--ISNUMBER(SEARCH(","&amp;TRIM(TEXTSPLIT(HE53,","))&amp;",",","&amp;SUBSTITUTE(input_program," ","")&amp;",")))&gt;0)),IF(HG53="",TRUE,IF(input_program="",FALSE,SUMPRODUCT(--ISNUMBER(SEARCH(","&amp;TRIM(TEXTSPLIT(HG53,","))&amp;",",","&amp;SUBSTITUTE(input_program," ","")&amp;",")))=COUNTA(TEXTSPLIT(HG53,",")))),IF(HI53="",TRUE,IF(input_program="",TRUE,SUMPRODUCT(--ISNUMBER(SEARCH(","&amp;TRIM(TEXTSPLIT(HI53,","))&amp;",",","&amp;SUBSTITUTE(input_program," ","")&amp;",")))=0)),IF(HK53="",TRUE,IF(input_program="",FALSE,SUMPRODUCT(--ISNUMBER(SEARCH(","&amp;TRIM(TEXTSPLIT(HK53,","))&amp;",",","&amp;SUBSTITUTE(input_program," ","")&amp;",")))&gt;0)),IF(HM53="",TRUE,IF(input_program="",FALSE,SUMPRODUCT(--ISNUMBER(SEARCH(","&amp;TRIM(TEXTSPLIT(HM53,","))&amp;",",","&amp;SUBSTITUTE(input_program," ","")&amp;",")))=COUNTA(TEXTSPLIT(HM53,",")))))</f>
        <v/>
      </c>
      <c r="JO53" s="19">
        <f>AND(IF(HO53="",TRUE,IF(input_story_categories="",FALSE,SUMPRODUCT(--ISNUMBER(SEARCH(","&amp;TRIM(TEXTSPLIT(HO53,","))&amp;",",","&amp;SUBSTITUTE(input_story_categories," ","")&amp;",")))&gt;0)),IF(HQ53="",TRUE,IF(input_story_categories="",FALSE,SUMPRODUCT(--ISNUMBER(SEARCH(","&amp;TRIM(TEXTSPLIT(HQ53,","))&amp;",",","&amp;SUBSTITUTE(input_story_categories," ","")&amp;",")))=COUNTA(TEXTSPLIT(HQ53,",")))),IF(HS53="",TRUE,IF(input_story_categories="",TRUE,SUMPRODUCT(--ISNUMBER(SEARCH(","&amp;TRIM(TEXTSPLIT(HS53,","))&amp;",",","&amp;SUBSTITUTE(input_story_categories," ","")&amp;",")))=0)),IF(HU53="",TRUE,IF(input_story_categories="",FALSE,SUMPRODUCT(--ISNUMBER(SEARCH(","&amp;TRIM(TEXTSPLIT(HU53,","))&amp;",",","&amp;SUBSTITUTE(input_story_categories," ","")&amp;",")))&gt;0)),IF(HW53="",TRUE,IF(input_story_categories="",FALSE,SUMPRODUCT(--ISNUMBER(SEARCH(","&amp;TRIM(TEXTSPLIT(HW53,","))&amp;",",","&amp;SUBSTITUTE(input_story_categories," ","")&amp;",")))=COUNTA(TEXTSPLIT(HW53,",")))))</f>
        <v/>
      </c>
      <c r="JP53" s="19">
        <f>AND(IF(HY53="",TRUE,IF(input_story_type="",FALSE,SUMPRODUCT(--ISNUMBER(SEARCH(","&amp;TRIM(TEXTSPLIT(HY53,","))&amp;",",","&amp;SUBSTITUTE(input_story_type," ","")&amp;",")))&gt;0)),IF(IA53="",TRUE,IF(input_story_type="",FALSE,SUMPRODUCT(--ISNUMBER(SEARCH(","&amp;TRIM(TEXTSPLIT(IA53,","))&amp;",",","&amp;SUBSTITUTE(input_story_type," ","")&amp;",")))=COUNTA(TEXTSPLIT(IA53,",")))),IF(IC53="",TRUE,IF(input_story_type="",TRUE,SUMPRODUCT(--ISNUMBER(SEARCH(","&amp;TRIM(TEXTSPLIT(IC53,","))&amp;",",","&amp;SUBSTITUTE(input_story_type," ","")&amp;",")))=0)),IF(IE53="",TRUE,IF(input_story_type="",FALSE,SUMPRODUCT(--ISNUMBER(SEARCH(","&amp;TRIM(TEXTSPLIT(IE53,","))&amp;",",","&amp;SUBSTITUTE(input_story_type," ","")&amp;",")))&gt;0)),IF(IG53="",TRUE,IF(input_story_type="",FALSE,SUMPRODUCT(--ISNUMBER(SEARCH(","&amp;TRIM(TEXTSPLIT(IG53,","))&amp;",",","&amp;SUBSTITUTE(input_story_type," ","")&amp;",")))=COUNTA(TEXTSPLIT(IG53,",")))))</f>
        <v/>
      </c>
      <c r="JQ53" s="19">
        <f>AND(IF(II53="",TRUE,IF(input_topics="",FALSE,SUMPRODUCT(--ISNUMBER(SEARCH(","&amp;TRIM(TEXTSPLIT(II53,","))&amp;",",","&amp;SUBSTITUTE(input_topics," ","")&amp;",")))&gt;0)),IF(IK53="",TRUE,IF(input_topics="",FALSE,SUMPRODUCT(--ISNUMBER(SEARCH(","&amp;TRIM(TEXTSPLIT(IK53,","))&amp;",",","&amp;SUBSTITUTE(input_topics," ","")&amp;",")))=COUNTA(TEXTSPLIT(IK53,",")))),IF(IM53="",TRUE,IF(input_topics="",TRUE,SUMPRODUCT(--ISNUMBER(SEARCH(","&amp;TRIM(TEXTSPLIT(IM53,","))&amp;",",","&amp;SUBSTITUTE(input_topics," ","")&amp;",")))=0)),IF(IO53="",TRUE,IF(input_topics="",FALSE,SUMPRODUCT(--ISNUMBER(SEARCH(","&amp;TRIM(TEXTSPLIT(IO53,","))&amp;",",","&amp;SUBSTITUTE(input_topics," ","")&amp;",")))&gt;0)),IF(IQ53="",TRUE,IF(input_topics="",FALSE,SUMPRODUCT(--ISNUMBER(SEARCH(","&amp;TRIM(TEXTSPLIT(IQ53,","))&amp;",",","&amp;SUBSTITUTE(input_topics," ","")&amp;",")))=COUNTA(TEXTSPLIT(IQ53,",")))))</f>
        <v/>
      </c>
    </row>
    <row r="54">
      <c r="A54" s="24">
        <f>IF(NOT(IS54),"Excluded",IF(AND(IT54,IU54,IV54,IW54,IX54,IY54,IZ54,JA54,JB54,JC54,JD54,JE54,JF54,JG54,JH54,JI54,JJ54,JK54,JL54,JM54,JN54,JO54,JP54,JQ54),IF(I54&gt;0,"Eligible but limited","Will appear"),"Excluded"))</f>
        <v/>
      </c>
      <c r="B54" s="24" t="inlineStr">
        <is>
          <t>All Publications by Author</t>
        </is>
      </c>
      <c r="C54" s="27" t="inlineStr">
        <is>
          <t>/faculty-research/faculty-directory/william-b-english</t>
        </is>
      </c>
      <c r="D54" s="24" t="inlineStr">
        <is>
          <t>/faculty-research/faculty-directory/william-b-english</t>
        </is>
      </c>
      <c r="E54" s="24" t="n">
        <v>1</v>
      </c>
      <c r="F54" s="24" t="inlineStr">
        <is>
          <t>publications</t>
        </is>
      </c>
      <c r="G54" s="24" t="inlineStr">
        <is>
          <t>publication_teaser_list</t>
        </is>
      </c>
      <c r="H54" s="24" t="inlineStr">
        <is>
          <t>publication_teaser_list_all_by_author</t>
        </is>
      </c>
      <c r="I54" s="24" t="n"/>
      <c r="J54" s="24" t="inlineStr">
        <is>
          <t>View/config rules</t>
        </is>
      </c>
      <c r="K54" s="24" t="inlineStr">
        <is>
          <t>Page placement</t>
        </is>
      </c>
      <c r="L54" s="24" t="inlineStr">
        <is>
          <t>Content type: publications; Source: View/config rules</t>
        </is>
      </c>
      <c r="IS54" s="19">
        <f>IF(input_content_type="",FALSE,ISNUMBER(SEARCH(","&amp;LOWER(input_content_type)&amp;",",","&amp;LOWER(SUBSTITUTE(F54," ",""))&amp;",")))</f>
        <v/>
      </c>
      <c r="IT54" s="19">
        <f>AND(IF(M54="",TRUE,IF(input_affiliations="",FALSE,SUMPRODUCT(--ISNUMBER(SEARCH(","&amp;TRIM(TEXTSPLIT(M54,","))&amp;",",","&amp;SUBSTITUTE(input_affiliations," ","")&amp;",")))&gt;0)),IF(O54="",TRUE,IF(input_affiliations="",FALSE,SUMPRODUCT(--ISNUMBER(SEARCH(","&amp;TRIM(TEXTSPLIT(O54,","))&amp;",",","&amp;SUBSTITUTE(input_affiliations," ","")&amp;",")))=COUNTA(TEXTSPLIT(O54,",")))),IF(Q54="",TRUE,IF(input_affiliations="",TRUE,SUMPRODUCT(--ISNUMBER(SEARCH(","&amp;TRIM(TEXTSPLIT(Q54,","))&amp;",",","&amp;SUBSTITUTE(input_affiliations," ","")&amp;",")))=0)),IF(S54="",TRUE,IF(input_affiliations="",FALSE,SUMPRODUCT(--ISNUMBER(SEARCH(","&amp;TRIM(TEXTSPLIT(S54,","))&amp;",",","&amp;SUBSTITUTE(input_affiliations," ","")&amp;",")))&gt;0)),IF(U54="",TRUE,IF(input_affiliations="",FALSE,SUMPRODUCT(--ISNUMBER(SEARCH(","&amp;TRIM(TEXTSPLIT(U54,","))&amp;",",","&amp;SUBSTITUTE(input_affiliations," ","")&amp;",")))=COUNTA(TEXTSPLIT(U54,",")))))</f>
        <v/>
      </c>
      <c r="IU54" s="19">
        <f>AND(IF(W54="",TRUE,IF(input_announcement_category="",FALSE,SUMPRODUCT(--ISNUMBER(SEARCH(","&amp;TRIM(TEXTSPLIT(W54,","))&amp;",",","&amp;SUBSTITUTE(input_announcement_category," ","")&amp;",")))&gt;0)),IF(Y54="",TRUE,IF(input_announcement_category="",FALSE,SUMPRODUCT(--ISNUMBER(SEARCH(","&amp;TRIM(TEXTSPLIT(Y54,","))&amp;",",","&amp;SUBSTITUTE(input_announcement_category," ","")&amp;",")))=COUNTA(TEXTSPLIT(Y54,",")))),IF(AA54="",TRUE,IF(input_announcement_category="",TRUE,SUMPRODUCT(--ISNUMBER(SEARCH(","&amp;TRIM(TEXTSPLIT(AA54,","))&amp;",",","&amp;SUBSTITUTE(input_announcement_category," ","")&amp;",")))=0)),IF(AC54="",TRUE,IF(input_announcement_category="",FALSE,SUMPRODUCT(--ISNUMBER(SEARCH(","&amp;TRIM(TEXTSPLIT(AC54,","))&amp;",",","&amp;SUBSTITUTE(input_announcement_category," ","")&amp;",")))&gt;0)),IF(AE54="",TRUE,IF(input_announcement_category="",FALSE,SUMPRODUCT(--ISNUMBER(SEARCH(","&amp;TRIM(TEXTSPLIT(AE54,","))&amp;",",","&amp;SUBSTITUTE(input_announcement_category," ","")&amp;",")))=COUNTA(TEXTSPLIT(AE54,",")))))</f>
        <v/>
      </c>
      <c r="IV54" s="19">
        <f>AND(IF(AG54="",TRUE,IF(input_area_of_focus="",FALSE,SUMPRODUCT(--ISNUMBER(SEARCH(","&amp;TRIM(TEXTSPLIT(AG54,","))&amp;",",","&amp;SUBSTITUTE(input_area_of_focus," ","")&amp;",")))&gt;0)),IF(AI54="",TRUE,IF(input_area_of_focus="",FALSE,SUMPRODUCT(--ISNUMBER(SEARCH(","&amp;TRIM(TEXTSPLIT(AI54,","))&amp;",",","&amp;SUBSTITUTE(input_area_of_focus," ","")&amp;",")))=COUNTA(TEXTSPLIT(AI54,",")))),IF(AK54="",TRUE,IF(input_area_of_focus="",TRUE,SUMPRODUCT(--ISNUMBER(SEARCH(","&amp;TRIM(TEXTSPLIT(AK54,","))&amp;",",","&amp;SUBSTITUTE(input_area_of_focus," ","")&amp;",")))=0)),IF(AM54="",TRUE,IF(input_area_of_focus="",FALSE,SUMPRODUCT(--ISNUMBER(SEARCH(","&amp;TRIM(TEXTSPLIT(AM54,","))&amp;",",","&amp;SUBSTITUTE(input_area_of_focus," ","")&amp;",")))&gt;0)),IF(AO54="",TRUE,IF(input_area_of_focus="",FALSE,SUMPRODUCT(--ISNUMBER(SEARCH(","&amp;TRIM(TEXTSPLIT(AO54,","))&amp;",",","&amp;SUBSTITUTE(input_area_of_focus," ","")&amp;",")))=COUNTA(TEXTSPLIT(AO54,",")))))</f>
        <v/>
      </c>
      <c r="IW54" s="19">
        <f>AND(IF(AQ54="",TRUE,IF(input_audience="",FALSE,SUMPRODUCT(--ISNUMBER(SEARCH(","&amp;TRIM(TEXTSPLIT(AQ54,","))&amp;",",","&amp;SUBSTITUTE(input_audience," ","")&amp;",")))&gt;0)),IF(AS54="",TRUE,IF(input_audience="",FALSE,SUMPRODUCT(--ISNUMBER(SEARCH(","&amp;TRIM(TEXTSPLIT(AS54,","))&amp;",",","&amp;SUBSTITUTE(input_audience," ","")&amp;",")))=COUNTA(TEXTSPLIT(AS54,",")))),IF(AU54="",TRUE,IF(input_audience="",TRUE,SUMPRODUCT(--ISNUMBER(SEARCH(","&amp;TRIM(TEXTSPLIT(AU54,","))&amp;",",","&amp;SUBSTITUTE(input_audience," ","")&amp;",")))=0)),IF(AW54="",TRUE,IF(input_audience="",FALSE,SUMPRODUCT(--ISNUMBER(SEARCH(","&amp;TRIM(TEXTSPLIT(AW54,","))&amp;",",","&amp;SUBSTITUTE(input_audience," ","")&amp;",")))&gt;0)),IF(AY54="",TRUE,IF(input_audience="",FALSE,SUMPRODUCT(--ISNUMBER(SEARCH(","&amp;TRIM(TEXTSPLIT(AY54,","))&amp;",",","&amp;SUBSTITUTE(input_audience," ","")&amp;",")))=COUNTA(TEXTSPLIT(AY54,",")))))</f>
        <v/>
      </c>
      <c r="IX54" s="19">
        <f>AND(IF(BA54="",TRUE,IF(input_challenge_opportunities="",FALSE,SUMPRODUCT(--ISNUMBER(SEARCH(","&amp;TRIM(TEXTSPLIT(BA54,","))&amp;",",","&amp;SUBSTITUTE(input_challenge_opportunities," ","")&amp;",")))&gt;0)),IF(BC54="",TRUE,IF(input_challenge_opportunities="",FALSE,SUMPRODUCT(--ISNUMBER(SEARCH(","&amp;TRIM(TEXTSPLIT(BC54,","))&amp;",",","&amp;SUBSTITUTE(input_challenge_opportunities," ","")&amp;",")))=COUNTA(TEXTSPLIT(BC54,",")))),IF(BE54="",TRUE,IF(input_challenge_opportunities="",TRUE,SUMPRODUCT(--ISNUMBER(SEARCH(","&amp;TRIM(TEXTSPLIT(BE54,","))&amp;",",","&amp;SUBSTITUTE(input_challenge_opportunities," ","")&amp;",")))=0)),IF(BG54="",TRUE,IF(input_challenge_opportunities="",FALSE,SUMPRODUCT(--ISNUMBER(SEARCH(","&amp;TRIM(TEXTSPLIT(BG54,","))&amp;",",","&amp;SUBSTITUTE(input_challenge_opportunities," ","")&amp;",")))&gt;0)),IF(BI54="",TRUE,IF(input_challenge_opportunities="",FALSE,SUMPRODUCT(--ISNUMBER(SEARCH(","&amp;TRIM(TEXTSPLIT(BI54,","))&amp;",",","&amp;SUBSTITUTE(input_challenge_opportunities," ","")&amp;",")))=COUNTA(TEXTSPLIT(BI54,",")))))</f>
        <v/>
      </c>
      <c r="IY54" s="19">
        <f>AND(IF(BK54="",TRUE,IF(input_context="",FALSE,SUMPRODUCT(--ISNUMBER(SEARCH(","&amp;TRIM(TEXTSPLIT(BK54,","))&amp;",",","&amp;SUBSTITUTE(input_context," ","")&amp;",")))&gt;0)),IF(BM54="",TRUE,IF(input_context="",FALSE,SUMPRODUCT(--ISNUMBER(SEARCH(","&amp;TRIM(TEXTSPLIT(BM54,","))&amp;",",","&amp;SUBSTITUTE(input_context," ","")&amp;",")))=COUNTA(TEXTSPLIT(BM54,",")))),IF(BO54="",TRUE,IF(input_context="",TRUE,SUMPRODUCT(--ISNUMBER(SEARCH(","&amp;TRIM(TEXTSPLIT(BO54,","))&amp;",",","&amp;SUBSTITUTE(input_context," ","")&amp;",")))=0)),IF(BQ54="",TRUE,IF(input_context="",FALSE,SUMPRODUCT(--ISNUMBER(SEARCH(","&amp;TRIM(TEXTSPLIT(BQ54,","))&amp;",",","&amp;SUBSTITUTE(input_context," ","")&amp;",")))&gt;0)),IF(BS54="",TRUE,IF(input_context="",FALSE,SUMPRODUCT(--ISNUMBER(SEARCH(","&amp;TRIM(TEXTSPLIT(BS54,","))&amp;",",","&amp;SUBSTITUTE(input_context," ","")&amp;",")))=COUNTA(TEXTSPLIT(BS54,",")))))</f>
        <v/>
      </c>
      <c r="IZ54" s="19">
        <f>AND(IF(BU54="",TRUE,IF(input_enews_announcement_type="",FALSE,SUMPRODUCT(--ISNUMBER(SEARCH(","&amp;TRIM(TEXTSPLIT(BU54,","))&amp;",",","&amp;SUBSTITUTE(input_enews_announcement_type," ","")&amp;",")))&gt;0)),IF(BW54="",TRUE,IF(input_enews_announcement_type="",FALSE,SUMPRODUCT(--ISNUMBER(SEARCH(","&amp;TRIM(TEXTSPLIT(BW54,","))&amp;",",","&amp;SUBSTITUTE(input_enews_announcement_type," ","")&amp;",")))=COUNTA(TEXTSPLIT(BW54,",")))),IF(BY54="",TRUE,IF(input_enews_announcement_type="",TRUE,SUMPRODUCT(--ISNUMBER(SEARCH(","&amp;TRIM(TEXTSPLIT(BY54,","))&amp;",",","&amp;SUBSTITUTE(input_enews_announcement_type," ","")&amp;",")))=0)),IF(CA54="",TRUE,IF(input_enews_announcement_type="",FALSE,SUMPRODUCT(--ISNUMBER(SEARCH(","&amp;TRIM(TEXTSPLIT(CA54,","))&amp;",",","&amp;SUBSTITUTE(input_enews_announcement_type," ","")&amp;",")))&gt;0)),IF(CC54="",TRUE,IF(input_enews_announcement_type="",FALSE,SUMPRODUCT(--ISNUMBER(SEARCH(","&amp;TRIM(TEXTSPLIT(CC54,","))&amp;",",","&amp;SUBSTITUTE(input_enews_announcement_type," ","")&amp;",")))=COUNTA(TEXTSPLIT(CC54,",")))))</f>
        <v/>
      </c>
      <c r="JA54" s="19">
        <f>AND(IF(CE54="",TRUE,IF(input_enews_audience="",FALSE,SUMPRODUCT(--ISNUMBER(SEARCH(","&amp;TRIM(TEXTSPLIT(CE54,","))&amp;",",","&amp;SUBSTITUTE(input_enews_audience," ","")&amp;",")))&gt;0)),IF(CG54="",TRUE,IF(input_enews_audience="",FALSE,SUMPRODUCT(--ISNUMBER(SEARCH(","&amp;TRIM(TEXTSPLIT(CG54,","))&amp;",",","&amp;SUBSTITUTE(input_enews_audience," ","")&amp;",")))=COUNTA(TEXTSPLIT(CG54,",")))),IF(CI54="",TRUE,IF(input_enews_audience="",TRUE,SUMPRODUCT(--ISNUMBER(SEARCH(","&amp;TRIM(TEXTSPLIT(CI54,","))&amp;",",","&amp;SUBSTITUTE(input_enews_audience," ","")&amp;",")))=0)),IF(CK54="",TRUE,IF(input_enews_audience="",FALSE,SUMPRODUCT(--ISNUMBER(SEARCH(","&amp;TRIM(TEXTSPLIT(CK54,","))&amp;",",","&amp;SUBSTITUTE(input_enews_audience," ","")&amp;",")))&gt;0)),IF(CM54="",TRUE,IF(input_enews_audience="",FALSE,SUMPRODUCT(--ISNUMBER(SEARCH(","&amp;TRIM(TEXTSPLIT(CM54,","))&amp;",",","&amp;SUBSTITUTE(input_enews_audience," ","")&amp;",")))=COUNTA(TEXTSPLIT(CM54,",")))))</f>
        <v/>
      </c>
      <c r="JB54" s="19">
        <f>AND(IF(CO54="",TRUE,IF(input_event_location="",FALSE,SUMPRODUCT(--ISNUMBER(SEARCH(","&amp;TRIM(TEXTSPLIT(CO54,","))&amp;",",","&amp;SUBSTITUTE(input_event_location," ","")&amp;",")))&gt;0)),IF(CQ54="",TRUE,IF(input_event_location="",FALSE,SUMPRODUCT(--ISNUMBER(SEARCH(","&amp;TRIM(TEXTSPLIT(CQ54,","))&amp;",",","&amp;SUBSTITUTE(input_event_location," ","")&amp;",")))=COUNTA(TEXTSPLIT(CQ54,",")))),IF(CS54="",TRUE,IF(input_event_location="",TRUE,SUMPRODUCT(--ISNUMBER(SEARCH(","&amp;TRIM(TEXTSPLIT(CS54,","))&amp;",",","&amp;SUBSTITUTE(input_event_location," ","")&amp;",")))=0)),IF(CU54="",TRUE,IF(input_event_location="",FALSE,SUMPRODUCT(--ISNUMBER(SEARCH(","&amp;TRIM(TEXTSPLIT(CU54,","))&amp;",",","&amp;SUBSTITUTE(input_event_location," ","")&amp;",")))&gt;0)),IF(CW54="",TRUE,IF(input_event_location="",FALSE,SUMPRODUCT(--ISNUMBER(SEARCH(","&amp;TRIM(TEXTSPLIT(CW54,","))&amp;",",","&amp;SUBSTITUTE(input_event_location," ","")&amp;",")))=COUNTA(TEXTSPLIT(CW54,",")))))</f>
        <v/>
      </c>
      <c r="JC54" s="19">
        <f>AND(IF(CY54="",TRUE,IF(input_event_type="",FALSE,SUMPRODUCT(--ISNUMBER(SEARCH(","&amp;TRIM(TEXTSPLIT(CY54,","))&amp;",",","&amp;SUBSTITUTE(input_event_type," ","")&amp;",")))&gt;0)),IF(DA54="",TRUE,IF(input_event_type="",FALSE,SUMPRODUCT(--ISNUMBER(SEARCH(","&amp;TRIM(TEXTSPLIT(DA54,","))&amp;",",","&amp;SUBSTITUTE(input_event_type," ","")&amp;",")))=COUNTA(TEXTSPLIT(DA54,",")))),IF(DC54="",TRUE,IF(input_event_type="",TRUE,SUMPRODUCT(--ISNUMBER(SEARCH(","&amp;TRIM(TEXTSPLIT(DC54,","))&amp;",",","&amp;SUBSTITUTE(input_event_type," ","")&amp;",")))=0)),IF(DE54="",TRUE,IF(input_event_type="",FALSE,SUMPRODUCT(--ISNUMBER(SEARCH(","&amp;TRIM(TEXTSPLIT(DE54,","))&amp;",",","&amp;SUBSTITUTE(input_event_type," ","")&amp;",")))&gt;0)),IF(DG54="",TRUE,IF(input_event_type="",FALSE,SUMPRODUCT(--ISNUMBER(SEARCH(","&amp;TRIM(TEXTSPLIT(DG54,","))&amp;",",","&amp;SUBSTITUTE(input_event_type," ","")&amp;",")))=COUNTA(TEXTSPLIT(DG54,",")))))</f>
        <v/>
      </c>
      <c r="JD54" s="19">
        <f>AND(IF(DI54="",TRUE,IF(input_executive_education_focus="",FALSE,SUMPRODUCT(--ISNUMBER(SEARCH(","&amp;TRIM(TEXTSPLIT(DI54,","))&amp;",",","&amp;SUBSTITUTE(input_executive_education_focus," ","")&amp;",")))&gt;0)),IF(DK54="",TRUE,IF(input_executive_education_focus="",FALSE,SUMPRODUCT(--ISNUMBER(SEARCH(","&amp;TRIM(TEXTSPLIT(DK54,","))&amp;",",","&amp;SUBSTITUTE(input_executive_education_focus," ","")&amp;",")))=COUNTA(TEXTSPLIT(DK54,",")))),IF(DM54="",TRUE,IF(input_executive_education_focus="",TRUE,SUMPRODUCT(--ISNUMBER(SEARCH(","&amp;TRIM(TEXTSPLIT(DM54,","))&amp;",",","&amp;SUBSTITUTE(input_executive_education_focus," ","")&amp;",")))=0)),IF(DO54="",TRUE,IF(input_executive_education_focus="",FALSE,SUMPRODUCT(--ISNUMBER(SEARCH(","&amp;TRIM(TEXTSPLIT(DO54,","))&amp;",",","&amp;SUBSTITUTE(input_executive_education_focus," ","")&amp;",")))&gt;0)),IF(DQ54="",TRUE,IF(input_executive_education_focus="",FALSE,SUMPRODUCT(--ISNUMBER(SEARCH(","&amp;TRIM(TEXTSPLIT(DQ54,","))&amp;",",","&amp;SUBSTITUTE(input_executive_education_focus," ","")&amp;",")))=COUNTA(TEXTSPLIT(DQ54,",")))))</f>
        <v/>
      </c>
      <c r="JE54" s="19">
        <f>AND(IF(DS54="",TRUE,IF(input_faculty_category="",FALSE,SUMPRODUCT(--ISNUMBER(SEARCH(","&amp;TRIM(TEXTSPLIT(DS54,","))&amp;",",","&amp;SUBSTITUTE(input_faculty_category," ","")&amp;",")))&gt;0)),IF(DU54="",TRUE,IF(input_faculty_category="",FALSE,SUMPRODUCT(--ISNUMBER(SEARCH(","&amp;TRIM(TEXTSPLIT(DU54,","))&amp;",",","&amp;SUBSTITUTE(input_faculty_category," ","")&amp;",")))=COUNTA(TEXTSPLIT(DU54,",")))),IF(DW54="",TRUE,IF(input_faculty_category="",TRUE,SUMPRODUCT(--ISNUMBER(SEARCH(","&amp;TRIM(TEXTSPLIT(DW54,","))&amp;",",","&amp;SUBSTITUTE(input_faculty_category," ","")&amp;",")))=0)),IF(DY54="",TRUE,IF(input_faculty_category="",FALSE,SUMPRODUCT(--ISNUMBER(SEARCH(","&amp;TRIM(TEXTSPLIT(DY54,","))&amp;",",","&amp;SUBSTITUTE(input_faculty_category," ","")&amp;",")))&gt;0)),IF(EA54="",TRUE,IF(input_faculty_category="",FALSE,SUMPRODUCT(--ISNUMBER(SEARCH(","&amp;TRIM(TEXTSPLIT(EA54,","))&amp;",",","&amp;SUBSTITUTE(input_faculty_category," ","")&amp;",")))=COUNTA(TEXTSPLIT(EA54,",")))))</f>
        <v/>
      </c>
      <c r="JF54" s="19">
        <f>AND(IF(EC54="",TRUE,IF(input_faculty_discipline="",FALSE,SUMPRODUCT(--ISNUMBER(SEARCH(","&amp;TRIM(TEXTSPLIT(EC54,","))&amp;",",","&amp;SUBSTITUTE(input_faculty_discipline," ","")&amp;",")))&gt;0)),IF(EE54="",TRUE,IF(input_faculty_discipline="",FALSE,SUMPRODUCT(--ISNUMBER(SEARCH(","&amp;TRIM(TEXTSPLIT(EE54,","))&amp;",",","&amp;SUBSTITUTE(input_faculty_discipline," ","")&amp;",")))=COUNTA(TEXTSPLIT(EE54,",")))),IF(EG54="",TRUE,IF(input_faculty_discipline="",TRUE,SUMPRODUCT(--ISNUMBER(SEARCH(","&amp;TRIM(TEXTSPLIT(EG54,","))&amp;",",","&amp;SUBSTITUTE(input_faculty_discipline," ","")&amp;",")))=0)),IF(EI54="",TRUE,IF(input_faculty_discipline="",FALSE,SUMPRODUCT(--ISNUMBER(SEARCH(","&amp;TRIM(TEXTSPLIT(EI54,","))&amp;",",","&amp;SUBSTITUTE(input_faculty_discipline," ","")&amp;",")))&gt;0)),IF(EK54="",TRUE,IF(input_faculty_discipline="",FALSE,SUMPRODUCT(--ISNUMBER(SEARCH(","&amp;TRIM(TEXTSPLIT(EK54,","))&amp;",",","&amp;SUBSTITUTE(input_faculty_discipline," ","")&amp;",")))=COUNTA(TEXTSPLIT(EK54,",")))))</f>
        <v/>
      </c>
      <c r="JG54" s="19">
        <f>AND(IF(EM54="",TRUE,IF(input_faculty_expertise="",FALSE,SUMPRODUCT(--ISNUMBER(SEARCH(","&amp;TRIM(TEXTSPLIT(EM54,","))&amp;",",","&amp;SUBSTITUTE(input_faculty_expertise," ","")&amp;",")))&gt;0)),IF(EO54="",TRUE,IF(input_faculty_expertise="",FALSE,SUMPRODUCT(--ISNUMBER(SEARCH(","&amp;TRIM(TEXTSPLIT(EO54,","))&amp;",",","&amp;SUBSTITUTE(input_faculty_expertise," ","")&amp;",")))=COUNTA(TEXTSPLIT(EO54,",")))),IF(EQ54="",TRUE,IF(input_faculty_expertise="",TRUE,SUMPRODUCT(--ISNUMBER(SEARCH(","&amp;TRIM(TEXTSPLIT(EQ54,","))&amp;",",","&amp;SUBSTITUTE(input_faculty_expertise," ","")&amp;",")))=0)),IF(ES54="",TRUE,IF(input_faculty_expertise="",FALSE,SUMPRODUCT(--ISNUMBER(SEARCH(","&amp;TRIM(TEXTSPLIT(ES54,","))&amp;",",","&amp;SUBSTITUTE(input_faculty_expertise," ","")&amp;",")))&gt;0)),IF(EU54="",TRUE,IF(input_faculty_expertise="",FALSE,SUMPRODUCT(--ISNUMBER(SEARCH(","&amp;TRIM(TEXTSPLIT(EU54,","))&amp;",",","&amp;SUBSTITUTE(input_faculty_expertise," ","")&amp;",")))=COUNTA(TEXTSPLIT(EU54,",")))))</f>
        <v/>
      </c>
      <c r="JH54" s="19">
        <f>AND(IF(EW54="",TRUE,IF(input_global_network_school="",FALSE,SUMPRODUCT(--ISNUMBER(SEARCH(","&amp;TRIM(TEXTSPLIT(EW54,","))&amp;",",","&amp;SUBSTITUTE(input_global_network_school," ","")&amp;",")))&gt;0)),IF(EY54="",TRUE,IF(input_global_network_school="",FALSE,SUMPRODUCT(--ISNUMBER(SEARCH(","&amp;TRIM(TEXTSPLIT(EY54,","))&amp;",",","&amp;SUBSTITUTE(input_global_network_school," ","")&amp;",")))=COUNTA(TEXTSPLIT(EY54,",")))),IF(FA54="",TRUE,IF(input_global_network_school="",TRUE,SUMPRODUCT(--ISNUMBER(SEARCH(","&amp;TRIM(TEXTSPLIT(FA54,","))&amp;",",","&amp;SUBSTITUTE(input_global_network_school," ","")&amp;",")))=0)),IF(FC54="",TRUE,IF(input_global_network_school="",FALSE,SUMPRODUCT(--ISNUMBER(SEARCH(","&amp;TRIM(TEXTSPLIT(FC54,","))&amp;",",","&amp;SUBSTITUTE(input_global_network_school," ","")&amp;",")))&gt;0)),IF(FE54="",TRUE,IF(input_global_network_school="",FALSE,SUMPRODUCT(--ISNUMBER(SEARCH(","&amp;TRIM(TEXTSPLIT(FE54,","))&amp;",",","&amp;SUBSTITUTE(input_global_network_school," ","")&amp;",")))=COUNTA(TEXTSPLIT(FE54,",")))))</f>
        <v/>
      </c>
      <c r="JI54" s="19">
        <f>AND(IF(FG54="",TRUE,IF(input_industry="",FALSE,SUMPRODUCT(--ISNUMBER(SEARCH(","&amp;TRIM(TEXTSPLIT(FG54,","))&amp;",",","&amp;SUBSTITUTE(input_industry," ","")&amp;",")))&gt;0)),IF(FI54="",TRUE,IF(input_industry="",FALSE,SUMPRODUCT(--ISNUMBER(SEARCH(","&amp;TRIM(TEXTSPLIT(FI54,","))&amp;",",","&amp;SUBSTITUTE(input_industry," ","")&amp;",")))=COUNTA(TEXTSPLIT(FI54,",")))),IF(FK54="",TRUE,IF(input_industry="",TRUE,SUMPRODUCT(--ISNUMBER(SEARCH(","&amp;TRIM(TEXTSPLIT(FK54,","))&amp;",",","&amp;SUBSTITUTE(input_industry," ","")&amp;",")))=0)),IF(FM54="",TRUE,IF(input_industry="",FALSE,SUMPRODUCT(--ISNUMBER(SEARCH(","&amp;TRIM(TEXTSPLIT(FM54,","))&amp;",",","&amp;SUBSTITUTE(input_industry," ","")&amp;",")))&gt;0)),IF(FO54="",TRUE,IF(input_industry="",FALSE,SUMPRODUCT(--ISNUMBER(SEARCH(","&amp;TRIM(TEXTSPLIT(FO54,","))&amp;",",","&amp;SUBSTITUTE(input_industry," ","")&amp;",")))=COUNTA(TEXTSPLIT(FO54,",")))))</f>
        <v/>
      </c>
      <c r="JJ54" s="19">
        <f>AND(IF(FQ54="",TRUE,IF(input_location="",FALSE,SUMPRODUCT(--ISNUMBER(SEARCH(","&amp;TRIM(TEXTSPLIT(FQ54,","))&amp;",",","&amp;SUBSTITUTE(input_location," ","")&amp;",")))&gt;0)),IF(FS54="",TRUE,IF(input_location="",FALSE,SUMPRODUCT(--ISNUMBER(SEARCH(","&amp;TRIM(TEXTSPLIT(FS54,","))&amp;",",","&amp;SUBSTITUTE(input_location," ","")&amp;",")))=COUNTA(TEXTSPLIT(FS54,",")))),IF(FU54="",TRUE,IF(input_location="",TRUE,SUMPRODUCT(--ISNUMBER(SEARCH(","&amp;TRIM(TEXTSPLIT(FU54,","))&amp;",",","&amp;SUBSTITUTE(input_location," ","")&amp;",")))=0)),IF(FW54="",TRUE,IF(input_location="",FALSE,SUMPRODUCT(--ISNUMBER(SEARCH(","&amp;TRIM(TEXTSPLIT(FW54,","))&amp;",",","&amp;SUBSTITUTE(input_location," ","")&amp;",")))&gt;0)),IF(FY54="",TRUE,IF(input_location="",FALSE,SUMPRODUCT(--ISNUMBER(SEARCH(","&amp;TRIM(TEXTSPLIT(FY54,","))&amp;",",","&amp;SUBSTITUTE(input_location," ","")&amp;",")))=COUNTA(TEXTSPLIT(FY54,",")))))</f>
        <v/>
      </c>
      <c r="JK54" s="19">
        <f>AND(IF(GA54="",TRUE,IF(input_modality="",FALSE,SUMPRODUCT(--ISNUMBER(SEARCH(","&amp;TRIM(TEXTSPLIT(GA54,","))&amp;",",","&amp;SUBSTITUTE(input_modality," ","")&amp;",")))&gt;0)),IF(GC54="",TRUE,IF(input_modality="",FALSE,SUMPRODUCT(--ISNUMBER(SEARCH(","&amp;TRIM(TEXTSPLIT(GC54,","))&amp;",",","&amp;SUBSTITUTE(input_modality," ","")&amp;",")))=COUNTA(TEXTSPLIT(GC54,",")))),IF(GE54="",TRUE,IF(input_modality="",TRUE,SUMPRODUCT(--ISNUMBER(SEARCH(","&amp;TRIM(TEXTSPLIT(GE54,","))&amp;",",","&amp;SUBSTITUTE(input_modality," ","")&amp;",")))=0)),IF(GG54="",TRUE,IF(input_modality="",FALSE,SUMPRODUCT(--ISNUMBER(SEARCH(","&amp;TRIM(TEXTSPLIT(GG54,","))&amp;",",","&amp;SUBSTITUTE(input_modality," ","")&amp;",")))&gt;0)),IF(GI54="",TRUE,IF(input_modality="",FALSE,SUMPRODUCT(--ISNUMBER(SEARCH(","&amp;TRIM(TEXTSPLIT(GI54,","))&amp;",",","&amp;SUBSTITUTE(input_modality," ","")&amp;",")))=COUNTA(TEXTSPLIT(GI54,",")))))</f>
        <v/>
      </c>
      <c r="JL54" s="19">
        <f>AND(IF(GK54="",TRUE,IF(input_organizer="",FALSE,SUMPRODUCT(--ISNUMBER(SEARCH(","&amp;TRIM(TEXTSPLIT(GK54,","))&amp;",",","&amp;SUBSTITUTE(input_organizer," ","")&amp;",")))&gt;0)),IF(GM54="",TRUE,IF(input_organizer="",FALSE,SUMPRODUCT(--ISNUMBER(SEARCH(","&amp;TRIM(TEXTSPLIT(GM54,","))&amp;",",","&amp;SUBSTITUTE(input_organizer," ","")&amp;",")))=COUNTA(TEXTSPLIT(GM54,",")))),IF(GO54="",TRUE,IF(input_organizer="",TRUE,SUMPRODUCT(--ISNUMBER(SEARCH(","&amp;TRIM(TEXTSPLIT(GO54,","))&amp;",",","&amp;SUBSTITUTE(input_organizer," ","")&amp;",")))=0)),IF(GQ54="",TRUE,IF(input_organizer="",FALSE,SUMPRODUCT(--ISNUMBER(SEARCH(","&amp;TRIM(TEXTSPLIT(GQ54,","))&amp;",",","&amp;SUBSTITUTE(input_organizer," ","")&amp;",")))&gt;0)),IF(GS54="",TRUE,IF(input_organizer="",FALSE,SUMPRODUCT(--ISNUMBER(SEARCH(","&amp;TRIM(TEXTSPLIT(GS54,","))&amp;",",","&amp;SUBSTITUTE(input_organizer," ","")&amp;",")))=COUNTA(TEXTSPLIT(GS54,",")))))</f>
        <v/>
      </c>
      <c r="JM54" s="19">
        <f>AND(IF(GU54="",TRUE,IF(input_profile_type="",FALSE,SUMPRODUCT(--ISNUMBER(SEARCH(","&amp;TRIM(TEXTSPLIT(GU54,","))&amp;",",","&amp;SUBSTITUTE(input_profile_type," ","")&amp;",")))&gt;0)),IF(GW54="",TRUE,IF(input_profile_type="",FALSE,SUMPRODUCT(--ISNUMBER(SEARCH(","&amp;TRIM(TEXTSPLIT(GW54,","))&amp;",",","&amp;SUBSTITUTE(input_profile_type," ","")&amp;",")))=COUNTA(TEXTSPLIT(GW54,",")))),IF(GY54="",TRUE,IF(input_profile_type="",TRUE,SUMPRODUCT(--ISNUMBER(SEARCH(","&amp;TRIM(TEXTSPLIT(GY54,","))&amp;",",","&amp;SUBSTITUTE(input_profile_type," ","")&amp;",")))=0)),IF(HA54="",TRUE,IF(input_profile_type="",FALSE,SUMPRODUCT(--ISNUMBER(SEARCH(","&amp;TRIM(TEXTSPLIT(HA54,","))&amp;",",","&amp;SUBSTITUTE(input_profile_type," ","")&amp;",")))&gt;0)),IF(HC54="",TRUE,IF(input_profile_type="",FALSE,SUMPRODUCT(--ISNUMBER(SEARCH(","&amp;TRIM(TEXTSPLIT(HC54,","))&amp;",",","&amp;SUBSTITUTE(input_profile_type," ","")&amp;",")))=COUNTA(TEXTSPLIT(HC54,",")))))</f>
        <v/>
      </c>
      <c r="JN54" s="19">
        <f>AND(IF(HE54="",TRUE,IF(input_program="",FALSE,SUMPRODUCT(--ISNUMBER(SEARCH(","&amp;TRIM(TEXTSPLIT(HE54,","))&amp;",",","&amp;SUBSTITUTE(input_program," ","")&amp;",")))&gt;0)),IF(HG54="",TRUE,IF(input_program="",FALSE,SUMPRODUCT(--ISNUMBER(SEARCH(","&amp;TRIM(TEXTSPLIT(HG54,","))&amp;",",","&amp;SUBSTITUTE(input_program," ","")&amp;",")))=COUNTA(TEXTSPLIT(HG54,",")))),IF(HI54="",TRUE,IF(input_program="",TRUE,SUMPRODUCT(--ISNUMBER(SEARCH(","&amp;TRIM(TEXTSPLIT(HI54,","))&amp;",",","&amp;SUBSTITUTE(input_program," ","")&amp;",")))=0)),IF(HK54="",TRUE,IF(input_program="",FALSE,SUMPRODUCT(--ISNUMBER(SEARCH(","&amp;TRIM(TEXTSPLIT(HK54,","))&amp;",",","&amp;SUBSTITUTE(input_program," ","")&amp;",")))&gt;0)),IF(HM54="",TRUE,IF(input_program="",FALSE,SUMPRODUCT(--ISNUMBER(SEARCH(","&amp;TRIM(TEXTSPLIT(HM54,","))&amp;",",","&amp;SUBSTITUTE(input_program," ","")&amp;",")))=COUNTA(TEXTSPLIT(HM54,",")))))</f>
        <v/>
      </c>
      <c r="JO54" s="19">
        <f>AND(IF(HO54="",TRUE,IF(input_story_categories="",FALSE,SUMPRODUCT(--ISNUMBER(SEARCH(","&amp;TRIM(TEXTSPLIT(HO54,","))&amp;",",","&amp;SUBSTITUTE(input_story_categories," ","")&amp;",")))&gt;0)),IF(HQ54="",TRUE,IF(input_story_categories="",FALSE,SUMPRODUCT(--ISNUMBER(SEARCH(","&amp;TRIM(TEXTSPLIT(HQ54,","))&amp;",",","&amp;SUBSTITUTE(input_story_categories," ","")&amp;",")))=COUNTA(TEXTSPLIT(HQ54,",")))),IF(HS54="",TRUE,IF(input_story_categories="",TRUE,SUMPRODUCT(--ISNUMBER(SEARCH(","&amp;TRIM(TEXTSPLIT(HS54,","))&amp;",",","&amp;SUBSTITUTE(input_story_categories," ","")&amp;",")))=0)),IF(HU54="",TRUE,IF(input_story_categories="",FALSE,SUMPRODUCT(--ISNUMBER(SEARCH(","&amp;TRIM(TEXTSPLIT(HU54,","))&amp;",",","&amp;SUBSTITUTE(input_story_categories," ","")&amp;",")))&gt;0)),IF(HW54="",TRUE,IF(input_story_categories="",FALSE,SUMPRODUCT(--ISNUMBER(SEARCH(","&amp;TRIM(TEXTSPLIT(HW54,","))&amp;",",","&amp;SUBSTITUTE(input_story_categories," ","")&amp;",")))=COUNTA(TEXTSPLIT(HW54,",")))))</f>
        <v/>
      </c>
      <c r="JP54" s="19">
        <f>AND(IF(HY54="",TRUE,IF(input_story_type="",FALSE,SUMPRODUCT(--ISNUMBER(SEARCH(","&amp;TRIM(TEXTSPLIT(HY54,","))&amp;",",","&amp;SUBSTITUTE(input_story_type," ","")&amp;",")))&gt;0)),IF(IA54="",TRUE,IF(input_story_type="",FALSE,SUMPRODUCT(--ISNUMBER(SEARCH(","&amp;TRIM(TEXTSPLIT(IA54,","))&amp;",",","&amp;SUBSTITUTE(input_story_type," ","")&amp;",")))=COUNTA(TEXTSPLIT(IA54,",")))),IF(IC54="",TRUE,IF(input_story_type="",TRUE,SUMPRODUCT(--ISNUMBER(SEARCH(","&amp;TRIM(TEXTSPLIT(IC54,","))&amp;",",","&amp;SUBSTITUTE(input_story_type," ","")&amp;",")))=0)),IF(IE54="",TRUE,IF(input_story_type="",FALSE,SUMPRODUCT(--ISNUMBER(SEARCH(","&amp;TRIM(TEXTSPLIT(IE54,","))&amp;",",","&amp;SUBSTITUTE(input_story_type," ","")&amp;",")))&gt;0)),IF(IG54="",TRUE,IF(input_story_type="",FALSE,SUMPRODUCT(--ISNUMBER(SEARCH(","&amp;TRIM(TEXTSPLIT(IG54,","))&amp;",",","&amp;SUBSTITUTE(input_story_type," ","")&amp;",")))=COUNTA(TEXTSPLIT(IG54,",")))))</f>
        <v/>
      </c>
      <c r="JQ54" s="19">
        <f>AND(IF(II54="",TRUE,IF(input_topics="",FALSE,SUMPRODUCT(--ISNUMBER(SEARCH(","&amp;TRIM(TEXTSPLIT(II54,","))&amp;",",","&amp;SUBSTITUTE(input_topics," ","")&amp;",")))&gt;0)),IF(IK54="",TRUE,IF(input_topics="",FALSE,SUMPRODUCT(--ISNUMBER(SEARCH(","&amp;TRIM(TEXTSPLIT(IK54,","))&amp;",",","&amp;SUBSTITUTE(input_topics," ","")&amp;",")))=COUNTA(TEXTSPLIT(IK54,",")))),IF(IM54="",TRUE,IF(input_topics="",TRUE,SUMPRODUCT(--ISNUMBER(SEARCH(","&amp;TRIM(TEXTSPLIT(IM54,","))&amp;",",","&amp;SUBSTITUTE(input_topics," ","")&amp;",")))=0)),IF(IO54="",TRUE,IF(input_topics="",FALSE,SUMPRODUCT(--ISNUMBER(SEARCH(","&amp;TRIM(TEXTSPLIT(IO54,","))&amp;",",","&amp;SUBSTITUTE(input_topics," ","")&amp;",")))&gt;0)),IF(IQ54="",TRUE,IF(input_topics="",FALSE,SUMPRODUCT(--ISNUMBER(SEARCH(","&amp;TRIM(TEXTSPLIT(IQ54,","))&amp;",",","&amp;SUBSTITUTE(input_topics," ","")&amp;",")))=COUNTA(TEXTSPLIT(IQ54,",")))))</f>
        <v/>
      </c>
    </row>
    <row r="55">
      <c r="A55" s="24">
        <f>IF(NOT(IS55),"Excluded",IF(AND(IT55,IU55,IV55,IW55,IX55,IY55,IZ55,JA55,JB55,JC55,JD55,JE55,JF55,JG55,JH55,JI55,JJ55,JK55,JL55,JM55,JN55,JO55,JP55,JQ55),IF(I55&gt;0,"Eligible but limited","Will appear"),"Excluded"))</f>
        <v/>
      </c>
      <c r="B55" s="24" t="inlineStr">
        <is>
          <t>All Publications by Author</t>
        </is>
      </c>
      <c r="C55" s="27" t="inlineStr">
        <is>
          <t>/faculty-research/faculty-directory/william-n-goetzmann</t>
        </is>
      </c>
      <c r="D55" s="24" t="inlineStr">
        <is>
          <t>/faculty-research/faculty-directory/william-n-goetzmann</t>
        </is>
      </c>
      <c r="E55" s="24" t="n">
        <v>1</v>
      </c>
      <c r="F55" s="24" t="inlineStr">
        <is>
          <t>publications</t>
        </is>
      </c>
      <c r="G55" s="24" t="inlineStr">
        <is>
          <t>publication_teaser_list</t>
        </is>
      </c>
      <c r="H55" s="24" t="inlineStr">
        <is>
          <t>publication_teaser_list_all_by_author</t>
        </is>
      </c>
      <c r="I55" s="24" t="n"/>
      <c r="J55" s="24" t="inlineStr">
        <is>
          <t>View/config rules</t>
        </is>
      </c>
      <c r="K55" s="24" t="inlineStr">
        <is>
          <t>Page placement</t>
        </is>
      </c>
      <c r="L55" s="24" t="inlineStr">
        <is>
          <t>Content type: publications; Source: View/config rules</t>
        </is>
      </c>
      <c r="IS55" s="19">
        <f>IF(input_content_type="",FALSE,ISNUMBER(SEARCH(","&amp;LOWER(input_content_type)&amp;",",","&amp;LOWER(SUBSTITUTE(F55," ",""))&amp;",")))</f>
        <v/>
      </c>
      <c r="IT55" s="19">
        <f>AND(IF(M55="",TRUE,IF(input_affiliations="",FALSE,SUMPRODUCT(--ISNUMBER(SEARCH(","&amp;TRIM(TEXTSPLIT(M55,","))&amp;",",","&amp;SUBSTITUTE(input_affiliations," ","")&amp;",")))&gt;0)),IF(O55="",TRUE,IF(input_affiliations="",FALSE,SUMPRODUCT(--ISNUMBER(SEARCH(","&amp;TRIM(TEXTSPLIT(O55,","))&amp;",",","&amp;SUBSTITUTE(input_affiliations," ","")&amp;",")))=COUNTA(TEXTSPLIT(O55,",")))),IF(Q55="",TRUE,IF(input_affiliations="",TRUE,SUMPRODUCT(--ISNUMBER(SEARCH(","&amp;TRIM(TEXTSPLIT(Q55,","))&amp;",",","&amp;SUBSTITUTE(input_affiliations," ","")&amp;",")))=0)),IF(S55="",TRUE,IF(input_affiliations="",FALSE,SUMPRODUCT(--ISNUMBER(SEARCH(","&amp;TRIM(TEXTSPLIT(S55,","))&amp;",",","&amp;SUBSTITUTE(input_affiliations," ","")&amp;",")))&gt;0)),IF(U55="",TRUE,IF(input_affiliations="",FALSE,SUMPRODUCT(--ISNUMBER(SEARCH(","&amp;TRIM(TEXTSPLIT(U55,","))&amp;",",","&amp;SUBSTITUTE(input_affiliations," ","")&amp;",")))=COUNTA(TEXTSPLIT(U55,",")))))</f>
        <v/>
      </c>
      <c r="IU55" s="19">
        <f>AND(IF(W55="",TRUE,IF(input_announcement_category="",FALSE,SUMPRODUCT(--ISNUMBER(SEARCH(","&amp;TRIM(TEXTSPLIT(W55,","))&amp;",",","&amp;SUBSTITUTE(input_announcement_category," ","")&amp;",")))&gt;0)),IF(Y55="",TRUE,IF(input_announcement_category="",FALSE,SUMPRODUCT(--ISNUMBER(SEARCH(","&amp;TRIM(TEXTSPLIT(Y55,","))&amp;",",","&amp;SUBSTITUTE(input_announcement_category," ","")&amp;",")))=COUNTA(TEXTSPLIT(Y55,",")))),IF(AA55="",TRUE,IF(input_announcement_category="",TRUE,SUMPRODUCT(--ISNUMBER(SEARCH(","&amp;TRIM(TEXTSPLIT(AA55,","))&amp;",",","&amp;SUBSTITUTE(input_announcement_category," ","")&amp;",")))=0)),IF(AC55="",TRUE,IF(input_announcement_category="",FALSE,SUMPRODUCT(--ISNUMBER(SEARCH(","&amp;TRIM(TEXTSPLIT(AC55,","))&amp;",",","&amp;SUBSTITUTE(input_announcement_category," ","")&amp;",")))&gt;0)),IF(AE55="",TRUE,IF(input_announcement_category="",FALSE,SUMPRODUCT(--ISNUMBER(SEARCH(","&amp;TRIM(TEXTSPLIT(AE55,","))&amp;",",","&amp;SUBSTITUTE(input_announcement_category," ","")&amp;",")))=COUNTA(TEXTSPLIT(AE55,",")))))</f>
        <v/>
      </c>
      <c r="IV55" s="19">
        <f>AND(IF(AG55="",TRUE,IF(input_area_of_focus="",FALSE,SUMPRODUCT(--ISNUMBER(SEARCH(","&amp;TRIM(TEXTSPLIT(AG55,","))&amp;",",","&amp;SUBSTITUTE(input_area_of_focus," ","")&amp;",")))&gt;0)),IF(AI55="",TRUE,IF(input_area_of_focus="",FALSE,SUMPRODUCT(--ISNUMBER(SEARCH(","&amp;TRIM(TEXTSPLIT(AI55,","))&amp;",",","&amp;SUBSTITUTE(input_area_of_focus," ","")&amp;",")))=COUNTA(TEXTSPLIT(AI55,",")))),IF(AK55="",TRUE,IF(input_area_of_focus="",TRUE,SUMPRODUCT(--ISNUMBER(SEARCH(","&amp;TRIM(TEXTSPLIT(AK55,","))&amp;",",","&amp;SUBSTITUTE(input_area_of_focus," ","")&amp;",")))=0)),IF(AM55="",TRUE,IF(input_area_of_focus="",FALSE,SUMPRODUCT(--ISNUMBER(SEARCH(","&amp;TRIM(TEXTSPLIT(AM55,","))&amp;",",","&amp;SUBSTITUTE(input_area_of_focus," ","")&amp;",")))&gt;0)),IF(AO55="",TRUE,IF(input_area_of_focus="",FALSE,SUMPRODUCT(--ISNUMBER(SEARCH(","&amp;TRIM(TEXTSPLIT(AO55,","))&amp;",",","&amp;SUBSTITUTE(input_area_of_focus," ","")&amp;",")))=COUNTA(TEXTSPLIT(AO55,",")))))</f>
        <v/>
      </c>
      <c r="IW55" s="19">
        <f>AND(IF(AQ55="",TRUE,IF(input_audience="",FALSE,SUMPRODUCT(--ISNUMBER(SEARCH(","&amp;TRIM(TEXTSPLIT(AQ55,","))&amp;",",","&amp;SUBSTITUTE(input_audience," ","")&amp;",")))&gt;0)),IF(AS55="",TRUE,IF(input_audience="",FALSE,SUMPRODUCT(--ISNUMBER(SEARCH(","&amp;TRIM(TEXTSPLIT(AS55,","))&amp;",",","&amp;SUBSTITUTE(input_audience," ","")&amp;",")))=COUNTA(TEXTSPLIT(AS55,",")))),IF(AU55="",TRUE,IF(input_audience="",TRUE,SUMPRODUCT(--ISNUMBER(SEARCH(","&amp;TRIM(TEXTSPLIT(AU55,","))&amp;",",","&amp;SUBSTITUTE(input_audience," ","")&amp;",")))=0)),IF(AW55="",TRUE,IF(input_audience="",FALSE,SUMPRODUCT(--ISNUMBER(SEARCH(","&amp;TRIM(TEXTSPLIT(AW55,","))&amp;",",","&amp;SUBSTITUTE(input_audience," ","")&amp;",")))&gt;0)),IF(AY55="",TRUE,IF(input_audience="",FALSE,SUMPRODUCT(--ISNUMBER(SEARCH(","&amp;TRIM(TEXTSPLIT(AY55,","))&amp;",",","&amp;SUBSTITUTE(input_audience," ","")&amp;",")))=COUNTA(TEXTSPLIT(AY55,",")))))</f>
        <v/>
      </c>
      <c r="IX55" s="19">
        <f>AND(IF(BA55="",TRUE,IF(input_challenge_opportunities="",FALSE,SUMPRODUCT(--ISNUMBER(SEARCH(","&amp;TRIM(TEXTSPLIT(BA55,","))&amp;",",","&amp;SUBSTITUTE(input_challenge_opportunities," ","")&amp;",")))&gt;0)),IF(BC55="",TRUE,IF(input_challenge_opportunities="",FALSE,SUMPRODUCT(--ISNUMBER(SEARCH(","&amp;TRIM(TEXTSPLIT(BC55,","))&amp;",",","&amp;SUBSTITUTE(input_challenge_opportunities," ","")&amp;",")))=COUNTA(TEXTSPLIT(BC55,",")))),IF(BE55="",TRUE,IF(input_challenge_opportunities="",TRUE,SUMPRODUCT(--ISNUMBER(SEARCH(","&amp;TRIM(TEXTSPLIT(BE55,","))&amp;",",","&amp;SUBSTITUTE(input_challenge_opportunities," ","")&amp;",")))=0)),IF(BG55="",TRUE,IF(input_challenge_opportunities="",FALSE,SUMPRODUCT(--ISNUMBER(SEARCH(","&amp;TRIM(TEXTSPLIT(BG55,","))&amp;",",","&amp;SUBSTITUTE(input_challenge_opportunities," ","")&amp;",")))&gt;0)),IF(BI55="",TRUE,IF(input_challenge_opportunities="",FALSE,SUMPRODUCT(--ISNUMBER(SEARCH(","&amp;TRIM(TEXTSPLIT(BI55,","))&amp;",",","&amp;SUBSTITUTE(input_challenge_opportunities," ","")&amp;",")))=COUNTA(TEXTSPLIT(BI55,",")))))</f>
        <v/>
      </c>
      <c r="IY55" s="19">
        <f>AND(IF(BK55="",TRUE,IF(input_context="",FALSE,SUMPRODUCT(--ISNUMBER(SEARCH(","&amp;TRIM(TEXTSPLIT(BK55,","))&amp;",",","&amp;SUBSTITUTE(input_context," ","")&amp;",")))&gt;0)),IF(BM55="",TRUE,IF(input_context="",FALSE,SUMPRODUCT(--ISNUMBER(SEARCH(","&amp;TRIM(TEXTSPLIT(BM55,","))&amp;",",","&amp;SUBSTITUTE(input_context," ","")&amp;",")))=COUNTA(TEXTSPLIT(BM55,",")))),IF(BO55="",TRUE,IF(input_context="",TRUE,SUMPRODUCT(--ISNUMBER(SEARCH(","&amp;TRIM(TEXTSPLIT(BO55,","))&amp;",",","&amp;SUBSTITUTE(input_context," ","")&amp;",")))=0)),IF(BQ55="",TRUE,IF(input_context="",FALSE,SUMPRODUCT(--ISNUMBER(SEARCH(","&amp;TRIM(TEXTSPLIT(BQ55,","))&amp;",",","&amp;SUBSTITUTE(input_context," ","")&amp;",")))&gt;0)),IF(BS55="",TRUE,IF(input_context="",FALSE,SUMPRODUCT(--ISNUMBER(SEARCH(","&amp;TRIM(TEXTSPLIT(BS55,","))&amp;",",","&amp;SUBSTITUTE(input_context," ","")&amp;",")))=COUNTA(TEXTSPLIT(BS55,",")))))</f>
        <v/>
      </c>
      <c r="IZ55" s="19">
        <f>AND(IF(BU55="",TRUE,IF(input_enews_announcement_type="",FALSE,SUMPRODUCT(--ISNUMBER(SEARCH(","&amp;TRIM(TEXTSPLIT(BU55,","))&amp;",",","&amp;SUBSTITUTE(input_enews_announcement_type," ","")&amp;",")))&gt;0)),IF(BW55="",TRUE,IF(input_enews_announcement_type="",FALSE,SUMPRODUCT(--ISNUMBER(SEARCH(","&amp;TRIM(TEXTSPLIT(BW55,","))&amp;",",","&amp;SUBSTITUTE(input_enews_announcement_type," ","")&amp;",")))=COUNTA(TEXTSPLIT(BW55,",")))),IF(BY55="",TRUE,IF(input_enews_announcement_type="",TRUE,SUMPRODUCT(--ISNUMBER(SEARCH(","&amp;TRIM(TEXTSPLIT(BY55,","))&amp;",",","&amp;SUBSTITUTE(input_enews_announcement_type," ","")&amp;",")))=0)),IF(CA55="",TRUE,IF(input_enews_announcement_type="",FALSE,SUMPRODUCT(--ISNUMBER(SEARCH(","&amp;TRIM(TEXTSPLIT(CA55,","))&amp;",",","&amp;SUBSTITUTE(input_enews_announcement_type," ","")&amp;",")))&gt;0)),IF(CC55="",TRUE,IF(input_enews_announcement_type="",FALSE,SUMPRODUCT(--ISNUMBER(SEARCH(","&amp;TRIM(TEXTSPLIT(CC55,","))&amp;",",","&amp;SUBSTITUTE(input_enews_announcement_type," ","")&amp;",")))=COUNTA(TEXTSPLIT(CC55,",")))))</f>
        <v/>
      </c>
      <c r="JA55" s="19">
        <f>AND(IF(CE55="",TRUE,IF(input_enews_audience="",FALSE,SUMPRODUCT(--ISNUMBER(SEARCH(","&amp;TRIM(TEXTSPLIT(CE55,","))&amp;",",","&amp;SUBSTITUTE(input_enews_audience," ","")&amp;",")))&gt;0)),IF(CG55="",TRUE,IF(input_enews_audience="",FALSE,SUMPRODUCT(--ISNUMBER(SEARCH(","&amp;TRIM(TEXTSPLIT(CG55,","))&amp;",",","&amp;SUBSTITUTE(input_enews_audience," ","")&amp;",")))=COUNTA(TEXTSPLIT(CG55,",")))),IF(CI55="",TRUE,IF(input_enews_audience="",TRUE,SUMPRODUCT(--ISNUMBER(SEARCH(","&amp;TRIM(TEXTSPLIT(CI55,","))&amp;",",","&amp;SUBSTITUTE(input_enews_audience," ","")&amp;",")))=0)),IF(CK55="",TRUE,IF(input_enews_audience="",FALSE,SUMPRODUCT(--ISNUMBER(SEARCH(","&amp;TRIM(TEXTSPLIT(CK55,","))&amp;",",","&amp;SUBSTITUTE(input_enews_audience," ","")&amp;",")))&gt;0)),IF(CM55="",TRUE,IF(input_enews_audience="",FALSE,SUMPRODUCT(--ISNUMBER(SEARCH(","&amp;TRIM(TEXTSPLIT(CM55,","))&amp;",",","&amp;SUBSTITUTE(input_enews_audience," ","")&amp;",")))=COUNTA(TEXTSPLIT(CM55,",")))))</f>
        <v/>
      </c>
      <c r="JB55" s="19">
        <f>AND(IF(CO55="",TRUE,IF(input_event_location="",FALSE,SUMPRODUCT(--ISNUMBER(SEARCH(","&amp;TRIM(TEXTSPLIT(CO55,","))&amp;",",","&amp;SUBSTITUTE(input_event_location," ","")&amp;",")))&gt;0)),IF(CQ55="",TRUE,IF(input_event_location="",FALSE,SUMPRODUCT(--ISNUMBER(SEARCH(","&amp;TRIM(TEXTSPLIT(CQ55,","))&amp;",",","&amp;SUBSTITUTE(input_event_location," ","")&amp;",")))=COUNTA(TEXTSPLIT(CQ55,",")))),IF(CS55="",TRUE,IF(input_event_location="",TRUE,SUMPRODUCT(--ISNUMBER(SEARCH(","&amp;TRIM(TEXTSPLIT(CS55,","))&amp;",",","&amp;SUBSTITUTE(input_event_location," ","")&amp;",")))=0)),IF(CU55="",TRUE,IF(input_event_location="",FALSE,SUMPRODUCT(--ISNUMBER(SEARCH(","&amp;TRIM(TEXTSPLIT(CU55,","))&amp;",",","&amp;SUBSTITUTE(input_event_location," ","")&amp;",")))&gt;0)),IF(CW55="",TRUE,IF(input_event_location="",FALSE,SUMPRODUCT(--ISNUMBER(SEARCH(","&amp;TRIM(TEXTSPLIT(CW55,","))&amp;",",","&amp;SUBSTITUTE(input_event_location," ","")&amp;",")))=COUNTA(TEXTSPLIT(CW55,",")))))</f>
        <v/>
      </c>
      <c r="JC55" s="19">
        <f>AND(IF(CY55="",TRUE,IF(input_event_type="",FALSE,SUMPRODUCT(--ISNUMBER(SEARCH(","&amp;TRIM(TEXTSPLIT(CY55,","))&amp;",",","&amp;SUBSTITUTE(input_event_type," ","")&amp;",")))&gt;0)),IF(DA55="",TRUE,IF(input_event_type="",FALSE,SUMPRODUCT(--ISNUMBER(SEARCH(","&amp;TRIM(TEXTSPLIT(DA55,","))&amp;",",","&amp;SUBSTITUTE(input_event_type," ","")&amp;",")))=COUNTA(TEXTSPLIT(DA55,",")))),IF(DC55="",TRUE,IF(input_event_type="",TRUE,SUMPRODUCT(--ISNUMBER(SEARCH(","&amp;TRIM(TEXTSPLIT(DC55,","))&amp;",",","&amp;SUBSTITUTE(input_event_type," ","")&amp;",")))=0)),IF(DE55="",TRUE,IF(input_event_type="",FALSE,SUMPRODUCT(--ISNUMBER(SEARCH(","&amp;TRIM(TEXTSPLIT(DE55,","))&amp;",",","&amp;SUBSTITUTE(input_event_type," ","")&amp;",")))&gt;0)),IF(DG55="",TRUE,IF(input_event_type="",FALSE,SUMPRODUCT(--ISNUMBER(SEARCH(","&amp;TRIM(TEXTSPLIT(DG55,","))&amp;",",","&amp;SUBSTITUTE(input_event_type," ","")&amp;",")))=COUNTA(TEXTSPLIT(DG55,",")))))</f>
        <v/>
      </c>
      <c r="JD55" s="19">
        <f>AND(IF(DI55="",TRUE,IF(input_executive_education_focus="",FALSE,SUMPRODUCT(--ISNUMBER(SEARCH(","&amp;TRIM(TEXTSPLIT(DI55,","))&amp;",",","&amp;SUBSTITUTE(input_executive_education_focus," ","")&amp;",")))&gt;0)),IF(DK55="",TRUE,IF(input_executive_education_focus="",FALSE,SUMPRODUCT(--ISNUMBER(SEARCH(","&amp;TRIM(TEXTSPLIT(DK55,","))&amp;",",","&amp;SUBSTITUTE(input_executive_education_focus," ","")&amp;",")))=COUNTA(TEXTSPLIT(DK55,",")))),IF(DM55="",TRUE,IF(input_executive_education_focus="",TRUE,SUMPRODUCT(--ISNUMBER(SEARCH(","&amp;TRIM(TEXTSPLIT(DM55,","))&amp;",",","&amp;SUBSTITUTE(input_executive_education_focus," ","")&amp;",")))=0)),IF(DO55="",TRUE,IF(input_executive_education_focus="",FALSE,SUMPRODUCT(--ISNUMBER(SEARCH(","&amp;TRIM(TEXTSPLIT(DO55,","))&amp;",",","&amp;SUBSTITUTE(input_executive_education_focus," ","")&amp;",")))&gt;0)),IF(DQ55="",TRUE,IF(input_executive_education_focus="",FALSE,SUMPRODUCT(--ISNUMBER(SEARCH(","&amp;TRIM(TEXTSPLIT(DQ55,","))&amp;",",","&amp;SUBSTITUTE(input_executive_education_focus," ","")&amp;",")))=COUNTA(TEXTSPLIT(DQ55,",")))))</f>
        <v/>
      </c>
      <c r="JE55" s="19">
        <f>AND(IF(DS55="",TRUE,IF(input_faculty_category="",FALSE,SUMPRODUCT(--ISNUMBER(SEARCH(","&amp;TRIM(TEXTSPLIT(DS55,","))&amp;",",","&amp;SUBSTITUTE(input_faculty_category," ","")&amp;",")))&gt;0)),IF(DU55="",TRUE,IF(input_faculty_category="",FALSE,SUMPRODUCT(--ISNUMBER(SEARCH(","&amp;TRIM(TEXTSPLIT(DU55,","))&amp;",",","&amp;SUBSTITUTE(input_faculty_category," ","")&amp;",")))=COUNTA(TEXTSPLIT(DU55,",")))),IF(DW55="",TRUE,IF(input_faculty_category="",TRUE,SUMPRODUCT(--ISNUMBER(SEARCH(","&amp;TRIM(TEXTSPLIT(DW55,","))&amp;",",","&amp;SUBSTITUTE(input_faculty_category," ","")&amp;",")))=0)),IF(DY55="",TRUE,IF(input_faculty_category="",FALSE,SUMPRODUCT(--ISNUMBER(SEARCH(","&amp;TRIM(TEXTSPLIT(DY55,","))&amp;",",","&amp;SUBSTITUTE(input_faculty_category," ","")&amp;",")))&gt;0)),IF(EA55="",TRUE,IF(input_faculty_category="",FALSE,SUMPRODUCT(--ISNUMBER(SEARCH(","&amp;TRIM(TEXTSPLIT(EA55,","))&amp;",",","&amp;SUBSTITUTE(input_faculty_category," ","")&amp;",")))=COUNTA(TEXTSPLIT(EA55,",")))))</f>
        <v/>
      </c>
      <c r="JF55" s="19">
        <f>AND(IF(EC55="",TRUE,IF(input_faculty_discipline="",FALSE,SUMPRODUCT(--ISNUMBER(SEARCH(","&amp;TRIM(TEXTSPLIT(EC55,","))&amp;",",","&amp;SUBSTITUTE(input_faculty_discipline," ","")&amp;",")))&gt;0)),IF(EE55="",TRUE,IF(input_faculty_discipline="",FALSE,SUMPRODUCT(--ISNUMBER(SEARCH(","&amp;TRIM(TEXTSPLIT(EE55,","))&amp;",",","&amp;SUBSTITUTE(input_faculty_discipline," ","")&amp;",")))=COUNTA(TEXTSPLIT(EE55,",")))),IF(EG55="",TRUE,IF(input_faculty_discipline="",TRUE,SUMPRODUCT(--ISNUMBER(SEARCH(","&amp;TRIM(TEXTSPLIT(EG55,","))&amp;",",","&amp;SUBSTITUTE(input_faculty_discipline," ","")&amp;",")))=0)),IF(EI55="",TRUE,IF(input_faculty_discipline="",FALSE,SUMPRODUCT(--ISNUMBER(SEARCH(","&amp;TRIM(TEXTSPLIT(EI55,","))&amp;",",","&amp;SUBSTITUTE(input_faculty_discipline," ","")&amp;",")))&gt;0)),IF(EK55="",TRUE,IF(input_faculty_discipline="",FALSE,SUMPRODUCT(--ISNUMBER(SEARCH(","&amp;TRIM(TEXTSPLIT(EK55,","))&amp;",",","&amp;SUBSTITUTE(input_faculty_discipline," ","")&amp;",")))=COUNTA(TEXTSPLIT(EK55,",")))))</f>
        <v/>
      </c>
      <c r="JG55" s="19">
        <f>AND(IF(EM55="",TRUE,IF(input_faculty_expertise="",FALSE,SUMPRODUCT(--ISNUMBER(SEARCH(","&amp;TRIM(TEXTSPLIT(EM55,","))&amp;",",","&amp;SUBSTITUTE(input_faculty_expertise," ","")&amp;",")))&gt;0)),IF(EO55="",TRUE,IF(input_faculty_expertise="",FALSE,SUMPRODUCT(--ISNUMBER(SEARCH(","&amp;TRIM(TEXTSPLIT(EO55,","))&amp;",",","&amp;SUBSTITUTE(input_faculty_expertise," ","")&amp;",")))=COUNTA(TEXTSPLIT(EO55,",")))),IF(EQ55="",TRUE,IF(input_faculty_expertise="",TRUE,SUMPRODUCT(--ISNUMBER(SEARCH(","&amp;TRIM(TEXTSPLIT(EQ55,","))&amp;",",","&amp;SUBSTITUTE(input_faculty_expertise," ","")&amp;",")))=0)),IF(ES55="",TRUE,IF(input_faculty_expertise="",FALSE,SUMPRODUCT(--ISNUMBER(SEARCH(","&amp;TRIM(TEXTSPLIT(ES55,","))&amp;",",","&amp;SUBSTITUTE(input_faculty_expertise," ","")&amp;",")))&gt;0)),IF(EU55="",TRUE,IF(input_faculty_expertise="",FALSE,SUMPRODUCT(--ISNUMBER(SEARCH(","&amp;TRIM(TEXTSPLIT(EU55,","))&amp;",",","&amp;SUBSTITUTE(input_faculty_expertise," ","")&amp;",")))=COUNTA(TEXTSPLIT(EU55,",")))))</f>
        <v/>
      </c>
      <c r="JH55" s="19">
        <f>AND(IF(EW55="",TRUE,IF(input_global_network_school="",FALSE,SUMPRODUCT(--ISNUMBER(SEARCH(","&amp;TRIM(TEXTSPLIT(EW55,","))&amp;",",","&amp;SUBSTITUTE(input_global_network_school," ","")&amp;",")))&gt;0)),IF(EY55="",TRUE,IF(input_global_network_school="",FALSE,SUMPRODUCT(--ISNUMBER(SEARCH(","&amp;TRIM(TEXTSPLIT(EY55,","))&amp;",",","&amp;SUBSTITUTE(input_global_network_school," ","")&amp;",")))=COUNTA(TEXTSPLIT(EY55,",")))),IF(FA55="",TRUE,IF(input_global_network_school="",TRUE,SUMPRODUCT(--ISNUMBER(SEARCH(","&amp;TRIM(TEXTSPLIT(FA55,","))&amp;",",","&amp;SUBSTITUTE(input_global_network_school," ","")&amp;",")))=0)),IF(FC55="",TRUE,IF(input_global_network_school="",FALSE,SUMPRODUCT(--ISNUMBER(SEARCH(","&amp;TRIM(TEXTSPLIT(FC55,","))&amp;",",","&amp;SUBSTITUTE(input_global_network_school," ","")&amp;",")))&gt;0)),IF(FE55="",TRUE,IF(input_global_network_school="",FALSE,SUMPRODUCT(--ISNUMBER(SEARCH(","&amp;TRIM(TEXTSPLIT(FE55,","))&amp;",",","&amp;SUBSTITUTE(input_global_network_school," ","")&amp;",")))=COUNTA(TEXTSPLIT(FE55,",")))))</f>
        <v/>
      </c>
      <c r="JI55" s="19">
        <f>AND(IF(FG55="",TRUE,IF(input_industry="",FALSE,SUMPRODUCT(--ISNUMBER(SEARCH(","&amp;TRIM(TEXTSPLIT(FG55,","))&amp;",",","&amp;SUBSTITUTE(input_industry," ","")&amp;",")))&gt;0)),IF(FI55="",TRUE,IF(input_industry="",FALSE,SUMPRODUCT(--ISNUMBER(SEARCH(","&amp;TRIM(TEXTSPLIT(FI55,","))&amp;",",","&amp;SUBSTITUTE(input_industry," ","")&amp;",")))=COUNTA(TEXTSPLIT(FI55,",")))),IF(FK55="",TRUE,IF(input_industry="",TRUE,SUMPRODUCT(--ISNUMBER(SEARCH(","&amp;TRIM(TEXTSPLIT(FK55,","))&amp;",",","&amp;SUBSTITUTE(input_industry," ","")&amp;",")))=0)),IF(FM55="",TRUE,IF(input_industry="",FALSE,SUMPRODUCT(--ISNUMBER(SEARCH(","&amp;TRIM(TEXTSPLIT(FM55,","))&amp;",",","&amp;SUBSTITUTE(input_industry," ","")&amp;",")))&gt;0)),IF(FO55="",TRUE,IF(input_industry="",FALSE,SUMPRODUCT(--ISNUMBER(SEARCH(","&amp;TRIM(TEXTSPLIT(FO55,","))&amp;",",","&amp;SUBSTITUTE(input_industry," ","")&amp;",")))=COUNTA(TEXTSPLIT(FO55,",")))))</f>
        <v/>
      </c>
      <c r="JJ55" s="19">
        <f>AND(IF(FQ55="",TRUE,IF(input_location="",FALSE,SUMPRODUCT(--ISNUMBER(SEARCH(","&amp;TRIM(TEXTSPLIT(FQ55,","))&amp;",",","&amp;SUBSTITUTE(input_location," ","")&amp;",")))&gt;0)),IF(FS55="",TRUE,IF(input_location="",FALSE,SUMPRODUCT(--ISNUMBER(SEARCH(","&amp;TRIM(TEXTSPLIT(FS55,","))&amp;",",","&amp;SUBSTITUTE(input_location," ","")&amp;",")))=COUNTA(TEXTSPLIT(FS55,",")))),IF(FU55="",TRUE,IF(input_location="",TRUE,SUMPRODUCT(--ISNUMBER(SEARCH(","&amp;TRIM(TEXTSPLIT(FU55,","))&amp;",",","&amp;SUBSTITUTE(input_location," ","")&amp;",")))=0)),IF(FW55="",TRUE,IF(input_location="",FALSE,SUMPRODUCT(--ISNUMBER(SEARCH(","&amp;TRIM(TEXTSPLIT(FW55,","))&amp;",",","&amp;SUBSTITUTE(input_location," ","")&amp;",")))&gt;0)),IF(FY55="",TRUE,IF(input_location="",FALSE,SUMPRODUCT(--ISNUMBER(SEARCH(","&amp;TRIM(TEXTSPLIT(FY55,","))&amp;",",","&amp;SUBSTITUTE(input_location," ","")&amp;",")))=COUNTA(TEXTSPLIT(FY55,",")))))</f>
        <v/>
      </c>
      <c r="JK55" s="19">
        <f>AND(IF(GA55="",TRUE,IF(input_modality="",FALSE,SUMPRODUCT(--ISNUMBER(SEARCH(","&amp;TRIM(TEXTSPLIT(GA55,","))&amp;",",","&amp;SUBSTITUTE(input_modality," ","")&amp;",")))&gt;0)),IF(GC55="",TRUE,IF(input_modality="",FALSE,SUMPRODUCT(--ISNUMBER(SEARCH(","&amp;TRIM(TEXTSPLIT(GC55,","))&amp;",",","&amp;SUBSTITUTE(input_modality," ","")&amp;",")))=COUNTA(TEXTSPLIT(GC55,",")))),IF(GE55="",TRUE,IF(input_modality="",TRUE,SUMPRODUCT(--ISNUMBER(SEARCH(","&amp;TRIM(TEXTSPLIT(GE55,","))&amp;",",","&amp;SUBSTITUTE(input_modality," ","")&amp;",")))=0)),IF(GG55="",TRUE,IF(input_modality="",FALSE,SUMPRODUCT(--ISNUMBER(SEARCH(","&amp;TRIM(TEXTSPLIT(GG55,","))&amp;",",","&amp;SUBSTITUTE(input_modality," ","")&amp;",")))&gt;0)),IF(GI55="",TRUE,IF(input_modality="",FALSE,SUMPRODUCT(--ISNUMBER(SEARCH(","&amp;TRIM(TEXTSPLIT(GI55,","))&amp;",",","&amp;SUBSTITUTE(input_modality," ","")&amp;",")))=COUNTA(TEXTSPLIT(GI55,",")))))</f>
        <v/>
      </c>
      <c r="JL55" s="19">
        <f>AND(IF(GK55="",TRUE,IF(input_organizer="",FALSE,SUMPRODUCT(--ISNUMBER(SEARCH(","&amp;TRIM(TEXTSPLIT(GK55,","))&amp;",",","&amp;SUBSTITUTE(input_organizer," ","")&amp;",")))&gt;0)),IF(GM55="",TRUE,IF(input_organizer="",FALSE,SUMPRODUCT(--ISNUMBER(SEARCH(","&amp;TRIM(TEXTSPLIT(GM55,","))&amp;",",","&amp;SUBSTITUTE(input_organizer," ","")&amp;",")))=COUNTA(TEXTSPLIT(GM55,",")))),IF(GO55="",TRUE,IF(input_organizer="",TRUE,SUMPRODUCT(--ISNUMBER(SEARCH(","&amp;TRIM(TEXTSPLIT(GO55,","))&amp;",",","&amp;SUBSTITUTE(input_organizer," ","")&amp;",")))=0)),IF(GQ55="",TRUE,IF(input_organizer="",FALSE,SUMPRODUCT(--ISNUMBER(SEARCH(","&amp;TRIM(TEXTSPLIT(GQ55,","))&amp;",",","&amp;SUBSTITUTE(input_organizer," ","")&amp;",")))&gt;0)),IF(GS55="",TRUE,IF(input_organizer="",FALSE,SUMPRODUCT(--ISNUMBER(SEARCH(","&amp;TRIM(TEXTSPLIT(GS55,","))&amp;",",","&amp;SUBSTITUTE(input_organizer," ","")&amp;",")))=COUNTA(TEXTSPLIT(GS55,",")))))</f>
        <v/>
      </c>
      <c r="JM55" s="19">
        <f>AND(IF(GU55="",TRUE,IF(input_profile_type="",FALSE,SUMPRODUCT(--ISNUMBER(SEARCH(","&amp;TRIM(TEXTSPLIT(GU55,","))&amp;",",","&amp;SUBSTITUTE(input_profile_type," ","")&amp;",")))&gt;0)),IF(GW55="",TRUE,IF(input_profile_type="",FALSE,SUMPRODUCT(--ISNUMBER(SEARCH(","&amp;TRIM(TEXTSPLIT(GW55,","))&amp;",",","&amp;SUBSTITUTE(input_profile_type," ","")&amp;",")))=COUNTA(TEXTSPLIT(GW55,",")))),IF(GY55="",TRUE,IF(input_profile_type="",TRUE,SUMPRODUCT(--ISNUMBER(SEARCH(","&amp;TRIM(TEXTSPLIT(GY55,","))&amp;",",","&amp;SUBSTITUTE(input_profile_type," ","")&amp;",")))=0)),IF(HA55="",TRUE,IF(input_profile_type="",FALSE,SUMPRODUCT(--ISNUMBER(SEARCH(","&amp;TRIM(TEXTSPLIT(HA55,","))&amp;",",","&amp;SUBSTITUTE(input_profile_type," ","")&amp;",")))&gt;0)),IF(HC55="",TRUE,IF(input_profile_type="",FALSE,SUMPRODUCT(--ISNUMBER(SEARCH(","&amp;TRIM(TEXTSPLIT(HC55,","))&amp;",",","&amp;SUBSTITUTE(input_profile_type," ","")&amp;",")))=COUNTA(TEXTSPLIT(HC55,",")))))</f>
        <v/>
      </c>
      <c r="JN55" s="19">
        <f>AND(IF(HE55="",TRUE,IF(input_program="",FALSE,SUMPRODUCT(--ISNUMBER(SEARCH(","&amp;TRIM(TEXTSPLIT(HE55,","))&amp;",",","&amp;SUBSTITUTE(input_program," ","")&amp;",")))&gt;0)),IF(HG55="",TRUE,IF(input_program="",FALSE,SUMPRODUCT(--ISNUMBER(SEARCH(","&amp;TRIM(TEXTSPLIT(HG55,","))&amp;",",","&amp;SUBSTITUTE(input_program," ","")&amp;",")))=COUNTA(TEXTSPLIT(HG55,",")))),IF(HI55="",TRUE,IF(input_program="",TRUE,SUMPRODUCT(--ISNUMBER(SEARCH(","&amp;TRIM(TEXTSPLIT(HI55,","))&amp;",",","&amp;SUBSTITUTE(input_program," ","")&amp;",")))=0)),IF(HK55="",TRUE,IF(input_program="",FALSE,SUMPRODUCT(--ISNUMBER(SEARCH(","&amp;TRIM(TEXTSPLIT(HK55,","))&amp;",",","&amp;SUBSTITUTE(input_program," ","")&amp;",")))&gt;0)),IF(HM55="",TRUE,IF(input_program="",FALSE,SUMPRODUCT(--ISNUMBER(SEARCH(","&amp;TRIM(TEXTSPLIT(HM55,","))&amp;",",","&amp;SUBSTITUTE(input_program," ","")&amp;",")))=COUNTA(TEXTSPLIT(HM55,",")))))</f>
        <v/>
      </c>
      <c r="JO55" s="19">
        <f>AND(IF(HO55="",TRUE,IF(input_story_categories="",FALSE,SUMPRODUCT(--ISNUMBER(SEARCH(","&amp;TRIM(TEXTSPLIT(HO55,","))&amp;",",","&amp;SUBSTITUTE(input_story_categories," ","")&amp;",")))&gt;0)),IF(HQ55="",TRUE,IF(input_story_categories="",FALSE,SUMPRODUCT(--ISNUMBER(SEARCH(","&amp;TRIM(TEXTSPLIT(HQ55,","))&amp;",",","&amp;SUBSTITUTE(input_story_categories," ","")&amp;",")))=COUNTA(TEXTSPLIT(HQ55,",")))),IF(HS55="",TRUE,IF(input_story_categories="",TRUE,SUMPRODUCT(--ISNUMBER(SEARCH(","&amp;TRIM(TEXTSPLIT(HS55,","))&amp;",",","&amp;SUBSTITUTE(input_story_categories," ","")&amp;",")))=0)),IF(HU55="",TRUE,IF(input_story_categories="",FALSE,SUMPRODUCT(--ISNUMBER(SEARCH(","&amp;TRIM(TEXTSPLIT(HU55,","))&amp;",",","&amp;SUBSTITUTE(input_story_categories," ","")&amp;",")))&gt;0)),IF(HW55="",TRUE,IF(input_story_categories="",FALSE,SUMPRODUCT(--ISNUMBER(SEARCH(","&amp;TRIM(TEXTSPLIT(HW55,","))&amp;",",","&amp;SUBSTITUTE(input_story_categories," ","")&amp;",")))=COUNTA(TEXTSPLIT(HW55,",")))))</f>
        <v/>
      </c>
      <c r="JP55" s="19">
        <f>AND(IF(HY55="",TRUE,IF(input_story_type="",FALSE,SUMPRODUCT(--ISNUMBER(SEARCH(","&amp;TRIM(TEXTSPLIT(HY55,","))&amp;",",","&amp;SUBSTITUTE(input_story_type," ","")&amp;",")))&gt;0)),IF(IA55="",TRUE,IF(input_story_type="",FALSE,SUMPRODUCT(--ISNUMBER(SEARCH(","&amp;TRIM(TEXTSPLIT(IA55,","))&amp;",",","&amp;SUBSTITUTE(input_story_type," ","")&amp;",")))=COUNTA(TEXTSPLIT(IA55,",")))),IF(IC55="",TRUE,IF(input_story_type="",TRUE,SUMPRODUCT(--ISNUMBER(SEARCH(","&amp;TRIM(TEXTSPLIT(IC55,","))&amp;",",","&amp;SUBSTITUTE(input_story_type," ","")&amp;",")))=0)),IF(IE55="",TRUE,IF(input_story_type="",FALSE,SUMPRODUCT(--ISNUMBER(SEARCH(","&amp;TRIM(TEXTSPLIT(IE55,","))&amp;",",","&amp;SUBSTITUTE(input_story_type," ","")&amp;",")))&gt;0)),IF(IG55="",TRUE,IF(input_story_type="",FALSE,SUMPRODUCT(--ISNUMBER(SEARCH(","&amp;TRIM(TEXTSPLIT(IG55,","))&amp;",",","&amp;SUBSTITUTE(input_story_type," ","")&amp;",")))=COUNTA(TEXTSPLIT(IG55,",")))))</f>
        <v/>
      </c>
      <c r="JQ55" s="19">
        <f>AND(IF(II55="",TRUE,IF(input_topics="",FALSE,SUMPRODUCT(--ISNUMBER(SEARCH(","&amp;TRIM(TEXTSPLIT(II55,","))&amp;",",","&amp;SUBSTITUTE(input_topics," ","")&amp;",")))&gt;0)),IF(IK55="",TRUE,IF(input_topics="",FALSE,SUMPRODUCT(--ISNUMBER(SEARCH(","&amp;TRIM(TEXTSPLIT(IK55,","))&amp;",",","&amp;SUBSTITUTE(input_topics," ","")&amp;",")))=COUNTA(TEXTSPLIT(IK55,",")))),IF(IM55="",TRUE,IF(input_topics="",TRUE,SUMPRODUCT(--ISNUMBER(SEARCH(","&amp;TRIM(TEXTSPLIT(IM55,","))&amp;",",","&amp;SUBSTITUTE(input_topics," ","")&amp;",")))=0)),IF(IO55="",TRUE,IF(input_topics="",FALSE,SUMPRODUCT(--ISNUMBER(SEARCH(","&amp;TRIM(TEXTSPLIT(IO55,","))&amp;",",","&amp;SUBSTITUTE(input_topics," ","")&amp;",")))&gt;0)),IF(IQ55="",TRUE,IF(input_topics="",FALSE,SUMPRODUCT(--ISNUMBER(SEARCH(","&amp;TRIM(TEXTSPLIT(IQ55,","))&amp;",",","&amp;SUBSTITUTE(input_topics," ","")&amp;",")))=COUNTA(TEXTSPLIT(IQ55,",")))))</f>
        <v/>
      </c>
    </row>
    <row r="56">
      <c r="A56" s="24">
        <f>IF(NOT(IS56),"Excluded",IF(AND(IT56,IU56,IV56,IW56,IX56,IY56,IZ56,JA56,JB56,JC56,JD56,JE56,JF56,JG56,JH56,JI56,JJ56,JK56,JL56,JM56,JN56,JO56,JP56,JQ56),IF(I56&gt;0,"Eligible but limited","Will appear"),"Excluded"))</f>
        <v/>
      </c>
      <c r="B56" s="24" t="inlineStr">
        <is>
          <t>All Publications by Author</t>
        </is>
      </c>
      <c r="C56" s="27" t="inlineStr">
        <is>
          <t>/faculty-research/faculty-directory/zeqiong-huang</t>
        </is>
      </c>
      <c r="D56" s="24" t="inlineStr">
        <is>
          <t>/faculty-research/faculty-directory/zeqiong-huang</t>
        </is>
      </c>
      <c r="E56" s="24" t="n">
        <v>1</v>
      </c>
      <c r="F56" s="24" t="inlineStr">
        <is>
          <t>publications</t>
        </is>
      </c>
      <c r="G56" s="24" t="inlineStr">
        <is>
          <t>publication_teaser_list</t>
        </is>
      </c>
      <c r="H56" s="24" t="inlineStr">
        <is>
          <t>publication_teaser_list_all_by_author</t>
        </is>
      </c>
      <c r="I56" s="24" t="n"/>
      <c r="J56" s="24" t="inlineStr">
        <is>
          <t>View/config rules</t>
        </is>
      </c>
      <c r="K56" s="24" t="inlineStr">
        <is>
          <t>Page placement</t>
        </is>
      </c>
      <c r="L56" s="24" t="inlineStr">
        <is>
          <t>Content type: publications; Source: View/config rules</t>
        </is>
      </c>
      <c r="IS56" s="19">
        <f>IF(input_content_type="",FALSE,ISNUMBER(SEARCH(","&amp;LOWER(input_content_type)&amp;",",","&amp;LOWER(SUBSTITUTE(F56," ",""))&amp;",")))</f>
        <v/>
      </c>
      <c r="IT56" s="19">
        <f>AND(IF(M56="",TRUE,IF(input_affiliations="",FALSE,SUMPRODUCT(--ISNUMBER(SEARCH(","&amp;TRIM(TEXTSPLIT(M56,","))&amp;",",","&amp;SUBSTITUTE(input_affiliations," ","")&amp;",")))&gt;0)),IF(O56="",TRUE,IF(input_affiliations="",FALSE,SUMPRODUCT(--ISNUMBER(SEARCH(","&amp;TRIM(TEXTSPLIT(O56,","))&amp;",",","&amp;SUBSTITUTE(input_affiliations," ","")&amp;",")))=COUNTA(TEXTSPLIT(O56,",")))),IF(Q56="",TRUE,IF(input_affiliations="",TRUE,SUMPRODUCT(--ISNUMBER(SEARCH(","&amp;TRIM(TEXTSPLIT(Q56,","))&amp;",",","&amp;SUBSTITUTE(input_affiliations," ","")&amp;",")))=0)),IF(S56="",TRUE,IF(input_affiliations="",FALSE,SUMPRODUCT(--ISNUMBER(SEARCH(","&amp;TRIM(TEXTSPLIT(S56,","))&amp;",",","&amp;SUBSTITUTE(input_affiliations," ","")&amp;",")))&gt;0)),IF(U56="",TRUE,IF(input_affiliations="",FALSE,SUMPRODUCT(--ISNUMBER(SEARCH(","&amp;TRIM(TEXTSPLIT(U56,","))&amp;",",","&amp;SUBSTITUTE(input_affiliations," ","")&amp;",")))=COUNTA(TEXTSPLIT(U56,",")))))</f>
        <v/>
      </c>
      <c r="IU56" s="19">
        <f>AND(IF(W56="",TRUE,IF(input_announcement_category="",FALSE,SUMPRODUCT(--ISNUMBER(SEARCH(","&amp;TRIM(TEXTSPLIT(W56,","))&amp;",",","&amp;SUBSTITUTE(input_announcement_category," ","")&amp;",")))&gt;0)),IF(Y56="",TRUE,IF(input_announcement_category="",FALSE,SUMPRODUCT(--ISNUMBER(SEARCH(","&amp;TRIM(TEXTSPLIT(Y56,","))&amp;",",","&amp;SUBSTITUTE(input_announcement_category," ","")&amp;",")))=COUNTA(TEXTSPLIT(Y56,",")))),IF(AA56="",TRUE,IF(input_announcement_category="",TRUE,SUMPRODUCT(--ISNUMBER(SEARCH(","&amp;TRIM(TEXTSPLIT(AA56,","))&amp;",",","&amp;SUBSTITUTE(input_announcement_category," ","")&amp;",")))=0)),IF(AC56="",TRUE,IF(input_announcement_category="",FALSE,SUMPRODUCT(--ISNUMBER(SEARCH(","&amp;TRIM(TEXTSPLIT(AC56,","))&amp;",",","&amp;SUBSTITUTE(input_announcement_category," ","")&amp;",")))&gt;0)),IF(AE56="",TRUE,IF(input_announcement_category="",FALSE,SUMPRODUCT(--ISNUMBER(SEARCH(","&amp;TRIM(TEXTSPLIT(AE56,","))&amp;",",","&amp;SUBSTITUTE(input_announcement_category," ","")&amp;",")))=COUNTA(TEXTSPLIT(AE56,",")))))</f>
        <v/>
      </c>
      <c r="IV56" s="19">
        <f>AND(IF(AG56="",TRUE,IF(input_area_of_focus="",FALSE,SUMPRODUCT(--ISNUMBER(SEARCH(","&amp;TRIM(TEXTSPLIT(AG56,","))&amp;",",","&amp;SUBSTITUTE(input_area_of_focus," ","")&amp;",")))&gt;0)),IF(AI56="",TRUE,IF(input_area_of_focus="",FALSE,SUMPRODUCT(--ISNUMBER(SEARCH(","&amp;TRIM(TEXTSPLIT(AI56,","))&amp;",",","&amp;SUBSTITUTE(input_area_of_focus," ","")&amp;",")))=COUNTA(TEXTSPLIT(AI56,",")))),IF(AK56="",TRUE,IF(input_area_of_focus="",TRUE,SUMPRODUCT(--ISNUMBER(SEARCH(","&amp;TRIM(TEXTSPLIT(AK56,","))&amp;",",","&amp;SUBSTITUTE(input_area_of_focus," ","")&amp;",")))=0)),IF(AM56="",TRUE,IF(input_area_of_focus="",FALSE,SUMPRODUCT(--ISNUMBER(SEARCH(","&amp;TRIM(TEXTSPLIT(AM56,","))&amp;",",","&amp;SUBSTITUTE(input_area_of_focus," ","")&amp;",")))&gt;0)),IF(AO56="",TRUE,IF(input_area_of_focus="",FALSE,SUMPRODUCT(--ISNUMBER(SEARCH(","&amp;TRIM(TEXTSPLIT(AO56,","))&amp;",",","&amp;SUBSTITUTE(input_area_of_focus," ","")&amp;",")))=COUNTA(TEXTSPLIT(AO56,",")))))</f>
        <v/>
      </c>
      <c r="IW56" s="19">
        <f>AND(IF(AQ56="",TRUE,IF(input_audience="",FALSE,SUMPRODUCT(--ISNUMBER(SEARCH(","&amp;TRIM(TEXTSPLIT(AQ56,","))&amp;",",","&amp;SUBSTITUTE(input_audience," ","")&amp;",")))&gt;0)),IF(AS56="",TRUE,IF(input_audience="",FALSE,SUMPRODUCT(--ISNUMBER(SEARCH(","&amp;TRIM(TEXTSPLIT(AS56,","))&amp;",",","&amp;SUBSTITUTE(input_audience," ","")&amp;",")))=COUNTA(TEXTSPLIT(AS56,",")))),IF(AU56="",TRUE,IF(input_audience="",TRUE,SUMPRODUCT(--ISNUMBER(SEARCH(","&amp;TRIM(TEXTSPLIT(AU56,","))&amp;",",","&amp;SUBSTITUTE(input_audience," ","")&amp;",")))=0)),IF(AW56="",TRUE,IF(input_audience="",FALSE,SUMPRODUCT(--ISNUMBER(SEARCH(","&amp;TRIM(TEXTSPLIT(AW56,","))&amp;",",","&amp;SUBSTITUTE(input_audience," ","")&amp;",")))&gt;0)),IF(AY56="",TRUE,IF(input_audience="",FALSE,SUMPRODUCT(--ISNUMBER(SEARCH(","&amp;TRIM(TEXTSPLIT(AY56,","))&amp;",",","&amp;SUBSTITUTE(input_audience," ","")&amp;",")))=COUNTA(TEXTSPLIT(AY56,",")))))</f>
        <v/>
      </c>
      <c r="IX56" s="19">
        <f>AND(IF(BA56="",TRUE,IF(input_challenge_opportunities="",FALSE,SUMPRODUCT(--ISNUMBER(SEARCH(","&amp;TRIM(TEXTSPLIT(BA56,","))&amp;",",","&amp;SUBSTITUTE(input_challenge_opportunities," ","")&amp;",")))&gt;0)),IF(BC56="",TRUE,IF(input_challenge_opportunities="",FALSE,SUMPRODUCT(--ISNUMBER(SEARCH(","&amp;TRIM(TEXTSPLIT(BC56,","))&amp;",",","&amp;SUBSTITUTE(input_challenge_opportunities," ","")&amp;",")))=COUNTA(TEXTSPLIT(BC56,",")))),IF(BE56="",TRUE,IF(input_challenge_opportunities="",TRUE,SUMPRODUCT(--ISNUMBER(SEARCH(","&amp;TRIM(TEXTSPLIT(BE56,","))&amp;",",","&amp;SUBSTITUTE(input_challenge_opportunities," ","")&amp;",")))=0)),IF(BG56="",TRUE,IF(input_challenge_opportunities="",FALSE,SUMPRODUCT(--ISNUMBER(SEARCH(","&amp;TRIM(TEXTSPLIT(BG56,","))&amp;",",","&amp;SUBSTITUTE(input_challenge_opportunities," ","")&amp;",")))&gt;0)),IF(BI56="",TRUE,IF(input_challenge_opportunities="",FALSE,SUMPRODUCT(--ISNUMBER(SEARCH(","&amp;TRIM(TEXTSPLIT(BI56,","))&amp;",",","&amp;SUBSTITUTE(input_challenge_opportunities," ","")&amp;",")))=COUNTA(TEXTSPLIT(BI56,",")))))</f>
        <v/>
      </c>
      <c r="IY56" s="19">
        <f>AND(IF(BK56="",TRUE,IF(input_context="",FALSE,SUMPRODUCT(--ISNUMBER(SEARCH(","&amp;TRIM(TEXTSPLIT(BK56,","))&amp;",",","&amp;SUBSTITUTE(input_context," ","")&amp;",")))&gt;0)),IF(BM56="",TRUE,IF(input_context="",FALSE,SUMPRODUCT(--ISNUMBER(SEARCH(","&amp;TRIM(TEXTSPLIT(BM56,","))&amp;",",","&amp;SUBSTITUTE(input_context," ","")&amp;",")))=COUNTA(TEXTSPLIT(BM56,",")))),IF(BO56="",TRUE,IF(input_context="",TRUE,SUMPRODUCT(--ISNUMBER(SEARCH(","&amp;TRIM(TEXTSPLIT(BO56,","))&amp;",",","&amp;SUBSTITUTE(input_context," ","")&amp;",")))=0)),IF(BQ56="",TRUE,IF(input_context="",FALSE,SUMPRODUCT(--ISNUMBER(SEARCH(","&amp;TRIM(TEXTSPLIT(BQ56,","))&amp;",",","&amp;SUBSTITUTE(input_context," ","")&amp;",")))&gt;0)),IF(BS56="",TRUE,IF(input_context="",FALSE,SUMPRODUCT(--ISNUMBER(SEARCH(","&amp;TRIM(TEXTSPLIT(BS56,","))&amp;",",","&amp;SUBSTITUTE(input_context," ","")&amp;",")))=COUNTA(TEXTSPLIT(BS56,",")))))</f>
        <v/>
      </c>
      <c r="IZ56" s="19">
        <f>AND(IF(BU56="",TRUE,IF(input_enews_announcement_type="",FALSE,SUMPRODUCT(--ISNUMBER(SEARCH(","&amp;TRIM(TEXTSPLIT(BU56,","))&amp;",",","&amp;SUBSTITUTE(input_enews_announcement_type," ","")&amp;",")))&gt;0)),IF(BW56="",TRUE,IF(input_enews_announcement_type="",FALSE,SUMPRODUCT(--ISNUMBER(SEARCH(","&amp;TRIM(TEXTSPLIT(BW56,","))&amp;",",","&amp;SUBSTITUTE(input_enews_announcement_type," ","")&amp;",")))=COUNTA(TEXTSPLIT(BW56,",")))),IF(BY56="",TRUE,IF(input_enews_announcement_type="",TRUE,SUMPRODUCT(--ISNUMBER(SEARCH(","&amp;TRIM(TEXTSPLIT(BY56,","))&amp;",",","&amp;SUBSTITUTE(input_enews_announcement_type," ","")&amp;",")))=0)),IF(CA56="",TRUE,IF(input_enews_announcement_type="",FALSE,SUMPRODUCT(--ISNUMBER(SEARCH(","&amp;TRIM(TEXTSPLIT(CA56,","))&amp;",",","&amp;SUBSTITUTE(input_enews_announcement_type," ","")&amp;",")))&gt;0)),IF(CC56="",TRUE,IF(input_enews_announcement_type="",FALSE,SUMPRODUCT(--ISNUMBER(SEARCH(","&amp;TRIM(TEXTSPLIT(CC56,","))&amp;",",","&amp;SUBSTITUTE(input_enews_announcement_type," ","")&amp;",")))=COUNTA(TEXTSPLIT(CC56,",")))))</f>
        <v/>
      </c>
      <c r="JA56" s="19">
        <f>AND(IF(CE56="",TRUE,IF(input_enews_audience="",FALSE,SUMPRODUCT(--ISNUMBER(SEARCH(","&amp;TRIM(TEXTSPLIT(CE56,","))&amp;",",","&amp;SUBSTITUTE(input_enews_audience," ","")&amp;",")))&gt;0)),IF(CG56="",TRUE,IF(input_enews_audience="",FALSE,SUMPRODUCT(--ISNUMBER(SEARCH(","&amp;TRIM(TEXTSPLIT(CG56,","))&amp;",",","&amp;SUBSTITUTE(input_enews_audience," ","")&amp;",")))=COUNTA(TEXTSPLIT(CG56,",")))),IF(CI56="",TRUE,IF(input_enews_audience="",TRUE,SUMPRODUCT(--ISNUMBER(SEARCH(","&amp;TRIM(TEXTSPLIT(CI56,","))&amp;",",","&amp;SUBSTITUTE(input_enews_audience," ","")&amp;",")))=0)),IF(CK56="",TRUE,IF(input_enews_audience="",FALSE,SUMPRODUCT(--ISNUMBER(SEARCH(","&amp;TRIM(TEXTSPLIT(CK56,","))&amp;",",","&amp;SUBSTITUTE(input_enews_audience," ","")&amp;",")))&gt;0)),IF(CM56="",TRUE,IF(input_enews_audience="",FALSE,SUMPRODUCT(--ISNUMBER(SEARCH(","&amp;TRIM(TEXTSPLIT(CM56,","))&amp;",",","&amp;SUBSTITUTE(input_enews_audience," ","")&amp;",")))=COUNTA(TEXTSPLIT(CM56,",")))))</f>
        <v/>
      </c>
      <c r="JB56" s="19">
        <f>AND(IF(CO56="",TRUE,IF(input_event_location="",FALSE,SUMPRODUCT(--ISNUMBER(SEARCH(","&amp;TRIM(TEXTSPLIT(CO56,","))&amp;",",","&amp;SUBSTITUTE(input_event_location," ","")&amp;",")))&gt;0)),IF(CQ56="",TRUE,IF(input_event_location="",FALSE,SUMPRODUCT(--ISNUMBER(SEARCH(","&amp;TRIM(TEXTSPLIT(CQ56,","))&amp;",",","&amp;SUBSTITUTE(input_event_location," ","")&amp;",")))=COUNTA(TEXTSPLIT(CQ56,",")))),IF(CS56="",TRUE,IF(input_event_location="",TRUE,SUMPRODUCT(--ISNUMBER(SEARCH(","&amp;TRIM(TEXTSPLIT(CS56,","))&amp;",",","&amp;SUBSTITUTE(input_event_location," ","")&amp;",")))=0)),IF(CU56="",TRUE,IF(input_event_location="",FALSE,SUMPRODUCT(--ISNUMBER(SEARCH(","&amp;TRIM(TEXTSPLIT(CU56,","))&amp;",",","&amp;SUBSTITUTE(input_event_location," ","")&amp;",")))&gt;0)),IF(CW56="",TRUE,IF(input_event_location="",FALSE,SUMPRODUCT(--ISNUMBER(SEARCH(","&amp;TRIM(TEXTSPLIT(CW56,","))&amp;",",","&amp;SUBSTITUTE(input_event_location," ","")&amp;",")))=COUNTA(TEXTSPLIT(CW56,",")))))</f>
        <v/>
      </c>
      <c r="JC56" s="19">
        <f>AND(IF(CY56="",TRUE,IF(input_event_type="",FALSE,SUMPRODUCT(--ISNUMBER(SEARCH(","&amp;TRIM(TEXTSPLIT(CY56,","))&amp;",",","&amp;SUBSTITUTE(input_event_type," ","")&amp;",")))&gt;0)),IF(DA56="",TRUE,IF(input_event_type="",FALSE,SUMPRODUCT(--ISNUMBER(SEARCH(","&amp;TRIM(TEXTSPLIT(DA56,","))&amp;",",","&amp;SUBSTITUTE(input_event_type," ","")&amp;",")))=COUNTA(TEXTSPLIT(DA56,",")))),IF(DC56="",TRUE,IF(input_event_type="",TRUE,SUMPRODUCT(--ISNUMBER(SEARCH(","&amp;TRIM(TEXTSPLIT(DC56,","))&amp;",",","&amp;SUBSTITUTE(input_event_type," ","")&amp;",")))=0)),IF(DE56="",TRUE,IF(input_event_type="",FALSE,SUMPRODUCT(--ISNUMBER(SEARCH(","&amp;TRIM(TEXTSPLIT(DE56,","))&amp;",",","&amp;SUBSTITUTE(input_event_type," ","")&amp;",")))&gt;0)),IF(DG56="",TRUE,IF(input_event_type="",FALSE,SUMPRODUCT(--ISNUMBER(SEARCH(","&amp;TRIM(TEXTSPLIT(DG56,","))&amp;",",","&amp;SUBSTITUTE(input_event_type," ","")&amp;",")))=COUNTA(TEXTSPLIT(DG56,",")))))</f>
        <v/>
      </c>
      <c r="JD56" s="19">
        <f>AND(IF(DI56="",TRUE,IF(input_executive_education_focus="",FALSE,SUMPRODUCT(--ISNUMBER(SEARCH(","&amp;TRIM(TEXTSPLIT(DI56,","))&amp;",",","&amp;SUBSTITUTE(input_executive_education_focus," ","")&amp;",")))&gt;0)),IF(DK56="",TRUE,IF(input_executive_education_focus="",FALSE,SUMPRODUCT(--ISNUMBER(SEARCH(","&amp;TRIM(TEXTSPLIT(DK56,","))&amp;",",","&amp;SUBSTITUTE(input_executive_education_focus," ","")&amp;",")))=COUNTA(TEXTSPLIT(DK56,",")))),IF(DM56="",TRUE,IF(input_executive_education_focus="",TRUE,SUMPRODUCT(--ISNUMBER(SEARCH(","&amp;TRIM(TEXTSPLIT(DM56,","))&amp;",",","&amp;SUBSTITUTE(input_executive_education_focus," ","")&amp;",")))=0)),IF(DO56="",TRUE,IF(input_executive_education_focus="",FALSE,SUMPRODUCT(--ISNUMBER(SEARCH(","&amp;TRIM(TEXTSPLIT(DO56,","))&amp;",",","&amp;SUBSTITUTE(input_executive_education_focus," ","")&amp;",")))&gt;0)),IF(DQ56="",TRUE,IF(input_executive_education_focus="",FALSE,SUMPRODUCT(--ISNUMBER(SEARCH(","&amp;TRIM(TEXTSPLIT(DQ56,","))&amp;",",","&amp;SUBSTITUTE(input_executive_education_focus," ","")&amp;",")))=COUNTA(TEXTSPLIT(DQ56,",")))))</f>
        <v/>
      </c>
      <c r="JE56" s="19">
        <f>AND(IF(DS56="",TRUE,IF(input_faculty_category="",FALSE,SUMPRODUCT(--ISNUMBER(SEARCH(","&amp;TRIM(TEXTSPLIT(DS56,","))&amp;",",","&amp;SUBSTITUTE(input_faculty_category," ","")&amp;",")))&gt;0)),IF(DU56="",TRUE,IF(input_faculty_category="",FALSE,SUMPRODUCT(--ISNUMBER(SEARCH(","&amp;TRIM(TEXTSPLIT(DU56,","))&amp;",",","&amp;SUBSTITUTE(input_faculty_category," ","")&amp;",")))=COUNTA(TEXTSPLIT(DU56,",")))),IF(DW56="",TRUE,IF(input_faculty_category="",TRUE,SUMPRODUCT(--ISNUMBER(SEARCH(","&amp;TRIM(TEXTSPLIT(DW56,","))&amp;",",","&amp;SUBSTITUTE(input_faculty_category," ","")&amp;",")))=0)),IF(DY56="",TRUE,IF(input_faculty_category="",FALSE,SUMPRODUCT(--ISNUMBER(SEARCH(","&amp;TRIM(TEXTSPLIT(DY56,","))&amp;",",","&amp;SUBSTITUTE(input_faculty_category," ","")&amp;",")))&gt;0)),IF(EA56="",TRUE,IF(input_faculty_category="",FALSE,SUMPRODUCT(--ISNUMBER(SEARCH(","&amp;TRIM(TEXTSPLIT(EA56,","))&amp;",",","&amp;SUBSTITUTE(input_faculty_category," ","")&amp;",")))=COUNTA(TEXTSPLIT(EA56,",")))))</f>
        <v/>
      </c>
      <c r="JF56" s="19">
        <f>AND(IF(EC56="",TRUE,IF(input_faculty_discipline="",FALSE,SUMPRODUCT(--ISNUMBER(SEARCH(","&amp;TRIM(TEXTSPLIT(EC56,","))&amp;",",","&amp;SUBSTITUTE(input_faculty_discipline," ","")&amp;",")))&gt;0)),IF(EE56="",TRUE,IF(input_faculty_discipline="",FALSE,SUMPRODUCT(--ISNUMBER(SEARCH(","&amp;TRIM(TEXTSPLIT(EE56,","))&amp;",",","&amp;SUBSTITUTE(input_faculty_discipline," ","")&amp;",")))=COUNTA(TEXTSPLIT(EE56,",")))),IF(EG56="",TRUE,IF(input_faculty_discipline="",TRUE,SUMPRODUCT(--ISNUMBER(SEARCH(","&amp;TRIM(TEXTSPLIT(EG56,","))&amp;",",","&amp;SUBSTITUTE(input_faculty_discipline," ","")&amp;",")))=0)),IF(EI56="",TRUE,IF(input_faculty_discipline="",FALSE,SUMPRODUCT(--ISNUMBER(SEARCH(","&amp;TRIM(TEXTSPLIT(EI56,","))&amp;",",","&amp;SUBSTITUTE(input_faculty_discipline," ","")&amp;",")))&gt;0)),IF(EK56="",TRUE,IF(input_faculty_discipline="",FALSE,SUMPRODUCT(--ISNUMBER(SEARCH(","&amp;TRIM(TEXTSPLIT(EK56,","))&amp;",",","&amp;SUBSTITUTE(input_faculty_discipline," ","")&amp;",")))=COUNTA(TEXTSPLIT(EK56,",")))))</f>
        <v/>
      </c>
      <c r="JG56" s="19">
        <f>AND(IF(EM56="",TRUE,IF(input_faculty_expertise="",FALSE,SUMPRODUCT(--ISNUMBER(SEARCH(","&amp;TRIM(TEXTSPLIT(EM56,","))&amp;",",","&amp;SUBSTITUTE(input_faculty_expertise," ","")&amp;",")))&gt;0)),IF(EO56="",TRUE,IF(input_faculty_expertise="",FALSE,SUMPRODUCT(--ISNUMBER(SEARCH(","&amp;TRIM(TEXTSPLIT(EO56,","))&amp;",",","&amp;SUBSTITUTE(input_faculty_expertise," ","")&amp;",")))=COUNTA(TEXTSPLIT(EO56,",")))),IF(EQ56="",TRUE,IF(input_faculty_expertise="",TRUE,SUMPRODUCT(--ISNUMBER(SEARCH(","&amp;TRIM(TEXTSPLIT(EQ56,","))&amp;",",","&amp;SUBSTITUTE(input_faculty_expertise," ","")&amp;",")))=0)),IF(ES56="",TRUE,IF(input_faculty_expertise="",FALSE,SUMPRODUCT(--ISNUMBER(SEARCH(","&amp;TRIM(TEXTSPLIT(ES56,","))&amp;",",","&amp;SUBSTITUTE(input_faculty_expertise," ","")&amp;",")))&gt;0)),IF(EU56="",TRUE,IF(input_faculty_expertise="",FALSE,SUMPRODUCT(--ISNUMBER(SEARCH(","&amp;TRIM(TEXTSPLIT(EU56,","))&amp;",",","&amp;SUBSTITUTE(input_faculty_expertise," ","")&amp;",")))=COUNTA(TEXTSPLIT(EU56,",")))))</f>
        <v/>
      </c>
      <c r="JH56" s="19">
        <f>AND(IF(EW56="",TRUE,IF(input_global_network_school="",FALSE,SUMPRODUCT(--ISNUMBER(SEARCH(","&amp;TRIM(TEXTSPLIT(EW56,","))&amp;",",","&amp;SUBSTITUTE(input_global_network_school," ","")&amp;",")))&gt;0)),IF(EY56="",TRUE,IF(input_global_network_school="",FALSE,SUMPRODUCT(--ISNUMBER(SEARCH(","&amp;TRIM(TEXTSPLIT(EY56,","))&amp;",",","&amp;SUBSTITUTE(input_global_network_school," ","")&amp;",")))=COUNTA(TEXTSPLIT(EY56,",")))),IF(FA56="",TRUE,IF(input_global_network_school="",TRUE,SUMPRODUCT(--ISNUMBER(SEARCH(","&amp;TRIM(TEXTSPLIT(FA56,","))&amp;",",","&amp;SUBSTITUTE(input_global_network_school," ","")&amp;",")))=0)),IF(FC56="",TRUE,IF(input_global_network_school="",FALSE,SUMPRODUCT(--ISNUMBER(SEARCH(","&amp;TRIM(TEXTSPLIT(FC56,","))&amp;",",","&amp;SUBSTITUTE(input_global_network_school," ","")&amp;",")))&gt;0)),IF(FE56="",TRUE,IF(input_global_network_school="",FALSE,SUMPRODUCT(--ISNUMBER(SEARCH(","&amp;TRIM(TEXTSPLIT(FE56,","))&amp;",",","&amp;SUBSTITUTE(input_global_network_school," ","")&amp;",")))=COUNTA(TEXTSPLIT(FE56,",")))))</f>
        <v/>
      </c>
      <c r="JI56" s="19">
        <f>AND(IF(FG56="",TRUE,IF(input_industry="",FALSE,SUMPRODUCT(--ISNUMBER(SEARCH(","&amp;TRIM(TEXTSPLIT(FG56,","))&amp;",",","&amp;SUBSTITUTE(input_industry," ","")&amp;",")))&gt;0)),IF(FI56="",TRUE,IF(input_industry="",FALSE,SUMPRODUCT(--ISNUMBER(SEARCH(","&amp;TRIM(TEXTSPLIT(FI56,","))&amp;",",","&amp;SUBSTITUTE(input_industry," ","")&amp;",")))=COUNTA(TEXTSPLIT(FI56,",")))),IF(FK56="",TRUE,IF(input_industry="",TRUE,SUMPRODUCT(--ISNUMBER(SEARCH(","&amp;TRIM(TEXTSPLIT(FK56,","))&amp;",",","&amp;SUBSTITUTE(input_industry," ","")&amp;",")))=0)),IF(FM56="",TRUE,IF(input_industry="",FALSE,SUMPRODUCT(--ISNUMBER(SEARCH(","&amp;TRIM(TEXTSPLIT(FM56,","))&amp;",",","&amp;SUBSTITUTE(input_industry," ","")&amp;",")))&gt;0)),IF(FO56="",TRUE,IF(input_industry="",FALSE,SUMPRODUCT(--ISNUMBER(SEARCH(","&amp;TRIM(TEXTSPLIT(FO56,","))&amp;",",","&amp;SUBSTITUTE(input_industry," ","")&amp;",")))=COUNTA(TEXTSPLIT(FO56,",")))))</f>
        <v/>
      </c>
      <c r="JJ56" s="19">
        <f>AND(IF(FQ56="",TRUE,IF(input_location="",FALSE,SUMPRODUCT(--ISNUMBER(SEARCH(","&amp;TRIM(TEXTSPLIT(FQ56,","))&amp;",",","&amp;SUBSTITUTE(input_location," ","")&amp;",")))&gt;0)),IF(FS56="",TRUE,IF(input_location="",FALSE,SUMPRODUCT(--ISNUMBER(SEARCH(","&amp;TRIM(TEXTSPLIT(FS56,","))&amp;",",","&amp;SUBSTITUTE(input_location," ","")&amp;",")))=COUNTA(TEXTSPLIT(FS56,",")))),IF(FU56="",TRUE,IF(input_location="",TRUE,SUMPRODUCT(--ISNUMBER(SEARCH(","&amp;TRIM(TEXTSPLIT(FU56,","))&amp;",",","&amp;SUBSTITUTE(input_location," ","")&amp;",")))=0)),IF(FW56="",TRUE,IF(input_location="",FALSE,SUMPRODUCT(--ISNUMBER(SEARCH(","&amp;TRIM(TEXTSPLIT(FW56,","))&amp;",",","&amp;SUBSTITUTE(input_location," ","")&amp;",")))&gt;0)),IF(FY56="",TRUE,IF(input_location="",FALSE,SUMPRODUCT(--ISNUMBER(SEARCH(","&amp;TRIM(TEXTSPLIT(FY56,","))&amp;",",","&amp;SUBSTITUTE(input_location," ","")&amp;",")))=COUNTA(TEXTSPLIT(FY56,",")))))</f>
        <v/>
      </c>
      <c r="JK56" s="19">
        <f>AND(IF(GA56="",TRUE,IF(input_modality="",FALSE,SUMPRODUCT(--ISNUMBER(SEARCH(","&amp;TRIM(TEXTSPLIT(GA56,","))&amp;",",","&amp;SUBSTITUTE(input_modality," ","")&amp;",")))&gt;0)),IF(GC56="",TRUE,IF(input_modality="",FALSE,SUMPRODUCT(--ISNUMBER(SEARCH(","&amp;TRIM(TEXTSPLIT(GC56,","))&amp;",",","&amp;SUBSTITUTE(input_modality," ","")&amp;",")))=COUNTA(TEXTSPLIT(GC56,",")))),IF(GE56="",TRUE,IF(input_modality="",TRUE,SUMPRODUCT(--ISNUMBER(SEARCH(","&amp;TRIM(TEXTSPLIT(GE56,","))&amp;",",","&amp;SUBSTITUTE(input_modality," ","")&amp;",")))=0)),IF(GG56="",TRUE,IF(input_modality="",FALSE,SUMPRODUCT(--ISNUMBER(SEARCH(","&amp;TRIM(TEXTSPLIT(GG56,","))&amp;",",","&amp;SUBSTITUTE(input_modality," ","")&amp;",")))&gt;0)),IF(GI56="",TRUE,IF(input_modality="",FALSE,SUMPRODUCT(--ISNUMBER(SEARCH(","&amp;TRIM(TEXTSPLIT(GI56,","))&amp;",",","&amp;SUBSTITUTE(input_modality," ","")&amp;",")))=COUNTA(TEXTSPLIT(GI56,",")))))</f>
        <v/>
      </c>
      <c r="JL56" s="19">
        <f>AND(IF(GK56="",TRUE,IF(input_organizer="",FALSE,SUMPRODUCT(--ISNUMBER(SEARCH(","&amp;TRIM(TEXTSPLIT(GK56,","))&amp;",",","&amp;SUBSTITUTE(input_organizer," ","")&amp;",")))&gt;0)),IF(GM56="",TRUE,IF(input_organizer="",FALSE,SUMPRODUCT(--ISNUMBER(SEARCH(","&amp;TRIM(TEXTSPLIT(GM56,","))&amp;",",","&amp;SUBSTITUTE(input_organizer," ","")&amp;",")))=COUNTA(TEXTSPLIT(GM56,",")))),IF(GO56="",TRUE,IF(input_organizer="",TRUE,SUMPRODUCT(--ISNUMBER(SEARCH(","&amp;TRIM(TEXTSPLIT(GO56,","))&amp;",",","&amp;SUBSTITUTE(input_organizer," ","")&amp;",")))=0)),IF(GQ56="",TRUE,IF(input_organizer="",FALSE,SUMPRODUCT(--ISNUMBER(SEARCH(","&amp;TRIM(TEXTSPLIT(GQ56,","))&amp;",",","&amp;SUBSTITUTE(input_organizer," ","")&amp;",")))&gt;0)),IF(GS56="",TRUE,IF(input_organizer="",FALSE,SUMPRODUCT(--ISNUMBER(SEARCH(","&amp;TRIM(TEXTSPLIT(GS56,","))&amp;",",","&amp;SUBSTITUTE(input_organizer," ","")&amp;",")))=COUNTA(TEXTSPLIT(GS56,",")))))</f>
        <v/>
      </c>
      <c r="JM56" s="19">
        <f>AND(IF(GU56="",TRUE,IF(input_profile_type="",FALSE,SUMPRODUCT(--ISNUMBER(SEARCH(","&amp;TRIM(TEXTSPLIT(GU56,","))&amp;",",","&amp;SUBSTITUTE(input_profile_type," ","")&amp;",")))&gt;0)),IF(GW56="",TRUE,IF(input_profile_type="",FALSE,SUMPRODUCT(--ISNUMBER(SEARCH(","&amp;TRIM(TEXTSPLIT(GW56,","))&amp;",",","&amp;SUBSTITUTE(input_profile_type," ","")&amp;",")))=COUNTA(TEXTSPLIT(GW56,",")))),IF(GY56="",TRUE,IF(input_profile_type="",TRUE,SUMPRODUCT(--ISNUMBER(SEARCH(","&amp;TRIM(TEXTSPLIT(GY56,","))&amp;",",","&amp;SUBSTITUTE(input_profile_type," ","")&amp;",")))=0)),IF(HA56="",TRUE,IF(input_profile_type="",FALSE,SUMPRODUCT(--ISNUMBER(SEARCH(","&amp;TRIM(TEXTSPLIT(HA56,","))&amp;",",","&amp;SUBSTITUTE(input_profile_type," ","")&amp;",")))&gt;0)),IF(HC56="",TRUE,IF(input_profile_type="",FALSE,SUMPRODUCT(--ISNUMBER(SEARCH(","&amp;TRIM(TEXTSPLIT(HC56,","))&amp;",",","&amp;SUBSTITUTE(input_profile_type," ","")&amp;",")))=COUNTA(TEXTSPLIT(HC56,",")))))</f>
        <v/>
      </c>
      <c r="JN56" s="19">
        <f>AND(IF(HE56="",TRUE,IF(input_program="",FALSE,SUMPRODUCT(--ISNUMBER(SEARCH(","&amp;TRIM(TEXTSPLIT(HE56,","))&amp;",",","&amp;SUBSTITUTE(input_program," ","")&amp;",")))&gt;0)),IF(HG56="",TRUE,IF(input_program="",FALSE,SUMPRODUCT(--ISNUMBER(SEARCH(","&amp;TRIM(TEXTSPLIT(HG56,","))&amp;",",","&amp;SUBSTITUTE(input_program," ","")&amp;",")))=COUNTA(TEXTSPLIT(HG56,",")))),IF(HI56="",TRUE,IF(input_program="",TRUE,SUMPRODUCT(--ISNUMBER(SEARCH(","&amp;TRIM(TEXTSPLIT(HI56,","))&amp;",",","&amp;SUBSTITUTE(input_program," ","")&amp;",")))=0)),IF(HK56="",TRUE,IF(input_program="",FALSE,SUMPRODUCT(--ISNUMBER(SEARCH(","&amp;TRIM(TEXTSPLIT(HK56,","))&amp;",",","&amp;SUBSTITUTE(input_program," ","")&amp;",")))&gt;0)),IF(HM56="",TRUE,IF(input_program="",FALSE,SUMPRODUCT(--ISNUMBER(SEARCH(","&amp;TRIM(TEXTSPLIT(HM56,","))&amp;",",","&amp;SUBSTITUTE(input_program," ","")&amp;",")))=COUNTA(TEXTSPLIT(HM56,",")))))</f>
        <v/>
      </c>
      <c r="JO56" s="19">
        <f>AND(IF(HO56="",TRUE,IF(input_story_categories="",FALSE,SUMPRODUCT(--ISNUMBER(SEARCH(","&amp;TRIM(TEXTSPLIT(HO56,","))&amp;",",","&amp;SUBSTITUTE(input_story_categories," ","")&amp;",")))&gt;0)),IF(HQ56="",TRUE,IF(input_story_categories="",FALSE,SUMPRODUCT(--ISNUMBER(SEARCH(","&amp;TRIM(TEXTSPLIT(HQ56,","))&amp;",",","&amp;SUBSTITUTE(input_story_categories," ","")&amp;",")))=COUNTA(TEXTSPLIT(HQ56,",")))),IF(HS56="",TRUE,IF(input_story_categories="",TRUE,SUMPRODUCT(--ISNUMBER(SEARCH(","&amp;TRIM(TEXTSPLIT(HS56,","))&amp;",",","&amp;SUBSTITUTE(input_story_categories," ","")&amp;",")))=0)),IF(HU56="",TRUE,IF(input_story_categories="",FALSE,SUMPRODUCT(--ISNUMBER(SEARCH(","&amp;TRIM(TEXTSPLIT(HU56,","))&amp;",",","&amp;SUBSTITUTE(input_story_categories," ","")&amp;",")))&gt;0)),IF(HW56="",TRUE,IF(input_story_categories="",FALSE,SUMPRODUCT(--ISNUMBER(SEARCH(","&amp;TRIM(TEXTSPLIT(HW56,","))&amp;",",","&amp;SUBSTITUTE(input_story_categories," ","")&amp;",")))=COUNTA(TEXTSPLIT(HW56,",")))))</f>
        <v/>
      </c>
      <c r="JP56" s="19">
        <f>AND(IF(HY56="",TRUE,IF(input_story_type="",FALSE,SUMPRODUCT(--ISNUMBER(SEARCH(","&amp;TRIM(TEXTSPLIT(HY56,","))&amp;",",","&amp;SUBSTITUTE(input_story_type," ","")&amp;",")))&gt;0)),IF(IA56="",TRUE,IF(input_story_type="",FALSE,SUMPRODUCT(--ISNUMBER(SEARCH(","&amp;TRIM(TEXTSPLIT(IA56,","))&amp;",",","&amp;SUBSTITUTE(input_story_type," ","")&amp;",")))=COUNTA(TEXTSPLIT(IA56,",")))),IF(IC56="",TRUE,IF(input_story_type="",TRUE,SUMPRODUCT(--ISNUMBER(SEARCH(","&amp;TRIM(TEXTSPLIT(IC56,","))&amp;",",","&amp;SUBSTITUTE(input_story_type," ","")&amp;",")))=0)),IF(IE56="",TRUE,IF(input_story_type="",FALSE,SUMPRODUCT(--ISNUMBER(SEARCH(","&amp;TRIM(TEXTSPLIT(IE56,","))&amp;",",","&amp;SUBSTITUTE(input_story_type," ","")&amp;",")))&gt;0)),IF(IG56="",TRUE,IF(input_story_type="",FALSE,SUMPRODUCT(--ISNUMBER(SEARCH(","&amp;TRIM(TEXTSPLIT(IG56,","))&amp;",",","&amp;SUBSTITUTE(input_story_type," ","")&amp;",")))=COUNTA(TEXTSPLIT(IG56,",")))))</f>
        <v/>
      </c>
      <c r="JQ56" s="19">
        <f>AND(IF(II56="",TRUE,IF(input_topics="",FALSE,SUMPRODUCT(--ISNUMBER(SEARCH(","&amp;TRIM(TEXTSPLIT(II56,","))&amp;",",","&amp;SUBSTITUTE(input_topics," ","")&amp;",")))&gt;0)),IF(IK56="",TRUE,IF(input_topics="",FALSE,SUMPRODUCT(--ISNUMBER(SEARCH(","&amp;TRIM(TEXTSPLIT(IK56,","))&amp;",",","&amp;SUBSTITUTE(input_topics," ","")&amp;",")))=COUNTA(TEXTSPLIT(IK56,",")))),IF(IM56="",TRUE,IF(input_topics="",TRUE,SUMPRODUCT(--ISNUMBER(SEARCH(","&amp;TRIM(TEXTSPLIT(IM56,","))&amp;",",","&amp;SUBSTITUTE(input_topics," ","")&amp;",")))=0)),IF(IO56="",TRUE,IF(input_topics="",FALSE,SUMPRODUCT(--ISNUMBER(SEARCH(","&amp;TRIM(TEXTSPLIT(IO56,","))&amp;",",","&amp;SUBSTITUTE(input_topics," ","")&amp;",")))&gt;0)),IF(IQ56="",TRUE,IF(input_topics="",FALSE,SUMPRODUCT(--ISNUMBER(SEARCH(","&amp;TRIM(TEXTSPLIT(IQ56,","))&amp;",",","&amp;SUBSTITUTE(input_topics," ","")&amp;",")))=COUNTA(TEXTSPLIT(IQ56,",")))))</f>
        <v/>
      </c>
    </row>
    <row r="57">
      <c r="A57" s="24">
        <f>IF(NOT(IS57),"Excluded",IF(AND(IT57,IU57,IV57,IW57,IX57,IY57,IZ57,JA57,JB57,JC57,JD57,JE57,JF57,JG57,JH57,JI57,JJ57,JK57,JL57,JM57,JN57,JO57,JP57,JQ57),IF(I57&gt;0,"Eligible but limited","Will appear"),"Excluded"))</f>
        <v/>
      </c>
      <c r="B57" s="24" t="inlineStr">
        <is>
          <t>All Publications by Author</t>
        </is>
      </c>
      <c r="C57" s="27" t="inlineStr">
        <is>
          <t>/faculty-research/faculty-directory/zhen-lian</t>
        </is>
      </c>
      <c r="D57" s="24" t="inlineStr">
        <is>
          <t>/faculty-research/faculty-directory/zhen-lian</t>
        </is>
      </c>
      <c r="E57" s="24" t="n">
        <v>1</v>
      </c>
      <c r="F57" s="24" t="inlineStr">
        <is>
          <t>publications</t>
        </is>
      </c>
      <c r="G57" s="24" t="inlineStr">
        <is>
          <t>publication_teaser_list</t>
        </is>
      </c>
      <c r="H57" s="24" t="inlineStr">
        <is>
          <t>publication_teaser_list_all_by_author</t>
        </is>
      </c>
      <c r="I57" s="24" t="n"/>
      <c r="J57" s="24" t="inlineStr">
        <is>
          <t>View/config rules</t>
        </is>
      </c>
      <c r="K57" s="24" t="inlineStr">
        <is>
          <t>Page placement</t>
        </is>
      </c>
      <c r="L57" s="24" t="inlineStr">
        <is>
          <t>Content type: publications; Source: View/config rules</t>
        </is>
      </c>
      <c r="IS57" s="19">
        <f>IF(input_content_type="",FALSE,ISNUMBER(SEARCH(","&amp;LOWER(input_content_type)&amp;",",","&amp;LOWER(SUBSTITUTE(F57," ",""))&amp;",")))</f>
        <v/>
      </c>
      <c r="IT57" s="19">
        <f>AND(IF(M57="",TRUE,IF(input_affiliations="",FALSE,SUMPRODUCT(--ISNUMBER(SEARCH(","&amp;TRIM(TEXTSPLIT(M57,","))&amp;",",","&amp;SUBSTITUTE(input_affiliations," ","")&amp;",")))&gt;0)),IF(O57="",TRUE,IF(input_affiliations="",FALSE,SUMPRODUCT(--ISNUMBER(SEARCH(","&amp;TRIM(TEXTSPLIT(O57,","))&amp;",",","&amp;SUBSTITUTE(input_affiliations," ","")&amp;",")))=COUNTA(TEXTSPLIT(O57,",")))),IF(Q57="",TRUE,IF(input_affiliations="",TRUE,SUMPRODUCT(--ISNUMBER(SEARCH(","&amp;TRIM(TEXTSPLIT(Q57,","))&amp;",",","&amp;SUBSTITUTE(input_affiliations," ","")&amp;",")))=0)),IF(S57="",TRUE,IF(input_affiliations="",FALSE,SUMPRODUCT(--ISNUMBER(SEARCH(","&amp;TRIM(TEXTSPLIT(S57,","))&amp;",",","&amp;SUBSTITUTE(input_affiliations," ","")&amp;",")))&gt;0)),IF(U57="",TRUE,IF(input_affiliations="",FALSE,SUMPRODUCT(--ISNUMBER(SEARCH(","&amp;TRIM(TEXTSPLIT(U57,","))&amp;",",","&amp;SUBSTITUTE(input_affiliations," ","")&amp;",")))=COUNTA(TEXTSPLIT(U57,",")))))</f>
        <v/>
      </c>
      <c r="IU57" s="19">
        <f>AND(IF(W57="",TRUE,IF(input_announcement_category="",FALSE,SUMPRODUCT(--ISNUMBER(SEARCH(","&amp;TRIM(TEXTSPLIT(W57,","))&amp;",",","&amp;SUBSTITUTE(input_announcement_category," ","")&amp;",")))&gt;0)),IF(Y57="",TRUE,IF(input_announcement_category="",FALSE,SUMPRODUCT(--ISNUMBER(SEARCH(","&amp;TRIM(TEXTSPLIT(Y57,","))&amp;",",","&amp;SUBSTITUTE(input_announcement_category," ","")&amp;",")))=COUNTA(TEXTSPLIT(Y57,",")))),IF(AA57="",TRUE,IF(input_announcement_category="",TRUE,SUMPRODUCT(--ISNUMBER(SEARCH(","&amp;TRIM(TEXTSPLIT(AA57,","))&amp;",",","&amp;SUBSTITUTE(input_announcement_category," ","")&amp;",")))=0)),IF(AC57="",TRUE,IF(input_announcement_category="",FALSE,SUMPRODUCT(--ISNUMBER(SEARCH(","&amp;TRIM(TEXTSPLIT(AC57,","))&amp;",",","&amp;SUBSTITUTE(input_announcement_category," ","")&amp;",")))&gt;0)),IF(AE57="",TRUE,IF(input_announcement_category="",FALSE,SUMPRODUCT(--ISNUMBER(SEARCH(","&amp;TRIM(TEXTSPLIT(AE57,","))&amp;",",","&amp;SUBSTITUTE(input_announcement_category," ","")&amp;",")))=COUNTA(TEXTSPLIT(AE57,",")))))</f>
        <v/>
      </c>
      <c r="IV57" s="19">
        <f>AND(IF(AG57="",TRUE,IF(input_area_of_focus="",FALSE,SUMPRODUCT(--ISNUMBER(SEARCH(","&amp;TRIM(TEXTSPLIT(AG57,","))&amp;",",","&amp;SUBSTITUTE(input_area_of_focus," ","")&amp;",")))&gt;0)),IF(AI57="",TRUE,IF(input_area_of_focus="",FALSE,SUMPRODUCT(--ISNUMBER(SEARCH(","&amp;TRIM(TEXTSPLIT(AI57,","))&amp;",",","&amp;SUBSTITUTE(input_area_of_focus," ","")&amp;",")))=COUNTA(TEXTSPLIT(AI57,",")))),IF(AK57="",TRUE,IF(input_area_of_focus="",TRUE,SUMPRODUCT(--ISNUMBER(SEARCH(","&amp;TRIM(TEXTSPLIT(AK57,","))&amp;",",","&amp;SUBSTITUTE(input_area_of_focus," ","")&amp;",")))=0)),IF(AM57="",TRUE,IF(input_area_of_focus="",FALSE,SUMPRODUCT(--ISNUMBER(SEARCH(","&amp;TRIM(TEXTSPLIT(AM57,","))&amp;",",","&amp;SUBSTITUTE(input_area_of_focus," ","")&amp;",")))&gt;0)),IF(AO57="",TRUE,IF(input_area_of_focus="",FALSE,SUMPRODUCT(--ISNUMBER(SEARCH(","&amp;TRIM(TEXTSPLIT(AO57,","))&amp;",",","&amp;SUBSTITUTE(input_area_of_focus," ","")&amp;",")))=COUNTA(TEXTSPLIT(AO57,",")))))</f>
        <v/>
      </c>
      <c r="IW57" s="19">
        <f>AND(IF(AQ57="",TRUE,IF(input_audience="",FALSE,SUMPRODUCT(--ISNUMBER(SEARCH(","&amp;TRIM(TEXTSPLIT(AQ57,","))&amp;",",","&amp;SUBSTITUTE(input_audience," ","")&amp;",")))&gt;0)),IF(AS57="",TRUE,IF(input_audience="",FALSE,SUMPRODUCT(--ISNUMBER(SEARCH(","&amp;TRIM(TEXTSPLIT(AS57,","))&amp;",",","&amp;SUBSTITUTE(input_audience," ","")&amp;",")))=COUNTA(TEXTSPLIT(AS57,",")))),IF(AU57="",TRUE,IF(input_audience="",TRUE,SUMPRODUCT(--ISNUMBER(SEARCH(","&amp;TRIM(TEXTSPLIT(AU57,","))&amp;",",","&amp;SUBSTITUTE(input_audience," ","")&amp;",")))=0)),IF(AW57="",TRUE,IF(input_audience="",FALSE,SUMPRODUCT(--ISNUMBER(SEARCH(","&amp;TRIM(TEXTSPLIT(AW57,","))&amp;",",","&amp;SUBSTITUTE(input_audience," ","")&amp;",")))&gt;0)),IF(AY57="",TRUE,IF(input_audience="",FALSE,SUMPRODUCT(--ISNUMBER(SEARCH(","&amp;TRIM(TEXTSPLIT(AY57,","))&amp;",",","&amp;SUBSTITUTE(input_audience," ","")&amp;",")))=COUNTA(TEXTSPLIT(AY57,",")))))</f>
        <v/>
      </c>
      <c r="IX57" s="19">
        <f>AND(IF(BA57="",TRUE,IF(input_challenge_opportunities="",FALSE,SUMPRODUCT(--ISNUMBER(SEARCH(","&amp;TRIM(TEXTSPLIT(BA57,","))&amp;",",","&amp;SUBSTITUTE(input_challenge_opportunities," ","")&amp;",")))&gt;0)),IF(BC57="",TRUE,IF(input_challenge_opportunities="",FALSE,SUMPRODUCT(--ISNUMBER(SEARCH(","&amp;TRIM(TEXTSPLIT(BC57,","))&amp;",",","&amp;SUBSTITUTE(input_challenge_opportunities," ","")&amp;",")))=COUNTA(TEXTSPLIT(BC57,",")))),IF(BE57="",TRUE,IF(input_challenge_opportunities="",TRUE,SUMPRODUCT(--ISNUMBER(SEARCH(","&amp;TRIM(TEXTSPLIT(BE57,","))&amp;",",","&amp;SUBSTITUTE(input_challenge_opportunities," ","")&amp;",")))=0)),IF(BG57="",TRUE,IF(input_challenge_opportunities="",FALSE,SUMPRODUCT(--ISNUMBER(SEARCH(","&amp;TRIM(TEXTSPLIT(BG57,","))&amp;",",","&amp;SUBSTITUTE(input_challenge_opportunities," ","")&amp;",")))&gt;0)),IF(BI57="",TRUE,IF(input_challenge_opportunities="",FALSE,SUMPRODUCT(--ISNUMBER(SEARCH(","&amp;TRIM(TEXTSPLIT(BI57,","))&amp;",",","&amp;SUBSTITUTE(input_challenge_opportunities," ","")&amp;",")))=COUNTA(TEXTSPLIT(BI57,",")))))</f>
        <v/>
      </c>
      <c r="IY57" s="19">
        <f>AND(IF(BK57="",TRUE,IF(input_context="",FALSE,SUMPRODUCT(--ISNUMBER(SEARCH(","&amp;TRIM(TEXTSPLIT(BK57,","))&amp;",",","&amp;SUBSTITUTE(input_context," ","")&amp;",")))&gt;0)),IF(BM57="",TRUE,IF(input_context="",FALSE,SUMPRODUCT(--ISNUMBER(SEARCH(","&amp;TRIM(TEXTSPLIT(BM57,","))&amp;",",","&amp;SUBSTITUTE(input_context," ","")&amp;",")))=COUNTA(TEXTSPLIT(BM57,",")))),IF(BO57="",TRUE,IF(input_context="",TRUE,SUMPRODUCT(--ISNUMBER(SEARCH(","&amp;TRIM(TEXTSPLIT(BO57,","))&amp;",",","&amp;SUBSTITUTE(input_context," ","")&amp;",")))=0)),IF(BQ57="",TRUE,IF(input_context="",FALSE,SUMPRODUCT(--ISNUMBER(SEARCH(","&amp;TRIM(TEXTSPLIT(BQ57,","))&amp;",",","&amp;SUBSTITUTE(input_context," ","")&amp;",")))&gt;0)),IF(BS57="",TRUE,IF(input_context="",FALSE,SUMPRODUCT(--ISNUMBER(SEARCH(","&amp;TRIM(TEXTSPLIT(BS57,","))&amp;",",","&amp;SUBSTITUTE(input_context," ","")&amp;",")))=COUNTA(TEXTSPLIT(BS57,",")))))</f>
        <v/>
      </c>
      <c r="IZ57" s="19">
        <f>AND(IF(BU57="",TRUE,IF(input_enews_announcement_type="",FALSE,SUMPRODUCT(--ISNUMBER(SEARCH(","&amp;TRIM(TEXTSPLIT(BU57,","))&amp;",",","&amp;SUBSTITUTE(input_enews_announcement_type," ","")&amp;",")))&gt;0)),IF(BW57="",TRUE,IF(input_enews_announcement_type="",FALSE,SUMPRODUCT(--ISNUMBER(SEARCH(","&amp;TRIM(TEXTSPLIT(BW57,","))&amp;",",","&amp;SUBSTITUTE(input_enews_announcement_type," ","")&amp;",")))=COUNTA(TEXTSPLIT(BW57,",")))),IF(BY57="",TRUE,IF(input_enews_announcement_type="",TRUE,SUMPRODUCT(--ISNUMBER(SEARCH(","&amp;TRIM(TEXTSPLIT(BY57,","))&amp;",",","&amp;SUBSTITUTE(input_enews_announcement_type," ","")&amp;",")))=0)),IF(CA57="",TRUE,IF(input_enews_announcement_type="",FALSE,SUMPRODUCT(--ISNUMBER(SEARCH(","&amp;TRIM(TEXTSPLIT(CA57,","))&amp;",",","&amp;SUBSTITUTE(input_enews_announcement_type," ","")&amp;",")))&gt;0)),IF(CC57="",TRUE,IF(input_enews_announcement_type="",FALSE,SUMPRODUCT(--ISNUMBER(SEARCH(","&amp;TRIM(TEXTSPLIT(CC57,","))&amp;",",","&amp;SUBSTITUTE(input_enews_announcement_type," ","")&amp;",")))=COUNTA(TEXTSPLIT(CC57,",")))))</f>
        <v/>
      </c>
      <c r="JA57" s="19">
        <f>AND(IF(CE57="",TRUE,IF(input_enews_audience="",FALSE,SUMPRODUCT(--ISNUMBER(SEARCH(","&amp;TRIM(TEXTSPLIT(CE57,","))&amp;",",","&amp;SUBSTITUTE(input_enews_audience," ","")&amp;",")))&gt;0)),IF(CG57="",TRUE,IF(input_enews_audience="",FALSE,SUMPRODUCT(--ISNUMBER(SEARCH(","&amp;TRIM(TEXTSPLIT(CG57,","))&amp;",",","&amp;SUBSTITUTE(input_enews_audience," ","")&amp;",")))=COUNTA(TEXTSPLIT(CG57,",")))),IF(CI57="",TRUE,IF(input_enews_audience="",TRUE,SUMPRODUCT(--ISNUMBER(SEARCH(","&amp;TRIM(TEXTSPLIT(CI57,","))&amp;",",","&amp;SUBSTITUTE(input_enews_audience," ","")&amp;",")))=0)),IF(CK57="",TRUE,IF(input_enews_audience="",FALSE,SUMPRODUCT(--ISNUMBER(SEARCH(","&amp;TRIM(TEXTSPLIT(CK57,","))&amp;",",","&amp;SUBSTITUTE(input_enews_audience," ","")&amp;",")))&gt;0)),IF(CM57="",TRUE,IF(input_enews_audience="",FALSE,SUMPRODUCT(--ISNUMBER(SEARCH(","&amp;TRIM(TEXTSPLIT(CM57,","))&amp;",",","&amp;SUBSTITUTE(input_enews_audience," ","")&amp;",")))=COUNTA(TEXTSPLIT(CM57,",")))))</f>
        <v/>
      </c>
      <c r="JB57" s="19">
        <f>AND(IF(CO57="",TRUE,IF(input_event_location="",FALSE,SUMPRODUCT(--ISNUMBER(SEARCH(","&amp;TRIM(TEXTSPLIT(CO57,","))&amp;",",","&amp;SUBSTITUTE(input_event_location," ","")&amp;",")))&gt;0)),IF(CQ57="",TRUE,IF(input_event_location="",FALSE,SUMPRODUCT(--ISNUMBER(SEARCH(","&amp;TRIM(TEXTSPLIT(CQ57,","))&amp;",",","&amp;SUBSTITUTE(input_event_location," ","")&amp;",")))=COUNTA(TEXTSPLIT(CQ57,",")))),IF(CS57="",TRUE,IF(input_event_location="",TRUE,SUMPRODUCT(--ISNUMBER(SEARCH(","&amp;TRIM(TEXTSPLIT(CS57,","))&amp;",",","&amp;SUBSTITUTE(input_event_location," ","")&amp;",")))=0)),IF(CU57="",TRUE,IF(input_event_location="",FALSE,SUMPRODUCT(--ISNUMBER(SEARCH(","&amp;TRIM(TEXTSPLIT(CU57,","))&amp;",",","&amp;SUBSTITUTE(input_event_location," ","")&amp;",")))&gt;0)),IF(CW57="",TRUE,IF(input_event_location="",FALSE,SUMPRODUCT(--ISNUMBER(SEARCH(","&amp;TRIM(TEXTSPLIT(CW57,","))&amp;",",","&amp;SUBSTITUTE(input_event_location," ","")&amp;",")))=COUNTA(TEXTSPLIT(CW57,",")))))</f>
        <v/>
      </c>
      <c r="JC57" s="19">
        <f>AND(IF(CY57="",TRUE,IF(input_event_type="",FALSE,SUMPRODUCT(--ISNUMBER(SEARCH(","&amp;TRIM(TEXTSPLIT(CY57,","))&amp;",",","&amp;SUBSTITUTE(input_event_type," ","")&amp;",")))&gt;0)),IF(DA57="",TRUE,IF(input_event_type="",FALSE,SUMPRODUCT(--ISNUMBER(SEARCH(","&amp;TRIM(TEXTSPLIT(DA57,","))&amp;",",","&amp;SUBSTITUTE(input_event_type," ","")&amp;",")))=COUNTA(TEXTSPLIT(DA57,",")))),IF(DC57="",TRUE,IF(input_event_type="",TRUE,SUMPRODUCT(--ISNUMBER(SEARCH(","&amp;TRIM(TEXTSPLIT(DC57,","))&amp;",",","&amp;SUBSTITUTE(input_event_type," ","")&amp;",")))=0)),IF(DE57="",TRUE,IF(input_event_type="",FALSE,SUMPRODUCT(--ISNUMBER(SEARCH(","&amp;TRIM(TEXTSPLIT(DE57,","))&amp;",",","&amp;SUBSTITUTE(input_event_type," ","")&amp;",")))&gt;0)),IF(DG57="",TRUE,IF(input_event_type="",FALSE,SUMPRODUCT(--ISNUMBER(SEARCH(","&amp;TRIM(TEXTSPLIT(DG57,","))&amp;",",","&amp;SUBSTITUTE(input_event_type," ","")&amp;",")))=COUNTA(TEXTSPLIT(DG57,",")))))</f>
        <v/>
      </c>
      <c r="JD57" s="19">
        <f>AND(IF(DI57="",TRUE,IF(input_executive_education_focus="",FALSE,SUMPRODUCT(--ISNUMBER(SEARCH(","&amp;TRIM(TEXTSPLIT(DI57,","))&amp;",",","&amp;SUBSTITUTE(input_executive_education_focus," ","")&amp;",")))&gt;0)),IF(DK57="",TRUE,IF(input_executive_education_focus="",FALSE,SUMPRODUCT(--ISNUMBER(SEARCH(","&amp;TRIM(TEXTSPLIT(DK57,","))&amp;",",","&amp;SUBSTITUTE(input_executive_education_focus," ","")&amp;",")))=COUNTA(TEXTSPLIT(DK57,",")))),IF(DM57="",TRUE,IF(input_executive_education_focus="",TRUE,SUMPRODUCT(--ISNUMBER(SEARCH(","&amp;TRIM(TEXTSPLIT(DM57,","))&amp;",",","&amp;SUBSTITUTE(input_executive_education_focus," ","")&amp;",")))=0)),IF(DO57="",TRUE,IF(input_executive_education_focus="",FALSE,SUMPRODUCT(--ISNUMBER(SEARCH(","&amp;TRIM(TEXTSPLIT(DO57,","))&amp;",",","&amp;SUBSTITUTE(input_executive_education_focus," ","")&amp;",")))&gt;0)),IF(DQ57="",TRUE,IF(input_executive_education_focus="",FALSE,SUMPRODUCT(--ISNUMBER(SEARCH(","&amp;TRIM(TEXTSPLIT(DQ57,","))&amp;",",","&amp;SUBSTITUTE(input_executive_education_focus," ","")&amp;",")))=COUNTA(TEXTSPLIT(DQ57,",")))))</f>
        <v/>
      </c>
      <c r="JE57" s="19">
        <f>AND(IF(DS57="",TRUE,IF(input_faculty_category="",FALSE,SUMPRODUCT(--ISNUMBER(SEARCH(","&amp;TRIM(TEXTSPLIT(DS57,","))&amp;",",","&amp;SUBSTITUTE(input_faculty_category," ","")&amp;",")))&gt;0)),IF(DU57="",TRUE,IF(input_faculty_category="",FALSE,SUMPRODUCT(--ISNUMBER(SEARCH(","&amp;TRIM(TEXTSPLIT(DU57,","))&amp;",",","&amp;SUBSTITUTE(input_faculty_category," ","")&amp;",")))=COUNTA(TEXTSPLIT(DU57,",")))),IF(DW57="",TRUE,IF(input_faculty_category="",TRUE,SUMPRODUCT(--ISNUMBER(SEARCH(","&amp;TRIM(TEXTSPLIT(DW57,","))&amp;",",","&amp;SUBSTITUTE(input_faculty_category," ","")&amp;",")))=0)),IF(DY57="",TRUE,IF(input_faculty_category="",FALSE,SUMPRODUCT(--ISNUMBER(SEARCH(","&amp;TRIM(TEXTSPLIT(DY57,","))&amp;",",","&amp;SUBSTITUTE(input_faculty_category," ","")&amp;",")))&gt;0)),IF(EA57="",TRUE,IF(input_faculty_category="",FALSE,SUMPRODUCT(--ISNUMBER(SEARCH(","&amp;TRIM(TEXTSPLIT(EA57,","))&amp;",",","&amp;SUBSTITUTE(input_faculty_category," ","")&amp;",")))=COUNTA(TEXTSPLIT(EA57,",")))))</f>
        <v/>
      </c>
      <c r="JF57" s="19">
        <f>AND(IF(EC57="",TRUE,IF(input_faculty_discipline="",FALSE,SUMPRODUCT(--ISNUMBER(SEARCH(","&amp;TRIM(TEXTSPLIT(EC57,","))&amp;",",","&amp;SUBSTITUTE(input_faculty_discipline," ","")&amp;",")))&gt;0)),IF(EE57="",TRUE,IF(input_faculty_discipline="",FALSE,SUMPRODUCT(--ISNUMBER(SEARCH(","&amp;TRIM(TEXTSPLIT(EE57,","))&amp;",",","&amp;SUBSTITUTE(input_faculty_discipline," ","")&amp;",")))=COUNTA(TEXTSPLIT(EE57,",")))),IF(EG57="",TRUE,IF(input_faculty_discipline="",TRUE,SUMPRODUCT(--ISNUMBER(SEARCH(","&amp;TRIM(TEXTSPLIT(EG57,","))&amp;",",","&amp;SUBSTITUTE(input_faculty_discipline," ","")&amp;",")))=0)),IF(EI57="",TRUE,IF(input_faculty_discipline="",FALSE,SUMPRODUCT(--ISNUMBER(SEARCH(","&amp;TRIM(TEXTSPLIT(EI57,","))&amp;",",","&amp;SUBSTITUTE(input_faculty_discipline," ","")&amp;",")))&gt;0)),IF(EK57="",TRUE,IF(input_faculty_discipline="",FALSE,SUMPRODUCT(--ISNUMBER(SEARCH(","&amp;TRIM(TEXTSPLIT(EK57,","))&amp;",",","&amp;SUBSTITUTE(input_faculty_discipline," ","")&amp;",")))=COUNTA(TEXTSPLIT(EK57,",")))))</f>
        <v/>
      </c>
      <c r="JG57" s="19">
        <f>AND(IF(EM57="",TRUE,IF(input_faculty_expertise="",FALSE,SUMPRODUCT(--ISNUMBER(SEARCH(","&amp;TRIM(TEXTSPLIT(EM57,","))&amp;",",","&amp;SUBSTITUTE(input_faculty_expertise," ","")&amp;",")))&gt;0)),IF(EO57="",TRUE,IF(input_faculty_expertise="",FALSE,SUMPRODUCT(--ISNUMBER(SEARCH(","&amp;TRIM(TEXTSPLIT(EO57,","))&amp;",",","&amp;SUBSTITUTE(input_faculty_expertise," ","")&amp;",")))=COUNTA(TEXTSPLIT(EO57,",")))),IF(EQ57="",TRUE,IF(input_faculty_expertise="",TRUE,SUMPRODUCT(--ISNUMBER(SEARCH(","&amp;TRIM(TEXTSPLIT(EQ57,","))&amp;",",","&amp;SUBSTITUTE(input_faculty_expertise," ","")&amp;",")))=0)),IF(ES57="",TRUE,IF(input_faculty_expertise="",FALSE,SUMPRODUCT(--ISNUMBER(SEARCH(","&amp;TRIM(TEXTSPLIT(ES57,","))&amp;",",","&amp;SUBSTITUTE(input_faculty_expertise," ","")&amp;",")))&gt;0)),IF(EU57="",TRUE,IF(input_faculty_expertise="",FALSE,SUMPRODUCT(--ISNUMBER(SEARCH(","&amp;TRIM(TEXTSPLIT(EU57,","))&amp;",",","&amp;SUBSTITUTE(input_faculty_expertise," ","")&amp;",")))=COUNTA(TEXTSPLIT(EU57,",")))))</f>
        <v/>
      </c>
      <c r="JH57" s="19">
        <f>AND(IF(EW57="",TRUE,IF(input_global_network_school="",FALSE,SUMPRODUCT(--ISNUMBER(SEARCH(","&amp;TRIM(TEXTSPLIT(EW57,","))&amp;",",","&amp;SUBSTITUTE(input_global_network_school," ","")&amp;",")))&gt;0)),IF(EY57="",TRUE,IF(input_global_network_school="",FALSE,SUMPRODUCT(--ISNUMBER(SEARCH(","&amp;TRIM(TEXTSPLIT(EY57,","))&amp;",",","&amp;SUBSTITUTE(input_global_network_school," ","")&amp;",")))=COUNTA(TEXTSPLIT(EY57,",")))),IF(FA57="",TRUE,IF(input_global_network_school="",TRUE,SUMPRODUCT(--ISNUMBER(SEARCH(","&amp;TRIM(TEXTSPLIT(FA57,","))&amp;",",","&amp;SUBSTITUTE(input_global_network_school," ","")&amp;",")))=0)),IF(FC57="",TRUE,IF(input_global_network_school="",FALSE,SUMPRODUCT(--ISNUMBER(SEARCH(","&amp;TRIM(TEXTSPLIT(FC57,","))&amp;",",","&amp;SUBSTITUTE(input_global_network_school," ","")&amp;",")))&gt;0)),IF(FE57="",TRUE,IF(input_global_network_school="",FALSE,SUMPRODUCT(--ISNUMBER(SEARCH(","&amp;TRIM(TEXTSPLIT(FE57,","))&amp;",",","&amp;SUBSTITUTE(input_global_network_school," ","")&amp;",")))=COUNTA(TEXTSPLIT(FE57,",")))))</f>
        <v/>
      </c>
      <c r="JI57" s="19">
        <f>AND(IF(FG57="",TRUE,IF(input_industry="",FALSE,SUMPRODUCT(--ISNUMBER(SEARCH(","&amp;TRIM(TEXTSPLIT(FG57,","))&amp;",",","&amp;SUBSTITUTE(input_industry," ","")&amp;",")))&gt;0)),IF(FI57="",TRUE,IF(input_industry="",FALSE,SUMPRODUCT(--ISNUMBER(SEARCH(","&amp;TRIM(TEXTSPLIT(FI57,","))&amp;",",","&amp;SUBSTITUTE(input_industry," ","")&amp;",")))=COUNTA(TEXTSPLIT(FI57,",")))),IF(FK57="",TRUE,IF(input_industry="",TRUE,SUMPRODUCT(--ISNUMBER(SEARCH(","&amp;TRIM(TEXTSPLIT(FK57,","))&amp;",",","&amp;SUBSTITUTE(input_industry," ","")&amp;",")))=0)),IF(FM57="",TRUE,IF(input_industry="",FALSE,SUMPRODUCT(--ISNUMBER(SEARCH(","&amp;TRIM(TEXTSPLIT(FM57,","))&amp;",",","&amp;SUBSTITUTE(input_industry," ","")&amp;",")))&gt;0)),IF(FO57="",TRUE,IF(input_industry="",FALSE,SUMPRODUCT(--ISNUMBER(SEARCH(","&amp;TRIM(TEXTSPLIT(FO57,","))&amp;",",","&amp;SUBSTITUTE(input_industry," ","")&amp;",")))=COUNTA(TEXTSPLIT(FO57,",")))))</f>
        <v/>
      </c>
      <c r="JJ57" s="19">
        <f>AND(IF(FQ57="",TRUE,IF(input_location="",FALSE,SUMPRODUCT(--ISNUMBER(SEARCH(","&amp;TRIM(TEXTSPLIT(FQ57,","))&amp;",",","&amp;SUBSTITUTE(input_location," ","")&amp;",")))&gt;0)),IF(FS57="",TRUE,IF(input_location="",FALSE,SUMPRODUCT(--ISNUMBER(SEARCH(","&amp;TRIM(TEXTSPLIT(FS57,","))&amp;",",","&amp;SUBSTITUTE(input_location," ","")&amp;",")))=COUNTA(TEXTSPLIT(FS57,",")))),IF(FU57="",TRUE,IF(input_location="",TRUE,SUMPRODUCT(--ISNUMBER(SEARCH(","&amp;TRIM(TEXTSPLIT(FU57,","))&amp;",",","&amp;SUBSTITUTE(input_location," ","")&amp;",")))=0)),IF(FW57="",TRUE,IF(input_location="",FALSE,SUMPRODUCT(--ISNUMBER(SEARCH(","&amp;TRIM(TEXTSPLIT(FW57,","))&amp;",",","&amp;SUBSTITUTE(input_location," ","")&amp;",")))&gt;0)),IF(FY57="",TRUE,IF(input_location="",FALSE,SUMPRODUCT(--ISNUMBER(SEARCH(","&amp;TRIM(TEXTSPLIT(FY57,","))&amp;",",","&amp;SUBSTITUTE(input_location," ","")&amp;",")))=COUNTA(TEXTSPLIT(FY57,",")))))</f>
        <v/>
      </c>
      <c r="JK57" s="19">
        <f>AND(IF(GA57="",TRUE,IF(input_modality="",FALSE,SUMPRODUCT(--ISNUMBER(SEARCH(","&amp;TRIM(TEXTSPLIT(GA57,","))&amp;",",","&amp;SUBSTITUTE(input_modality," ","")&amp;",")))&gt;0)),IF(GC57="",TRUE,IF(input_modality="",FALSE,SUMPRODUCT(--ISNUMBER(SEARCH(","&amp;TRIM(TEXTSPLIT(GC57,","))&amp;",",","&amp;SUBSTITUTE(input_modality," ","")&amp;",")))=COUNTA(TEXTSPLIT(GC57,",")))),IF(GE57="",TRUE,IF(input_modality="",TRUE,SUMPRODUCT(--ISNUMBER(SEARCH(","&amp;TRIM(TEXTSPLIT(GE57,","))&amp;",",","&amp;SUBSTITUTE(input_modality," ","")&amp;",")))=0)),IF(GG57="",TRUE,IF(input_modality="",FALSE,SUMPRODUCT(--ISNUMBER(SEARCH(","&amp;TRIM(TEXTSPLIT(GG57,","))&amp;",",","&amp;SUBSTITUTE(input_modality," ","")&amp;",")))&gt;0)),IF(GI57="",TRUE,IF(input_modality="",FALSE,SUMPRODUCT(--ISNUMBER(SEARCH(","&amp;TRIM(TEXTSPLIT(GI57,","))&amp;",",","&amp;SUBSTITUTE(input_modality," ","")&amp;",")))=COUNTA(TEXTSPLIT(GI57,",")))))</f>
        <v/>
      </c>
      <c r="JL57" s="19">
        <f>AND(IF(GK57="",TRUE,IF(input_organizer="",FALSE,SUMPRODUCT(--ISNUMBER(SEARCH(","&amp;TRIM(TEXTSPLIT(GK57,","))&amp;",",","&amp;SUBSTITUTE(input_organizer," ","")&amp;",")))&gt;0)),IF(GM57="",TRUE,IF(input_organizer="",FALSE,SUMPRODUCT(--ISNUMBER(SEARCH(","&amp;TRIM(TEXTSPLIT(GM57,","))&amp;",",","&amp;SUBSTITUTE(input_organizer," ","")&amp;",")))=COUNTA(TEXTSPLIT(GM57,",")))),IF(GO57="",TRUE,IF(input_organizer="",TRUE,SUMPRODUCT(--ISNUMBER(SEARCH(","&amp;TRIM(TEXTSPLIT(GO57,","))&amp;",",","&amp;SUBSTITUTE(input_organizer," ","")&amp;",")))=0)),IF(GQ57="",TRUE,IF(input_organizer="",FALSE,SUMPRODUCT(--ISNUMBER(SEARCH(","&amp;TRIM(TEXTSPLIT(GQ57,","))&amp;",",","&amp;SUBSTITUTE(input_organizer," ","")&amp;",")))&gt;0)),IF(GS57="",TRUE,IF(input_organizer="",FALSE,SUMPRODUCT(--ISNUMBER(SEARCH(","&amp;TRIM(TEXTSPLIT(GS57,","))&amp;",",","&amp;SUBSTITUTE(input_organizer," ","")&amp;",")))=COUNTA(TEXTSPLIT(GS57,",")))))</f>
        <v/>
      </c>
      <c r="JM57" s="19">
        <f>AND(IF(GU57="",TRUE,IF(input_profile_type="",FALSE,SUMPRODUCT(--ISNUMBER(SEARCH(","&amp;TRIM(TEXTSPLIT(GU57,","))&amp;",",","&amp;SUBSTITUTE(input_profile_type," ","")&amp;",")))&gt;0)),IF(GW57="",TRUE,IF(input_profile_type="",FALSE,SUMPRODUCT(--ISNUMBER(SEARCH(","&amp;TRIM(TEXTSPLIT(GW57,","))&amp;",",","&amp;SUBSTITUTE(input_profile_type," ","")&amp;",")))=COUNTA(TEXTSPLIT(GW57,",")))),IF(GY57="",TRUE,IF(input_profile_type="",TRUE,SUMPRODUCT(--ISNUMBER(SEARCH(","&amp;TRIM(TEXTSPLIT(GY57,","))&amp;",",","&amp;SUBSTITUTE(input_profile_type," ","")&amp;",")))=0)),IF(HA57="",TRUE,IF(input_profile_type="",FALSE,SUMPRODUCT(--ISNUMBER(SEARCH(","&amp;TRIM(TEXTSPLIT(HA57,","))&amp;",",","&amp;SUBSTITUTE(input_profile_type," ","")&amp;",")))&gt;0)),IF(HC57="",TRUE,IF(input_profile_type="",FALSE,SUMPRODUCT(--ISNUMBER(SEARCH(","&amp;TRIM(TEXTSPLIT(HC57,","))&amp;",",","&amp;SUBSTITUTE(input_profile_type," ","")&amp;",")))=COUNTA(TEXTSPLIT(HC57,",")))))</f>
        <v/>
      </c>
      <c r="JN57" s="19">
        <f>AND(IF(HE57="",TRUE,IF(input_program="",FALSE,SUMPRODUCT(--ISNUMBER(SEARCH(","&amp;TRIM(TEXTSPLIT(HE57,","))&amp;",",","&amp;SUBSTITUTE(input_program," ","")&amp;",")))&gt;0)),IF(HG57="",TRUE,IF(input_program="",FALSE,SUMPRODUCT(--ISNUMBER(SEARCH(","&amp;TRIM(TEXTSPLIT(HG57,","))&amp;",",","&amp;SUBSTITUTE(input_program," ","")&amp;",")))=COUNTA(TEXTSPLIT(HG57,",")))),IF(HI57="",TRUE,IF(input_program="",TRUE,SUMPRODUCT(--ISNUMBER(SEARCH(","&amp;TRIM(TEXTSPLIT(HI57,","))&amp;",",","&amp;SUBSTITUTE(input_program," ","")&amp;",")))=0)),IF(HK57="",TRUE,IF(input_program="",FALSE,SUMPRODUCT(--ISNUMBER(SEARCH(","&amp;TRIM(TEXTSPLIT(HK57,","))&amp;",",","&amp;SUBSTITUTE(input_program," ","")&amp;",")))&gt;0)),IF(HM57="",TRUE,IF(input_program="",FALSE,SUMPRODUCT(--ISNUMBER(SEARCH(","&amp;TRIM(TEXTSPLIT(HM57,","))&amp;",",","&amp;SUBSTITUTE(input_program," ","")&amp;",")))=COUNTA(TEXTSPLIT(HM57,",")))))</f>
        <v/>
      </c>
      <c r="JO57" s="19">
        <f>AND(IF(HO57="",TRUE,IF(input_story_categories="",FALSE,SUMPRODUCT(--ISNUMBER(SEARCH(","&amp;TRIM(TEXTSPLIT(HO57,","))&amp;",",","&amp;SUBSTITUTE(input_story_categories," ","")&amp;",")))&gt;0)),IF(HQ57="",TRUE,IF(input_story_categories="",FALSE,SUMPRODUCT(--ISNUMBER(SEARCH(","&amp;TRIM(TEXTSPLIT(HQ57,","))&amp;",",","&amp;SUBSTITUTE(input_story_categories," ","")&amp;",")))=COUNTA(TEXTSPLIT(HQ57,",")))),IF(HS57="",TRUE,IF(input_story_categories="",TRUE,SUMPRODUCT(--ISNUMBER(SEARCH(","&amp;TRIM(TEXTSPLIT(HS57,","))&amp;",",","&amp;SUBSTITUTE(input_story_categories," ","")&amp;",")))=0)),IF(HU57="",TRUE,IF(input_story_categories="",FALSE,SUMPRODUCT(--ISNUMBER(SEARCH(","&amp;TRIM(TEXTSPLIT(HU57,","))&amp;",",","&amp;SUBSTITUTE(input_story_categories," ","")&amp;",")))&gt;0)),IF(HW57="",TRUE,IF(input_story_categories="",FALSE,SUMPRODUCT(--ISNUMBER(SEARCH(","&amp;TRIM(TEXTSPLIT(HW57,","))&amp;",",","&amp;SUBSTITUTE(input_story_categories," ","")&amp;",")))=COUNTA(TEXTSPLIT(HW57,",")))))</f>
        <v/>
      </c>
      <c r="JP57" s="19">
        <f>AND(IF(HY57="",TRUE,IF(input_story_type="",FALSE,SUMPRODUCT(--ISNUMBER(SEARCH(","&amp;TRIM(TEXTSPLIT(HY57,","))&amp;",",","&amp;SUBSTITUTE(input_story_type," ","")&amp;",")))&gt;0)),IF(IA57="",TRUE,IF(input_story_type="",FALSE,SUMPRODUCT(--ISNUMBER(SEARCH(","&amp;TRIM(TEXTSPLIT(IA57,","))&amp;",",","&amp;SUBSTITUTE(input_story_type," ","")&amp;",")))=COUNTA(TEXTSPLIT(IA57,",")))),IF(IC57="",TRUE,IF(input_story_type="",TRUE,SUMPRODUCT(--ISNUMBER(SEARCH(","&amp;TRIM(TEXTSPLIT(IC57,","))&amp;",",","&amp;SUBSTITUTE(input_story_type," ","")&amp;",")))=0)),IF(IE57="",TRUE,IF(input_story_type="",FALSE,SUMPRODUCT(--ISNUMBER(SEARCH(","&amp;TRIM(TEXTSPLIT(IE57,","))&amp;",",","&amp;SUBSTITUTE(input_story_type," ","")&amp;",")))&gt;0)),IF(IG57="",TRUE,IF(input_story_type="",FALSE,SUMPRODUCT(--ISNUMBER(SEARCH(","&amp;TRIM(TEXTSPLIT(IG57,","))&amp;",",","&amp;SUBSTITUTE(input_story_type," ","")&amp;",")))=COUNTA(TEXTSPLIT(IG57,",")))))</f>
        <v/>
      </c>
      <c r="JQ57" s="19">
        <f>AND(IF(II57="",TRUE,IF(input_topics="",FALSE,SUMPRODUCT(--ISNUMBER(SEARCH(","&amp;TRIM(TEXTSPLIT(II57,","))&amp;",",","&amp;SUBSTITUTE(input_topics," ","")&amp;",")))&gt;0)),IF(IK57="",TRUE,IF(input_topics="",FALSE,SUMPRODUCT(--ISNUMBER(SEARCH(","&amp;TRIM(TEXTSPLIT(IK57,","))&amp;",",","&amp;SUBSTITUTE(input_topics," ","")&amp;",")))=COUNTA(TEXTSPLIT(IK57,",")))),IF(IM57="",TRUE,IF(input_topics="",TRUE,SUMPRODUCT(--ISNUMBER(SEARCH(","&amp;TRIM(TEXTSPLIT(IM57,","))&amp;",",","&amp;SUBSTITUTE(input_topics," ","")&amp;",")))=0)),IF(IO57="",TRUE,IF(input_topics="",FALSE,SUMPRODUCT(--ISNUMBER(SEARCH(","&amp;TRIM(TEXTSPLIT(IO57,","))&amp;",",","&amp;SUBSTITUTE(input_topics," ","")&amp;",")))&gt;0)),IF(IQ57="",TRUE,IF(input_topics="",FALSE,SUMPRODUCT(--ISNUMBER(SEARCH(","&amp;TRIM(TEXTSPLIT(IQ57,","))&amp;",",","&amp;SUBSTITUTE(input_topics," ","")&amp;",")))=COUNTA(TEXTSPLIT(IQ57,",")))))</f>
        <v/>
      </c>
    </row>
    <row r="58">
      <c r="A58" s="24">
        <f>IF(NOT(IS58),"Excluded",IF(AND(IT58,IU58,IV58,IW58,IX58,IY58,IZ58,JA58,JB58,JC58,JD58,JE58,JF58,JG58,JH58,JI58,JJ58,JK58,JL58,JM58,JN58,JO58,JP58,JQ58),IF(I58&gt;0,"Eligible but limited","Will appear"),"Excluded"))</f>
        <v/>
      </c>
      <c r="B58" s="24" t="inlineStr">
        <is>
          <t>All Publications by Author</t>
        </is>
      </c>
      <c r="C58" s="27" t="inlineStr">
        <is>
          <t>/faculty-research/faculty-directory/zoe-chance</t>
        </is>
      </c>
      <c r="D58" s="24" t="inlineStr">
        <is>
          <t>/faculty-research/faculty-directory/zoe-chance</t>
        </is>
      </c>
      <c r="E58" s="24" t="n">
        <v>1</v>
      </c>
      <c r="F58" s="24" t="inlineStr">
        <is>
          <t>publications</t>
        </is>
      </c>
      <c r="G58" s="24" t="inlineStr">
        <is>
          <t>publication_teaser_list</t>
        </is>
      </c>
      <c r="H58" s="24" t="inlineStr">
        <is>
          <t>publication_teaser_list_all_by_author</t>
        </is>
      </c>
      <c r="I58" s="24" t="n"/>
      <c r="J58" s="24" t="inlineStr">
        <is>
          <t>View/config rules</t>
        </is>
      </c>
      <c r="K58" s="24" t="inlineStr">
        <is>
          <t>Page placement</t>
        </is>
      </c>
      <c r="L58" s="24" t="inlineStr">
        <is>
          <t>Content type: publications; Source: View/config rules</t>
        </is>
      </c>
      <c r="IS58" s="19">
        <f>IF(input_content_type="",FALSE,ISNUMBER(SEARCH(","&amp;LOWER(input_content_type)&amp;",",","&amp;LOWER(SUBSTITUTE(F58," ",""))&amp;",")))</f>
        <v/>
      </c>
      <c r="IT58" s="19">
        <f>AND(IF(M58="",TRUE,IF(input_affiliations="",FALSE,SUMPRODUCT(--ISNUMBER(SEARCH(","&amp;TRIM(TEXTSPLIT(M58,","))&amp;",",","&amp;SUBSTITUTE(input_affiliations," ","")&amp;",")))&gt;0)),IF(O58="",TRUE,IF(input_affiliations="",FALSE,SUMPRODUCT(--ISNUMBER(SEARCH(","&amp;TRIM(TEXTSPLIT(O58,","))&amp;",",","&amp;SUBSTITUTE(input_affiliations," ","")&amp;",")))=COUNTA(TEXTSPLIT(O58,",")))),IF(Q58="",TRUE,IF(input_affiliations="",TRUE,SUMPRODUCT(--ISNUMBER(SEARCH(","&amp;TRIM(TEXTSPLIT(Q58,","))&amp;",",","&amp;SUBSTITUTE(input_affiliations," ","")&amp;",")))=0)),IF(S58="",TRUE,IF(input_affiliations="",FALSE,SUMPRODUCT(--ISNUMBER(SEARCH(","&amp;TRIM(TEXTSPLIT(S58,","))&amp;",",","&amp;SUBSTITUTE(input_affiliations," ","")&amp;",")))&gt;0)),IF(U58="",TRUE,IF(input_affiliations="",FALSE,SUMPRODUCT(--ISNUMBER(SEARCH(","&amp;TRIM(TEXTSPLIT(U58,","))&amp;",",","&amp;SUBSTITUTE(input_affiliations," ","")&amp;",")))=COUNTA(TEXTSPLIT(U58,",")))))</f>
        <v/>
      </c>
      <c r="IU58" s="19">
        <f>AND(IF(W58="",TRUE,IF(input_announcement_category="",FALSE,SUMPRODUCT(--ISNUMBER(SEARCH(","&amp;TRIM(TEXTSPLIT(W58,","))&amp;",",","&amp;SUBSTITUTE(input_announcement_category," ","")&amp;",")))&gt;0)),IF(Y58="",TRUE,IF(input_announcement_category="",FALSE,SUMPRODUCT(--ISNUMBER(SEARCH(","&amp;TRIM(TEXTSPLIT(Y58,","))&amp;",",","&amp;SUBSTITUTE(input_announcement_category," ","")&amp;",")))=COUNTA(TEXTSPLIT(Y58,",")))),IF(AA58="",TRUE,IF(input_announcement_category="",TRUE,SUMPRODUCT(--ISNUMBER(SEARCH(","&amp;TRIM(TEXTSPLIT(AA58,","))&amp;",",","&amp;SUBSTITUTE(input_announcement_category," ","")&amp;",")))=0)),IF(AC58="",TRUE,IF(input_announcement_category="",FALSE,SUMPRODUCT(--ISNUMBER(SEARCH(","&amp;TRIM(TEXTSPLIT(AC58,","))&amp;",",","&amp;SUBSTITUTE(input_announcement_category," ","")&amp;",")))&gt;0)),IF(AE58="",TRUE,IF(input_announcement_category="",FALSE,SUMPRODUCT(--ISNUMBER(SEARCH(","&amp;TRIM(TEXTSPLIT(AE58,","))&amp;",",","&amp;SUBSTITUTE(input_announcement_category," ","")&amp;",")))=COUNTA(TEXTSPLIT(AE58,",")))))</f>
        <v/>
      </c>
      <c r="IV58" s="19">
        <f>AND(IF(AG58="",TRUE,IF(input_area_of_focus="",FALSE,SUMPRODUCT(--ISNUMBER(SEARCH(","&amp;TRIM(TEXTSPLIT(AG58,","))&amp;",",","&amp;SUBSTITUTE(input_area_of_focus," ","")&amp;",")))&gt;0)),IF(AI58="",TRUE,IF(input_area_of_focus="",FALSE,SUMPRODUCT(--ISNUMBER(SEARCH(","&amp;TRIM(TEXTSPLIT(AI58,","))&amp;",",","&amp;SUBSTITUTE(input_area_of_focus," ","")&amp;",")))=COUNTA(TEXTSPLIT(AI58,",")))),IF(AK58="",TRUE,IF(input_area_of_focus="",TRUE,SUMPRODUCT(--ISNUMBER(SEARCH(","&amp;TRIM(TEXTSPLIT(AK58,","))&amp;",",","&amp;SUBSTITUTE(input_area_of_focus," ","")&amp;",")))=0)),IF(AM58="",TRUE,IF(input_area_of_focus="",FALSE,SUMPRODUCT(--ISNUMBER(SEARCH(","&amp;TRIM(TEXTSPLIT(AM58,","))&amp;",",","&amp;SUBSTITUTE(input_area_of_focus," ","")&amp;",")))&gt;0)),IF(AO58="",TRUE,IF(input_area_of_focus="",FALSE,SUMPRODUCT(--ISNUMBER(SEARCH(","&amp;TRIM(TEXTSPLIT(AO58,","))&amp;",",","&amp;SUBSTITUTE(input_area_of_focus," ","")&amp;",")))=COUNTA(TEXTSPLIT(AO58,",")))))</f>
        <v/>
      </c>
      <c r="IW58" s="19">
        <f>AND(IF(AQ58="",TRUE,IF(input_audience="",FALSE,SUMPRODUCT(--ISNUMBER(SEARCH(","&amp;TRIM(TEXTSPLIT(AQ58,","))&amp;",",","&amp;SUBSTITUTE(input_audience," ","")&amp;",")))&gt;0)),IF(AS58="",TRUE,IF(input_audience="",FALSE,SUMPRODUCT(--ISNUMBER(SEARCH(","&amp;TRIM(TEXTSPLIT(AS58,","))&amp;",",","&amp;SUBSTITUTE(input_audience," ","")&amp;",")))=COUNTA(TEXTSPLIT(AS58,",")))),IF(AU58="",TRUE,IF(input_audience="",TRUE,SUMPRODUCT(--ISNUMBER(SEARCH(","&amp;TRIM(TEXTSPLIT(AU58,","))&amp;",",","&amp;SUBSTITUTE(input_audience," ","")&amp;",")))=0)),IF(AW58="",TRUE,IF(input_audience="",FALSE,SUMPRODUCT(--ISNUMBER(SEARCH(","&amp;TRIM(TEXTSPLIT(AW58,","))&amp;",",","&amp;SUBSTITUTE(input_audience," ","")&amp;",")))&gt;0)),IF(AY58="",TRUE,IF(input_audience="",FALSE,SUMPRODUCT(--ISNUMBER(SEARCH(","&amp;TRIM(TEXTSPLIT(AY58,","))&amp;",",","&amp;SUBSTITUTE(input_audience," ","")&amp;",")))=COUNTA(TEXTSPLIT(AY58,",")))))</f>
        <v/>
      </c>
      <c r="IX58" s="19">
        <f>AND(IF(BA58="",TRUE,IF(input_challenge_opportunities="",FALSE,SUMPRODUCT(--ISNUMBER(SEARCH(","&amp;TRIM(TEXTSPLIT(BA58,","))&amp;",",","&amp;SUBSTITUTE(input_challenge_opportunities," ","")&amp;",")))&gt;0)),IF(BC58="",TRUE,IF(input_challenge_opportunities="",FALSE,SUMPRODUCT(--ISNUMBER(SEARCH(","&amp;TRIM(TEXTSPLIT(BC58,","))&amp;",",","&amp;SUBSTITUTE(input_challenge_opportunities," ","")&amp;",")))=COUNTA(TEXTSPLIT(BC58,",")))),IF(BE58="",TRUE,IF(input_challenge_opportunities="",TRUE,SUMPRODUCT(--ISNUMBER(SEARCH(","&amp;TRIM(TEXTSPLIT(BE58,","))&amp;",",","&amp;SUBSTITUTE(input_challenge_opportunities," ","")&amp;",")))=0)),IF(BG58="",TRUE,IF(input_challenge_opportunities="",FALSE,SUMPRODUCT(--ISNUMBER(SEARCH(","&amp;TRIM(TEXTSPLIT(BG58,","))&amp;",",","&amp;SUBSTITUTE(input_challenge_opportunities," ","")&amp;",")))&gt;0)),IF(BI58="",TRUE,IF(input_challenge_opportunities="",FALSE,SUMPRODUCT(--ISNUMBER(SEARCH(","&amp;TRIM(TEXTSPLIT(BI58,","))&amp;",",","&amp;SUBSTITUTE(input_challenge_opportunities," ","")&amp;",")))=COUNTA(TEXTSPLIT(BI58,",")))))</f>
        <v/>
      </c>
      <c r="IY58" s="19">
        <f>AND(IF(BK58="",TRUE,IF(input_context="",FALSE,SUMPRODUCT(--ISNUMBER(SEARCH(","&amp;TRIM(TEXTSPLIT(BK58,","))&amp;",",","&amp;SUBSTITUTE(input_context," ","")&amp;",")))&gt;0)),IF(BM58="",TRUE,IF(input_context="",FALSE,SUMPRODUCT(--ISNUMBER(SEARCH(","&amp;TRIM(TEXTSPLIT(BM58,","))&amp;",",","&amp;SUBSTITUTE(input_context," ","")&amp;",")))=COUNTA(TEXTSPLIT(BM58,",")))),IF(BO58="",TRUE,IF(input_context="",TRUE,SUMPRODUCT(--ISNUMBER(SEARCH(","&amp;TRIM(TEXTSPLIT(BO58,","))&amp;",",","&amp;SUBSTITUTE(input_context," ","")&amp;",")))=0)),IF(BQ58="",TRUE,IF(input_context="",FALSE,SUMPRODUCT(--ISNUMBER(SEARCH(","&amp;TRIM(TEXTSPLIT(BQ58,","))&amp;",",","&amp;SUBSTITUTE(input_context," ","")&amp;",")))&gt;0)),IF(BS58="",TRUE,IF(input_context="",FALSE,SUMPRODUCT(--ISNUMBER(SEARCH(","&amp;TRIM(TEXTSPLIT(BS58,","))&amp;",",","&amp;SUBSTITUTE(input_context," ","")&amp;",")))=COUNTA(TEXTSPLIT(BS58,",")))))</f>
        <v/>
      </c>
      <c r="IZ58" s="19">
        <f>AND(IF(BU58="",TRUE,IF(input_enews_announcement_type="",FALSE,SUMPRODUCT(--ISNUMBER(SEARCH(","&amp;TRIM(TEXTSPLIT(BU58,","))&amp;",",","&amp;SUBSTITUTE(input_enews_announcement_type," ","")&amp;",")))&gt;0)),IF(BW58="",TRUE,IF(input_enews_announcement_type="",FALSE,SUMPRODUCT(--ISNUMBER(SEARCH(","&amp;TRIM(TEXTSPLIT(BW58,","))&amp;",",","&amp;SUBSTITUTE(input_enews_announcement_type," ","")&amp;",")))=COUNTA(TEXTSPLIT(BW58,",")))),IF(BY58="",TRUE,IF(input_enews_announcement_type="",TRUE,SUMPRODUCT(--ISNUMBER(SEARCH(","&amp;TRIM(TEXTSPLIT(BY58,","))&amp;",",","&amp;SUBSTITUTE(input_enews_announcement_type," ","")&amp;",")))=0)),IF(CA58="",TRUE,IF(input_enews_announcement_type="",FALSE,SUMPRODUCT(--ISNUMBER(SEARCH(","&amp;TRIM(TEXTSPLIT(CA58,","))&amp;",",","&amp;SUBSTITUTE(input_enews_announcement_type," ","")&amp;",")))&gt;0)),IF(CC58="",TRUE,IF(input_enews_announcement_type="",FALSE,SUMPRODUCT(--ISNUMBER(SEARCH(","&amp;TRIM(TEXTSPLIT(CC58,","))&amp;",",","&amp;SUBSTITUTE(input_enews_announcement_type," ","")&amp;",")))=COUNTA(TEXTSPLIT(CC58,",")))))</f>
        <v/>
      </c>
      <c r="JA58" s="19">
        <f>AND(IF(CE58="",TRUE,IF(input_enews_audience="",FALSE,SUMPRODUCT(--ISNUMBER(SEARCH(","&amp;TRIM(TEXTSPLIT(CE58,","))&amp;",",","&amp;SUBSTITUTE(input_enews_audience," ","")&amp;",")))&gt;0)),IF(CG58="",TRUE,IF(input_enews_audience="",FALSE,SUMPRODUCT(--ISNUMBER(SEARCH(","&amp;TRIM(TEXTSPLIT(CG58,","))&amp;",",","&amp;SUBSTITUTE(input_enews_audience," ","")&amp;",")))=COUNTA(TEXTSPLIT(CG58,",")))),IF(CI58="",TRUE,IF(input_enews_audience="",TRUE,SUMPRODUCT(--ISNUMBER(SEARCH(","&amp;TRIM(TEXTSPLIT(CI58,","))&amp;",",","&amp;SUBSTITUTE(input_enews_audience," ","")&amp;",")))=0)),IF(CK58="",TRUE,IF(input_enews_audience="",FALSE,SUMPRODUCT(--ISNUMBER(SEARCH(","&amp;TRIM(TEXTSPLIT(CK58,","))&amp;",",","&amp;SUBSTITUTE(input_enews_audience," ","")&amp;",")))&gt;0)),IF(CM58="",TRUE,IF(input_enews_audience="",FALSE,SUMPRODUCT(--ISNUMBER(SEARCH(","&amp;TRIM(TEXTSPLIT(CM58,","))&amp;",",","&amp;SUBSTITUTE(input_enews_audience," ","")&amp;",")))=COUNTA(TEXTSPLIT(CM58,",")))))</f>
        <v/>
      </c>
      <c r="JB58" s="19">
        <f>AND(IF(CO58="",TRUE,IF(input_event_location="",FALSE,SUMPRODUCT(--ISNUMBER(SEARCH(","&amp;TRIM(TEXTSPLIT(CO58,","))&amp;",",","&amp;SUBSTITUTE(input_event_location," ","")&amp;",")))&gt;0)),IF(CQ58="",TRUE,IF(input_event_location="",FALSE,SUMPRODUCT(--ISNUMBER(SEARCH(","&amp;TRIM(TEXTSPLIT(CQ58,","))&amp;",",","&amp;SUBSTITUTE(input_event_location," ","")&amp;",")))=COUNTA(TEXTSPLIT(CQ58,",")))),IF(CS58="",TRUE,IF(input_event_location="",TRUE,SUMPRODUCT(--ISNUMBER(SEARCH(","&amp;TRIM(TEXTSPLIT(CS58,","))&amp;",",","&amp;SUBSTITUTE(input_event_location," ","")&amp;",")))=0)),IF(CU58="",TRUE,IF(input_event_location="",FALSE,SUMPRODUCT(--ISNUMBER(SEARCH(","&amp;TRIM(TEXTSPLIT(CU58,","))&amp;",",","&amp;SUBSTITUTE(input_event_location," ","")&amp;",")))&gt;0)),IF(CW58="",TRUE,IF(input_event_location="",FALSE,SUMPRODUCT(--ISNUMBER(SEARCH(","&amp;TRIM(TEXTSPLIT(CW58,","))&amp;",",","&amp;SUBSTITUTE(input_event_location," ","")&amp;",")))=COUNTA(TEXTSPLIT(CW58,",")))))</f>
        <v/>
      </c>
      <c r="JC58" s="19">
        <f>AND(IF(CY58="",TRUE,IF(input_event_type="",FALSE,SUMPRODUCT(--ISNUMBER(SEARCH(","&amp;TRIM(TEXTSPLIT(CY58,","))&amp;",",","&amp;SUBSTITUTE(input_event_type," ","")&amp;",")))&gt;0)),IF(DA58="",TRUE,IF(input_event_type="",FALSE,SUMPRODUCT(--ISNUMBER(SEARCH(","&amp;TRIM(TEXTSPLIT(DA58,","))&amp;",",","&amp;SUBSTITUTE(input_event_type," ","")&amp;",")))=COUNTA(TEXTSPLIT(DA58,",")))),IF(DC58="",TRUE,IF(input_event_type="",TRUE,SUMPRODUCT(--ISNUMBER(SEARCH(","&amp;TRIM(TEXTSPLIT(DC58,","))&amp;",",","&amp;SUBSTITUTE(input_event_type," ","")&amp;",")))=0)),IF(DE58="",TRUE,IF(input_event_type="",FALSE,SUMPRODUCT(--ISNUMBER(SEARCH(","&amp;TRIM(TEXTSPLIT(DE58,","))&amp;",",","&amp;SUBSTITUTE(input_event_type," ","")&amp;",")))&gt;0)),IF(DG58="",TRUE,IF(input_event_type="",FALSE,SUMPRODUCT(--ISNUMBER(SEARCH(","&amp;TRIM(TEXTSPLIT(DG58,","))&amp;",",","&amp;SUBSTITUTE(input_event_type," ","")&amp;",")))=COUNTA(TEXTSPLIT(DG58,",")))))</f>
        <v/>
      </c>
      <c r="JD58" s="19">
        <f>AND(IF(DI58="",TRUE,IF(input_executive_education_focus="",FALSE,SUMPRODUCT(--ISNUMBER(SEARCH(","&amp;TRIM(TEXTSPLIT(DI58,","))&amp;",",","&amp;SUBSTITUTE(input_executive_education_focus," ","")&amp;",")))&gt;0)),IF(DK58="",TRUE,IF(input_executive_education_focus="",FALSE,SUMPRODUCT(--ISNUMBER(SEARCH(","&amp;TRIM(TEXTSPLIT(DK58,","))&amp;",",","&amp;SUBSTITUTE(input_executive_education_focus," ","")&amp;",")))=COUNTA(TEXTSPLIT(DK58,",")))),IF(DM58="",TRUE,IF(input_executive_education_focus="",TRUE,SUMPRODUCT(--ISNUMBER(SEARCH(","&amp;TRIM(TEXTSPLIT(DM58,","))&amp;",",","&amp;SUBSTITUTE(input_executive_education_focus," ","")&amp;",")))=0)),IF(DO58="",TRUE,IF(input_executive_education_focus="",FALSE,SUMPRODUCT(--ISNUMBER(SEARCH(","&amp;TRIM(TEXTSPLIT(DO58,","))&amp;",",","&amp;SUBSTITUTE(input_executive_education_focus," ","")&amp;",")))&gt;0)),IF(DQ58="",TRUE,IF(input_executive_education_focus="",FALSE,SUMPRODUCT(--ISNUMBER(SEARCH(","&amp;TRIM(TEXTSPLIT(DQ58,","))&amp;",",","&amp;SUBSTITUTE(input_executive_education_focus," ","")&amp;",")))=COUNTA(TEXTSPLIT(DQ58,",")))))</f>
        <v/>
      </c>
      <c r="JE58" s="19">
        <f>AND(IF(DS58="",TRUE,IF(input_faculty_category="",FALSE,SUMPRODUCT(--ISNUMBER(SEARCH(","&amp;TRIM(TEXTSPLIT(DS58,","))&amp;",",","&amp;SUBSTITUTE(input_faculty_category," ","")&amp;",")))&gt;0)),IF(DU58="",TRUE,IF(input_faculty_category="",FALSE,SUMPRODUCT(--ISNUMBER(SEARCH(","&amp;TRIM(TEXTSPLIT(DU58,","))&amp;",",","&amp;SUBSTITUTE(input_faculty_category," ","")&amp;",")))=COUNTA(TEXTSPLIT(DU58,",")))),IF(DW58="",TRUE,IF(input_faculty_category="",TRUE,SUMPRODUCT(--ISNUMBER(SEARCH(","&amp;TRIM(TEXTSPLIT(DW58,","))&amp;",",","&amp;SUBSTITUTE(input_faculty_category," ","")&amp;",")))=0)),IF(DY58="",TRUE,IF(input_faculty_category="",FALSE,SUMPRODUCT(--ISNUMBER(SEARCH(","&amp;TRIM(TEXTSPLIT(DY58,","))&amp;",",","&amp;SUBSTITUTE(input_faculty_category," ","")&amp;",")))&gt;0)),IF(EA58="",TRUE,IF(input_faculty_category="",FALSE,SUMPRODUCT(--ISNUMBER(SEARCH(","&amp;TRIM(TEXTSPLIT(EA58,","))&amp;",",","&amp;SUBSTITUTE(input_faculty_category," ","")&amp;",")))=COUNTA(TEXTSPLIT(EA58,",")))))</f>
        <v/>
      </c>
      <c r="JF58" s="19">
        <f>AND(IF(EC58="",TRUE,IF(input_faculty_discipline="",FALSE,SUMPRODUCT(--ISNUMBER(SEARCH(","&amp;TRIM(TEXTSPLIT(EC58,","))&amp;",",","&amp;SUBSTITUTE(input_faculty_discipline," ","")&amp;",")))&gt;0)),IF(EE58="",TRUE,IF(input_faculty_discipline="",FALSE,SUMPRODUCT(--ISNUMBER(SEARCH(","&amp;TRIM(TEXTSPLIT(EE58,","))&amp;",",","&amp;SUBSTITUTE(input_faculty_discipline," ","")&amp;",")))=COUNTA(TEXTSPLIT(EE58,",")))),IF(EG58="",TRUE,IF(input_faculty_discipline="",TRUE,SUMPRODUCT(--ISNUMBER(SEARCH(","&amp;TRIM(TEXTSPLIT(EG58,","))&amp;",",","&amp;SUBSTITUTE(input_faculty_discipline," ","")&amp;",")))=0)),IF(EI58="",TRUE,IF(input_faculty_discipline="",FALSE,SUMPRODUCT(--ISNUMBER(SEARCH(","&amp;TRIM(TEXTSPLIT(EI58,","))&amp;",",","&amp;SUBSTITUTE(input_faculty_discipline," ","")&amp;",")))&gt;0)),IF(EK58="",TRUE,IF(input_faculty_discipline="",FALSE,SUMPRODUCT(--ISNUMBER(SEARCH(","&amp;TRIM(TEXTSPLIT(EK58,","))&amp;",",","&amp;SUBSTITUTE(input_faculty_discipline," ","")&amp;",")))=COUNTA(TEXTSPLIT(EK58,",")))))</f>
        <v/>
      </c>
      <c r="JG58" s="19">
        <f>AND(IF(EM58="",TRUE,IF(input_faculty_expertise="",FALSE,SUMPRODUCT(--ISNUMBER(SEARCH(","&amp;TRIM(TEXTSPLIT(EM58,","))&amp;",",","&amp;SUBSTITUTE(input_faculty_expertise," ","")&amp;",")))&gt;0)),IF(EO58="",TRUE,IF(input_faculty_expertise="",FALSE,SUMPRODUCT(--ISNUMBER(SEARCH(","&amp;TRIM(TEXTSPLIT(EO58,","))&amp;",",","&amp;SUBSTITUTE(input_faculty_expertise," ","")&amp;",")))=COUNTA(TEXTSPLIT(EO58,",")))),IF(EQ58="",TRUE,IF(input_faculty_expertise="",TRUE,SUMPRODUCT(--ISNUMBER(SEARCH(","&amp;TRIM(TEXTSPLIT(EQ58,","))&amp;",",","&amp;SUBSTITUTE(input_faculty_expertise," ","")&amp;",")))=0)),IF(ES58="",TRUE,IF(input_faculty_expertise="",FALSE,SUMPRODUCT(--ISNUMBER(SEARCH(","&amp;TRIM(TEXTSPLIT(ES58,","))&amp;",",","&amp;SUBSTITUTE(input_faculty_expertise," ","")&amp;",")))&gt;0)),IF(EU58="",TRUE,IF(input_faculty_expertise="",FALSE,SUMPRODUCT(--ISNUMBER(SEARCH(","&amp;TRIM(TEXTSPLIT(EU58,","))&amp;",",","&amp;SUBSTITUTE(input_faculty_expertise," ","")&amp;",")))=COUNTA(TEXTSPLIT(EU58,",")))))</f>
        <v/>
      </c>
      <c r="JH58" s="19">
        <f>AND(IF(EW58="",TRUE,IF(input_global_network_school="",FALSE,SUMPRODUCT(--ISNUMBER(SEARCH(","&amp;TRIM(TEXTSPLIT(EW58,","))&amp;",",","&amp;SUBSTITUTE(input_global_network_school," ","")&amp;",")))&gt;0)),IF(EY58="",TRUE,IF(input_global_network_school="",FALSE,SUMPRODUCT(--ISNUMBER(SEARCH(","&amp;TRIM(TEXTSPLIT(EY58,","))&amp;",",","&amp;SUBSTITUTE(input_global_network_school," ","")&amp;",")))=COUNTA(TEXTSPLIT(EY58,",")))),IF(FA58="",TRUE,IF(input_global_network_school="",TRUE,SUMPRODUCT(--ISNUMBER(SEARCH(","&amp;TRIM(TEXTSPLIT(FA58,","))&amp;",",","&amp;SUBSTITUTE(input_global_network_school," ","")&amp;",")))=0)),IF(FC58="",TRUE,IF(input_global_network_school="",FALSE,SUMPRODUCT(--ISNUMBER(SEARCH(","&amp;TRIM(TEXTSPLIT(FC58,","))&amp;",",","&amp;SUBSTITUTE(input_global_network_school," ","")&amp;",")))&gt;0)),IF(FE58="",TRUE,IF(input_global_network_school="",FALSE,SUMPRODUCT(--ISNUMBER(SEARCH(","&amp;TRIM(TEXTSPLIT(FE58,","))&amp;",",","&amp;SUBSTITUTE(input_global_network_school," ","")&amp;",")))=COUNTA(TEXTSPLIT(FE58,",")))))</f>
        <v/>
      </c>
      <c r="JI58" s="19">
        <f>AND(IF(FG58="",TRUE,IF(input_industry="",FALSE,SUMPRODUCT(--ISNUMBER(SEARCH(","&amp;TRIM(TEXTSPLIT(FG58,","))&amp;",",","&amp;SUBSTITUTE(input_industry," ","")&amp;",")))&gt;0)),IF(FI58="",TRUE,IF(input_industry="",FALSE,SUMPRODUCT(--ISNUMBER(SEARCH(","&amp;TRIM(TEXTSPLIT(FI58,","))&amp;",",","&amp;SUBSTITUTE(input_industry," ","")&amp;",")))=COUNTA(TEXTSPLIT(FI58,",")))),IF(FK58="",TRUE,IF(input_industry="",TRUE,SUMPRODUCT(--ISNUMBER(SEARCH(","&amp;TRIM(TEXTSPLIT(FK58,","))&amp;",",","&amp;SUBSTITUTE(input_industry," ","")&amp;",")))=0)),IF(FM58="",TRUE,IF(input_industry="",FALSE,SUMPRODUCT(--ISNUMBER(SEARCH(","&amp;TRIM(TEXTSPLIT(FM58,","))&amp;",",","&amp;SUBSTITUTE(input_industry," ","")&amp;",")))&gt;0)),IF(FO58="",TRUE,IF(input_industry="",FALSE,SUMPRODUCT(--ISNUMBER(SEARCH(","&amp;TRIM(TEXTSPLIT(FO58,","))&amp;",",","&amp;SUBSTITUTE(input_industry," ","")&amp;",")))=COUNTA(TEXTSPLIT(FO58,",")))))</f>
        <v/>
      </c>
      <c r="JJ58" s="19">
        <f>AND(IF(FQ58="",TRUE,IF(input_location="",FALSE,SUMPRODUCT(--ISNUMBER(SEARCH(","&amp;TRIM(TEXTSPLIT(FQ58,","))&amp;",",","&amp;SUBSTITUTE(input_location," ","")&amp;",")))&gt;0)),IF(FS58="",TRUE,IF(input_location="",FALSE,SUMPRODUCT(--ISNUMBER(SEARCH(","&amp;TRIM(TEXTSPLIT(FS58,","))&amp;",",","&amp;SUBSTITUTE(input_location," ","")&amp;",")))=COUNTA(TEXTSPLIT(FS58,",")))),IF(FU58="",TRUE,IF(input_location="",TRUE,SUMPRODUCT(--ISNUMBER(SEARCH(","&amp;TRIM(TEXTSPLIT(FU58,","))&amp;",",","&amp;SUBSTITUTE(input_location," ","")&amp;",")))=0)),IF(FW58="",TRUE,IF(input_location="",FALSE,SUMPRODUCT(--ISNUMBER(SEARCH(","&amp;TRIM(TEXTSPLIT(FW58,","))&amp;",",","&amp;SUBSTITUTE(input_location," ","")&amp;",")))&gt;0)),IF(FY58="",TRUE,IF(input_location="",FALSE,SUMPRODUCT(--ISNUMBER(SEARCH(","&amp;TRIM(TEXTSPLIT(FY58,","))&amp;",",","&amp;SUBSTITUTE(input_location," ","")&amp;",")))=COUNTA(TEXTSPLIT(FY58,",")))))</f>
        <v/>
      </c>
      <c r="JK58" s="19">
        <f>AND(IF(GA58="",TRUE,IF(input_modality="",FALSE,SUMPRODUCT(--ISNUMBER(SEARCH(","&amp;TRIM(TEXTSPLIT(GA58,","))&amp;",",","&amp;SUBSTITUTE(input_modality," ","")&amp;",")))&gt;0)),IF(GC58="",TRUE,IF(input_modality="",FALSE,SUMPRODUCT(--ISNUMBER(SEARCH(","&amp;TRIM(TEXTSPLIT(GC58,","))&amp;",",","&amp;SUBSTITUTE(input_modality," ","")&amp;",")))=COUNTA(TEXTSPLIT(GC58,",")))),IF(GE58="",TRUE,IF(input_modality="",TRUE,SUMPRODUCT(--ISNUMBER(SEARCH(","&amp;TRIM(TEXTSPLIT(GE58,","))&amp;",",","&amp;SUBSTITUTE(input_modality," ","")&amp;",")))=0)),IF(GG58="",TRUE,IF(input_modality="",FALSE,SUMPRODUCT(--ISNUMBER(SEARCH(","&amp;TRIM(TEXTSPLIT(GG58,","))&amp;",",","&amp;SUBSTITUTE(input_modality," ","")&amp;",")))&gt;0)),IF(GI58="",TRUE,IF(input_modality="",FALSE,SUMPRODUCT(--ISNUMBER(SEARCH(","&amp;TRIM(TEXTSPLIT(GI58,","))&amp;",",","&amp;SUBSTITUTE(input_modality," ","")&amp;",")))=COUNTA(TEXTSPLIT(GI58,",")))))</f>
        <v/>
      </c>
      <c r="JL58" s="19">
        <f>AND(IF(GK58="",TRUE,IF(input_organizer="",FALSE,SUMPRODUCT(--ISNUMBER(SEARCH(","&amp;TRIM(TEXTSPLIT(GK58,","))&amp;",",","&amp;SUBSTITUTE(input_organizer," ","")&amp;",")))&gt;0)),IF(GM58="",TRUE,IF(input_organizer="",FALSE,SUMPRODUCT(--ISNUMBER(SEARCH(","&amp;TRIM(TEXTSPLIT(GM58,","))&amp;",",","&amp;SUBSTITUTE(input_organizer," ","")&amp;",")))=COUNTA(TEXTSPLIT(GM58,",")))),IF(GO58="",TRUE,IF(input_organizer="",TRUE,SUMPRODUCT(--ISNUMBER(SEARCH(","&amp;TRIM(TEXTSPLIT(GO58,","))&amp;",",","&amp;SUBSTITUTE(input_organizer," ","")&amp;",")))=0)),IF(GQ58="",TRUE,IF(input_organizer="",FALSE,SUMPRODUCT(--ISNUMBER(SEARCH(","&amp;TRIM(TEXTSPLIT(GQ58,","))&amp;",",","&amp;SUBSTITUTE(input_organizer," ","")&amp;",")))&gt;0)),IF(GS58="",TRUE,IF(input_organizer="",FALSE,SUMPRODUCT(--ISNUMBER(SEARCH(","&amp;TRIM(TEXTSPLIT(GS58,","))&amp;",",","&amp;SUBSTITUTE(input_organizer," ","")&amp;",")))=COUNTA(TEXTSPLIT(GS58,",")))))</f>
        <v/>
      </c>
      <c r="JM58" s="19">
        <f>AND(IF(GU58="",TRUE,IF(input_profile_type="",FALSE,SUMPRODUCT(--ISNUMBER(SEARCH(","&amp;TRIM(TEXTSPLIT(GU58,","))&amp;",",","&amp;SUBSTITUTE(input_profile_type," ","")&amp;",")))&gt;0)),IF(GW58="",TRUE,IF(input_profile_type="",FALSE,SUMPRODUCT(--ISNUMBER(SEARCH(","&amp;TRIM(TEXTSPLIT(GW58,","))&amp;",",","&amp;SUBSTITUTE(input_profile_type," ","")&amp;",")))=COUNTA(TEXTSPLIT(GW58,",")))),IF(GY58="",TRUE,IF(input_profile_type="",TRUE,SUMPRODUCT(--ISNUMBER(SEARCH(","&amp;TRIM(TEXTSPLIT(GY58,","))&amp;",",","&amp;SUBSTITUTE(input_profile_type," ","")&amp;",")))=0)),IF(HA58="",TRUE,IF(input_profile_type="",FALSE,SUMPRODUCT(--ISNUMBER(SEARCH(","&amp;TRIM(TEXTSPLIT(HA58,","))&amp;",",","&amp;SUBSTITUTE(input_profile_type," ","")&amp;",")))&gt;0)),IF(HC58="",TRUE,IF(input_profile_type="",FALSE,SUMPRODUCT(--ISNUMBER(SEARCH(","&amp;TRIM(TEXTSPLIT(HC58,","))&amp;",",","&amp;SUBSTITUTE(input_profile_type," ","")&amp;",")))=COUNTA(TEXTSPLIT(HC58,",")))))</f>
        <v/>
      </c>
      <c r="JN58" s="19">
        <f>AND(IF(HE58="",TRUE,IF(input_program="",FALSE,SUMPRODUCT(--ISNUMBER(SEARCH(","&amp;TRIM(TEXTSPLIT(HE58,","))&amp;",",","&amp;SUBSTITUTE(input_program," ","")&amp;",")))&gt;0)),IF(HG58="",TRUE,IF(input_program="",FALSE,SUMPRODUCT(--ISNUMBER(SEARCH(","&amp;TRIM(TEXTSPLIT(HG58,","))&amp;",",","&amp;SUBSTITUTE(input_program," ","")&amp;",")))=COUNTA(TEXTSPLIT(HG58,",")))),IF(HI58="",TRUE,IF(input_program="",TRUE,SUMPRODUCT(--ISNUMBER(SEARCH(","&amp;TRIM(TEXTSPLIT(HI58,","))&amp;",",","&amp;SUBSTITUTE(input_program," ","")&amp;",")))=0)),IF(HK58="",TRUE,IF(input_program="",FALSE,SUMPRODUCT(--ISNUMBER(SEARCH(","&amp;TRIM(TEXTSPLIT(HK58,","))&amp;",",","&amp;SUBSTITUTE(input_program," ","")&amp;",")))&gt;0)),IF(HM58="",TRUE,IF(input_program="",FALSE,SUMPRODUCT(--ISNUMBER(SEARCH(","&amp;TRIM(TEXTSPLIT(HM58,","))&amp;",",","&amp;SUBSTITUTE(input_program," ","")&amp;",")))=COUNTA(TEXTSPLIT(HM58,",")))))</f>
        <v/>
      </c>
      <c r="JO58" s="19">
        <f>AND(IF(HO58="",TRUE,IF(input_story_categories="",FALSE,SUMPRODUCT(--ISNUMBER(SEARCH(","&amp;TRIM(TEXTSPLIT(HO58,","))&amp;",",","&amp;SUBSTITUTE(input_story_categories," ","")&amp;",")))&gt;0)),IF(HQ58="",TRUE,IF(input_story_categories="",FALSE,SUMPRODUCT(--ISNUMBER(SEARCH(","&amp;TRIM(TEXTSPLIT(HQ58,","))&amp;",",","&amp;SUBSTITUTE(input_story_categories," ","")&amp;",")))=COUNTA(TEXTSPLIT(HQ58,",")))),IF(HS58="",TRUE,IF(input_story_categories="",TRUE,SUMPRODUCT(--ISNUMBER(SEARCH(","&amp;TRIM(TEXTSPLIT(HS58,","))&amp;",",","&amp;SUBSTITUTE(input_story_categories," ","")&amp;",")))=0)),IF(HU58="",TRUE,IF(input_story_categories="",FALSE,SUMPRODUCT(--ISNUMBER(SEARCH(","&amp;TRIM(TEXTSPLIT(HU58,","))&amp;",",","&amp;SUBSTITUTE(input_story_categories," ","")&amp;",")))&gt;0)),IF(HW58="",TRUE,IF(input_story_categories="",FALSE,SUMPRODUCT(--ISNUMBER(SEARCH(","&amp;TRIM(TEXTSPLIT(HW58,","))&amp;",",","&amp;SUBSTITUTE(input_story_categories," ","")&amp;",")))=COUNTA(TEXTSPLIT(HW58,",")))))</f>
        <v/>
      </c>
      <c r="JP58" s="19">
        <f>AND(IF(HY58="",TRUE,IF(input_story_type="",FALSE,SUMPRODUCT(--ISNUMBER(SEARCH(","&amp;TRIM(TEXTSPLIT(HY58,","))&amp;",",","&amp;SUBSTITUTE(input_story_type," ","")&amp;",")))&gt;0)),IF(IA58="",TRUE,IF(input_story_type="",FALSE,SUMPRODUCT(--ISNUMBER(SEARCH(","&amp;TRIM(TEXTSPLIT(IA58,","))&amp;",",","&amp;SUBSTITUTE(input_story_type," ","")&amp;",")))=COUNTA(TEXTSPLIT(IA58,",")))),IF(IC58="",TRUE,IF(input_story_type="",TRUE,SUMPRODUCT(--ISNUMBER(SEARCH(","&amp;TRIM(TEXTSPLIT(IC58,","))&amp;",",","&amp;SUBSTITUTE(input_story_type," ","")&amp;",")))=0)),IF(IE58="",TRUE,IF(input_story_type="",FALSE,SUMPRODUCT(--ISNUMBER(SEARCH(","&amp;TRIM(TEXTSPLIT(IE58,","))&amp;",",","&amp;SUBSTITUTE(input_story_type," ","")&amp;",")))&gt;0)),IF(IG58="",TRUE,IF(input_story_type="",FALSE,SUMPRODUCT(--ISNUMBER(SEARCH(","&amp;TRIM(TEXTSPLIT(IG58,","))&amp;",",","&amp;SUBSTITUTE(input_story_type," ","")&amp;",")))=COUNTA(TEXTSPLIT(IG58,",")))))</f>
        <v/>
      </c>
      <c r="JQ58" s="19">
        <f>AND(IF(II58="",TRUE,IF(input_topics="",FALSE,SUMPRODUCT(--ISNUMBER(SEARCH(","&amp;TRIM(TEXTSPLIT(II58,","))&amp;",",","&amp;SUBSTITUTE(input_topics," ","")&amp;",")))&gt;0)),IF(IK58="",TRUE,IF(input_topics="",FALSE,SUMPRODUCT(--ISNUMBER(SEARCH(","&amp;TRIM(TEXTSPLIT(IK58,","))&amp;",",","&amp;SUBSTITUTE(input_topics," ","")&amp;",")))=COUNTA(TEXTSPLIT(IK58,",")))),IF(IM58="",TRUE,IF(input_topics="",TRUE,SUMPRODUCT(--ISNUMBER(SEARCH(","&amp;TRIM(TEXTSPLIT(IM58,","))&amp;",",","&amp;SUBSTITUTE(input_topics," ","")&amp;",")))=0)),IF(IO58="",TRUE,IF(input_topics="",FALSE,SUMPRODUCT(--ISNUMBER(SEARCH(","&amp;TRIM(TEXTSPLIT(IO58,","))&amp;",",","&amp;SUBSTITUTE(input_topics," ","")&amp;",")))&gt;0)),IF(IQ58="",TRUE,IF(input_topics="",FALSE,SUMPRODUCT(--ISNUMBER(SEARCH(","&amp;TRIM(TEXTSPLIT(IQ58,","))&amp;",",","&amp;SUBSTITUTE(input_topics," ","")&amp;",")))=COUNTA(TEXTSPLIT(IQ58,",")))))</f>
        <v/>
      </c>
    </row>
    <row r="59">
      <c r="A59" s="24">
        <f>IF(NOT(IS59),"Excluded",IF(AND(IT59,IU59,IV59,IW59,IX59,IY59,IZ59,JA59,JB59,JC59,JD59,JE59,JF59,JG59,JH59,JI59,JJ59,JK59,JL59,JM59,JN59,JO59,JP59,JQ59),IF(I59&gt;0,"Eligible but limited","Will appear"),"Excluded"))</f>
        <v/>
      </c>
      <c r="B59" s="24" t="inlineStr">
        <is>
          <t>All stories</t>
        </is>
      </c>
      <c r="C59" s="27" t="inlineStr">
        <is>
          <t>/about/headlines</t>
        </is>
      </c>
      <c r="D59" s="24" t="inlineStr">
        <is>
          <t>/about/headlines</t>
        </is>
      </c>
      <c r="E59" s="24" t="n">
        <v>1</v>
      </c>
      <c r="F59" s="24" t="inlineStr">
        <is>
          <t>story</t>
        </is>
      </c>
      <c r="G59" s="24" t="inlineStr">
        <is>
          <t>stories_teaser_cards</t>
        </is>
      </c>
      <c r="H59" s="24" t="inlineStr">
        <is>
          <t>embed_all</t>
        </is>
      </c>
      <c r="I59" s="24" t="n">
        <v>3</v>
      </c>
      <c r="J59" s="24" t="inlineStr">
        <is>
          <t>View/config rules</t>
        </is>
      </c>
      <c r="K59" s="24" t="inlineStr">
        <is>
          <t>Page placement</t>
        </is>
      </c>
      <c r="L59" s="24" t="inlineStr">
        <is>
          <t>Content type: story; Limited to 3 item(s); Source: View/config rules</t>
        </is>
      </c>
      <c r="IS59" s="19">
        <f>IF(input_content_type="",FALSE,ISNUMBER(SEARCH(","&amp;LOWER(input_content_type)&amp;",",","&amp;LOWER(SUBSTITUTE(F59," ",""))&amp;",")))</f>
        <v/>
      </c>
      <c r="IT59" s="19">
        <f>AND(IF(M59="",TRUE,IF(input_affiliations="",FALSE,SUMPRODUCT(--ISNUMBER(SEARCH(","&amp;TRIM(TEXTSPLIT(M59,","))&amp;",",","&amp;SUBSTITUTE(input_affiliations," ","")&amp;",")))&gt;0)),IF(O59="",TRUE,IF(input_affiliations="",FALSE,SUMPRODUCT(--ISNUMBER(SEARCH(","&amp;TRIM(TEXTSPLIT(O59,","))&amp;",",","&amp;SUBSTITUTE(input_affiliations," ","")&amp;",")))=COUNTA(TEXTSPLIT(O59,",")))),IF(Q59="",TRUE,IF(input_affiliations="",TRUE,SUMPRODUCT(--ISNUMBER(SEARCH(","&amp;TRIM(TEXTSPLIT(Q59,","))&amp;",",","&amp;SUBSTITUTE(input_affiliations," ","")&amp;",")))=0)),IF(S59="",TRUE,IF(input_affiliations="",FALSE,SUMPRODUCT(--ISNUMBER(SEARCH(","&amp;TRIM(TEXTSPLIT(S59,","))&amp;",",","&amp;SUBSTITUTE(input_affiliations," ","")&amp;",")))&gt;0)),IF(U59="",TRUE,IF(input_affiliations="",FALSE,SUMPRODUCT(--ISNUMBER(SEARCH(","&amp;TRIM(TEXTSPLIT(U59,","))&amp;",",","&amp;SUBSTITUTE(input_affiliations," ","")&amp;",")))=COUNTA(TEXTSPLIT(U59,",")))))</f>
        <v/>
      </c>
      <c r="IU59" s="19">
        <f>AND(IF(W59="",TRUE,IF(input_announcement_category="",FALSE,SUMPRODUCT(--ISNUMBER(SEARCH(","&amp;TRIM(TEXTSPLIT(W59,","))&amp;",",","&amp;SUBSTITUTE(input_announcement_category," ","")&amp;",")))&gt;0)),IF(Y59="",TRUE,IF(input_announcement_category="",FALSE,SUMPRODUCT(--ISNUMBER(SEARCH(","&amp;TRIM(TEXTSPLIT(Y59,","))&amp;",",","&amp;SUBSTITUTE(input_announcement_category," ","")&amp;",")))=COUNTA(TEXTSPLIT(Y59,",")))),IF(AA59="",TRUE,IF(input_announcement_category="",TRUE,SUMPRODUCT(--ISNUMBER(SEARCH(","&amp;TRIM(TEXTSPLIT(AA59,","))&amp;",",","&amp;SUBSTITUTE(input_announcement_category," ","")&amp;",")))=0)),IF(AC59="",TRUE,IF(input_announcement_category="",FALSE,SUMPRODUCT(--ISNUMBER(SEARCH(","&amp;TRIM(TEXTSPLIT(AC59,","))&amp;",",","&amp;SUBSTITUTE(input_announcement_category," ","")&amp;",")))&gt;0)),IF(AE59="",TRUE,IF(input_announcement_category="",FALSE,SUMPRODUCT(--ISNUMBER(SEARCH(","&amp;TRIM(TEXTSPLIT(AE59,","))&amp;",",","&amp;SUBSTITUTE(input_announcement_category," ","")&amp;",")))=COUNTA(TEXTSPLIT(AE59,",")))))</f>
        <v/>
      </c>
      <c r="IV59" s="19">
        <f>AND(IF(AG59="",TRUE,IF(input_area_of_focus="",FALSE,SUMPRODUCT(--ISNUMBER(SEARCH(","&amp;TRIM(TEXTSPLIT(AG59,","))&amp;",",","&amp;SUBSTITUTE(input_area_of_focus," ","")&amp;",")))&gt;0)),IF(AI59="",TRUE,IF(input_area_of_focus="",FALSE,SUMPRODUCT(--ISNUMBER(SEARCH(","&amp;TRIM(TEXTSPLIT(AI59,","))&amp;",",","&amp;SUBSTITUTE(input_area_of_focus," ","")&amp;",")))=COUNTA(TEXTSPLIT(AI59,",")))),IF(AK59="",TRUE,IF(input_area_of_focus="",TRUE,SUMPRODUCT(--ISNUMBER(SEARCH(","&amp;TRIM(TEXTSPLIT(AK59,","))&amp;",",","&amp;SUBSTITUTE(input_area_of_focus," ","")&amp;",")))=0)),IF(AM59="",TRUE,IF(input_area_of_focus="",FALSE,SUMPRODUCT(--ISNUMBER(SEARCH(","&amp;TRIM(TEXTSPLIT(AM59,","))&amp;",",","&amp;SUBSTITUTE(input_area_of_focus," ","")&amp;",")))&gt;0)),IF(AO59="",TRUE,IF(input_area_of_focus="",FALSE,SUMPRODUCT(--ISNUMBER(SEARCH(","&amp;TRIM(TEXTSPLIT(AO59,","))&amp;",",","&amp;SUBSTITUTE(input_area_of_focus," ","")&amp;",")))=COUNTA(TEXTSPLIT(AO59,",")))))</f>
        <v/>
      </c>
      <c r="IW59" s="19">
        <f>AND(IF(AQ59="",TRUE,IF(input_audience="",FALSE,SUMPRODUCT(--ISNUMBER(SEARCH(","&amp;TRIM(TEXTSPLIT(AQ59,","))&amp;",",","&amp;SUBSTITUTE(input_audience," ","")&amp;",")))&gt;0)),IF(AS59="",TRUE,IF(input_audience="",FALSE,SUMPRODUCT(--ISNUMBER(SEARCH(","&amp;TRIM(TEXTSPLIT(AS59,","))&amp;",",","&amp;SUBSTITUTE(input_audience," ","")&amp;",")))=COUNTA(TEXTSPLIT(AS59,",")))),IF(AU59="",TRUE,IF(input_audience="",TRUE,SUMPRODUCT(--ISNUMBER(SEARCH(","&amp;TRIM(TEXTSPLIT(AU59,","))&amp;",",","&amp;SUBSTITUTE(input_audience," ","")&amp;",")))=0)),IF(AW59="",TRUE,IF(input_audience="",FALSE,SUMPRODUCT(--ISNUMBER(SEARCH(","&amp;TRIM(TEXTSPLIT(AW59,","))&amp;",",","&amp;SUBSTITUTE(input_audience," ","")&amp;",")))&gt;0)),IF(AY59="",TRUE,IF(input_audience="",FALSE,SUMPRODUCT(--ISNUMBER(SEARCH(","&amp;TRIM(TEXTSPLIT(AY59,","))&amp;",",","&amp;SUBSTITUTE(input_audience," ","")&amp;",")))=COUNTA(TEXTSPLIT(AY59,",")))))</f>
        <v/>
      </c>
      <c r="IX59" s="19">
        <f>AND(IF(BA59="",TRUE,IF(input_challenge_opportunities="",FALSE,SUMPRODUCT(--ISNUMBER(SEARCH(","&amp;TRIM(TEXTSPLIT(BA59,","))&amp;",",","&amp;SUBSTITUTE(input_challenge_opportunities," ","")&amp;",")))&gt;0)),IF(BC59="",TRUE,IF(input_challenge_opportunities="",FALSE,SUMPRODUCT(--ISNUMBER(SEARCH(","&amp;TRIM(TEXTSPLIT(BC59,","))&amp;",",","&amp;SUBSTITUTE(input_challenge_opportunities," ","")&amp;",")))=COUNTA(TEXTSPLIT(BC59,",")))),IF(BE59="",TRUE,IF(input_challenge_opportunities="",TRUE,SUMPRODUCT(--ISNUMBER(SEARCH(","&amp;TRIM(TEXTSPLIT(BE59,","))&amp;",",","&amp;SUBSTITUTE(input_challenge_opportunities," ","")&amp;",")))=0)),IF(BG59="",TRUE,IF(input_challenge_opportunities="",FALSE,SUMPRODUCT(--ISNUMBER(SEARCH(","&amp;TRIM(TEXTSPLIT(BG59,","))&amp;",",","&amp;SUBSTITUTE(input_challenge_opportunities," ","")&amp;",")))&gt;0)),IF(BI59="",TRUE,IF(input_challenge_opportunities="",FALSE,SUMPRODUCT(--ISNUMBER(SEARCH(","&amp;TRIM(TEXTSPLIT(BI59,","))&amp;",",","&amp;SUBSTITUTE(input_challenge_opportunities," ","")&amp;",")))=COUNTA(TEXTSPLIT(BI59,",")))))</f>
        <v/>
      </c>
      <c r="IY59" s="19">
        <f>AND(IF(BK59="",TRUE,IF(input_context="",FALSE,SUMPRODUCT(--ISNUMBER(SEARCH(","&amp;TRIM(TEXTSPLIT(BK59,","))&amp;",",","&amp;SUBSTITUTE(input_context," ","")&amp;",")))&gt;0)),IF(BM59="",TRUE,IF(input_context="",FALSE,SUMPRODUCT(--ISNUMBER(SEARCH(","&amp;TRIM(TEXTSPLIT(BM59,","))&amp;",",","&amp;SUBSTITUTE(input_context," ","")&amp;",")))=COUNTA(TEXTSPLIT(BM59,",")))),IF(BO59="",TRUE,IF(input_context="",TRUE,SUMPRODUCT(--ISNUMBER(SEARCH(","&amp;TRIM(TEXTSPLIT(BO59,","))&amp;",",","&amp;SUBSTITUTE(input_context," ","")&amp;",")))=0)),IF(BQ59="",TRUE,IF(input_context="",FALSE,SUMPRODUCT(--ISNUMBER(SEARCH(","&amp;TRIM(TEXTSPLIT(BQ59,","))&amp;",",","&amp;SUBSTITUTE(input_context," ","")&amp;",")))&gt;0)),IF(BS59="",TRUE,IF(input_context="",FALSE,SUMPRODUCT(--ISNUMBER(SEARCH(","&amp;TRIM(TEXTSPLIT(BS59,","))&amp;",",","&amp;SUBSTITUTE(input_context," ","")&amp;",")))=COUNTA(TEXTSPLIT(BS59,",")))))</f>
        <v/>
      </c>
      <c r="IZ59" s="19">
        <f>AND(IF(BU59="",TRUE,IF(input_enews_announcement_type="",FALSE,SUMPRODUCT(--ISNUMBER(SEARCH(","&amp;TRIM(TEXTSPLIT(BU59,","))&amp;",",","&amp;SUBSTITUTE(input_enews_announcement_type," ","")&amp;",")))&gt;0)),IF(BW59="",TRUE,IF(input_enews_announcement_type="",FALSE,SUMPRODUCT(--ISNUMBER(SEARCH(","&amp;TRIM(TEXTSPLIT(BW59,","))&amp;",",","&amp;SUBSTITUTE(input_enews_announcement_type," ","")&amp;",")))=COUNTA(TEXTSPLIT(BW59,",")))),IF(BY59="",TRUE,IF(input_enews_announcement_type="",TRUE,SUMPRODUCT(--ISNUMBER(SEARCH(","&amp;TRIM(TEXTSPLIT(BY59,","))&amp;",",","&amp;SUBSTITUTE(input_enews_announcement_type," ","")&amp;",")))=0)),IF(CA59="",TRUE,IF(input_enews_announcement_type="",FALSE,SUMPRODUCT(--ISNUMBER(SEARCH(","&amp;TRIM(TEXTSPLIT(CA59,","))&amp;",",","&amp;SUBSTITUTE(input_enews_announcement_type," ","")&amp;",")))&gt;0)),IF(CC59="",TRUE,IF(input_enews_announcement_type="",FALSE,SUMPRODUCT(--ISNUMBER(SEARCH(","&amp;TRIM(TEXTSPLIT(CC59,","))&amp;",",","&amp;SUBSTITUTE(input_enews_announcement_type," ","")&amp;",")))=COUNTA(TEXTSPLIT(CC59,",")))))</f>
        <v/>
      </c>
      <c r="JA59" s="19">
        <f>AND(IF(CE59="",TRUE,IF(input_enews_audience="",FALSE,SUMPRODUCT(--ISNUMBER(SEARCH(","&amp;TRIM(TEXTSPLIT(CE59,","))&amp;",",","&amp;SUBSTITUTE(input_enews_audience," ","")&amp;",")))&gt;0)),IF(CG59="",TRUE,IF(input_enews_audience="",FALSE,SUMPRODUCT(--ISNUMBER(SEARCH(","&amp;TRIM(TEXTSPLIT(CG59,","))&amp;",",","&amp;SUBSTITUTE(input_enews_audience," ","")&amp;",")))=COUNTA(TEXTSPLIT(CG59,",")))),IF(CI59="",TRUE,IF(input_enews_audience="",TRUE,SUMPRODUCT(--ISNUMBER(SEARCH(","&amp;TRIM(TEXTSPLIT(CI59,","))&amp;",",","&amp;SUBSTITUTE(input_enews_audience," ","")&amp;",")))=0)),IF(CK59="",TRUE,IF(input_enews_audience="",FALSE,SUMPRODUCT(--ISNUMBER(SEARCH(","&amp;TRIM(TEXTSPLIT(CK59,","))&amp;",",","&amp;SUBSTITUTE(input_enews_audience," ","")&amp;",")))&gt;0)),IF(CM59="",TRUE,IF(input_enews_audience="",FALSE,SUMPRODUCT(--ISNUMBER(SEARCH(","&amp;TRIM(TEXTSPLIT(CM59,","))&amp;",",","&amp;SUBSTITUTE(input_enews_audience," ","")&amp;",")))=COUNTA(TEXTSPLIT(CM59,",")))))</f>
        <v/>
      </c>
      <c r="JB59" s="19">
        <f>AND(IF(CO59="",TRUE,IF(input_event_location="",FALSE,SUMPRODUCT(--ISNUMBER(SEARCH(","&amp;TRIM(TEXTSPLIT(CO59,","))&amp;",",","&amp;SUBSTITUTE(input_event_location," ","")&amp;",")))&gt;0)),IF(CQ59="",TRUE,IF(input_event_location="",FALSE,SUMPRODUCT(--ISNUMBER(SEARCH(","&amp;TRIM(TEXTSPLIT(CQ59,","))&amp;",",","&amp;SUBSTITUTE(input_event_location," ","")&amp;",")))=COUNTA(TEXTSPLIT(CQ59,",")))),IF(CS59="",TRUE,IF(input_event_location="",TRUE,SUMPRODUCT(--ISNUMBER(SEARCH(","&amp;TRIM(TEXTSPLIT(CS59,","))&amp;",",","&amp;SUBSTITUTE(input_event_location," ","")&amp;",")))=0)),IF(CU59="",TRUE,IF(input_event_location="",FALSE,SUMPRODUCT(--ISNUMBER(SEARCH(","&amp;TRIM(TEXTSPLIT(CU59,","))&amp;",",","&amp;SUBSTITUTE(input_event_location," ","")&amp;",")))&gt;0)),IF(CW59="",TRUE,IF(input_event_location="",FALSE,SUMPRODUCT(--ISNUMBER(SEARCH(","&amp;TRIM(TEXTSPLIT(CW59,","))&amp;",",","&amp;SUBSTITUTE(input_event_location," ","")&amp;",")))=COUNTA(TEXTSPLIT(CW59,",")))))</f>
        <v/>
      </c>
      <c r="JC59" s="19">
        <f>AND(IF(CY59="",TRUE,IF(input_event_type="",FALSE,SUMPRODUCT(--ISNUMBER(SEARCH(","&amp;TRIM(TEXTSPLIT(CY59,","))&amp;",",","&amp;SUBSTITUTE(input_event_type," ","")&amp;",")))&gt;0)),IF(DA59="",TRUE,IF(input_event_type="",FALSE,SUMPRODUCT(--ISNUMBER(SEARCH(","&amp;TRIM(TEXTSPLIT(DA59,","))&amp;",",","&amp;SUBSTITUTE(input_event_type," ","")&amp;",")))=COUNTA(TEXTSPLIT(DA59,",")))),IF(DC59="",TRUE,IF(input_event_type="",TRUE,SUMPRODUCT(--ISNUMBER(SEARCH(","&amp;TRIM(TEXTSPLIT(DC59,","))&amp;",",","&amp;SUBSTITUTE(input_event_type," ","")&amp;",")))=0)),IF(DE59="",TRUE,IF(input_event_type="",FALSE,SUMPRODUCT(--ISNUMBER(SEARCH(","&amp;TRIM(TEXTSPLIT(DE59,","))&amp;",",","&amp;SUBSTITUTE(input_event_type," ","")&amp;",")))&gt;0)),IF(DG59="",TRUE,IF(input_event_type="",FALSE,SUMPRODUCT(--ISNUMBER(SEARCH(","&amp;TRIM(TEXTSPLIT(DG59,","))&amp;",",","&amp;SUBSTITUTE(input_event_type," ","")&amp;",")))=COUNTA(TEXTSPLIT(DG59,",")))))</f>
        <v/>
      </c>
      <c r="JD59" s="19">
        <f>AND(IF(DI59="",TRUE,IF(input_executive_education_focus="",FALSE,SUMPRODUCT(--ISNUMBER(SEARCH(","&amp;TRIM(TEXTSPLIT(DI59,","))&amp;",",","&amp;SUBSTITUTE(input_executive_education_focus," ","")&amp;",")))&gt;0)),IF(DK59="",TRUE,IF(input_executive_education_focus="",FALSE,SUMPRODUCT(--ISNUMBER(SEARCH(","&amp;TRIM(TEXTSPLIT(DK59,","))&amp;",",","&amp;SUBSTITUTE(input_executive_education_focus," ","")&amp;",")))=COUNTA(TEXTSPLIT(DK59,",")))),IF(DM59="",TRUE,IF(input_executive_education_focus="",TRUE,SUMPRODUCT(--ISNUMBER(SEARCH(","&amp;TRIM(TEXTSPLIT(DM59,","))&amp;",",","&amp;SUBSTITUTE(input_executive_education_focus," ","")&amp;",")))=0)),IF(DO59="",TRUE,IF(input_executive_education_focus="",FALSE,SUMPRODUCT(--ISNUMBER(SEARCH(","&amp;TRIM(TEXTSPLIT(DO59,","))&amp;",",","&amp;SUBSTITUTE(input_executive_education_focus," ","")&amp;",")))&gt;0)),IF(DQ59="",TRUE,IF(input_executive_education_focus="",FALSE,SUMPRODUCT(--ISNUMBER(SEARCH(","&amp;TRIM(TEXTSPLIT(DQ59,","))&amp;",",","&amp;SUBSTITUTE(input_executive_education_focus," ","")&amp;",")))=COUNTA(TEXTSPLIT(DQ59,",")))))</f>
        <v/>
      </c>
      <c r="JE59" s="19">
        <f>AND(IF(DS59="",TRUE,IF(input_faculty_category="",FALSE,SUMPRODUCT(--ISNUMBER(SEARCH(","&amp;TRIM(TEXTSPLIT(DS59,","))&amp;",",","&amp;SUBSTITUTE(input_faculty_category," ","")&amp;",")))&gt;0)),IF(DU59="",TRUE,IF(input_faculty_category="",FALSE,SUMPRODUCT(--ISNUMBER(SEARCH(","&amp;TRIM(TEXTSPLIT(DU59,","))&amp;",",","&amp;SUBSTITUTE(input_faculty_category," ","")&amp;",")))=COUNTA(TEXTSPLIT(DU59,",")))),IF(DW59="",TRUE,IF(input_faculty_category="",TRUE,SUMPRODUCT(--ISNUMBER(SEARCH(","&amp;TRIM(TEXTSPLIT(DW59,","))&amp;",",","&amp;SUBSTITUTE(input_faculty_category," ","")&amp;",")))=0)),IF(DY59="",TRUE,IF(input_faculty_category="",FALSE,SUMPRODUCT(--ISNUMBER(SEARCH(","&amp;TRIM(TEXTSPLIT(DY59,","))&amp;",",","&amp;SUBSTITUTE(input_faculty_category," ","")&amp;",")))&gt;0)),IF(EA59="",TRUE,IF(input_faculty_category="",FALSE,SUMPRODUCT(--ISNUMBER(SEARCH(","&amp;TRIM(TEXTSPLIT(EA59,","))&amp;",",","&amp;SUBSTITUTE(input_faculty_category," ","")&amp;",")))=COUNTA(TEXTSPLIT(EA59,",")))))</f>
        <v/>
      </c>
      <c r="JF59" s="19">
        <f>AND(IF(EC59="",TRUE,IF(input_faculty_discipline="",FALSE,SUMPRODUCT(--ISNUMBER(SEARCH(","&amp;TRIM(TEXTSPLIT(EC59,","))&amp;",",","&amp;SUBSTITUTE(input_faculty_discipline," ","")&amp;",")))&gt;0)),IF(EE59="",TRUE,IF(input_faculty_discipline="",FALSE,SUMPRODUCT(--ISNUMBER(SEARCH(","&amp;TRIM(TEXTSPLIT(EE59,","))&amp;",",","&amp;SUBSTITUTE(input_faculty_discipline," ","")&amp;",")))=COUNTA(TEXTSPLIT(EE59,",")))),IF(EG59="",TRUE,IF(input_faculty_discipline="",TRUE,SUMPRODUCT(--ISNUMBER(SEARCH(","&amp;TRIM(TEXTSPLIT(EG59,","))&amp;",",","&amp;SUBSTITUTE(input_faculty_discipline," ","")&amp;",")))=0)),IF(EI59="",TRUE,IF(input_faculty_discipline="",FALSE,SUMPRODUCT(--ISNUMBER(SEARCH(","&amp;TRIM(TEXTSPLIT(EI59,","))&amp;",",","&amp;SUBSTITUTE(input_faculty_discipline," ","")&amp;",")))&gt;0)),IF(EK59="",TRUE,IF(input_faculty_discipline="",FALSE,SUMPRODUCT(--ISNUMBER(SEARCH(","&amp;TRIM(TEXTSPLIT(EK59,","))&amp;",",","&amp;SUBSTITUTE(input_faculty_discipline," ","")&amp;",")))=COUNTA(TEXTSPLIT(EK59,",")))))</f>
        <v/>
      </c>
      <c r="JG59" s="19">
        <f>AND(IF(EM59="",TRUE,IF(input_faculty_expertise="",FALSE,SUMPRODUCT(--ISNUMBER(SEARCH(","&amp;TRIM(TEXTSPLIT(EM59,","))&amp;",",","&amp;SUBSTITUTE(input_faculty_expertise," ","")&amp;",")))&gt;0)),IF(EO59="",TRUE,IF(input_faculty_expertise="",FALSE,SUMPRODUCT(--ISNUMBER(SEARCH(","&amp;TRIM(TEXTSPLIT(EO59,","))&amp;",",","&amp;SUBSTITUTE(input_faculty_expertise," ","")&amp;",")))=COUNTA(TEXTSPLIT(EO59,",")))),IF(EQ59="",TRUE,IF(input_faculty_expertise="",TRUE,SUMPRODUCT(--ISNUMBER(SEARCH(","&amp;TRIM(TEXTSPLIT(EQ59,","))&amp;",",","&amp;SUBSTITUTE(input_faculty_expertise," ","")&amp;",")))=0)),IF(ES59="",TRUE,IF(input_faculty_expertise="",FALSE,SUMPRODUCT(--ISNUMBER(SEARCH(","&amp;TRIM(TEXTSPLIT(ES59,","))&amp;",",","&amp;SUBSTITUTE(input_faculty_expertise," ","")&amp;",")))&gt;0)),IF(EU59="",TRUE,IF(input_faculty_expertise="",FALSE,SUMPRODUCT(--ISNUMBER(SEARCH(","&amp;TRIM(TEXTSPLIT(EU59,","))&amp;",",","&amp;SUBSTITUTE(input_faculty_expertise," ","")&amp;",")))=COUNTA(TEXTSPLIT(EU59,",")))))</f>
        <v/>
      </c>
      <c r="JH59" s="19">
        <f>AND(IF(EW59="",TRUE,IF(input_global_network_school="",FALSE,SUMPRODUCT(--ISNUMBER(SEARCH(","&amp;TRIM(TEXTSPLIT(EW59,","))&amp;",",","&amp;SUBSTITUTE(input_global_network_school," ","")&amp;",")))&gt;0)),IF(EY59="",TRUE,IF(input_global_network_school="",FALSE,SUMPRODUCT(--ISNUMBER(SEARCH(","&amp;TRIM(TEXTSPLIT(EY59,","))&amp;",",","&amp;SUBSTITUTE(input_global_network_school," ","")&amp;",")))=COUNTA(TEXTSPLIT(EY59,",")))),IF(FA59="",TRUE,IF(input_global_network_school="",TRUE,SUMPRODUCT(--ISNUMBER(SEARCH(","&amp;TRIM(TEXTSPLIT(FA59,","))&amp;",",","&amp;SUBSTITUTE(input_global_network_school," ","")&amp;",")))=0)),IF(FC59="",TRUE,IF(input_global_network_school="",FALSE,SUMPRODUCT(--ISNUMBER(SEARCH(","&amp;TRIM(TEXTSPLIT(FC59,","))&amp;",",","&amp;SUBSTITUTE(input_global_network_school," ","")&amp;",")))&gt;0)),IF(FE59="",TRUE,IF(input_global_network_school="",FALSE,SUMPRODUCT(--ISNUMBER(SEARCH(","&amp;TRIM(TEXTSPLIT(FE59,","))&amp;",",","&amp;SUBSTITUTE(input_global_network_school," ","")&amp;",")))=COUNTA(TEXTSPLIT(FE59,",")))))</f>
        <v/>
      </c>
      <c r="JI59" s="19">
        <f>AND(IF(FG59="",TRUE,IF(input_industry="",FALSE,SUMPRODUCT(--ISNUMBER(SEARCH(","&amp;TRIM(TEXTSPLIT(FG59,","))&amp;",",","&amp;SUBSTITUTE(input_industry," ","")&amp;",")))&gt;0)),IF(FI59="",TRUE,IF(input_industry="",FALSE,SUMPRODUCT(--ISNUMBER(SEARCH(","&amp;TRIM(TEXTSPLIT(FI59,","))&amp;",",","&amp;SUBSTITUTE(input_industry," ","")&amp;",")))=COUNTA(TEXTSPLIT(FI59,",")))),IF(FK59="",TRUE,IF(input_industry="",TRUE,SUMPRODUCT(--ISNUMBER(SEARCH(","&amp;TRIM(TEXTSPLIT(FK59,","))&amp;",",","&amp;SUBSTITUTE(input_industry," ","")&amp;",")))=0)),IF(FM59="",TRUE,IF(input_industry="",FALSE,SUMPRODUCT(--ISNUMBER(SEARCH(","&amp;TRIM(TEXTSPLIT(FM59,","))&amp;",",","&amp;SUBSTITUTE(input_industry," ","")&amp;",")))&gt;0)),IF(FO59="",TRUE,IF(input_industry="",FALSE,SUMPRODUCT(--ISNUMBER(SEARCH(","&amp;TRIM(TEXTSPLIT(FO59,","))&amp;",",","&amp;SUBSTITUTE(input_industry," ","")&amp;",")))=COUNTA(TEXTSPLIT(FO59,",")))))</f>
        <v/>
      </c>
      <c r="JJ59" s="19">
        <f>AND(IF(FQ59="",TRUE,IF(input_location="",FALSE,SUMPRODUCT(--ISNUMBER(SEARCH(","&amp;TRIM(TEXTSPLIT(FQ59,","))&amp;",",","&amp;SUBSTITUTE(input_location," ","")&amp;",")))&gt;0)),IF(FS59="",TRUE,IF(input_location="",FALSE,SUMPRODUCT(--ISNUMBER(SEARCH(","&amp;TRIM(TEXTSPLIT(FS59,","))&amp;",",","&amp;SUBSTITUTE(input_location," ","")&amp;",")))=COUNTA(TEXTSPLIT(FS59,",")))),IF(FU59="",TRUE,IF(input_location="",TRUE,SUMPRODUCT(--ISNUMBER(SEARCH(","&amp;TRIM(TEXTSPLIT(FU59,","))&amp;",",","&amp;SUBSTITUTE(input_location," ","")&amp;",")))=0)),IF(FW59="",TRUE,IF(input_location="",FALSE,SUMPRODUCT(--ISNUMBER(SEARCH(","&amp;TRIM(TEXTSPLIT(FW59,","))&amp;",",","&amp;SUBSTITUTE(input_location," ","")&amp;",")))&gt;0)),IF(FY59="",TRUE,IF(input_location="",FALSE,SUMPRODUCT(--ISNUMBER(SEARCH(","&amp;TRIM(TEXTSPLIT(FY59,","))&amp;",",","&amp;SUBSTITUTE(input_location," ","")&amp;",")))=COUNTA(TEXTSPLIT(FY59,",")))))</f>
        <v/>
      </c>
      <c r="JK59" s="19">
        <f>AND(IF(GA59="",TRUE,IF(input_modality="",FALSE,SUMPRODUCT(--ISNUMBER(SEARCH(","&amp;TRIM(TEXTSPLIT(GA59,","))&amp;",",","&amp;SUBSTITUTE(input_modality," ","")&amp;",")))&gt;0)),IF(GC59="",TRUE,IF(input_modality="",FALSE,SUMPRODUCT(--ISNUMBER(SEARCH(","&amp;TRIM(TEXTSPLIT(GC59,","))&amp;",",","&amp;SUBSTITUTE(input_modality," ","")&amp;",")))=COUNTA(TEXTSPLIT(GC59,",")))),IF(GE59="",TRUE,IF(input_modality="",TRUE,SUMPRODUCT(--ISNUMBER(SEARCH(","&amp;TRIM(TEXTSPLIT(GE59,","))&amp;",",","&amp;SUBSTITUTE(input_modality," ","")&amp;",")))=0)),IF(GG59="",TRUE,IF(input_modality="",FALSE,SUMPRODUCT(--ISNUMBER(SEARCH(","&amp;TRIM(TEXTSPLIT(GG59,","))&amp;",",","&amp;SUBSTITUTE(input_modality," ","")&amp;",")))&gt;0)),IF(GI59="",TRUE,IF(input_modality="",FALSE,SUMPRODUCT(--ISNUMBER(SEARCH(","&amp;TRIM(TEXTSPLIT(GI59,","))&amp;",",","&amp;SUBSTITUTE(input_modality," ","")&amp;",")))=COUNTA(TEXTSPLIT(GI59,",")))))</f>
        <v/>
      </c>
      <c r="JL59" s="19">
        <f>AND(IF(GK59="",TRUE,IF(input_organizer="",FALSE,SUMPRODUCT(--ISNUMBER(SEARCH(","&amp;TRIM(TEXTSPLIT(GK59,","))&amp;",",","&amp;SUBSTITUTE(input_organizer," ","")&amp;",")))&gt;0)),IF(GM59="",TRUE,IF(input_organizer="",FALSE,SUMPRODUCT(--ISNUMBER(SEARCH(","&amp;TRIM(TEXTSPLIT(GM59,","))&amp;",",","&amp;SUBSTITUTE(input_organizer," ","")&amp;",")))=COUNTA(TEXTSPLIT(GM59,",")))),IF(GO59="",TRUE,IF(input_organizer="",TRUE,SUMPRODUCT(--ISNUMBER(SEARCH(","&amp;TRIM(TEXTSPLIT(GO59,","))&amp;",",","&amp;SUBSTITUTE(input_organizer," ","")&amp;",")))=0)),IF(GQ59="",TRUE,IF(input_organizer="",FALSE,SUMPRODUCT(--ISNUMBER(SEARCH(","&amp;TRIM(TEXTSPLIT(GQ59,","))&amp;",",","&amp;SUBSTITUTE(input_organizer," ","")&amp;",")))&gt;0)),IF(GS59="",TRUE,IF(input_organizer="",FALSE,SUMPRODUCT(--ISNUMBER(SEARCH(","&amp;TRIM(TEXTSPLIT(GS59,","))&amp;",",","&amp;SUBSTITUTE(input_organizer," ","")&amp;",")))=COUNTA(TEXTSPLIT(GS59,",")))))</f>
        <v/>
      </c>
      <c r="JM59" s="19">
        <f>AND(IF(GU59="",TRUE,IF(input_profile_type="",FALSE,SUMPRODUCT(--ISNUMBER(SEARCH(","&amp;TRIM(TEXTSPLIT(GU59,","))&amp;",",","&amp;SUBSTITUTE(input_profile_type," ","")&amp;",")))&gt;0)),IF(GW59="",TRUE,IF(input_profile_type="",FALSE,SUMPRODUCT(--ISNUMBER(SEARCH(","&amp;TRIM(TEXTSPLIT(GW59,","))&amp;",",","&amp;SUBSTITUTE(input_profile_type," ","")&amp;",")))=COUNTA(TEXTSPLIT(GW59,",")))),IF(GY59="",TRUE,IF(input_profile_type="",TRUE,SUMPRODUCT(--ISNUMBER(SEARCH(","&amp;TRIM(TEXTSPLIT(GY59,","))&amp;",",","&amp;SUBSTITUTE(input_profile_type," ","")&amp;",")))=0)),IF(HA59="",TRUE,IF(input_profile_type="",FALSE,SUMPRODUCT(--ISNUMBER(SEARCH(","&amp;TRIM(TEXTSPLIT(HA59,","))&amp;",",","&amp;SUBSTITUTE(input_profile_type," ","")&amp;",")))&gt;0)),IF(HC59="",TRUE,IF(input_profile_type="",FALSE,SUMPRODUCT(--ISNUMBER(SEARCH(","&amp;TRIM(TEXTSPLIT(HC59,","))&amp;",",","&amp;SUBSTITUTE(input_profile_type," ","")&amp;",")))=COUNTA(TEXTSPLIT(HC59,",")))))</f>
        <v/>
      </c>
      <c r="JN59" s="19">
        <f>AND(IF(HE59="",TRUE,IF(input_program="",FALSE,SUMPRODUCT(--ISNUMBER(SEARCH(","&amp;TRIM(TEXTSPLIT(HE59,","))&amp;",",","&amp;SUBSTITUTE(input_program," ","")&amp;",")))&gt;0)),IF(HG59="",TRUE,IF(input_program="",FALSE,SUMPRODUCT(--ISNUMBER(SEARCH(","&amp;TRIM(TEXTSPLIT(HG59,","))&amp;",",","&amp;SUBSTITUTE(input_program," ","")&amp;",")))=COUNTA(TEXTSPLIT(HG59,",")))),IF(HI59="",TRUE,IF(input_program="",TRUE,SUMPRODUCT(--ISNUMBER(SEARCH(","&amp;TRIM(TEXTSPLIT(HI59,","))&amp;",",","&amp;SUBSTITUTE(input_program," ","")&amp;",")))=0)),IF(HK59="",TRUE,IF(input_program="",FALSE,SUMPRODUCT(--ISNUMBER(SEARCH(","&amp;TRIM(TEXTSPLIT(HK59,","))&amp;",",","&amp;SUBSTITUTE(input_program," ","")&amp;",")))&gt;0)),IF(HM59="",TRUE,IF(input_program="",FALSE,SUMPRODUCT(--ISNUMBER(SEARCH(","&amp;TRIM(TEXTSPLIT(HM59,","))&amp;",",","&amp;SUBSTITUTE(input_program," ","")&amp;",")))=COUNTA(TEXTSPLIT(HM59,",")))))</f>
        <v/>
      </c>
      <c r="JO59" s="19">
        <f>AND(IF(HO59="",TRUE,IF(input_story_categories="",FALSE,SUMPRODUCT(--ISNUMBER(SEARCH(","&amp;TRIM(TEXTSPLIT(HO59,","))&amp;",",","&amp;SUBSTITUTE(input_story_categories," ","")&amp;",")))&gt;0)),IF(HQ59="",TRUE,IF(input_story_categories="",FALSE,SUMPRODUCT(--ISNUMBER(SEARCH(","&amp;TRIM(TEXTSPLIT(HQ59,","))&amp;",",","&amp;SUBSTITUTE(input_story_categories," ","")&amp;",")))=COUNTA(TEXTSPLIT(HQ59,",")))),IF(HS59="",TRUE,IF(input_story_categories="",TRUE,SUMPRODUCT(--ISNUMBER(SEARCH(","&amp;TRIM(TEXTSPLIT(HS59,","))&amp;",",","&amp;SUBSTITUTE(input_story_categories," ","")&amp;",")))=0)),IF(HU59="",TRUE,IF(input_story_categories="",FALSE,SUMPRODUCT(--ISNUMBER(SEARCH(","&amp;TRIM(TEXTSPLIT(HU59,","))&amp;",",","&amp;SUBSTITUTE(input_story_categories," ","")&amp;",")))&gt;0)),IF(HW59="",TRUE,IF(input_story_categories="",FALSE,SUMPRODUCT(--ISNUMBER(SEARCH(","&amp;TRIM(TEXTSPLIT(HW59,","))&amp;",",","&amp;SUBSTITUTE(input_story_categories," ","")&amp;",")))=COUNTA(TEXTSPLIT(HW59,",")))))</f>
        <v/>
      </c>
      <c r="JP59" s="19">
        <f>AND(IF(HY59="",TRUE,IF(input_story_type="",FALSE,SUMPRODUCT(--ISNUMBER(SEARCH(","&amp;TRIM(TEXTSPLIT(HY59,","))&amp;",",","&amp;SUBSTITUTE(input_story_type," ","")&amp;",")))&gt;0)),IF(IA59="",TRUE,IF(input_story_type="",FALSE,SUMPRODUCT(--ISNUMBER(SEARCH(","&amp;TRIM(TEXTSPLIT(IA59,","))&amp;",",","&amp;SUBSTITUTE(input_story_type," ","")&amp;",")))=COUNTA(TEXTSPLIT(IA59,",")))),IF(IC59="",TRUE,IF(input_story_type="",TRUE,SUMPRODUCT(--ISNUMBER(SEARCH(","&amp;TRIM(TEXTSPLIT(IC59,","))&amp;",",","&amp;SUBSTITUTE(input_story_type," ","")&amp;",")))=0)),IF(IE59="",TRUE,IF(input_story_type="",FALSE,SUMPRODUCT(--ISNUMBER(SEARCH(","&amp;TRIM(TEXTSPLIT(IE59,","))&amp;",",","&amp;SUBSTITUTE(input_story_type," ","")&amp;",")))&gt;0)),IF(IG59="",TRUE,IF(input_story_type="",FALSE,SUMPRODUCT(--ISNUMBER(SEARCH(","&amp;TRIM(TEXTSPLIT(IG59,","))&amp;",",","&amp;SUBSTITUTE(input_story_type," ","")&amp;",")))=COUNTA(TEXTSPLIT(IG59,",")))))</f>
        <v/>
      </c>
      <c r="JQ59" s="19">
        <f>AND(IF(II59="",TRUE,IF(input_topics="",FALSE,SUMPRODUCT(--ISNUMBER(SEARCH(","&amp;TRIM(TEXTSPLIT(II59,","))&amp;",",","&amp;SUBSTITUTE(input_topics," ","")&amp;",")))&gt;0)),IF(IK59="",TRUE,IF(input_topics="",FALSE,SUMPRODUCT(--ISNUMBER(SEARCH(","&amp;TRIM(TEXTSPLIT(IK59,","))&amp;",",","&amp;SUBSTITUTE(input_topics," ","")&amp;",")))=COUNTA(TEXTSPLIT(IK59,",")))),IF(IM59="",TRUE,IF(input_topics="",TRUE,SUMPRODUCT(--ISNUMBER(SEARCH(","&amp;TRIM(TEXTSPLIT(IM59,","))&amp;",",","&amp;SUBSTITUTE(input_topics," ","")&amp;",")))=0)),IF(IO59="",TRUE,IF(input_topics="",FALSE,SUMPRODUCT(--ISNUMBER(SEARCH(","&amp;TRIM(TEXTSPLIT(IO59,","))&amp;",",","&amp;SUBSTITUTE(input_topics," ","")&amp;",")))&gt;0)),IF(IQ59="",TRUE,IF(input_topics="",FALSE,SUMPRODUCT(--ISNUMBER(SEARCH(","&amp;TRIM(TEXTSPLIT(IQ59,","))&amp;",",","&amp;SUBSTITUTE(input_topics," ","")&amp;",")))=COUNTA(TEXTSPLIT(IQ59,",")))))</f>
        <v/>
      </c>
    </row>
    <row r="60">
      <c r="A60" s="24">
        <f>IF(NOT(IS60),"Excluded",IF(AND(IT60,IU60,IV60,IW60,IX60,IY60,IZ60,JA60,JB60,JC60,JD60,JE60,JF60,JG60,JH60,JI60,JJ60,JK60,JL60,JM60,JN60,JO60,JP60,JQ60),IF(I60&gt;0,"Eligible but limited","Will appear"),"Excluded"))</f>
        <v/>
      </c>
      <c r="B60" s="24" t="inlineStr">
        <is>
          <t>All stories</t>
        </is>
      </c>
      <c r="C60" s="27" t="inlineStr">
        <is>
          <t>/alumni</t>
        </is>
      </c>
      <c r="D60" s="24" t="inlineStr">
        <is>
          <t>/alumni</t>
        </is>
      </c>
      <c r="E60" s="24" t="n">
        <v>1</v>
      </c>
      <c r="F60" s="24" t="inlineStr">
        <is>
          <t>story</t>
        </is>
      </c>
      <c r="G60" s="24" t="inlineStr">
        <is>
          <t>stories_grid_with_images</t>
        </is>
      </c>
      <c r="H60" s="24" t="inlineStr">
        <is>
          <t>embed_1</t>
        </is>
      </c>
      <c r="I60" s="24" t="n">
        <v>3</v>
      </c>
      <c r="J60" s="29" t="inlineStr">
        <is>
          <t>Section inferred</t>
        </is>
      </c>
      <c r="K60" s="24" t="inlineStr">
        <is>
          <t>Page placement</t>
        </is>
      </c>
      <c r="L60" s="24" t="inlineStr">
        <is>
          <t>Content type: story; Context uses Courses Context: Alumni (1142); Limited to 3 item(s); Source: Section inferred</t>
        </is>
      </c>
      <c r="BQ60" s="19" t="inlineStr">
        <is>
          <t>1142</t>
        </is>
      </c>
      <c r="BR60" s="19" t="inlineStr">
        <is>
          <t>Alumni (1142)</t>
        </is>
      </c>
      <c r="IS60" s="19">
        <f>IF(input_content_type="",FALSE,ISNUMBER(SEARCH(","&amp;LOWER(input_content_type)&amp;",",","&amp;LOWER(SUBSTITUTE(F60," ",""))&amp;",")))</f>
        <v/>
      </c>
      <c r="IT60" s="19">
        <f>AND(IF(M60="",TRUE,IF(input_affiliations="",FALSE,SUMPRODUCT(--ISNUMBER(SEARCH(","&amp;TRIM(TEXTSPLIT(M60,","))&amp;",",","&amp;SUBSTITUTE(input_affiliations," ","")&amp;",")))&gt;0)),IF(O60="",TRUE,IF(input_affiliations="",FALSE,SUMPRODUCT(--ISNUMBER(SEARCH(","&amp;TRIM(TEXTSPLIT(O60,","))&amp;",",","&amp;SUBSTITUTE(input_affiliations," ","")&amp;",")))=COUNTA(TEXTSPLIT(O60,",")))),IF(Q60="",TRUE,IF(input_affiliations="",TRUE,SUMPRODUCT(--ISNUMBER(SEARCH(","&amp;TRIM(TEXTSPLIT(Q60,","))&amp;",",","&amp;SUBSTITUTE(input_affiliations," ","")&amp;",")))=0)),IF(S60="",TRUE,IF(input_affiliations="",FALSE,SUMPRODUCT(--ISNUMBER(SEARCH(","&amp;TRIM(TEXTSPLIT(S60,","))&amp;",",","&amp;SUBSTITUTE(input_affiliations," ","")&amp;",")))&gt;0)),IF(U60="",TRUE,IF(input_affiliations="",FALSE,SUMPRODUCT(--ISNUMBER(SEARCH(","&amp;TRIM(TEXTSPLIT(U60,","))&amp;",",","&amp;SUBSTITUTE(input_affiliations," ","")&amp;",")))=COUNTA(TEXTSPLIT(U60,",")))))</f>
        <v/>
      </c>
      <c r="IU60" s="19">
        <f>AND(IF(W60="",TRUE,IF(input_announcement_category="",FALSE,SUMPRODUCT(--ISNUMBER(SEARCH(","&amp;TRIM(TEXTSPLIT(W60,","))&amp;",",","&amp;SUBSTITUTE(input_announcement_category," ","")&amp;",")))&gt;0)),IF(Y60="",TRUE,IF(input_announcement_category="",FALSE,SUMPRODUCT(--ISNUMBER(SEARCH(","&amp;TRIM(TEXTSPLIT(Y60,","))&amp;",",","&amp;SUBSTITUTE(input_announcement_category," ","")&amp;",")))=COUNTA(TEXTSPLIT(Y60,",")))),IF(AA60="",TRUE,IF(input_announcement_category="",TRUE,SUMPRODUCT(--ISNUMBER(SEARCH(","&amp;TRIM(TEXTSPLIT(AA60,","))&amp;",",","&amp;SUBSTITUTE(input_announcement_category," ","")&amp;",")))=0)),IF(AC60="",TRUE,IF(input_announcement_category="",FALSE,SUMPRODUCT(--ISNUMBER(SEARCH(","&amp;TRIM(TEXTSPLIT(AC60,","))&amp;",",","&amp;SUBSTITUTE(input_announcement_category," ","")&amp;",")))&gt;0)),IF(AE60="",TRUE,IF(input_announcement_category="",FALSE,SUMPRODUCT(--ISNUMBER(SEARCH(","&amp;TRIM(TEXTSPLIT(AE60,","))&amp;",",","&amp;SUBSTITUTE(input_announcement_category," ","")&amp;",")))=COUNTA(TEXTSPLIT(AE60,",")))))</f>
        <v/>
      </c>
      <c r="IV60" s="19">
        <f>AND(IF(AG60="",TRUE,IF(input_area_of_focus="",FALSE,SUMPRODUCT(--ISNUMBER(SEARCH(","&amp;TRIM(TEXTSPLIT(AG60,","))&amp;",",","&amp;SUBSTITUTE(input_area_of_focus," ","")&amp;",")))&gt;0)),IF(AI60="",TRUE,IF(input_area_of_focus="",FALSE,SUMPRODUCT(--ISNUMBER(SEARCH(","&amp;TRIM(TEXTSPLIT(AI60,","))&amp;",",","&amp;SUBSTITUTE(input_area_of_focus," ","")&amp;",")))=COUNTA(TEXTSPLIT(AI60,",")))),IF(AK60="",TRUE,IF(input_area_of_focus="",TRUE,SUMPRODUCT(--ISNUMBER(SEARCH(","&amp;TRIM(TEXTSPLIT(AK60,","))&amp;",",","&amp;SUBSTITUTE(input_area_of_focus," ","")&amp;",")))=0)),IF(AM60="",TRUE,IF(input_area_of_focus="",FALSE,SUMPRODUCT(--ISNUMBER(SEARCH(","&amp;TRIM(TEXTSPLIT(AM60,","))&amp;",",","&amp;SUBSTITUTE(input_area_of_focus," ","")&amp;",")))&gt;0)),IF(AO60="",TRUE,IF(input_area_of_focus="",FALSE,SUMPRODUCT(--ISNUMBER(SEARCH(","&amp;TRIM(TEXTSPLIT(AO60,","))&amp;",",","&amp;SUBSTITUTE(input_area_of_focus," ","")&amp;",")))=COUNTA(TEXTSPLIT(AO60,",")))))</f>
        <v/>
      </c>
      <c r="IW60" s="19">
        <f>AND(IF(AQ60="",TRUE,IF(input_audience="",FALSE,SUMPRODUCT(--ISNUMBER(SEARCH(","&amp;TRIM(TEXTSPLIT(AQ60,","))&amp;",",","&amp;SUBSTITUTE(input_audience," ","")&amp;",")))&gt;0)),IF(AS60="",TRUE,IF(input_audience="",FALSE,SUMPRODUCT(--ISNUMBER(SEARCH(","&amp;TRIM(TEXTSPLIT(AS60,","))&amp;",",","&amp;SUBSTITUTE(input_audience," ","")&amp;",")))=COUNTA(TEXTSPLIT(AS60,",")))),IF(AU60="",TRUE,IF(input_audience="",TRUE,SUMPRODUCT(--ISNUMBER(SEARCH(","&amp;TRIM(TEXTSPLIT(AU60,","))&amp;",",","&amp;SUBSTITUTE(input_audience," ","")&amp;",")))=0)),IF(AW60="",TRUE,IF(input_audience="",FALSE,SUMPRODUCT(--ISNUMBER(SEARCH(","&amp;TRIM(TEXTSPLIT(AW60,","))&amp;",",","&amp;SUBSTITUTE(input_audience," ","")&amp;",")))&gt;0)),IF(AY60="",TRUE,IF(input_audience="",FALSE,SUMPRODUCT(--ISNUMBER(SEARCH(","&amp;TRIM(TEXTSPLIT(AY60,","))&amp;",",","&amp;SUBSTITUTE(input_audience," ","")&amp;",")))=COUNTA(TEXTSPLIT(AY60,",")))))</f>
        <v/>
      </c>
      <c r="IX60" s="19">
        <f>AND(IF(BA60="",TRUE,IF(input_challenge_opportunities="",FALSE,SUMPRODUCT(--ISNUMBER(SEARCH(","&amp;TRIM(TEXTSPLIT(BA60,","))&amp;",",","&amp;SUBSTITUTE(input_challenge_opportunities," ","")&amp;",")))&gt;0)),IF(BC60="",TRUE,IF(input_challenge_opportunities="",FALSE,SUMPRODUCT(--ISNUMBER(SEARCH(","&amp;TRIM(TEXTSPLIT(BC60,","))&amp;",",","&amp;SUBSTITUTE(input_challenge_opportunities," ","")&amp;",")))=COUNTA(TEXTSPLIT(BC60,",")))),IF(BE60="",TRUE,IF(input_challenge_opportunities="",TRUE,SUMPRODUCT(--ISNUMBER(SEARCH(","&amp;TRIM(TEXTSPLIT(BE60,","))&amp;",",","&amp;SUBSTITUTE(input_challenge_opportunities," ","")&amp;",")))=0)),IF(BG60="",TRUE,IF(input_challenge_opportunities="",FALSE,SUMPRODUCT(--ISNUMBER(SEARCH(","&amp;TRIM(TEXTSPLIT(BG60,","))&amp;",",","&amp;SUBSTITUTE(input_challenge_opportunities," ","")&amp;",")))&gt;0)),IF(BI60="",TRUE,IF(input_challenge_opportunities="",FALSE,SUMPRODUCT(--ISNUMBER(SEARCH(","&amp;TRIM(TEXTSPLIT(BI60,","))&amp;",",","&amp;SUBSTITUTE(input_challenge_opportunities," ","")&amp;",")))=COUNTA(TEXTSPLIT(BI60,",")))))</f>
        <v/>
      </c>
      <c r="IY60" s="19">
        <f>AND(IF(BK60="",TRUE,IF(input_context="",FALSE,SUMPRODUCT(--ISNUMBER(SEARCH(","&amp;TRIM(TEXTSPLIT(BK60,","))&amp;",",","&amp;SUBSTITUTE(input_context," ","")&amp;",")))&gt;0)),IF(BM60="",TRUE,IF(input_context="",FALSE,SUMPRODUCT(--ISNUMBER(SEARCH(","&amp;TRIM(TEXTSPLIT(BM60,","))&amp;",",","&amp;SUBSTITUTE(input_context," ","")&amp;",")))=COUNTA(TEXTSPLIT(BM60,",")))),IF(BO60="",TRUE,IF(input_context="",TRUE,SUMPRODUCT(--ISNUMBER(SEARCH(","&amp;TRIM(TEXTSPLIT(BO60,","))&amp;",",","&amp;SUBSTITUTE(input_context," ","")&amp;",")))=0)),IF(BQ60="",TRUE,IF(input_context="",FALSE,SUMPRODUCT(--ISNUMBER(SEARCH(","&amp;TRIM(TEXTSPLIT(BQ60,","))&amp;",",","&amp;SUBSTITUTE(input_context," ","")&amp;",")))&gt;0)),IF(BS60="",TRUE,IF(input_context="",FALSE,SUMPRODUCT(--ISNUMBER(SEARCH(","&amp;TRIM(TEXTSPLIT(BS60,","))&amp;",",","&amp;SUBSTITUTE(input_context," ","")&amp;",")))=COUNTA(TEXTSPLIT(BS60,",")))))</f>
        <v/>
      </c>
      <c r="IZ60" s="19">
        <f>AND(IF(BU60="",TRUE,IF(input_enews_announcement_type="",FALSE,SUMPRODUCT(--ISNUMBER(SEARCH(","&amp;TRIM(TEXTSPLIT(BU60,","))&amp;",",","&amp;SUBSTITUTE(input_enews_announcement_type," ","")&amp;",")))&gt;0)),IF(BW60="",TRUE,IF(input_enews_announcement_type="",FALSE,SUMPRODUCT(--ISNUMBER(SEARCH(","&amp;TRIM(TEXTSPLIT(BW60,","))&amp;",",","&amp;SUBSTITUTE(input_enews_announcement_type," ","")&amp;",")))=COUNTA(TEXTSPLIT(BW60,",")))),IF(BY60="",TRUE,IF(input_enews_announcement_type="",TRUE,SUMPRODUCT(--ISNUMBER(SEARCH(","&amp;TRIM(TEXTSPLIT(BY60,","))&amp;",",","&amp;SUBSTITUTE(input_enews_announcement_type," ","")&amp;",")))=0)),IF(CA60="",TRUE,IF(input_enews_announcement_type="",FALSE,SUMPRODUCT(--ISNUMBER(SEARCH(","&amp;TRIM(TEXTSPLIT(CA60,","))&amp;",",","&amp;SUBSTITUTE(input_enews_announcement_type," ","")&amp;",")))&gt;0)),IF(CC60="",TRUE,IF(input_enews_announcement_type="",FALSE,SUMPRODUCT(--ISNUMBER(SEARCH(","&amp;TRIM(TEXTSPLIT(CC60,","))&amp;",",","&amp;SUBSTITUTE(input_enews_announcement_type," ","")&amp;",")))=COUNTA(TEXTSPLIT(CC60,",")))))</f>
        <v/>
      </c>
      <c r="JA60" s="19">
        <f>AND(IF(CE60="",TRUE,IF(input_enews_audience="",FALSE,SUMPRODUCT(--ISNUMBER(SEARCH(","&amp;TRIM(TEXTSPLIT(CE60,","))&amp;",",","&amp;SUBSTITUTE(input_enews_audience," ","")&amp;",")))&gt;0)),IF(CG60="",TRUE,IF(input_enews_audience="",FALSE,SUMPRODUCT(--ISNUMBER(SEARCH(","&amp;TRIM(TEXTSPLIT(CG60,","))&amp;",",","&amp;SUBSTITUTE(input_enews_audience," ","")&amp;",")))=COUNTA(TEXTSPLIT(CG60,",")))),IF(CI60="",TRUE,IF(input_enews_audience="",TRUE,SUMPRODUCT(--ISNUMBER(SEARCH(","&amp;TRIM(TEXTSPLIT(CI60,","))&amp;",",","&amp;SUBSTITUTE(input_enews_audience," ","")&amp;",")))=0)),IF(CK60="",TRUE,IF(input_enews_audience="",FALSE,SUMPRODUCT(--ISNUMBER(SEARCH(","&amp;TRIM(TEXTSPLIT(CK60,","))&amp;",",","&amp;SUBSTITUTE(input_enews_audience," ","")&amp;",")))&gt;0)),IF(CM60="",TRUE,IF(input_enews_audience="",FALSE,SUMPRODUCT(--ISNUMBER(SEARCH(","&amp;TRIM(TEXTSPLIT(CM60,","))&amp;",",","&amp;SUBSTITUTE(input_enews_audience," ","")&amp;",")))=COUNTA(TEXTSPLIT(CM60,",")))))</f>
        <v/>
      </c>
      <c r="JB60" s="19">
        <f>AND(IF(CO60="",TRUE,IF(input_event_location="",FALSE,SUMPRODUCT(--ISNUMBER(SEARCH(","&amp;TRIM(TEXTSPLIT(CO60,","))&amp;",",","&amp;SUBSTITUTE(input_event_location," ","")&amp;",")))&gt;0)),IF(CQ60="",TRUE,IF(input_event_location="",FALSE,SUMPRODUCT(--ISNUMBER(SEARCH(","&amp;TRIM(TEXTSPLIT(CQ60,","))&amp;",",","&amp;SUBSTITUTE(input_event_location," ","")&amp;",")))=COUNTA(TEXTSPLIT(CQ60,",")))),IF(CS60="",TRUE,IF(input_event_location="",TRUE,SUMPRODUCT(--ISNUMBER(SEARCH(","&amp;TRIM(TEXTSPLIT(CS60,","))&amp;",",","&amp;SUBSTITUTE(input_event_location," ","")&amp;",")))=0)),IF(CU60="",TRUE,IF(input_event_location="",FALSE,SUMPRODUCT(--ISNUMBER(SEARCH(","&amp;TRIM(TEXTSPLIT(CU60,","))&amp;",",","&amp;SUBSTITUTE(input_event_location," ","")&amp;",")))&gt;0)),IF(CW60="",TRUE,IF(input_event_location="",FALSE,SUMPRODUCT(--ISNUMBER(SEARCH(","&amp;TRIM(TEXTSPLIT(CW60,","))&amp;",",","&amp;SUBSTITUTE(input_event_location," ","")&amp;",")))=COUNTA(TEXTSPLIT(CW60,",")))))</f>
        <v/>
      </c>
      <c r="JC60" s="19">
        <f>AND(IF(CY60="",TRUE,IF(input_event_type="",FALSE,SUMPRODUCT(--ISNUMBER(SEARCH(","&amp;TRIM(TEXTSPLIT(CY60,","))&amp;",",","&amp;SUBSTITUTE(input_event_type," ","")&amp;",")))&gt;0)),IF(DA60="",TRUE,IF(input_event_type="",FALSE,SUMPRODUCT(--ISNUMBER(SEARCH(","&amp;TRIM(TEXTSPLIT(DA60,","))&amp;",",","&amp;SUBSTITUTE(input_event_type," ","")&amp;",")))=COUNTA(TEXTSPLIT(DA60,",")))),IF(DC60="",TRUE,IF(input_event_type="",TRUE,SUMPRODUCT(--ISNUMBER(SEARCH(","&amp;TRIM(TEXTSPLIT(DC60,","))&amp;",",","&amp;SUBSTITUTE(input_event_type," ","")&amp;",")))=0)),IF(DE60="",TRUE,IF(input_event_type="",FALSE,SUMPRODUCT(--ISNUMBER(SEARCH(","&amp;TRIM(TEXTSPLIT(DE60,","))&amp;",",","&amp;SUBSTITUTE(input_event_type," ","")&amp;",")))&gt;0)),IF(DG60="",TRUE,IF(input_event_type="",FALSE,SUMPRODUCT(--ISNUMBER(SEARCH(","&amp;TRIM(TEXTSPLIT(DG60,","))&amp;",",","&amp;SUBSTITUTE(input_event_type," ","")&amp;",")))=COUNTA(TEXTSPLIT(DG60,",")))))</f>
        <v/>
      </c>
      <c r="JD60" s="19">
        <f>AND(IF(DI60="",TRUE,IF(input_executive_education_focus="",FALSE,SUMPRODUCT(--ISNUMBER(SEARCH(","&amp;TRIM(TEXTSPLIT(DI60,","))&amp;",",","&amp;SUBSTITUTE(input_executive_education_focus," ","")&amp;",")))&gt;0)),IF(DK60="",TRUE,IF(input_executive_education_focus="",FALSE,SUMPRODUCT(--ISNUMBER(SEARCH(","&amp;TRIM(TEXTSPLIT(DK60,","))&amp;",",","&amp;SUBSTITUTE(input_executive_education_focus," ","")&amp;",")))=COUNTA(TEXTSPLIT(DK60,",")))),IF(DM60="",TRUE,IF(input_executive_education_focus="",TRUE,SUMPRODUCT(--ISNUMBER(SEARCH(","&amp;TRIM(TEXTSPLIT(DM60,","))&amp;",",","&amp;SUBSTITUTE(input_executive_education_focus," ","")&amp;",")))=0)),IF(DO60="",TRUE,IF(input_executive_education_focus="",FALSE,SUMPRODUCT(--ISNUMBER(SEARCH(","&amp;TRIM(TEXTSPLIT(DO60,","))&amp;",",","&amp;SUBSTITUTE(input_executive_education_focus," ","")&amp;",")))&gt;0)),IF(DQ60="",TRUE,IF(input_executive_education_focus="",FALSE,SUMPRODUCT(--ISNUMBER(SEARCH(","&amp;TRIM(TEXTSPLIT(DQ60,","))&amp;",",","&amp;SUBSTITUTE(input_executive_education_focus," ","")&amp;",")))=COUNTA(TEXTSPLIT(DQ60,",")))))</f>
        <v/>
      </c>
      <c r="JE60" s="19">
        <f>AND(IF(DS60="",TRUE,IF(input_faculty_category="",FALSE,SUMPRODUCT(--ISNUMBER(SEARCH(","&amp;TRIM(TEXTSPLIT(DS60,","))&amp;",",","&amp;SUBSTITUTE(input_faculty_category," ","")&amp;",")))&gt;0)),IF(DU60="",TRUE,IF(input_faculty_category="",FALSE,SUMPRODUCT(--ISNUMBER(SEARCH(","&amp;TRIM(TEXTSPLIT(DU60,","))&amp;",",","&amp;SUBSTITUTE(input_faculty_category," ","")&amp;",")))=COUNTA(TEXTSPLIT(DU60,",")))),IF(DW60="",TRUE,IF(input_faculty_category="",TRUE,SUMPRODUCT(--ISNUMBER(SEARCH(","&amp;TRIM(TEXTSPLIT(DW60,","))&amp;",",","&amp;SUBSTITUTE(input_faculty_category," ","")&amp;",")))=0)),IF(DY60="",TRUE,IF(input_faculty_category="",FALSE,SUMPRODUCT(--ISNUMBER(SEARCH(","&amp;TRIM(TEXTSPLIT(DY60,","))&amp;",",","&amp;SUBSTITUTE(input_faculty_category," ","")&amp;",")))&gt;0)),IF(EA60="",TRUE,IF(input_faculty_category="",FALSE,SUMPRODUCT(--ISNUMBER(SEARCH(","&amp;TRIM(TEXTSPLIT(EA60,","))&amp;",",","&amp;SUBSTITUTE(input_faculty_category," ","")&amp;",")))=COUNTA(TEXTSPLIT(EA60,",")))))</f>
        <v/>
      </c>
      <c r="JF60" s="19">
        <f>AND(IF(EC60="",TRUE,IF(input_faculty_discipline="",FALSE,SUMPRODUCT(--ISNUMBER(SEARCH(","&amp;TRIM(TEXTSPLIT(EC60,","))&amp;",",","&amp;SUBSTITUTE(input_faculty_discipline," ","")&amp;",")))&gt;0)),IF(EE60="",TRUE,IF(input_faculty_discipline="",FALSE,SUMPRODUCT(--ISNUMBER(SEARCH(","&amp;TRIM(TEXTSPLIT(EE60,","))&amp;",",","&amp;SUBSTITUTE(input_faculty_discipline," ","")&amp;",")))=COUNTA(TEXTSPLIT(EE60,",")))),IF(EG60="",TRUE,IF(input_faculty_discipline="",TRUE,SUMPRODUCT(--ISNUMBER(SEARCH(","&amp;TRIM(TEXTSPLIT(EG60,","))&amp;",",","&amp;SUBSTITUTE(input_faculty_discipline," ","")&amp;",")))=0)),IF(EI60="",TRUE,IF(input_faculty_discipline="",FALSE,SUMPRODUCT(--ISNUMBER(SEARCH(","&amp;TRIM(TEXTSPLIT(EI60,","))&amp;",",","&amp;SUBSTITUTE(input_faculty_discipline," ","")&amp;",")))&gt;0)),IF(EK60="",TRUE,IF(input_faculty_discipline="",FALSE,SUMPRODUCT(--ISNUMBER(SEARCH(","&amp;TRIM(TEXTSPLIT(EK60,","))&amp;",",","&amp;SUBSTITUTE(input_faculty_discipline," ","")&amp;",")))=COUNTA(TEXTSPLIT(EK60,",")))))</f>
        <v/>
      </c>
      <c r="JG60" s="19">
        <f>AND(IF(EM60="",TRUE,IF(input_faculty_expertise="",FALSE,SUMPRODUCT(--ISNUMBER(SEARCH(","&amp;TRIM(TEXTSPLIT(EM60,","))&amp;",",","&amp;SUBSTITUTE(input_faculty_expertise," ","")&amp;",")))&gt;0)),IF(EO60="",TRUE,IF(input_faculty_expertise="",FALSE,SUMPRODUCT(--ISNUMBER(SEARCH(","&amp;TRIM(TEXTSPLIT(EO60,","))&amp;",",","&amp;SUBSTITUTE(input_faculty_expertise," ","")&amp;",")))=COUNTA(TEXTSPLIT(EO60,",")))),IF(EQ60="",TRUE,IF(input_faculty_expertise="",TRUE,SUMPRODUCT(--ISNUMBER(SEARCH(","&amp;TRIM(TEXTSPLIT(EQ60,","))&amp;",",","&amp;SUBSTITUTE(input_faculty_expertise," ","")&amp;",")))=0)),IF(ES60="",TRUE,IF(input_faculty_expertise="",FALSE,SUMPRODUCT(--ISNUMBER(SEARCH(","&amp;TRIM(TEXTSPLIT(ES60,","))&amp;",",","&amp;SUBSTITUTE(input_faculty_expertise," ","")&amp;",")))&gt;0)),IF(EU60="",TRUE,IF(input_faculty_expertise="",FALSE,SUMPRODUCT(--ISNUMBER(SEARCH(","&amp;TRIM(TEXTSPLIT(EU60,","))&amp;",",","&amp;SUBSTITUTE(input_faculty_expertise," ","")&amp;",")))=COUNTA(TEXTSPLIT(EU60,",")))))</f>
        <v/>
      </c>
      <c r="JH60" s="19">
        <f>AND(IF(EW60="",TRUE,IF(input_global_network_school="",FALSE,SUMPRODUCT(--ISNUMBER(SEARCH(","&amp;TRIM(TEXTSPLIT(EW60,","))&amp;",",","&amp;SUBSTITUTE(input_global_network_school," ","")&amp;",")))&gt;0)),IF(EY60="",TRUE,IF(input_global_network_school="",FALSE,SUMPRODUCT(--ISNUMBER(SEARCH(","&amp;TRIM(TEXTSPLIT(EY60,","))&amp;",",","&amp;SUBSTITUTE(input_global_network_school," ","")&amp;",")))=COUNTA(TEXTSPLIT(EY60,",")))),IF(FA60="",TRUE,IF(input_global_network_school="",TRUE,SUMPRODUCT(--ISNUMBER(SEARCH(","&amp;TRIM(TEXTSPLIT(FA60,","))&amp;",",","&amp;SUBSTITUTE(input_global_network_school," ","")&amp;",")))=0)),IF(FC60="",TRUE,IF(input_global_network_school="",FALSE,SUMPRODUCT(--ISNUMBER(SEARCH(","&amp;TRIM(TEXTSPLIT(FC60,","))&amp;",",","&amp;SUBSTITUTE(input_global_network_school," ","")&amp;",")))&gt;0)),IF(FE60="",TRUE,IF(input_global_network_school="",FALSE,SUMPRODUCT(--ISNUMBER(SEARCH(","&amp;TRIM(TEXTSPLIT(FE60,","))&amp;",",","&amp;SUBSTITUTE(input_global_network_school," ","")&amp;",")))=COUNTA(TEXTSPLIT(FE60,",")))))</f>
        <v/>
      </c>
      <c r="JI60" s="19">
        <f>AND(IF(FG60="",TRUE,IF(input_industry="",FALSE,SUMPRODUCT(--ISNUMBER(SEARCH(","&amp;TRIM(TEXTSPLIT(FG60,","))&amp;",",","&amp;SUBSTITUTE(input_industry," ","")&amp;",")))&gt;0)),IF(FI60="",TRUE,IF(input_industry="",FALSE,SUMPRODUCT(--ISNUMBER(SEARCH(","&amp;TRIM(TEXTSPLIT(FI60,","))&amp;",",","&amp;SUBSTITUTE(input_industry," ","")&amp;",")))=COUNTA(TEXTSPLIT(FI60,",")))),IF(FK60="",TRUE,IF(input_industry="",TRUE,SUMPRODUCT(--ISNUMBER(SEARCH(","&amp;TRIM(TEXTSPLIT(FK60,","))&amp;",",","&amp;SUBSTITUTE(input_industry," ","")&amp;",")))=0)),IF(FM60="",TRUE,IF(input_industry="",FALSE,SUMPRODUCT(--ISNUMBER(SEARCH(","&amp;TRIM(TEXTSPLIT(FM60,","))&amp;",",","&amp;SUBSTITUTE(input_industry," ","")&amp;",")))&gt;0)),IF(FO60="",TRUE,IF(input_industry="",FALSE,SUMPRODUCT(--ISNUMBER(SEARCH(","&amp;TRIM(TEXTSPLIT(FO60,","))&amp;",",","&amp;SUBSTITUTE(input_industry," ","")&amp;",")))=COUNTA(TEXTSPLIT(FO60,",")))))</f>
        <v/>
      </c>
      <c r="JJ60" s="19">
        <f>AND(IF(FQ60="",TRUE,IF(input_location="",FALSE,SUMPRODUCT(--ISNUMBER(SEARCH(","&amp;TRIM(TEXTSPLIT(FQ60,","))&amp;",",","&amp;SUBSTITUTE(input_location," ","")&amp;",")))&gt;0)),IF(FS60="",TRUE,IF(input_location="",FALSE,SUMPRODUCT(--ISNUMBER(SEARCH(","&amp;TRIM(TEXTSPLIT(FS60,","))&amp;",",","&amp;SUBSTITUTE(input_location," ","")&amp;",")))=COUNTA(TEXTSPLIT(FS60,",")))),IF(FU60="",TRUE,IF(input_location="",TRUE,SUMPRODUCT(--ISNUMBER(SEARCH(","&amp;TRIM(TEXTSPLIT(FU60,","))&amp;",",","&amp;SUBSTITUTE(input_location," ","")&amp;",")))=0)),IF(FW60="",TRUE,IF(input_location="",FALSE,SUMPRODUCT(--ISNUMBER(SEARCH(","&amp;TRIM(TEXTSPLIT(FW60,","))&amp;",",","&amp;SUBSTITUTE(input_location," ","")&amp;",")))&gt;0)),IF(FY60="",TRUE,IF(input_location="",FALSE,SUMPRODUCT(--ISNUMBER(SEARCH(","&amp;TRIM(TEXTSPLIT(FY60,","))&amp;",",","&amp;SUBSTITUTE(input_location," ","")&amp;",")))=COUNTA(TEXTSPLIT(FY60,",")))))</f>
        <v/>
      </c>
      <c r="JK60" s="19">
        <f>AND(IF(GA60="",TRUE,IF(input_modality="",FALSE,SUMPRODUCT(--ISNUMBER(SEARCH(","&amp;TRIM(TEXTSPLIT(GA60,","))&amp;",",","&amp;SUBSTITUTE(input_modality," ","")&amp;",")))&gt;0)),IF(GC60="",TRUE,IF(input_modality="",FALSE,SUMPRODUCT(--ISNUMBER(SEARCH(","&amp;TRIM(TEXTSPLIT(GC60,","))&amp;",",","&amp;SUBSTITUTE(input_modality," ","")&amp;",")))=COUNTA(TEXTSPLIT(GC60,",")))),IF(GE60="",TRUE,IF(input_modality="",TRUE,SUMPRODUCT(--ISNUMBER(SEARCH(","&amp;TRIM(TEXTSPLIT(GE60,","))&amp;",",","&amp;SUBSTITUTE(input_modality," ","")&amp;",")))=0)),IF(GG60="",TRUE,IF(input_modality="",FALSE,SUMPRODUCT(--ISNUMBER(SEARCH(","&amp;TRIM(TEXTSPLIT(GG60,","))&amp;",",","&amp;SUBSTITUTE(input_modality," ","")&amp;",")))&gt;0)),IF(GI60="",TRUE,IF(input_modality="",FALSE,SUMPRODUCT(--ISNUMBER(SEARCH(","&amp;TRIM(TEXTSPLIT(GI60,","))&amp;",",","&amp;SUBSTITUTE(input_modality," ","")&amp;",")))=COUNTA(TEXTSPLIT(GI60,",")))))</f>
        <v/>
      </c>
      <c r="JL60" s="19">
        <f>AND(IF(GK60="",TRUE,IF(input_organizer="",FALSE,SUMPRODUCT(--ISNUMBER(SEARCH(","&amp;TRIM(TEXTSPLIT(GK60,","))&amp;",",","&amp;SUBSTITUTE(input_organizer," ","")&amp;",")))&gt;0)),IF(GM60="",TRUE,IF(input_organizer="",FALSE,SUMPRODUCT(--ISNUMBER(SEARCH(","&amp;TRIM(TEXTSPLIT(GM60,","))&amp;",",","&amp;SUBSTITUTE(input_organizer," ","")&amp;",")))=COUNTA(TEXTSPLIT(GM60,",")))),IF(GO60="",TRUE,IF(input_organizer="",TRUE,SUMPRODUCT(--ISNUMBER(SEARCH(","&amp;TRIM(TEXTSPLIT(GO60,","))&amp;",",","&amp;SUBSTITUTE(input_organizer," ","")&amp;",")))=0)),IF(GQ60="",TRUE,IF(input_organizer="",FALSE,SUMPRODUCT(--ISNUMBER(SEARCH(","&amp;TRIM(TEXTSPLIT(GQ60,","))&amp;",",","&amp;SUBSTITUTE(input_organizer," ","")&amp;",")))&gt;0)),IF(GS60="",TRUE,IF(input_organizer="",FALSE,SUMPRODUCT(--ISNUMBER(SEARCH(","&amp;TRIM(TEXTSPLIT(GS60,","))&amp;",",","&amp;SUBSTITUTE(input_organizer," ","")&amp;",")))=COUNTA(TEXTSPLIT(GS60,",")))))</f>
        <v/>
      </c>
      <c r="JM60" s="19">
        <f>AND(IF(GU60="",TRUE,IF(input_profile_type="",FALSE,SUMPRODUCT(--ISNUMBER(SEARCH(","&amp;TRIM(TEXTSPLIT(GU60,","))&amp;",",","&amp;SUBSTITUTE(input_profile_type," ","")&amp;",")))&gt;0)),IF(GW60="",TRUE,IF(input_profile_type="",FALSE,SUMPRODUCT(--ISNUMBER(SEARCH(","&amp;TRIM(TEXTSPLIT(GW60,","))&amp;",",","&amp;SUBSTITUTE(input_profile_type," ","")&amp;",")))=COUNTA(TEXTSPLIT(GW60,",")))),IF(GY60="",TRUE,IF(input_profile_type="",TRUE,SUMPRODUCT(--ISNUMBER(SEARCH(","&amp;TRIM(TEXTSPLIT(GY60,","))&amp;",",","&amp;SUBSTITUTE(input_profile_type," ","")&amp;",")))=0)),IF(HA60="",TRUE,IF(input_profile_type="",FALSE,SUMPRODUCT(--ISNUMBER(SEARCH(","&amp;TRIM(TEXTSPLIT(HA60,","))&amp;",",","&amp;SUBSTITUTE(input_profile_type," ","")&amp;",")))&gt;0)),IF(HC60="",TRUE,IF(input_profile_type="",FALSE,SUMPRODUCT(--ISNUMBER(SEARCH(","&amp;TRIM(TEXTSPLIT(HC60,","))&amp;",",","&amp;SUBSTITUTE(input_profile_type," ","")&amp;",")))=COUNTA(TEXTSPLIT(HC60,",")))))</f>
        <v/>
      </c>
      <c r="JN60" s="19">
        <f>AND(IF(HE60="",TRUE,IF(input_program="",FALSE,SUMPRODUCT(--ISNUMBER(SEARCH(","&amp;TRIM(TEXTSPLIT(HE60,","))&amp;",",","&amp;SUBSTITUTE(input_program," ","")&amp;",")))&gt;0)),IF(HG60="",TRUE,IF(input_program="",FALSE,SUMPRODUCT(--ISNUMBER(SEARCH(","&amp;TRIM(TEXTSPLIT(HG60,","))&amp;",",","&amp;SUBSTITUTE(input_program," ","")&amp;",")))=COUNTA(TEXTSPLIT(HG60,",")))),IF(HI60="",TRUE,IF(input_program="",TRUE,SUMPRODUCT(--ISNUMBER(SEARCH(","&amp;TRIM(TEXTSPLIT(HI60,","))&amp;",",","&amp;SUBSTITUTE(input_program," ","")&amp;",")))=0)),IF(HK60="",TRUE,IF(input_program="",FALSE,SUMPRODUCT(--ISNUMBER(SEARCH(","&amp;TRIM(TEXTSPLIT(HK60,","))&amp;",",","&amp;SUBSTITUTE(input_program," ","")&amp;",")))&gt;0)),IF(HM60="",TRUE,IF(input_program="",FALSE,SUMPRODUCT(--ISNUMBER(SEARCH(","&amp;TRIM(TEXTSPLIT(HM60,","))&amp;",",","&amp;SUBSTITUTE(input_program," ","")&amp;",")))=COUNTA(TEXTSPLIT(HM60,",")))))</f>
        <v/>
      </c>
      <c r="JO60" s="19">
        <f>AND(IF(HO60="",TRUE,IF(input_story_categories="",FALSE,SUMPRODUCT(--ISNUMBER(SEARCH(","&amp;TRIM(TEXTSPLIT(HO60,","))&amp;",",","&amp;SUBSTITUTE(input_story_categories," ","")&amp;",")))&gt;0)),IF(HQ60="",TRUE,IF(input_story_categories="",FALSE,SUMPRODUCT(--ISNUMBER(SEARCH(","&amp;TRIM(TEXTSPLIT(HQ60,","))&amp;",",","&amp;SUBSTITUTE(input_story_categories," ","")&amp;",")))=COUNTA(TEXTSPLIT(HQ60,",")))),IF(HS60="",TRUE,IF(input_story_categories="",TRUE,SUMPRODUCT(--ISNUMBER(SEARCH(","&amp;TRIM(TEXTSPLIT(HS60,","))&amp;",",","&amp;SUBSTITUTE(input_story_categories," ","")&amp;",")))=0)),IF(HU60="",TRUE,IF(input_story_categories="",FALSE,SUMPRODUCT(--ISNUMBER(SEARCH(","&amp;TRIM(TEXTSPLIT(HU60,","))&amp;",",","&amp;SUBSTITUTE(input_story_categories," ","")&amp;",")))&gt;0)),IF(HW60="",TRUE,IF(input_story_categories="",FALSE,SUMPRODUCT(--ISNUMBER(SEARCH(","&amp;TRIM(TEXTSPLIT(HW60,","))&amp;",",","&amp;SUBSTITUTE(input_story_categories," ","")&amp;",")))=COUNTA(TEXTSPLIT(HW60,",")))))</f>
        <v/>
      </c>
      <c r="JP60" s="19">
        <f>AND(IF(HY60="",TRUE,IF(input_story_type="",FALSE,SUMPRODUCT(--ISNUMBER(SEARCH(","&amp;TRIM(TEXTSPLIT(HY60,","))&amp;",",","&amp;SUBSTITUTE(input_story_type," ","")&amp;",")))&gt;0)),IF(IA60="",TRUE,IF(input_story_type="",FALSE,SUMPRODUCT(--ISNUMBER(SEARCH(","&amp;TRIM(TEXTSPLIT(IA60,","))&amp;",",","&amp;SUBSTITUTE(input_story_type," ","")&amp;",")))=COUNTA(TEXTSPLIT(IA60,",")))),IF(IC60="",TRUE,IF(input_story_type="",TRUE,SUMPRODUCT(--ISNUMBER(SEARCH(","&amp;TRIM(TEXTSPLIT(IC60,","))&amp;",",","&amp;SUBSTITUTE(input_story_type," ","")&amp;",")))=0)),IF(IE60="",TRUE,IF(input_story_type="",FALSE,SUMPRODUCT(--ISNUMBER(SEARCH(","&amp;TRIM(TEXTSPLIT(IE60,","))&amp;",",","&amp;SUBSTITUTE(input_story_type," ","")&amp;",")))&gt;0)),IF(IG60="",TRUE,IF(input_story_type="",FALSE,SUMPRODUCT(--ISNUMBER(SEARCH(","&amp;TRIM(TEXTSPLIT(IG60,","))&amp;",",","&amp;SUBSTITUTE(input_story_type," ","")&amp;",")))=COUNTA(TEXTSPLIT(IG60,",")))))</f>
        <v/>
      </c>
      <c r="JQ60" s="19">
        <f>AND(IF(II60="",TRUE,IF(input_topics="",FALSE,SUMPRODUCT(--ISNUMBER(SEARCH(","&amp;TRIM(TEXTSPLIT(II60,","))&amp;",",","&amp;SUBSTITUTE(input_topics," ","")&amp;",")))&gt;0)),IF(IK60="",TRUE,IF(input_topics="",FALSE,SUMPRODUCT(--ISNUMBER(SEARCH(","&amp;TRIM(TEXTSPLIT(IK60,","))&amp;",",","&amp;SUBSTITUTE(input_topics," ","")&amp;",")))=COUNTA(TEXTSPLIT(IK60,",")))),IF(IM60="",TRUE,IF(input_topics="",TRUE,SUMPRODUCT(--ISNUMBER(SEARCH(","&amp;TRIM(TEXTSPLIT(IM60,","))&amp;",",","&amp;SUBSTITUTE(input_topics," ","")&amp;",")))=0)),IF(IO60="",TRUE,IF(input_topics="",FALSE,SUMPRODUCT(--ISNUMBER(SEARCH(","&amp;TRIM(TEXTSPLIT(IO60,","))&amp;",",","&amp;SUBSTITUTE(input_topics," ","")&amp;",")))&gt;0)),IF(IQ60="",TRUE,IF(input_topics="",FALSE,SUMPRODUCT(--ISNUMBER(SEARCH(","&amp;TRIM(TEXTSPLIT(IQ60,","))&amp;",",","&amp;SUBSTITUTE(input_topics," ","")&amp;",")))=COUNTA(TEXTSPLIT(IQ60,",")))))</f>
        <v/>
      </c>
    </row>
    <row r="61">
      <c r="A61" s="24">
        <f>IF(NOT(IS61),"Excluded",IF(AND(IT61,IU61,IV61,IW61,IX61,IY61,IZ61,JA61,JB61,JC61,JD61,JE61,JF61,JG61,JH61,JI61,JJ61,JK61,JL61,JM61,JN61,JO61,JP61,JQ61),IF(I61&gt;0,"Eligible but limited","Will appear"),"Excluded"))</f>
        <v/>
      </c>
      <c r="B61" s="24" t="inlineStr">
        <is>
          <t>All stories</t>
        </is>
      </c>
      <c r="C61" s="27" t="inlineStr">
        <is>
          <t>/centers/international-center-for-finance</t>
        </is>
      </c>
      <c r="D61" s="24" t="inlineStr">
        <is>
          <t>/centers/international-center-for-finance</t>
        </is>
      </c>
      <c r="E61" s="24" t="n">
        <v>1</v>
      </c>
      <c r="F61" s="24" t="inlineStr">
        <is>
          <t>story</t>
        </is>
      </c>
      <c r="G61" s="24" t="inlineStr">
        <is>
          <t>stories_teaser_cards</t>
        </is>
      </c>
      <c r="H61" s="24" t="inlineStr">
        <is>
          <t>embed_all</t>
        </is>
      </c>
      <c r="I61" s="24" t="n">
        <v>3</v>
      </c>
      <c r="J61" s="29" t="inlineStr">
        <is>
          <t>Section inferred</t>
        </is>
      </c>
      <c r="K61" s="24" t="inlineStr">
        <is>
          <t>Page placement</t>
        </is>
      </c>
      <c r="L61" s="24" t="inlineStr">
        <is>
          <t>Content type: story; Context uses Courses Context: International Center for Finance (931); Limited to 3 item(s); Source: Section inferred</t>
        </is>
      </c>
      <c r="BQ61" s="19" t="inlineStr">
        <is>
          <t>931</t>
        </is>
      </c>
      <c r="BR61" s="19" t="inlineStr">
        <is>
          <t>International Center for Finance (931)</t>
        </is>
      </c>
      <c r="IS61" s="19">
        <f>IF(input_content_type="",FALSE,ISNUMBER(SEARCH(","&amp;LOWER(input_content_type)&amp;",",","&amp;LOWER(SUBSTITUTE(F61," ",""))&amp;",")))</f>
        <v/>
      </c>
      <c r="IT61" s="19">
        <f>AND(IF(M61="",TRUE,IF(input_affiliations="",FALSE,SUMPRODUCT(--ISNUMBER(SEARCH(","&amp;TRIM(TEXTSPLIT(M61,","))&amp;",",","&amp;SUBSTITUTE(input_affiliations," ","")&amp;",")))&gt;0)),IF(O61="",TRUE,IF(input_affiliations="",FALSE,SUMPRODUCT(--ISNUMBER(SEARCH(","&amp;TRIM(TEXTSPLIT(O61,","))&amp;",",","&amp;SUBSTITUTE(input_affiliations," ","")&amp;",")))=COUNTA(TEXTSPLIT(O61,",")))),IF(Q61="",TRUE,IF(input_affiliations="",TRUE,SUMPRODUCT(--ISNUMBER(SEARCH(","&amp;TRIM(TEXTSPLIT(Q61,","))&amp;",",","&amp;SUBSTITUTE(input_affiliations," ","")&amp;",")))=0)),IF(S61="",TRUE,IF(input_affiliations="",FALSE,SUMPRODUCT(--ISNUMBER(SEARCH(","&amp;TRIM(TEXTSPLIT(S61,","))&amp;",",","&amp;SUBSTITUTE(input_affiliations," ","")&amp;",")))&gt;0)),IF(U61="",TRUE,IF(input_affiliations="",FALSE,SUMPRODUCT(--ISNUMBER(SEARCH(","&amp;TRIM(TEXTSPLIT(U61,","))&amp;",",","&amp;SUBSTITUTE(input_affiliations," ","")&amp;",")))=COUNTA(TEXTSPLIT(U61,",")))))</f>
        <v/>
      </c>
      <c r="IU61" s="19">
        <f>AND(IF(W61="",TRUE,IF(input_announcement_category="",FALSE,SUMPRODUCT(--ISNUMBER(SEARCH(","&amp;TRIM(TEXTSPLIT(W61,","))&amp;",",","&amp;SUBSTITUTE(input_announcement_category," ","")&amp;",")))&gt;0)),IF(Y61="",TRUE,IF(input_announcement_category="",FALSE,SUMPRODUCT(--ISNUMBER(SEARCH(","&amp;TRIM(TEXTSPLIT(Y61,","))&amp;",",","&amp;SUBSTITUTE(input_announcement_category," ","")&amp;",")))=COUNTA(TEXTSPLIT(Y61,",")))),IF(AA61="",TRUE,IF(input_announcement_category="",TRUE,SUMPRODUCT(--ISNUMBER(SEARCH(","&amp;TRIM(TEXTSPLIT(AA61,","))&amp;",",","&amp;SUBSTITUTE(input_announcement_category," ","")&amp;",")))=0)),IF(AC61="",TRUE,IF(input_announcement_category="",FALSE,SUMPRODUCT(--ISNUMBER(SEARCH(","&amp;TRIM(TEXTSPLIT(AC61,","))&amp;",",","&amp;SUBSTITUTE(input_announcement_category," ","")&amp;",")))&gt;0)),IF(AE61="",TRUE,IF(input_announcement_category="",FALSE,SUMPRODUCT(--ISNUMBER(SEARCH(","&amp;TRIM(TEXTSPLIT(AE61,","))&amp;",",","&amp;SUBSTITUTE(input_announcement_category," ","")&amp;",")))=COUNTA(TEXTSPLIT(AE61,",")))))</f>
        <v/>
      </c>
      <c r="IV61" s="19">
        <f>AND(IF(AG61="",TRUE,IF(input_area_of_focus="",FALSE,SUMPRODUCT(--ISNUMBER(SEARCH(","&amp;TRIM(TEXTSPLIT(AG61,","))&amp;",",","&amp;SUBSTITUTE(input_area_of_focus," ","")&amp;",")))&gt;0)),IF(AI61="",TRUE,IF(input_area_of_focus="",FALSE,SUMPRODUCT(--ISNUMBER(SEARCH(","&amp;TRIM(TEXTSPLIT(AI61,","))&amp;",",","&amp;SUBSTITUTE(input_area_of_focus," ","")&amp;",")))=COUNTA(TEXTSPLIT(AI61,",")))),IF(AK61="",TRUE,IF(input_area_of_focus="",TRUE,SUMPRODUCT(--ISNUMBER(SEARCH(","&amp;TRIM(TEXTSPLIT(AK61,","))&amp;",",","&amp;SUBSTITUTE(input_area_of_focus," ","")&amp;",")))=0)),IF(AM61="",TRUE,IF(input_area_of_focus="",FALSE,SUMPRODUCT(--ISNUMBER(SEARCH(","&amp;TRIM(TEXTSPLIT(AM61,","))&amp;",",","&amp;SUBSTITUTE(input_area_of_focus," ","")&amp;",")))&gt;0)),IF(AO61="",TRUE,IF(input_area_of_focus="",FALSE,SUMPRODUCT(--ISNUMBER(SEARCH(","&amp;TRIM(TEXTSPLIT(AO61,","))&amp;",",","&amp;SUBSTITUTE(input_area_of_focus," ","")&amp;",")))=COUNTA(TEXTSPLIT(AO61,",")))))</f>
        <v/>
      </c>
      <c r="IW61" s="19">
        <f>AND(IF(AQ61="",TRUE,IF(input_audience="",FALSE,SUMPRODUCT(--ISNUMBER(SEARCH(","&amp;TRIM(TEXTSPLIT(AQ61,","))&amp;",",","&amp;SUBSTITUTE(input_audience," ","")&amp;",")))&gt;0)),IF(AS61="",TRUE,IF(input_audience="",FALSE,SUMPRODUCT(--ISNUMBER(SEARCH(","&amp;TRIM(TEXTSPLIT(AS61,","))&amp;",",","&amp;SUBSTITUTE(input_audience," ","")&amp;",")))=COUNTA(TEXTSPLIT(AS61,",")))),IF(AU61="",TRUE,IF(input_audience="",TRUE,SUMPRODUCT(--ISNUMBER(SEARCH(","&amp;TRIM(TEXTSPLIT(AU61,","))&amp;",",","&amp;SUBSTITUTE(input_audience," ","")&amp;",")))=0)),IF(AW61="",TRUE,IF(input_audience="",FALSE,SUMPRODUCT(--ISNUMBER(SEARCH(","&amp;TRIM(TEXTSPLIT(AW61,","))&amp;",",","&amp;SUBSTITUTE(input_audience," ","")&amp;",")))&gt;0)),IF(AY61="",TRUE,IF(input_audience="",FALSE,SUMPRODUCT(--ISNUMBER(SEARCH(","&amp;TRIM(TEXTSPLIT(AY61,","))&amp;",",","&amp;SUBSTITUTE(input_audience," ","")&amp;",")))=COUNTA(TEXTSPLIT(AY61,",")))))</f>
        <v/>
      </c>
      <c r="IX61" s="19">
        <f>AND(IF(BA61="",TRUE,IF(input_challenge_opportunities="",FALSE,SUMPRODUCT(--ISNUMBER(SEARCH(","&amp;TRIM(TEXTSPLIT(BA61,","))&amp;",",","&amp;SUBSTITUTE(input_challenge_opportunities," ","")&amp;",")))&gt;0)),IF(BC61="",TRUE,IF(input_challenge_opportunities="",FALSE,SUMPRODUCT(--ISNUMBER(SEARCH(","&amp;TRIM(TEXTSPLIT(BC61,","))&amp;",",","&amp;SUBSTITUTE(input_challenge_opportunities," ","")&amp;",")))=COUNTA(TEXTSPLIT(BC61,",")))),IF(BE61="",TRUE,IF(input_challenge_opportunities="",TRUE,SUMPRODUCT(--ISNUMBER(SEARCH(","&amp;TRIM(TEXTSPLIT(BE61,","))&amp;",",","&amp;SUBSTITUTE(input_challenge_opportunities," ","")&amp;",")))=0)),IF(BG61="",TRUE,IF(input_challenge_opportunities="",FALSE,SUMPRODUCT(--ISNUMBER(SEARCH(","&amp;TRIM(TEXTSPLIT(BG61,","))&amp;",",","&amp;SUBSTITUTE(input_challenge_opportunities," ","")&amp;",")))&gt;0)),IF(BI61="",TRUE,IF(input_challenge_opportunities="",FALSE,SUMPRODUCT(--ISNUMBER(SEARCH(","&amp;TRIM(TEXTSPLIT(BI61,","))&amp;",",","&amp;SUBSTITUTE(input_challenge_opportunities," ","")&amp;",")))=COUNTA(TEXTSPLIT(BI61,",")))))</f>
        <v/>
      </c>
      <c r="IY61" s="19">
        <f>AND(IF(BK61="",TRUE,IF(input_context="",FALSE,SUMPRODUCT(--ISNUMBER(SEARCH(","&amp;TRIM(TEXTSPLIT(BK61,","))&amp;",",","&amp;SUBSTITUTE(input_context," ","")&amp;",")))&gt;0)),IF(BM61="",TRUE,IF(input_context="",FALSE,SUMPRODUCT(--ISNUMBER(SEARCH(","&amp;TRIM(TEXTSPLIT(BM61,","))&amp;",",","&amp;SUBSTITUTE(input_context," ","")&amp;",")))=COUNTA(TEXTSPLIT(BM61,",")))),IF(BO61="",TRUE,IF(input_context="",TRUE,SUMPRODUCT(--ISNUMBER(SEARCH(","&amp;TRIM(TEXTSPLIT(BO61,","))&amp;",",","&amp;SUBSTITUTE(input_context," ","")&amp;",")))=0)),IF(BQ61="",TRUE,IF(input_context="",FALSE,SUMPRODUCT(--ISNUMBER(SEARCH(","&amp;TRIM(TEXTSPLIT(BQ61,","))&amp;",",","&amp;SUBSTITUTE(input_context," ","")&amp;",")))&gt;0)),IF(BS61="",TRUE,IF(input_context="",FALSE,SUMPRODUCT(--ISNUMBER(SEARCH(","&amp;TRIM(TEXTSPLIT(BS61,","))&amp;",",","&amp;SUBSTITUTE(input_context," ","")&amp;",")))=COUNTA(TEXTSPLIT(BS61,",")))))</f>
        <v/>
      </c>
      <c r="IZ61" s="19">
        <f>AND(IF(BU61="",TRUE,IF(input_enews_announcement_type="",FALSE,SUMPRODUCT(--ISNUMBER(SEARCH(","&amp;TRIM(TEXTSPLIT(BU61,","))&amp;",",","&amp;SUBSTITUTE(input_enews_announcement_type," ","")&amp;",")))&gt;0)),IF(BW61="",TRUE,IF(input_enews_announcement_type="",FALSE,SUMPRODUCT(--ISNUMBER(SEARCH(","&amp;TRIM(TEXTSPLIT(BW61,","))&amp;",",","&amp;SUBSTITUTE(input_enews_announcement_type," ","")&amp;",")))=COUNTA(TEXTSPLIT(BW61,",")))),IF(BY61="",TRUE,IF(input_enews_announcement_type="",TRUE,SUMPRODUCT(--ISNUMBER(SEARCH(","&amp;TRIM(TEXTSPLIT(BY61,","))&amp;",",","&amp;SUBSTITUTE(input_enews_announcement_type," ","")&amp;",")))=0)),IF(CA61="",TRUE,IF(input_enews_announcement_type="",FALSE,SUMPRODUCT(--ISNUMBER(SEARCH(","&amp;TRIM(TEXTSPLIT(CA61,","))&amp;",",","&amp;SUBSTITUTE(input_enews_announcement_type," ","")&amp;",")))&gt;0)),IF(CC61="",TRUE,IF(input_enews_announcement_type="",FALSE,SUMPRODUCT(--ISNUMBER(SEARCH(","&amp;TRIM(TEXTSPLIT(CC61,","))&amp;",",","&amp;SUBSTITUTE(input_enews_announcement_type," ","")&amp;",")))=COUNTA(TEXTSPLIT(CC61,",")))))</f>
        <v/>
      </c>
      <c r="JA61" s="19">
        <f>AND(IF(CE61="",TRUE,IF(input_enews_audience="",FALSE,SUMPRODUCT(--ISNUMBER(SEARCH(","&amp;TRIM(TEXTSPLIT(CE61,","))&amp;",",","&amp;SUBSTITUTE(input_enews_audience," ","")&amp;",")))&gt;0)),IF(CG61="",TRUE,IF(input_enews_audience="",FALSE,SUMPRODUCT(--ISNUMBER(SEARCH(","&amp;TRIM(TEXTSPLIT(CG61,","))&amp;",",","&amp;SUBSTITUTE(input_enews_audience," ","")&amp;",")))=COUNTA(TEXTSPLIT(CG61,",")))),IF(CI61="",TRUE,IF(input_enews_audience="",TRUE,SUMPRODUCT(--ISNUMBER(SEARCH(","&amp;TRIM(TEXTSPLIT(CI61,","))&amp;",",","&amp;SUBSTITUTE(input_enews_audience," ","")&amp;",")))=0)),IF(CK61="",TRUE,IF(input_enews_audience="",FALSE,SUMPRODUCT(--ISNUMBER(SEARCH(","&amp;TRIM(TEXTSPLIT(CK61,","))&amp;",",","&amp;SUBSTITUTE(input_enews_audience," ","")&amp;",")))&gt;0)),IF(CM61="",TRUE,IF(input_enews_audience="",FALSE,SUMPRODUCT(--ISNUMBER(SEARCH(","&amp;TRIM(TEXTSPLIT(CM61,","))&amp;",",","&amp;SUBSTITUTE(input_enews_audience," ","")&amp;",")))=COUNTA(TEXTSPLIT(CM61,",")))))</f>
        <v/>
      </c>
      <c r="JB61" s="19">
        <f>AND(IF(CO61="",TRUE,IF(input_event_location="",FALSE,SUMPRODUCT(--ISNUMBER(SEARCH(","&amp;TRIM(TEXTSPLIT(CO61,","))&amp;",",","&amp;SUBSTITUTE(input_event_location," ","")&amp;",")))&gt;0)),IF(CQ61="",TRUE,IF(input_event_location="",FALSE,SUMPRODUCT(--ISNUMBER(SEARCH(","&amp;TRIM(TEXTSPLIT(CQ61,","))&amp;",",","&amp;SUBSTITUTE(input_event_location," ","")&amp;",")))=COUNTA(TEXTSPLIT(CQ61,",")))),IF(CS61="",TRUE,IF(input_event_location="",TRUE,SUMPRODUCT(--ISNUMBER(SEARCH(","&amp;TRIM(TEXTSPLIT(CS61,","))&amp;",",","&amp;SUBSTITUTE(input_event_location," ","")&amp;",")))=0)),IF(CU61="",TRUE,IF(input_event_location="",FALSE,SUMPRODUCT(--ISNUMBER(SEARCH(","&amp;TRIM(TEXTSPLIT(CU61,","))&amp;",",","&amp;SUBSTITUTE(input_event_location," ","")&amp;",")))&gt;0)),IF(CW61="",TRUE,IF(input_event_location="",FALSE,SUMPRODUCT(--ISNUMBER(SEARCH(","&amp;TRIM(TEXTSPLIT(CW61,","))&amp;",",","&amp;SUBSTITUTE(input_event_location," ","")&amp;",")))=COUNTA(TEXTSPLIT(CW61,",")))))</f>
        <v/>
      </c>
      <c r="JC61" s="19">
        <f>AND(IF(CY61="",TRUE,IF(input_event_type="",FALSE,SUMPRODUCT(--ISNUMBER(SEARCH(","&amp;TRIM(TEXTSPLIT(CY61,","))&amp;",",","&amp;SUBSTITUTE(input_event_type," ","")&amp;",")))&gt;0)),IF(DA61="",TRUE,IF(input_event_type="",FALSE,SUMPRODUCT(--ISNUMBER(SEARCH(","&amp;TRIM(TEXTSPLIT(DA61,","))&amp;",",","&amp;SUBSTITUTE(input_event_type," ","")&amp;",")))=COUNTA(TEXTSPLIT(DA61,",")))),IF(DC61="",TRUE,IF(input_event_type="",TRUE,SUMPRODUCT(--ISNUMBER(SEARCH(","&amp;TRIM(TEXTSPLIT(DC61,","))&amp;",",","&amp;SUBSTITUTE(input_event_type," ","")&amp;",")))=0)),IF(DE61="",TRUE,IF(input_event_type="",FALSE,SUMPRODUCT(--ISNUMBER(SEARCH(","&amp;TRIM(TEXTSPLIT(DE61,","))&amp;",",","&amp;SUBSTITUTE(input_event_type," ","")&amp;",")))&gt;0)),IF(DG61="",TRUE,IF(input_event_type="",FALSE,SUMPRODUCT(--ISNUMBER(SEARCH(","&amp;TRIM(TEXTSPLIT(DG61,","))&amp;",",","&amp;SUBSTITUTE(input_event_type," ","")&amp;",")))=COUNTA(TEXTSPLIT(DG61,",")))))</f>
        <v/>
      </c>
      <c r="JD61" s="19">
        <f>AND(IF(DI61="",TRUE,IF(input_executive_education_focus="",FALSE,SUMPRODUCT(--ISNUMBER(SEARCH(","&amp;TRIM(TEXTSPLIT(DI61,","))&amp;",",","&amp;SUBSTITUTE(input_executive_education_focus," ","")&amp;",")))&gt;0)),IF(DK61="",TRUE,IF(input_executive_education_focus="",FALSE,SUMPRODUCT(--ISNUMBER(SEARCH(","&amp;TRIM(TEXTSPLIT(DK61,","))&amp;",",","&amp;SUBSTITUTE(input_executive_education_focus," ","")&amp;",")))=COUNTA(TEXTSPLIT(DK61,",")))),IF(DM61="",TRUE,IF(input_executive_education_focus="",TRUE,SUMPRODUCT(--ISNUMBER(SEARCH(","&amp;TRIM(TEXTSPLIT(DM61,","))&amp;",",","&amp;SUBSTITUTE(input_executive_education_focus," ","")&amp;",")))=0)),IF(DO61="",TRUE,IF(input_executive_education_focus="",FALSE,SUMPRODUCT(--ISNUMBER(SEARCH(","&amp;TRIM(TEXTSPLIT(DO61,","))&amp;",",","&amp;SUBSTITUTE(input_executive_education_focus," ","")&amp;",")))&gt;0)),IF(DQ61="",TRUE,IF(input_executive_education_focus="",FALSE,SUMPRODUCT(--ISNUMBER(SEARCH(","&amp;TRIM(TEXTSPLIT(DQ61,","))&amp;",",","&amp;SUBSTITUTE(input_executive_education_focus," ","")&amp;",")))=COUNTA(TEXTSPLIT(DQ61,",")))))</f>
        <v/>
      </c>
      <c r="JE61" s="19">
        <f>AND(IF(DS61="",TRUE,IF(input_faculty_category="",FALSE,SUMPRODUCT(--ISNUMBER(SEARCH(","&amp;TRIM(TEXTSPLIT(DS61,","))&amp;",",","&amp;SUBSTITUTE(input_faculty_category," ","")&amp;",")))&gt;0)),IF(DU61="",TRUE,IF(input_faculty_category="",FALSE,SUMPRODUCT(--ISNUMBER(SEARCH(","&amp;TRIM(TEXTSPLIT(DU61,","))&amp;",",","&amp;SUBSTITUTE(input_faculty_category," ","")&amp;",")))=COUNTA(TEXTSPLIT(DU61,",")))),IF(DW61="",TRUE,IF(input_faculty_category="",TRUE,SUMPRODUCT(--ISNUMBER(SEARCH(","&amp;TRIM(TEXTSPLIT(DW61,","))&amp;",",","&amp;SUBSTITUTE(input_faculty_category," ","")&amp;",")))=0)),IF(DY61="",TRUE,IF(input_faculty_category="",FALSE,SUMPRODUCT(--ISNUMBER(SEARCH(","&amp;TRIM(TEXTSPLIT(DY61,","))&amp;",",","&amp;SUBSTITUTE(input_faculty_category," ","")&amp;",")))&gt;0)),IF(EA61="",TRUE,IF(input_faculty_category="",FALSE,SUMPRODUCT(--ISNUMBER(SEARCH(","&amp;TRIM(TEXTSPLIT(EA61,","))&amp;",",","&amp;SUBSTITUTE(input_faculty_category," ","")&amp;",")))=COUNTA(TEXTSPLIT(EA61,",")))))</f>
        <v/>
      </c>
      <c r="JF61" s="19">
        <f>AND(IF(EC61="",TRUE,IF(input_faculty_discipline="",FALSE,SUMPRODUCT(--ISNUMBER(SEARCH(","&amp;TRIM(TEXTSPLIT(EC61,","))&amp;",",","&amp;SUBSTITUTE(input_faculty_discipline," ","")&amp;",")))&gt;0)),IF(EE61="",TRUE,IF(input_faculty_discipline="",FALSE,SUMPRODUCT(--ISNUMBER(SEARCH(","&amp;TRIM(TEXTSPLIT(EE61,","))&amp;",",","&amp;SUBSTITUTE(input_faculty_discipline," ","")&amp;",")))=COUNTA(TEXTSPLIT(EE61,",")))),IF(EG61="",TRUE,IF(input_faculty_discipline="",TRUE,SUMPRODUCT(--ISNUMBER(SEARCH(","&amp;TRIM(TEXTSPLIT(EG61,","))&amp;",",","&amp;SUBSTITUTE(input_faculty_discipline," ","")&amp;",")))=0)),IF(EI61="",TRUE,IF(input_faculty_discipline="",FALSE,SUMPRODUCT(--ISNUMBER(SEARCH(","&amp;TRIM(TEXTSPLIT(EI61,","))&amp;",",","&amp;SUBSTITUTE(input_faculty_discipline," ","")&amp;",")))&gt;0)),IF(EK61="",TRUE,IF(input_faculty_discipline="",FALSE,SUMPRODUCT(--ISNUMBER(SEARCH(","&amp;TRIM(TEXTSPLIT(EK61,","))&amp;",",","&amp;SUBSTITUTE(input_faculty_discipline," ","")&amp;",")))=COUNTA(TEXTSPLIT(EK61,",")))))</f>
        <v/>
      </c>
      <c r="JG61" s="19">
        <f>AND(IF(EM61="",TRUE,IF(input_faculty_expertise="",FALSE,SUMPRODUCT(--ISNUMBER(SEARCH(","&amp;TRIM(TEXTSPLIT(EM61,","))&amp;",",","&amp;SUBSTITUTE(input_faculty_expertise," ","")&amp;",")))&gt;0)),IF(EO61="",TRUE,IF(input_faculty_expertise="",FALSE,SUMPRODUCT(--ISNUMBER(SEARCH(","&amp;TRIM(TEXTSPLIT(EO61,","))&amp;",",","&amp;SUBSTITUTE(input_faculty_expertise," ","")&amp;",")))=COUNTA(TEXTSPLIT(EO61,",")))),IF(EQ61="",TRUE,IF(input_faculty_expertise="",TRUE,SUMPRODUCT(--ISNUMBER(SEARCH(","&amp;TRIM(TEXTSPLIT(EQ61,","))&amp;",",","&amp;SUBSTITUTE(input_faculty_expertise," ","")&amp;",")))=0)),IF(ES61="",TRUE,IF(input_faculty_expertise="",FALSE,SUMPRODUCT(--ISNUMBER(SEARCH(","&amp;TRIM(TEXTSPLIT(ES61,","))&amp;",",","&amp;SUBSTITUTE(input_faculty_expertise," ","")&amp;",")))&gt;0)),IF(EU61="",TRUE,IF(input_faculty_expertise="",FALSE,SUMPRODUCT(--ISNUMBER(SEARCH(","&amp;TRIM(TEXTSPLIT(EU61,","))&amp;",",","&amp;SUBSTITUTE(input_faculty_expertise," ","")&amp;",")))=COUNTA(TEXTSPLIT(EU61,",")))))</f>
        <v/>
      </c>
      <c r="JH61" s="19">
        <f>AND(IF(EW61="",TRUE,IF(input_global_network_school="",FALSE,SUMPRODUCT(--ISNUMBER(SEARCH(","&amp;TRIM(TEXTSPLIT(EW61,","))&amp;",",","&amp;SUBSTITUTE(input_global_network_school," ","")&amp;",")))&gt;0)),IF(EY61="",TRUE,IF(input_global_network_school="",FALSE,SUMPRODUCT(--ISNUMBER(SEARCH(","&amp;TRIM(TEXTSPLIT(EY61,","))&amp;",",","&amp;SUBSTITUTE(input_global_network_school," ","")&amp;",")))=COUNTA(TEXTSPLIT(EY61,",")))),IF(FA61="",TRUE,IF(input_global_network_school="",TRUE,SUMPRODUCT(--ISNUMBER(SEARCH(","&amp;TRIM(TEXTSPLIT(FA61,","))&amp;",",","&amp;SUBSTITUTE(input_global_network_school," ","")&amp;",")))=0)),IF(FC61="",TRUE,IF(input_global_network_school="",FALSE,SUMPRODUCT(--ISNUMBER(SEARCH(","&amp;TRIM(TEXTSPLIT(FC61,","))&amp;",",","&amp;SUBSTITUTE(input_global_network_school," ","")&amp;",")))&gt;0)),IF(FE61="",TRUE,IF(input_global_network_school="",FALSE,SUMPRODUCT(--ISNUMBER(SEARCH(","&amp;TRIM(TEXTSPLIT(FE61,","))&amp;",",","&amp;SUBSTITUTE(input_global_network_school," ","")&amp;",")))=COUNTA(TEXTSPLIT(FE61,",")))))</f>
        <v/>
      </c>
      <c r="JI61" s="19">
        <f>AND(IF(FG61="",TRUE,IF(input_industry="",FALSE,SUMPRODUCT(--ISNUMBER(SEARCH(","&amp;TRIM(TEXTSPLIT(FG61,","))&amp;",",","&amp;SUBSTITUTE(input_industry," ","")&amp;",")))&gt;0)),IF(FI61="",TRUE,IF(input_industry="",FALSE,SUMPRODUCT(--ISNUMBER(SEARCH(","&amp;TRIM(TEXTSPLIT(FI61,","))&amp;",",","&amp;SUBSTITUTE(input_industry," ","")&amp;",")))=COUNTA(TEXTSPLIT(FI61,",")))),IF(FK61="",TRUE,IF(input_industry="",TRUE,SUMPRODUCT(--ISNUMBER(SEARCH(","&amp;TRIM(TEXTSPLIT(FK61,","))&amp;",",","&amp;SUBSTITUTE(input_industry," ","")&amp;",")))=0)),IF(FM61="",TRUE,IF(input_industry="",FALSE,SUMPRODUCT(--ISNUMBER(SEARCH(","&amp;TRIM(TEXTSPLIT(FM61,","))&amp;",",","&amp;SUBSTITUTE(input_industry," ","")&amp;",")))&gt;0)),IF(FO61="",TRUE,IF(input_industry="",FALSE,SUMPRODUCT(--ISNUMBER(SEARCH(","&amp;TRIM(TEXTSPLIT(FO61,","))&amp;",",","&amp;SUBSTITUTE(input_industry," ","")&amp;",")))=COUNTA(TEXTSPLIT(FO61,",")))))</f>
        <v/>
      </c>
      <c r="JJ61" s="19">
        <f>AND(IF(FQ61="",TRUE,IF(input_location="",FALSE,SUMPRODUCT(--ISNUMBER(SEARCH(","&amp;TRIM(TEXTSPLIT(FQ61,","))&amp;",",","&amp;SUBSTITUTE(input_location," ","")&amp;",")))&gt;0)),IF(FS61="",TRUE,IF(input_location="",FALSE,SUMPRODUCT(--ISNUMBER(SEARCH(","&amp;TRIM(TEXTSPLIT(FS61,","))&amp;",",","&amp;SUBSTITUTE(input_location," ","")&amp;",")))=COUNTA(TEXTSPLIT(FS61,",")))),IF(FU61="",TRUE,IF(input_location="",TRUE,SUMPRODUCT(--ISNUMBER(SEARCH(","&amp;TRIM(TEXTSPLIT(FU61,","))&amp;",",","&amp;SUBSTITUTE(input_location," ","")&amp;",")))=0)),IF(FW61="",TRUE,IF(input_location="",FALSE,SUMPRODUCT(--ISNUMBER(SEARCH(","&amp;TRIM(TEXTSPLIT(FW61,","))&amp;",",","&amp;SUBSTITUTE(input_location," ","")&amp;",")))&gt;0)),IF(FY61="",TRUE,IF(input_location="",FALSE,SUMPRODUCT(--ISNUMBER(SEARCH(","&amp;TRIM(TEXTSPLIT(FY61,","))&amp;",",","&amp;SUBSTITUTE(input_location," ","")&amp;",")))=COUNTA(TEXTSPLIT(FY61,",")))))</f>
        <v/>
      </c>
      <c r="JK61" s="19">
        <f>AND(IF(GA61="",TRUE,IF(input_modality="",FALSE,SUMPRODUCT(--ISNUMBER(SEARCH(","&amp;TRIM(TEXTSPLIT(GA61,","))&amp;",",","&amp;SUBSTITUTE(input_modality," ","")&amp;",")))&gt;0)),IF(GC61="",TRUE,IF(input_modality="",FALSE,SUMPRODUCT(--ISNUMBER(SEARCH(","&amp;TRIM(TEXTSPLIT(GC61,","))&amp;",",","&amp;SUBSTITUTE(input_modality," ","")&amp;",")))=COUNTA(TEXTSPLIT(GC61,",")))),IF(GE61="",TRUE,IF(input_modality="",TRUE,SUMPRODUCT(--ISNUMBER(SEARCH(","&amp;TRIM(TEXTSPLIT(GE61,","))&amp;",",","&amp;SUBSTITUTE(input_modality," ","")&amp;",")))=0)),IF(GG61="",TRUE,IF(input_modality="",FALSE,SUMPRODUCT(--ISNUMBER(SEARCH(","&amp;TRIM(TEXTSPLIT(GG61,","))&amp;",",","&amp;SUBSTITUTE(input_modality," ","")&amp;",")))&gt;0)),IF(GI61="",TRUE,IF(input_modality="",FALSE,SUMPRODUCT(--ISNUMBER(SEARCH(","&amp;TRIM(TEXTSPLIT(GI61,","))&amp;",",","&amp;SUBSTITUTE(input_modality," ","")&amp;",")))=COUNTA(TEXTSPLIT(GI61,",")))))</f>
        <v/>
      </c>
      <c r="JL61" s="19">
        <f>AND(IF(GK61="",TRUE,IF(input_organizer="",FALSE,SUMPRODUCT(--ISNUMBER(SEARCH(","&amp;TRIM(TEXTSPLIT(GK61,","))&amp;",",","&amp;SUBSTITUTE(input_organizer," ","")&amp;",")))&gt;0)),IF(GM61="",TRUE,IF(input_organizer="",FALSE,SUMPRODUCT(--ISNUMBER(SEARCH(","&amp;TRIM(TEXTSPLIT(GM61,","))&amp;",",","&amp;SUBSTITUTE(input_organizer," ","")&amp;",")))=COUNTA(TEXTSPLIT(GM61,",")))),IF(GO61="",TRUE,IF(input_organizer="",TRUE,SUMPRODUCT(--ISNUMBER(SEARCH(","&amp;TRIM(TEXTSPLIT(GO61,","))&amp;",",","&amp;SUBSTITUTE(input_organizer," ","")&amp;",")))=0)),IF(GQ61="",TRUE,IF(input_organizer="",FALSE,SUMPRODUCT(--ISNUMBER(SEARCH(","&amp;TRIM(TEXTSPLIT(GQ61,","))&amp;",",","&amp;SUBSTITUTE(input_organizer," ","")&amp;",")))&gt;0)),IF(GS61="",TRUE,IF(input_organizer="",FALSE,SUMPRODUCT(--ISNUMBER(SEARCH(","&amp;TRIM(TEXTSPLIT(GS61,","))&amp;",",","&amp;SUBSTITUTE(input_organizer," ","")&amp;",")))=COUNTA(TEXTSPLIT(GS61,",")))))</f>
        <v/>
      </c>
      <c r="JM61" s="19">
        <f>AND(IF(GU61="",TRUE,IF(input_profile_type="",FALSE,SUMPRODUCT(--ISNUMBER(SEARCH(","&amp;TRIM(TEXTSPLIT(GU61,","))&amp;",",","&amp;SUBSTITUTE(input_profile_type," ","")&amp;",")))&gt;0)),IF(GW61="",TRUE,IF(input_profile_type="",FALSE,SUMPRODUCT(--ISNUMBER(SEARCH(","&amp;TRIM(TEXTSPLIT(GW61,","))&amp;",",","&amp;SUBSTITUTE(input_profile_type," ","")&amp;",")))=COUNTA(TEXTSPLIT(GW61,",")))),IF(GY61="",TRUE,IF(input_profile_type="",TRUE,SUMPRODUCT(--ISNUMBER(SEARCH(","&amp;TRIM(TEXTSPLIT(GY61,","))&amp;",",","&amp;SUBSTITUTE(input_profile_type," ","")&amp;",")))=0)),IF(HA61="",TRUE,IF(input_profile_type="",FALSE,SUMPRODUCT(--ISNUMBER(SEARCH(","&amp;TRIM(TEXTSPLIT(HA61,","))&amp;",",","&amp;SUBSTITUTE(input_profile_type," ","")&amp;",")))&gt;0)),IF(HC61="",TRUE,IF(input_profile_type="",FALSE,SUMPRODUCT(--ISNUMBER(SEARCH(","&amp;TRIM(TEXTSPLIT(HC61,","))&amp;",",","&amp;SUBSTITUTE(input_profile_type," ","")&amp;",")))=COUNTA(TEXTSPLIT(HC61,",")))))</f>
        <v/>
      </c>
      <c r="JN61" s="19">
        <f>AND(IF(HE61="",TRUE,IF(input_program="",FALSE,SUMPRODUCT(--ISNUMBER(SEARCH(","&amp;TRIM(TEXTSPLIT(HE61,","))&amp;",",","&amp;SUBSTITUTE(input_program," ","")&amp;",")))&gt;0)),IF(HG61="",TRUE,IF(input_program="",FALSE,SUMPRODUCT(--ISNUMBER(SEARCH(","&amp;TRIM(TEXTSPLIT(HG61,","))&amp;",",","&amp;SUBSTITUTE(input_program," ","")&amp;",")))=COUNTA(TEXTSPLIT(HG61,",")))),IF(HI61="",TRUE,IF(input_program="",TRUE,SUMPRODUCT(--ISNUMBER(SEARCH(","&amp;TRIM(TEXTSPLIT(HI61,","))&amp;",",","&amp;SUBSTITUTE(input_program," ","")&amp;",")))=0)),IF(HK61="",TRUE,IF(input_program="",FALSE,SUMPRODUCT(--ISNUMBER(SEARCH(","&amp;TRIM(TEXTSPLIT(HK61,","))&amp;",",","&amp;SUBSTITUTE(input_program," ","")&amp;",")))&gt;0)),IF(HM61="",TRUE,IF(input_program="",FALSE,SUMPRODUCT(--ISNUMBER(SEARCH(","&amp;TRIM(TEXTSPLIT(HM61,","))&amp;",",","&amp;SUBSTITUTE(input_program," ","")&amp;",")))=COUNTA(TEXTSPLIT(HM61,",")))))</f>
        <v/>
      </c>
      <c r="JO61" s="19">
        <f>AND(IF(HO61="",TRUE,IF(input_story_categories="",FALSE,SUMPRODUCT(--ISNUMBER(SEARCH(","&amp;TRIM(TEXTSPLIT(HO61,","))&amp;",",","&amp;SUBSTITUTE(input_story_categories," ","")&amp;",")))&gt;0)),IF(HQ61="",TRUE,IF(input_story_categories="",FALSE,SUMPRODUCT(--ISNUMBER(SEARCH(","&amp;TRIM(TEXTSPLIT(HQ61,","))&amp;",",","&amp;SUBSTITUTE(input_story_categories," ","")&amp;",")))=COUNTA(TEXTSPLIT(HQ61,",")))),IF(HS61="",TRUE,IF(input_story_categories="",TRUE,SUMPRODUCT(--ISNUMBER(SEARCH(","&amp;TRIM(TEXTSPLIT(HS61,","))&amp;",",","&amp;SUBSTITUTE(input_story_categories," ","")&amp;",")))=0)),IF(HU61="",TRUE,IF(input_story_categories="",FALSE,SUMPRODUCT(--ISNUMBER(SEARCH(","&amp;TRIM(TEXTSPLIT(HU61,","))&amp;",",","&amp;SUBSTITUTE(input_story_categories," ","")&amp;",")))&gt;0)),IF(HW61="",TRUE,IF(input_story_categories="",FALSE,SUMPRODUCT(--ISNUMBER(SEARCH(","&amp;TRIM(TEXTSPLIT(HW61,","))&amp;",",","&amp;SUBSTITUTE(input_story_categories," ","")&amp;",")))=COUNTA(TEXTSPLIT(HW61,",")))))</f>
        <v/>
      </c>
      <c r="JP61" s="19">
        <f>AND(IF(HY61="",TRUE,IF(input_story_type="",FALSE,SUMPRODUCT(--ISNUMBER(SEARCH(","&amp;TRIM(TEXTSPLIT(HY61,","))&amp;",",","&amp;SUBSTITUTE(input_story_type," ","")&amp;",")))&gt;0)),IF(IA61="",TRUE,IF(input_story_type="",FALSE,SUMPRODUCT(--ISNUMBER(SEARCH(","&amp;TRIM(TEXTSPLIT(IA61,","))&amp;",",","&amp;SUBSTITUTE(input_story_type," ","")&amp;",")))=COUNTA(TEXTSPLIT(IA61,",")))),IF(IC61="",TRUE,IF(input_story_type="",TRUE,SUMPRODUCT(--ISNUMBER(SEARCH(","&amp;TRIM(TEXTSPLIT(IC61,","))&amp;",",","&amp;SUBSTITUTE(input_story_type," ","")&amp;",")))=0)),IF(IE61="",TRUE,IF(input_story_type="",FALSE,SUMPRODUCT(--ISNUMBER(SEARCH(","&amp;TRIM(TEXTSPLIT(IE61,","))&amp;",",","&amp;SUBSTITUTE(input_story_type," ","")&amp;",")))&gt;0)),IF(IG61="",TRUE,IF(input_story_type="",FALSE,SUMPRODUCT(--ISNUMBER(SEARCH(","&amp;TRIM(TEXTSPLIT(IG61,","))&amp;",",","&amp;SUBSTITUTE(input_story_type," ","")&amp;",")))=COUNTA(TEXTSPLIT(IG61,",")))))</f>
        <v/>
      </c>
      <c r="JQ61" s="19">
        <f>AND(IF(II61="",TRUE,IF(input_topics="",FALSE,SUMPRODUCT(--ISNUMBER(SEARCH(","&amp;TRIM(TEXTSPLIT(II61,","))&amp;",",","&amp;SUBSTITUTE(input_topics," ","")&amp;",")))&gt;0)),IF(IK61="",TRUE,IF(input_topics="",FALSE,SUMPRODUCT(--ISNUMBER(SEARCH(","&amp;TRIM(TEXTSPLIT(IK61,","))&amp;",",","&amp;SUBSTITUTE(input_topics," ","")&amp;",")))=COUNTA(TEXTSPLIT(IK61,",")))),IF(IM61="",TRUE,IF(input_topics="",TRUE,SUMPRODUCT(--ISNUMBER(SEARCH(","&amp;TRIM(TEXTSPLIT(IM61,","))&amp;",",","&amp;SUBSTITUTE(input_topics," ","")&amp;",")))=0)),IF(IO61="",TRUE,IF(input_topics="",FALSE,SUMPRODUCT(--ISNUMBER(SEARCH(","&amp;TRIM(TEXTSPLIT(IO61,","))&amp;",",","&amp;SUBSTITUTE(input_topics," ","")&amp;",")))&gt;0)),IF(IQ61="",TRUE,IF(input_topics="",FALSE,SUMPRODUCT(--ISNUMBER(SEARCH(","&amp;TRIM(TEXTSPLIT(IQ61,","))&amp;",",","&amp;SUBSTITUTE(input_topics," ","")&amp;",")))=COUNTA(TEXTSPLIT(IQ61,",")))))</f>
        <v/>
      </c>
    </row>
    <row r="62">
      <c r="A62" s="24">
        <f>IF(NOT(IS62),"Excluded",IF(AND(IT62,IU62,IV62,IW62,IX62,IY62,IZ62,JA62,JB62,JC62,JD62,JE62,JF62,JG62,JH62,JI62,JJ62,JK62,JL62,JM62,JN62,JO62,JP62,JQ62),IF(I62&gt;0,"Eligible but limited","Will appear"),"Excluded"))</f>
        <v/>
      </c>
      <c r="B62" s="24" t="inlineStr">
        <is>
          <t>All stories</t>
        </is>
      </c>
      <c r="C62" s="27" t="inlineStr">
        <is>
          <t>/centers/program-on-entrepreneurship</t>
        </is>
      </c>
      <c r="D62" s="24" t="inlineStr">
        <is>
          <t>/centers/program-on-entrepreneurship</t>
        </is>
      </c>
      <c r="E62" s="24" t="n">
        <v>1</v>
      </c>
      <c r="F62" s="24" t="inlineStr">
        <is>
          <t>story</t>
        </is>
      </c>
      <c r="G62" s="24" t="inlineStr">
        <is>
          <t>stories_grid_without_images</t>
        </is>
      </c>
      <c r="H62" s="24" t="inlineStr">
        <is>
          <t>embed_1</t>
        </is>
      </c>
      <c r="I62" s="24" t="n">
        <v>3</v>
      </c>
      <c r="J62" s="29" t="inlineStr">
        <is>
          <t>Section inferred</t>
        </is>
      </c>
      <c r="K62" s="24" t="inlineStr">
        <is>
          <t>Page placement</t>
        </is>
      </c>
      <c r="L62" s="24" t="inlineStr">
        <is>
          <t>Content type: story; Context uses Courses Context: Program on Entrepreneurship (934); Limited to 3 item(s); Source: Section inferred</t>
        </is>
      </c>
      <c r="BQ62" s="19" t="inlineStr">
        <is>
          <t>934</t>
        </is>
      </c>
      <c r="BR62" s="19" t="inlineStr">
        <is>
          <t>Program on Entrepreneurship (934)</t>
        </is>
      </c>
      <c r="IS62" s="19">
        <f>IF(input_content_type="",FALSE,ISNUMBER(SEARCH(","&amp;LOWER(input_content_type)&amp;",",","&amp;LOWER(SUBSTITUTE(F62," ",""))&amp;",")))</f>
        <v/>
      </c>
      <c r="IT62" s="19">
        <f>AND(IF(M62="",TRUE,IF(input_affiliations="",FALSE,SUMPRODUCT(--ISNUMBER(SEARCH(","&amp;TRIM(TEXTSPLIT(M62,","))&amp;",",","&amp;SUBSTITUTE(input_affiliations," ","")&amp;",")))&gt;0)),IF(O62="",TRUE,IF(input_affiliations="",FALSE,SUMPRODUCT(--ISNUMBER(SEARCH(","&amp;TRIM(TEXTSPLIT(O62,","))&amp;",",","&amp;SUBSTITUTE(input_affiliations," ","")&amp;",")))=COUNTA(TEXTSPLIT(O62,",")))),IF(Q62="",TRUE,IF(input_affiliations="",TRUE,SUMPRODUCT(--ISNUMBER(SEARCH(","&amp;TRIM(TEXTSPLIT(Q62,","))&amp;",",","&amp;SUBSTITUTE(input_affiliations," ","")&amp;",")))=0)),IF(S62="",TRUE,IF(input_affiliations="",FALSE,SUMPRODUCT(--ISNUMBER(SEARCH(","&amp;TRIM(TEXTSPLIT(S62,","))&amp;",",","&amp;SUBSTITUTE(input_affiliations," ","")&amp;",")))&gt;0)),IF(U62="",TRUE,IF(input_affiliations="",FALSE,SUMPRODUCT(--ISNUMBER(SEARCH(","&amp;TRIM(TEXTSPLIT(U62,","))&amp;",",","&amp;SUBSTITUTE(input_affiliations," ","")&amp;",")))=COUNTA(TEXTSPLIT(U62,",")))))</f>
        <v/>
      </c>
      <c r="IU62" s="19">
        <f>AND(IF(W62="",TRUE,IF(input_announcement_category="",FALSE,SUMPRODUCT(--ISNUMBER(SEARCH(","&amp;TRIM(TEXTSPLIT(W62,","))&amp;",",","&amp;SUBSTITUTE(input_announcement_category," ","")&amp;",")))&gt;0)),IF(Y62="",TRUE,IF(input_announcement_category="",FALSE,SUMPRODUCT(--ISNUMBER(SEARCH(","&amp;TRIM(TEXTSPLIT(Y62,","))&amp;",",","&amp;SUBSTITUTE(input_announcement_category," ","")&amp;",")))=COUNTA(TEXTSPLIT(Y62,",")))),IF(AA62="",TRUE,IF(input_announcement_category="",TRUE,SUMPRODUCT(--ISNUMBER(SEARCH(","&amp;TRIM(TEXTSPLIT(AA62,","))&amp;",",","&amp;SUBSTITUTE(input_announcement_category," ","")&amp;",")))=0)),IF(AC62="",TRUE,IF(input_announcement_category="",FALSE,SUMPRODUCT(--ISNUMBER(SEARCH(","&amp;TRIM(TEXTSPLIT(AC62,","))&amp;",",","&amp;SUBSTITUTE(input_announcement_category," ","")&amp;",")))&gt;0)),IF(AE62="",TRUE,IF(input_announcement_category="",FALSE,SUMPRODUCT(--ISNUMBER(SEARCH(","&amp;TRIM(TEXTSPLIT(AE62,","))&amp;",",","&amp;SUBSTITUTE(input_announcement_category," ","")&amp;",")))=COUNTA(TEXTSPLIT(AE62,",")))))</f>
        <v/>
      </c>
      <c r="IV62" s="19">
        <f>AND(IF(AG62="",TRUE,IF(input_area_of_focus="",FALSE,SUMPRODUCT(--ISNUMBER(SEARCH(","&amp;TRIM(TEXTSPLIT(AG62,","))&amp;",",","&amp;SUBSTITUTE(input_area_of_focus," ","")&amp;",")))&gt;0)),IF(AI62="",TRUE,IF(input_area_of_focus="",FALSE,SUMPRODUCT(--ISNUMBER(SEARCH(","&amp;TRIM(TEXTSPLIT(AI62,","))&amp;",",","&amp;SUBSTITUTE(input_area_of_focus," ","")&amp;",")))=COUNTA(TEXTSPLIT(AI62,",")))),IF(AK62="",TRUE,IF(input_area_of_focus="",TRUE,SUMPRODUCT(--ISNUMBER(SEARCH(","&amp;TRIM(TEXTSPLIT(AK62,","))&amp;",",","&amp;SUBSTITUTE(input_area_of_focus," ","")&amp;",")))=0)),IF(AM62="",TRUE,IF(input_area_of_focus="",FALSE,SUMPRODUCT(--ISNUMBER(SEARCH(","&amp;TRIM(TEXTSPLIT(AM62,","))&amp;",",","&amp;SUBSTITUTE(input_area_of_focus," ","")&amp;",")))&gt;0)),IF(AO62="",TRUE,IF(input_area_of_focus="",FALSE,SUMPRODUCT(--ISNUMBER(SEARCH(","&amp;TRIM(TEXTSPLIT(AO62,","))&amp;",",","&amp;SUBSTITUTE(input_area_of_focus," ","")&amp;",")))=COUNTA(TEXTSPLIT(AO62,",")))))</f>
        <v/>
      </c>
      <c r="IW62" s="19">
        <f>AND(IF(AQ62="",TRUE,IF(input_audience="",FALSE,SUMPRODUCT(--ISNUMBER(SEARCH(","&amp;TRIM(TEXTSPLIT(AQ62,","))&amp;",",","&amp;SUBSTITUTE(input_audience," ","")&amp;",")))&gt;0)),IF(AS62="",TRUE,IF(input_audience="",FALSE,SUMPRODUCT(--ISNUMBER(SEARCH(","&amp;TRIM(TEXTSPLIT(AS62,","))&amp;",",","&amp;SUBSTITUTE(input_audience," ","")&amp;",")))=COUNTA(TEXTSPLIT(AS62,",")))),IF(AU62="",TRUE,IF(input_audience="",TRUE,SUMPRODUCT(--ISNUMBER(SEARCH(","&amp;TRIM(TEXTSPLIT(AU62,","))&amp;",",","&amp;SUBSTITUTE(input_audience," ","")&amp;",")))=0)),IF(AW62="",TRUE,IF(input_audience="",FALSE,SUMPRODUCT(--ISNUMBER(SEARCH(","&amp;TRIM(TEXTSPLIT(AW62,","))&amp;",",","&amp;SUBSTITUTE(input_audience," ","")&amp;",")))&gt;0)),IF(AY62="",TRUE,IF(input_audience="",FALSE,SUMPRODUCT(--ISNUMBER(SEARCH(","&amp;TRIM(TEXTSPLIT(AY62,","))&amp;",",","&amp;SUBSTITUTE(input_audience," ","")&amp;",")))=COUNTA(TEXTSPLIT(AY62,",")))))</f>
        <v/>
      </c>
      <c r="IX62" s="19">
        <f>AND(IF(BA62="",TRUE,IF(input_challenge_opportunities="",FALSE,SUMPRODUCT(--ISNUMBER(SEARCH(","&amp;TRIM(TEXTSPLIT(BA62,","))&amp;",",","&amp;SUBSTITUTE(input_challenge_opportunities," ","")&amp;",")))&gt;0)),IF(BC62="",TRUE,IF(input_challenge_opportunities="",FALSE,SUMPRODUCT(--ISNUMBER(SEARCH(","&amp;TRIM(TEXTSPLIT(BC62,","))&amp;",",","&amp;SUBSTITUTE(input_challenge_opportunities," ","")&amp;",")))=COUNTA(TEXTSPLIT(BC62,",")))),IF(BE62="",TRUE,IF(input_challenge_opportunities="",TRUE,SUMPRODUCT(--ISNUMBER(SEARCH(","&amp;TRIM(TEXTSPLIT(BE62,","))&amp;",",","&amp;SUBSTITUTE(input_challenge_opportunities," ","")&amp;",")))=0)),IF(BG62="",TRUE,IF(input_challenge_opportunities="",FALSE,SUMPRODUCT(--ISNUMBER(SEARCH(","&amp;TRIM(TEXTSPLIT(BG62,","))&amp;",",","&amp;SUBSTITUTE(input_challenge_opportunities," ","")&amp;",")))&gt;0)),IF(BI62="",TRUE,IF(input_challenge_opportunities="",FALSE,SUMPRODUCT(--ISNUMBER(SEARCH(","&amp;TRIM(TEXTSPLIT(BI62,","))&amp;",",","&amp;SUBSTITUTE(input_challenge_opportunities," ","")&amp;",")))=COUNTA(TEXTSPLIT(BI62,",")))))</f>
        <v/>
      </c>
      <c r="IY62" s="19">
        <f>AND(IF(BK62="",TRUE,IF(input_context="",FALSE,SUMPRODUCT(--ISNUMBER(SEARCH(","&amp;TRIM(TEXTSPLIT(BK62,","))&amp;",",","&amp;SUBSTITUTE(input_context," ","")&amp;",")))&gt;0)),IF(BM62="",TRUE,IF(input_context="",FALSE,SUMPRODUCT(--ISNUMBER(SEARCH(","&amp;TRIM(TEXTSPLIT(BM62,","))&amp;",",","&amp;SUBSTITUTE(input_context," ","")&amp;",")))=COUNTA(TEXTSPLIT(BM62,",")))),IF(BO62="",TRUE,IF(input_context="",TRUE,SUMPRODUCT(--ISNUMBER(SEARCH(","&amp;TRIM(TEXTSPLIT(BO62,","))&amp;",",","&amp;SUBSTITUTE(input_context," ","")&amp;",")))=0)),IF(BQ62="",TRUE,IF(input_context="",FALSE,SUMPRODUCT(--ISNUMBER(SEARCH(","&amp;TRIM(TEXTSPLIT(BQ62,","))&amp;",",","&amp;SUBSTITUTE(input_context," ","")&amp;",")))&gt;0)),IF(BS62="",TRUE,IF(input_context="",FALSE,SUMPRODUCT(--ISNUMBER(SEARCH(","&amp;TRIM(TEXTSPLIT(BS62,","))&amp;",",","&amp;SUBSTITUTE(input_context," ","")&amp;",")))=COUNTA(TEXTSPLIT(BS62,",")))))</f>
        <v/>
      </c>
      <c r="IZ62" s="19">
        <f>AND(IF(BU62="",TRUE,IF(input_enews_announcement_type="",FALSE,SUMPRODUCT(--ISNUMBER(SEARCH(","&amp;TRIM(TEXTSPLIT(BU62,","))&amp;",",","&amp;SUBSTITUTE(input_enews_announcement_type," ","")&amp;",")))&gt;0)),IF(BW62="",TRUE,IF(input_enews_announcement_type="",FALSE,SUMPRODUCT(--ISNUMBER(SEARCH(","&amp;TRIM(TEXTSPLIT(BW62,","))&amp;",",","&amp;SUBSTITUTE(input_enews_announcement_type," ","")&amp;",")))=COUNTA(TEXTSPLIT(BW62,",")))),IF(BY62="",TRUE,IF(input_enews_announcement_type="",TRUE,SUMPRODUCT(--ISNUMBER(SEARCH(","&amp;TRIM(TEXTSPLIT(BY62,","))&amp;",",","&amp;SUBSTITUTE(input_enews_announcement_type," ","")&amp;",")))=0)),IF(CA62="",TRUE,IF(input_enews_announcement_type="",FALSE,SUMPRODUCT(--ISNUMBER(SEARCH(","&amp;TRIM(TEXTSPLIT(CA62,","))&amp;",",","&amp;SUBSTITUTE(input_enews_announcement_type," ","")&amp;",")))&gt;0)),IF(CC62="",TRUE,IF(input_enews_announcement_type="",FALSE,SUMPRODUCT(--ISNUMBER(SEARCH(","&amp;TRIM(TEXTSPLIT(CC62,","))&amp;",",","&amp;SUBSTITUTE(input_enews_announcement_type," ","")&amp;",")))=COUNTA(TEXTSPLIT(CC62,",")))))</f>
        <v/>
      </c>
      <c r="JA62" s="19">
        <f>AND(IF(CE62="",TRUE,IF(input_enews_audience="",FALSE,SUMPRODUCT(--ISNUMBER(SEARCH(","&amp;TRIM(TEXTSPLIT(CE62,","))&amp;",",","&amp;SUBSTITUTE(input_enews_audience," ","")&amp;",")))&gt;0)),IF(CG62="",TRUE,IF(input_enews_audience="",FALSE,SUMPRODUCT(--ISNUMBER(SEARCH(","&amp;TRIM(TEXTSPLIT(CG62,","))&amp;",",","&amp;SUBSTITUTE(input_enews_audience," ","")&amp;",")))=COUNTA(TEXTSPLIT(CG62,",")))),IF(CI62="",TRUE,IF(input_enews_audience="",TRUE,SUMPRODUCT(--ISNUMBER(SEARCH(","&amp;TRIM(TEXTSPLIT(CI62,","))&amp;",",","&amp;SUBSTITUTE(input_enews_audience," ","")&amp;",")))=0)),IF(CK62="",TRUE,IF(input_enews_audience="",FALSE,SUMPRODUCT(--ISNUMBER(SEARCH(","&amp;TRIM(TEXTSPLIT(CK62,","))&amp;",",","&amp;SUBSTITUTE(input_enews_audience," ","")&amp;",")))&gt;0)),IF(CM62="",TRUE,IF(input_enews_audience="",FALSE,SUMPRODUCT(--ISNUMBER(SEARCH(","&amp;TRIM(TEXTSPLIT(CM62,","))&amp;",",","&amp;SUBSTITUTE(input_enews_audience," ","")&amp;",")))=COUNTA(TEXTSPLIT(CM62,",")))))</f>
        <v/>
      </c>
      <c r="JB62" s="19">
        <f>AND(IF(CO62="",TRUE,IF(input_event_location="",FALSE,SUMPRODUCT(--ISNUMBER(SEARCH(","&amp;TRIM(TEXTSPLIT(CO62,","))&amp;",",","&amp;SUBSTITUTE(input_event_location," ","")&amp;",")))&gt;0)),IF(CQ62="",TRUE,IF(input_event_location="",FALSE,SUMPRODUCT(--ISNUMBER(SEARCH(","&amp;TRIM(TEXTSPLIT(CQ62,","))&amp;",",","&amp;SUBSTITUTE(input_event_location," ","")&amp;",")))=COUNTA(TEXTSPLIT(CQ62,",")))),IF(CS62="",TRUE,IF(input_event_location="",TRUE,SUMPRODUCT(--ISNUMBER(SEARCH(","&amp;TRIM(TEXTSPLIT(CS62,","))&amp;",",","&amp;SUBSTITUTE(input_event_location," ","")&amp;",")))=0)),IF(CU62="",TRUE,IF(input_event_location="",FALSE,SUMPRODUCT(--ISNUMBER(SEARCH(","&amp;TRIM(TEXTSPLIT(CU62,","))&amp;",",","&amp;SUBSTITUTE(input_event_location," ","")&amp;",")))&gt;0)),IF(CW62="",TRUE,IF(input_event_location="",FALSE,SUMPRODUCT(--ISNUMBER(SEARCH(","&amp;TRIM(TEXTSPLIT(CW62,","))&amp;",",","&amp;SUBSTITUTE(input_event_location," ","")&amp;",")))=COUNTA(TEXTSPLIT(CW62,",")))))</f>
        <v/>
      </c>
      <c r="JC62" s="19">
        <f>AND(IF(CY62="",TRUE,IF(input_event_type="",FALSE,SUMPRODUCT(--ISNUMBER(SEARCH(","&amp;TRIM(TEXTSPLIT(CY62,","))&amp;",",","&amp;SUBSTITUTE(input_event_type," ","")&amp;",")))&gt;0)),IF(DA62="",TRUE,IF(input_event_type="",FALSE,SUMPRODUCT(--ISNUMBER(SEARCH(","&amp;TRIM(TEXTSPLIT(DA62,","))&amp;",",","&amp;SUBSTITUTE(input_event_type," ","")&amp;",")))=COUNTA(TEXTSPLIT(DA62,",")))),IF(DC62="",TRUE,IF(input_event_type="",TRUE,SUMPRODUCT(--ISNUMBER(SEARCH(","&amp;TRIM(TEXTSPLIT(DC62,","))&amp;",",","&amp;SUBSTITUTE(input_event_type," ","")&amp;",")))=0)),IF(DE62="",TRUE,IF(input_event_type="",FALSE,SUMPRODUCT(--ISNUMBER(SEARCH(","&amp;TRIM(TEXTSPLIT(DE62,","))&amp;",",","&amp;SUBSTITUTE(input_event_type," ","")&amp;",")))&gt;0)),IF(DG62="",TRUE,IF(input_event_type="",FALSE,SUMPRODUCT(--ISNUMBER(SEARCH(","&amp;TRIM(TEXTSPLIT(DG62,","))&amp;",",","&amp;SUBSTITUTE(input_event_type," ","")&amp;",")))=COUNTA(TEXTSPLIT(DG62,",")))))</f>
        <v/>
      </c>
      <c r="JD62" s="19">
        <f>AND(IF(DI62="",TRUE,IF(input_executive_education_focus="",FALSE,SUMPRODUCT(--ISNUMBER(SEARCH(","&amp;TRIM(TEXTSPLIT(DI62,","))&amp;",",","&amp;SUBSTITUTE(input_executive_education_focus," ","")&amp;",")))&gt;0)),IF(DK62="",TRUE,IF(input_executive_education_focus="",FALSE,SUMPRODUCT(--ISNUMBER(SEARCH(","&amp;TRIM(TEXTSPLIT(DK62,","))&amp;",",","&amp;SUBSTITUTE(input_executive_education_focus," ","")&amp;",")))=COUNTA(TEXTSPLIT(DK62,",")))),IF(DM62="",TRUE,IF(input_executive_education_focus="",TRUE,SUMPRODUCT(--ISNUMBER(SEARCH(","&amp;TRIM(TEXTSPLIT(DM62,","))&amp;",",","&amp;SUBSTITUTE(input_executive_education_focus," ","")&amp;",")))=0)),IF(DO62="",TRUE,IF(input_executive_education_focus="",FALSE,SUMPRODUCT(--ISNUMBER(SEARCH(","&amp;TRIM(TEXTSPLIT(DO62,","))&amp;",",","&amp;SUBSTITUTE(input_executive_education_focus," ","")&amp;",")))&gt;0)),IF(DQ62="",TRUE,IF(input_executive_education_focus="",FALSE,SUMPRODUCT(--ISNUMBER(SEARCH(","&amp;TRIM(TEXTSPLIT(DQ62,","))&amp;",",","&amp;SUBSTITUTE(input_executive_education_focus," ","")&amp;",")))=COUNTA(TEXTSPLIT(DQ62,",")))))</f>
        <v/>
      </c>
      <c r="JE62" s="19">
        <f>AND(IF(DS62="",TRUE,IF(input_faculty_category="",FALSE,SUMPRODUCT(--ISNUMBER(SEARCH(","&amp;TRIM(TEXTSPLIT(DS62,","))&amp;",",","&amp;SUBSTITUTE(input_faculty_category," ","")&amp;",")))&gt;0)),IF(DU62="",TRUE,IF(input_faculty_category="",FALSE,SUMPRODUCT(--ISNUMBER(SEARCH(","&amp;TRIM(TEXTSPLIT(DU62,","))&amp;",",","&amp;SUBSTITUTE(input_faculty_category," ","")&amp;",")))=COUNTA(TEXTSPLIT(DU62,",")))),IF(DW62="",TRUE,IF(input_faculty_category="",TRUE,SUMPRODUCT(--ISNUMBER(SEARCH(","&amp;TRIM(TEXTSPLIT(DW62,","))&amp;",",","&amp;SUBSTITUTE(input_faculty_category," ","")&amp;",")))=0)),IF(DY62="",TRUE,IF(input_faculty_category="",FALSE,SUMPRODUCT(--ISNUMBER(SEARCH(","&amp;TRIM(TEXTSPLIT(DY62,","))&amp;",",","&amp;SUBSTITUTE(input_faculty_category," ","")&amp;",")))&gt;0)),IF(EA62="",TRUE,IF(input_faculty_category="",FALSE,SUMPRODUCT(--ISNUMBER(SEARCH(","&amp;TRIM(TEXTSPLIT(EA62,","))&amp;",",","&amp;SUBSTITUTE(input_faculty_category," ","")&amp;",")))=COUNTA(TEXTSPLIT(EA62,",")))))</f>
        <v/>
      </c>
      <c r="JF62" s="19">
        <f>AND(IF(EC62="",TRUE,IF(input_faculty_discipline="",FALSE,SUMPRODUCT(--ISNUMBER(SEARCH(","&amp;TRIM(TEXTSPLIT(EC62,","))&amp;",",","&amp;SUBSTITUTE(input_faculty_discipline," ","")&amp;",")))&gt;0)),IF(EE62="",TRUE,IF(input_faculty_discipline="",FALSE,SUMPRODUCT(--ISNUMBER(SEARCH(","&amp;TRIM(TEXTSPLIT(EE62,","))&amp;",",","&amp;SUBSTITUTE(input_faculty_discipline," ","")&amp;",")))=COUNTA(TEXTSPLIT(EE62,",")))),IF(EG62="",TRUE,IF(input_faculty_discipline="",TRUE,SUMPRODUCT(--ISNUMBER(SEARCH(","&amp;TRIM(TEXTSPLIT(EG62,","))&amp;",",","&amp;SUBSTITUTE(input_faculty_discipline," ","")&amp;",")))=0)),IF(EI62="",TRUE,IF(input_faculty_discipline="",FALSE,SUMPRODUCT(--ISNUMBER(SEARCH(","&amp;TRIM(TEXTSPLIT(EI62,","))&amp;",",","&amp;SUBSTITUTE(input_faculty_discipline," ","")&amp;",")))&gt;0)),IF(EK62="",TRUE,IF(input_faculty_discipline="",FALSE,SUMPRODUCT(--ISNUMBER(SEARCH(","&amp;TRIM(TEXTSPLIT(EK62,","))&amp;",",","&amp;SUBSTITUTE(input_faculty_discipline," ","")&amp;",")))=COUNTA(TEXTSPLIT(EK62,",")))))</f>
        <v/>
      </c>
      <c r="JG62" s="19">
        <f>AND(IF(EM62="",TRUE,IF(input_faculty_expertise="",FALSE,SUMPRODUCT(--ISNUMBER(SEARCH(","&amp;TRIM(TEXTSPLIT(EM62,","))&amp;",",","&amp;SUBSTITUTE(input_faculty_expertise," ","")&amp;",")))&gt;0)),IF(EO62="",TRUE,IF(input_faculty_expertise="",FALSE,SUMPRODUCT(--ISNUMBER(SEARCH(","&amp;TRIM(TEXTSPLIT(EO62,","))&amp;",",","&amp;SUBSTITUTE(input_faculty_expertise," ","")&amp;",")))=COUNTA(TEXTSPLIT(EO62,",")))),IF(EQ62="",TRUE,IF(input_faculty_expertise="",TRUE,SUMPRODUCT(--ISNUMBER(SEARCH(","&amp;TRIM(TEXTSPLIT(EQ62,","))&amp;",",","&amp;SUBSTITUTE(input_faculty_expertise," ","")&amp;",")))=0)),IF(ES62="",TRUE,IF(input_faculty_expertise="",FALSE,SUMPRODUCT(--ISNUMBER(SEARCH(","&amp;TRIM(TEXTSPLIT(ES62,","))&amp;",",","&amp;SUBSTITUTE(input_faculty_expertise," ","")&amp;",")))&gt;0)),IF(EU62="",TRUE,IF(input_faculty_expertise="",FALSE,SUMPRODUCT(--ISNUMBER(SEARCH(","&amp;TRIM(TEXTSPLIT(EU62,","))&amp;",",","&amp;SUBSTITUTE(input_faculty_expertise," ","")&amp;",")))=COUNTA(TEXTSPLIT(EU62,",")))))</f>
        <v/>
      </c>
      <c r="JH62" s="19">
        <f>AND(IF(EW62="",TRUE,IF(input_global_network_school="",FALSE,SUMPRODUCT(--ISNUMBER(SEARCH(","&amp;TRIM(TEXTSPLIT(EW62,","))&amp;",",","&amp;SUBSTITUTE(input_global_network_school," ","")&amp;",")))&gt;0)),IF(EY62="",TRUE,IF(input_global_network_school="",FALSE,SUMPRODUCT(--ISNUMBER(SEARCH(","&amp;TRIM(TEXTSPLIT(EY62,","))&amp;",",","&amp;SUBSTITUTE(input_global_network_school," ","")&amp;",")))=COUNTA(TEXTSPLIT(EY62,",")))),IF(FA62="",TRUE,IF(input_global_network_school="",TRUE,SUMPRODUCT(--ISNUMBER(SEARCH(","&amp;TRIM(TEXTSPLIT(FA62,","))&amp;",",","&amp;SUBSTITUTE(input_global_network_school," ","")&amp;",")))=0)),IF(FC62="",TRUE,IF(input_global_network_school="",FALSE,SUMPRODUCT(--ISNUMBER(SEARCH(","&amp;TRIM(TEXTSPLIT(FC62,","))&amp;",",","&amp;SUBSTITUTE(input_global_network_school," ","")&amp;",")))&gt;0)),IF(FE62="",TRUE,IF(input_global_network_school="",FALSE,SUMPRODUCT(--ISNUMBER(SEARCH(","&amp;TRIM(TEXTSPLIT(FE62,","))&amp;",",","&amp;SUBSTITUTE(input_global_network_school," ","")&amp;",")))=COUNTA(TEXTSPLIT(FE62,",")))))</f>
        <v/>
      </c>
      <c r="JI62" s="19">
        <f>AND(IF(FG62="",TRUE,IF(input_industry="",FALSE,SUMPRODUCT(--ISNUMBER(SEARCH(","&amp;TRIM(TEXTSPLIT(FG62,","))&amp;",",","&amp;SUBSTITUTE(input_industry," ","")&amp;",")))&gt;0)),IF(FI62="",TRUE,IF(input_industry="",FALSE,SUMPRODUCT(--ISNUMBER(SEARCH(","&amp;TRIM(TEXTSPLIT(FI62,","))&amp;",",","&amp;SUBSTITUTE(input_industry," ","")&amp;",")))=COUNTA(TEXTSPLIT(FI62,",")))),IF(FK62="",TRUE,IF(input_industry="",TRUE,SUMPRODUCT(--ISNUMBER(SEARCH(","&amp;TRIM(TEXTSPLIT(FK62,","))&amp;",",","&amp;SUBSTITUTE(input_industry," ","")&amp;",")))=0)),IF(FM62="",TRUE,IF(input_industry="",FALSE,SUMPRODUCT(--ISNUMBER(SEARCH(","&amp;TRIM(TEXTSPLIT(FM62,","))&amp;",",","&amp;SUBSTITUTE(input_industry," ","")&amp;",")))&gt;0)),IF(FO62="",TRUE,IF(input_industry="",FALSE,SUMPRODUCT(--ISNUMBER(SEARCH(","&amp;TRIM(TEXTSPLIT(FO62,","))&amp;",",","&amp;SUBSTITUTE(input_industry," ","")&amp;",")))=COUNTA(TEXTSPLIT(FO62,",")))))</f>
        <v/>
      </c>
      <c r="JJ62" s="19">
        <f>AND(IF(FQ62="",TRUE,IF(input_location="",FALSE,SUMPRODUCT(--ISNUMBER(SEARCH(","&amp;TRIM(TEXTSPLIT(FQ62,","))&amp;",",","&amp;SUBSTITUTE(input_location," ","")&amp;",")))&gt;0)),IF(FS62="",TRUE,IF(input_location="",FALSE,SUMPRODUCT(--ISNUMBER(SEARCH(","&amp;TRIM(TEXTSPLIT(FS62,","))&amp;",",","&amp;SUBSTITUTE(input_location," ","")&amp;",")))=COUNTA(TEXTSPLIT(FS62,",")))),IF(FU62="",TRUE,IF(input_location="",TRUE,SUMPRODUCT(--ISNUMBER(SEARCH(","&amp;TRIM(TEXTSPLIT(FU62,","))&amp;",",","&amp;SUBSTITUTE(input_location," ","")&amp;",")))=0)),IF(FW62="",TRUE,IF(input_location="",FALSE,SUMPRODUCT(--ISNUMBER(SEARCH(","&amp;TRIM(TEXTSPLIT(FW62,","))&amp;",",","&amp;SUBSTITUTE(input_location," ","")&amp;",")))&gt;0)),IF(FY62="",TRUE,IF(input_location="",FALSE,SUMPRODUCT(--ISNUMBER(SEARCH(","&amp;TRIM(TEXTSPLIT(FY62,","))&amp;",",","&amp;SUBSTITUTE(input_location," ","")&amp;",")))=COUNTA(TEXTSPLIT(FY62,",")))))</f>
        <v/>
      </c>
      <c r="JK62" s="19">
        <f>AND(IF(GA62="",TRUE,IF(input_modality="",FALSE,SUMPRODUCT(--ISNUMBER(SEARCH(","&amp;TRIM(TEXTSPLIT(GA62,","))&amp;",",","&amp;SUBSTITUTE(input_modality," ","")&amp;",")))&gt;0)),IF(GC62="",TRUE,IF(input_modality="",FALSE,SUMPRODUCT(--ISNUMBER(SEARCH(","&amp;TRIM(TEXTSPLIT(GC62,","))&amp;",",","&amp;SUBSTITUTE(input_modality," ","")&amp;",")))=COUNTA(TEXTSPLIT(GC62,",")))),IF(GE62="",TRUE,IF(input_modality="",TRUE,SUMPRODUCT(--ISNUMBER(SEARCH(","&amp;TRIM(TEXTSPLIT(GE62,","))&amp;",",","&amp;SUBSTITUTE(input_modality," ","")&amp;",")))=0)),IF(GG62="",TRUE,IF(input_modality="",FALSE,SUMPRODUCT(--ISNUMBER(SEARCH(","&amp;TRIM(TEXTSPLIT(GG62,","))&amp;",",","&amp;SUBSTITUTE(input_modality," ","")&amp;",")))&gt;0)),IF(GI62="",TRUE,IF(input_modality="",FALSE,SUMPRODUCT(--ISNUMBER(SEARCH(","&amp;TRIM(TEXTSPLIT(GI62,","))&amp;",",","&amp;SUBSTITUTE(input_modality," ","")&amp;",")))=COUNTA(TEXTSPLIT(GI62,",")))))</f>
        <v/>
      </c>
      <c r="JL62" s="19">
        <f>AND(IF(GK62="",TRUE,IF(input_organizer="",FALSE,SUMPRODUCT(--ISNUMBER(SEARCH(","&amp;TRIM(TEXTSPLIT(GK62,","))&amp;",",","&amp;SUBSTITUTE(input_organizer," ","")&amp;",")))&gt;0)),IF(GM62="",TRUE,IF(input_organizer="",FALSE,SUMPRODUCT(--ISNUMBER(SEARCH(","&amp;TRIM(TEXTSPLIT(GM62,","))&amp;",",","&amp;SUBSTITUTE(input_organizer," ","")&amp;",")))=COUNTA(TEXTSPLIT(GM62,",")))),IF(GO62="",TRUE,IF(input_organizer="",TRUE,SUMPRODUCT(--ISNUMBER(SEARCH(","&amp;TRIM(TEXTSPLIT(GO62,","))&amp;",",","&amp;SUBSTITUTE(input_organizer," ","")&amp;",")))=0)),IF(GQ62="",TRUE,IF(input_organizer="",FALSE,SUMPRODUCT(--ISNUMBER(SEARCH(","&amp;TRIM(TEXTSPLIT(GQ62,","))&amp;",",","&amp;SUBSTITUTE(input_organizer," ","")&amp;",")))&gt;0)),IF(GS62="",TRUE,IF(input_organizer="",FALSE,SUMPRODUCT(--ISNUMBER(SEARCH(","&amp;TRIM(TEXTSPLIT(GS62,","))&amp;",",","&amp;SUBSTITUTE(input_organizer," ","")&amp;",")))=COUNTA(TEXTSPLIT(GS62,",")))))</f>
        <v/>
      </c>
      <c r="JM62" s="19">
        <f>AND(IF(GU62="",TRUE,IF(input_profile_type="",FALSE,SUMPRODUCT(--ISNUMBER(SEARCH(","&amp;TRIM(TEXTSPLIT(GU62,","))&amp;",",","&amp;SUBSTITUTE(input_profile_type," ","")&amp;",")))&gt;0)),IF(GW62="",TRUE,IF(input_profile_type="",FALSE,SUMPRODUCT(--ISNUMBER(SEARCH(","&amp;TRIM(TEXTSPLIT(GW62,","))&amp;",",","&amp;SUBSTITUTE(input_profile_type," ","")&amp;",")))=COUNTA(TEXTSPLIT(GW62,",")))),IF(GY62="",TRUE,IF(input_profile_type="",TRUE,SUMPRODUCT(--ISNUMBER(SEARCH(","&amp;TRIM(TEXTSPLIT(GY62,","))&amp;",",","&amp;SUBSTITUTE(input_profile_type," ","")&amp;",")))=0)),IF(HA62="",TRUE,IF(input_profile_type="",FALSE,SUMPRODUCT(--ISNUMBER(SEARCH(","&amp;TRIM(TEXTSPLIT(HA62,","))&amp;",",","&amp;SUBSTITUTE(input_profile_type," ","")&amp;",")))&gt;0)),IF(HC62="",TRUE,IF(input_profile_type="",FALSE,SUMPRODUCT(--ISNUMBER(SEARCH(","&amp;TRIM(TEXTSPLIT(HC62,","))&amp;",",","&amp;SUBSTITUTE(input_profile_type," ","")&amp;",")))=COUNTA(TEXTSPLIT(HC62,",")))))</f>
        <v/>
      </c>
      <c r="JN62" s="19">
        <f>AND(IF(HE62="",TRUE,IF(input_program="",FALSE,SUMPRODUCT(--ISNUMBER(SEARCH(","&amp;TRIM(TEXTSPLIT(HE62,","))&amp;",",","&amp;SUBSTITUTE(input_program," ","")&amp;",")))&gt;0)),IF(HG62="",TRUE,IF(input_program="",FALSE,SUMPRODUCT(--ISNUMBER(SEARCH(","&amp;TRIM(TEXTSPLIT(HG62,","))&amp;",",","&amp;SUBSTITUTE(input_program," ","")&amp;",")))=COUNTA(TEXTSPLIT(HG62,",")))),IF(HI62="",TRUE,IF(input_program="",TRUE,SUMPRODUCT(--ISNUMBER(SEARCH(","&amp;TRIM(TEXTSPLIT(HI62,","))&amp;",",","&amp;SUBSTITUTE(input_program," ","")&amp;",")))=0)),IF(HK62="",TRUE,IF(input_program="",FALSE,SUMPRODUCT(--ISNUMBER(SEARCH(","&amp;TRIM(TEXTSPLIT(HK62,","))&amp;",",","&amp;SUBSTITUTE(input_program," ","")&amp;",")))&gt;0)),IF(HM62="",TRUE,IF(input_program="",FALSE,SUMPRODUCT(--ISNUMBER(SEARCH(","&amp;TRIM(TEXTSPLIT(HM62,","))&amp;",",","&amp;SUBSTITUTE(input_program," ","")&amp;",")))=COUNTA(TEXTSPLIT(HM62,",")))))</f>
        <v/>
      </c>
      <c r="JO62" s="19">
        <f>AND(IF(HO62="",TRUE,IF(input_story_categories="",FALSE,SUMPRODUCT(--ISNUMBER(SEARCH(","&amp;TRIM(TEXTSPLIT(HO62,","))&amp;",",","&amp;SUBSTITUTE(input_story_categories," ","")&amp;",")))&gt;0)),IF(HQ62="",TRUE,IF(input_story_categories="",FALSE,SUMPRODUCT(--ISNUMBER(SEARCH(","&amp;TRIM(TEXTSPLIT(HQ62,","))&amp;",",","&amp;SUBSTITUTE(input_story_categories," ","")&amp;",")))=COUNTA(TEXTSPLIT(HQ62,",")))),IF(HS62="",TRUE,IF(input_story_categories="",TRUE,SUMPRODUCT(--ISNUMBER(SEARCH(","&amp;TRIM(TEXTSPLIT(HS62,","))&amp;",",","&amp;SUBSTITUTE(input_story_categories," ","")&amp;",")))=0)),IF(HU62="",TRUE,IF(input_story_categories="",FALSE,SUMPRODUCT(--ISNUMBER(SEARCH(","&amp;TRIM(TEXTSPLIT(HU62,","))&amp;",",","&amp;SUBSTITUTE(input_story_categories," ","")&amp;",")))&gt;0)),IF(HW62="",TRUE,IF(input_story_categories="",FALSE,SUMPRODUCT(--ISNUMBER(SEARCH(","&amp;TRIM(TEXTSPLIT(HW62,","))&amp;",",","&amp;SUBSTITUTE(input_story_categories," ","")&amp;",")))=COUNTA(TEXTSPLIT(HW62,",")))))</f>
        <v/>
      </c>
      <c r="JP62" s="19">
        <f>AND(IF(HY62="",TRUE,IF(input_story_type="",FALSE,SUMPRODUCT(--ISNUMBER(SEARCH(","&amp;TRIM(TEXTSPLIT(HY62,","))&amp;",",","&amp;SUBSTITUTE(input_story_type," ","")&amp;",")))&gt;0)),IF(IA62="",TRUE,IF(input_story_type="",FALSE,SUMPRODUCT(--ISNUMBER(SEARCH(","&amp;TRIM(TEXTSPLIT(IA62,","))&amp;",",","&amp;SUBSTITUTE(input_story_type," ","")&amp;",")))=COUNTA(TEXTSPLIT(IA62,",")))),IF(IC62="",TRUE,IF(input_story_type="",TRUE,SUMPRODUCT(--ISNUMBER(SEARCH(","&amp;TRIM(TEXTSPLIT(IC62,","))&amp;",",","&amp;SUBSTITUTE(input_story_type," ","")&amp;",")))=0)),IF(IE62="",TRUE,IF(input_story_type="",FALSE,SUMPRODUCT(--ISNUMBER(SEARCH(","&amp;TRIM(TEXTSPLIT(IE62,","))&amp;",",","&amp;SUBSTITUTE(input_story_type," ","")&amp;",")))&gt;0)),IF(IG62="",TRUE,IF(input_story_type="",FALSE,SUMPRODUCT(--ISNUMBER(SEARCH(","&amp;TRIM(TEXTSPLIT(IG62,","))&amp;",",","&amp;SUBSTITUTE(input_story_type," ","")&amp;",")))=COUNTA(TEXTSPLIT(IG62,",")))))</f>
        <v/>
      </c>
      <c r="JQ62" s="19">
        <f>AND(IF(II62="",TRUE,IF(input_topics="",FALSE,SUMPRODUCT(--ISNUMBER(SEARCH(","&amp;TRIM(TEXTSPLIT(II62,","))&amp;",",","&amp;SUBSTITUTE(input_topics," ","")&amp;",")))&gt;0)),IF(IK62="",TRUE,IF(input_topics="",FALSE,SUMPRODUCT(--ISNUMBER(SEARCH(","&amp;TRIM(TEXTSPLIT(IK62,","))&amp;",",","&amp;SUBSTITUTE(input_topics," ","")&amp;",")))=COUNTA(TEXTSPLIT(IK62,",")))),IF(IM62="",TRUE,IF(input_topics="",TRUE,SUMPRODUCT(--ISNUMBER(SEARCH(","&amp;TRIM(TEXTSPLIT(IM62,","))&amp;",",","&amp;SUBSTITUTE(input_topics," ","")&amp;",")))=0)),IF(IO62="",TRUE,IF(input_topics="",FALSE,SUMPRODUCT(--ISNUMBER(SEARCH(","&amp;TRIM(TEXTSPLIT(IO62,","))&amp;",",","&amp;SUBSTITUTE(input_topics," ","")&amp;",")))&gt;0)),IF(IQ62="",TRUE,IF(input_topics="",FALSE,SUMPRODUCT(--ISNUMBER(SEARCH(","&amp;TRIM(TEXTSPLIT(IQ62,","))&amp;",",","&amp;SUBSTITUTE(input_topics," ","")&amp;",")))=COUNTA(TEXTSPLIT(IQ62,",")))))</f>
        <v/>
      </c>
    </row>
    <row r="63">
      <c r="A63" s="24">
        <f>IF(NOT(IS63),"Excluded",IF(AND(IT63,IU63,IV63,IW63,IX63,IY63,IZ63,JA63,JB63,JC63,JD63,JE63,JF63,JG63,JH63,JI63,JJ63,JK63,JL63,JM63,JN63,JO63,JP63,JQ63),IF(I63&gt;0,"Eligible but limited","Will appear"),"Excluded"))</f>
        <v/>
      </c>
      <c r="B63" s="24" t="inlineStr">
        <is>
          <t>All stories</t>
        </is>
      </c>
      <c r="C63" s="27" t="inlineStr">
        <is>
          <t>/centers/program-on-financial-stability</t>
        </is>
      </c>
      <c r="D63" s="24" t="inlineStr">
        <is>
          <t>/centers/program-on-financial-stability</t>
        </is>
      </c>
      <c r="E63" s="24" t="n">
        <v>1</v>
      </c>
      <c r="F63" s="24" t="inlineStr">
        <is>
          <t>story</t>
        </is>
      </c>
      <c r="G63" s="24" t="inlineStr">
        <is>
          <t>stories_grid_without_images</t>
        </is>
      </c>
      <c r="H63" s="24" t="inlineStr">
        <is>
          <t>embed_1</t>
        </is>
      </c>
      <c r="I63" s="24" t="n">
        <v>3</v>
      </c>
      <c r="J63" s="29" t="inlineStr">
        <is>
          <t>Section inferred</t>
        </is>
      </c>
      <c r="K63" s="24" t="inlineStr">
        <is>
          <t>Page placement</t>
        </is>
      </c>
      <c r="L63" s="24" t="inlineStr">
        <is>
          <t>Content type: story; Context uses Courses Context: Program on Financial Stability (955); Limited to 3 item(s); Source: Section inferred</t>
        </is>
      </c>
      <c r="BQ63" s="19" t="inlineStr">
        <is>
          <t>955</t>
        </is>
      </c>
      <c r="BR63" s="19" t="inlineStr">
        <is>
          <t>Program on Financial Stability (955)</t>
        </is>
      </c>
      <c r="IS63" s="19">
        <f>IF(input_content_type="",FALSE,ISNUMBER(SEARCH(","&amp;LOWER(input_content_type)&amp;",",","&amp;LOWER(SUBSTITUTE(F63," ",""))&amp;",")))</f>
        <v/>
      </c>
      <c r="IT63" s="19">
        <f>AND(IF(M63="",TRUE,IF(input_affiliations="",FALSE,SUMPRODUCT(--ISNUMBER(SEARCH(","&amp;TRIM(TEXTSPLIT(M63,","))&amp;",",","&amp;SUBSTITUTE(input_affiliations," ","")&amp;",")))&gt;0)),IF(O63="",TRUE,IF(input_affiliations="",FALSE,SUMPRODUCT(--ISNUMBER(SEARCH(","&amp;TRIM(TEXTSPLIT(O63,","))&amp;",",","&amp;SUBSTITUTE(input_affiliations," ","")&amp;",")))=COUNTA(TEXTSPLIT(O63,",")))),IF(Q63="",TRUE,IF(input_affiliations="",TRUE,SUMPRODUCT(--ISNUMBER(SEARCH(","&amp;TRIM(TEXTSPLIT(Q63,","))&amp;",",","&amp;SUBSTITUTE(input_affiliations," ","")&amp;",")))=0)),IF(S63="",TRUE,IF(input_affiliations="",FALSE,SUMPRODUCT(--ISNUMBER(SEARCH(","&amp;TRIM(TEXTSPLIT(S63,","))&amp;",",","&amp;SUBSTITUTE(input_affiliations," ","")&amp;",")))&gt;0)),IF(U63="",TRUE,IF(input_affiliations="",FALSE,SUMPRODUCT(--ISNUMBER(SEARCH(","&amp;TRIM(TEXTSPLIT(U63,","))&amp;",",","&amp;SUBSTITUTE(input_affiliations," ","")&amp;",")))=COUNTA(TEXTSPLIT(U63,",")))))</f>
        <v/>
      </c>
      <c r="IU63" s="19">
        <f>AND(IF(W63="",TRUE,IF(input_announcement_category="",FALSE,SUMPRODUCT(--ISNUMBER(SEARCH(","&amp;TRIM(TEXTSPLIT(W63,","))&amp;",",","&amp;SUBSTITUTE(input_announcement_category," ","")&amp;",")))&gt;0)),IF(Y63="",TRUE,IF(input_announcement_category="",FALSE,SUMPRODUCT(--ISNUMBER(SEARCH(","&amp;TRIM(TEXTSPLIT(Y63,","))&amp;",",","&amp;SUBSTITUTE(input_announcement_category," ","")&amp;",")))=COUNTA(TEXTSPLIT(Y63,",")))),IF(AA63="",TRUE,IF(input_announcement_category="",TRUE,SUMPRODUCT(--ISNUMBER(SEARCH(","&amp;TRIM(TEXTSPLIT(AA63,","))&amp;",",","&amp;SUBSTITUTE(input_announcement_category," ","")&amp;",")))=0)),IF(AC63="",TRUE,IF(input_announcement_category="",FALSE,SUMPRODUCT(--ISNUMBER(SEARCH(","&amp;TRIM(TEXTSPLIT(AC63,","))&amp;",",","&amp;SUBSTITUTE(input_announcement_category," ","")&amp;",")))&gt;0)),IF(AE63="",TRUE,IF(input_announcement_category="",FALSE,SUMPRODUCT(--ISNUMBER(SEARCH(","&amp;TRIM(TEXTSPLIT(AE63,","))&amp;",",","&amp;SUBSTITUTE(input_announcement_category," ","")&amp;",")))=COUNTA(TEXTSPLIT(AE63,",")))))</f>
        <v/>
      </c>
      <c r="IV63" s="19">
        <f>AND(IF(AG63="",TRUE,IF(input_area_of_focus="",FALSE,SUMPRODUCT(--ISNUMBER(SEARCH(","&amp;TRIM(TEXTSPLIT(AG63,","))&amp;",",","&amp;SUBSTITUTE(input_area_of_focus," ","")&amp;",")))&gt;0)),IF(AI63="",TRUE,IF(input_area_of_focus="",FALSE,SUMPRODUCT(--ISNUMBER(SEARCH(","&amp;TRIM(TEXTSPLIT(AI63,","))&amp;",",","&amp;SUBSTITUTE(input_area_of_focus," ","")&amp;",")))=COUNTA(TEXTSPLIT(AI63,",")))),IF(AK63="",TRUE,IF(input_area_of_focus="",TRUE,SUMPRODUCT(--ISNUMBER(SEARCH(","&amp;TRIM(TEXTSPLIT(AK63,","))&amp;",",","&amp;SUBSTITUTE(input_area_of_focus," ","")&amp;",")))=0)),IF(AM63="",TRUE,IF(input_area_of_focus="",FALSE,SUMPRODUCT(--ISNUMBER(SEARCH(","&amp;TRIM(TEXTSPLIT(AM63,","))&amp;",",","&amp;SUBSTITUTE(input_area_of_focus," ","")&amp;",")))&gt;0)),IF(AO63="",TRUE,IF(input_area_of_focus="",FALSE,SUMPRODUCT(--ISNUMBER(SEARCH(","&amp;TRIM(TEXTSPLIT(AO63,","))&amp;",",","&amp;SUBSTITUTE(input_area_of_focus," ","")&amp;",")))=COUNTA(TEXTSPLIT(AO63,",")))))</f>
        <v/>
      </c>
      <c r="IW63" s="19">
        <f>AND(IF(AQ63="",TRUE,IF(input_audience="",FALSE,SUMPRODUCT(--ISNUMBER(SEARCH(","&amp;TRIM(TEXTSPLIT(AQ63,","))&amp;",",","&amp;SUBSTITUTE(input_audience," ","")&amp;",")))&gt;0)),IF(AS63="",TRUE,IF(input_audience="",FALSE,SUMPRODUCT(--ISNUMBER(SEARCH(","&amp;TRIM(TEXTSPLIT(AS63,","))&amp;",",","&amp;SUBSTITUTE(input_audience," ","")&amp;",")))=COUNTA(TEXTSPLIT(AS63,",")))),IF(AU63="",TRUE,IF(input_audience="",TRUE,SUMPRODUCT(--ISNUMBER(SEARCH(","&amp;TRIM(TEXTSPLIT(AU63,","))&amp;",",","&amp;SUBSTITUTE(input_audience," ","")&amp;",")))=0)),IF(AW63="",TRUE,IF(input_audience="",FALSE,SUMPRODUCT(--ISNUMBER(SEARCH(","&amp;TRIM(TEXTSPLIT(AW63,","))&amp;",",","&amp;SUBSTITUTE(input_audience," ","")&amp;",")))&gt;0)),IF(AY63="",TRUE,IF(input_audience="",FALSE,SUMPRODUCT(--ISNUMBER(SEARCH(","&amp;TRIM(TEXTSPLIT(AY63,","))&amp;",",","&amp;SUBSTITUTE(input_audience," ","")&amp;",")))=COUNTA(TEXTSPLIT(AY63,",")))))</f>
        <v/>
      </c>
      <c r="IX63" s="19">
        <f>AND(IF(BA63="",TRUE,IF(input_challenge_opportunities="",FALSE,SUMPRODUCT(--ISNUMBER(SEARCH(","&amp;TRIM(TEXTSPLIT(BA63,","))&amp;",",","&amp;SUBSTITUTE(input_challenge_opportunities," ","")&amp;",")))&gt;0)),IF(BC63="",TRUE,IF(input_challenge_opportunities="",FALSE,SUMPRODUCT(--ISNUMBER(SEARCH(","&amp;TRIM(TEXTSPLIT(BC63,","))&amp;",",","&amp;SUBSTITUTE(input_challenge_opportunities," ","")&amp;",")))=COUNTA(TEXTSPLIT(BC63,",")))),IF(BE63="",TRUE,IF(input_challenge_opportunities="",TRUE,SUMPRODUCT(--ISNUMBER(SEARCH(","&amp;TRIM(TEXTSPLIT(BE63,","))&amp;",",","&amp;SUBSTITUTE(input_challenge_opportunities," ","")&amp;",")))=0)),IF(BG63="",TRUE,IF(input_challenge_opportunities="",FALSE,SUMPRODUCT(--ISNUMBER(SEARCH(","&amp;TRIM(TEXTSPLIT(BG63,","))&amp;",",","&amp;SUBSTITUTE(input_challenge_opportunities," ","")&amp;",")))&gt;0)),IF(BI63="",TRUE,IF(input_challenge_opportunities="",FALSE,SUMPRODUCT(--ISNUMBER(SEARCH(","&amp;TRIM(TEXTSPLIT(BI63,","))&amp;",",","&amp;SUBSTITUTE(input_challenge_opportunities," ","")&amp;",")))=COUNTA(TEXTSPLIT(BI63,",")))))</f>
        <v/>
      </c>
      <c r="IY63" s="19">
        <f>AND(IF(BK63="",TRUE,IF(input_context="",FALSE,SUMPRODUCT(--ISNUMBER(SEARCH(","&amp;TRIM(TEXTSPLIT(BK63,","))&amp;",",","&amp;SUBSTITUTE(input_context," ","")&amp;",")))&gt;0)),IF(BM63="",TRUE,IF(input_context="",FALSE,SUMPRODUCT(--ISNUMBER(SEARCH(","&amp;TRIM(TEXTSPLIT(BM63,","))&amp;",",","&amp;SUBSTITUTE(input_context," ","")&amp;",")))=COUNTA(TEXTSPLIT(BM63,",")))),IF(BO63="",TRUE,IF(input_context="",TRUE,SUMPRODUCT(--ISNUMBER(SEARCH(","&amp;TRIM(TEXTSPLIT(BO63,","))&amp;",",","&amp;SUBSTITUTE(input_context," ","")&amp;",")))=0)),IF(BQ63="",TRUE,IF(input_context="",FALSE,SUMPRODUCT(--ISNUMBER(SEARCH(","&amp;TRIM(TEXTSPLIT(BQ63,","))&amp;",",","&amp;SUBSTITUTE(input_context," ","")&amp;",")))&gt;0)),IF(BS63="",TRUE,IF(input_context="",FALSE,SUMPRODUCT(--ISNUMBER(SEARCH(","&amp;TRIM(TEXTSPLIT(BS63,","))&amp;",",","&amp;SUBSTITUTE(input_context," ","")&amp;",")))=COUNTA(TEXTSPLIT(BS63,",")))))</f>
        <v/>
      </c>
      <c r="IZ63" s="19">
        <f>AND(IF(BU63="",TRUE,IF(input_enews_announcement_type="",FALSE,SUMPRODUCT(--ISNUMBER(SEARCH(","&amp;TRIM(TEXTSPLIT(BU63,","))&amp;",",","&amp;SUBSTITUTE(input_enews_announcement_type," ","")&amp;",")))&gt;0)),IF(BW63="",TRUE,IF(input_enews_announcement_type="",FALSE,SUMPRODUCT(--ISNUMBER(SEARCH(","&amp;TRIM(TEXTSPLIT(BW63,","))&amp;",",","&amp;SUBSTITUTE(input_enews_announcement_type," ","")&amp;",")))=COUNTA(TEXTSPLIT(BW63,",")))),IF(BY63="",TRUE,IF(input_enews_announcement_type="",TRUE,SUMPRODUCT(--ISNUMBER(SEARCH(","&amp;TRIM(TEXTSPLIT(BY63,","))&amp;",",","&amp;SUBSTITUTE(input_enews_announcement_type," ","")&amp;",")))=0)),IF(CA63="",TRUE,IF(input_enews_announcement_type="",FALSE,SUMPRODUCT(--ISNUMBER(SEARCH(","&amp;TRIM(TEXTSPLIT(CA63,","))&amp;",",","&amp;SUBSTITUTE(input_enews_announcement_type," ","")&amp;",")))&gt;0)),IF(CC63="",TRUE,IF(input_enews_announcement_type="",FALSE,SUMPRODUCT(--ISNUMBER(SEARCH(","&amp;TRIM(TEXTSPLIT(CC63,","))&amp;",",","&amp;SUBSTITUTE(input_enews_announcement_type," ","")&amp;",")))=COUNTA(TEXTSPLIT(CC63,",")))))</f>
        <v/>
      </c>
      <c r="JA63" s="19">
        <f>AND(IF(CE63="",TRUE,IF(input_enews_audience="",FALSE,SUMPRODUCT(--ISNUMBER(SEARCH(","&amp;TRIM(TEXTSPLIT(CE63,","))&amp;",",","&amp;SUBSTITUTE(input_enews_audience," ","")&amp;",")))&gt;0)),IF(CG63="",TRUE,IF(input_enews_audience="",FALSE,SUMPRODUCT(--ISNUMBER(SEARCH(","&amp;TRIM(TEXTSPLIT(CG63,","))&amp;",",","&amp;SUBSTITUTE(input_enews_audience," ","")&amp;",")))=COUNTA(TEXTSPLIT(CG63,",")))),IF(CI63="",TRUE,IF(input_enews_audience="",TRUE,SUMPRODUCT(--ISNUMBER(SEARCH(","&amp;TRIM(TEXTSPLIT(CI63,","))&amp;",",","&amp;SUBSTITUTE(input_enews_audience," ","")&amp;",")))=0)),IF(CK63="",TRUE,IF(input_enews_audience="",FALSE,SUMPRODUCT(--ISNUMBER(SEARCH(","&amp;TRIM(TEXTSPLIT(CK63,","))&amp;",",","&amp;SUBSTITUTE(input_enews_audience," ","")&amp;",")))&gt;0)),IF(CM63="",TRUE,IF(input_enews_audience="",FALSE,SUMPRODUCT(--ISNUMBER(SEARCH(","&amp;TRIM(TEXTSPLIT(CM63,","))&amp;",",","&amp;SUBSTITUTE(input_enews_audience," ","")&amp;",")))=COUNTA(TEXTSPLIT(CM63,",")))))</f>
        <v/>
      </c>
      <c r="JB63" s="19">
        <f>AND(IF(CO63="",TRUE,IF(input_event_location="",FALSE,SUMPRODUCT(--ISNUMBER(SEARCH(","&amp;TRIM(TEXTSPLIT(CO63,","))&amp;",",","&amp;SUBSTITUTE(input_event_location," ","")&amp;",")))&gt;0)),IF(CQ63="",TRUE,IF(input_event_location="",FALSE,SUMPRODUCT(--ISNUMBER(SEARCH(","&amp;TRIM(TEXTSPLIT(CQ63,","))&amp;",",","&amp;SUBSTITUTE(input_event_location," ","")&amp;",")))=COUNTA(TEXTSPLIT(CQ63,",")))),IF(CS63="",TRUE,IF(input_event_location="",TRUE,SUMPRODUCT(--ISNUMBER(SEARCH(","&amp;TRIM(TEXTSPLIT(CS63,","))&amp;",",","&amp;SUBSTITUTE(input_event_location," ","")&amp;",")))=0)),IF(CU63="",TRUE,IF(input_event_location="",FALSE,SUMPRODUCT(--ISNUMBER(SEARCH(","&amp;TRIM(TEXTSPLIT(CU63,","))&amp;",",","&amp;SUBSTITUTE(input_event_location," ","")&amp;",")))&gt;0)),IF(CW63="",TRUE,IF(input_event_location="",FALSE,SUMPRODUCT(--ISNUMBER(SEARCH(","&amp;TRIM(TEXTSPLIT(CW63,","))&amp;",",","&amp;SUBSTITUTE(input_event_location," ","")&amp;",")))=COUNTA(TEXTSPLIT(CW63,",")))))</f>
        <v/>
      </c>
      <c r="JC63" s="19">
        <f>AND(IF(CY63="",TRUE,IF(input_event_type="",FALSE,SUMPRODUCT(--ISNUMBER(SEARCH(","&amp;TRIM(TEXTSPLIT(CY63,","))&amp;",",","&amp;SUBSTITUTE(input_event_type," ","")&amp;",")))&gt;0)),IF(DA63="",TRUE,IF(input_event_type="",FALSE,SUMPRODUCT(--ISNUMBER(SEARCH(","&amp;TRIM(TEXTSPLIT(DA63,","))&amp;",",","&amp;SUBSTITUTE(input_event_type," ","")&amp;",")))=COUNTA(TEXTSPLIT(DA63,",")))),IF(DC63="",TRUE,IF(input_event_type="",TRUE,SUMPRODUCT(--ISNUMBER(SEARCH(","&amp;TRIM(TEXTSPLIT(DC63,","))&amp;",",","&amp;SUBSTITUTE(input_event_type," ","")&amp;",")))=0)),IF(DE63="",TRUE,IF(input_event_type="",FALSE,SUMPRODUCT(--ISNUMBER(SEARCH(","&amp;TRIM(TEXTSPLIT(DE63,","))&amp;",",","&amp;SUBSTITUTE(input_event_type," ","")&amp;",")))&gt;0)),IF(DG63="",TRUE,IF(input_event_type="",FALSE,SUMPRODUCT(--ISNUMBER(SEARCH(","&amp;TRIM(TEXTSPLIT(DG63,","))&amp;",",","&amp;SUBSTITUTE(input_event_type," ","")&amp;",")))=COUNTA(TEXTSPLIT(DG63,",")))))</f>
        <v/>
      </c>
      <c r="JD63" s="19">
        <f>AND(IF(DI63="",TRUE,IF(input_executive_education_focus="",FALSE,SUMPRODUCT(--ISNUMBER(SEARCH(","&amp;TRIM(TEXTSPLIT(DI63,","))&amp;",",","&amp;SUBSTITUTE(input_executive_education_focus," ","")&amp;",")))&gt;0)),IF(DK63="",TRUE,IF(input_executive_education_focus="",FALSE,SUMPRODUCT(--ISNUMBER(SEARCH(","&amp;TRIM(TEXTSPLIT(DK63,","))&amp;",",","&amp;SUBSTITUTE(input_executive_education_focus," ","")&amp;",")))=COUNTA(TEXTSPLIT(DK63,",")))),IF(DM63="",TRUE,IF(input_executive_education_focus="",TRUE,SUMPRODUCT(--ISNUMBER(SEARCH(","&amp;TRIM(TEXTSPLIT(DM63,","))&amp;",",","&amp;SUBSTITUTE(input_executive_education_focus," ","")&amp;",")))=0)),IF(DO63="",TRUE,IF(input_executive_education_focus="",FALSE,SUMPRODUCT(--ISNUMBER(SEARCH(","&amp;TRIM(TEXTSPLIT(DO63,","))&amp;",",","&amp;SUBSTITUTE(input_executive_education_focus," ","")&amp;",")))&gt;0)),IF(DQ63="",TRUE,IF(input_executive_education_focus="",FALSE,SUMPRODUCT(--ISNUMBER(SEARCH(","&amp;TRIM(TEXTSPLIT(DQ63,","))&amp;",",","&amp;SUBSTITUTE(input_executive_education_focus," ","")&amp;",")))=COUNTA(TEXTSPLIT(DQ63,",")))))</f>
        <v/>
      </c>
      <c r="JE63" s="19">
        <f>AND(IF(DS63="",TRUE,IF(input_faculty_category="",FALSE,SUMPRODUCT(--ISNUMBER(SEARCH(","&amp;TRIM(TEXTSPLIT(DS63,","))&amp;",",","&amp;SUBSTITUTE(input_faculty_category," ","")&amp;",")))&gt;0)),IF(DU63="",TRUE,IF(input_faculty_category="",FALSE,SUMPRODUCT(--ISNUMBER(SEARCH(","&amp;TRIM(TEXTSPLIT(DU63,","))&amp;",",","&amp;SUBSTITUTE(input_faculty_category," ","")&amp;",")))=COUNTA(TEXTSPLIT(DU63,",")))),IF(DW63="",TRUE,IF(input_faculty_category="",TRUE,SUMPRODUCT(--ISNUMBER(SEARCH(","&amp;TRIM(TEXTSPLIT(DW63,","))&amp;",",","&amp;SUBSTITUTE(input_faculty_category," ","")&amp;",")))=0)),IF(DY63="",TRUE,IF(input_faculty_category="",FALSE,SUMPRODUCT(--ISNUMBER(SEARCH(","&amp;TRIM(TEXTSPLIT(DY63,","))&amp;",",","&amp;SUBSTITUTE(input_faculty_category," ","")&amp;",")))&gt;0)),IF(EA63="",TRUE,IF(input_faculty_category="",FALSE,SUMPRODUCT(--ISNUMBER(SEARCH(","&amp;TRIM(TEXTSPLIT(EA63,","))&amp;",",","&amp;SUBSTITUTE(input_faculty_category," ","")&amp;",")))=COUNTA(TEXTSPLIT(EA63,",")))))</f>
        <v/>
      </c>
      <c r="JF63" s="19">
        <f>AND(IF(EC63="",TRUE,IF(input_faculty_discipline="",FALSE,SUMPRODUCT(--ISNUMBER(SEARCH(","&amp;TRIM(TEXTSPLIT(EC63,","))&amp;",",","&amp;SUBSTITUTE(input_faculty_discipline," ","")&amp;",")))&gt;0)),IF(EE63="",TRUE,IF(input_faculty_discipline="",FALSE,SUMPRODUCT(--ISNUMBER(SEARCH(","&amp;TRIM(TEXTSPLIT(EE63,","))&amp;",",","&amp;SUBSTITUTE(input_faculty_discipline," ","")&amp;",")))=COUNTA(TEXTSPLIT(EE63,",")))),IF(EG63="",TRUE,IF(input_faculty_discipline="",TRUE,SUMPRODUCT(--ISNUMBER(SEARCH(","&amp;TRIM(TEXTSPLIT(EG63,","))&amp;",",","&amp;SUBSTITUTE(input_faculty_discipline," ","")&amp;",")))=0)),IF(EI63="",TRUE,IF(input_faculty_discipline="",FALSE,SUMPRODUCT(--ISNUMBER(SEARCH(","&amp;TRIM(TEXTSPLIT(EI63,","))&amp;",",","&amp;SUBSTITUTE(input_faculty_discipline," ","")&amp;",")))&gt;0)),IF(EK63="",TRUE,IF(input_faculty_discipline="",FALSE,SUMPRODUCT(--ISNUMBER(SEARCH(","&amp;TRIM(TEXTSPLIT(EK63,","))&amp;",",","&amp;SUBSTITUTE(input_faculty_discipline," ","")&amp;",")))=COUNTA(TEXTSPLIT(EK63,",")))))</f>
        <v/>
      </c>
      <c r="JG63" s="19">
        <f>AND(IF(EM63="",TRUE,IF(input_faculty_expertise="",FALSE,SUMPRODUCT(--ISNUMBER(SEARCH(","&amp;TRIM(TEXTSPLIT(EM63,","))&amp;",",","&amp;SUBSTITUTE(input_faculty_expertise," ","")&amp;",")))&gt;0)),IF(EO63="",TRUE,IF(input_faculty_expertise="",FALSE,SUMPRODUCT(--ISNUMBER(SEARCH(","&amp;TRIM(TEXTSPLIT(EO63,","))&amp;",",","&amp;SUBSTITUTE(input_faculty_expertise," ","")&amp;",")))=COUNTA(TEXTSPLIT(EO63,",")))),IF(EQ63="",TRUE,IF(input_faculty_expertise="",TRUE,SUMPRODUCT(--ISNUMBER(SEARCH(","&amp;TRIM(TEXTSPLIT(EQ63,","))&amp;",",","&amp;SUBSTITUTE(input_faculty_expertise," ","")&amp;",")))=0)),IF(ES63="",TRUE,IF(input_faculty_expertise="",FALSE,SUMPRODUCT(--ISNUMBER(SEARCH(","&amp;TRIM(TEXTSPLIT(ES63,","))&amp;",",","&amp;SUBSTITUTE(input_faculty_expertise," ","")&amp;",")))&gt;0)),IF(EU63="",TRUE,IF(input_faculty_expertise="",FALSE,SUMPRODUCT(--ISNUMBER(SEARCH(","&amp;TRIM(TEXTSPLIT(EU63,","))&amp;",",","&amp;SUBSTITUTE(input_faculty_expertise," ","")&amp;",")))=COUNTA(TEXTSPLIT(EU63,",")))))</f>
        <v/>
      </c>
      <c r="JH63" s="19">
        <f>AND(IF(EW63="",TRUE,IF(input_global_network_school="",FALSE,SUMPRODUCT(--ISNUMBER(SEARCH(","&amp;TRIM(TEXTSPLIT(EW63,","))&amp;",",","&amp;SUBSTITUTE(input_global_network_school," ","")&amp;",")))&gt;0)),IF(EY63="",TRUE,IF(input_global_network_school="",FALSE,SUMPRODUCT(--ISNUMBER(SEARCH(","&amp;TRIM(TEXTSPLIT(EY63,","))&amp;",",","&amp;SUBSTITUTE(input_global_network_school," ","")&amp;",")))=COUNTA(TEXTSPLIT(EY63,",")))),IF(FA63="",TRUE,IF(input_global_network_school="",TRUE,SUMPRODUCT(--ISNUMBER(SEARCH(","&amp;TRIM(TEXTSPLIT(FA63,","))&amp;",",","&amp;SUBSTITUTE(input_global_network_school," ","")&amp;",")))=0)),IF(FC63="",TRUE,IF(input_global_network_school="",FALSE,SUMPRODUCT(--ISNUMBER(SEARCH(","&amp;TRIM(TEXTSPLIT(FC63,","))&amp;",",","&amp;SUBSTITUTE(input_global_network_school," ","")&amp;",")))&gt;0)),IF(FE63="",TRUE,IF(input_global_network_school="",FALSE,SUMPRODUCT(--ISNUMBER(SEARCH(","&amp;TRIM(TEXTSPLIT(FE63,","))&amp;",",","&amp;SUBSTITUTE(input_global_network_school," ","")&amp;",")))=COUNTA(TEXTSPLIT(FE63,",")))))</f>
        <v/>
      </c>
      <c r="JI63" s="19">
        <f>AND(IF(FG63="",TRUE,IF(input_industry="",FALSE,SUMPRODUCT(--ISNUMBER(SEARCH(","&amp;TRIM(TEXTSPLIT(FG63,","))&amp;",",","&amp;SUBSTITUTE(input_industry," ","")&amp;",")))&gt;0)),IF(FI63="",TRUE,IF(input_industry="",FALSE,SUMPRODUCT(--ISNUMBER(SEARCH(","&amp;TRIM(TEXTSPLIT(FI63,","))&amp;",",","&amp;SUBSTITUTE(input_industry," ","")&amp;",")))=COUNTA(TEXTSPLIT(FI63,",")))),IF(FK63="",TRUE,IF(input_industry="",TRUE,SUMPRODUCT(--ISNUMBER(SEARCH(","&amp;TRIM(TEXTSPLIT(FK63,","))&amp;",",","&amp;SUBSTITUTE(input_industry," ","")&amp;",")))=0)),IF(FM63="",TRUE,IF(input_industry="",FALSE,SUMPRODUCT(--ISNUMBER(SEARCH(","&amp;TRIM(TEXTSPLIT(FM63,","))&amp;",",","&amp;SUBSTITUTE(input_industry," ","")&amp;",")))&gt;0)),IF(FO63="",TRUE,IF(input_industry="",FALSE,SUMPRODUCT(--ISNUMBER(SEARCH(","&amp;TRIM(TEXTSPLIT(FO63,","))&amp;",",","&amp;SUBSTITUTE(input_industry," ","")&amp;",")))=COUNTA(TEXTSPLIT(FO63,",")))))</f>
        <v/>
      </c>
      <c r="JJ63" s="19">
        <f>AND(IF(FQ63="",TRUE,IF(input_location="",FALSE,SUMPRODUCT(--ISNUMBER(SEARCH(","&amp;TRIM(TEXTSPLIT(FQ63,","))&amp;",",","&amp;SUBSTITUTE(input_location," ","")&amp;",")))&gt;0)),IF(FS63="",TRUE,IF(input_location="",FALSE,SUMPRODUCT(--ISNUMBER(SEARCH(","&amp;TRIM(TEXTSPLIT(FS63,","))&amp;",",","&amp;SUBSTITUTE(input_location," ","")&amp;",")))=COUNTA(TEXTSPLIT(FS63,",")))),IF(FU63="",TRUE,IF(input_location="",TRUE,SUMPRODUCT(--ISNUMBER(SEARCH(","&amp;TRIM(TEXTSPLIT(FU63,","))&amp;",",","&amp;SUBSTITUTE(input_location," ","")&amp;",")))=0)),IF(FW63="",TRUE,IF(input_location="",FALSE,SUMPRODUCT(--ISNUMBER(SEARCH(","&amp;TRIM(TEXTSPLIT(FW63,","))&amp;",",","&amp;SUBSTITUTE(input_location," ","")&amp;",")))&gt;0)),IF(FY63="",TRUE,IF(input_location="",FALSE,SUMPRODUCT(--ISNUMBER(SEARCH(","&amp;TRIM(TEXTSPLIT(FY63,","))&amp;",",","&amp;SUBSTITUTE(input_location," ","")&amp;",")))=COUNTA(TEXTSPLIT(FY63,",")))))</f>
        <v/>
      </c>
      <c r="JK63" s="19">
        <f>AND(IF(GA63="",TRUE,IF(input_modality="",FALSE,SUMPRODUCT(--ISNUMBER(SEARCH(","&amp;TRIM(TEXTSPLIT(GA63,","))&amp;",",","&amp;SUBSTITUTE(input_modality," ","")&amp;",")))&gt;0)),IF(GC63="",TRUE,IF(input_modality="",FALSE,SUMPRODUCT(--ISNUMBER(SEARCH(","&amp;TRIM(TEXTSPLIT(GC63,","))&amp;",",","&amp;SUBSTITUTE(input_modality," ","")&amp;",")))=COUNTA(TEXTSPLIT(GC63,",")))),IF(GE63="",TRUE,IF(input_modality="",TRUE,SUMPRODUCT(--ISNUMBER(SEARCH(","&amp;TRIM(TEXTSPLIT(GE63,","))&amp;",",","&amp;SUBSTITUTE(input_modality," ","")&amp;",")))=0)),IF(GG63="",TRUE,IF(input_modality="",FALSE,SUMPRODUCT(--ISNUMBER(SEARCH(","&amp;TRIM(TEXTSPLIT(GG63,","))&amp;",",","&amp;SUBSTITUTE(input_modality," ","")&amp;",")))&gt;0)),IF(GI63="",TRUE,IF(input_modality="",FALSE,SUMPRODUCT(--ISNUMBER(SEARCH(","&amp;TRIM(TEXTSPLIT(GI63,","))&amp;",",","&amp;SUBSTITUTE(input_modality," ","")&amp;",")))=COUNTA(TEXTSPLIT(GI63,",")))))</f>
        <v/>
      </c>
      <c r="JL63" s="19">
        <f>AND(IF(GK63="",TRUE,IF(input_organizer="",FALSE,SUMPRODUCT(--ISNUMBER(SEARCH(","&amp;TRIM(TEXTSPLIT(GK63,","))&amp;",",","&amp;SUBSTITUTE(input_organizer," ","")&amp;",")))&gt;0)),IF(GM63="",TRUE,IF(input_organizer="",FALSE,SUMPRODUCT(--ISNUMBER(SEARCH(","&amp;TRIM(TEXTSPLIT(GM63,","))&amp;",",","&amp;SUBSTITUTE(input_organizer," ","")&amp;",")))=COUNTA(TEXTSPLIT(GM63,",")))),IF(GO63="",TRUE,IF(input_organizer="",TRUE,SUMPRODUCT(--ISNUMBER(SEARCH(","&amp;TRIM(TEXTSPLIT(GO63,","))&amp;",",","&amp;SUBSTITUTE(input_organizer," ","")&amp;",")))=0)),IF(GQ63="",TRUE,IF(input_organizer="",FALSE,SUMPRODUCT(--ISNUMBER(SEARCH(","&amp;TRIM(TEXTSPLIT(GQ63,","))&amp;",",","&amp;SUBSTITUTE(input_organizer," ","")&amp;",")))&gt;0)),IF(GS63="",TRUE,IF(input_organizer="",FALSE,SUMPRODUCT(--ISNUMBER(SEARCH(","&amp;TRIM(TEXTSPLIT(GS63,","))&amp;",",","&amp;SUBSTITUTE(input_organizer," ","")&amp;",")))=COUNTA(TEXTSPLIT(GS63,",")))))</f>
        <v/>
      </c>
      <c r="JM63" s="19">
        <f>AND(IF(GU63="",TRUE,IF(input_profile_type="",FALSE,SUMPRODUCT(--ISNUMBER(SEARCH(","&amp;TRIM(TEXTSPLIT(GU63,","))&amp;",",","&amp;SUBSTITUTE(input_profile_type," ","")&amp;",")))&gt;0)),IF(GW63="",TRUE,IF(input_profile_type="",FALSE,SUMPRODUCT(--ISNUMBER(SEARCH(","&amp;TRIM(TEXTSPLIT(GW63,","))&amp;",",","&amp;SUBSTITUTE(input_profile_type," ","")&amp;",")))=COUNTA(TEXTSPLIT(GW63,",")))),IF(GY63="",TRUE,IF(input_profile_type="",TRUE,SUMPRODUCT(--ISNUMBER(SEARCH(","&amp;TRIM(TEXTSPLIT(GY63,","))&amp;",",","&amp;SUBSTITUTE(input_profile_type," ","")&amp;",")))=0)),IF(HA63="",TRUE,IF(input_profile_type="",FALSE,SUMPRODUCT(--ISNUMBER(SEARCH(","&amp;TRIM(TEXTSPLIT(HA63,","))&amp;",",","&amp;SUBSTITUTE(input_profile_type," ","")&amp;",")))&gt;0)),IF(HC63="",TRUE,IF(input_profile_type="",FALSE,SUMPRODUCT(--ISNUMBER(SEARCH(","&amp;TRIM(TEXTSPLIT(HC63,","))&amp;",",","&amp;SUBSTITUTE(input_profile_type," ","")&amp;",")))=COUNTA(TEXTSPLIT(HC63,",")))))</f>
        <v/>
      </c>
      <c r="JN63" s="19">
        <f>AND(IF(HE63="",TRUE,IF(input_program="",FALSE,SUMPRODUCT(--ISNUMBER(SEARCH(","&amp;TRIM(TEXTSPLIT(HE63,","))&amp;",",","&amp;SUBSTITUTE(input_program," ","")&amp;",")))&gt;0)),IF(HG63="",TRUE,IF(input_program="",FALSE,SUMPRODUCT(--ISNUMBER(SEARCH(","&amp;TRIM(TEXTSPLIT(HG63,","))&amp;",",","&amp;SUBSTITUTE(input_program," ","")&amp;",")))=COUNTA(TEXTSPLIT(HG63,",")))),IF(HI63="",TRUE,IF(input_program="",TRUE,SUMPRODUCT(--ISNUMBER(SEARCH(","&amp;TRIM(TEXTSPLIT(HI63,","))&amp;",",","&amp;SUBSTITUTE(input_program," ","")&amp;",")))=0)),IF(HK63="",TRUE,IF(input_program="",FALSE,SUMPRODUCT(--ISNUMBER(SEARCH(","&amp;TRIM(TEXTSPLIT(HK63,","))&amp;",",","&amp;SUBSTITUTE(input_program," ","")&amp;",")))&gt;0)),IF(HM63="",TRUE,IF(input_program="",FALSE,SUMPRODUCT(--ISNUMBER(SEARCH(","&amp;TRIM(TEXTSPLIT(HM63,","))&amp;",",","&amp;SUBSTITUTE(input_program," ","")&amp;",")))=COUNTA(TEXTSPLIT(HM63,",")))))</f>
        <v/>
      </c>
      <c r="JO63" s="19">
        <f>AND(IF(HO63="",TRUE,IF(input_story_categories="",FALSE,SUMPRODUCT(--ISNUMBER(SEARCH(","&amp;TRIM(TEXTSPLIT(HO63,","))&amp;",",","&amp;SUBSTITUTE(input_story_categories," ","")&amp;",")))&gt;0)),IF(HQ63="",TRUE,IF(input_story_categories="",FALSE,SUMPRODUCT(--ISNUMBER(SEARCH(","&amp;TRIM(TEXTSPLIT(HQ63,","))&amp;",",","&amp;SUBSTITUTE(input_story_categories," ","")&amp;",")))=COUNTA(TEXTSPLIT(HQ63,",")))),IF(HS63="",TRUE,IF(input_story_categories="",TRUE,SUMPRODUCT(--ISNUMBER(SEARCH(","&amp;TRIM(TEXTSPLIT(HS63,","))&amp;",",","&amp;SUBSTITUTE(input_story_categories," ","")&amp;",")))=0)),IF(HU63="",TRUE,IF(input_story_categories="",FALSE,SUMPRODUCT(--ISNUMBER(SEARCH(","&amp;TRIM(TEXTSPLIT(HU63,","))&amp;",",","&amp;SUBSTITUTE(input_story_categories," ","")&amp;",")))&gt;0)),IF(HW63="",TRUE,IF(input_story_categories="",FALSE,SUMPRODUCT(--ISNUMBER(SEARCH(","&amp;TRIM(TEXTSPLIT(HW63,","))&amp;",",","&amp;SUBSTITUTE(input_story_categories," ","")&amp;",")))=COUNTA(TEXTSPLIT(HW63,",")))))</f>
        <v/>
      </c>
      <c r="JP63" s="19">
        <f>AND(IF(HY63="",TRUE,IF(input_story_type="",FALSE,SUMPRODUCT(--ISNUMBER(SEARCH(","&amp;TRIM(TEXTSPLIT(HY63,","))&amp;",",","&amp;SUBSTITUTE(input_story_type," ","")&amp;",")))&gt;0)),IF(IA63="",TRUE,IF(input_story_type="",FALSE,SUMPRODUCT(--ISNUMBER(SEARCH(","&amp;TRIM(TEXTSPLIT(IA63,","))&amp;",",","&amp;SUBSTITUTE(input_story_type," ","")&amp;",")))=COUNTA(TEXTSPLIT(IA63,",")))),IF(IC63="",TRUE,IF(input_story_type="",TRUE,SUMPRODUCT(--ISNUMBER(SEARCH(","&amp;TRIM(TEXTSPLIT(IC63,","))&amp;",",","&amp;SUBSTITUTE(input_story_type," ","")&amp;",")))=0)),IF(IE63="",TRUE,IF(input_story_type="",FALSE,SUMPRODUCT(--ISNUMBER(SEARCH(","&amp;TRIM(TEXTSPLIT(IE63,","))&amp;",",","&amp;SUBSTITUTE(input_story_type," ","")&amp;",")))&gt;0)),IF(IG63="",TRUE,IF(input_story_type="",FALSE,SUMPRODUCT(--ISNUMBER(SEARCH(","&amp;TRIM(TEXTSPLIT(IG63,","))&amp;",",","&amp;SUBSTITUTE(input_story_type," ","")&amp;",")))=COUNTA(TEXTSPLIT(IG63,",")))))</f>
        <v/>
      </c>
      <c r="JQ63" s="19">
        <f>AND(IF(II63="",TRUE,IF(input_topics="",FALSE,SUMPRODUCT(--ISNUMBER(SEARCH(","&amp;TRIM(TEXTSPLIT(II63,","))&amp;",",","&amp;SUBSTITUTE(input_topics," ","")&amp;",")))&gt;0)),IF(IK63="",TRUE,IF(input_topics="",FALSE,SUMPRODUCT(--ISNUMBER(SEARCH(","&amp;TRIM(TEXTSPLIT(IK63,","))&amp;",",","&amp;SUBSTITUTE(input_topics," ","")&amp;",")))=COUNTA(TEXTSPLIT(IK63,",")))),IF(IM63="",TRUE,IF(input_topics="",TRUE,SUMPRODUCT(--ISNUMBER(SEARCH(","&amp;TRIM(TEXTSPLIT(IM63,","))&amp;",",","&amp;SUBSTITUTE(input_topics," ","")&amp;",")))=0)),IF(IO63="",TRUE,IF(input_topics="",FALSE,SUMPRODUCT(--ISNUMBER(SEARCH(","&amp;TRIM(TEXTSPLIT(IO63,","))&amp;",",","&amp;SUBSTITUTE(input_topics," ","")&amp;",")))&gt;0)),IF(IQ63="",TRUE,IF(input_topics="",FALSE,SUMPRODUCT(--ISNUMBER(SEARCH(","&amp;TRIM(TEXTSPLIT(IQ63,","))&amp;",",","&amp;SUBSTITUTE(input_topics," ","")&amp;",")))=COUNTA(TEXTSPLIT(IQ63,",")))))</f>
        <v/>
      </c>
    </row>
    <row r="64">
      <c r="A64" s="24">
        <f>IF(NOT(IS64),"Excluded",IF(AND(IT64,IU64,IV64,IW64,IX64,IY64,IZ64,JA64,JB64,JC64,JD64,JE64,JF64,JG64,JH64,JI64,JJ64,JK64,JL64,JM64,JN64,JO64,JP64,JQ64),IF(I64&gt;0,"Eligible but limited","Will appear"),"Excluded"))</f>
        <v/>
      </c>
      <c r="B64" s="24" t="inlineStr">
        <is>
          <t>All stories</t>
        </is>
      </c>
      <c r="C64" s="27" t="inlineStr">
        <is>
          <t>/centers/swensen-asset-management-institute</t>
        </is>
      </c>
      <c r="D64" s="24" t="inlineStr">
        <is>
          <t>/centers/swensen-asset-management-institute</t>
        </is>
      </c>
      <c r="E64" s="24" t="n">
        <v>1</v>
      </c>
      <c r="F64" s="24" t="inlineStr">
        <is>
          <t>story</t>
        </is>
      </c>
      <c r="G64" s="24" t="inlineStr">
        <is>
          <t>stories_teaser_cards</t>
        </is>
      </c>
      <c r="H64" s="24" t="inlineStr">
        <is>
          <t>embed_all</t>
        </is>
      </c>
      <c r="I64" s="24" t="n">
        <v>3</v>
      </c>
      <c r="J64" s="29" t="inlineStr">
        <is>
          <t>Section inferred</t>
        </is>
      </c>
      <c r="K64" s="24" t="inlineStr">
        <is>
          <t>Page placement</t>
        </is>
      </c>
      <c r="L64" s="24" t="inlineStr">
        <is>
          <t>Content type: story; Context uses Courses Context: Swensen Asset Management Institute (1174); Limited to 3 item(s); Source: Section inferred</t>
        </is>
      </c>
      <c r="BQ64" s="19" t="inlineStr">
        <is>
          <t>1174</t>
        </is>
      </c>
      <c r="BR64" s="19" t="inlineStr">
        <is>
          <t>Swensen Asset Management Institute (1174)</t>
        </is>
      </c>
      <c r="IS64" s="19">
        <f>IF(input_content_type="",FALSE,ISNUMBER(SEARCH(","&amp;LOWER(input_content_type)&amp;",",","&amp;LOWER(SUBSTITUTE(F64," ",""))&amp;",")))</f>
        <v/>
      </c>
      <c r="IT64" s="19">
        <f>AND(IF(M64="",TRUE,IF(input_affiliations="",FALSE,SUMPRODUCT(--ISNUMBER(SEARCH(","&amp;TRIM(TEXTSPLIT(M64,","))&amp;",",","&amp;SUBSTITUTE(input_affiliations," ","")&amp;",")))&gt;0)),IF(O64="",TRUE,IF(input_affiliations="",FALSE,SUMPRODUCT(--ISNUMBER(SEARCH(","&amp;TRIM(TEXTSPLIT(O64,","))&amp;",",","&amp;SUBSTITUTE(input_affiliations," ","")&amp;",")))=COUNTA(TEXTSPLIT(O64,",")))),IF(Q64="",TRUE,IF(input_affiliations="",TRUE,SUMPRODUCT(--ISNUMBER(SEARCH(","&amp;TRIM(TEXTSPLIT(Q64,","))&amp;",",","&amp;SUBSTITUTE(input_affiliations," ","")&amp;",")))=0)),IF(S64="",TRUE,IF(input_affiliations="",FALSE,SUMPRODUCT(--ISNUMBER(SEARCH(","&amp;TRIM(TEXTSPLIT(S64,","))&amp;",",","&amp;SUBSTITUTE(input_affiliations," ","")&amp;",")))&gt;0)),IF(U64="",TRUE,IF(input_affiliations="",FALSE,SUMPRODUCT(--ISNUMBER(SEARCH(","&amp;TRIM(TEXTSPLIT(U64,","))&amp;",",","&amp;SUBSTITUTE(input_affiliations," ","")&amp;",")))=COUNTA(TEXTSPLIT(U64,",")))))</f>
        <v/>
      </c>
      <c r="IU64" s="19">
        <f>AND(IF(W64="",TRUE,IF(input_announcement_category="",FALSE,SUMPRODUCT(--ISNUMBER(SEARCH(","&amp;TRIM(TEXTSPLIT(W64,","))&amp;",",","&amp;SUBSTITUTE(input_announcement_category," ","")&amp;",")))&gt;0)),IF(Y64="",TRUE,IF(input_announcement_category="",FALSE,SUMPRODUCT(--ISNUMBER(SEARCH(","&amp;TRIM(TEXTSPLIT(Y64,","))&amp;",",","&amp;SUBSTITUTE(input_announcement_category," ","")&amp;",")))=COUNTA(TEXTSPLIT(Y64,",")))),IF(AA64="",TRUE,IF(input_announcement_category="",TRUE,SUMPRODUCT(--ISNUMBER(SEARCH(","&amp;TRIM(TEXTSPLIT(AA64,","))&amp;",",","&amp;SUBSTITUTE(input_announcement_category," ","")&amp;",")))=0)),IF(AC64="",TRUE,IF(input_announcement_category="",FALSE,SUMPRODUCT(--ISNUMBER(SEARCH(","&amp;TRIM(TEXTSPLIT(AC64,","))&amp;",",","&amp;SUBSTITUTE(input_announcement_category," ","")&amp;",")))&gt;0)),IF(AE64="",TRUE,IF(input_announcement_category="",FALSE,SUMPRODUCT(--ISNUMBER(SEARCH(","&amp;TRIM(TEXTSPLIT(AE64,","))&amp;",",","&amp;SUBSTITUTE(input_announcement_category," ","")&amp;",")))=COUNTA(TEXTSPLIT(AE64,",")))))</f>
        <v/>
      </c>
      <c r="IV64" s="19">
        <f>AND(IF(AG64="",TRUE,IF(input_area_of_focus="",FALSE,SUMPRODUCT(--ISNUMBER(SEARCH(","&amp;TRIM(TEXTSPLIT(AG64,","))&amp;",",","&amp;SUBSTITUTE(input_area_of_focus," ","")&amp;",")))&gt;0)),IF(AI64="",TRUE,IF(input_area_of_focus="",FALSE,SUMPRODUCT(--ISNUMBER(SEARCH(","&amp;TRIM(TEXTSPLIT(AI64,","))&amp;",",","&amp;SUBSTITUTE(input_area_of_focus," ","")&amp;",")))=COUNTA(TEXTSPLIT(AI64,",")))),IF(AK64="",TRUE,IF(input_area_of_focus="",TRUE,SUMPRODUCT(--ISNUMBER(SEARCH(","&amp;TRIM(TEXTSPLIT(AK64,","))&amp;",",","&amp;SUBSTITUTE(input_area_of_focus," ","")&amp;",")))=0)),IF(AM64="",TRUE,IF(input_area_of_focus="",FALSE,SUMPRODUCT(--ISNUMBER(SEARCH(","&amp;TRIM(TEXTSPLIT(AM64,","))&amp;",",","&amp;SUBSTITUTE(input_area_of_focus," ","")&amp;",")))&gt;0)),IF(AO64="",TRUE,IF(input_area_of_focus="",FALSE,SUMPRODUCT(--ISNUMBER(SEARCH(","&amp;TRIM(TEXTSPLIT(AO64,","))&amp;",",","&amp;SUBSTITUTE(input_area_of_focus," ","")&amp;",")))=COUNTA(TEXTSPLIT(AO64,",")))))</f>
        <v/>
      </c>
      <c r="IW64" s="19">
        <f>AND(IF(AQ64="",TRUE,IF(input_audience="",FALSE,SUMPRODUCT(--ISNUMBER(SEARCH(","&amp;TRIM(TEXTSPLIT(AQ64,","))&amp;",",","&amp;SUBSTITUTE(input_audience," ","")&amp;",")))&gt;0)),IF(AS64="",TRUE,IF(input_audience="",FALSE,SUMPRODUCT(--ISNUMBER(SEARCH(","&amp;TRIM(TEXTSPLIT(AS64,","))&amp;",",","&amp;SUBSTITUTE(input_audience," ","")&amp;",")))=COUNTA(TEXTSPLIT(AS64,",")))),IF(AU64="",TRUE,IF(input_audience="",TRUE,SUMPRODUCT(--ISNUMBER(SEARCH(","&amp;TRIM(TEXTSPLIT(AU64,","))&amp;",",","&amp;SUBSTITUTE(input_audience," ","")&amp;",")))=0)),IF(AW64="",TRUE,IF(input_audience="",FALSE,SUMPRODUCT(--ISNUMBER(SEARCH(","&amp;TRIM(TEXTSPLIT(AW64,","))&amp;",",","&amp;SUBSTITUTE(input_audience," ","")&amp;",")))&gt;0)),IF(AY64="",TRUE,IF(input_audience="",FALSE,SUMPRODUCT(--ISNUMBER(SEARCH(","&amp;TRIM(TEXTSPLIT(AY64,","))&amp;",",","&amp;SUBSTITUTE(input_audience," ","")&amp;",")))=COUNTA(TEXTSPLIT(AY64,",")))))</f>
        <v/>
      </c>
      <c r="IX64" s="19">
        <f>AND(IF(BA64="",TRUE,IF(input_challenge_opportunities="",FALSE,SUMPRODUCT(--ISNUMBER(SEARCH(","&amp;TRIM(TEXTSPLIT(BA64,","))&amp;",",","&amp;SUBSTITUTE(input_challenge_opportunities," ","")&amp;",")))&gt;0)),IF(BC64="",TRUE,IF(input_challenge_opportunities="",FALSE,SUMPRODUCT(--ISNUMBER(SEARCH(","&amp;TRIM(TEXTSPLIT(BC64,","))&amp;",",","&amp;SUBSTITUTE(input_challenge_opportunities," ","")&amp;",")))=COUNTA(TEXTSPLIT(BC64,",")))),IF(BE64="",TRUE,IF(input_challenge_opportunities="",TRUE,SUMPRODUCT(--ISNUMBER(SEARCH(","&amp;TRIM(TEXTSPLIT(BE64,","))&amp;",",","&amp;SUBSTITUTE(input_challenge_opportunities," ","")&amp;",")))=0)),IF(BG64="",TRUE,IF(input_challenge_opportunities="",FALSE,SUMPRODUCT(--ISNUMBER(SEARCH(","&amp;TRIM(TEXTSPLIT(BG64,","))&amp;",",","&amp;SUBSTITUTE(input_challenge_opportunities," ","")&amp;",")))&gt;0)),IF(BI64="",TRUE,IF(input_challenge_opportunities="",FALSE,SUMPRODUCT(--ISNUMBER(SEARCH(","&amp;TRIM(TEXTSPLIT(BI64,","))&amp;",",","&amp;SUBSTITUTE(input_challenge_opportunities," ","")&amp;",")))=COUNTA(TEXTSPLIT(BI64,",")))))</f>
        <v/>
      </c>
      <c r="IY64" s="19">
        <f>AND(IF(BK64="",TRUE,IF(input_context="",FALSE,SUMPRODUCT(--ISNUMBER(SEARCH(","&amp;TRIM(TEXTSPLIT(BK64,","))&amp;",",","&amp;SUBSTITUTE(input_context," ","")&amp;",")))&gt;0)),IF(BM64="",TRUE,IF(input_context="",FALSE,SUMPRODUCT(--ISNUMBER(SEARCH(","&amp;TRIM(TEXTSPLIT(BM64,","))&amp;",",","&amp;SUBSTITUTE(input_context," ","")&amp;",")))=COUNTA(TEXTSPLIT(BM64,",")))),IF(BO64="",TRUE,IF(input_context="",TRUE,SUMPRODUCT(--ISNUMBER(SEARCH(","&amp;TRIM(TEXTSPLIT(BO64,","))&amp;",",","&amp;SUBSTITUTE(input_context," ","")&amp;",")))=0)),IF(BQ64="",TRUE,IF(input_context="",FALSE,SUMPRODUCT(--ISNUMBER(SEARCH(","&amp;TRIM(TEXTSPLIT(BQ64,","))&amp;",",","&amp;SUBSTITUTE(input_context," ","")&amp;",")))&gt;0)),IF(BS64="",TRUE,IF(input_context="",FALSE,SUMPRODUCT(--ISNUMBER(SEARCH(","&amp;TRIM(TEXTSPLIT(BS64,","))&amp;",",","&amp;SUBSTITUTE(input_context," ","")&amp;",")))=COUNTA(TEXTSPLIT(BS64,",")))))</f>
        <v/>
      </c>
      <c r="IZ64" s="19">
        <f>AND(IF(BU64="",TRUE,IF(input_enews_announcement_type="",FALSE,SUMPRODUCT(--ISNUMBER(SEARCH(","&amp;TRIM(TEXTSPLIT(BU64,","))&amp;",",","&amp;SUBSTITUTE(input_enews_announcement_type," ","")&amp;",")))&gt;0)),IF(BW64="",TRUE,IF(input_enews_announcement_type="",FALSE,SUMPRODUCT(--ISNUMBER(SEARCH(","&amp;TRIM(TEXTSPLIT(BW64,","))&amp;",",","&amp;SUBSTITUTE(input_enews_announcement_type," ","")&amp;",")))=COUNTA(TEXTSPLIT(BW64,",")))),IF(BY64="",TRUE,IF(input_enews_announcement_type="",TRUE,SUMPRODUCT(--ISNUMBER(SEARCH(","&amp;TRIM(TEXTSPLIT(BY64,","))&amp;",",","&amp;SUBSTITUTE(input_enews_announcement_type," ","")&amp;",")))=0)),IF(CA64="",TRUE,IF(input_enews_announcement_type="",FALSE,SUMPRODUCT(--ISNUMBER(SEARCH(","&amp;TRIM(TEXTSPLIT(CA64,","))&amp;",",","&amp;SUBSTITUTE(input_enews_announcement_type," ","")&amp;",")))&gt;0)),IF(CC64="",TRUE,IF(input_enews_announcement_type="",FALSE,SUMPRODUCT(--ISNUMBER(SEARCH(","&amp;TRIM(TEXTSPLIT(CC64,","))&amp;",",","&amp;SUBSTITUTE(input_enews_announcement_type," ","")&amp;",")))=COUNTA(TEXTSPLIT(CC64,",")))))</f>
        <v/>
      </c>
      <c r="JA64" s="19">
        <f>AND(IF(CE64="",TRUE,IF(input_enews_audience="",FALSE,SUMPRODUCT(--ISNUMBER(SEARCH(","&amp;TRIM(TEXTSPLIT(CE64,","))&amp;",",","&amp;SUBSTITUTE(input_enews_audience," ","")&amp;",")))&gt;0)),IF(CG64="",TRUE,IF(input_enews_audience="",FALSE,SUMPRODUCT(--ISNUMBER(SEARCH(","&amp;TRIM(TEXTSPLIT(CG64,","))&amp;",",","&amp;SUBSTITUTE(input_enews_audience," ","")&amp;",")))=COUNTA(TEXTSPLIT(CG64,",")))),IF(CI64="",TRUE,IF(input_enews_audience="",TRUE,SUMPRODUCT(--ISNUMBER(SEARCH(","&amp;TRIM(TEXTSPLIT(CI64,","))&amp;",",","&amp;SUBSTITUTE(input_enews_audience," ","")&amp;",")))=0)),IF(CK64="",TRUE,IF(input_enews_audience="",FALSE,SUMPRODUCT(--ISNUMBER(SEARCH(","&amp;TRIM(TEXTSPLIT(CK64,","))&amp;",",","&amp;SUBSTITUTE(input_enews_audience," ","")&amp;",")))&gt;0)),IF(CM64="",TRUE,IF(input_enews_audience="",FALSE,SUMPRODUCT(--ISNUMBER(SEARCH(","&amp;TRIM(TEXTSPLIT(CM64,","))&amp;",",","&amp;SUBSTITUTE(input_enews_audience," ","")&amp;",")))=COUNTA(TEXTSPLIT(CM64,",")))))</f>
        <v/>
      </c>
      <c r="JB64" s="19">
        <f>AND(IF(CO64="",TRUE,IF(input_event_location="",FALSE,SUMPRODUCT(--ISNUMBER(SEARCH(","&amp;TRIM(TEXTSPLIT(CO64,","))&amp;",",","&amp;SUBSTITUTE(input_event_location," ","")&amp;",")))&gt;0)),IF(CQ64="",TRUE,IF(input_event_location="",FALSE,SUMPRODUCT(--ISNUMBER(SEARCH(","&amp;TRIM(TEXTSPLIT(CQ64,","))&amp;",",","&amp;SUBSTITUTE(input_event_location," ","")&amp;",")))=COUNTA(TEXTSPLIT(CQ64,",")))),IF(CS64="",TRUE,IF(input_event_location="",TRUE,SUMPRODUCT(--ISNUMBER(SEARCH(","&amp;TRIM(TEXTSPLIT(CS64,","))&amp;",",","&amp;SUBSTITUTE(input_event_location," ","")&amp;",")))=0)),IF(CU64="",TRUE,IF(input_event_location="",FALSE,SUMPRODUCT(--ISNUMBER(SEARCH(","&amp;TRIM(TEXTSPLIT(CU64,","))&amp;",",","&amp;SUBSTITUTE(input_event_location," ","")&amp;",")))&gt;0)),IF(CW64="",TRUE,IF(input_event_location="",FALSE,SUMPRODUCT(--ISNUMBER(SEARCH(","&amp;TRIM(TEXTSPLIT(CW64,","))&amp;",",","&amp;SUBSTITUTE(input_event_location," ","")&amp;",")))=COUNTA(TEXTSPLIT(CW64,",")))))</f>
        <v/>
      </c>
      <c r="JC64" s="19">
        <f>AND(IF(CY64="",TRUE,IF(input_event_type="",FALSE,SUMPRODUCT(--ISNUMBER(SEARCH(","&amp;TRIM(TEXTSPLIT(CY64,","))&amp;",",","&amp;SUBSTITUTE(input_event_type," ","")&amp;",")))&gt;0)),IF(DA64="",TRUE,IF(input_event_type="",FALSE,SUMPRODUCT(--ISNUMBER(SEARCH(","&amp;TRIM(TEXTSPLIT(DA64,","))&amp;",",","&amp;SUBSTITUTE(input_event_type," ","")&amp;",")))=COUNTA(TEXTSPLIT(DA64,",")))),IF(DC64="",TRUE,IF(input_event_type="",TRUE,SUMPRODUCT(--ISNUMBER(SEARCH(","&amp;TRIM(TEXTSPLIT(DC64,","))&amp;",",","&amp;SUBSTITUTE(input_event_type," ","")&amp;",")))=0)),IF(DE64="",TRUE,IF(input_event_type="",FALSE,SUMPRODUCT(--ISNUMBER(SEARCH(","&amp;TRIM(TEXTSPLIT(DE64,","))&amp;",",","&amp;SUBSTITUTE(input_event_type," ","")&amp;",")))&gt;0)),IF(DG64="",TRUE,IF(input_event_type="",FALSE,SUMPRODUCT(--ISNUMBER(SEARCH(","&amp;TRIM(TEXTSPLIT(DG64,","))&amp;",",","&amp;SUBSTITUTE(input_event_type," ","")&amp;",")))=COUNTA(TEXTSPLIT(DG64,",")))))</f>
        <v/>
      </c>
      <c r="JD64" s="19">
        <f>AND(IF(DI64="",TRUE,IF(input_executive_education_focus="",FALSE,SUMPRODUCT(--ISNUMBER(SEARCH(","&amp;TRIM(TEXTSPLIT(DI64,","))&amp;",",","&amp;SUBSTITUTE(input_executive_education_focus," ","")&amp;",")))&gt;0)),IF(DK64="",TRUE,IF(input_executive_education_focus="",FALSE,SUMPRODUCT(--ISNUMBER(SEARCH(","&amp;TRIM(TEXTSPLIT(DK64,","))&amp;",",","&amp;SUBSTITUTE(input_executive_education_focus," ","")&amp;",")))=COUNTA(TEXTSPLIT(DK64,",")))),IF(DM64="",TRUE,IF(input_executive_education_focus="",TRUE,SUMPRODUCT(--ISNUMBER(SEARCH(","&amp;TRIM(TEXTSPLIT(DM64,","))&amp;",",","&amp;SUBSTITUTE(input_executive_education_focus," ","")&amp;",")))=0)),IF(DO64="",TRUE,IF(input_executive_education_focus="",FALSE,SUMPRODUCT(--ISNUMBER(SEARCH(","&amp;TRIM(TEXTSPLIT(DO64,","))&amp;",",","&amp;SUBSTITUTE(input_executive_education_focus," ","")&amp;",")))&gt;0)),IF(DQ64="",TRUE,IF(input_executive_education_focus="",FALSE,SUMPRODUCT(--ISNUMBER(SEARCH(","&amp;TRIM(TEXTSPLIT(DQ64,","))&amp;",",","&amp;SUBSTITUTE(input_executive_education_focus," ","")&amp;",")))=COUNTA(TEXTSPLIT(DQ64,",")))))</f>
        <v/>
      </c>
      <c r="JE64" s="19">
        <f>AND(IF(DS64="",TRUE,IF(input_faculty_category="",FALSE,SUMPRODUCT(--ISNUMBER(SEARCH(","&amp;TRIM(TEXTSPLIT(DS64,","))&amp;",",","&amp;SUBSTITUTE(input_faculty_category," ","")&amp;",")))&gt;0)),IF(DU64="",TRUE,IF(input_faculty_category="",FALSE,SUMPRODUCT(--ISNUMBER(SEARCH(","&amp;TRIM(TEXTSPLIT(DU64,","))&amp;",",","&amp;SUBSTITUTE(input_faculty_category," ","")&amp;",")))=COUNTA(TEXTSPLIT(DU64,",")))),IF(DW64="",TRUE,IF(input_faculty_category="",TRUE,SUMPRODUCT(--ISNUMBER(SEARCH(","&amp;TRIM(TEXTSPLIT(DW64,","))&amp;",",","&amp;SUBSTITUTE(input_faculty_category," ","")&amp;",")))=0)),IF(DY64="",TRUE,IF(input_faculty_category="",FALSE,SUMPRODUCT(--ISNUMBER(SEARCH(","&amp;TRIM(TEXTSPLIT(DY64,","))&amp;",",","&amp;SUBSTITUTE(input_faculty_category," ","")&amp;",")))&gt;0)),IF(EA64="",TRUE,IF(input_faculty_category="",FALSE,SUMPRODUCT(--ISNUMBER(SEARCH(","&amp;TRIM(TEXTSPLIT(EA64,","))&amp;",",","&amp;SUBSTITUTE(input_faculty_category," ","")&amp;",")))=COUNTA(TEXTSPLIT(EA64,",")))))</f>
        <v/>
      </c>
      <c r="JF64" s="19">
        <f>AND(IF(EC64="",TRUE,IF(input_faculty_discipline="",FALSE,SUMPRODUCT(--ISNUMBER(SEARCH(","&amp;TRIM(TEXTSPLIT(EC64,","))&amp;",",","&amp;SUBSTITUTE(input_faculty_discipline," ","")&amp;",")))&gt;0)),IF(EE64="",TRUE,IF(input_faculty_discipline="",FALSE,SUMPRODUCT(--ISNUMBER(SEARCH(","&amp;TRIM(TEXTSPLIT(EE64,","))&amp;",",","&amp;SUBSTITUTE(input_faculty_discipline," ","")&amp;",")))=COUNTA(TEXTSPLIT(EE64,",")))),IF(EG64="",TRUE,IF(input_faculty_discipline="",TRUE,SUMPRODUCT(--ISNUMBER(SEARCH(","&amp;TRIM(TEXTSPLIT(EG64,","))&amp;",",","&amp;SUBSTITUTE(input_faculty_discipline," ","")&amp;",")))=0)),IF(EI64="",TRUE,IF(input_faculty_discipline="",FALSE,SUMPRODUCT(--ISNUMBER(SEARCH(","&amp;TRIM(TEXTSPLIT(EI64,","))&amp;",",","&amp;SUBSTITUTE(input_faculty_discipline," ","")&amp;",")))&gt;0)),IF(EK64="",TRUE,IF(input_faculty_discipline="",FALSE,SUMPRODUCT(--ISNUMBER(SEARCH(","&amp;TRIM(TEXTSPLIT(EK64,","))&amp;",",","&amp;SUBSTITUTE(input_faculty_discipline," ","")&amp;",")))=COUNTA(TEXTSPLIT(EK64,",")))))</f>
        <v/>
      </c>
      <c r="JG64" s="19">
        <f>AND(IF(EM64="",TRUE,IF(input_faculty_expertise="",FALSE,SUMPRODUCT(--ISNUMBER(SEARCH(","&amp;TRIM(TEXTSPLIT(EM64,","))&amp;",",","&amp;SUBSTITUTE(input_faculty_expertise," ","")&amp;",")))&gt;0)),IF(EO64="",TRUE,IF(input_faculty_expertise="",FALSE,SUMPRODUCT(--ISNUMBER(SEARCH(","&amp;TRIM(TEXTSPLIT(EO64,","))&amp;",",","&amp;SUBSTITUTE(input_faculty_expertise," ","")&amp;",")))=COUNTA(TEXTSPLIT(EO64,",")))),IF(EQ64="",TRUE,IF(input_faculty_expertise="",TRUE,SUMPRODUCT(--ISNUMBER(SEARCH(","&amp;TRIM(TEXTSPLIT(EQ64,","))&amp;",",","&amp;SUBSTITUTE(input_faculty_expertise," ","")&amp;",")))=0)),IF(ES64="",TRUE,IF(input_faculty_expertise="",FALSE,SUMPRODUCT(--ISNUMBER(SEARCH(","&amp;TRIM(TEXTSPLIT(ES64,","))&amp;",",","&amp;SUBSTITUTE(input_faculty_expertise," ","")&amp;",")))&gt;0)),IF(EU64="",TRUE,IF(input_faculty_expertise="",FALSE,SUMPRODUCT(--ISNUMBER(SEARCH(","&amp;TRIM(TEXTSPLIT(EU64,","))&amp;",",","&amp;SUBSTITUTE(input_faculty_expertise," ","")&amp;",")))=COUNTA(TEXTSPLIT(EU64,",")))))</f>
        <v/>
      </c>
      <c r="JH64" s="19">
        <f>AND(IF(EW64="",TRUE,IF(input_global_network_school="",FALSE,SUMPRODUCT(--ISNUMBER(SEARCH(","&amp;TRIM(TEXTSPLIT(EW64,","))&amp;",",","&amp;SUBSTITUTE(input_global_network_school," ","")&amp;",")))&gt;0)),IF(EY64="",TRUE,IF(input_global_network_school="",FALSE,SUMPRODUCT(--ISNUMBER(SEARCH(","&amp;TRIM(TEXTSPLIT(EY64,","))&amp;",",","&amp;SUBSTITUTE(input_global_network_school," ","")&amp;",")))=COUNTA(TEXTSPLIT(EY64,",")))),IF(FA64="",TRUE,IF(input_global_network_school="",TRUE,SUMPRODUCT(--ISNUMBER(SEARCH(","&amp;TRIM(TEXTSPLIT(FA64,","))&amp;",",","&amp;SUBSTITUTE(input_global_network_school," ","")&amp;",")))=0)),IF(FC64="",TRUE,IF(input_global_network_school="",FALSE,SUMPRODUCT(--ISNUMBER(SEARCH(","&amp;TRIM(TEXTSPLIT(FC64,","))&amp;",",","&amp;SUBSTITUTE(input_global_network_school," ","")&amp;",")))&gt;0)),IF(FE64="",TRUE,IF(input_global_network_school="",FALSE,SUMPRODUCT(--ISNUMBER(SEARCH(","&amp;TRIM(TEXTSPLIT(FE64,","))&amp;",",","&amp;SUBSTITUTE(input_global_network_school," ","")&amp;",")))=COUNTA(TEXTSPLIT(FE64,",")))))</f>
        <v/>
      </c>
      <c r="JI64" s="19">
        <f>AND(IF(FG64="",TRUE,IF(input_industry="",FALSE,SUMPRODUCT(--ISNUMBER(SEARCH(","&amp;TRIM(TEXTSPLIT(FG64,","))&amp;",",","&amp;SUBSTITUTE(input_industry," ","")&amp;",")))&gt;0)),IF(FI64="",TRUE,IF(input_industry="",FALSE,SUMPRODUCT(--ISNUMBER(SEARCH(","&amp;TRIM(TEXTSPLIT(FI64,","))&amp;",",","&amp;SUBSTITUTE(input_industry," ","")&amp;",")))=COUNTA(TEXTSPLIT(FI64,",")))),IF(FK64="",TRUE,IF(input_industry="",TRUE,SUMPRODUCT(--ISNUMBER(SEARCH(","&amp;TRIM(TEXTSPLIT(FK64,","))&amp;",",","&amp;SUBSTITUTE(input_industry," ","")&amp;",")))=0)),IF(FM64="",TRUE,IF(input_industry="",FALSE,SUMPRODUCT(--ISNUMBER(SEARCH(","&amp;TRIM(TEXTSPLIT(FM64,","))&amp;",",","&amp;SUBSTITUTE(input_industry," ","")&amp;",")))&gt;0)),IF(FO64="",TRUE,IF(input_industry="",FALSE,SUMPRODUCT(--ISNUMBER(SEARCH(","&amp;TRIM(TEXTSPLIT(FO64,","))&amp;",",","&amp;SUBSTITUTE(input_industry," ","")&amp;",")))=COUNTA(TEXTSPLIT(FO64,",")))))</f>
        <v/>
      </c>
      <c r="JJ64" s="19">
        <f>AND(IF(FQ64="",TRUE,IF(input_location="",FALSE,SUMPRODUCT(--ISNUMBER(SEARCH(","&amp;TRIM(TEXTSPLIT(FQ64,","))&amp;",",","&amp;SUBSTITUTE(input_location," ","")&amp;",")))&gt;0)),IF(FS64="",TRUE,IF(input_location="",FALSE,SUMPRODUCT(--ISNUMBER(SEARCH(","&amp;TRIM(TEXTSPLIT(FS64,","))&amp;",",","&amp;SUBSTITUTE(input_location," ","")&amp;",")))=COUNTA(TEXTSPLIT(FS64,",")))),IF(FU64="",TRUE,IF(input_location="",TRUE,SUMPRODUCT(--ISNUMBER(SEARCH(","&amp;TRIM(TEXTSPLIT(FU64,","))&amp;",",","&amp;SUBSTITUTE(input_location," ","")&amp;",")))=0)),IF(FW64="",TRUE,IF(input_location="",FALSE,SUMPRODUCT(--ISNUMBER(SEARCH(","&amp;TRIM(TEXTSPLIT(FW64,","))&amp;",",","&amp;SUBSTITUTE(input_location," ","")&amp;",")))&gt;0)),IF(FY64="",TRUE,IF(input_location="",FALSE,SUMPRODUCT(--ISNUMBER(SEARCH(","&amp;TRIM(TEXTSPLIT(FY64,","))&amp;",",","&amp;SUBSTITUTE(input_location," ","")&amp;",")))=COUNTA(TEXTSPLIT(FY64,",")))))</f>
        <v/>
      </c>
      <c r="JK64" s="19">
        <f>AND(IF(GA64="",TRUE,IF(input_modality="",FALSE,SUMPRODUCT(--ISNUMBER(SEARCH(","&amp;TRIM(TEXTSPLIT(GA64,","))&amp;",",","&amp;SUBSTITUTE(input_modality," ","")&amp;",")))&gt;0)),IF(GC64="",TRUE,IF(input_modality="",FALSE,SUMPRODUCT(--ISNUMBER(SEARCH(","&amp;TRIM(TEXTSPLIT(GC64,","))&amp;",",","&amp;SUBSTITUTE(input_modality," ","")&amp;",")))=COUNTA(TEXTSPLIT(GC64,",")))),IF(GE64="",TRUE,IF(input_modality="",TRUE,SUMPRODUCT(--ISNUMBER(SEARCH(","&amp;TRIM(TEXTSPLIT(GE64,","))&amp;",",","&amp;SUBSTITUTE(input_modality," ","")&amp;",")))=0)),IF(GG64="",TRUE,IF(input_modality="",FALSE,SUMPRODUCT(--ISNUMBER(SEARCH(","&amp;TRIM(TEXTSPLIT(GG64,","))&amp;",",","&amp;SUBSTITUTE(input_modality," ","")&amp;",")))&gt;0)),IF(GI64="",TRUE,IF(input_modality="",FALSE,SUMPRODUCT(--ISNUMBER(SEARCH(","&amp;TRIM(TEXTSPLIT(GI64,","))&amp;",",","&amp;SUBSTITUTE(input_modality," ","")&amp;",")))=COUNTA(TEXTSPLIT(GI64,",")))))</f>
        <v/>
      </c>
      <c r="JL64" s="19">
        <f>AND(IF(GK64="",TRUE,IF(input_organizer="",FALSE,SUMPRODUCT(--ISNUMBER(SEARCH(","&amp;TRIM(TEXTSPLIT(GK64,","))&amp;",",","&amp;SUBSTITUTE(input_organizer," ","")&amp;",")))&gt;0)),IF(GM64="",TRUE,IF(input_organizer="",FALSE,SUMPRODUCT(--ISNUMBER(SEARCH(","&amp;TRIM(TEXTSPLIT(GM64,","))&amp;",",","&amp;SUBSTITUTE(input_organizer," ","")&amp;",")))=COUNTA(TEXTSPLIT(GM64,",")))),IF(GO64="",TRUE,IF(input_organizer="",TRUE,SUMPRODUCT(--ISNUMBER(SEARCH(","&amp;TRIM(TEXTSPLIT(GO64,","))&amp;",",","&amp;SUBSTITUTE(input_organizer," ","")&amp;",")))=0)),IF(GQ64="",TRUE,IF(input_organizer="",FALSE,SUMPRODUCT(--ISNUMBER(SEARCH(","&amp;TRIM(TEXTSPLIT(GQ64,","))&amp;",",","&amp;SUBSTITUTE(input_organizer," ","")&amp;",")))&gt;0)),IF(GS64="",TRUE,IF(input_organizer="",FALSE,SUMPRODUCT(--ISNUMBER(SEARCH(","&amp;TRIM(TEXTSPLIT(GS64,","))&amp;",",","&amp;SUBSTITUTE(input_organizer," ","")&amp;",")))=COUNTA(TEXTSPLIT(GS64,",")))))</f>
        <v/>
      </c>
      <c r="JM64" s="19">
        <f>AND(IF(GU64="",TRUE,IF(input_profile_type="",FALSE,SUMPRODUCT(--ISNUMBER(SEARCH(","&amp;TRIM(TEXTSPLIT(GU64,","))&amp;",",","&amp;SUBSTITUTE(input_profile_type," ","")&amp;",")))&gt;0)),IF(GW64="",TRUE,IF(input_profile_type="",FALSE,SUMPRODUCT(--ISNUMBER(SEARCH(","&amp;TRIM(TEXTSPLIT(GW64,","))&amp;",",","&amp;SUBSTITUTE(input_profile_type," ","")&amp;",")))=COUNTA(TEXTSPLIT(GW64,",")))),IF(GY64="",TRUE,IF(input_profile_type="",TRUE,SUMPRODUCT(--ISNUMBER(SEARCH(","&amp;TRIM(TEXTSPLIT(GY64,","))&amp;",",","&amp;SUBSTITUTE(input_profile_type," ","")&amp;",")))=0)),IF(HA64="",TRUE,IF(input_profile_type="",FALSE,SUMPRODUCT(--ISNUMBER(SEARCH(","&amp;TRIM(TEXTSPLIT(HA64,","))&amp;",",","&amp;SUBSTITUTE(input_profile_type," ","")&amp;",")))&gt;0)),IF(HC64="",TRUE,IF(input_profile_type="",FALSE,SUMPRODUCT(--ISNUMBER(SEARCH(","&amp;TRIM(TEXTSPLIT(HC64,","))&amp;",",","&amp;SUBSTITUTE(input_profile_type," ","")&amp;",")))=COUNTA(TEXTSPLIT(HC64,",")))))</f>
        <v/>
      </c>
      <c r="JN64" s="19">
        <f>AND(IF(HE64="",TRUE,IF(input_program="",FALSE,SUMPRODUCT(--ISNUMBER(SEARCH(","&amp;TRIM(TEXTSPLIT(HE64,","))&amp;",",","&amp;SUBSTITUTE(input_program," ","")&amp;",")))&gt;0)),IF(HG64="",TRUE,IF(input_program="",FALSE,SUMPRODUCT(--ISNUMBER(SEARCH(","&amp;TRIM(TEXTSPLIT(HG64,","))&amp;",",","&amp;SUBSTITUTE(input_program," ","")&amp;",")))=COUNTA(TEXTSPLIT(HG64,",")))),IF(HI64="",TRUE,IF(input_program="",TRUE,SUMPRODUCT(--ISNUMBER(SEARCH(","&amp;TRIM(TEXTSPLIT(HI64,","))&amp;",",","&amp;SUBSTITUTE(input_program," ","")&amp;",")))=0)),IF(HK64="",TRUE,IF(input_program="",FALSE,SUMPRODUCT(--ISNUMBER(SEARCH(","&amp;TRIM(TEXTSPLIT(HK64,","))&amp;",",","&amp;SUBSTITUTE(input_program," ","")&amp;",")))&gt;0)),IF(HM64="",TRUE,IF(input_program="",FALSE,SUMPRODUCT(--ISNUMBER(SEARCH(","&amp;TRIM(TEXTSPLIT(HM64,","))&amp;",",","&amp;SUBSTITUTE(input_program," ","")&amp;",")))=COUNTA(TEXTSPLIT(HM64,",")))))</f>
        <v/>
      </c>
      <c r="JO64" s="19">
        <f>AND(IF(HO64="",TRUE,IF(input_story_categories="",FALSE,SUMPRODUCT(--ISNUMBER(SEARCH(","&amp;TRIM(TEXTSPLIT(HO64,","))&amp;",",","&amp;SUBSTITUTE(input_story_categories," ","")&amp;",")))&gt;0)),IF(HQ64="",TRUE,IF(input_story_categories="",FALSE,SUMPRODUCT(--ISNUMBER(SEARCH(","&amp;TRIM(TEXTSPLIT(HQ64,","))&amp;",",","&amp;SUBSTITUTE(input_story_categories," ","")&amp;",")))=COUNTA(TEXTSPLIT(HQ64,",")))),IF(HS64="",TRUE,IF(input_story_categories="",TRUE,SUMPRODUCT(--ISNUMBER(SEARCH(","&amp;TRIM(TEXTSPLIT(HS64,","))&amp;",",","&amp;SUBSTITUTE(input_story_categories," ","")&amp;",")))=0)),IF(HU64="",TRUE,IF(input_story_categories="",FALSE,SUMPRODUCT(--ISNUMBER(SEARCH(","&amp;TRIM(TEXTSPLIT(HU64,","))&amp;",",","&amp;SUBSTITUTE(input_story_categories," ","")&amp;",")))&gt;0)),IF(HW64="",TRUE,IF(input_story_categories="",FALSE,SUMPRODUCT(--ISNUMBER(SEARCH(","&amp;TRIM(TEXTSPLIT(HW64,","))&amp;",",","&amp;SUBSTITUTE(input_story_categories," ","")&amp;",")))=COUNTA(TEXTSPLIT(HW64,",")))))</f>
        <v/>
      </c>
      <c r="JP64" s="19">
        <f>AND(IF(HY64="",TRUE,IF(input_story_type="",FALSE,SUMPRODUCT(--ISNUMBER(SEARCH(","&amp;TRIM(TEXTSPLIT(HY64,","))&amp;",",","&amp;SUBSTITUTE(input_story_type," ","")&amp;",")))&gt;0)),IF(IA64="",TRUE,IF(input_story_type="",FALSE,SUMPRODUCT(--ISNUMBER(SEARCH(","&amp;TRIM(TEXTSPLIT(IA64,","))&amp;",",","&amp;SUBSTITUTE(input_story_type," ","")&amp;",")))=COUNTA(TEXTSPLIT(IA64,",")))),IF(IC64="",TRUE,IF(input_story_type="",TRUE,SUMPRODUCT(--ISNUMBER(SEARCH(","&amp;TRIM(TEXTSPLIT(IC64,","))&amp;",",","&amp;SUBSTITUTE(input_story_type," ","")&amp;",")))=0)),IF(IE64="",TRUE,IF(input_story_type="",FALSE,SUMPRODUCT(--ISNUMBER(SEARCH(","&amp;TRIM(TEXTSPLIT(IE64,","))&amp;",",","&amp;SUBSTITUTE(input_story_type," ","")&amp;",")))&gt;0)),IF(IG64="",TRUE,IF(input_story_type="",FALSE,SUMPRODUCT(--ISNUMBER(SEARCH(","&amp;TRIM(TEXTSPLIT(IG64,","))&amp;",",","&amp;SUBSTITUTE(input_story_type," ","")&amp;",")))=COUNTA(TEXTSPLIT(IG64,",")))))</f>
        <v/>
      </c>
      <c r="JQ64" s="19">
        <f>AND(IF(II64="",TRUE,IF(input_topics="",FALSE,SUMPRODUCT(--ISNUMBER(SEARCH(","&amp;TRIM(TEXTSPLIT(II64,","))&amp;",",","&amp;SUBSTITUTE(input_topics," ","")&amp;",")))&gt;0)),IF(IK64="",TRUE,IF(input_topics="",FALSE,SUMPRODUCT(--ISNUMBER(SEARCH(","&amp;TRIM(TEXTSPLIT(IK64,","))&amp;",",","&amp;SUBSTITUTE(input_topics," ","")&amp;",")))=COUNTA(TEXTSPLIT(IK64,",")))),IF(IM64="",TRUE,IF(input_topics="",TRUE,SUMPRODUCT(--ISNUMBER(SEARCH(","&amp;TRIM(TEXTSPLIT(IM64,","))&amp;",",","&amp;SUBSTITUTE(input_topics," ","")&amp;",")))=0)),IF(IO64="",TRUE,IF(input_topics="",FALSE,SUMPRODUCT(--ISNUMBER(SEARCH(","&amp;TRIM(TEXTSPLIT(IO64,","))&amp;",",","&amp;SUBSTITUTE(input_topics," ","")&amp;",")))&gt;0)),IF(IQ64="",TRUE,IF(input_topics="",FALSE,SUMPRODUCT(--ISNUMBER(SEARCH(","&amp;TRIM(TEXTSPLIT(IQ64,","))&amp;",",","&amp;SUBSTITUTE(input_topics," ","")&amp;",")))=COUNTA(TEXTSPLIT(IQ64,",")))))</f>
        <v/>
      </c>
    </row>
    <row r="65">
      <c r="A65" s="24">
        <f>IF(NOT(IS65),"Excluded",IF(AND(IT65,IU65,IV65,IW65,IX65,IY65,IZ65,JA65,JB65,JC65,JD65,JE65,JF65,JG65,JH65,JI65,JJ65,JK65,JL65,JM65,JN65,JO65,JP65,JQ65),IF(I65&gt;0,"Eligible but limited","Will appear"),"Excluded"))</f>
        <v/>
      </c>
      <c r="B65" s="24" t="inlineStr">
        <is>
          <t>All stories</t>
        </is>
      </c>
      <c r="C65" s="27" t="inlineStr">
        <is>
          <t>/centers/the-broad-center</t>
        </is>
      </c>
      <c r="D65" s="24" t="inlineStr">
        <is>
          <t>/centers/the-broad-center</t>
        </is>
      </c>
      <c r="E65" s="24" t="n">
        <v>1</v>
      </c>
      <c r="F65" s="24" t="inlineStr">
        <is>
          <t>story</t>
        </is>
      </c>
      <c r="G65" s="24" t="inlineStr">
        <is>
          <t>stories_grid_with_images</t>
        </is>
      </c>
      <c r="H65" s="24" t="inlineStr">
        <is>
          <t>embed_1</t>
        </is>
      </c>
      <c r="I65" s="24" t="n">
        <v>3</v>
      </c>
      <c r="J65" s="29" t="inlineStr">
        <is>
          <t>Section inferred</t>
        </is>
      </c>
      <c r="K65" s="24" t="inlineStr">
        <is>
          <t>Page placement</t>
        </is>
      </c>
      <c r="L65" s="24" t="inlineStr">
        <is>
          <t>Content type: story; Context uses Courses Context: The Broad Center (926); Limited to 3 item(s); Source: Section inferred</t>
        </is>
      </c>
      <c r="BQ65" s="19" t="inlineStr">
        <is>
          <t>926</t>
        </is>
      </c>
      <c r="BR65" s="19" t="inlineStr">
        <is>
          <t>The Broad Center (926)</t>
        </is>
      </c>
      <c r="IS65" s="19">
        <f>IF(input_content_type="",FALSE,ISNUMBER(SEARCH(","&amp;LOWER(input_content_type)&amp;",",","&amp;LOWER(SUBSTITUTE(F65," ",""))&amp;",")))</f>
        <v/>
      </c>
      <c r="IT65" s="19">
        <f>AND(IF(M65="",TRUE,IF(input_affiliations="",FALSE,SUMPRODUCT(--ISNUMBER(SEARCH(","&amp;TRIM(TEXTSPLIT(M65,","))&amp;",",","&amp;SUBSTITUTE(input_affiliations," ","")&amp;",")))&gt;0)),IF(O65="",TRUE,IF(input_affiliations="",FALSE,SUMPRODUCT(--ISNUMBER(SEARCH(","&amp;TRIM(TEXTSPLIT(O65,","))&amp;",",","&amp;SUBSTITUTE(input_affiliations," ","")&amp;",")))=COUNTA(TEXTSPLIT(O65,",")))),IF(Q65="",TRUE,IF(input_affiliations="",TRUE,SUMPRODUCT(--ISNUMBER(SEARCH(","&amp;TRIM(TEXTSPLIT(Q65,","))&amp;",",","&amp;SUBSTITUTE(input_affiliations," ","")&amp;",")))=0)),IF(S65="",TRUE,IF(input_affiliations="",FALSE,SUMPRODUCT(--ISNUMBER(SEARCH(","&amp;TRIM(TEXTSPLIT(S65,","))&amp;",",","&amp;SUBSTITUTE(input_affiliations," ","")&amp;",")))&gt;0)),IF(U65="",TRUE,IF(input_affiliations="",FALSE,SUMPRODUCT(--ISNUMBER(SEARCH(","&amp;TRIM(TEXTSPLIT(U65,","))&amp;",",","&amp;SUBSTITUTE(input_affiliations," ","")&amp;",")))=COUNTA(TEXTSPLIT(U65,",")))))</f>
        <v/>
      </c>
      <c r="IU65" s="19">
        <f>AND(IF(W65="",TRUE,IF(input_announcement_category="",FALSE,SUMPRODUCT(--ISNUMBER(SEARCH(","&amp;TRIM(TEXTSPLIT(W65,","))&amp;",",","&amp;SUBSTITUTE(input_announcement_category," ","")&amp;",")))&gt;0)),IF(Y65="",TRUE,IF(input_announcement_category="",FALSE,SUMPRODUCT(--ISNUMBER(SEARCH(","&amp;TRIM(TEXTSPLIT(Y65,","))&amp;",",","&amp;SUBSTITUTE(input_announcement_category," ","")&amp;",")))=COUNTA(TEXTSPLIT(Y65,",")))),IF(AA65="",TRUE,IF(input_announcement_category="",TRUE,SUMPRODUCT(--ISNUMBER(SEARCH(","&amp;TRIM(TEXTSPLIT(AA65,","))&amp;",",","&amp;SUBSTITUTE(input_announcement_category," ","")&amp;",")))=0)),IF(AC65="",TRUE,IF(input_announcement_category="",FALSE,SUMPRODUCT(--ISNUMBER(SEARCH(","&amp;TRIM(TEXTSPLIT(AC65,","))&amp;",",","&amp;SUBSTITUTE(input_announcement_category," ","")&amp;",")))&gt;0)),IF(AE65="",TRUE,IF(input_announcement_category="",FALSE,SUMPRODUCT(--ISNUMBER(SEARCH(","&amp;TRIM(TEXTSPLIT(AE65,","))&amp;",",","&amp;SUBSTITUTE(input_announcement_category," ","")&amp;",")))=COUNTA(TEXTSPLIT(AE65,",")))))</f>
        <v/>
      </c>
      <c r="IV65" s="19">
        <f>AND(IF(AG65="",TRUE,IF(input_area_of_focus="",FALSE,SUMPRODUCT(--ISNUMBER(SEARCH(","&amp;TRIM(TEXTSPLIT(AG65,","))&amp;",",","&amp;SUBSTITUTE(input_area_of_focus," ","")&amp;",")))&gt;0)),IF(AI65="",TRUE,IF(input_area_of_focus="",FALSE,SUMPRODUCT(--ISNUMBER(SEARCH(","&amp;TRIM(TEXTSPLIT(AI65,","))&amp;",",","&amp;SUBSTITUTE(input_area_of_focus," ","")&amp;",")))=COUNTA(TEXTSPLIT(AI65,",")))),IF(AK65="",TRUE,IF(input_area_of_focus="",TRUE,SUMPRODUCT(--ISNUMBER(SEARCH(","&amp;TRIM(TEXTSPLIT(AK65,","))&amp;",",","&amp;SUBSTITUTE(input_area_of_focus," ","")&amp;",")))=0)),IF(AM65="",TRUE,IF(input_area_of_focus="",FALSE,SUMPRODUCT(--ISNUMBER(SEARCH(","&amp;TRIM(TEXTSPLIT(AM65,","))&amp;",",","&amp;SUBSTITUTE(input_area_of_focus," ","")&amp;",")))&gt;0)),IF(AO65="",TRUE,IF(input_area_of_focus="",FALSE,SUMPRODUCT(--ISNUMBER(SEARCH(","&amp;TRIM(TEXTSPLIT(AO65,","))&amp;",",","&amp;SUBSTITUTE(input_area_of_focus," ","")&amp;",")))=COUNTA(TEXTSPLIT(AO65,",")))))</f>
        <v/>
      </c>
      <c r="IW65" s="19">
        <f>AND(IF(AQ65="",TRUE,IF(input_audience="",FALSE,SUMPRODUCT(--ISNUMBER(SEARCH(","&amp;TRIM(TEXTSPLIT(AQ65,","))&amp;",",","&amp;SUBSTITUTE(input_audience," ","")&amp;",")))&gt;0)),IF(AS65="",TRUE,IF(input_audience="",FALSE,SUMPRODUCT(--ISNUMBER(SEARCH(","&amp;TRIM(TEXTSPLIT(AS65,","))&amp;",",","&amp;SUBSTITUTE(input_audience," ","")&amp;",")))=COUNTA(TEXTSPLIT(AS65,",")))),IF(AU65="",TRUE,IF(input_audience="",TRUE,SUMPRODUCT(--ISNUMBER(SEARCH(","&amp;TRIM(TEXTSPLIT(AU65,","))&amp;",",","&amp;SUBSTITUTE(input_audience," ","")&amp;",")))=0)),IF(AW65="",TRUE,IF(input_audience="",FALSE,SUMPRODUCT(--ISNUMBER(SEARCH(","&amp;TRIM(TEXTSPLIT(AW65,","))&amp;",",","&amp;SUBSTITUTE(input_audience," ","")&amp;",")))&gt;0)),IF(AY65="",TRUE,IF(input_audience="",FALSE,SUMPRODUCT(--ISNUMBER(SEARCH(","&amp;TRIM(TEXTSPLIT(AY65,","))&amp;",",","&amp;SUBSTITUTE(input_audience," ","")&amp;",")))=COUNTA(TEXTSPLIT(AY65,",")))))</f>
        <v/>
      </c>
      <c r="IX65" s="19">
        <f>AND(IF(BA65="",TRUE,IF(input_challenge_opportunities="",FALSE,SUMPRODUCT(--ISNUMBER(SEARCH(","&amp;TRIM(TEXTSPLIT(BA65,","))&amp;",",","&amp;SUBSTITUTE(input_challenge_opportunities," ","")&amp;",")))&gt;0)),IF(BC65="",TRUE,IF(input_challenge_opportunities="",FALSE,SUMPRODUCT(--ISNUMBER(SEARCH(","&amp;TRIM(TEXTSPLIT(BC65,","))&amp;",",","&amp;SUBSTITUTE(input_challenge_opportunities," ","")&amp;",")))=COUNTA(TEXTSPLIT(BC65,",")))),IF(BE65="",TRUE,IF(input_challenge_opportunities="",TRUE,SUMPRODUCT(--ISNUMBER(SEARCH(","&amp;TRIM(TEXTSPLIT(BE65,","))&amp;",",","&amp;SUBSTITUTE(input_challenge_opportunities," ","")&amp;",")))=0)),IF(BG65="",TRUE,IF(input_challenge_opportunities="",FALSE,SUMPRODUCT(--ISNUMBER(SEARCH(","&amp;TRIM(TEXTSPLIT(BG65,","))&amp;",",","&amp;SUBSTITUTE(input_challenge_opportunities," ","")&amp;",")))&gt;0)),IF(BI65="",TRUE,IF(input_challenge_opportunities="",FALSE,SUMPRODUCT(--ISNUMBER(SEARCH(","&amp;TRIM(TEXTSPLIT(BI65,","))&amp;",",","&amp;SUBSTITUTE(input_challenge_opportunities," ","")&amp;",")))=COUNTA(TEXTSPLIT(BI65,",")))))</f>
        <v/>
      </c>
      <c r="IY65" s="19">
        <f>AND(IF(BK65="",TRUE,IF(input_context="",FALSE,SUMPRODUCT(--ISNUMBER(SEARCH(","&amp;TRIM(TEXTSPLIT(BK65,","))&amp;",",","&amp;SUBSTITUTE(input_context," ","")&amp;",")))&gt;0)),IF(BM65="",TRUE,IF(input_context="",FALSE,SUMPRODUCT(--ISNUMBER(SEARCH(","&amp;TRIM(TEXTSPLIT(BM65,","))&amp;",",","&amp;SUBSTITUTE(input_context," ","")&amp;",")))=COUNTA(TEXTSPLIT(BM65,",")))),IF(BO65="",TRUE,IF(input_context="",TRUE,SUMPRODUCT(--ISNUMBER(SEARCH(","&amp;TRIM(TEXTSPLIT(BO65,","))&amp;",",","&amp;SUBSTITUTE(input_context," ","")&amp;",")))=0)),IF(BQ65="",TRUE,IF(input_context="",FALSE,SUMPRODUCT(--ISNUMBER(SEARCH(","&amp;TRIM(TEXTSPLIT(BQ65,","))&amp;",",","&amp;SUBSTITUTE(input_context," ","")&amp;",")))&gt;0)),IF(BS65="",TRUE,IF(input_context="",FALSE,SUMPRODUCT(--ISNUMBER(SEARCH(","&amp;TRIM(TEXTSPLIT(BS65,","))&amp;",",","&amp;SUBSTITUTE(input_context," ","")&amp;",")))=COUNTA(TEXTSPLIT(BS65,",")))))</f>
        <v/>
      </c>
      <c r="IZ65" s="19">
        <f>AND(IF(BU65="",TRUE,IF(input_enews_announcement_type="",FALSE,SUMPRODUCT(--ISNUMBER(SEARCH(","&amp;TRIM(TEXTSPLIT(BU65,","))&amp;",",","&amp;SUBSTITUTE(input_enews_announcement_type," ","")&amp;",")))&gt;0)),IF(BW65="",TRUE,IF(input_enews_announcement_type="",FALSE,SUMPRODUCT(--ISNUMBER(SEARCH(","&amp;TRIM(TEXTSPLIT(BW65,","))&amp;",",","&amp;SUBSTITUTE(input_enews_announcement_type," ","")&amp;",")))=COUNTA(TEXTSPLIT(BW65,",")))),IF(BY65="",TRUE,IF(input_enews_announcement_type="",TRUE,SUMPRODUCT(--ISNUMBER(SEARCH(","&amp;TRIM(TEXTSPLIT(BY65,","))&amp;",",","&amp;SUBSTITUTE(input_enews_announcement_type," ","")&amp;",")))=0)),IF(CA65="",TRUE,IF(input_enews_announcement_type="",FALSE,SUMPRODUCT(--ISNUMBER(SEARCH(","&amp;TRIM(TEXTSPLIT(CA65,","))&amp;",",","&amp;SUBSTITUTE(input_enews_announcement_type," ","")&amp;",")))&gt;0)),IF(CC65="",TRUE,IF(input_enews_announcement_type="",FALSE,SUMPRODUCT(--ISNUMBER(SEARCH(","&amp;TRIM(TEXTSPLIT(CC65,","))&amp;",",","&amp;SUBSTITUTE(input_enews_announcement_type," ","")&amp;",")))=COUNTA(TEXTSPLIT(CC65,",")))))</f>
        <v/>
      </c>
      <c r="JA65" s="19">
        <f>AND(IF(CE65="",TRUE,IF(input_enews_audience="",FALSE,SUMPRODUCT(--ISNUMBER(SEARCH(","&amp;TRIM(TEXTSPLIT(CE65,","))&amp;",",","&amp;SUBSTITUTE(input_enews_audience," ","")&amp;",")))&gt;0)),IF(CG65="",TRUE,IF(input_enews_audience="",FALSE,SUMPRODUCT(--ISNUMBER(SEARCH(","&amp;TRIM(TEXTSPLIT(CG65,","))&amp;",",","&amp;SUBSTITUTE(input_enews_audience," ","")&amp;",")))=COUNTA(TEXTSPLIT(CG65,",")))),IF(CI65="",TRUE,IF(input_enews_audience="",TRUE,SUMPRODUCT(--ISNUMBER(SEARCH(","&amp;TRIM(TEXTSPLIT(CI65,","))&amp;",",","&amp;SUBSTITUTE(input_enews_audience," ","")&amp;",")))=0)),IF(CK65="",TRUE,IF(input_enews_audience="",FALSE,SUMPRODUCT(--ISNUMBER(SEARCH(","&amp;TRIM(TEXTSPLIT(CK65,","))&amp;",",","&amp;SUBSTITUTE(input_enews_audience," ","")&amp;",")))&gt;0)),IF(CM65="",TRUE,IF(input_enews_audience="",FALSE,SUMPRODUCT(--ISNUMBER(SEARCH(","&amp;TRIM(TEXTSPLIT(CM65,","))&amp;",",","&amp;SUBSTITUTE(input_enews_audience," ","")&amp;",")))=COUNTA(TEXTSPLIT(CM65,",")))))</f>
        <v/>
      </c>
      <c r="JB65" s="19">
        <f>AND(IF(CO65="",TRUE,IF(input_event_location="",FALSE,SUMPRODUCT(--ISNUMBER(SEARCH(","&amp;TRIM(TEXTSPLIT(CO65,","))&amp;",",","&amp;SUBSTITUTE(input_event_location," ","")&amp;",")))&gt;0)),IF(CQ65="",TRUE,IF(input_event_location="",FALSE,SUMPRODUCT(--ISNUMBER(SEARCH(","&amp;TRIM(TEXTSPLIT(CQ65,","))&amp;",",","&amp;SUBSTITUTE(input_event_location," ","")&amp;",")))=COUNTA(TEXTSPLIT(CQ65,",")))),IF(CS65="",TRUE,IF(input_event_location="",TRUE,SUMPRODUCT(--ISNUMBER(SEARCH(","&amp;TRIM(TEXTSPLIT(CS65,","))&amp;",",","&amp;SUBSTITUTE(input_event_location," ","")&amp;",")))=0)),IF(CU65="",TRUE,IF(input_event_location="",FALSE,SUMPRODUCT(--ISNUMBER(SEARCH(","&amp;TRIM(TEXTSPLIT(CU65,","))&amp;",",","&amp;SUBSTITUTE(input_event_location," ","")&amp;",")))&gt;0)),IF(CW65="",TRUE,IF(input_event_location="",FALSE,SUMPRODUCT(--ISNUMBER(SEARCH(","&amp;TRIM(TEXTSPLIT(CW65,","))&amp;",",","&amp;SUBSTITUTE(input_event_location," ","")&amp;",")))=COUNTA(TEXTSPLIT(CW65,",")))))</f>
        <v/>
      </c>
      <c r="JC65" s="19">
        <f>AND(IF(CY65="",TRUE,IF(input_event_type="",FALSE,SUMPRODUCT(--ISNUMBER(SEARCH(","&amp;TRIM(TEXTSPLIT(CY65,","))&amp;",",","&amp;SUBSTITUTE(input_event_type," ","")&amp;",")))&gt;0)),IF(DA65="",TRUE,IF(input_event_type="",FALSE,SUMPRODUCT(--ISNUMBER(SEARCH(","&amp;TRIM(TEXTSPLIT(DA65,","))&amp;",",","&amp;SUBSTITUTE(input_event_type," ","")&amp;",")))=COUNTA(TEXTSPLIT(DA65,",")))),IF(DC65="",TRUE,IF(input_event_type="",TRUE,SUMPRODUCT(--ISNUMBER(SEARCH(","&amp;TRIM(TEXTSPLIT(DC65,","))&amp;",",","&amp;SUBSTITUTE(input_event_type," ","")&amp;",")))=0)),IF(DE65="",TRUE,IF(input_event_type="",FALSE,SUMPRODUCT(--ISNUMBER(SEARCH(","&amp;TRIM(TEXTSPLIT(DE65,","))&amp;",",","&amp;SUBSTITUTE(input_event_type," ","")&amp;",")))&gt;0)),IF(DG65="",TRUE,IF(input_event_type="",FALSE,SUMPRODUCT(--ISNUMBER(SEARCH(","&amp;TRIM(TEXTSPLIT(DG65,","))&amp;",",","&amp;SUBSTITUTE(input_event_type," ","")&amp;",")))=COUNTA(TEXTSPLIT(DG65,",")))))</f>
        <v/>
      </c>
      <c r="JD65" s="19">
        <f>AND(IF(DI65="",TRUE,IF(input_executive_education_focus="",FALSE,SUMPRODUCT(--ISNUMBER(SEARCH(","&amp;TRIM(TEXTSPLIT(DI65,","))&amp;",",","&amp;SUBSTITUTE(input_executive_education_focus," ","")&amp;",")))&gt;0)),IF(DK65="",TRUE,IF(input_executive_education_focus="",FALSE,SUMPRODUCT(--ISNUMBER(SEARCH(","&amp;TRIM(TEXTSPLIT(DK65,","))&amp;",",","&amp;SUBSTITUTE(input_executive_education_focus," ","")&amp;",")))=COUNTA(TEXTSPLIT(DK65,",")))),IF(DM65="",TRUE,IF(input_executive_education_focus="",TRUE,SUMPRODUCT(--ISNUMBER(SEARCH(","&amp;TRIM(TEXTSPLIT(DM65,","))&amp;",",","&amp;SUBSTITUTE(input_executive_education_focus," ","")&amp;",")))=0)),IF(DO65="",TRUE,IF(input_executive_education_focus="",FALSE,SUMPRODUCT(--ISNUMBER(SEARCH(","&amp;TRIM(TEXTSPLIT(DO65,","))&amp;",",","&amp;SUBSTITUTE(input_executive_education_focus," ","")&amp;",")))&gt;0)),IF(DQ65="",TRUE,IF(input_executive_education_focus="",FALSE,SUMPRODUCT(--ISNUMBER(SEARCH(","&amp;TRIM(TEXTSPLIT(DQ65,","))&amp;",",","&amp;SUBSTITUTE(input_executive_education_focus," ","")&amp;",")))=COUNTA(TEXTSPLIT(DQ65,",")))))</f>
        <v/>
      </c>
      <c r="JE65" s="19">
        <f>AND(IF(DS65="",TRUE,IF(input_faculty_category="",FALSE,SUMPRODUCT(--ISNUMBER(SEARCH(","&amp;TRIM(TEXTSPLIT(DS65,","))&amp;",",","&amp;SUBSTITUTE(input_faculty_category," ","")&amp;",")))&gt;0)),IF(DU65="",TRUE,IF(input_faculty_category="",FALSE,SUMPRODUCT(--ISNUMBER(SEARCH(","&amp;TRIM(TEXTSPLIT(DU65,","))&amp;",",","&amp;SUBSTITUTE(input_faculty_category," ","")&amp;",")))=COUNTA(TEXTSPLIT(DU65,",")))),IF(DW65="",TRUE,IF(input_faculty_category="",TRUE,SUMPRODUCT(--ISNUMBER(SEARCH(","&amp;TRIM(TEXTSPLIT(DW65,","))&amp;",",","&amp;SUBSTITUTE(input_faculty_category," ","")&amp;",")))=0)),IF(DY65="",TRUE,IF(input_faculty_category="",FALSE,SUMPRODUCT(--ISNUMBER(SEARCH(","&amp;TRIM(TEXTSPLIT(DY65,","))&amp;",",","&amp;SUBSTITUTE(input_faculty_category," ","")&amp;",")))&gt;0)),IF(EA65="",TRUE,IF(input_faculty_category="",FALSE,SUMPRODUCT(--ISNUMBER(SEARCH(","&amp;TRIM(TEXTSPLIT(EA65,","))&amp;",",","&amp;SUBSTITUTE(input_faculty_category," ","")&amp;",")))=COUNTA(TEXTSPLIT(EA65,",")))))</f>
        <v/>
      </c>
      <c r="JF65" s="19">
        <f>AND(IF(EC65="",TRUE,IF(input_faculty_discipline="",FALSE,SUMPRODUCT(--ISNUMBER(SEARCH(","&amp;TRIM(TEXTSPLIT(EC65,","))&amp;",",","&amp;SUBSTITUTE(input_faculty_discipline," ","")&amp;",")))&gt;0)),IF(EE65="",TRUE,IF(input_faculty_discipline="",FALSE,SUMPRODUCT(--ISNUMBER(SEARCH(","&amp;TRIM(TEXTSPLIT(EE65,","))&amp;",",","&amp;SUBSTITUTE(input_faculty_discipline," ","")&amp;",")))=COUNTA(TEXTSPLIT(EE65,",")))),IF(EG65="",TRUE,IF(input_faculty_discipline="",TRUE,SUMPRODUCT(--ISNUMBER(SEARCH(","&amp;TRIM(TEXTSPLIT(EG65,","))&amp;",",","&amp;SUBSTITUTE(input_faculty_discipline," ","")&amp;",")))=0)),IF(EI65="",TRUE,IF(input_faculty_discipline="",FALSE,SUMPRODUCT(--ISNUMBER(SEARCH(","&amp;TRIM(TEXTSPLIT(EI65,","))&amp;",",","&amp;SUBSTITUTE(input_faculty_discipline," ","")&amp;",")))&gt;0)),IF(EK65="",TRUE,IF(input_faculty_discipline="",FALSE,SUMPRODUCT(--ISNUMBER(SEARCH(","&amp;TRIM(TEXTSPLIT(EK65,","))&amp;",",","&amp;SUBSTITUTE(input_faculty_discipline," ","")&amp;",")))=COUNTA(TEXTSPLIT(EK65,",")))))</f>
        <v/>
      </c>
      <c r="JG65" s="19">
        <f>AND(IF(EM65="",TRUE,IF(input_faculty_expertise="",FALSE,SUMPRODUCT(--ISNUMBER(SEARCH(","&amp;TRIM(TEXTSPLIT(EM65,","))&amp;",",","&amp;SUBSTITUTE(input_faculty_expertise," ","")&amp;",")))&gt;0)),IF(EO65="",TRUE,IF(input_faculty_expertise="",FALSE,SUMPRODUCT(--ISNUMBER(SEARCH(","&amp;TRIM(TEXTSPLIT(EO65,","))&amp;",",","&amp;SUBSTITUTE(input_faculty_expertise," ","")&amp;",")))=COUNTA(TEXTSPLIT(EO65,",")))),IF(EQ65="",TRUE,IF(input_faculty_expertise="",TRUE,SUMPRODUCT(--ISNUMBER(SEARCH(","&amp;TRIM(TEXTSPLIT(EQ65,","))&amp;",",","&amp;SUBSTITUTE(input_faculty_expertise," ","")&amp;",")))=0)),IF(ES65="",TRUE,IF(input_faculty_expertise="",FALSE,SUMPRODUCT(--ISNUMBER(SEARCH(","&amp;TRIM(TEXTSPLIT(ES65,","))&amp;",",","&amp;SUBSTITUTE(input_faculty_expertise," ","")&amp;",")))&gt;0)),IF(EU65="",TRUE,IF(input_faculty_expertise="",FALSE,SUMPRODUCT(--ISNUMBER(SEARCH(","&amp;TRIM(TEXTSPLIT(EU65,","))&amp;",",","&amp;SUBSTITUTE(input_faculty_expertise," ","")&amp;",")))=COUNTA(TEXTSPLIT(EU65,",")))))</f>
        <v/>
      </c>
      <c r="JH65" s="19">
        <f>AND(IF(EW65="",TRUE,IF(input_global_network_school="",FALSE,SUMPRODUCT(--ISNUMBER(SEARCH(","&amp;TRIM(TEXTSPLIT(EW65,","))&amp;",",","&amp;SUBSTITUTE(input_global_network_school," ","")&amp;",")))&gt;0)),IF(EY65="",TRUE,IF(input_global_network_school="",FALSE,SUMPRODUCT(--ISNUMBER(SEARCH(","&amp;TRIM(TEXTSPLIT(EY65,","))&amp;",",","&amp;SUBSTITUTE(input_global_network_school," ","")&amp;",")))=COUNTA(TEXTSPLIT(EY65,",")))),IF(FA65="",TRUE,IF(input_global_network_school="",TRUE,SUMPRODUCT(--ISNUMBER(SEARCH(","&amp;TRIM(TEXTSPLIT(FA65,","))&amp;",",","&amp;SUBSTITUTE(input_global_network_school," ","")&amp;",")))=0)),IF(FC65="",TRUE,IF(input_global_network_school="",FALSE,SUMPRODUCT(--ISNUMBER(SEARCH(","&amp;TRIM(TEXTSPLIT(FC65,","))&amp;",",","&amp;SUBSTITUTE(input_global_network_school," ","")&amp;",")))&gt;0)),IF(FE65="",TRUE,IF(input_global_network_school="",FALSE,SUMPRODUCT(--ISNUMBER(SEARCH(","&amp;TRIM(TEXTSPLIT(FE65,","))&amp;",",","&amp;SUBSTITUTE(input_global_network_school," ","")&amp;",")))=COUNTA(TEXTSPLIT(FE65,",")))))</f>
        <v/>
      </c>
      <c r="JI65" s="19">
        <f>AND(IF(FG65="",TRUE,IF(input_industry="",FALSE,SUMPRODUCT(--ISNUMBER(SEARCH(","&amp;TRIM(TEXTSPLIT(FG65,","))&amp;",",","&amp;SUBSTITUTE(input_industry," ","")&amp;",")))&gt;0)),IF(FI65="",TRUE,IF(input_industry="",FALSE,SUMPRODUCT(--ISNUMBER(SEARCH(","&amp;TRIM(TEXTSPLIT(FI65,","))&amp;",",","&amp;SUBSTITUTE(input_industry," ","")&amp;",")))=COUNTA(TEXTSPLIT(FI65,",")))),IF(FK65="",TRUE,IF(input_industry="",TRUE,SUMPRODUCT(--ISNUMBER(SEARCH(","&amp;TRIM(TEXTSPLIT(FK65,","))&amp;",",","&amp;SUBSTITUTE(input_industry," ","")&amp;",")))=0)),IF(FM65="",TRUE,IF(input_industry="",FALSE,SUMPRODUCT(--ISNUMBER(SEARCH(","&amp;TRIM(TEXTSPLIT(FM65,","))&amp;",",","&amp;SUBSTITUTE(input_industry," ","")&amp;",")))&gt;0)),IF(FO65="",TRUE,IF(input_industry="",FALSE,SUMPRODUCT(--ISNUMBER(SEARCH(","&amp;TRIM(TEXTSPLIT(FO65,","))&amp;",",","&amp;SUBSTITUTE(input_industry," ","")&amp;",")))=COUNTA(TEXTSPLIT(FO65,",")))))</f>
        <v/>
      </c>
      <c r="JJ65" s="19">
        <f>AND(IF(FQ65="",TRUE,IF(input_location="",FALSE,SUMPRODUCT(--ISNUMBER(SEARCH(","&amp;TRIM(TEXTSPLIT(FQ65,","))&amp;",",","&amp;SUBSTITUTE(input_location," ","")&amp;",")))&gt;0)),IF(FS65="",TRUE,IF(input_location="",FALSE,SUMPRODUCT(--ISNUMBER(SEARCH(","&amp;TRIM(TEXTSPLIT(FS65,","))&amp;",",","&amp;SUBSTITUTE(input_location," ","")&amp;",")))=COUNTA(TEXTSPLIT(FS65,",")))),IF(FU65="",TRUE,IF(input_location="",TRUE,SUMPRODUCT(--ISNUMBER(SEARCH(","&amp;TRIM(TEXTSPLIT(FU65,","))&amp;",",","&amp;SUBSTITUTE(input_location," ","")&amp;",")))=0)),IF(FW65="",TRUE,IF(input_location="",FALSE,SUMPRODUCT(--ISNUMBER(SEARCH(","&amp;TRIM(TEXTSPLIT(FW65,","))&amp;",",","&amp;SUBSTITUTE(input_location," ","")&amp;",")))&gt;0)),IF(FY65="",TRUE,IF(input_location="",FALSE,SUMPRODUCT(--ISNUMBER(SEARCH(","&amp;TRIM(TEXTSPLIT(FY65,","))&amp;",",","&amp;SUBSTITUTE(input_location," ","")&amp;",")))=COUNTA(TEXTSPLIT(FY65,",")))))</f>
        <v/>
      </c>
      <c r="JK65" s="19">
        <f>AND(IF(GA65="",TRUE,IF(input_modality="",FALSE,SUMPRODUCT(--ISNUMBER(SEARCH(","&amp;TRIM(TEXTSPLIT(GA65,","))&amp;",",","&amp;SUBSTITUTE(input_modality," ","")&amp;",")))&gt;0)),IF(GC65="",TRUE,IF(input_modality="",FALSE,SUMPRODUCT(--ISNUMBER(SEARCH(","&amp;TRIM(TEXTSPLIT(GC65,","))&amp;",",","&amp;SUBSTITUTE(input_modality," ","")&amp;",")))=COUNTA(TEXTSPLIT(GC65,",")))),IF(GE65="",TRUE,IF(input_modality="",TRUE,SUMPRODUCT(--ISNUMBER(SEARCH(","&amp;TRIM(TEXTSPLIT(GE65,","))&amp;",",","&amp;SUBSTITUTE(input_modality," ","")&amp;",")))=0)),IF(GG65="",TRUE,IF(input_modality="",FALSE,SUMPRODUCT(--ISNUMBER(SEARCH(","&amp;TRIM(TEXTSPLIT(GG65,","))&amp;",",","&amp;SUBSTITUTE(input_modality," ","")&amp;",")))&gt;0)),IF(GI65="",TRUE,IF(input_modality="",FALSE,SUMPRODUCT(--ISNUMBER(SEARCH(","&amp;TRIM(TEXTSPLIT(GI65,","))&amp;",",","&amp;SUBSTITUTE(input_modality," ","")&amp;",")))=COUNTA(TEXTSPLIT(GI65,",")))))</f>
        <v/>
      </c>
      <c r="JL65" s="19">
        <f>AND(IF(GK65="",TRUE,IF(input_organizer="",FALSE,SUMPRODUCT(--ISNUMBER(SEARCH(","&amp;TRIM(TEXTSPLIT(GK65,","))&amp;",",","&amp;SUBSTITUTE(input_organizer," ","")&amp;",")))&gt;0)),IF(GM65="",TRUE,IF(input_organizer="",FALSE,SUMPRODUCT(--ISNUMBER(SEARCH(","&amp;TRIM(TEXTSPLIT(GM65,","))&amp;",",","&amp;SUBSTITUTE(input_organizer," ","")&amp;",")))=COUNTA(TEXTSPLIT(GM65,",")))),IF(GO65="",TRUE,IF(input_organizer="",TRUE,SUMPRODUCT(--ISNUMBER(SEARCH(","&amp;TRIM(TEXTSPLIT(GO65,","))&amp;",",","&amp;SUBSTITUTE(input_organizer," ","")&amp;",")))=0)),IF(GQ65="",TRUE,IF(input_organizer="",FALSE,SUMPRODUCT(--ISNUMBER(SEARCH(","&amp;TRIM(TEXTSPLIT(GQ65,","))&amp;",",","&amp;SUBSTITUTE(input_organizer," ","")&amp;",")))&gt;0)),IF(GS65="",TRUE,IF(input_organizer="",FALSE,SUMPRODUCT(--ISNUMBER(SEARCH(","&amp;TRIM(TEXTSPLIT(GS65,","))&amp;",",","&amp;SUBSTITUTE(input_organizer," ","")&amp;",")))=COUNTA(TEXTSPLIT(GS65,",")))))</f>
        <v/>
      </c>
      <c r="JM65" s="19">
        <f>AND(IF(GU65="",TRUE,IF(input_profile_type="",FALSE,SUMPRODUCT(--ISNUMBER(SEARCH(","&amp;TRIM(TEXTSPLIT(GU65,","))&amp;",",","&amp;SUBSTITUTE(input_profile_type," ","")&amp;",")))&gt;0)),IF(GW65="",TRUE,IF(input_profile_type="",FALSE,SUMPRODUCT(--ISNUMBER(SEARCH(","&amp;TRIM(TEXTSPLIT(GW65,","))&amp;",",","&amp;SUBSTITUTE(input_profile_type," ","")&amp;",")))=COUNTA(TEXTSPLIT(GW65,",")))),IF(GY65="",TRUE,IF(input_profile_type="",TRUE,SUMPRODUCT(--ISNUMBER(SEARCH(","&amp;TRIM(TEXTSPLIT(GY65,","))&amp;",",","&amp;SUBSTITUTE(input_profile_type," ","")&amp;",")))=0)),IF(HA65="",TRUE,IF(input_profile_type="",FALSE,SUMPRODUCT(--ISNUMBER(SEARCH(","&amp;TRIM(TEXTSPLIT(HA65,","))&amp;",",","&amp;SUBSTITUTE(input_profile_type," ","")&amp;",")))&gt;0)),IF(HC65="",TRUE,IF(input_profile_type="",FALSE,SUMPRODUCT(--ISNUMBER(SEARCH(","&amp;TRIM(TEXTSPLIT(HC65,","))&amp;",",","&amp;SUBSTITUTE(input_profile_type," ","")&amp;",")))=COUNTA(TEXTSPLIT(HC65,",")))))</f>
        <v/>
      </c>
      <c r="JN65" s="19">
        <f>AND(IF(HE65="",TRUE,IF(input_program="",FALSE,SUMPRODUCT(--ISNUMBER(SEARCH(","&amp;TRIM(TEXTSPLIT(HE65,","))&amp;",",","&amp;SUBSTITUTE(input_program," ","")&amp;",")))&gt;0)),IF(HG65="",TRUE,IF(input_program="",FALSE,SUMPRODUCT(--ISNUMBER(SEARCH(","&amp;TRIM(TEXTSPLIT(HG65,","))&amp;",",","&amp;SUBSTITUTE(input_program," ","")&amp;",")))=COUNTA(TEXTSPLIT(HG65,",")))),IF(HI65="",TRUE,IF(input_program="",TRUE,SUMPRODUCT(--ISNUMBER(SEARCH(","&amp;TRIM(TEXTSPLIT(HI65,","))&amp;",",","&amp;SUBSTITUTE(input_program," ","")&amp;",")))=0)),IF(HK65="",TRUE,IF(input_program="",FALSE,SUMPRODUCT(--ISNUMBER(SEARCH(","&amp;TRIM(TEXTSPLIT(HK65,","))&amp;",",","&amp;SUBSTITUTE(input_program," ","")&amp;",")))&gt;0)),IF(HM65="",TRUE,IF(input_program="",FALSE,SUMPRODUCT(--ISNUMBER(SEARCH(","&amp;TRIM(TEXTSPLIT(HM65,","))&amp;",",","&amp;SUBSTITUTE(input_program," ","")&amp;",")))=COUNTA(TEXTSPLIT(HM65,",")))))</f>
        <v/>
      </c>
      <c r="JO65" s="19">
        <f>AND(IF(HO65="",TRUE,IF(input_story_categories="",FALSE,SUMPRODUCT(--ISNUMBER(SEARCH(","&amp;TRIM(TEXTSPLIT(HO65,","))&amp;",",","&amp;SUBSTITUTE(input_story_categories," ","")&amp;",")))&gt;0)),IF(HQ65="",TRUE,IF(input_story_categories="",FALSE,SUMPRODUCT(--ISNUMBER(SEARCH(","&amp;TRIM(TEXTSPLIT(HQ65,","))&amp;",",","&amp;SUBSTITUTE(input_story_categories," ","")&amp;",")))=COUNTA(TEXTSPLIT(HQ65,",")))),IF(HS65="",TRUE,IF(input_story_categories="",TRUE,SUMPRODUCT(--ISNUMBER(SEARCH(","&amp;TRIM(TEXTSPLIT(HS65,","))&amp;",",","&amp;SUBSTITUTE(input_story_categories," ","")&amp;",")))=0)),IF(HU65="",TRUE,IF(input_story_categories="",FALSE,SUMPRODUCT(--ISNUMBER(SEARCH(","&amp;TRIM(TEXTSPLIT(HU65,","))&amp;",",","&amp;SUBSTITUTE(input_story_categories," ","")&amp;",")))&gt;0)),IF(HW65="",TRUE,IF(input_story_categories="",FALSE,SUMPRODUCT(--ISNUMBER(SEARCH(","&amp;TRIM(TEXTSPLIT(HW65,","))&amp;",",","&amp;SUBSTITUTE(input_story_categories," ","")&amp;",")))=COUNTA(TEXTSPLIT(HW65,",")))))</f>
        <v/>
      </c>
      <c r="JP65" s="19">
        <f>AND(IF(HY65="",TRUE,IF(input_story_type="",FALSE,SUMPRODUCT(--ISNUMBER(SEARCH(","&amp;TRIM(TEXTSPLIT(HY65,","))&amp;",",","&amp;SUBSTITUTE(input_story_type," ","")&amp;",")))&gt;0)),IF(IA65="",TRUE,IF(input_story_type="",FALSE,SUMPRODUCT(--ISNUMBER(SEARCH(","&amp;TRIM(TEXTSPLIT(IA65,","))&amp;",",","&amp;SUBSTITUTE(input_story_type," ","")&amp;",")))=COUNTA(TEXTSPLIT(IA65,",")))),IF(IC65="",TRUE,IF(input_story_type="",TRUE,SUMPRODUCT(--ISNUMBER(SEARCH(","&amp;TRIM(TEXTSPLIT(IC65,","))&amp;",",","&amp;SUBSTITUTE(input_story_type," ","")&amp;",")))=0)),IF(IE65="",TRUE,IF(input_story_type="",FALSE,SUMPRODUCT(--ISNUMBER(SEARCH(","&amp;TRIM(TEXTSPLIT(IE65,","))&amp;",",","&amp;SUBSTITUTE(input_story_type," ","")&amp;",")))&gt;0)),IF(IG65="",TRUE,IF(input_story_type="",FALSE,SUMPRODUCT(--ISNUMBER(SEARCH(","&amp;TRIM(TEXTSPLIT(IG65,","))&amp;",",","&amp;SUBSTITUTE(input_story_type," ","")&amp;",")))=COUNTA(TEXTSPLIT(IG65,",")))))</f>
        <v/>
      </c>
      <c r="JQ65" s="19">
        <f>AND(IF(II65="",TRUE,IF(input_topics="",FALSE,SUMPRODUCT(--ISNUMBER(SEARCH(","&amp;TRIM(TEXTSPLIT(II65,","))&amp;",",","&amp;SUBSTITUTE(input_topics," ","")&amp;",")))&gt;0)),IF(IK65="",TRUE,IF(input_topics="",FALSE,SUMPRODUCT(--ISNUMBER(SEARCH(","&amp;TRIM(TEXTSPLIT(IK65,","))&amp;",",","&amp;SUBSTITUTE(input_topics," ","")&amp;",")))=COUNTA(TEXTSPLIT(IK65,",")))),IF(IM65="",TRUE,IF(input_topics="",TRUE,SUMPRODUCT(--ISNUMBER(SEARCH(","&amp;TRIM(TEXTSPLIT(IM65,","))&amp;",",","&amp;SUBSTITUTE(input_topics," ","")&amp;",")))=0)),IF(IO65="",TRUE,IF(input_topics="",FALSE,SUMPRODUCT(--ISNUMBER(SEARCH(","&amp;TRIM(TEXTSPLIT(IO65,","))&amp;",",","&amp;SUBSTITUTE(input_topics," ","")&amp;",")))&gt;0)),IF(IQ65="",TRUE,IF(input_topics="",FALSE,SUMPRODUCT(--ISNUMBER(SEARCH(","&amp;TRIM(TEXTSPLIT(IQ65,","))&amp;",",","&amp;SUBSTITUTE(input_topics," ","")&amp;",")))=COUNTA(TEXTSPLIT(IQ65,",")))))</f>
        <v/>
      </c>
    </row>
    <row r="66">
      <c r="A66" s="24">
        <f>IF(NOT(IS66),"Excluded",IF(AND(IT66,IU66,IV66,IW66,IX66,IY66,IZ66,JA66,JB66,JC66,JD66,JE66,JF66,JG66,JH66,JI66,JJ66,JK66,JL66,JM66,JN66,JO66,JP66,JQ66),IF(I66&gt;0,"Eligible but limited","Will appear"),"Excluded"))</f>
        <v/>
      </c>
      <c r="B66" s="24" t="inlineStr">
        <is>
          <t>All stories</t>
        </is>
      </c>
      <c r="C66" s="27" t="inlineStr">
        <is>
          <t>/programs/mam/admissions</t>
        </is>
      </c>
      <c r="D66" s="24" t="inlineStr">
        <is>
          <t>/programs/mam/admissions</t>
        </is>
      </c>
      <c r="E66" s="24" t="n">
        <v>1</v>
      </c>
      <c r="F66" s="24" t="inlineStr">
        <is>
          <t>story</t>
        </is>
      </c>
      <c r="G66" s="24" t="inlineStr">
        <is>
          <t>stories_teaser_cards</t>
        </is>
      </c>
      <c r="H66" s="24" t="inlineStr">
        <is>
          <t>embed_all</t>
        </is>
      </c>
      <c r="I66" s="24" t="n">
        <v>3</v>
      </c>
      <c r="J66" s="29" t="inlineStr">
        <is>
          <t>Section inferred</t>
        </is>
      </c>
      <c r="K66" s="24" t="inlineStr">
        <is>
          <t>Page placement</t>
        </is>
      </c>
      <c r="L66" s="24" t="inlineStr">
        <is>
          <t>Content type: story; Context uses Courses Context: Master of Advanced Management (932); Limited to 3 item(s); Source: Section inferred</t>
        </is>
      </c>
      <c r="BQ66" s="19" t="inlineStr">
        <is>
          <t>932</t>
        </is>
      </c>
      <c r="BR66" s="19" t="inlineStr">
        <is>
          <t>Master of Advanced Management (932)</t>
        </is>
      </c>
      <c r="IS66" s="19">
        <f>IF(input_content_type="",FALSE,ISNUMBER(SEARCH(","&amp;LOWER(input_content_type)&amp;",",","&amp;LOWER(SUBSTITUTE(F66," ",""))&amp;",")))</f>
        <v/>
      </c>
      <c r="IT66" s="19">
        <f>AND(IF(M66="",TRUE,IF(input_affiliations="",FALSE,SUMPRODUCT(--ISNUMBER(SEARCH(","&amp;TRIM(TEXTSPLIT(M66,","))&amp;",",","&amp;SUBSTITUTE(input_affiliations," ","")&amp;",")))&gt;0)),IF(O66="",TRUE,IF(input_affiliations="",FALSE,SUMPRODUCT(--ISNUMBER(SEARCH(","&amp;TRIM(TEXTSPLIT(O66,","))&amp;",",","&amp;SUBSTITUTE(input_affiliations," ","")&amp;",")))=COUNTA(TEXTSPLIT(O66,",")))),IF(Q66="",TRUE,IF(input_affiliations="",TRUE,SUMPRODUCT(--ISNUMBER(SEARCH(","&amp;TRIM(TEXTSPLIT(Q66,","))&amp;",",","&amp;SUBSTITUTE(input_affiliations," ","")&amp;",")))=0)),IF(S66="",TRUE,IF(input_affiliations="",FALSE,SUMPRODUCT(--ISNUMBER(SEARCH(","&amp;TRIM(TEXTSPLIT(S66,","))&amp;",",","&amp;SUBSTITUTE(input_affiliations," ","")&amp;",")))&gt;0)),IF(U66="",TRUE,IF(input_affiliations="",FALSE,SUMPRODUCT(--ISNUMBER(SEARCH(","&amp;TRIM(TEXTSPLIT(U66,","))&amp;",",","&amp;SUBSTITUTE(input_affiliations," ","")&amp;",")))=COUNTA(TEXTSPLIT(U66,",")))))</f>
        <v/>
      </c>
      <c r="IU66" s="19">
        <f>AND(IF(W66="",TRUE,IF(input_announcement_category="",FALSE,SUMPRODUCT(--ISNUMBER(SEARCH(","&amp;TRIM(TEXTSPLIT(W66,","))&amp;",",","&amp;SUBSTITUTE(input_announcement_category," ","")&amp;",")))&gt;0)),IF(Y66="",TRUE,IF(input_announcement_category="",FALSE,SUMPRODUCT(--ISNUMBER(SEARCH(","&amp;TRIM(TEXTSPLIT(Y66,","))&amp;",",","&amp;SUBSTITUTE(input_announcement_category," ","")&amp;",")))=COUNTA(TEXTSPLIT(Y66,",")))),IF(AA66="",TRUE,IF(input_announcement_category="",TRUE,SUMPRODUCT(--ISNUMBER(SEARCH(","&amp;TRIM(TEXTSPLIT(AA66,","))&amp;",",","&amp;SUBSTITUTE(input_announcement_category," ","")&amp;",")))=0)),IF(AC66="",TRUE,IF(input_announcement_category="",FALSE,SUMPRODUCT(--ISNUMBER(SEARCH(","&amp;TRIM(TEXTSPLIT(AC66,","))&amp;",",","&amp;SUBSTITUTE(input_announcement_category," ","")&amp;",")))&gt;0)),IF(AE66="",TRUE,IF(input_announcement_category="",FALSE,SUMPRODUCT(--ISNUMBER(SEARCH(","&amp;TRIM(TEXTSPLIT(AE66,","))&amp;",",","&amp;SUBSTITUTE(input_announcement_category," ","")&amp;",")))=COUNTA(TEXTSPLIT(AE66,",")))))</f>
        <v/>
      </c>
      <c r="IV66" s="19">
        <f>AND(IF(AG66="",TRUE,IF(input_area_of_focus="",FALSE,SUMPRODUCT(--ISNUMBER(SEARCH(","&amp;TRIM(TEXTSPLIT(AG66,","))&amp;",",","&amp;SUBSTITUTE(input_area_of_focus," ","")&amp;",")))&gt;0)),IF(AI66="",TRUE,IF(input_area_of_focus="",FALSE,SUMPRODUCT(--ISNUMBER(SEARCH(","&amp;TRIM(TEXTSPLIT(AI66,","))&amp;",",","&amp;SUBSTITUTE(input_area_of_focus," ","")&amp;",")))=COUNTA(TEXTSPLIT(AI66,",")))),IF(AK66="",TRUE,IF(input_area_of_focus="",TRUE,SUMPRODUCT(--ISNUMBER(SEARCH(","&amp;TRIM(TEXTSPLIT(AK66,","))&amp;",",","&amp;SUBSTITUTE(input_area_of_focus," ","")&amp;",")))=0)),IF(AM66="",TRUE,IF(input_area_of_focus="",FALSE,SUMPRODUCT(--ISNUMBER(SEARCH(","&amp;TRIM(TEXTSPLIT(AM66,","))&amp;",",","&amp;SUBSTITUTE(input_area_of_focus," ","")&amp;",")))&gt;0)),IF(AO66="",TRUE,IF(input_area_of_focus="",FALSE,SUMPRODUCT(--ISNUMBER(SEARCH(","&amp;TRIM(TEXTSPLIT(AO66,","))&amp;",",","&amp;SUBSTITUTE(input_area_of_focus," ","")&amp;",")))=COUNTA(TEXTSPLIT(AO66,",")))))</f>
        <v/>
      </c>
      <c r="IW66" s="19">
        <f>AND(IF(AQ66="",TRUE,IF(input_audience="",FALSE,SUMPRODUCT(--ISNUMBER(SEARCH(","&amp;TRIM(TEXTSPLIT(AQ66,","))&amp;",",","&amp;SUBSTITUTE(input_audience," ","")&amp;",")))&gt;0)),IF(AS66="",TRUE,IF(input_audience="",FALSE,SUMPRODUCT(--ISNUMBER(SEARCH(","&amp;TRIM(TEXTSPLIT(AS66,","))&amp;",",","&amp;SUBSTITUTE(input_audience," ","")&amp;",")))=COUNTA(TEXTSPLIT(AS66,",")))),IF(AU66="",TRUE,IF(input_audience="",TRUE,SUMPRODUCT(--ISNUMBER(SEARCH(","&amp;TRIM(TEXTSPLIT(AU66,","))&amp;",",","&amp;SUBSTITUTE(input_audience," ","")&amp;",")))=0)),IF(AW66="",TRUE,IF(input_audience="",FALSE,SUMPRODUCT(--ISNUMBER(SEARCH(","&amp;TRIM(TEXTSPLIT(AW66,","))&amp;",",","&amp;SUBSTITUTE(input_audience," ","")&amp;",")))&gt;0)),IF(AY66="",TRUE,IF(input_audience="",FALSE,SUMPRODUCT(--ISNUMBER(SEARCH(","&amp;TRIM(TEXTSPLIT(AY66,","))&amp;",",","&amp;SUBSTITUTE(input_audience," ","")&amp;",")))=COUNTA(TEXTSPLIT(AY66,",")))))</f>
        <v/>
      </c>
      <c r="IX66" s="19">
        <f>AND(IF(BA66="",TRUE,IF(input_challenge_opportunities="",FALSE,SUMPRODUCT(--ISNUMBER(SEARCH(","&amp;TRIM(TEXTSPLIT(BA66,","))&amp;",",","&amp;SUBSTITUTE(input_challenge_opportunities," ","")&amp;",")))&gt;0)),IF(BC66="",TRUE,IF(input_challenge_opportunities="",FALSE,SUMPRODUCT(--ISNUMBER(SEARCH(","&amp;TRIM(TEXTSPLIT(BC66,","))&amp;",",","&amp;SUBSTITUTE(input_challenge_opportunities," ","")&amp;",")))=COUNTA(TEXTSPLIT(BC66,",")))),IF(BE66="",TRUE,IF(input_challenge_opportunities="",TRUE,SUMPRODUCT(--ISNUMBER(SEARCH(","&amp;TRIM(TEXTSPLIT(BE66,","))&amp;",",","&amp;SUBSTITUTE(input_challenge_opportunities," ","")&amp;",")))=0)),IF(BG66="",TRUE,IF(input_challenge_opportunities="",FALSE,SUMPRODUCT(--ISNUMBER(SEARCH(","&amp;TRIM(TEXTSPLIT(BG66,","))&amp;",",","&amp;SUBSTITUTE(input_challenge_opportunities," ","")&amp;",")))&gt;0)),IF(BI66="",TRUE,IF(input_challenge_opportunities="",FALSE,SUMPRODUCT(--ISNUMBER(SEARCH(","&amp;TRIM(TEXTSPLIT(BI66,","))&amp;",",","&amp;SUBSTITUTE(input_challenge_opportunities," ","")&amp;",")))=COUNTA(TEXTSPLIT(BI66,",")))))</f>
        <v/>
      </c>
      <c r="IY66" s="19">
        <f>AND(IF(BK66="",TRUE,IF(input_context="",FALSE,SUMPRODUCT(--ISNUMBER(SEARCH(","&amp;TRIM(TEXTSPLIT(BK66,","))&amp;",",","&amp;SUBSTITUTE(input_context," ","")&amp;",")))&gt;0)),IF(BM66="",TRUE,IF(input_context="",FALSE,SUMPRODUCT(--ISNUMBER(SEARCH(","&amp;TRIM(TEXTSPLIT(BM66,","))&amp;",",","&amp;SUBSTITUTE(input_context," ","")&amp;",")))=COUNTA(TEXTSPLIT(BM66,",")))),IF(BO66="",TRUE,IF(input_context="",TRUE,SUMPRODUCT(--ISNUMBER(SEARCH(","&amp;TRIM(TEXTSPLIT(BO66,","))&amp;",",","&amp;SUBSTITUTE(input_context," ","")&amp;",")))=0)),IF(BQ66="",TRUE,IF(input_context="",FALSE,SUMPRODUCT(--ISNUMBER(SEARCH(","&amp;TRIM(TEXTSPLIT(BQ66,","))&amp;",",","&amp;SUBSTITUTE(input_context," ","")&amp;",")))&gt;0)),IF(BS66="",TRUE,IF(input_context="",FALSE,SUMPRODUCT(--ISNUMBER(SEARCH(","&amp;TRIM(TEXTSPLIT(BS66,","))&amp;",",","&amp;SUBSTITUTE(input_context," ","")&amp;",")))=COUNTA(TEXTSPLIT(BS66,",")))))</f>
        <v/>
      </c>
      <c r="IZ66" s="19">
        <f>AND(IF(BU66="",TRUE,IF(input_enews_announcement_type="",FALSE,SUMPRODUCT(--ISNUMBER(SEARCH(","&amp;TRIM(TEXTSPLIT(BU66,","))&amp;",",","&amp;SUBSTITUTE(input_enews_announcement_type," ","")&amp;",")))&gt;0)),IF(BW66="",TRUE,IF(input_enews_announcement_type="",FALSE,SUMPRODUCT(--ISNUMBER(SEARCH(","&amp;TRIM(TEXTSPLIT(BW66,","))&amp;",",","&amp;SUBSTITUTE(input_enews_announcement_type," ","")&amp;",")))=COUNTA(TEXTSPLIT(BW66,",")))),IF(BY66="",TRUE,IF(input_enews_announcement_type="",TRUE,SUMPRODUCT(--ISNUMBER(SEARCH(","&amp;TRIM(TEXTSPLIT(BY66,","))&amp;",",","&amp;SUBSTITUTE(input_enews_announcement_type," ","")&amp;",")))=0)),IF(CA66="",TRUE,IF(input_enews_announcement_type="",FALSE,SUMPRODUCT(--ISNUMBER(SEARCH(","&amp;TRIM(TEXTSPLIT(CA66,","))&amp;",",","&amp;SUBSTITUTE(input_enews_announcement_type," ","")&amp;",")))&gt;0)),IF(CC66="",TRUE,IF(input_enews_announcement_type="",FALSE,SUMPRODUCT(--ISNUMBER(SEARCH(","&amp;TRIM(TEXTSPLIT(CC66,","))&amp;",",","&amp;SUBSTITUTE(input_enews_announcement_type," ","")&amp;",")))=COUNTA(TEXTSPLIT(CC66,",")))))</f>
        <v/>
      </c>
      <c r="JA66" s="19">
        <f>AND(IF(CE66="",TRUE,IF(input_enews_audience="",FALSE,SUMPRODUCT(--ISNUMBER(SEARCH(","&amp;TRIM(TEXTSPLIT(CE66,","))&amp;",",","&amp;SUBSTITUTE(input_enews_audience," ","")&amp;",")))&gt;0)),IF(CG66="",TRUE,IF(input_enews_audience="",FALSE,SUMPRODUCT(--ISNUMBER(SEARCH(","&amp;TRIM(TEXTSPLIT(CG66,","))&amp;",",","&amp;SUBSTITUTE(input_enews_audience," ","")&amp;",")))=COUNTA(TEXTSPLIT(CG66,",")))),IF(CI66="",TRUE,IF(input_enews_audience="",TRUE,SUMPRODUCT(--ISNUMBER(SEARCH(","&amp;TRIM(TEXTSPLIT(CI66,","))&amp;",",","&amp;SUBSTITUTE(input_enews_audience," ","")&amp;",")))=0)),IF(CK66="",TRUE,IF(input_enews_audience="",FALSE,SUMPRODUCT(--ISNUMBER(SEARCH(","&amp;TRIM(TEXTSPLIT(CK66,","))&amp;",",","&amp;SUBSTITUTE(input_enews_audience," ","")&amp;",")))&gt;0)),IF(CM66="",TRUE,IF(input_enews_audience="",FALSE,SUMPRODUCT(--ISNUMBER(SEARCH(","&amp;TRIM(TEXTSPLIT(CM66,","))&amp;",",","&amp;SUBSTITUTE(input_enews_audience," ","")&amp;",")))=COUNTA(TEXTSPLIT(CM66,",")))))</f>
        <v/>
      </c>
      <c r="JB66" s="19">
        <f>AND(IF(CO66="",TRUE,IF(input_event_location="",FALSE,SUMPRODUCT(--ISNUMBER(SEARCH(","&amp;TRIM(TEXTSPLIT(CO66,","))&amp;",",","&amp;SUBSTITUTE(input_event_location," ","")&amp;",")))&gt;0)),IF(CQ66="",TRUE,IF(input_event_location="",FALSE,SUMPRODUCT(--ISNUMBER(SEARCH(","&amp;TRIM(TEXTSPLIT(CQ66,","))&amp;",",","&amp;SUBSTITUTE(input_event_location," ","")&amp;",")))=COUNTA(TEXTSPLIT(CQ66,",")))),IF(CS66="",TRUE,IF(input_event_location="",TRUE,SUMPRODUCT(--ISNUMBER(SEARCH(","&amp;TRIM(TEXTSPLIT(CS66,","))&amp;",",","&amp;SUBSTITUTE(input_event_location," ","")&amp;",")))=0)),IF(CU66="",TRUE,IF(input_event_location="",FALSE,SUMPRODUCT(--ISNUMBER(SEARCH(","&amp;TRIM(TEXTSPLIT(CU66,","))&amp;",",","&amp;SUBSTITUTE(input_event_location," ","")&amp;",")))&gt;0)),IF(CW66="",TRUE,IF(input_event_location="",FALSE,SUMPRODUCT(--ISNUMBER(SEARCH(","&amp;TRIM(TEXTSPLIT(CW66,","))&amp;",",","&amp;SUBSTITUTE(input_event_location," ","")&amp;",")))=COUNTA(TEXTSPLIT(CW66,",")))))</f>
        <v/>
      </c>
      <c r="JC66" s="19">
        <f>AND(IF(CY66="",TRUE,IF(input_event_type="",FALSE,SUMPRODUCT(--ISNUMBER(SEARCH(","&amp;TRIM(TEXTSPLIT(CY66,","))&amp;",",","&amp;SUBSTITUTE(input_event_type," ","")&amp;",")))&gt;0)),IF(DA66="",TRUE,IF(input_event_type="",FALSE,SUMPRODUCT(--ISNUMBER(SEARCH(","&amp;TRIM(TEXTSPLIT(DA66,","))&amp;",",","&amp;SUBSTITUTE(input_event_type," ","")&amp;",")))=COUNTA(TEXTSPLIT(DA66,",")))),IF(DC66="",TRUE,IF(input_event_type="",TRUE,SUMPRODUCT(--ISNUMBER(SEARCH(","&amp;TRIM(TEXTSPLIT(DC66,","))&amp;",",","&amp;SUBSTITUTE(input_event_type," ","")&amp;",")))=0)),IF(DE66="",TRUE,IF(input_event_type="",FALSE,SUMPRODUCT(--ISNUMBER(SEARCH(","&amp;TRIM(TEXTSPLIT(DE66,","))&amp;",",","&amp;SUBSTITUTE(input_event_type," ","")&amp;",")))&gt;0)),IF(DG66="",TRUE,IF(input_event_type="",FALSE,SUMPRODUCT(--ISNUMBER(SEARCH(","&amp;TRIM(TEXTSPLIT(DG66,","))&amp;",",","&amp;SUBSTITUTE(input_event_type," ","")&amp;",")))=COUNTA(TEXTSPLIT(DG66,",")))))</f>
        <v/>
      </c>
      <c r="JD66" s="19">
        <f>AND(IF(DI66="",TRUE,IF(input_executive_education_focus="",FALSE,SUMPRODUCT(--ISNUMBER(SEARCH(","&amp;TRIM(TEXTSPLIT(DI66,","))&amp;",",","&amp;SUBSTITUTE(input_executive_education_focus," ","")&amp;",")))&gt;0)),IF(DK66="",TRUE,IF(input_executive_education_focus="",FALSE,SUMPRODUCT(--ISNUMBER(SEARCH(","&amp;TRIM(TEXTSPLIT(DK66,","))&amp;",",","&amp;SUBSTITUTE(input_executive_education_focus," ","")&amp;",")))=COUNTA(TEXTSPLIT(DK66,",")))),IF(DM66="",TRUE,IF(input_executive_education_focus="",TRUE,SUMPRODUCT(--ISNUMBER(SEARCH(","&amp;TRIM(TEXTSPLIT(DM66,","))&amp;",",","&amp;SUBSTITUTE(input_executive_education_focus," ","")&amp;",")))=0)),IF(DO66="",TRUE,IF(input_executive_education_focus="",FALSE,SUMPRODUCT(--ISNUMBER(SEARCH(","&amp;TRIM(TEXTSPLIT(DO66,","))&amp;",",","&amp;SUBSTITUTE(input_executive_education_focus," ","")&amp;",")))&gt;0)),IF(DQ66="",TRUE,IF(input_executive_education_focus="",FALSE,SUMPRODUCT(--ISNUMBER(SEARCH(","&amp;TRIM(TEXTSPLIT(DQ66,","))&amp;",",","&amp;SUBSTITUTE(input_executive_education_focus," ","")&amp;",")))=COUNTA(TEXTSPLIT(DQ66,",")))))</f>
        <v/>
      </c>
      <c r="JE66" s="19">
        <f>AND(IF(DS66="",TRUE,IF(input_faculty_category="",FALSE,SUMPRODUCT(--ISNUMBER(SEARCH(","&amp;TRIM(TEXTSPLIT(DS66,","))&amp;",",","&amp;SUBSTITUTE(input_faculty_category," ","")&amp;",")))&gt;0)),IF(DU66="",TRUE,IF(input_faculty_category="",FALSE,SUMPRODUCT(--ISNUMBER(SEARCH(","&amp;TRIM(TEXTSPLIT(DU66,","))&amp;",",","&amp;SUBSTITUTE(input_faculty_category," ","")&amp;",")))=COUNTA(TEXTSPLIT(DU66,",")))),IF(DW66="",TRUE,IF(input_faculty_category="",TRUE,SUMPRODUCT(--ISNUMBER(SEARCH(","&amp;TRIM(TEXTSPLIT(DW66,","))&amp;",",","&amp;SUBSTITUTE(input_faculty_category," ","")&amp;",")))=0)),IF(DY66="",TRUE,IF(input_faculty_category="",FALSE,SUMPRODUCT(--ISNUMBER(SEARCH(","&amp;TRIM(TEXTSPLIT(DY66,","))&amp;",",","&amp;SUBSTITUTE(input_faculty_category," ","")&amp;",")))&gt;0)),IF(EA66="",TRUE,IF(input_faculty_category="",FALSE,SUMPRODUCT(--ISNUMBER(SEARCH(","&amp;TRIM(TEXTSPLIT(EA66,","))&amp;",",","&amp;SUBSTITUTE(input_faculty_category," ","")&amp;",")))=COUNTA(TEXTSPLIT(EA66,",")))))</f>
        <v/>
      </c>
      <c r="JF66" s="19">
        <f>AND(IF(EC66="",TRUE,IF(input_faculty_discipline="",FALSE,SUMPRODUCT(--ISNUMBER(SEARCH(","&amp;TRIM(TEXTSPLIT(EC66,","))&amp;",",","&amp;SUBSTITUTE(input_faculty_discipline," ","")&amp;",")))&gt;0)),IF(EE66="",TRUE,IF(input_faculty_discipline="",FALSE,SUMPRODUCT(--ISNUMBER(SEARCH(","&amp;TRIM(TEXTSPLIT(EE66,","))&amp;",",","&amp;SUBSTITUTE(input_faculty_discipline," ","")&amp;",")))=COUNTA(TEXTSPLIT(EE66,",")))),IF(EG66="",TRUE,IF(input_faculty_discipline="",TRUE,SUMPRODUCT(--ISNUMBER(SEARCH(","&amp;TRIM(TEXTSPLIT(EG66,","))&amp;",",","&amp;SUBSTITUTE(input_faculty_discipline," ","")&amp;",")))=0)),IF(EI66="",TRUE,IF(input_faculty_discipline="",FALSE,SUMPRODUCT(--ISNUMBER(SEARCH(","&amp;TRIM(TEXTSPLIT(EI66,","))&amp;",",","&amp;SUBSTITUTE(input_faculty_discipline," ","")&amp;",")))&gt;0)),IF(EK66="",TRUE,IF(input_faculty_discipline="",FALSE,SUMPRODUCT(--ISNUMBER(SEARCH(","&amp;TRIM(TEXTSPLIT(EK66,","))&amp;",",","&amp;SUBSTITUTE(input_faculty_discipline," ","")&amp;",")))=COUNTA(TEXTSPLIT(EK66,",")))))</f>
        <v/>
      </c>
      <c r="JG66" s="19">
        <f>AND(IF(EM66="",TRUE,IF(input_faculty_expertise="",FALSE,SUMPRODUCT(--ISNUMBER(SEARCH(","&amp;TRIM(TEXTSPLIT(EM66,","))&amp;",",","&amp;SUBSTITUTE(input_faculty_expertise," ","")&amp;",")))&gt;0)),IF(EO66="",TRUE,IF(input_faculty_expertise="",FALSE,SUMPRODUCT(--ISNUMBER(SEARCH(","&amp;TRIM(TEXTSPLIT(EO66,","))&amp;",",","&amp;SUBSTITUTE(input_faculty_expertise," ","")&amp;",")))=COUNTA(TEXTSPLIT(EO66,",")))),IF(EQ66="",TRUE,IF(input_faculty_expertise="",TRUE,SUMPRODUCT(--ISNUMBER(SEARCH(","&amp;TRIM(TEXTSPLIT(EQ66,","))&amp;",",","&amp;SUBSTITUTE(input_faculty_expertise," ","")&amp;",")))=0)),IF(ES66="",TRUE,IF(input_faculty_expertise="",FALSE,SUMPRODUCT(--ISNUMBER(SEARCH(","&amp;TRIM(TEXTSPLIT(ES66,","))&amp;",",","&amp;SUBSTITUTE(input_faculty_expertise," ","")&amp;",")))&gt;0)),IF(EU66="",TRUE,IF(input_faculty_expertise="",FALSE,SUMPRODUCT(--ISNUMBER(SEARCH(","&amp;TRIM(TEXTSPLIT(EU66,","))&amp;",",","&amp;SUBSTITUTE(input_faculty_expertise," ","")&amp;",")))=COUNTA(TEXTSPLIT(EU66,",")))))</f>
        <v/>
      </c>
      <c r="JH66" s="19">
        <f>AND(IF(EW66="",TRUE,IF(input_global_network_school="",FALSE,SUMPRODUCT(--ISNUMBER(SEARCH(","&amp;TRIM(TEXTSPLIT(EW66,","))&amp;",",","&amp;SUBSTITUTE(input_global_network_school," ","")&amp;",")))&gt;0)),IF(EY66="",TRUE,IF(input_global_network_school="",FALSE,SUMPRODUCT(--ISNUMBER(SEARCH(","&amp;TRIM(TEXTSPLIT(EY66,","))&amp;",",","&amp;SUBSTITUTE(input_global_network_school," ","")&amp;",")))=COUNTA(TEXTSPLIT(EY66,",")))),IF(FA66="",TRUE,IF(input_global_network_school="",TRUE,SUMPRODUCT(--ISNUMBER(SEARCH(","&amp;TRIM(TEXTSPLIT(FA66,","))&amp;",",","&amp;SUBSTITUTE(input_global_network_school," ","")&amp;",")))=0)),IF(FC66="",TRUE,IF(input_global_network_school="",FALSE,SUMPRODUCT(--ISNUMBER(SEARCH(","&amp;TRIM(TEXTSPLIT(FC66,","))&amp;",",","&amp;SUBSTITUTE(input_global_network_school," ","")&amp;",")))&gt;0)),IF(FE66="",TRUE,IF(input_global_network_school="",FALSE,SUMPRODUCT(--ISNUMBER(SEARCH(","&amp;TRIM(TEXTSPLIT(FE66,","))&amp;",",","&amp;SUBSTITUTE(input_global_network_school," ","")&amp;",")))=COUNTA(TEXTSPLIT(FE66,",")))))</f>
        <v/>
      </c>
      <c r="JI66" s="19">
        <f>AND(IF(FG66="",TRUE,IF(input_industry="",FALSE,SUMPRODUCT(--ISNUMBER(SEARCH(","&amp;TRIM(TEXTSPLIT(FG66,","))&amp;",",","&amp;SUBSTITUTE(input_industry," ","")&amp;",")))&gt;0)),IF(FI66="",TRUE,IF(input_industry="",FALSE,SUMPRODUCT(--ISNUMBER(SEARCH(","&amp;TRIM(TEXTSPLIT(FI66,","))&amp;",",","&amp;SUBSTITUTE(input_industry," ","")&amp;",")))=COUNTA(TEXTSPLIT(FI66,",")))),IF(FK66="",TRUE,IF(input_industry="",TRUE,SUMPRODUCT(--ISNUMBER(SEARCH(","&amp;TRIM(TEXTSPLIT(FK66,","))&amp;",",","&amp;SUBSTITUTE(input_industry," ","")&amp;",")))=0)),IF(FM66="",TRUE,IF(input_industry="",FALSE,SUMPRODUCT(--ISNUMBER(SEARCH(","&amp;TRIM(TEXTSPLIT(FM66,","))&amp;",",","&amp;SUBSTITUTE(input_industry," ","")&amp;",")))&gt;0)),IF(FO66="",TRUE,IF(input_industry="",FALSE,SUMPRODUCT(--ISNUMBER(SEARCH(","&amp;TRIM(TEXTSPLIT(FO66,","))&amp;",",","&amp;SUBSTITUTE(input_industry," ","")&amp;",")))=COUNTA(TEXTSPLIT(FO66,",")))))</f>
        <v/>
      </c>
      <c r="JJ66" s="19">
        <f>AND(IF(FQ66="",TRUE,IF(input_location="",FALSE,SUMPRODUCT(--ISNUMBER(SEARCH(","&amp;TRIM(TEXTSPLIT(FQ66,","))&amp;",",","&amp;SUBSTITUTE(input_location," ","")&amp;",")))&gt;0)),IF(FS66="",TRUE,IF(input_location="",FALSE,SUMPRODUCT(--ISNUMBER(SEARCH(","&amp;TRIM(TEXTSPLIT(FS66,","))&amp;",",","&amp;SUBSTITUTE(input_location," ","")&amp;",")))=COUNTA(TEXTSPLIT(FS66,",")))),IF(FU66="",TRUE,IF(input_location="",TRUE,SUMPRODUCT(--ISNUMBER(SEARCH(","&amp;TRIM(TEXTSPLIT(FU66,","))&amp;",",","&amp;SUBSTITUTE(input_location," ","")&amp;",")))=0)),IF(FW66="",TRUE,IF(input_location="",FALSE,SUMPRODUCT(--ISNUMBER(SEARCH(","&amp;TRIM(TEXTSPLIT(FW66,","))&amp;",",","&amp;SUBSTITUTE(input_location," ","")&amp;",")))&gt;0)),IF(FY66="",TRUE,IF(input_location="",FALSE,SUMPRODUCT(--ISNUMBER(SEARCH(","&amp;TRIM(TEXTSPLIT(FY66,","))&amp;",",","&amp;SUBSTITUTE(input_location," ","")&amp;",")))=COUNTA(TEXTSPLIT(FY66,",")))))</f>
        <v/>
      </c>
      <c r="JK66" s="19">
        <f>AND(IF(GA66="",TRUE,IF(input_modality="",FALSE,SUMPRODUCT(--ISNUMBER(SEARCH(","&amp;TRIM(TEXTSPLIT(GA66,","))&amp;",",","&amp;SUBSTITUTE(input_modality," ","")&amp;",")))&gt;0)),IF(GC66="",TRUE,IF(input_modality="",FALSE,SUMPRODUCT(--ISNUMBER(SEARCH(","&amp;TRIM(TEXTSPLIT(GC66,","))&amp;",",","&amp;SUBSTITUTE(input_modality," ","")&amp;",")))=COUNTA(TEXTSPLIT(GC66,",")))),IF(GE66="",TRUE,IF(input_modality="",TRUE,SUMPRODUCT(--ISNUMBER(SEARCH(","&amp;TRIM(TEXTSPLIT(GE66,","))&amp;",",","&amp;SUBSTITUTE(input_modality," ","")&amp;",")))=0)),IF(GG66="",TRUE,IF(input_modality="",FALSE,SUMPRODUCT(--ISNUMBER(SEARCH(","&amp;TRIM(TEXTSPLIT(GG66,","))&amp;",",","&amp;SUBSTITUTE(input_modality," ","")&amp;",")))&gt;0)),IF(GI66="",TRUE,IF(input_modality="",FALSE,SUMPRODUCT(--ISNUMBER(SEARCH(","&amp;TRIM(TEXTSPLIT(GI66,","))&amp;",",","&amp;SUBSTITUTE(input_modality," ","")&amp;",")))=COUNTA(TEXTSPLIT(GI66,",")))))</f>
        <v/>
      </c>
      <c r="JL66" s="19">
        <f>AND(IF(GK66="",TRUE,IF(input_organizer="",FALSE,SUMPRODUCT(--ISNUMBER(SEARCH(","&amp;TRIM(TEXTSPLIT(GK66,","))&amp;",",","&amp;SUBSTITUTE(input_organizer," ","")&amp;",")))&gt;0)),IF(GM66="",TRUE,IF(input_organizer="",FALSE,SUMPRODUCT(--ISNUMBER(SEARCH(","&amp;TRIM(TEXTSPLIT(GM66,","))&amp;",",","&amp;SUBSTITUTE(input_organizer," ","")&amp;",")))=COUNTA(TEXTSPLIT(GM66,",")))),IF(GO66="",TRUE,IF(input_organizer="",TRUE,SUMPRODUCT(--ISNUMBER(SEARCH(","&amp;TRIM(TEXTSPLIT(GO66,","))&amp;",",","&amp;SUBSTITUTE(input_organizer," ","")&amp;",")))=0)),IF(GQ66="",TRUE,IF(input_organizer="",FALSE,SUMPRODUCT(--ISNUMBER(SEARCH(","&amp;TRIM(TEXTSPLIT(GQ66,","))&amp;",",","&amp;SUBSTITUTE(input_organizer," ","")&amp;",")))&gt;0)),IF(GS66="",TRUE,IF(input_organizer="",FALSE,SUMPRODUCT(--ISNUMBER(SEARCH(","&amp;TRIM(TEXTSPLIT(GS66,","))&amp;",",","&amp;SUBSTITUTE(input_organizer," ","")&amp;",")))=COUNTA(TEXTSPLIT(GS66,",")))))</f>
        <v/>
      </c>
      <c r="JM66" s="19">
        <f>AND(IF(GU66="",TRUE,IF(input_profile_type="",FALSE,SUMPRODUCT(--ISNUMBER(SEARCH(","&amp;TRIM(TEXTSPLIT(GU66,","))&amp;",",","&amp;SUBSTITUTE(input_profile_type," ","")&amp;",")))&gt;0)),IF(GW66="",TRUE,IF(input_profile_type="",FALSE,SUMPRODUCT(--ISNUMBER(SEARCH(","&amp;TRIM(TEXTSPLIT(GW66,","))&amp;",",","&amp;SUBSTITUTE(input_profile_type," ","")&amp;",")))=COUNTA(TEXTSPLIT(GW66,",")))),IF(GY66="",TRUE,IF(input_profile_type="",TRUE,SUMPRODUCT(--ISNUMBER(SEARCH(","&amp;TRIM(TEXTSPLIT(GY66,","))&amp;",",","&amp;SUBSTITUTE(input_profile_type," ","")&amp;",")))=0)),IF(HA66="",TRUE,IF(input_profile_type="",FALSE,SUMPRODUCT(--ISNUMBER(SEARCH(","&amp;TRIM(TEXTSPLIT(HA66,","))&amp;",",","&amp;SUBSTITUTE(input_profile_type," ","")&amp;",")))&gt;0)),IF(HC66="",TRUE,IF(input_profile_type="",FALSE,SUMPRODUCT(--ISNUMBER(SEARCH(","&amp;TRIM(TEXTSPLIT(HC66,","))&amp;",",","&amp;SUBSTITUTE(input_profile_type," ","")&amp;",")))=COUNTA(TEXTSPLIT(HC66,",")))))</f>
        <v/>
      </c>
      <c r="JN66" s="19">
        <f>AND(IF(HE66="",TRUE,IF(input_program="",FALSE,SUMPRODUCT(--ISNUMBER(SEARCH(","&amp;TRIM(TEXTSPLIT(HE66,","))&amp;",",","&amp;SUBSTITUTE(input_program," ","")&amp;",")))&gt;0)),IF(HG66="",TRUE,IF(input_program="",FALSE,SUMPRODUCT(--ISNUMBER(SEARCH(","&amp;TRIM(TEXTSPLIT(HG66,","))&amp;",",","&amp;SUBSTITUTE(input_program," ","")&amp;",")))=COUNTA(TEXTSPLIT(HG66,",")))),IF(HI66="",TRUE,IF(input_program="",TRUE,SUMPRODUCT(--ISNUMBER(SEARCH(","&amp;TRIM(TEXTSPLIT(HI66,","))&amp;",",","&amp;SUBSTITUTE(input_program," ","")&amp;",")))=0)),IF(HK66="",TRUE,IF(input_program="",FALSE,SUMPRODUCT(--ISNUMBER(SEARCH(","&amp;TRIM(TEXTSPLIT(HK66,","))&amp;",",","&amp;SUBSTITUTE(input_program," ","")&amp;",")))&gt;0)),IF(HM66="",TRUE,IF(input_program="",FALSE,SUMPRODUCT(--ISNUMBER(SEARCH(","&amp;TRIM(TEXTSPLIT(HM66,","))&amp;",",","&amp;SUBSTITUTE(input_program," ","")&amp;",")))=COUNTA(TEXTSPLIT(HM66,",")))))</f>
        <v/>
      </c>
      <c r="JO66" s="19">
        <f>AND(IF(HO66="",TRUE,IF(input_story_categories="",FALSE,SUMPRODUCT(--ISNUMBER(SEARCH(","&amp;TRIM(TEXTSPLIT(HO66,","))&amp;",",","&amp;SUBSTITUTE(input_story_categories," ","")&amp;",")))&gt;0)),IF(HQ66="",TRUE,IF(input_story_categories="",FALSE,SUMPRODUCT(--ISNUMBER(SEARCH(","&amp;TRIM(TEXTSPLIT(HQ66,","))&amp;",",","&amp;SUBSTITUTE(input_story_categories," ","")&amp;",")))=COUNTA(TEXTSPLIT(HQ66,",")))),IF(HS66="",TRUE,IF(input_story_categories="",TRUE,SUMPRODUCT(--ISNUMBER(SEARCH(","&amp;TRIM(TEXTSPLIT(HS66,","))&amp;",",","&amp;SUBSTITUTE(input_story_categories," ","")&amp;",")))=0)),IF(HU66="",TRUE,IF(input_story_categories="",FALSE,SUMPRODUCT(--ISNUMBER(SEARCH(","&amp;TRIM(TEXTSPLIT(HU66,","))&amp;",",","&amp;SUBSTITUTE(input_story_categories," ","")&amp;",")))&gt;0)),IF(HW66="",TRUE,IF(input_story_categories="",FALSE,SUMPRODUCT(--ISNUMBER(SEARCH(","&amp;TRIM(TEXTSPLIT(HW66,","))&amp;",",","&amp;SUBSTITUTE(input_story_categories," ","")&amp;",")))=COUNTA(TEXTSPLIT(HW66,",")))))</f>
        <v/>
      </c>
      <c r="JP66" s="19">
        <f>AND(IF(HY66="",TRUE,IF(input_story_type="",FALSE,SUMPRODUCT(--ISNUMBER(SEARCH(","&amp;TRIM(TEXTSPLIT(HY66,","))&amp;",",","&amp;SUBSTITUTE(input_story_type," ","")&amp;",")))&gt;0)),IF(IA66="",TRUE,IF(input_story_type="",FALSE,SUMPRODUCT(--ISNUMBER(SEARCH(","&amp;TRIM(TEXTSPLIT(IA66,","))&amp;",",","&amp;SUBSTITUTE(input_story_type," ","")&amp;",")))=COUNTA(TEXTSPLIT(IA66,",")))),IF(IC66="",TRUE,IF(input_story_type="",TRUE,SUMPRODUCT(--ISNUMBER(SEARCH(","&amp;TRIM(TEXTSPLIT(IC66,","))&amp;",",","&amp;SUBSTITUTE(input_story_type," ","")&amp;",")))=0)),IF(IE66="",TRUE,IF(input_story_type="",FALSE,SUMPRODUCT(--ISNUMBER(SEARCH(","&amp;TRIM(TEXTSPLIT(IE66,","))&amp;",",","&amp;SUBSTITUTE(input_story_type," ","")&amp;",")))&gt;0)),IF(IG66="",TRUE,IF(input_story_type="",FALSE,SUMPRODUCT(--ISNUMBER(SEARCH(","&amp;TRIM(TEXTSPLIT(IG66,","))&amp;",",","&amp;SUBSTITUTE(input_story_type," ","")&amp;",")))=COUNTA(TEXTSPLIT(IG66,",")))))</f>
        <v/>
      </c>
      <c r="JQ66" s="19">
        <f>AND(IF(II66="",TRUE,IF(input_topics="",FALSE,SUMPRODUCT(--ISNUMBER(SEARCH(","&amp;TRIM(TEXTSPLIT(II66,","))&amp;",",","&amp;SUBSTITUTE(input_topics," ","")&amp;",")))&gt;0)),IF(IK66="",TRUE,IF(input_topics="",FALSE,SUMPRODUCT(--ISNUMBER(SEARCH(","&amp;TRIM(TEXTSPLIT(IK66,","))&amp;",",","&amp;SUBSTITUTE(input_topics," ","")&amp;",")))=COUNTA(TEXTSPLIT(IK66,",")))),IF(IM66="",TRUE,IF(input_topics="",TRUE,SUMPRODUCT(--ISNUMBER(SEARCH(","&amp;TRIM(TEXTSPLIT(IM66,","))&amp;",",","&amp;SUBSTITUTE(input_topics," ","")&amp;",")))=0)),IF(IO66="",TRUE,IF(input_topics="",FALSE,SUMPRODUCT(--ISNUMBER(SEARCH(","&amp;TRIM(TEXTSPLIT(IO66,","))&amp;",",","&amp;SUBSTITUTE(input_topics," ","")&amp;",")))&gt;0)),IF(IQ66="",TRUE,IF(input_topics="",FALSE,SUMPRODUCT(--ISNUMBER(SEARCH(","&amp;TRIM(TEXTSPLIT(IQ66,","))&amp;",",","&amp;SUBSTITUTE(input_topics," ","")&amp;",")))=COUNTA(TEXTSPLIT(IQ66,",")))))</f>
        <v/>
      </c>
    </row>
    <row r="67">
      <c r="A67" s="24">
        <f>IF(NOT(IS67),"Excluded",IF(AND(IT67,IU67,IV67,IW67,IX67,IY67,IZ67,JA67,JB67,JC67,JD67,JE67,JF67,JG67,JH67,JI67,JJ67,JK67,JL67,JM67,JN67,JO67,JP67,JQ67),IF(I67&gt;0,"Eligible but limited","Will appear"),"Excluded"))</f>
        <v/>
      </c>
      <c r="B67" s="24" t="inlineStr">
        <is>
          <t>All stories</t>
        </is>
      </c>
      <c r="C67" s="27" t="inlineStr">
        <is>
          <t>/programs/mba/career-paths/employment-report-2025-26</t>
        </is>
      </c>
      <c r="D67" s="24" t="inlineStr">
        <is>
          <t>/programs/mba/career-paths/employment-report-2025-26</t>
        </is>
      </c>
      <c r="E67" s="24" t="n">
        <v>1</v>
      </c>
      <c r="F67" s="24" t="inlineStr">
        <is>
          <t>story</t>
        </is>
      </c>
      <c r="G67" s="24" t="inlineStr">
        <is>
          <t>stories_teaser_cards</t>
        </is>
      </c>
      <c r="H67" s="24" t="inlineStr">
        <is>
          <t>embed_all</t>
        </is>
      </c>
      <c r="I67" s="24" t="n">
        <v>3</v>
      </c>
      <c r="J67" s="29" t="inlineStr">
        <is>
          <t>Section inferred</t>
        </is>
      </c>
      <c r="K67" s="24" t="inlineStr">
        <is>
          <t>Page placement</t>
        </is>
      </c>
      <c r="L67" s="24" t="inlineStr">
        <is>
          <t>Content type: story; Context uses Courses Context: MBA (92); Limited to 3 item(s); Source: Section inferred</t>
        </is>
      </c>
      <c r="BQ67" s="19" t="inlineStr">
        <is>
          <t>92</t>
        </is>
      </c>
      <c r="BR67" s="19" t="inlineStr">
        <is>
          <t>MBA (92)</t>
        </is>
      </c>
      <c r="IS67" s="19">
        <f>IF(input_content_type="",FALSE,ISNUMBER(SEARCH(","&amp;LOWER(input_content_type)&amp;",",","&amp;LOWER(SUBSTITUTE(F67," ",""))&amp;",")))</f>
        <v/>
      </c>
      <c r="IT67" s="19">
        <f>AND(IF(M67="",TRUE,IF(input_affiliations="",FALSE,SUMPRODUCT(--ISNUMBER(SEARCH(","&amp;TRIM(TEXTSPLIT(M67,","))&amp;",",","&amp;SUBSTITUTE(input_affiliations," ","")&amp;",")))&gt;0)),IF(O67="",TRUE,IF(input_affiliations="",FALSE,SUMPRODUCT(--ISNUMBER(SEARCH(","&amp;TRIM(TEXTSPLIT(O67,","))&amp;",",","&amp;SUBSTITUTE(input_affiliations," ","")&amp;",")))=COUNTA(TEXTSPLIT(O67,",")))),IF(Q67="",TRUE,IF(input_affiliations="",TRUE,SUMPRODUCT(--ISNUMBER(SEARCH(","&amp;TRIM(TEXTSPLIT(Q67,","))&amp;",",","&amp;SUBSTITUTE(input_affiliations," ","")&amp;",")))=0)),IF(S67="",TRUE,IF(input_affiliations="",FALSE,SUMPRODUCT(--ISNUMBER(SEARCH(","&amp;TRIM(TEXTSPLIT(S67,","))&amp;",",","&amp;SUBSTITUTE(input_affiliations," ","")&amp;",")))&gt;0)),IF(U67="",TRUE,IF(input_affiliations="",FALSE,SUMPRODUCT(--ISNUMBER(SEARCH(","&amp;TRIM(TEXTSPLIT(U67,","))&amp;",",","&amp;SUBSTITUTE(input_affiliations," ","")&amp;",")))=COUNTA(TEXTSPLIT(U67,",")))))</f>
        <v/>
      </c>
      <c r="IU67" s="19">
        <f>AND(IF(W67="",TRUE,IF(input_announcement_category="",FALSE,SUMPRODUCT(--ISNUMBER(SEARCH(","&amp;TRIM(TEXTSPLIT(W67,","))&amp;",",","&amp;SUBSTITUTE(input_announcement_category," ","")&amp;",")))&gt;0)),IF(Y67="",TRUE,IF(input_announcement_category="",FALSE,SUMPRODUCT(--ISNUMBER(SEARCH(","&amp;TRIM(TEXTSPLIT(Y67,","))&amp;",",","&amp;SUBSTITUTE(input_announcement_category," ","")&amp;",")))=COUNTA(TEXTSPLIT(Y67,",")))),IF(AA67="",TRUE,IF(input_announcement_category="",TRUE,SUMPRODUCT(--ISNUMBER(SEARCH(","&amp;TRIM(TEXTSPLIT(AA67,","))&amp;",",","&amp;SUBSTITUTE(input_announcement_category," ","")&amp;",")))=0)),IF(AC67="",TRUE,IF(input_announcement_category="",FALSE,SUMPRODUCT(--ISNUMBER(SEARCH(","&amp;TRIM(TEXTSPLIT(AC67,","))&amp;",",","&amp;SUBSTITUTE(input_announcement_category," ","")&amp;",")))&gt;0)),IF(AE67="",TRUE,IF(input_announcement_category="",FALSE,SUMPRODUCT(--ISNUMBER(SEARCH(","&amp;TRIM(TEXTSPLIT(AE67,","))&amp;",",","&amp;SUBSTITUTE(input_announcement_category," ","")&amp;",")))=COUNTA(TEXTSPLIT(AE67,",")))))</f>
        <v/>
      </c>
      <c r="IV67" s="19">
        <f>AND(IF(AG67="",TRUE,IF(input_area_of_focus="",FALSE,SUMPRODUCT(--ISNUMBER(SEARCH(","&amp;TRIM(TEXTSPLIT(AG67,","))&amp;",",","&amp;SUBSTITUTE(input_area_of_focus," ","")&amp;",")))&gt;0)),IF(AI67="",TRUE,IF(input_area_of_focus="",FALSE,SUMPRODUCT(--ISNUMBER(SEARCH(","&amp;TRIM(TEXTSPLIT(AI67,","))&amp;",",","&amp;SUBSTITUTE(input_area_of_focus," ","")&amp;",")))=COUNTA(TEXTSPLIT(AI67,",")))),IF(AK67="",TRUE,IF(input_area_of_focus="",TRUE,SUMPRODUCT(--ISNUMBER(SEARCH(","&amp;TRIM(TEXTSPLIT(AK67,","))&amp;",",","&amp;SUBSTITUTE(input_area_of_focus," ","")&amp;",")))=0)),IF(AM67="",TRUE,IF(input_area_of_focus="",FALSE,SUMPRODUCT(--ISNUMBER(SEARCH(","&amp;TRIM(TEXTSPLIT(AM67,","))&amp;",",","&amp;SUBSTITUTE(input_area_of_focus," ","")&amp;",")))&gt;0)),IF(AO67="",TRUE,IF(input_area_of_focus="",FALSE,SUMPRODUCT(--ISNUMBER(SEARCH(","&amp;TRIM(TEXTSPLIT(AO67,","))&amp;",",","&amp;SUBSTITUTE(input_area_of_focus," ","")&amp;",")))=COUNTA(TEXTSPLIT(AO67,",")))))</f>
        <v/>
      </c>
      <c r="IW67" s="19">
        <f>AND(IF(AQ67="",TRUE,IF(input_audience="",FALSE,SUMPRODUCT(--ISNUMBER(SEARCH(","&amp;TRIM(TEXTSPLIT(AQ67,","))&amp;",",","&amp;SUBSTITUTE(input_audience," ","")&amp;",")))&gt;0)),IF(AS67="",TRUE,IF(input_audience="",FALSE,SUMPRODUCT(--ISNUMBER(SEARCH(","&amp;TRIM(TEXTSPLIT(AS67,","))&amp;",",","&amp;SUBSTITUTE(input_audience," ","")&amp;",")))=COUNTA(TEXTSPLIT(AS67,",")))),IF(AU67="",TRUE,IF(input_audience="",TRUE,SUMPRODUCT(--ISNUMBER(SEARCH(","&amp;TRIM(TEXTSPLIT(AU67,","))&amp;",",","&amp;SUBSTITUTE(input_audience," ","")&amp;",")))=0)),IF(AW67="",TRUE,IF(input_audience="",FALSE,SUMPRODUCT(--ISNUMBER(SEARCH(","&amp;TRIM(TEXTSPLIT(AW67,","))&amp;",",","&amp;SUBSTITUTE(input_audience," ","")&amp;",")))&gt;0)),IF(AY67="",TRUE,IF(input_audience="",FALSE,SUMPRODUCT(--ISNUMBER(SEARCH(","&amp;TRIM(TEXTSPLIT(AY67,","))&amp;",",","&amp;SUBSTITUTE(input_audience," ","")&amp;",")))=COUNTA(TEXTSPLIT(AY67,",")))))</f>
        <v/>
      </c>
      <c r="IX67" s="19">
        <f>AND(IF(BA67="",TRUE,IF(input_challenge_opportunities="",FALSE,SUMPRODUCT(--ISNUMBER(SEARCH(","&amp;TRIM(TEXTSPLIT(BA67,","))&amp;",",","&amp;SUBSTITUTE(input_challenge_opportunities," ","")&amp;",")))&gt;0)),IF(BC67="",TRUE,IF(input_challenge_opportunities="",FALSE,SUMPRODUCT(--ISNUMBER(SEARCH(","&amp;TRIM(TEXTSPLIT(BC67,","))&amp;",",","&amp;SUBSTITUTE(input_challenge_opportunities," ","")&amp;",")))=COUNTA(TEXTSPLIT(BC67,",")))),IF(BE67="",TRUE,IF(input_challenge_opportunities="",TRUE,SUMPRODUCT(--ISNUMBER(SEARCH(","&amp;TRIM(TEXTSPLIT(BE67,","))&amp;",",","&amp;SUBSTITUTE(input_challenge_opportunities," ","")&amp;",")))=0)),IF(BG67="",TRUE,IF(input_challenge_opportunities="",FALSE,SUMPRODUCT(--ISNUMBER(SEARCH(","&amp;TRIM(TEXTSPLIT(BG67,","))&amp;",",","&amp;SUBSTITUTE(input_challenge_opportunities," ","")&amp;",")))&gt;0)),IF(BI67="",TRUE,IF(input_challenge_opportunities="",FALSE,SUMPRODUCT(--ISNUMBER(SEARCH(","&amp;TRIM(TEXTSPLIT(BI67,","))&amp;",",","&amp;SUBSTITUTE(input_challenge_opportunities," ","")&amp;",")))=COUNTA(TEXTSPLIT(BI67,",")))))</f>
        <v/>
      </c>
      <c r="IY67" s="19">
        <f>AND(IF(BK67="",TRUE,IF(input_context="",FALSE,SUMPRODUCT(--ISNUMBER(SEARCH(","&amp;TRIM(TEXTSPLIT(BK67,","))&amp;",",","&amp;SUBSTITUTE(input_context," ","")&amp;",")))&gt;0)),IF(BM67="",TRUE,IF(input_context="",FALSE,SUMPRODUCT(--ISNUMBER(SEARCH(","&amp;TRIM(TEXTSPLIT(BM67,","))&amp;",",","&amp;SUBSTITUTE(input_context," ","")&amp;",")))=COUNTA(TEXTSPLIT(BM67,",")))),IF(BO67="",TRUE,IF(input_context="",TRUE,SUMPRODUCT(--ISNUMBER(SEARCH(","&amp;TRIM(TEXTSPLIT(BO67,","))&amp;",",","&amp;SUBSTITUTE(input_context," ","")&amp;",")))=0)),IF(BQ67="",TRUE,IF(input_context="",FALSE,SUMPRODUCT(--ISNUMBER(SEARCH(","&amp;TRIM(TEXTSPLIT(BQ67,","))&amp;",",","&amp;SUBSTITUTE(input_context," ","")&amp;",")))&gt;0)),IF(BS67="",TRUE,IF(input_context="",FALSE,SUMPRODUCT(--ISNUMBER(SEARCH(","&amp;TRIM(TEXTSPLIT(BS67,","))&amp;",",","&amp;SUBSTITUTE(input_context," ","")&amp;",")))=COUNTA(TEXTSPLIT(BS67,",")))))</f>
        <v/>
      </c>
      <c r="IZ67" s="19">
        <f>AND(IF(BU67="",TRUE,IF(input_enews_announcement_type="",FALSE,SUMPRODUCT(--ISNUMBER(SEARCH(","&amp;TRIM(TEXTSPLIT(BU67,","))&amp;",",","&amp;SUBSTITUTE(input_enews_announcement_type," ","")&amp;",")))&gt;0)),IF(BW67="",TRUE,IF(input_enews_announcement_type="",FALSE,SUMPRODUCT(--ISNUMBER(SEARCH(","&amp;TRIM(TEXTSPLIT(BW67,","))&amp;",",","&amp;SUBSTITUTE(input_enews_announcement_type," ","")&amp;",")))=COUNTA(TEXTSPLIT(BW67,",")))),IF(BY67="",TRUE,IF(input_enews_announcement_type="",TRUE,SUMPRODUCT(--ISNUMBER(SEARCH(","&amp;TRIM(TEXTSPLIT(BY67,","))&amp;",",","&amp;SUBSTITUTE(input_enews_announcement_type," ","")&amp;",")))=0)),IF(CA67="",TRUE,IF(input_enews_announcement_type="",FALSE,SUMPRODUCT(--ISNUMBER(SEARCH(","&amp;TRIM(TEXTSPLIT(CA67,","))&amp;",",","&amp;SUBSTITUTE(input_enews_announcement_type," ","")&amp;",")))&gt;0)),IF(CC67="",TRUE,IF(input_enews_announcement_type="",FALSE,SUMPRODUCT(--ISNUMBER(SEARCH(","&amp;TRIM(TEXTSPLIT(CC67,","))&amp;",",","&amp;SUBSTITUTE(input_enews_announcement_type," ","")&amp;",")))=COUNTA(TEXTSPLIT(CC67,",")))))</f>
        <v/>
      </c>
      <c r="JA67" s="19">
        <f>AND(IF(CE67="",TRUE,IF(input_enews_audience="",FALSE,SUMPRODUCT(--ISNUMBER(SEARCH(","&amp;TRIM(TEXTSPLIT(CE67,","))&amp;",",","&amp;SUBSTITUTE(input_enews_audience," ","")&amp;",")))&gt;0)),IF(CG67="",TRUE,IF(input_enews_audience="",FALSE,SUMPRODUCT(--ISNUMBER(SEARCH(","&amp;TRIM(TEXTSPLIT(CG67,","))&amp;",",","&amp;SUBSTITUTE(input_enews_audience," ","")&amp;",")))=COUNTA(TEXTSPLIT(CG67,",")))),IF(CI67="",TRUE,IF(input_enews_audience="",TRUE,SUMPRODUCT(--ISNUMBER(SEARCH(","&amp;TRIM(TEXTSPLIT(CI67,","))&amp;",",","&amp;SUBSTITUTE(input_enews_audience," ","")&amp;",")))=0)),IF(CK67="",TRUE,IF(input_enews_audience="",FALSE,SUMPRODUCT(--ISNUMBER(SEARCH(","&amp;TRIM(TEXTSPLIT(CK67,","))&amp;",",","&amp;SUBSTITUTE(input_enews_audience," ","")&amp;",")))&gt;0)),IF(CM67="",TRUE,IF(input_enews_audience="",FALSE,SUMPRODUCT(--ISNUMBER(SEARCH(","&amp;TRIM(TEXTSPLIT(CM67,","))&amp;",",","&amp;SUBSTITUTE(input_enews_audience," ","")&amp;",")))=COUNTA(TEXTSPLIT(CM67,",")))))</f>
        <v/>
      </c>
      <c r="JB67" s="19">
        <f>AND(IF(CO67="",TRUE,IF(input_event_location="",FALSE,SUMPRODUCT(--ISNUMBER(SEARCH(","&amp;TRIM(TEXTSPLIT(CO67,","))&amp;",",","&amp;SUBSTITUTE(input_event_location," ","")&amp;",")))&gt;0)),IF(CQ67="",TRUE,IF(input_event_location="",FALSE,SUMPRODUCT(--ISNUMBER(SEARCH(","&amp;TRIM(TEXTSPLIT(CQ67,","))&amp;",",","&amp;SUBSTITUTE(input_event_location," ","")&amp;",")))=COUNTA(TEXTSPLIT(CQ67,",")))),IF(CS67="",TRUE,IF(input_event_location="",TRUE,SUMPRODUCT(--ISNUMBER(SEARCH(","&amp;TRIM(TEXTSPLIT(CS67,","))&amp;",",","&amp;SUBSTITUTE(input_event_location," ","")&amp;",")))=0)),IF(CU67="",TRUE,IF(input_event_location="",FALSE,SUMPRODUCT(--ISNUMBER(SEARCH(","&amp;TRIM(TEXTSPLIT(CU67,","))&amp;",",","&amp;SUBSTITUTE(input_event_location," ","")&amp;",")))&gt;0)),IF(CW67="",TRUE,IF(input_event_location="",FALSE,SUMPRODUCT(--ISNUMBER(SEARCH(","&amp;TRIM(TEXTSPLIT(CW67,","))&amp;",",","&amp;SUBSTITUTE(input_event_location," ","")&amp;",")))=COUNTA(TEXTSPLIT(CW67,",")))))</f>
        <v/>
      </c>
      <c r="JC67" s="19">
        <f>AND(IF(CY67="",TRUE,IF(input_event_type="",FALSE,SUMPRODUCT(--ISNUMBER(SEARCH(","&amp;TRIM(TEXTSPLIT(CY67,","))&amp;",",","&amp;SUBSTITUTE(input_event_type," ","")&amp;",")))&gt;0)),IF(DA67="",TRUE,IF(input_event_type="",FALSE,SUMPRODUCT(--ISNUMBER(SEARCH(","&amp;TRIM(TEXTSPLIT(DA67,","))&amp;",",","&amp;SUBSTITUTE(input_event_type," ","")&amp;",")))=COUNTA(TEXTSPLIT(DA67,",")))),IF(DC67="",TRUE,IF(input_event_type="",TRUE,SUMPRODUCT(--ISNUMBER(SEARCH(","&amp;TRIM(TEXTSPLIT(DC67,","))&amp;",",","&amp;SUBSTITUTE(input_event_type," ","")&amp;",")))=0)),IF(DE67="",TRUE,IF(input_event_type="",FALSE,SUMPRODUCT(--ISNUMBER(SEARCH(","&amp;TRIM(TEXTSPLIT(DE67,","))&amp;",",","&amp;SUBSTITUTE(input_event_type," ","")&amp;",")))&gt;0)),IF(DG67="",TRUE,IF(input_event_type="",FALSE,SUMPRODUCT(--ISNUMBER(SEARCH(","&amp;TRIM(TEXTSPLIT(DG67,","))&amp;",",","&amp;SUBSTITUTE(input_event_type," ","")&amp;",")))=COUNTA(TEXTSPLIT(DG67,",")))))</f>
        <v/>
      </c>
      <c r="JD67" s="19">
        <f>AND(IF(DI67="",TRUE,IF(input_executive_education_focus="",FALSE,SUMPRODUCT(--ISNUMBER(SEARCH(","&amp;TRIM(TEXTSPLIT(DI67,","))&amp;",",","&amp;SUBSTITUTE(input_executive_education_focus," ","")&amp;",")))&gt;0)),IF(DK67="",TRUE,IF(input_executive_education_focus="",FALSE,SUMPRODUCT(--ISNUMBER(SEARCH(","&amp;TRIM(TEXTSPLIT(DK67,","))&amp;",",","&amp;SUBSTITUTE(input_executive_education_focus," ","")&amp;",")))=COUNTA(TEXTSPLIT(DK67,",")))),IF(DM67="",TRUE,IF(input_executive_education_focus="",TRUE,SUMPRODUCT(--ISNUMBER(SEARCH(","&amp;TRIM(TEXTSPLIT(DM67,","))&amp;",",","&amp;SUBSTITUTE(input_executive_education_focus," ","")&amp;",")))=0)),IF(DO67="",TRUE,IF(input_executive_education_focus="",FALSE,SUMPRODUCT(--ISNUMBER(SEARCH(","&amp;TRIM(TEXTSPLIT(DO67,","))&amp;",",","&amp;SUBSTITUTE(input_executive_education_focus," ","")&amp;",")))&gt;0)),IF(DQ67="",TRUE,IF(input_executive_education_focus="",FALSE,SUMPRODUCT(--ISNUMBER(SEARCH(","&amp;TRIM(TEXTSPLIT(DQ67,","))&amp;",",","&amp;SUBSTITUTE(input_executive_education_focus," ","")&amp;",")))=COUNTA(TEXTSPLIT(DQ67,",")))))</f>
        <v/>
      </c>
      <c r="JE67" s="19">
        <f>AND(IF(DS67="",TRUE,IF(input_faculty_category="",FALSE,SUMPRODUCT(--ISNUMBER(SEARCH(","&amp;TRIM(TEXTSPLIT(DS67,","))&amp;",",","&amp;SUBSTITUTE(input_faculty_category," ","")&amp;",")))&gt;0)),IF(DU67="",TRUE,IF(input_faculty_category="",FALSE,SUMPRODUCT(--ISNUMBER(SEARCH(","&amp;TRIM(TEXTSPLIT(DU67,","))&amp;",",","&amp;SUBSTITUTE(input_faculty_category," ","")&amp;",")))=COUNTA(TEXTSPLIT(DU67,",")))),IF(DW67="",TRUE,IF(input_faculty_category="",TRUE,SUMPRODUCT(--ISNUMBER(SEARCH(","&amp;TRIM(TEXTSPLIT(DW67,","))&amp;",",","&amp;SUBSTITUTE(input_faculty_category," ","")&amp;",")))=0)),IF(DY67="",TRUE,IF(input_faculty_category="",FALSE,SUMPRODUCT(--ISNUMBER(SEARCH(","&amp;TRIM(TEXTSPLIT(DY67,","))&amp;",",","&amp;SUBSTITUTE(input_faculty_category," ","")&amp;",")))&gt;0)),IF(EA67="",TRUE,IF(input_faculty_category="",FALSE,SUMPRODUCT(--ISNUMBER(SEARCH(","&amp;TRIM(TEXTSPLIT(EA67,","))&amp;",",","&amp;SUBSTITUTE(input_faculty_category," ","")&amp;",")))=COUNTA(TEXTSPLIT(EA67,",")))))</f>
        <v/>
      </c>
      <c r="JF67" s="19">
        <f>AND(IF(EC67="",TRUE,IF(input_faculty_discipline="",FALSE,SUMPRODUCT(--ISNUMBER(SEARCH(","&amp;TRIM(TEXTSPLIT(EC67,","))&amp;",",","&amp;SUBSTITUTE(input_faculty_discipline," ","")&amp;",")))&gt;0)),IF(EE67="",TRUE,IF(input_faculty_discipline="",FALSE,SUMPRODUCT(--ISNUMBER(SEARCH(","&amp;TRIM(TEXTSPLIT(EE67,","))&amp;",",","&amp;SUBSTITUTE(input_faculty_discipline," ","")&amp;",")))=COUNTA(TEXTSPLIT(EE67,",")))),IF(EG67="",TRUE,IF(input_faculty_discipline="",TRUE,SUMPRODUCT(--ISNUMBER(SEARCH(","&amp;TRIM(TEXTSPLIT(EG67,","))&amp;",",","&amp;SUBSTITUTE(input_faculty_discipline," ","")&amp;",")))=0)),IF(EI67="",TRUE,IF(input_faculty_discipline="",FALSE,SUMPRODUCT(--ISNUMBER(SEARCH(","&amp;TRIM(TEXTSPLIT(EI67,","))&amp;",",","&amp;SUBSTITUTE(input_faculty_discipline," ","")&amp;",")))&gt;0)),IF(EK67="",TRUE,IF(input_faculty_discipline="",FALSE,SUMPRODUCT(--ISNUMBER(SEARCH(","&amp;TRIM(TEXTSPLIT(EK67,","))&amp;",",","&amp;SUBSTITUTE(input_faculty_discipline," ","")&amp;",")))=COUNTA(TEXTSPLIT(EK67,",")))))</f>
        <v/>
      </c>
      <c r="JG67" s="19">
        <f>AND(IF(EM67="",TRUE,IF(input_faculty_expertise="",FALSE,SUMPRODUCT(--ISNUMBER(SEARCH(","&amp;TRIM(TEXTSPLIT(EM67,","))&amp;",",","&amp;SUBSTITUTE(input_faculty_expertise," ","")&amp;",")))&gt;0)),IF(EO67="",TRUE,IF(input_faculty_expertise="",FALSE,SUMPRODUCT(--ISNUMBER(SEARCH(","&amp;TRIM(TEXTSPLIT(EO67,","))&amp;",",","&amp;SUBSTITUTE(input_faculty_expertise," ","")&amp;",")))=COUNTA(TEXTSPLIT(EO67,",")))),IF(EQ67="",TRUE,IF(input_faculty_expertise="",TRUE,SUMPRODUCT(--ISNUMBER(SEARCH(","&amp;TRIM(TEXTSPLIT(EQ67,","))&amp;",",","&amp;SUBSTITUTE(input_faculty_expertise," ","")&amp;",")))=0)),IF(ES67="",TRUE,IF(input_faculty_expertise="",FALSE,SUMPRODUCT(--ISNUMBER(SEARCH(","&amp;TRIM(TEXTSPLIT(ES67,","))&amp;",",","&amp;SUBSTITUTE(input_faculty_expertise," ","")&amp;",")))&gt;0)),IF(EU67="",TRUE,IF(input_faculty_expertise="",FALSE,SUMPRODUCT(--ISNUMBER(SEARCH(","&amp;TRIM(TEXTSPLIT(EU67,","))&amp;",",","&amp;SUBSTITUTE(input_faculty_expertise," ","")&amp;",")))=COUNTA(TEXTSPLIT(EU67,",")))))</f>
        <v/>
      </c>
      <c r="JH67" s="19">
        <f>AND(IF(EW67="",TRUE,IF(input_global_network_school="",FALSE,SUMPRODUCT(--ISNUMBER(SEARCH(","&amp;TRIM(TEXTSPLIT(EW67,","))&amp;",",","&amp;SUBSTITUTE(input_global_network_school," ","")&amp;",")))&gt;0)),IF(EY67="",TRUE,IF(input_global_network_school="",FALSE,SUMPRODUCT(--ISNUMBER(SEARCH(","&amp;TRIM(TEXTSPLIT(EY67,","))&amp;",",","&amp;SUBSTITUTE(input_global_network_school," ","")&amp;",")))=COUNTA(TEXTSPLIT(EY67,",")))),IF(FA67="",TRUE,IF(input_global_network_school="",TRUE,SUMPRODUCT(--ISNUMBER(SEARCH(","&amp;TRIM(TEXTSPLIT(FA67,","))&amp;",",","&amp;SUBSTITUTE(input_global_network_school," ","")&amp;",")))=0)),IF(FC67="",TRUE,IF(input_global_network_school="",FALSE,SUMPRODUCT(--ISNUMBER(SEARCH(","&amp;TRIM(TEXTSPLIT(FC67,","))&amp;",",","&amp;SUBSTITUTE(input_global_network_school," ","")&amp;",")))&gt;0)),IF(FE67="",TRUE,IF(input_global_network_school="",FALSE,SUMPRODUCT(--ISNUMBER(SEARCH(","&amp;TRIM(TEXTSPLIT(FE67,","))&amp;",",","&amp;SUBSTITUTE(input_global_network_school," ","")&amp;",")))=COUNTA(TEXTSPLIT(FE67,",")))))</f>
        <v/>
      </c>
      <c r="JI67" s="19">
        <f>AND(IF(FG67="",TRUE,IF(input_industry="",FALSE,SUMPRODUCT(--ISNUMBER(SEARCH(","&amp;TRIM(TEXTSPLIT(FG67,","))&amp;",",","&amp;SUBSTITUTE(input_industry," ","")&amp;",")))&gt;0)),IF(FI67="",TRUE,IF(input_industry="",FALSE,SUMPRODUCT(--ISNUMBER(SEARCH(","&amp;TRIM(TEXTSPLIT(FI67,","))&amp;",",","&amp;SUBSTITUTE(input_industry," ","")&amp;",")))=COUNTA(TEXTSPLIT(FI67,",")))),IF(FK67="",TRUE,IF(input_industry="",TRUE,SUMPRODUCT(--ISNUMBER(SEARCH(","&amp;TRIM(TEXTSPLIT(FK67,","))&amp;",",","&amp;SUBSTITUTE(input_industry," ","")&amp;",")))=0)),IF(FM67="",TRUE,IF(input_industry="",FALSE,SUMPRODUCT(--ISNUMBER(SEARCH(","&amp;TRIM(TEXTSPLIT(FM67,","))&amp;",",","&amp;SUBSTITUTE(input_industry," ","")&amp;",")))&gt;0)),IF(FO67="",TRUE,IF(input_industry="",FALSE,SUMPRODUCT(--ISNUMBER(SEARCH(","&amp;TRIM(TEXTSPLIT(FO67,","))&amp;",",","&amp;SUBSTITUTE(input_industry," ","")&amp;",")))=COUNTA(TEXTSPLIT(FO67,",")))))</f>
        <v/>
      </c>
      <c r="JJ67" s="19">
        <f>AND(IF(FQ67="",TRUE,IF(input_location="",FALSE,SUMPRODUCT(--ISNUMBER(SEARCH(","&amp;TRIM(TEXTSPLIT(FQ67,","))&amp;",",","&amp;SUBSTITUTE(input_location," ","")&amp;",")))&gt;0)),IF(FS67="",TRUE,IF(input_location="",FALSE,SUMPRODUCT(--ISNUMBER(SEARCH(","&amp;TRIM(TEXTSPLIT(FS67,","))&amp;",",","&amp;SUBSTITUTE(input_location," ","")&amp;",")))=COUNTA(TEXTSPLIT(FS67,",")))),IF(FU67="",TRUE,IF(input_location="",TRUE,SUMPRODUCT(--ISNUMBER(SEARCH(","&amp;TRIM(TEXTSPLIT(FU67,","))&amp;",",","&amp;SUBSTITUTE(input_location," ","")&amp;",")))=0)),IF(FW67="",TRUE,IF(input_location="",FALSE,SUMPRODUCT(--ISNUMBER(SEARCH(","&amp;TRIM(TEXTSPLIT(FW67,","))&amp;",",","&amp;SUBSTITUTE(input_location," ","")&amp;",")))&gt;0)),IF(FY67="",TRUE,IF(input_location="",FALSE,SUMPRODUCT(--ISNUMBER(SEARCH(","&amp;TRIM(TEXTSPLIT(FY67,","))&amp;",",","&amp;SUBSTITUTE(input_location," ","")&amp;",")))=COUNTA(TEXTSPLIT(FY67,",")))))</f>
        <v/>
      </c>
      <c r="JK67" s="19">
        <f>AND(IF(GA67="",TRUE,IF(input_modality="",FALSE,SUMPRODUCT(--ISNUMBER(SEARCH(","&amp;TRIM(TEXTSPLIT(GA67,","))&amp;",",","&amp;SUBSTITUTE(input_modality," ","")&amp;",")))&gt;0)),IF(GC67="",TRUE,IF(input_modality="",FALSE,SUMPRODUCT(--ISNUMBER(SEARCH(","&amp;TRIM(TEXTSPLIT(GC67,","))&amp;",",","&amp;SUBSTITUTE(input_modality," ","")&amp;",")))=COUNTA(TEXTSPLIT(GC67,",")))),IF(GE67="",TRUE,IF(input_modality="",TRUE,SUMPRODUCT(--ISNUMBER(SEARCH(","&amp;TRIM(TEXTSPLIT(GE67,","))&amp;",",","&amp;SUBSTITUTE(input_modality," ","")&amp;",")))=0)),IF(GG67="",TRUE,IF(input_modality="",FALSE,SUMPRODUCT(--ISNUMBER(SEARCH(","&amp;TRIM(TEXTSPLIT(GG67,","))&amp;",",","&amp;SUBSTITUTE(input_modality," ","")&amp;",")))&gt;0)),IF(GI67="",TRUE,IF(input_modality="",FALSE,SUMPRODUCT(--ISNUMBER(SEARCH(","&amp;TRIM(TEXTSPLIT(GI67,","))&amp;",",","&amp;SUBSTITUTE(input_modality," ","")&amp;",")))=COUNTA(TEXTSPLIT(GI67,",")))))</f>
        <v/>
      </c>
      <c r="JL67" s="19">
        <f>AND(IF(GK67="",TRUE,IF(input_organizer="",FALSE,SUMPRODUCT(--ISNUMBER(SEARCH(","&amp;TRIM(TEXTSPLIT(GK67,","))&amp;",",","&amp;SUBSTITUTE(input_organizer," ","")&amp;",")))&gt;0)),IF(GM67="",TRUE,IF(input_organizer="",FALSE,SUMPRODUCT(--ISNUMBER(SEARCH(","&amp;TRIM(TEXTSPLIT(GM67,","))&amp;",",","&amp;SUBSTITUTE(input_organizer," ","")&amp;",")))=COUNTA(TEXTSPLIT(GM67,",")))),IF(GO67="",TRUE,IF(input_organizer="",TRUE,SUMPRODUCT(--ISNUMBER(SEARCH(","&amp;TRIM(TEXTSPLIT(GO67,","))&amp;",",","&amp;SUBSTITUTE(input_organizer," ","")&amp;",")))=0)),IF(GQ67="",TRUE,IF(input_organizer="",FALSE,SUMPRODUCT(--ISNUMBER(SEARCH(","&amp;TRIM(TEXTSPLIT(GQ67,","))&amp;",",","&amp;SUBSTITUTE(input_organizer," ","")&amp;",")))&gt;0)),IF(GS67="",TRUE,IF(input_organizer="",FALSE,SUMPRODUCT(--ISNUMBER(SEARCH(","&amp;TRIM(TEXTSPLIT(GS67,","))&amp;",",","&amp;SUBSTITUTE(input_organizer," ","")&amp;",")))=COUNTA(TEXTSPLIT(GS67,",")))))</f>
        <v/>
      </c>
      <c r="JM67" s="19">
        <f>AND(IF(GU67="",TRUE,IF(input_profile_type="",FALSE,SUMPRODUCT(--ISNUMBER(SEARCH(","&amp;TRIM(TEXTSPLIT(GU67,","))&amp;",",","&amp;SUBSTITUTE(input_profile_type," ","")&amp;",")))&gt;0)),IF(GW67="",TRUE,IF(input_profile_type="",FALSE,SUMPRODUCT(--ISNUMBER(SEARCH(","&amp;TRIM(TEXTSPLIT(GW67,","))&amp;",",","&amp;SUBSTITUTE(input_profile_type," ","")&amp;",")))=COUNTA(TEXTSPLIT(GW67,",")))),IF(GY67="",TRUE,IF(input_profile_type="",TRUE,SUMPRODUCT(--ISNUMBER(SEARCH(","&amp;TRIM(TEXTSPLIT(GY67,","))&amp;",",","&amp;SUBSTITUTE(input_profile_type," ","")&amp;",")))=0)),IF(HA67="",TRUE,IF(input_profile_type="",FALSE,SUMPRODUCT(--ISNUMBER(SEARCH(","&amp;TRIM(TEXTSPLIT(HA67,","))&amp;",",","&amp;SUBSTITUTE(input_profile_type," ","")&amp;",")))&gt;0)),IF(HC67="",TRUE,IF(input_profile_type="",FALSE,SUMPRODUCT(--ISNUMBER(SEARCH(","&amp;TRIM(TEXTSPLIT(HC67,","))&amp;",",","&amp;SUBSTITUTE(input_profile_type," ","")&amp;",")))=COUNTA(TEXTSPLIT(HC67,",")))))</f>
        <v/>
      </c>
      <c r="JN67" s="19">
        <f>AND(IF(HE67="",TRUE,IF(input_program="",FALSE,SUMPRODUCT(--ISNUMBER(SEARCH(","&amp;TRIM(TEXTSPLIT(HE67,","))&amp;",",","&amp;SUBSTITUTE(input_program," ","")&amp;",")))&gt;0)),IF(HG67="",TRUE,IF(input_program="",FALSE,SUMPRODUCT(--ISNUMBER(SEARCH(","&amp;TRIM(TEXTSPLIT(HG67,","))&amp;",",","&amp;SUBSTITUTE(input_program," ","")&amp;",")))=COUNTA(TEXTSPLIT(HG67,",")))),IF(HI67="",TRUE,IF(input_program="",TRUE,SUMPRODUCT(--ISNUMBER(SEARCH(","&amp;TRIM(TEXTSPLIT(HI67,","))&amp;",",","&amp;SUBSTITUTE(input_program," ","")&amp;",")))=0)),IF(HK67="",TRUE,IF(input_program="",FALSE,SUMPRODUCT(--ISNUMBER(SEARCH(","&amp;TRIM(TEXTSPLIT(HK67,","))&amp;",",","&amp;SUBSTITUTE(input_program," ","")&amp;",")))&gt;0)),IF(HM67="",TRUE,IF(input_program="",FALSE,SUMPRODUCT(--ISNUMBER(SEARCH(","&amp;TRIM(TEXTSPLIT(HM67,","))&amp;",",","&amp;SUBSTITUTE(input_program," ","")&amp;",")))=COUNTA(TEXTSPLIT(HM67,",")))))</f>
        <v/>
      </c>
      <c r="JO67" s="19">
        <f>AND(IF(HO67="",TRUE,IF(input_story_categories="",FALSE,SUMPRODUCT(--ISNUMBER(SEARCH(","&amp;TRIM(TEXTSPLIT(HO67,","))&amp;",",","&amp;SUBSTITUTE(input_story_categories," ","")&amp;",")))&gt;0)),IF(HQ67="",TRUE,IF(input_story_categories="",FALSE,SUMPRODUCT(--ISNUMBER(SEARCH(","&amp;TRIM(TEXTSPLIT(HQ67,","))&amp;",",","&amp;SUBSTITUTE(input_story_categories," ","")&amp;",")))=COUNTA(TEXTSPLIT(HQ67,",")))),IF(HS67="",TRUE,IF(input_story_categories="",TRUE,SUMPRODUCT(--ISNUMBER(SEARCH(","&amp;TRIM(TEXTSPLIT(HS67,","))&amp;",",","&amp;SUBSTITUTE(input_story_categories," ","")&amp;",")))=0)),IF(HU67="",TRUE,IF(input_story_categories="",FALSE,SUMPRODUCT(--ISNUMBER(SEARCH(","&amp;TRIM(TEXTSPLIT(HU67,","))&amp;",",","&amp;SUBSTITUTE(input_story_categories," ","")&amp;",")))&gt;0)),IF(HW67="",TRUE,IF(input_story_categories="",FALSE,SUMPRODUCT(--ISNUMBER(SEARCH(","&amp;TRIM(TEXTSPLIT(HW67,","))&amp;",",","&amp;SUBSTITUTE(input_story_categories," ","")&amp;",")))=COUNTA(TEXTSPLIT(HW67,",")))))</f>
        <v/>
      </c>
      <c r="JP67" s="19">
        <f>AND(IF(HY67="",TRUE,IF(input_story_type="",FALSE,SUMPRODUCT(--ISNUMBER(SEARCH(","&amp;TRIM(TEXTSPLIT(HY67,","))&amp;",",","&amp;SUBSTITUTE(input_story_type," ","")&amp;",")))&gt;0)),IF(IA67="",TRUE,IF(input_story_type="",FALSE,SUMPRODUCT(--ISNUMBER(SEARCH(","&amp;TRIM(TEXTSPLIT(IA67,","))&amp;",",","&amp;SUBSTITUTE(input_story_type," ","")&amp;",")))=COUNTA(TEXTSPLIT(IA67,",")))),IF(IC67="",TRUE,IF(input_story_type="",TRUE,SUMPRODUCT(--ISNUMBER(SEARCH(","&amp;TRIM(TEXTSPLIT(IC67,","))&amp;",",","&amp;SUBSTITUTE(input_story_type," ","")&amp;",")))=0)),IF(IE67="",TRUE,IF(input_story_type="",FALSE,SUMPRODUCT(--ISNUMBER(SEARCH(","&amp;TRIM(TEXTSPLIT(IE67,","))&amp;",",","&amp;SUBSTITUTE(input_story_type," ","")&amp;",")))&gt;0)),IF(IG67="",TRUE,IF(input_story_type="",FALSE,SUMPRODUCT(--ISNUMBER(SEARCH(","&amp;TRIM(TEXTSPLIT(IG67,","))&amp;",",","&amp;SUBSTITUTE(input_story_type," ","")&amp;",")))=COUNTA(TEXTSPLIT(IG67,",")))))</f>
        <v/>
      </c>
      <c r="JQ67" s="19">
        <f>AND(IF(II67="",TRUE,IF(input_topics="",FALSE,SUMPRODUCT(--ISNUMBER(SEARCH(","&amp;TRIM(TEXTSPLIT(II67,","))&amp;",",","&amp;SUBSTITUTE(input_topics," ","")&amp;",")))&gt;0)),IF(IK67="",TRUE,IF(input_topics="",FALSE,SUMPRODUCT(--ISNUMBER(SEARCH(","&amp;TRIM(TEXTSPLIT(IK67,","))&amp;",",","&amp;SUBSTITUTE(input_topics," ","")&amp;",")))=COUNTA(TEXTSPLIT(IK67,",")))),IF(IM67="",TRUE,IF(input_topics="",TRUE,SUMPRODUCT(--ISNUMBER(SEARCH(","&amp;TRIM(TEXTSPLIT(IM67,","))&amp;",",","&amp;SUBSTITUTE(input_topics," ","")&amp;",")))=0)),IF(IO67="",TRUE,IF(input_topics="",FALSE,SUMPRODUCT(--ISNUMBER(SEARCH(","&amp;TRIM(TEXTSPLIT(IO67,","))&amp;",",","&amp;SUBSTITUTE(input_topics," ","")&amp;",")))&gt;0)),IF(IQ67="",TRUE,IF(input_topics="",FALSE,SUMPRODUCT(--ISNUMBER(SEARCH(","&amp;TRIM(TEXTSPLIT(IQ67,","))&amp;",",","&amp;SUBSTITUTE(input_topics," ","")&amp;",")))=COUNTA(TEXTSPLIT(IQ67,",")))))</f>
        <v/>
      </c>
    </row>
    <row r="68">
      <c r="A68" s="24">
        <f>IF(NOT(IS68),"Excluded",IF(AND(IT68,IU68,IV68,IW68,IX68,IY68,IZ68,JA68,JB68,JC68,JD68,JE68,JF68,JG68,JH68,JI68,JJ68,JK68,JL68,JM68,JN68,JO68,JP68,JQ68),IF(I68&gt;0,"Eligible but limited","Will appear"),"Excluded"))</f>
        <v/>
      </c>
      <c r="B68" s="24" t="inlineStr">
        <is>
          <t>All stories</t>
        </is>
      </c>
      <c r="C68" s="27" t="inlineStr">
        <is>
          <t>/the-som-experience</t>
        </is>
      </c>
      <c r="D68" s="24" t="inlineStr">
        <is>
          <t>/the-som-experience</t>
        </is>
      </c>
      <c r="E68" s="24" t="n">
        <v>1</v>
      </c>
      <c r="F68" s="24" t="inlineStr">
        <is>
          <t>story</t>
        </is>
      </c>
      <c r="G68" s="24" t="inlineStr">
        <is>
          <t>stories_teaser_cards</t>
        </is>
      </c>
      <c r="H68" s="24" t="inlineStr">
        <is>
          <t>embed_all</t>
        </is>
      </c>
      <c r="I68" s="24" t="n">
        <v>3</v>
      </c>
      <c r="J68" s="24" t="inlineStr">
        <is>
          <t>View/config rules</t>
        </is>
      </c>
      <c r="K68" s="24" t="inlineStr">
        <is>
          <t>Page placement</t>
        </is>
      </c>
      <c r="L68" s="24" t="inlineStr">
        <is>
          <t>Content type: story; Limited to 3 item(s); Source: View/config rules</t>
        </is>
      </c>
      <c r="IS68" s="19">
        <f>IF(input_content_type="",FALSE,ISNUMBER(SEARCH(","&amp;LOWER(input_content_type)&amp;",",","&amp;LOWER(SUBSTITUTE(F68," ",""))&amp;",")))</f>
        <v/>
      </c>
      <c r="IT68" s="19">
        <f>AND(IF(M68="",TRUE,IF(input_affiliations="",FALSE,SUMPRODUCT(--ISNUMBER(SEARCH(","&amp;TRIM(TEXTSPLIT(M68,","))&amp;",",","&amp;SUBSTITUTE(input_affiliations," ","")&amp;",")))&gt;0)),IF(O68="",TRUE,IF(input_affiliations="",FALSE,SUMPRODUCT(--ISNUMBER(SEARCH(","&amp;TRIM(TEXTSPLIT(O68,","))&amp;",",","&amp;SUBSTITUTE(input_affiliations," ","")&amp;",")))=COUNTA(TEXTSPLIT(O68,",")))),IF(Q68="",TRUE,IF(input_affiliations="",TRUE,SUMPRODUCT(--ISNUMBER(SEARCH(","&amp;TRIM(TEXTSPLIT(Q68,","))&amp;",",","&amp;SUBSTITUTE(input_affiliations," ","")&amp;",")))=0)),IF(S68="",TRUE,IF(input_affiliations="",FALSE,SUMPRODUCT(--ISNUMBER(SEARCH(","&amp;TRIM(TEXTSPLIT(S68,","))&amp;",",","&amp;SUBSTITUTE(input_affiliations," ","")&amp;",")))&gt;0)),IF(U68="",TRUE,IF(input_affiliations="",FALSE,SUMPRODUCT(--ISNUMBER(SEARCH(","&amp;TRIM(TEXTSPLIT(U68,","))&amp;",",","&amp;SUBSTITUTE(input_affiliations," ","")&amp;",")))=COUNTA(TEXTSPLIT(U68,",")))))</f>
        <v/>
      </c>
      <c r="IU68" s="19">
        <f>AND(IF(W68="",TRUE,IF(input_announcement_category="",FALSE,SUMPRODUCT(--ISNUMBER(SEARCH(","&amp;TRIM(TEXTSPLIT(W68,","))&amp;",",","&amp;SUBSTITUTE(input_announcement_category," ","")&amp;",")))&gt;0)),IF(Y68="",TRUE,IF(input_announcement_category="",FALSE,SUMPRODUCT(--ISNUMBER(SEARCH(","&amp;TRIM(TEXTSPLIT(Y68,","))&amp;",",","&amp;SUBSTITUTE(input_announcement_category," ","")&amp;",")))=COUNTA(TEXTSPLIT(Y68,",")))),IF(AA68="",TRUE,IF(input_announcement_category="",TRUE,SUMPRODUCT(--ISNUMBER(SEARCH(","&amp;TRIM(TEXTSPLIT(AA68,","))&amp;",",","&amp;SUBSTITUTE(input_announcement_category," ","")&amp;",")))=0)),IF(AC68="",TRUE,IF(input_announcement_category="",FALSE,SUMPRODUCT(--ISNUMBER(SEARCH(","&amp;TRIM(TEXTSPLIT(AC68,","))&amp;",",","&amp;SUBSTITUTE(input_announcement_category," ","")&amp;",")))&gt;0)),IF(AE68="",TRUE,IF(input_announcement_category="",FALSE,SUMPRODUCT(--ISNUMBER(SEARCH(","&amp;TRIM(TEXTSPLIT(AE68,","))&amp;",",","&amp;SUBSTITUTE(input_announcement_category," ","")&amp;",")))=COUNTA(TEXTSPLIT(AE68,",")))))</f>
        <v/>
      </c>
      <c r="IV68" s="19">
        <f>AND(IF(AG68="",TRUE,IF(input_area_of_focus="",FALSE,SUMPRODUCT(--ISNUMBER(SEARCH(","&amp;TRIM(TEXTSPLIT(AG68,","))&amp;",",","&amp;SUBSTITUTE(input_area_of_focus," ","")&amp;",")))&gt;0)),IF(AI68="",TRUE,IF(input_area_of_focus="",FALSE,SUMPRODUCT(--ISNUMBER(SEARCH(","&amp;TRIM(TEXTSPLIT(AI68,","))&amp;",",","&amp;SUBSTITUTE(input_area_of_focus," ","")&amp;",")))=COUNTA(TEXTSPLIT(AI68,",")))),IF(AK68="",TRUE,IF(input_area_of_focus="",TRUE,SUMPRODUCT(--ISNUMBER(SEARCH(","&amp;TRIM(TEXTSPLIT(AK68,","))&amp;",",","&amp;SUBSTITUTE(input_area_of_focus," ","")&amp;",")))=0)),IF(AM68="",TRUE,IF(input_area_of_focus="",FALSE,SUMPRODUCT(--ISNUMBER(SEARCH(","&amp;TRIM(TEXTSPLIT(AM68,","))&amp;",",","&amp;SUBSTITUTE(input_area_of_focus," ","")&amp;",")))&gt;0)),IF(AO68="",TRUE,IF(input_area_of_focus="",FALSE,SUMPRODUCT(--ISNUMBER(SEARCH(","&amp;TRIM(TEXTSPLIT(AO68,","))&amp;",",","&amp;SUBSTITUTE(input_area_of_focus," ","")&amp;",")))=COUNTA(TEXTSPLIT(AO68,",")))))</f>
        <v/>
      </c>
      <c r="IW68" s="19">
        <f>AND(IF(AQ68="",TRUE,IF(input_audience="",FALSE,SUMPRODUCT(--ISNUMBER(SEARCH(","&amp;TRIM(TEXTSPLIT(AQ68,","))&amp;",",","&amp;SUBSTITUTE(input_audience," ","")&amp;",")))&gt;0)),IF(AS68="",TRUE,IF(input_audience="",FALSE,SUMPRODUCT(--ISNUMBER(SEARCH(","&amp;TRIM(TEXTSPLIT(AS68,","))&amp;",",","&amp;SUBSTITUTE(input_audience," ","")&amp;",")))=COUNTA(TEXTSPLIT(AS68,",")))),IF(AU68="",TRUE,IF(input_audience="",TRUE,SUMPRODUCT(--ISNUMBER(SEARCH(","&amp;TRIM(TEXTSPLIT(AU68,","))&amp;",",","&amp;SUBSTITUTE(input_audience," ","")&amp;",")))=0)),IF(AW68="",TRUE,IF(input_audience="",FALSE,SUMPRODUCT(--ISNUMBER(SEARCH(","&amp;TRIM(TEXTSPLIT(AW68,","))&amp;",",","&amp;SUBSTITUTE(input_audience," ","")&amp;",")))&gt;0)),IF(AY68="",TRUE,IF(input_audience="",FALSE,SUMPRODUCT(--ISNUMBER(SEARCH(","&amp;TRIM(TEXTSPLIT(AY68,","))&amp;",",","&amp;SUBSTITUTE(input_audience," ","")&amp;",")))=COUNTA(TEXTSPLIT(AY68,",")))))</f>
        <v/>
      </c>
      <c r="IX68" s="19">
        <f>AND(IF(BA68="",TRUE,IF(input_challenge_opportunities="",FALSE,SUMPRODUCT(--ISNUMBER(SEARCH(","&amp;TRIM(TEXTSPLIT(BA68,","))&amp;",",","&amp;SUBSTITUTE(input_challenge_opportunities," ","")&amp;",")))&gt;0)),IF(BC68="",TRUE,IF(input_challenge_opportunities="",FALSE,SUMPRODUCT(--ISNUMBER(SEARCH(","&amp;TRIM(TEXTSPLIT(BC68,","))&amp;",",","&amp;SUBSTITUTE(input_challenge_opportunities," ","")&amp;",")))=COUNTA(TEXTSPLIT(BC68,",")))),IF(BE68="",TRUE,IF(input_challenge_opportunities="",TRUE,SUMPRODUCT(--ISNUMBER(SEARCH(","&amp;TRIM(TEXTSPLIT(BE68,","))&amp;",",","&amp;SUBSTITUTE(input_challenge_opportunities," ","")&amp;",")))=0)),IF(BG68="",TRUE,IF(input_challenge_opportunities="",FALSE,SUMPRODUCT(--ISNUMBER(SEARCH(","&amp;TRIM(TEXTSPLIT(BG68,","))&amp;",",","&amp;SUBSTITUTE(input_challenge_opportunities," ","")&amp;",")))&gt;0)),IF(BI68="",TRUE,IF(input_challenge_opportunities="",FALSE,SUMPRODUCT(--ISNUMBER(SEARCH(","&amp;TRIM(TEXTSPLIT(BI68,","))&amp;",",","&amp;SUBSTITUTE(input_challenge_opportunities," ","")&amp;",")))=COUNTA(TEXTSPLIT(BI68,",")))))</f>
        <v/>
      </c>
      <c r="IY68" s="19">
        <f>AND(IF(BK68="",TRUE,IF(input_context="",FALSE,SUMPRODUCT(--ISNUMBER(SEARCH(","&amp;TRIM(TEXTSPLIT(BK68,","))&amp;",",","&amp;SUBSTITUTE(input_context," ","")&amp;",")))&gt;0)),IF(BM68="",TRUE,IF(input_context="",FALSE,SUMPRODUCT(--ISNUMBER(SEARCH(","&amp;TRIM(TEXTSPLIT(BM68,","))&amp;",",","&amp;SUBSTITUTE(input_context," ","")&amp;",")))=COUNTA(TEXTSPLIT(BM68,",")))),IF(BO68="",TRUE,IF(input_context="",TRUE,SUMPRODUCT(--ISNUMBER(SEARCH(","&amp;TRIM(TEXTSPLIT(BO68,","))&amp;",",","&amp;SUBSTITUTE(input_context," ","")&amp;",")))=0)),IF(BQ68="",TRUE,IF(input_context="",FALSE,SUMPRODUCT(--ISNUMBER(SEARCH(","&amp;TRIM(TEXTSPLIT(BQ68,","))&amp;",",","&amp;SUBSTITUTE(input_context," ","")&amp;",")))&gt;0)),IF(BS68="",TRUE,IF(input_context="",FALSE,SUMPRODUCT(--ISNUMBER(SEARCH(","&amp;TRIM(TEXTSPLIT(BS68,","))&amp;",",","&amp;SUBSTITUTE(input_context," ","")&amp;",")))=COUNTA(TEXTSPLIT(BS68,",")))))</f>
        <v/>
      </c>
      <c r="IZ68" s="19">
        <f>AND(IF(BU68="",TRUE,IF(input_enews_announcement_type="",FALSE,SUMPRODUCT(--ISNUMBER(SEARCH(","&amp;TRIM(TEXTSPLIT(BU68,","))&amp;",",","&amp;SUBSTITUTE(input_enews_announcement_type," ","")&amp;",")))&gt;0)),IF(BW68="",TRUE,IF(input_enews_announcement_type="",FALSE,SUMPRODUCT(--ISNUMBER(SEARCH(","&amp;TRIM(TEXTSPLIT(BW68,","))&amp;",",","&amp;SUBSTITUTE(input_enews_announcement_type," ","")&amp;",")))=COUNTA(TEXTSPLIT(BW68,",")))),IF(BY68="",TRUE,IF(input_enews_announcement_type="",TRUE,SUMPRODUCT(--ISNUMBER(SEARCH(","&amp;TRIM(TEXTSPLIT(BY68,","))&amp;",",","&amp;SUBSTITUTE(input_enews_announcement_type," ","")&amp;",")))=0)),IF(CA68="",TRUE,IF(input_enews_announcement_type="",FALSE,SUMPRODUCT(--ISNUMBER(SEARCH(","&amp;TRIM(TEXTSPLIT(CA68,","))&amp;",",","&amp;SUBSTITUTE(input_enews_announcement_type," ","")&amp;",")))&gt;0)),IF(CC68="",TRUE,IF(input_enews_announcement_type="",FALSE,SUMPRODUCT(--ISNUMBER(SEARCH(","&amp;TRIM(TEXTSPLIT(CC68,","))&amp;",",","&amp;SUBSTITUTE(input_enews_announcement_type," ","")&amp;",")))=COUNTA(TEXTSPLIT(CC68,",")))))</f>
        <v/>
      </c>
      <c r="JA68" s="19">
        <f>AND(IF(CE68="",TRUE,IF(input_enews_audience="",FALSE,SUMPRODUCT(--ISNUMBER(SEARCH(","&amp;TRIM(TEXTSPLIT(CE68,","))&amp;",",","&amp;SUBSTITUTE(input_enews_audience," ","")&amp;",")))&gt;0)),IF(CG68="",TRUE,IF(input_enews_audience="",FALSE,SUMPRODUCT(--ISNUMBER(SEARCH(","&amp;TRIM(TEXTSPLIT(CG68,","))&amp;",",","&amp;SUBSTITUTE(input_enews_audience," ","")&amp;",")))=COUNTA(TEXTSPLIT(CG68,",")))),IF(CI68="",TRUE,IF(input_enews_audience="",TRUE,SUMPRODUCT(--ISNUMBER(SEARCH(","&amp;TRIM(TEXTSPLIT(CI68,","))&amp;",",","&amp;SUBSTITUTE(input_enews_audience," ","")&amp;",")))=0)),IF(CK68="",TRUE,IF(input_enews_audience="",FALSE,SUMPRODUCT(--ISNUMBER(SEARCH(","&amp;TRIM(TEXTSPLIT(CK68,","))&amp;",",","&amp;SUBSTITUTE(input_enews_audience," ","")&amp;",")))&gt;0)),IF(CM68="",TRUE,IF(input_enews_audience="",FALSE,SUMPRODUCT(--ISNUMBER(SEARCH(","&amp;TRIM(TEXTSPLIT(CM68,","))&amp;",",","&amp;SUBSTITUTE(input_enews_audience," ","")&amp;",")))=COUNTA(TEXTSPLIT(CM68,",")))))</f>
        <v/>
      </c>
      <c r="JB68" s="19">
        <f>AND(IF(CO68="",TRUE,IF(input_event_location="",FALSE,SUMPRODUCT(--ISNUMBER(SEARCH(","&amp;TRIM(TEXTSPLIT(CO68,","))&amp;",",","&amp;SUBSTITUTE(input_event_location," ","")&amp;",")))&gt;0)),IF(CQ68="",TRUE,IF(input_event_location="",FALSE,SUMPRODUCT(--ISNUMBER(SEARCH(","&amp;TRIM(TEXTSPLIT(CQ68,","))&amp;",",","&amp;SUBSTITUTE(input_event_location," ","")&amp;",")))=COUNTA(TEXTSPLIT(CQ68,",")))),IF(CS68="",TRUE,IF(input_event_location="",TRUE,SUMPRODUCT(--ISNUMBER(SEARCH(","&amp;TRIM(TEXTSPLIT(CS68,","))&amp;",",","&amp;SUBSTITUTE(input_event_location," ","")&amp;",")))=0)),IF(CU68="",TRUE,IF(input_event_location="",FALSE,SUMPRODUCT(--ISNUMBER(SEARCH(","&amp;TRIM(TEXTSPLIT(CU68,","))&amp;",",","&amp;SUBSTITUTE(input_event_location," ","")&amp;",")))&gt;0)),IF(CW68="",TRUE,IF(input_event_location="",FALSE,SUMPRODUCT(--ISNUMBER(SEARCH(","&amp;TRIM(TEXTSPLIT(CW68,","))&amp;",",","&amp;SUBSTITUTE(input_event_location," ","")&amp;",")))=COUNTA(TEXTSPLIT(CW68,",")))))</f>
        <v/>
      </c>
      <c r="JC68" s="19">
        <f>AND(IF(CY68="",TRUE,IF(input_event_type="",FALSE,SUMPRODUCT(--ISNUMBER(SEARCH(","&amp;TRIM(TEXTSPLIT(CY68,","))&amp;",",","&amp;SUBSTITUTE(input_event_type," ","")&amp;",")))&gt;0)),IF(DA68="",TRUE,IF(input_event_type="",FALSE,SUMPRODUCT(--ISNUMBER(SEARCH(","&amp;TRIM(TEXTSPLIT(DA68,","))&amp;",",","&amp;SUBSTITUTE(input_event_type," ","")&amp;",")))=COUNTA(TEXTSPLIT(DA68,",")))),IF(DC68="",TRUE,IF(input_event_type="",TRUE,SUMPRODUCT(--ISNUMBER(SEARCH(","&amp;TRIM(TEXTSPLIT(DC68,","))&amp;",",","&amp;SUBSTITUTE(input_event_type," ","")&amp;",")))=0)),IF(DE68="",TRUE,IF(input_event_type="",FALSE,SUMPRODUCT(--ISNUMBER(SEARCH(","&amp;TRIM(TEXTSPLIT(DE68,","))&amp;",",","&amp;SUBSTITUTE(input_event_type," ","")&amp;",")))&gt;0)),IF(DG68="",TRUE,IF(input_event_type="",FALSE,SUMPRODUCT(--ISNUMBER(SEARCH(","&amp;TRIM(TEXTSPLIT(DG68,","))&amp;",",","&amp;SUBSTITUTE(input_event_type," ","")&amp;",")))=COUNTA(TEXTSPLIT(DG68,",")))))</f>
        <v/>
      </c>
      <c r="JD68" s="19">
        <f>AND(IF(DI68="",TRUE,IF(input_executive_education_focus="",FALSE,SUMPRODUCT(--ISNUMBER(SEARCH(","&amp;TRIM(TEXTSPLIT(DI68,","))&amp;",",","&amp;SUBSTITUTE(input_executive_education_focus," ","")&amp;",")))&gt;0)),IF(DK68="",TRUE,IF(input_executive_education_focus="",FALSE,SUMPRODUCT(--ISNUMBER(SEARCH(","&amp;TRIM(TEXTSPLIT(DK68,","))&amp;",",","&amp;SUBSTITUTE(input_executive_education_focus," ","")&amp;",")))=COUNTA(TEXTSPLIT(DK68,",")))),IF(DM68="",TRUE,IF(input_executive_education_focus="",TRUE,SUMPRODUCT(--ISNUMBER(SEARCH(","&amp;TRIM(TEXTSPLIT(DM68,","))&amp;",",","&amp;SUBSTITUTE(input_executive_education_focus," ","")&amp;",")))=0)),IF(DO68="",TRUE,IF(input_executive_education_focus="",FALSE,SUMPRODUCT(--ISNUMBER(SEARCH(","&amp;TRIM(TEXTSPLIT(DO68,","))&amp;",",","&amp;SUBSTITUTE(input_executive_education_focus," ","")&amp;",")))&gt;0)),IF(DQ68="",TRUE,IF(input_executive_education_focus="",FALSE,SUMPRODUCT(--ISNUMBER(SEARCH(","&amp;TRIM(TEXTSPLIT(DQ68,","))&amp;",",","&amp;SUBSTITUTE(input_executive_education_focus," ","")&amp;",")))=COUNTA(TEXTSPLIT(DQ68,",")))))</f>
        <v/>
      </c>
      <c r="JE68" s="19">
        <f>AND(IF(DS68="",TRUE,IF(input_faculty_category="",FALSE,SUMPRODUCT(--ISNUMBER(SEARCH(","&amp;TRIM(TEXTSPLIT(DS68,","))&amp;",",","&amp;SUBSTITUTE(input_faculty_category," ","")&amp;",")))&gt;0)),IF(DU68="",TRUE,IF(input_faculty_category="",FALSE,SUMPRODUCT(--ISNUMBER(SEARCH(","&amp;TRIM(TEXTSPLIT(DU68,","))&amp;",",","&amp;SUBSTITUTE(input_faculty_category," ","")&amp;",")))=COUNTA(TEXTSPLIT(DU68,",")))),IF(DW68="",TRUE,IF(input_faculty_category="",TRUE,SUMPRODUCT(--ISNUMBER(SEARCH(","&amp;TRIM(TEXTSPLIT(DW68,","))&amp;",",","&amp;SUBSTITUTE(input_faculty_category," ","")&amp;",")))=0)),IF(DY68="",TRUE,IF(input_faculty_category="",FALSE,SUMPRODUCT(--ISNUMBER(SEARCH(","&amp;TRIM(TEXTSPLIT(DY68,","))&amp;",",","&amp;SUBSTITUTE(input_faculty_category," ","")&amp;",")))&gt;0)),IF(EA68="",TRUE,IF(input_faculty_category="",FALSE,SUMPRODUCT(--ISNUMBER(SEARCH(","&amp;TRIM(TEXTSPLIT(EA68,","))&amp;",",","&amp;SUBSTITUTE(input_faculty_category," ","")&amp;",")))=COUNTA(TEXTSPLIT(EA68,",")))))</f>
        <v/>
      </c>
      <c r="JF68" s="19">
        <f>AND(IF(EC68="",TRUE,IF(input_faculty_discipline="",FALSE,SUMPRODUCT(--ISNUMBER(SEARCH(","&amp;TRIM(TEXTSPLIT(EC68,","))&amp;",",","&amp;SUBSTITUTE(input_faculty_discipline," ","")&amp;",")))&gt;0)),IF(EE68="",TRUE,IF(input_faculty_discipline="",FALSE,SUMPRODUCT(--ISNUMBER(SEARCH(","&amp;TRIM(TEXTSPLIT(EE68,","))&amp;",",","&amp;SUBSTITUTE(input_faculty_discipline," ","")&amp;",")))=COUNTA(TEXTSPLIT(EE68,",")))),IF(EG68="",TRUE,IF(input_faculty_discipline="",TRUE,SUMPRODUCT(--ISNUMBER(SEARCH(","&amp;TRIM(TEXTSPLIT(EG68,","))&amp;",",","&amp;SUBSTITUTE(input_faculty_discipline," ","")&amp;",")))=0)),IF(EI68="",TRUE,IF(input_faculty_discipline="",FALSE,SUMPRODUCT(--ISNUMBER(SEARCH(","&amp;TRIM(TEXTSPLIT(EI68,","))&amp;",",","&amp;SUBSTITUTE(input_faculty_discipline," ","")&amp;",")))&gt;0)),IF(EK68="",TRUE,IF(input_faculty_discipline="",FALSE,SUMPRODUCT(--ISNUMBER(SEARCH(","&amp;TRIM(TEXTSPLIT(EK68,","))&amp;",",","&amp;SUBSTITUTE(input_faculty_discipline," ","")&amp;",")))=COUNTA(TEXTSPLIT(EK68,",")))))</f>
        <v/>
      </c>
      <c r="JG68" s="19">
        <f>AND(IF(EM68="",TRUE,IF(input_faculty_expertise="",FALSE,SUMPRODUCT(--ISNUMBER(SEARCH(","&amp;TRIM(TEXTSPLIT(EM68,","))&amp;",",","&amp;SUBSTITUTE(input_faculty_expertise," ","")&amp;",")))&gt;0)),IF(EO68="",TRUE,IF(input_faculty_expertise="",FALSE,SUMPRODUCT(--ISNUMBER(SEARCH(","&amp;TRIM(TEXTSPLIT(EO68,","))&amp;",",","&amp;SUBSTITUTE(input_faculty_expertise," ","")&amp;",")))=COUNTA(TEXTSPLIT(EO68,",")))),IF(EQ68="",TRUE,IF(input_faculty_expertise="",TRUE,SUMPRODUCT(--ISNUMBER(SEARCH(","&amp;TRIM(TEXTSPLIT(EQ68,","))&amp;",",","&amp;SUBSTITUTE(input_faculty_expertise," ","")&amp;",")))=0)),IF(ES68="",TRUE,IF(input_faculty_expertise="",FALSE,SUMPRODUCT(--ISNUMBER(SEARCH(","&amp;TRIM(TEXTSPLIT(ES68,","))&amp;",",","&amp;SUBSTITUTE(input_faculty_expertise," ","")&amp;",")))&gt;0)),IF(EU68="",TRUE,IF(input_faculty_expertise="",FALSE,SUMPRODUCT(--ISNUMBER(SEARCH(","&amp;TRIM(TEXTSPLIT(EU68,","))&amp;",",","&amp;SUBSTITUTE(input_faculty_expertise," ","")&amp;",")))=COUNTA(TEXTSPLIT(EU68,",")))))</f>
        <v/>
      </c>
      <c r="JH68" s="19">
        <f>AND(IF(EW68="",TRUE,IF(input_global_network_school="",FALSE,SUMPRODUCT(--ISNUMBER(SEARCH(","&amp;TRIM(TEXTSPLIT(EW68,","))&amp;",",","&amp;SUBSTITUTE(input_global_network_school," ","")&amp;",")))&gt;0)),IF(EY68="",TRUE,IF(input_global_network_school="",FALSE,SUMPRODUCT(--ISNUMBER(SEARCH(","&amp;TRIM(TEXTSPLIT(EY68,","))&amp;",",","&amp;SUBSTITUTE(input_global_network_school," ","")&amp;",")))=COUNTA(TEXTSPLIT(EY68,",")))),IF(FA68="",TRUE,IF(input_global_network_school="",TRUE,SUMPRODUCT(--ISNUMBER(SEARCH(","&amp;TRIM(TEXTSPLIT(FA68,","))&amp;",",","&amp;SUBSTITUTE(input_global_network_school," ","")&amp;",")))=0)),IF(FC68="",TRUE,IF(input_global_network_school="",FALSE,SUMPRODUCT(--ISNUMBER(SEARCH(","&amp;TRIM(TEXTSPLIT(FC68,","))&amp;",",","&amp;SUBSTITUTE(input_global_network_school," ","")&amp;",")))&gt;0)),IF(FE68="",TRUE,IF(input_global_network_school="",FALSE,SUMPRODUCT(--ISNUMBER(SEARCH(","&amp;TRIM(TEXTSPLIT(FE68,","))&amp;",",","&amp;SUBSTITUTE(input_global_network_school," ","")&amp;",")))=COUNTA(TEXTSPLIT(FE68,",")))))</f>
        <v/>
      </c>
      <c r="JI68" s="19">
        <f>AND(IF(FG68="",TRUE,IF(input_industry="",FALSE,SUMPRODUCT(--ISNUMBER(SEARCH(","&amp;TRIM(TEXTSPLIT(FG68,","))&amp;",",","&amp;SUBSTITUTE(input_industry," ","")&amp;",")))&gt;0)),IF(FI68="",TRUE,IF(input_industry="",FALSE,SUMPRODUCT(--ISNUMBER(SEARCH(","&amp;TRIM(TEXTSPLIT(FI68,","))&amp;",",","&amp;SUBSTITUTE(input_industry," ","")&amp;",")))=COUNTA(TEXTSPLIT(FI68,",")))),IF(FK68="",TRUE,IF(input_industry="",TRUE,SUMPRODUCT(--ISNUMBER(SEARCH(","&amp;TRIM(TEXTSPLIT(FK68,","))&amp;",",","&amp;SUBSTITUTE(input_industry," ","")&amp;",")))=0)),IF(FM68="",TRUE,IF(input_industry="",FALSE,SUMPRODUCT(--ISNUMBER(SEARCH(","&amp;TRIM(TEXTSPLIT(FM68,","))&amp;",",","&amp;SUBSTITUTE(input_industry," ","")&amp;",")))&gt;0)),IF(FO68="",TRUE,IF(input_industry="",FALSE,SUMPRODUCT(--ISNUMBER(SEARCH(","&amp;TRIM(TEXTSPLIT(FO68,","))&amp;",",","&amp;SUBSTITUTE(input_industry," ","")&amp;",")))=COUNTA(TEXTSPLIT(FO68,",")))))</f>
        <v/>
      </c>
      <c r="JJ68" s="19">
        <f>AND(IF(FQ68="",TRUE,IF(input_location="",FALSE,SUMPRODUCT(--ISNUMBER(SEARCH(","&amp;TRIM(TEXTSPLIT(FQ68,","))&amp;",",","&amp;SUBSTITUTE(input_location," ","")&amp;",")))&gt;0)),IF(FS68="",TRUE,IF(input_location="",FALSE,SUMPRODUCT(--ISNUMBER(SEARCH(","&amp;TRIM(TEXTSPLIT(FS68,","))&amp;",",","&amp;SUBSTITUTE(input_location," ","")&amp;",")))=COUNTA(TEXTSPLIT(FS68,",")))),IF(FU68="",TRUE,IF(input_location="",TRUE,SUMPRODUCT(--ISNUMBER(SEARCH(","&amp;TRIM(TEXTSPLIT(FU68,","))&amp;",",","&amp;SUBSTITUTE(input_location," ","")&amp;",")))=0)),IF(FW68="",TRUE,IF(input_location="",FALSE,SUMPRODUCT(--ISNUMBER(SEARCH(","&amp;TRIM(TEXTSPLIT(FW68,","))&amp;",",","&amp;SUBSTITUTE(input_location," ","")&amp;",")))&gt;0)),IF(FY68="",TRUE,IF(input_location="",FALSE,SUMPRODUCT(--ISNUMBER(SEARCH(","&amp;TRIM(TEXTSPLIT(FY68,","))&amp;",",","&amp;SUBSTITUTE(input_location," ","")&amp;",")))=COUNTA(TEXTSPLIT(FY68,",")))))</f>
        <v/>
      </c>
      <c r="JK68" s="19">
        <f>AND(IF(GA68="",TRUE,IF(input_modality="",FALSE,SUMPRODUCT(--ISNUMBER(SEARCH(","&amp;TRIM(TEXTSPLIT(GA68,","))&amp;",",","&amp;SUBSTITUTE(input_modality," ","")&amp;",")))&gt;0)),IF(GC68="",TRUE,IF(input_modality="",FALSE,SUMPRODUCT(--ISNUMBER(SEARCH(","&amp;TRIM(TEXTSPLIT(GC68,","))&amp;",",","&amp;SUBSTITUTE(input_modality," ","")&amp;",")))=COUNTA(TEXTSPLIT(GC68,",")))),IF(GE68="",TRUE,IF(input_modality="",TRUE,SUMPRODUCT(--ISNUMBER(SEARCH(","&amp;TRIM(TEXTSPLIT(GE68,","))&amp;",",","&amp;SUBSTITUTE(input_modality," ","")&amp;",")))=0)),IF(GG68="",TRUE,IF(input_modality="",FALSE,SUMPRODUCT(--ISNUMBER(SEARCH(","&amp;TRIM(TEXTSPLIT(GG68,","))&amp;",",","&amp;SUBSTITUTE(input_modality," ","")&amp;",")))&gt;0)),IF(GI68="",TRUE,IF(input_modality="",FALSE,SUMPRODUCT(--ISNUMBER(SEARCH(","&amp;TRIM(TEXTSPLIT(GI68,","))&amp;",",","&amp;SUBSTITUTE(input_modality," ","")&amp;",")))=COUNTA(TEXTSPLIT(GI68,",")))))</f>
        <v/>
      </c>
      <c r="JL68" s="19">
        <f>AND(IF(GK68="",TRUE,IF(input_organizer="",FALSE,SUMPRODUCT(--ISNUMBER(SEARCH(","&amp;TRIM(TEXTSPLIT(GK68,","))&amp;",",","&amp;SUBSTITUTE(input_organizer," ","")&amp;",")))&gt;0)),IF(GM68="",TRUE,IF(input_organizer="",FALSE,SUMPRODUCT(--ISNUMBER(SEARCH(","&amp;TRIM(TEXTSPLIT(GM68,","))&amp;",",","&amp;SUBSTITUTE(input_organizer," ","")&amp;",")))=COUNTA(TEXTSPLIT(GM68,",")))),IF(GO68="",TRUE,IF(input_organizer="",TRUE,SUMPRODUCT(--ISNUMBER(SEARCH(","&amp;TRIM(TEXTSPLIT(GO68,","))&amp;",",","&amp;SUBSTITUTE(input_organizer," ","")&amp;",")))=0)),IF(GQ68="",TRUE,IF(input_organizer="",FALSE,SUMPRODUCT(--ISNUMBER(SEARCH(","&amp;TRIM(TEXTSPLIT(GQ68,","))&amp;",",","&amp;SUBSTITUTE(input_organizer," ","")&amp;",")))&gt;0)),IF(GS68="",TRUE,IF(input_organizer="",FALSE,SUMPRODUCT(--ISNUMBER(SEARCH(","&amp;TRIM(TEXTSPLIT(GS68,","))&amp;",",","&amp;SUBSTITUTE(input_organizer," ","")&amp;",")))=COUNTA(TEXTSPLIT(GS68,",")))))</f>
        <v/>
      </c>
      <c r="JM68" s="19">
        <f>AND(IF(GU68="",TRUE,IF(input_profile_type="",FALSE,SUMPRODUCT(--ISNUMBER(SEARCH(","&amp;TRIM(TEXTSPLIT(GU68,","))&amp;",",","&amp;SUBSTITUTE(input_profile_type," ","")&amp;",")))&gt;0)),IF(GW68="",TRUE,IF(input_profile_type="",FALSE,SUMPRODUCT(--ISNUMBER(SEARCH(","&amp;TRIM(TEXTSPLIT(GW68,","))&amp;",",","&amp;SUBSTITUTE(input_profile_type," ","")&amp;",")))=COUNTA(TEXTSPLIT(GW68,",")))),IF(GY68="",TRUE,IF(input_profile_type="",TRUE,SUMPRODUCT(--ISNUMBER(SEARCH(","&amp;TRIM(TEXTSPLIT(GY68,","))&amp;",",","&amp;SUBSTITUTE(input_profile_type," ","")&amp;",")))=0)),IF(HA68="",TRUE,IF(input_profile_type="",FALSE,SUMPRODUCT(--ISNUMBER(SEARCH(","&amp;TRIM(TEXTSPLIT(HA68,","))&amp;",",","&amp;SUBSTITUTE(input_profile_type," ","")&amp;",")))&gt;0)),IF(HC68="",TRUE,IF(input_profile_type="",FALSE,SUMPRODUCT(--ISNUMBER(SEARCH(","&amp;TRIM(TEXTSPLIT(HC68,","))&amp;",",","&amp;SUBSTITUTE(input_profile_type," ","")&amp;",")))=COUNTA(TEXTSPLIT(HC68,",")))))</f>
        <v/>
      </c>
      <c r="JN68" s="19">
        <f>AND(IF(HE68="",TRUE,IF(input_program="",FALSE,SUMPRODUCT(--ISNUMBER(SEARCH(","&amp;TRIM(TEXTSPLIT(HE68,","))&amp;",",","&amp;SUBSTITUTE(input_program," ","")&amp;",")))&gt;0)),IF(HG68="",TRUE,IF(input_program="",FALSE,SUMPRODUCT(--ISNUMBER(SEARCH(","&amp;TRIM(TEXTSPLIT(HG68,","))&amp;",",","&amp;SUBSTITUTE(input_program," ","")&amp;",")))=COUNTA(TEXTSPLIT(HG68,",")))),IF(HI68="",TRUE,IF(input_program="",TRUE,SUMPRODUCT(--ISNUMBER(SEARCH(","&amp;TRIM(TEXTSPLIT(HI68,","))&amp;",",","&amp;SUBSTITUTE(input_program," ","")&amp;",")))=0)),IF(HK68="",TRUE,IF(input_program="",FALSE,SUMPRODUCT(--ISNUMBER(SEARCH(","&amp;TRIM(TEXTSPLIT(HK68,","))&amp;",",","&amp;SUBSTITUTE(input_program," ","")&amp;",")))&gt;0)),IF(HM68="",TRUE,IF(input_program="",FALSE,SUMPRODUCT(--ISNUMBER(SEARCH(","&amp;TRIM(TEXTSPLIT(HM68,","))&amp;",",","&amp;SUBSTITUTE(input_program," ","")&amp;",")))=COUNTA(TEXTSPLIT(HM68,",")))))</f>
        <v/>
      </c>
      <c r="JO68" s="19">
        <f>AND(IF(HO68="",TRUE,IF(input_story_categories="",FALSE,SUMPRODUCT(--ISNUMBER(SEARCH(","&amp;TRIM(TEXTSPLIT(HO68,","))&amp;",",","&amp;SUBSTITUTE(input_story_categories," ","")&amp;",")))&gt;0)),IF(HQ68="",TRUE,IF(input_story_categories="",FALSE,SUMPRODUCT(--ISNUMBER(SEARCH(","&amp;TRIM(TEXTSPLIT(HQ68,","))&amp;",",","&amp;SUBSTITUTE(input_story_categories," ","")&amp;",")))=COUNTA(TEXTSPLIT(HQ68,",")))),IF(HS68="",TRUE,IF(input_story_categories="",TRUE,SUMPRODUCT(--ISNUMBER(SEARCH(","&amp;TRIM(TEXTSPLIT(HS68,","))&amp;",",","&amp;SUBSTITUTE(input_story_categories," ","")&amp;",")))=0)),IF(HU68="",TRUE,IF(input_story_categories="",FALSE,SUMPRODUCT(--ISNUMBER(SEARCH(","&amp;TRIM(TEXTSPLIT(HU68,","))&amp;",",","&amp;SUBSTITUTE(input_story_categories," ","")&amp;",")))&gt;0)),IF(HW68="",TRUE,IF(input_story_categories="",FALSE,SUMPRODUCT(--ISNUMBER(SEARCH(","&amp;TRIM(TEXTSPLIT(HW68,","))&amp;",",","&amp;SUBSTITUTE(input_story_categories," ","")&amp;",")))=COUNTA(TEXTSPLIT(HW68,",")))))</f>
        <v/>
      </c>
      <c r="JP68" s="19">
        <f>AND(IF(HY68="",TRUE,IF(input_story_type="",FALSE,SUMPRODUCT(--ISNUMBER(SEARCH(","&amp;TRIM(TEXTSPLIT(HY68,","))&amp;",",","&amp;SUBSTITUTE(input_story_type," ","")&amp;",")))&gt;0)),IF(IA68="",TRUE,IF(input_story_type="",FALSE,SUMPRODUCT(--ISNUMBER(SEARCH(","&amp;TRIM(TEXTSPLIT(IA68,","))&amp;",",","&amp;SUBSTITUTE(input_story_type," ","")&amp;",")))=COUNTA(TEXTSPLIT(IA68,",")))),IF(IC68="",TRUE,IF(input_story_type="",TRUE,SUMPRODUCT(--ISNUMBER(SEARCH(","&amp;TRIM(TEXTSPLIT(IC68,","))&amp;",",","&amp;SUBSTITUTE(input_story_type," ","")&amp;",")))=0)),IF(IE68="",TRUE,IF(input_story_type="",FALSE,SUMPRODUCT(--ISNUMBER(SEARCH(","&amp;TRIM(TEXTSPLIT(IE68,","))&amp;",",","&amp;SUBSTITUTE(input_story_type," ","")&amp;",")))&gt;0)),IF(IG68="",TRUE,IF(input_story_type="",FALSE,SUMPRODUCT(--ISNUMBER(SEARCH(","&amp;TRIM(TEXTSPLIT(IG68,","))&amp;",",","&amp;SUBSTITUTE(input_story_type," ","")&amp;",")))=COUNTA(TEXTSPLIT(IG68,",")))))</f>
        <v/>
      </c>
      <c r="JQ68" s="19">
        <f>AND(IF(II68="",TRUE,IF(input_topics="",FALSE,SUMPRODUCT(--ISNUMBER(SEARCH(","&amp;TRIM(TEXTSPLIT(II68,","))&amp;",",","&amp;SUBSTITUTE(input_topics," ","")&amp;",")))&gt;0)),IF(IK68="",TRUE,IF(input_topics="",FALSE,SUMPRODUCT(--ISNUMBER(SEARCH(","&amp;TRIM(TEXTSPLIT(IK68,","))&amp;",",","&amp;SUBSTITUTE(input_topics," ","")&amp;",")))=COUNTA(TEXTSPLIT(IK68,",")))),IF(IM68="",TRUE,IF(input_topics="",TRUE,SUMPRODUCT(--ISNUMBER(SEARCH(","&amp;TRIM(TEXTSPLIT(IM68,","))&amp;",",","&amp;SUBSTITUTE(input_topics," ","")&amp;",")))=0)),IF(IO68="",TRUE,IF(input_topics="",FALSE,SUMPRODUCT(--ISNUMBER(SEARCH(","&amp;TRIM(TEXTSPLIT(IO68,","))&amp;",",","&amp;SUBSTITUTE(input_topics," ","")&amp;",")))&gt;0)),IF(IQ68="",TRUE,IF(input_topics="",FALSE,SUMPRODUCT(--ISNUMBER(SEARCH(","&amp;TRIM(TEXTSPLIT(IQ68,","))&amp;",",","&amp;SUBSTITUTE(input_topics," ","")&amp;",")))=COUNTA(TEXTSPLIT(IQ68,",")))))</f>
        <v/>
      </c>
    </row>
    <row r="69">
      <c r="A69" s="24">
        <f>IF(NOT(IS69),"Excluded",IF(AND(IT69,IU69,IV69,IW69,IX69,IY69,IZ69,JA69,JB69,JC69,JD69,JE69,JF69,JG69,JH69,JI69,JJ69,JK69,JL69,JM69,JN69,JO69,JP69,JQ69),IF(I69&gt;0,"Eligible but limited","Will appear"),"Excluded"))</f>
        <v/>
      </c>
      <c r="B69" s="24" t="inlineStr">
        <is>
          <t>All stories</t>
        </is>
      </c>
      <c r="C69" s="27" t="inlineStr">
        <is>
          <t>/the-som-experience/community</t>
        </is>
      </c>
      <c r="D69" s="24" t="inlineStr">
        <is>
          <t>/the-som-experience/community</t>
        </is>
      </c>
      <c r="E69" s="24" t="n">
        <v>1</v>
      </c>
      <c r="F69" s="24" t="inlineStr">
        <is>
          <t>story</t>
        </is>
      </c>
      <c r="G69" s="24" t="inlineStr">
        <is>
          <t>stories_teaser_cards</t>
        </is>
      </c>
      <c r="H69" s="24" t="inlineStr">
        <is>
          <t>embed_all</t>
        </is>
      </c>
      <c r="I69" s="24" t="n">
        <v>3</v>
      </c>
      <c r="J69" s="24" t="inlineStr">
        <is>
          <t>View/config rules</t>
        </is>
      </c>
      <c r="K69" s="24" t="inlineStr">
        <is>
          <t>Page placement</t>
        </is>
      </c>
      <c r="L69" s="24" t="inlineStr">
        <is>
          <t>Content type: story; Limited to 3 item(s); Source: View/config rules</t>
        </is>
      </c>
      <c r="IS69" s="19">
        <f>IF(input_content_type="",FALSE,ISNUMBER(SEARCH(","&amp;LOWER(input_content_type)&amp;",",","&amp;LOWER(SUBSTITUTE(F69," ",""))&amp;",")))</f>
        <v/>
      </c>
      <c r="IT69" s="19">
        <f>AND(IF(M69="",TRUE,IF(input_affiliations="",FALSE,SUMPRODUCT(--ISNUMBER(SEARCH(","&amp;TRIM(TEXTSPLIT(M69,","))&amp;",",","&amp;SUBSTITUTE(input_affiliations," ","")&amp;",")))&gt;0)),IF(O69="",TRUE,IF(input_affiliations="",FALSE,SUMPRODUCT(--ISNUMBER(SEARCH(","&amp;TRIM(TEXTSPLIT(O69,","))&amp;",",","&amp;SUBSTITUTE(input_affiliations," ","")&amp;",")))=COUNTA(TEXTSPLIT(O69,",")))),IF(Q69="",TRUE,IF(input_affiliations="",TRUE,SUMPRODUCT(--ISNUMBER(SEARCH(","&amp;TRIM(TEXTSPLIT(Q69,","))&amp;",",","&amp;SUBSTITUTE(input_affiliations," ","")&amp;",")))=0)),IF(S69="",TRUE,IF(input_affiliations="",FALSE,SUMPRODUCT(--ISNUMBER(SEARCH(","&amp;TRIM(TEXTSPLIT(S69,","))&amp;",",","&amp;SUBSTITUTE(input_affiliations," ","")&amp;",")))&gt;0)),IF(U69="",TRUE,IF(input_affiliations="",FALSE,SUMPRODUCT(--ISNUMBER(SEARCH(","&amp;TRIM(TEXTSPLIT(U69,","))&amp;",",","&amp;SUBSTITUTE(input_affiliations," ","")&amp;",")))=COUNTA(TEXTSPLIT(U69,",")))))</f>
        <v/>
      </c>
      <c r="IU69" s="19">
        <f>AND(IF(W69="",TRUE,IF(input_announcement_category="",FALSE,SUMPRODUCT(--ISNUMBER(SEARCH(","&amp;TRIM(TEXTSPLIT(W69,","))&amp;",",","&amp;SUBSTITUTE(input_announcement_category," ","")&amp;",")))&gt;0)),IF(Y69="",TRUE,IF(input_announcement_category="",FALSE,SUMPRODUCT(--ISNUMBER(SEARCH(","&amp;TRIM(TEXTSPLIT(Y69,","))&amp;",",","&amp;SUBSTITUTE(input_announcement_category," ","")&amp;",")))=COUNTA(TEXTSPLIT(Y69,",")))),IF(AA69="",TRUE,IF(input_announcement_category="",TRUE,SUMPRODUCT(--ISNUMBER(SEARCH(","&amp;TRIM(TEXTSPLIT(AA69,","))&amp;",",","&amp;SUBSTITUTE(input_announcement_category," ","")&amp;",")))=0)),IF(AC69="",TRUE,IF(input_announcement_category="",FALSE,SUMPRODUCT(--ISNUMBER(SEARCH(","&amp;TRIM(TEXTSPLIT(AC69,","))&amp;",",","&amp;SUBSTITUTE(input_announcement_category," ","")&amp;",")))&gt;0)),IF(AE69="",TRUE,IF(input_announcement_category="",FALSE,SUMPRODUCT(--ISNUMBER(SEARCH(","&amp;TRIM(TEXTSPLIT(AE69,","))&amp;",",","&amp;SUBSTITUTE(input_announcement_category," ","")&amp;",")))=COUNTA(TEXTSPLIT(AE69,",")))))</f>
        <v/>
      </c>
      <c r="IV69" s="19">
        <f>AND(IF(AG69="",TRUE,IF(input_area_of_focus="",FALSE,SUMPRODUCT(--ISNUMBER(SEARCH(","&amp;TRIM(TEXTSPLIT(AG69,","))&amp;",",","&amp;SUBSTITUTE(input_area_of_focus," ","")&amp;",")))&gt;0)),IF(AI69="",TRUE,IF(input_area_of_focus="",FALSE,SUMPRODUCT(--ISNUMBER(SEARCH(","&amp;TRIM(TEXTSPLIT(AI69,","))&amp;",",","&amp;SUBSTITUTE(input_area_of_focus," ","")&amp;",")))=COUNTA(TEXTSPLIT(AI69,",")))),IF(AK69="",TRUE,IF(input_area_of_focus="",TRUE,SUMPRODUCT(--ISNUMBER(SEARCH(","&amp;TRIM(TEXTSPLIT(AK69,","))&amp;",",","&amp;SUBSTITUTE(input_area_of_focus," ","")&amp;",")))=0)),IF(AM69="",TRUE,IF(input_area_of_focus="",FALSE,SUMPRODUCT(--ISNUMBER(SEARCH(","&amp;TRIM(TEXTSPLIT(AM69,","))&amp;",",","&amp;SUBSTITUTE(input_area_of_focus," ","")&amp;",")))&gt;0)),IF(AO69="",TRUE,IF(input_area_of_focus="",FALSE,SUMPRODUCT(--ISNUMBER(SEARCH(","&amp;TRIM(TEXTSPLIT(AO69,","))&amp;",",","&amp;SUBSTITUTE(input_area_of_focus," ","")&amp;",")))=COUNTA(TEXTSPLIT(AO69,",")))))</f>
        <v/>
      </c>
      <c r="IW69" s="19">
        <f>AND(IF(AQ69="",TRUE,IF(input_audience="",FALSE,SUMPRODUCT(--ISNUMBER(SEARCH(","&amp;TRIM(TEXTSPLIT(AQ69,","))&amp;",",","&amp;SUBSTITUTE(input_audience," ","")&amp;",")))&gt;0)),IF(AS69="",TRUE,IF(input_audience="",FALSE,SUMPRODUCT(--ISNUMBER(SEARCH(","&amp;TRIM(TEXTSPLIT(AS69,","))&amp;",",","&amp;SUBSTITUTE(input_audience," ","")&amp;",")))=COUNTA(TEXTSPLIT(AS69,",")))),IF(AU69="",TRUE,IF(input_audience="",TRUE,SUMPRODUCT(--ISNUMBER(SEARCH(","&amp;TRIM(TEXTSPLIT(AU69,","))&amp;",",","&amp;SUBSTITUTE(input_audience," ","")&amp;",")))=0)),IF(AW69="",TRUE,IF(input_audience="",FALSE,SUMPRODUCT(--ISNUMBER(SEARCH(","&amp;TRIM(TEXTSPLIT(AW69,","))&amp;",",","&amp;SUBSTITUTE(input_audience," ","")&amp;",")))&gt;0)),IF(AY69="",TRUE,IF(input_audience="",FALSE,SUMPRODUCT(--ISNUMBER(SEARCH(","&amp;TRIM(TEXTSPLIT(AY69,","))&amp;",",","&amp;SUBSTITUTE(input_audience," ","")&amp;",")))=COUNTA(TEXTSPLIT(AY69,",")))))</f>
        <v/>
      </c>
      <c r="IX69" s="19">
        <f>AND(IF(BA69="",TRUE,IF(input_challenge_opportunities="",FALSE,SUMPRODUCT(--ISNUMBER(SEARCH(","&amp;TRIM(TEXTSPLIT(BA69,","))&amp;",",","&amp;SUBSTITUTE(input_challenge_opportunities," ","")&amp;",")))&gt;0)),IF(BC69="",TRUE,IF(input_challenge_opportunities="",FALSE,SUMPRODUCT(--ISNUMBER(SEARCH(","&amp;TRIM(TEXTSPLIT(BC69,","))&amp;",",","&amp;SUBSTITUTE(input_challenge_opportunities," ","")&amp;",")))=COUNTA(TEXTSPLIT(BC69,",")))),IF(BE69="",TRUE,IF(input_challenge_opportunities="",TRUE,SUMPRODUCT(--ISNUMBER(SEARCH(","&amp;TRIM(TEXTSPLIT(BE69,","))&amp;",",","&amp;SUBSTITUTE(input_challenge_opportunities," ","")&amp;",")))=0)),IF(BG69="",TRUE,IF(input_challenge_opportunities="",FALSE,SUMPRODUCT(--ISNUMBER(SEARCH(","&amp;TRIM(TEXTSPLIT(BG69,","))&amp;",",","&amp;SUBSTITUTE(input_challenge_opportunities," ","")&amp;",")))&gt;0)),IF(BI69="",TRUE,IF(input_challenge_opportunities="",FALSE,SUMPRODUCT(--ISNUMBER(SEARCH(","&amp;TRIM(TEXTSPLIT(BI69,","))&amp;",",","&amp;SUBSTITUTE(input_challenge_opportunities," ","")&amp;",")))=COUNTA(TEXTSPLIT(BI69,",")))))</f>
        <v/>
      </c>
      <c r="IY69" s="19">
        <f>AND(IF(BK69="",TRUE,IF(input_context="",FALSE,SUMPRODUCT(--ISNUMBER(SEARCH(","&amp;TRIM(TEXTSPLIT(BK69,","))&amp;",",","&amp;SUBSTITUTE(input_context," ","")&amp;",")))&gt;0)),IF(BM69="",TRUE,IF(input_context="",FALSE,SUMPRODUCT(--ISNUMBER(SEARCH(","&amp;TRIM(TEXTSPLIT(BM69,","))&amp;",",","&amp;SUBSTITUTE(input_context," ","")&amp;",")))=COUNTA(TEXTSPLIT(BM69,",")))),IF(BO69="",TRUE,IF(input_context="",TRUE,SUMPRODUCT(--ISNUMBER(SEARCH(","&amp;TRIM(TEXTSPLIT(BO69,","))&amp;",",","&amp;SUBSTITUTE(input_context," ","")&amp;",")))=0)),IF(BQ69="",TRUE,IF(input_context="",FALSE,SUMPRODUCT(--ISNUMBER(SEARCH(","&amp;TRIM(TEXTSPLIT(BQ69,","))&amp;",",","&amp;SUBSTITUTE(input_context," ","")&amp;",")))&gt;0)),IF(BS69="",TRUE,IF(input_context="",FALSE,SUMPRODUCT(--ISNUMBER(SEARCH(","&amp;TRIM(TEXTSPLIT(BS69,","))&amp;",",","&amp;SUBSTITUTE(input_context," ","")&amp;",")))=COUNTA(TEXTSPLIT(BS69,",")))))</f>
        <v/>
      </c>
      <c r="IZ69" s="19">
        <f>AND(IF(BU69="",TRUE,IF(input_enews_announcement_type="",FALSE,SUMPRODUCT(--ISNUMBER(SEARCH(","&amp;TRIM(TEXTSPLIT(BU69,","))&amp;",",","&amp;SUBSTITUTE(input_enews_announcement_type," ","")&amp;",")))&gt;0)),IF(BW69="",TRUE,IF(input_enews_announcement_type="",FALSE,SUMPRODUCT(--ISNUMBER(SEARCH(","&amp;TRIM(TEXTSPLIT(BW69,","))&amp;",",","&amp;SUBSTITUTE(input_enews_announcement_type," ","")&amp;",")))=COUNTA(TEXTSPLIT(BW69,",")))),IF(BY69="",TRUE,IF(input_enews_announcement_type="",TRUE,SUMPRODUCT(--ISNUMBER(SEARCH(","&amp;TRIM(TEXTSPLIT(BY69,","))&amp;",",","&amp;SUBSTITUTE(input_enews_announcement_type," ","")&amp;",")))=0)),IF(CA69="",TRUE,IF(input_enews_announcement_type="",FALSE,SUMPRODUCT(--ISNUMBER(SEARCH(","&amp;TRIM(TEXTSPLIT(CA69,","))&amp;",",","&amp;SUBSTITUTE(input_enews_announcement_type," ","")&amp;",")))&gt;0)),IF(CC69="",TRUE,IF(input_enews_announcement_type="",FALSE,SUMPRODUCT(--ISNUMBER(SEARCH(","&amp;TRIM(TEXTSPLIT(CC69,","))&amp;",",","&amp;SUBSTITUTE(input_enews_announcement_type," ","")&amp;",")))=COUNTA(TEXTSPLIT(CC69,",")))))</f>
        <v/>
      </c>
      <c r="JA69" s="19">
        <f>AND(IF(CE69="",TRUE,IF(input_enews_audience="",FALSE,SUMPRODUCT(--ISNUMBER(SEARCH(","&amp;TRIM(TEXTSPLIT(CE69,","))&amp;",",","&amp;SUBSTITUTE(input_enews_audience," ","")&amp;",")))&gt;0)),IF(CG69="",TRUE,IF(input_enews_audience="",FALSE,SUMPRODUCT(--ISNUMBER(SEARCH(","&amp;TRIM(TEXTSPLIT(CG69,","))&amp;",",","&amp;SUBSTITUTE(input_enews_audience," ","")&amp;",")))=COUNTA(TEXTSPLIT(CG69,",")))),IF(CI69="",TRUE,IF(input_enews_audience="",TRUE,SUMPRODUCT(--ISNUMBER(SEARCH(","&amp;TRIM(TEXTSPLIT(CI69,","))&amp;",",","&amp;SUBSTITUTE(input_enews_audience," ","")&amp;",")))=0)),IF(CK69="",TRUE,IF(input_enews_audience="",FALSE,SUMPRODUCT(--ISNUMBER(SEARCH(","&amp;TRIM(TEXTSPLIT(CK69,","))&amp;",",","&amp;SUBSTITUTE(input_enews_audience," ","")&amp;",")))&gt;0)),IF(CM69="",TRUE,IF(input_enews_audience="",FALSE,SUMPRODUCT(--ISNUMBER(SEARCH(","&amp;TRIM(TEXTSPLIT(CM69,","))&amp;",",","&amp;SUBSTITUTE(input_enews_audience," ","")&amp;",")))=COUNTA(TEXTSPLIT(CM69,",")))))</f>
        <v/>
      </c>
      <c r="JB69" s="19">
        <f>AND(IF(CO69="",TRUE,IF(input_event_location="",FALSE,SUMPRODUCT(--ISNUMBER(SEARCH(","&amp;TRIM(TEXTSPLIT(CO69,","))&amp;",",","&amp;SUBSTITUTE(input_event_location," ","")&amp;",")))&gt;0)),IF(CQ69="",TRUE,IF(input_event_location="",FALSE,SUMPRODUCT(--ISNUMBER(SEARCH(","&amp;TRIM(TEXTSPLIT(CQ69,","))&amp;",",","&amp;SUBSTITUTE(input_event_location," ","")&amp;",")))=COUNTA(TEXTSPLIT(CQ69,",")))),IF(CS69="",TRUE,IF(input_event_location="",TRUE,SUMPRODUCT(--ISNUMBER(SEARCH(","&amp;TRIM(TEXTSPLIT(CS69,","))&amp;",",","&amp;SUBSTITUTE(input_event_location," ","")&amp;",")))=0)),IF(CU69="",TRUE,IF(input_event_location="",FALSE,SUMPRODUCT(--ISNUMBER(SEARCH(","&amp;TRIM(TEXTSPLIT(CU69,","))&amp;",",","&amp;SUBSTITUTE(input_event_location," ","")&amp;",")))&gt;0)),IF(CW69="",TRUE,IF(input_event_location="",FALSE,SUMPRODUCT(--ISNUMBER(SEARCH(","&amp;TRIM(TEXTSPLIT(CW69,","))&amp;",",","&amp;SUBSTITUTE(input_event_location," ","")&amp;",")))=COUNTA(TEXTSPLIT(CW69,",")))))</f>
        <v/>
      </c>
      <c r="JC69" s="19">
        <f>AND(IF(CY69="",TRUE,IF(input_event_type="",FALSE,SUMPRODUCT(--ISNUMBER(SEARCH(","&amp;TRIM(TEXTSPLIT(CY69,","))&amp;",",","&amp;SUBSTITUTE(input_event_type," ","")&amp;",")))&gt;0)),IF(DA69="",TRUE,IF(input_event_type="",FALSE,SUMPRODUCT(--ISNUMBER(SEARCH(","&amp;TRIM(TEXTSPLIT(DA69,","))&amp;",",","&amp;SUBSTITUTE(input_event_type," ","")&amp;",")))=COUNTA(TEXTSPLIT(DA69,",")))),IF(DC69="",TRUE,IF(input_event_type="",TRUE,SUMPRODUCT(--ISNUMBER(SEARCH(","&amp;TRIM(TEXTSPLIT(DC69,","))&amp;",",","&amp;SUBSTITUTE(input_event_type," ","")&amp;",")))=0)),IF(DE69="",TRUE,IF(input_event_type="",FALSE,SUMPRODUCT(--ISNUMBER(SEARCH(","&amp;TRIM(TEXTSPLIT(DE69,","))&amp;",",","&amp;SUBSTITUTE(input_event_type," ","")&amp;",")))&gt;0)),IF(DG69="",TRUE,IF(input_event_type="",FALSE,SUMPRODUCT(--ISNUMBER(SEARCH(","&amp;TRIM(TEXTSPLIT(DG69,","))&amp;",",","&amp;SUBSTITUTE(input_event_type," ","")&amp;",")))=COUNTA(TEXTSPLIT(DG69,",")))))</f>
        <v/>
      </c>
      <c r="JD69" s="19">
        <f>AND(IF(DI69="",TRUE,IF(input_executive_education_focus="",FALSE,SUMPRODUCT(--ISNUMBER(SEARCH(","&amp;TRIM(TEXTSPLIT(DI69,","))&amp;",",","&amp;SUBSTITUTE(input_executive_education_focus," ","")&amp;",")))&gt;0)),IF(DK69="",TRUE,IF(input_executive_education_focus="",FALSE,SUMPRODUCT(--ISNUMBER(SEARCH(","&amp;TRIM(TEXTSPLIT(DK69,","))&amp;",",","&amp;SUBSTITUTE(input_executive_education_focus," ","")&amp;",")))=COUNTA(TEXTSPLIT(DK69,",")))),IF(DM69="",TRUE,IF(input_executive_education_focus="",TRUE,SUMPRODUCT(--ISNUMBER(SEARCH(","&amp;TRIM(TEXTSPLIT(DM69,","))&amp;",",","&amp;SUBSTITUTE(input_executive_education_focus," ","")&amp;",")))=0)),IF(DO69="",TRUE,IF(input_executive_education_focus="",FALSE,SUMPRODUCT(--ISNUMBER(SEARCH(","&amp;TRIM(TEXTSPLIT(DO69,","))&amp;",",","&amp;SUBSTITUTE(input_executive_education_focus," ","")&amp;",")))&gt;0)),IF(DQ69="",TRUE,IF(input_executive_education_focus="",FALSE,SUMPRODUCT(--ISNUMBER(SEARCH(","&amp;TRIM(TEXTSPLIT(DQ69,","))&amp;",",","&amp;SUBSTITUTE(input_executive_education_focus," ","")&amp;",")))=COUNTA(TEXTSPLIT(DQ69,",")))))</f>
        <v/>
      </c>
      <c r="JE69" s="19">
        <f>AND(IF(DS69="",TRUE,IF(input_faculty_category="",FALSE,SUMPRODUCT(--ISNUMBER(SEARCH(","&amp;TRIM(TEXTSPLIT(DS69,","))&amp;",",","&amp;SUBSTITUTE(input_faculty_category," ","")&amp;",")))&gt;0)),IF(DU69="",TRUE,IF(input_faculty_category="",FALSE,SUMPRODUCT(--ISNUMBER(SEARCH(","&amp;TRIM(TEXTSPLIT(DU69,","))&amp;",",","&amp;SUBSTITUTE(input_faculty_category," ","")&amp;",")))=COUNTA(TEXTSPLIT(DU69,",")))),IF(DW69="",TRUE,IF(input_faculty_category="",TRUE,SUMPRODUCT(--ISNUMBER(SEARCH(","&amp;TRIM(TEXTSPLIT(DW69,","))&amp;",",","&amp;SUBSTITUTE(input_faculty_category," ","")&amp;",")))=0)),IF(DY69="",TRUE,IF(input_faculty_category="",FALSE,SUMPRODUCT(--ISNUMBER(SEARCH(","&amp;TRIM(TEXTSPLIT(DY69,","))&amp;",",","&amp;SUBSTITUTE(input_faculty_category," ","")&amp;",")))&gt;0)),IF(EA69="",TRUE,IF(input_faculty_category="",FALSE,SUMPRODUCT(--ISNUMBER(SEARCH(","&amp;TRIM(TEXTSPLIT(EA69,","))&amp;",",","&amp;SUBSTITUTE(input_faculty_category," ","")&amp;",")))=COUNTA(TEXTSPLIT(EA69,",")))))</f>
        <v/>
      </c>
      <c r="JF69" s="19">
        <f>AND(IF(EC69="",TRUE,IF(input_faculty_discipline="",FALSE,SUMPRODUCT(--ISNUMBER(SEARCH(","&amp;TRIM(TEXTSPLIT(EC69,","))&amp;",",","&amp;SUBSTITUTE(input_faculty_discipline," ","")&amp;",")))&gt;0)),IF(EE69="",TRUE,IF(input_faculty_discipline="",FALSE,SUMPRODUCT(--ISNUMBER(SEARCH(","&amp;TRIM(TEXTSPLIT(EE69,","))&amp;",",","&amp;SUBSTITUTE(input_faculty_discipline," ","")&amp;",")))=COUNTA(TEXTSPLIT(EE69,",")))),IF(EG69="",TRUE,IF(input_faculty_discipline="",TRUE,SUMPRODUCT(--ISNUMBER(SEARCH(","&amp;TRIM(TEXTSPLIT(EG69,","))&amp;",",","&amp;SUBSTITUTE(input_faculty_discipline," ","")&amp;",")))=0)),IF(EI69="",TRUE,IF(input_faculty_discipline="",FALSE,SUMPRODUCT(--ISNUMBER(SEARCH(","&amp;TRIM(TEXTSPLIT(EI69,","))&amp;",",","&amp;SUBSTITUTE(input_faculty_discipline," ","")&amp;",")))&gt;0)),IF(EK69="",TRUE,IF(input_faculty_discipline="",FALSE,SUMPRODUCT(--ISNUMBER(SEARCH(","&amp;TRIM(TEXTSPLIT(EK69,","))&amp;",",","&amp;SUBSTITUTE(input_faculty_discipline," ","")&amp;",")))=COUNTA(TEXTSPLIT(EK69,",")))))</f>
        <v/>
      </c>
      <c r="JG69" s="19">
        <f>AND(IF(EM69="",TRUE,IF(input_faculty_expertise="",FALSE,SUMPRODUCT(--ISNUMBER(SEARCH(","&amp;TRIM(TEXTSPLIT(EM69,","))&amp;",",","&amp;SUBSTITUTE(input_faculty_expertise," ","")&amp;",")))&gt;0)),IF(EO69="",TRUE,IF(input_faculty_expertise="",FALSE,SUMPRODUCT(--ISNUMBER(SEARCH(","&amp;TRIM(TEXTSPLIT(EO69,","))&amp;",",","&amp;SUBSTITUTE(input_faculty_expertise," ","")&amp;",")))=COUNTA(TEXTSPLIT(EO69,",")))),IF(EQ69="",TRUE,IF(input_faculty_expertise="",TRUE,SUMPRODUCT(--ISNUMBER(SEARCH(","&amp;TRIM(TEXTSPLIT(EQ69,","))&amp;",",","&amp;SUBSTITUTE(input_faculty_expertise," ","")&amp;",")))=0)),IF(ES69="",TRUE,IF(input_faculty_expertise="",FALSE,SUMPRODUCT(--ISNUMBER(SEARCH(","&amp;TRIM(TEXTSPLIT(ES69,","))&amp;",",","&amp;SUBSTITUTE(input_faculty_expertise," ","")&amp;",")))&gt;0)),IF(EU69="",TRUE,IF(input_faculty_expertise="",FALSE,SUMPRODUCT(--ISNUMBER(SEARCH(","&amp;TRIM(TEXTSPLIT(EU69,","))&amp;",",","&amp;SUBSTITUTE(input_faculty_expertise," ","")&amp;",")))=COUNTA(TEXTSPLIT(EU69,",")))))</f>
        <v/>
      </c>
      <c r="JH69" s="19">
        <f>AND(IF(EW69="",TRUE,IF(input_global_network_school="",FALSE,SUMPRODUCT(--ISNUMBER(SEARCH(","&amp;TRIM(TEXTSPLIT(EW69,","))&amp;",",","&amp;SUBSTITUTE(input_global_network_school," ","")&amp;",")))&gt;0)),IF(EY69="",TRUE,IF(input_global_network_school="",FALSE,SUMPRODUCT(--ISNUMBER(SEARCH(","&amp;TRIM(TEXTSPLIT(EY69,","))&amp;",",","&amp;SUBSTITUTE(input_global_network_school," ","")&amp;",")))=COUNTA(TEXTSPLIT(EY69,",")))),IF(FA69="",TRUE,IF(input_global_network_school="",TRUE,SUMPRODUCT(--ISNUMBER(SEARCH(","&amp;TRIM(TEXTSPLIT(FA69,","))&amp;",",","&amp;SUBSTITUTE(input_global_network_school," ","")&amp;",")))=0)),IF(FC69="",TRUE,IF(input_global_network_school="",FALSE,SUMPRODUCT(--ISNUMBER(SEARCH(","&amp;TRIM(TEXTSPLIT(FC69,","))&amp;",",","&amp;SUBSTITUTE(input_global_network_school," ","")&amp;",")))&gt;0)),IF(FE69="",TRUE,IF(input_global_network_school="",FALSE,SUMPRODUCT(--ISNUMBER(SEARCH(","&amp;TRIM(TEXTSPLIT(FE69,","))&amp;",",","&amp;SUBSTITUTE(input_global_network_school," ","")&amp;",")))=COUNTA(TEXTSPLIT(FE69,",")))))</f>
        <v/>
      </c>
      <c r="JI69" s="19">
        <f>AND(IF(FG69="",TRUE,IF(input_industry="",FALSE,SUMPRODUCT(--ISNUMBER(SEARCH(","&amp;TRIM(TEXTSPLIT(FG69,","))&amp;",",","&amp;SUBSTITUTE(input_industry," ","")&amp;",")))&gt;0)),IF(FI69="",TRUE,IF(input_industry="",FALSE,SUMPRODUCT(--ISNUMBER(SEARCH(","&amp;TRIM(TEXTSPLIT(FI69,","))&amp;",",","&amp;SUBSTITUTE(input_industry," ","")&amp;",")))=COUNTA(TEXTSPLIT(FI69,",")))),IF(FK69="",TRUE,IF(input_industry="",TRUE,SUMPRODUCT(--ISNUMBER(SEARCH(","&amp;TRIM(TEXTSPLIT(FK69,","))&amp;",",","&amp;SUBSTITUTE(input_industry," ","")&amp;",")))=0)),IF(FM69="",TRUE,IF(input_industry="",FALSE,SUMPRODUCT(--ISNUMBER(SEARCH(","&amp;TRIM(TEXTSPLIT(FM69,","))&amp;",",","&amp;SUBSTITUTE(input_industry," ","")&amp;",")))&gt;0)),IF(FO69="",TRUE,IF(input_industry="",FALSE,SUMPRODUCT(--ISNUMBER(SEARCH(","&amp;TRIM(TEXTSPLIT(FO69,","))&amp;",",","&amp;SUBSTITUTE(input_industry," ","")&amp;",")))=COUNTA(TEXTSPLIT(FO69,",")))))</f>
        <v/>
      </c>
      <c r="JJ69" s="19">
        <f>AND(IF(FQ69="",TRUE,IF(input_location="",FALSE,SUMPRODUCT(--ISNUMBER(SEARCH(","&amp;TRIM(TEXTSPLIT(FQ69,","))&amp;",",","&amp;SUBSTITUTE(input_location," ","")&amp;",")))&gt;0)),IF(FS69="",TRUE,IF(input_location="",FALSE,SUMPRODUCT(--ISNUMBER(SEARCH(","&amp;TRIM(TEXTSPLIT(FS69,","))&amp;",",","&amp;SUBSTITUTE(input_location," ","")&amp;",")))=COUNTA(TEXTSPLIT(FS69,",")))),IF(FU69="",TRUE,IF(input_location="",TRUE,SUMPRODUCT(--ISNUMBER(SEARCH(","&amp;TRIM(TEXTSPLIT(FU69,","))&amp;",",","&amp;SUBSTITUTE(input_location," ","")&amp;",")))=0)),IF(FW69="",TRUE,IF(input_location="",FALSE,SUMPRODUCT(--ISNUMBER(SEARCH(","&amp;TRIM(TEXTSPLIT(FW69,","))&amp;",",","&amp;SUBSTITUTE(input_location," ","")&amp;",")))&gt;0)),IF(FY69="",TRUE,IF(input_location="",FALSE,SUMPRODUCT(--ISNUMBER(SEARCH(","&amp;TRIM(TEXTSPLIT(FY69,","))&amp;",",","&amp;SUBSTITUTE(input_location," ","")&amp;",")))=COUNTA(TEXTSPLIT(FY69,",")))))</f>
        <v/>
      </c>
      <c r="JK69" s="19">
        <f>AND(IF(GA69="",TRUE,IF(input_modality="",FALSE,SUMPRODUCT(--ISNUMBER(SEARCH(","&amp;TRIM(TEXTSPLIT(GA69,","))&amp;",",","&amp;SUBSTITUTE(input_modality," ","")&amp;",")))&gt;0)),IF(GC69="",TRUE,IF(input_modality="",FALSE,SUMPRODUCT(--ISNUMBER(SEARCH(","&amp;TRIM(TEXTSPLIT(GC69,","))&amp;",",","&amp;SUBSTITUTE(input_modality," ","")&amp;",")))=COUNTA(TEXTSPLIT(GC69,",")))),IF(GE69="",TRUE,IF(input_modality="",TRUE,SUMPRODUCT(--ISNUMBER(SEARCH(","&amp;TRIM(TEXTSPLIT(GE69,","))&amp;",",","&amp;SUBSTITUTE(input_modality," ","")&amp;",")))=0)),IF(GG69="",TRUE,IF(input_modality="",FALSE,SUMPRODUCT(--ISNUMBER(SEARCH(","&amp;TRIM(TEXTSPLIT(GG69,","))&amp;",",","&amp;SUBSTITUTE(input_modality," ","")&amp;",")))&gt;0)),IF(GI69="",TRUE,IF(input_modality="",FALSE,SUMPRODUCT(--ISNUMBER(SEARCH(","&amp;TRIM(TEXTSPLIT(GI69,","))&amp;",",","&amp;SUBSTITUTE(input_modality," ","")&amp;",")))=COUNTA(TEXTSPLIT(GI69,",")))))</f>
        <v/>
      </c>
      <c r="JL69" s="19">
        <f>AND(IF(GK69="",TRUE,IF(input_organizer="",FALSE,SUMPRODUCT(--ISNUMBER(SEARCH(","&amp;TRIM(TEXTSPLIT(GK69,","))&amp;",",","&amp;SUBSTITUTE(input_organizer," ","")&amp;",")))&gt;0)),IF(GM69="",TRUE,IF(input_organizer="",FALSE,SUMPRODUCT(--ISNUMBER(SEARCH(","&amp;TRIM(TEXTSPLIT(GM69,","))&amp;",",","&amp;SUBSTITUTE(input_organizer," ","")&amp;",")))=COUNTA(TEXTSPLIT(GM69,",")))),IF(GO69="",TRUE,IF(input_organizer="",TRUE,SUMPRODUCT(--ISNUMBER(SEARCH(","&amp;TRIM(TEXTSPLIT(GO69,","))&amp;",",","&amp;SUBSTITUTE(input_organizer," ","")&amp;",")))=0)),IF(GQ69="",TRUE,IF(input_organizer="",FALSE,SUMPRODUCT(--ISNUMBER(SEARCH(","&amp;TRIM(TEXTSPLIT(GQ69,","))&amp;",",","&amp;SUBSTITUTE(input_organizer," ","")&amp;",")))&gt;0)),IF(GS69="",TRUE,IF(input_organizer="",FALSE,SUMPRODUCT(--ISNUMBER(SEARCH(","&amp;TRIM(TEXTSPLIT(GS69,","))&amp;",",","&amp;SUBSTITUTE(input_organizer," ","")&amp;",")))=COUNTA(TEXTSPLIT(GS69,",")))))</f>
        <v/>
      </c>
      <c r="JM69" s="19">
        <f>AND(IF(GU69="",TRUE,IF(input_profile_type="",FALSE,SUMPRODUCT(--ISNUMBER(SEARCH(","&amp;TRIM(TEXTSPLIT(GU69,","))&amp;",",","&amp;SUBSTITUTE(input_profile_type," ","")&amp;",")))&gt;0)),IF(GW69="",TRUE,IF(input_profile_type="",FALSE,SUMPRODUCT(--ISNUMBER(SEARCH(","&amp;TRIM(TEXTSPLIT(GW69,","))&amp;",",","&amp;SUBSTITUTE(input_profile_type," ","")&amp;",")))=COUNTA(TEXTSPLIT(GW69,",")))),IF(GY69="",TRUE,IF(input_profile_type="",TRUE,SUMPRODUCT(--ISNUMBER(SEARCH(","&amp;TRIM(TEXTSPLIT(GY69,","))&amp;",",","&amp;SUBSTITUTE(input_profile_type," ","")&amp;",")))=0)),IF(HA69="",TRUE,IF(input_profile_type="",FALSE,SUMPRODUCT(--ISNUMBER(SEARCH(","&amp;TRIM(TEXTSPLIT(HA69,","))&amp;",",","&amp;SUBSTITUTE(input_profile_type," ","")&amp;",")))&gt;0)),IF(HC69="",TRUE,IF(input_profile_type="",FALSE,SUMPRODUCT(--ISNUMBER(SEARCH(","&amp;TRIM(TEXTSPLIT(HC69,","))&amp;",",","&amp;SUBSTITUTE(input_profile_type," ","")&amp;",")))=COUNTA(TEXTSPLIT(HC69,",")))))</f>
        <v/>
      </c>
      <c r="JN69" s="19">
        <f>AND(IF(HE69="",TRUE,IF(input_program="",FALSE,SUMPRODUCT(--ISNUMBER(SEARCH(","&amp;TRIM(TEXTSPLIT(HE69,","))&amp;",",","&amp;SUBSTITUTE(input_program," ","")&amp;",")))&gt;0)),IF(HG69="",TRUE,IF(input_program="",FALSE,SUMPRODUCT(--ISNUMBER(SEARCH(","&amp;TRIM(TEXTSPLIT(HG69,","))&amp;",",","&amp;SUBSTITUTE(input_program," ","")&amp;",")))=COUNTA(TEXTSPLIT(HG69,",")))),IF(HI69="",TRUE,IF(input_program="",TRUE,SUMPRODUCT(--ISNUMBER(SEARCH(","&amp;TRIM(TEXTSPLIT(HI69,","))&amp;",",","&amp;SUBSTITUTE(input_program," ","")&amp;",")))=0)),IF(HK69="",TRUE,IF(input_program="",FALSE,SUMPRODUCT(--ISNUMBER(SEARCH(","&amp;TRIM(TEXTSPLIT(HK69,","))&amp;",",","&amp;SUBSTITUTE(input_program," ","")&amp;",")))&gt;0)),IF(HM69="",TRUE,IF(input_program="",FALSE,SUMPRODUCT(--ISNUMBER(SEARCH(","&amp;TRIM(TEXTSPLIT(HM69,","))&amp;",",","&amp;SUBSTITUTE(input_program," ","")&amp;",")))=COUNTA(TEXTSPLIT(HM69,",")))))</f>
        <v/>
      </c>
      <c r="JO69" s="19">
        <f>AND(IF(HO69="",TRUE,IF(input_story_categories="",FALSE,SUMPRODUCT(--ISNUMBER(SEARCH(","&amp;TRIM(TEXTSPLIT(HO69,","))&amp;",",","&amp;SUBSTITUTE(input_story_categories," ","")&amp;",")))&gt;0)),IF(HQ69="",TRUE,IF(input_story_categories="",FALSE,SUMPRODUCT(--ISNUMBER(SEARCH(","&amp;TRIM(TEXTSPLIT(HQ69,","))&amp;",",","&amp;SUBSTITUTE(input_story_categories," ","")&amp;",")))=COUNTA(TEXTSPLIT(HQ69,",")))),IF(HS69="",TRUE,IF(input_story_categories="",TRUE,SUMPRODUCT(--ISNUMBER(SEARCH(","&amp;TRIM(TEXTSPLIT(HS69,","))&amp;",",","&amp;SUBSTITUTE(input_story_categories," ","")&amp;",")))=0)),IF(HU69="",TRUE,IF(input_story_categories="",FALSE,SUMPRODUCT(--ISNUMBER(SEARCH(","&amp;TRIM(TEXTSPLIT(HU69,","))&amp;",",","&amp;SUBSTITUTE(input_story_categories," ","")&amp;",")))&gt;0)),IF(HW69="",TRUE,IF(input_story_categories="",FALSE,SUMPRODUCT(--ISNUMBER(SEARCH(","&amp;TRIM(TEXTSPLIT(HW69,","))&amp;",",","&amp;SUBSTITUTE(input_story_categories," ","")&amp;",")))=COUNTA(TEXTSPLIT(HW69,",")))))</f>
        <v/>
      </c>
      <c r="JP69" s="19">
        <f>AND(IF(HY69="",TRUE,IF(input_story_type="",FALSE,SUMPRODUCT(--ISNUMBER(SEARCH(","&amp;TRIM(TEXTSPLIT(HY69,","))&amp;",",","&amp;SUBSTITUTE(input_story_type," ","")&amp;",")))&gt;0)),IF(IA69="",TRUE,IF(input_story_type="",FALSE,SUMPRODUCT(--ISNUMBER(SEARCH(","&amp;TRIM(TEXTSPLIT(IA69,","))&amp;",",","&amp;SUBSTITUTE(input_story_type," ","")&amp;",")))=COUNTA(TEXTSPLIT(IA69,",")))),IF(IC69="",TRUE,IF(input_story_type="",TRUE,SUMPRODUCT(--ISNUMBER(SEARCH(","&amp;TRIM(TEXTSPLIT(IC69,","))&amp;",",","&amp;SUBSTITUTE(input_story_type," ","")&amp;",")))=0)),IF(IE69="",TRUE,IF(input_story_type="",FALSE,SUMPRODUCT(--ISNUMBER(SEARCH(","&amp;TRIM(TEXTSPLIT(IE69,","))&amp;",",","&amp;SUBSTITUTE(input_story_type," ","")&amp;",")))&gt;0)),IF(IG69="",TRUE,IF(input_story_type="",FALSE,SUMPRODUCT(--ISNUMBER(SEARCH(","&amp;TRIM(TEXTSPLIT(IG69,","))&amp;",",","&amp;SUBSTITUTE(input_story_type," ","")&amp;",")))=COUNTA(TEXTSPLIT(IG69,",")))))</f>
        <v/>
      </c>
      <c r="JQ69" s="19">
        <f>AND(IF(II69="",TRUE,IF(input_topics="",FALSE,SUMPRODUCT(--ISNUMBER(SEARCH(","&amp;TRIM(TEXTSPLIT(II69,","))&amp;",",","&amp;SUBSTITUTE(input_topics," ","")&amp;",")))&gt;0)),IF(IK69="",TRUE,IF(input_topics="",FALSE,SUMPRODUCT(--ISNUMBER(SEARCH(","&amp;TRIM(TEXTSPLIT(IK69,","))&amp;",",","&amp;SUBSTITUTE(input_topics," ","")&amp;",")))=COUNTA(TEXTSPLIT(IK69,",")))),IF(IM69="",TRUE,IF(input_topics="",TRUE,SUMPRODUCT(--ISNUMBER(SEARCH(","&amp;TRIM(TEXTSPLIT(IM69,","))&amp;",",","&amp;SUBSTITUTE(input_topics," ","")&amp;",")))=0)),IF(IO69="",TRUE,IF(input_topics="",FALSE,SUMPRODUCT(--ISNUMBER(SEARCH(","&amp;TRIM(TEXTSPLIT(IO69,","))&amp;",",","&amp;SUBSTITUTE(input_topics," ","")&amp;",")))&gt;0)),IF(IQ69="",TRUE,IF(input_topics="",FALSE,SUMPRODUCT(--ISNUMBER(SEARCH(","&amp;TRIM(TEXTSPLIT(IQ69,","))&amp;",",","&amp;SUBSTITUTE(input_topics," ","")&amp;",")))=COUNTA(TEXTSPLIT(IQ69,",")))))</f>
        <v/>
      </c>
    </row>
    <row r="70">
      <c r="A70" s="24">
        <f>IF(NOT(IS70),"Excluded",IF(AND(IT70,IU70,IV70,IW70,IX70,IY70,IZ70,JA70,JB70,JC70,JD70,JE70,JF70,JG70,JH70,JI70,JJ70,JK70,JL70,JM70,JN70,JO70,JP70,JQ70),IF(I70&gt;0,"Eligible but limited","Will appear"),"Excluded"))</f>
        <v/>
      </c>
      <c r="B70" s="24" t="inlineStr">
        <is>
          <t>All stories</t>
        </is>
      </c>
      <c r="C70" s="27" t="inlineStr">
        <is>
          <t>/the-som-experience/community</t>
        </is>
      </c>
      <c r="D70" s="24" t="inlineStr">
        <is>
          <t>/the-som-experience/community</t>
        </is>
      </c>
      <c r="E70" s="24" t="n">
        <v>1</v>
      </c>
      <c r="F70" s="24" t="inlineStr">
        <is>
          <t>story</t>
        </is>
      </c>
      <c r="G70" s="24" t="inlineStr">
        <is>
          <t>stories_teaser_list</t>
        </is>
      </c>
      <c r="H70" s="24" t="inlineStr">
        <is>
          <t>embed_all</t>
        </is>
      </c>
      <c r="I70" s="24" t="n">
        <v>10</v>
      </c>
      <c r="J70" s="24" t="inlineStr">
        <is>
          <t>View/config rules</t>
        </is>
      </c>
      <c r="K70" s="24" t="inlineStr">
        <is>
          <t>Page placement</t>
        </is>
      </c>
      <c r="L70" s="24" t="inlineStr">
        <is>
          <t>Content type: story; Limited to 10 item(s); Source: View/config rules</t>
        </is>
      </c>
      <c r="IS70" s="19">
        <f>IF(input_content_type="",FALSE,ISNUMBER(SEARCH(","&amp;LOWER(input_content_type)&amp;",",","&amp;LOWER(SUBSTITUTE(F70," ",""))&amp;",")))</f>
        <v/>
      </c>
      <c r="IT70" s="19">
        <f>AND(IF(M70="",TRUE,IF(input_affiliations="",FALSE,SUMPRODUCT(--ISNUMBER(SEARCH(","&amp;TRIM(TEXTSPLIT(M70,","))&amp;",",","&amp;SUBSTITUTE(input_affiliations," ","")&amp;",")))&gt;0)),IF(O70="",TRUE,IF(input_affiliations="",FALSE,SUMPRODUCT(--ISNUMBER(SEARCH(","&amp;TRIM(TEXTSPLIT(O70,","))&amp;",",","&amp;SUBSTITUTE(input_affiliations," ","")&amp;",")))=COUNTA(TEXTSPLIT(O70,",")))),IF(Q70="",TRUE,IF(input_affiliations="",TRUE,SUMPRODUCT(--ISNUMBER(SEARCH(","&amp;TRIM(TEXTSPLIT(Q70,","))&amp;",",","&amp;SUBSTITUTE(input_affiliations," ","")&amp;",")))=0)),IF(S70="",TRUE,IF(input_affiliations="",FALSE,SUMPRODUCT(--ISNUMBER(SEARCH(","&amp;TRIM(TEXTSPLIT(S70,","))&amp;",",","&amp;SUBSTITUTE(input_affiliations," ","")&amp;",")))&gt;0)),IF(U70="",TRUE,IF(input_affiliations="",FALSE,SUMPRODUCT(--ISNUMBER(SEARCH(","&amp;TRIM(TEXTSPLIT(U70,","))&amp;",",","&amp;SUBSTITUTE(input_affiliations," ","")&amp;",")))=COUNTA(TEXTSPLIT(U70,",")))))</f>
        <v/>
      </c>
      <c r="IU70" s="19">
        <f>AND(IF(W70="",TRUE,IF(input_announcement_category="",FALSE,SUMPRODUCT(--ISNUMBER(SEARCH(","&amp;TRIM(TEXTSPLIT(W70,","))&amp;",",","&amp;SUBSTITUTE(input_announcement_category," ","")&amp;",")))&gt;0)),IF(Y70="",TRUE,IF(input_announcement_category="",FALSE,SUMPRODUCT(--ISNUMBER(SEARCH(","&amp;TRIM(TEXTSPLIT(Y70,","))&amp;",",","&amp;SUBSTITUTE(input_announcement_category," ","")&amp;",")))=COUNTA(TEXTSPLIT(Y70,",")))),IF(AA70="",TRUE,IF(input_announcement_category="",TRUE,SUMPRODUCT(--ISNUMBER(SEARCH(","&amp;TRIM(TEXTSPLIT(AA70,","))&amp;",",","&amp;SUBSTITUTE(input_announcement_category," ","")&amp;",")))=0)),IF(AC70="",TRUE,IF(input_announcement_category="",FALSE,SUMPRODUCT(--ISNUMBER(SEARCH(","&amp;TRIM(TEXTSPLIT(AC70,","))&amp;",",","&amp;SUBSTITUTE(input_announcement_category," ","")&amp;",")))&gt;0)),IF(AE70="",TRUE,IF(input_announcement_category="",FALSE,SUMPRODUCT(--ISNUMBER(SEARCH(","&amp;TRIM(TEXTSPLIT(AE70,","))&amp;",",","&amp;SUBSTITUTE(input_announcement_category," ","")&amp;",")))=COUNTA(TEXTSPLIT(AE70,",")))))</f>
        <v/>
      </c>
      <c r="IV70" s="19">
        <f>AND(IF(AG70="",TRUE,IF(input_area_of_focus="",FALSE,SUMPRODUCT(--ISNUMBER(SEARCH(","&amp;TRIM(TEXTSPLIT(AG70,","))&amp;",",","&amp;SUBSTITUTE(input_area_of_focus," ","")&amp;",")))&gt;0)),IF(AI70="",TRUE,IF(input_area_of_focus="",FALSE,SUMPRODUCT(--ISNUMBER(SEARCH(","&amp;TRIM(TEXTSPLIT(AI70,","))&amp;",",","&amp;SUBSTITUTE(input_area_of_focus," ","")&amp;",")))=COUNTA(TEXTSPLIT(AI70,",")))),IF(AK70="",TRUE,IF(input_area_of_focus="",TRUE,SUMPRODUCT(--ISNUMBER(SEARCH(","&amp;TRIM(TEXTSPLIT(AK70,","))&amp;",",","&amp;SUBSTITUTE(input_area_of_focus," ","")&amp;",")))=0)),IF(AM70="",TRUE,IF(input_area_of_focus="",FALSE,SUMPRODUCT(--ISNUMBER(SEARCH(","&amp;TRIM(TEXTSPLIT(AM70,","))&amp;",",","&amp;SUBSTITUTE(input_area_of_focus," ","")&amp;",")))&gt;0)),IF(AO70="",TRUE,IF(input_area_of_focus="",FALSE,SUMPRODUCT(--ISNUMBER(SEARCH(","&amp;TRIM(TEXTSPLIT(AO70,","))&amp;",",","&amp;SUBSTITUTE(input_area_of_focus," ","")&amp;",")))=COUNTA(TEXTSPLIT(AO70,",")))))</f>
        <v/>
      </c>
      <c r="IW70" s="19">
        <f>AND(IF(AQ70="",TRUE,IF(input_audience="",FALSE,SUMPRODUCT(--ISNUMBER(SEARCH(","&amp;TRIM(TEXTSPLIT(AQ70,","))&amp;",",","&amp;SUBSTITUTE(input_audience," ","")&amp;",")))&gt;0)),IF(AS70="",TRUE,IF(input_audience="",FALSE,SUMPRODUCT(--ISNUMBER(SEARCH(","&amp;TRIM(TEXTSPLIT(AS70,","))&amp;",",","&amp;SUBSTITUTE(input_audience," ","")&amp;",")))=COUNTA(TEXTSPLIT(AS70,",")))),IF(AU70="",TRUE,IF(input_audience="",TRUE,SUMPRODUCT(--ISNUMBER(SEARCH(","&amp;TRIM(TEXTSPLIT(AU70,","))&amp;",",","&amp;SUBSTITUTE(input_audience," ","")&amp;",")))=0)),IF(AW70="",TRUE,IF(input_audience="",FALSE,SUMPRODUCT(--ISNUMBER(SEARCH(","&amp;TRIM(TEXTSPLIT(AW70,","))&amp;",",","&amp;SUBSTITUTE(input_audience," ","")&amp;",")))&gt;0)),IF(AY70="",TRUE,IF(input_audience="",FALSE,SUMPRODUCT(--ISNUMBER(SEARCH(","&amp;TRIM(TEXTSPLIT(AY70,","))&amp;",",","&amp;SUBSTITUTE(input_audience," ","")&amp;",")))=COUNTA(TEXTSPLIT(AY70,",")))))</f>
        <v/>
      </c>
      <c r="IX70" s="19">
        <f>AND(IF(BA70="",TRUE,IF(input_challenge_opportunities="",FALSE,SUMPRODUCT(--ISNUMBER(SEARCH(","&amp;TRIM(TEXTSPLIT(BA70,","))&amp;",",","&amp;SUBSTITUTE(input_challenge_opportunities," ","")&amp;",")))&gt;0)),IF(BC70="",TRUE,IF(input_challenge_opportunities="",FALSE,SUMPRODUCT(--ISNUMBER(SEARCH(","&amp;TRIM(TEXTSPLIT(BC70,","))&amp;",",","&amp;SUBSTITUTE(input_challenge_opportunities," ","")&amp;",")))=COUNTA(TEXTSPLIT(BC70,",")))),IF(BE70="",TRUE,IF(input_challenge_opportunities="",TRUE,SUMPRODUCT(--ISNUMBER(SEARCH(","&amp;TRIM(TEXTSPLIT(BE70,","))&amp;",",","&amp;SUBSTITUTE(input_challenge_opportunities," ","")&amp;",")))=0)),IF(BG70="",TRUE,IF(input_challenge_opportunities="",FALSE,SUMPRODUCT(--ISNUMBER(SEARCH(","&amp;TRIM(TEXTSPLIT(BG70,","))&amp;",",","&amp;SUBSTITUTE(input_challenge_opportunities," ","")&amp;",")))&gt;0)),IF(BI70="",TRUE,IF(input_challenge_opportunities="",FALSE,SUMPRODUCT(--ISNUMBER(SEARCH(","&amp;TRIM(TEXTSPLIT(BI70,","))&amp;",",","&amp;SUBSTITUTE(input_challenge_opportunities," ","")&amp;",")))=COUNTA(TEXTSPLIT(BI70,",")))))</f>
        <v/>
      </c>
      <c r="IY70" s="19">
        <f>AND(IF(BK70="",TRUE,IF(input_context="",FALSE,SUMPRODUCT(--ISNUMBER(SEARCH(","&amp;TRIM(TEXTSPLIT(BK70,","))&amp;",",","&amp;SUBSTITUTE(input_context," ","")&amp;",")))&gt;0)),IF(BM70="",TRUE,IF(input_context="",FALSE,SUMPRODUCT(--ISNUMBER(SEARCH(","&amp;TRIM(TEXTSPLIT(BM70,","))&amp;",",","&amp;SUBSTITUTE(input_context," ","")&amp;",")))=COUNTA(TEXTSPLIT(BM70,",")))),IF(BO70="",TRUE,IF(input_context="",TRUE,SUMPRODUCT(--ISNUMBER(SEARCH(","&amp;TRIM(TEXTSPLIT(BO70,","))&amp;",",","&amp;SUBSTITUTE(input_context," ","")&amp;",")))=0)),IF(BQ70="",TRUE,IF(input_context="",FALSE,SUMPRODUCT(--ISNUMBER(SEARCH(","&amp;TRIM(TEXTSPLIT(BQ70,","))&amp;",",","&amp;SUBSTITUTE(input_context," ","")&amp;",")))&gt;0)),IF(BS70="",TRUE,IF(input_context="",FALSE,SUMPRODUCT(--ISNUMBER(SEARCH(","&amp;TRIM(TEXTSPLIT(BS70,","))&amp;",",","&amp;SUBSTITUTE(input_context," ","")&amp;",")))=COUNTA(TEXTSPLIT(BS70,",")))))</f>
        <v/>
      </c>
      <c r="IZ70" s="19">
        <f>AND(IF(BU70="",TRUE,IF(input_enews_announcement_type="",FALSE,SUMPRODUCT(--ISNUMBER(SEARCH(","&amp;TRIM(TEXTSPLIT(BU70,","))&amp;",",","&amp;SUBSTITUTE(input_enews_announcement_type," ","")&amp;",")))&gt;0)),IF(BW70="",TRUE,IF(input_enews_announcement_type="",FALSE,SUMPRODUCT(--ISNUMBER(SEARCH(","&amp;TRIM(TEXTSPLIT(BW70,","))&amp;",",","&amp;SUBSTITUTE(input_enews_announcement_type," ","")&amp;",")))=COUNTA(TEXTSPLIT(BW70,",")))),IF(BY70="",TRUE,IF(input_enews_announcement_type="",TRUE,SUMPRODUCT(--ISNUMBER(SEARCH(","&amp;TRIM(TEXTSPLIT(BY70,","))&amp;",",","&amp;SUBSTITUTE(input_enews_announcement_type," ","")&amp;",")))=0)),IF(CA70="",TRUE,IF(input_enews_announcement_type="",FALSE,SUMPRODUCT(--ISNUMBER(SEARCH(","&amp;TRIM(TEXTSPLIT(CA70,","))&amp;",",","&amp;SUBSTITUTE(input_enews_announcement_type," ","")&amp;",")))&gt;0)),IF(CC70="",TRUE,IF(input_enews_announcement_type="",FALSE,SUMPRODUCT(--ISNUMBER(SEARCH(","&amp;TRIM(TEXTSPLIT(CC70,","))&amp;",",","&amp;SUBSTITUTE(input_enews_announcement_type," ","")&amp;",")))=COUNTA(TEXTSPLIT(CC70,",")))))</f>
        <v/>
      </c>
      <c r="JA70" s="19">
        <f>AND(IF(CE70="",TRUE,IF(input_enews_audience="",FALSE,SUMPRODUCT(--ISNUMBER(SEARCH(","&amp;TRIM(TEXTSPLIT(CE70,","))&amp;",",","&amp;SUBSTITUTE(input_enews_audience," ","")&amp;",")))&gt;0)),IF(CG70="",TRUE,IF(input_enews_audience="",FALSE,SUMPRODUCT(--ISNUMBER(SEARCH(","&amp;TRIM(TEXTSPLIT(CG70,","))&amp;",",","&amp;SUBSTITUTE(input_enews_audience," ","")&amp;",")))=COUNTA(TEXTSPLIT(CG70,",")))),IF(CI70="",TRUE,IF(input_enews_audience="",TRUE,SUMPRODUCT(--ISNUMBER(SEARCH(","&amp;TRIM(TEXTSPLIT(CI70,","))&amp;",",","&amp;SUBSTITUTE(input_enews_audience," ","")&amp;",")))=0)),IF(CK70="",TRUE,IF(input_enews_audience="",FALSE,SUMPRODUCT(--ISNUMBER(SEARCH(","&amp;TRIM(TEXTSPLIT(CK70,","))&amp;",",","&amp;SUBSTITUTE(input_enews_audience," ","")&amp;",")))&gt;0)),IF(CM70="",TRUE,IF(input_enews_audience="",FALSE,SUMPRODUCT(--ISNUMBER(SEARCH(","&amp;TRIM(TEXTSPLIT(CM70,","))&amp;",",","&amp;SUBSTITUTE(input_enews_audience," ","")&amp;",")))=COUNTA(TEXTSPLIT(CM70,",")))))</f>
        <v/>
      </c>
      <c r="JB70" s="19">
        <f>AND(IF(CO70="",TRUE,IF(input_event_location="",FALSE,SUMPRODUCT(--ISNUMBER(SEARCH(","&amp;TRIM(TEXTSPLIT(CO70,","))&amp;",",","&amp;SUBSTITUTE(input_event_location," ","")&amp;",")))&gt;0)),IF(CQ70="",TRUE,IF(input_event_location="",FALSE,SUMPRODUCT(--ISNUMBER(SEARCH(","&amp;TRIM(TEXTSPLIT(CQ70,","))&amp;",",","&amp;SUBSTITUTE(input_event_location," ","")&amp;",")))=COUNTA(TEXTSPLIT(CQ70,",")))),IF(CS70="",TRUE,IF(input_event_location="",TRUE,SUMPRODUCT(--ISNUMBER(SEARCH(","&amp;TRIM(TEXTSPLIT(CS70,","))&amp;",",","&amp;SUBSTITUTE(input_event_location," ","")&amp;",")))=0)),IF(CU70="",TRUE,IF(input_event_location="",FALSE,SUMPRODUCT(--ISNUMBER(SEARCH(","&amp;TRIM(TEXTSPLIT(CU70,","))&amp;",",","&amp;SUBSTITUTE(input_event_location," ","")&amp;",")))&gt;0)),IF(CW70="",TRUE,IF(input_event_location="",FALSE,SUMPRODUCT(--ISNUMBER(SEARCH(","&amp;TRIM(TEXTSPLIT(CW70,","))&amp;",",","&amp;SUBSTITUTE(input_event_location," ","")&amp;",")))=COUNTA(TEXTSPLIT(CW70,",")))))</f>
        <v/>
      </c>
      <c r="JC70" s="19">
        <f>AND(IF(CY70="",TRUE,IF(input_event_type="",FALSE,SUMPRODUCT(--ISNUMBER(SEARCH(","&amp;TRIM(TEXTSPLIT(CY70,","))&amp;",",","&amp;SUBSTITUTE(input_event_type," ","")&amp;",")))&gt;0)),IF(DA70="",TRUE,IF(input_event_type="",FALSE,SUMPRODUCT(--ISNUMBER(SEARCH(","&amp;TRIM(TEXTSPLIT(DA70,","))&amp;",",","&amp;SUBSTITUTE(input_event_type," ","")&amp;",")))=COUNTA(TEXTSPLIT(DA70,",")))),IF(DC70="",TRUE,IF(input_event_type="",TRUE,SUMPRODUCT(--ISNUMBER(SEARCH(","&amp;TRIM(TEXTSPLIT(DC70,","))&amp;",",","&amp;SUBSTITUTE(input_event_type," ","")&amp;",")))=0)),IF(DE70="",TRUE,IF(input_event_type="",FALSE,SUMPRODUCT(--ISNUMBER(SEARCH(","&amp;TRIM(TEXTSPLIT(DE70,","))&amp;",",","&amp;SUBSTITUTE(input_event_type," ","")&amp;",")))&gt;0)),IF(DG70="",TRUE,IF(input_event_type="",FALSE,SUMPRODUCT(--ISNUMBER(SEARCH(","&amp;TRIM(TEXTSPLIT(DG70,","))&amp;",",","&amp;SUBSTITUTE(input_event_type," ","")&amp;",")))=COUNTA(TEXTSPLIT(DG70,",")))))</f>
        <v/>
      </c>
      <c r="JD70" s="19">
        <f>AND(IF(DI70="",TRUE,IF(input_executive_education_focus="",FALSE,SUMPRODUCT(--ISNUMBER(SEARCH(","&amp;TRIM(TEXTSPLIT(DI70,","))&amp;",",","&amp;SUBSTITUTE(input_executive_education_focus," ","")&amp;",")))&gt;0)),IF(DK70="",TRUE,IF(input_executive_education_focus="",FALSE,SUMPRODUCT(--ISNUMBER(SEARCH(","&amp;TRIM(TEXTSPLIT(DK70,","))&amp;",",","&amp;SUBSTITUTE(input_executive_education_focus," ","")&amp;",")))=COUNTA(TEXTSPLIT(DK70,",")))),IF(DM70="",TRUE,IF(input_executive_education_focus="",TRUE,SUMPRODUCT(--ISNUMBER(SEARCH(","&amp;TRIM(TEXTSPLIT(DM70,","))&amp;",",","&amp;SUBSTITUTE(input_executive_education_focus," ","")&amp;",")))=0)),IF(DO70="",TRUE,IF(input_executive_education_focus="",FALSE,SUMPRODUCT(--ISNUMBER(SEARCH(","&amp;TRIM(TEXTSPLIT(DO70,","))&amp;",",","&amp;SUBSTITUTE(input_executive_education_focus," ","")&amp;",")))&gt;0)),IF(DQ70="",TRUE,IF(input_executive_education_focus="",FALSE,SUMPRODUCT(--ISNUMBER(SEARCH(","&amp;TRIM(TEXTSPLIT(DQ70,","))&amp;",",","&amp;SUBSTITUTE(input_executive_education_focus," ","")&amp;",")))=COUNTA(TEXTSPLIT(DQ70,",")))))</f>
        <v/>
      </c>
      <c r="JE70" s="19">
        <f>AND(IF(DS70="",TRUE,IF(input_faculty_category="",FALSE,SUMPRODUCT(--ISNUMBER(SEARCH(","&amp;TRIM(TEXTSPLIT(DS70,","))&amp;",",","&amp;SUBSTITUTE(input_faculty_category," ","")&amp;",")))&gt;0)),IF(DU70="",TRUE,IF(input_faculty_category="",FALSE,SUMPRODUCT(--ISNUMBER(SEARCH(","&amp;TRIM(TEXTSPLIT(DU70,","))&amp;",",","&amp;SUBSTITUTE(input_faculty_category," ","")&amp;",")))=COUNTA(TEXTSPLIT(DU70,",")))),IF(DW70="",TRUE,IF(input_faculty_category="",TRUE,SUMPRODUCT(--ISNUMBER(SEARCH(","&amp;TRIM(TEXTSPLIT(DW70,","))&amp;",",","&amp;SUBSTITUTE(input_faculty_category," ","")&amp;",")))=0)),IF(DY70="",TRUE,IF(input_faculty_category="",FALSE,SUMPRODUCT(--ISNUMBER(SEARCH(","&amp;TRIM(TEXTSPLIT(DY70,","))&amp;",",","&amp;SUBSTITUTE(input_faculty_category," ","")&amp;",")))&gt;0)),IF(EA70="",TRUE,IF(input_faculty_category="",FALSE,SUMPRODUCT(--ISNUMBER(SEARCH(","&amp;TRIM(TEXTSPLIT(EA70,","))&amp;",",","&amp;SUBSTITUTE(input_faculty_category," ","")&amp;",")))=COUNTA(TEXTSPLIT(EA70,",")))))</f>
        <v/>
      </c>
      <c r="JF70" s="19">
        <f>AND(IF(EC70="",TRUE,IF(input_faculty_discipline="",FALSE,SUMPRODUCT(--ISNUMBER(SEARCH(","&amp;TRIM(TEXTSPLIT(EC70,","))&amp;",",","&amp;SUBSTITUTE(input_faculty_discipline," ","")&amp;",")))&gt;0)),IF(EE70="",TRUE,IF(input_faculty_discipline="",FALSE,SUMPRODUCT(--ISNUMBER(SEARCH(","&amp;TRIM(TEXTSPLIT(EE70,","))&amp;",",","&amp;SUBSTITUTE(input_faculty_discipline," ","")&amp;",")))=COUNTA(TEXTSPLIT(EE70,",")))),IF(EG70="",TRUE,IF(input_faculty_discipline="",TRUE,SUMPRODUCT(--ISNUMBER(SEARCH(","&amp;TRIM(TEXTSPLIT(EG70,","))&amp;",",","&amp;SUBSTITUTE(input_faculty_discipline," ","")&amp;",")))=0)),IF(EI70="",TRUE,IF(input_faculty_discipline="",FALSE,SUMPRODUCT(--ISNUMBER(SEARCH(","&amp;TRIM(TEXTSPLIT(EI70,","))&amp;",",","&amp;SUBSTITUTE(input_faculty_discipline," ","")&amp;",")))&gt;0)),IF(EK70="",TRUE,IF(input_faculty_discipline="",FALSE,SUMPRODUCT(--ISNUMBER(SEARCH(","&amp;TRIM(TEXTSPLIT(EK70,","))&amp;",",","&amp;SUBSTITUTE(input_faculty_discipline," ","")&amp;",")))=COUNTA(TEXTSPLIT(EK70,",")))))</f>
        <v/>
      </c>
      <c r="JG70" s="19">
        <f>AND(IF(EM70="",TRUE,IF(input_faculty_expertise="",FALSE,SUMPRODUCT(--ISNUMBER(SEARCH(","&amp;TRIM(TEXTSPLIT(EM70,","))&amp;",",","&amp;SUBSTITUTE(input_faculty_expertise," ","")&amp;",")))&gt;0)),IF(EO70="",TRUE,IF(input_faculty_expertise="",FALSE,SUMPRODUCT(--ISNUMBER(SEARCH(","&amp;TRIM(TEXTSPLIT(EO70,","))&amp;",",","&amp;SUBSTITUTE(input_faculty_expertise," ","")&amp;",")))=COUNTA(TEXTSPLIT(EO70,",")))),IF(EQ70="",TRUE,IF(input_faculty_expertise="",TRUE,SUMPRODUCT(--ISNUMBER(SEARCH(","&amp;TRIM(TEXTSPLIT(EQ70,","))&amp;",",","&amp;SUBSTITUTE(input_faculty_expertise," ","")&amp;",")))=0)),IF(ES70="",TRUE,IF(input_faculty_expertise="",FALSE,SUMPRODUCT(--ISNUMBER(SEARCH(","&amp;TRIM(TEXTSPLIT(ES70,","))&amp;",",","&amp;SUBSTITUTE(input_faculty_expertise," ","")&amp;",")))&gt;0)),IF(EU70="",TRUE,IF(input_faculty_expertise="",FALSE,SUMPRODUCT(--ISNUMBER(SEARCH(","&amp;TRIM(TEXTSPLIT(EU70,","))&amp;",",","&amp;SUBSTITUTE(input_faculty_expertise," ","")&amp;",")))=COUNTA(TEXTSPLIT(EU70,",")))))</f>
        <v/>
      </c>
      <c r="JH70" s="19">
        <f>AND(IF(EW70="",TRUE,IF(input_global_network_school="",FALSE,SUMPRODUCT(--ISNUMBER(SEARCH(","&amp;TRIM(TEXTSPLIT(EW70,","))&amp;",",","&amp;SUBSTITUTE(input_global_network_school," ","")&amp;",")))&gt;0)),IF(EY70="",TRUE,IF(input_global_network_school="",FALSE,SUMPRODUCT(--ISNUMBER(SEARCH(","&amp;TRIM(TEXTSPLIT(EY70,","))&amp;",",","&amp;SUBSTITUTE(input_global_network_school," ","")&amp;",")))=COUNTA(TEXTSPLIT(EY70,",")))),IF(FA70="",TRUE,IF(input_global_network_school="",TRUE,SUMPRODUCT(--ISNUMBER(SEARCH(","&amp;TRIM(TEXTSPLIT(FA70,","))&amp;",",","&amp;SUBSTITUTE(input_global_network_school," ","")&amp;",")))=0)),IF(FC70="",TRUE,IF(input_global_network_school="",FALSE,SUMPRODUCT(--ISNUMBER(SEARCH(","&amp;TRIM(TEXTSPLIT(FC70,","))&amp;",",","&amp;SUBSTITUTE(input_global_network_school," ","")&amp;",")))&gt;0)),IF(FE70="",TRUE,IF(input_global_network_school="",FALSE,SUMPRODUCT(--ISNUMBER(SEARCH(","&amp;TRIM(TEXTSPLIT(FE70,","))&amp;",",","&amp;SUBSTITUTE(input_global_network_school," ","")&amp;",")))=COUNTA(TEXTSPLIT(FE70,",")))))</f>
        <v/>
      </c>
      <c r="JI70" s="19">
        <f>AND(IF(FG70="",TRUE,IF(input_industry="",FALSE,SUMPRODUCT(--ISNUMBER(SEARCH(","&amp;TRIM(TEXTSPLIT(FG70,","))&amp;",",","&amp;SUBSTITUTE(input_industry," ","")&amp;",")))&gt;0)),IF(FI70="",TRUE,IF(input_industry="",FALSE,SUMPRODUCT(--ISNUMBER(SEARCH(","&amp;TRIM(TEXTSPLIT(FI70,","))&amp;",",","&amp;SUBSTITUTE(input_industry," ","")&amp;",")))=COUNTA(TEXTSPLIT(FI70,",")))),IF(FK70="",TRUE,IF(input_industry="",TRUE,SUMPRODUCT(--ISNUMBER(SEARCH(","&amp;TRIM(TEXTSPLIT(FK70,","))&amp;",",","&amp;SUBSTITUTE(input_industry," ","")&amp;",")))=0)),IF(FM70="",TRUE,IF(input_industry="",FALSE,SUMPRODUCT(--ISNUMBER(SEARCH(","&amp;TRIM(TEXTSPLIT(FM70,","))&amp;",",","&amp;SUBSTITUTE(input_industry," ","")&amp;",")))&gt;0)),IF(FO70="",TRUE,IF(input_industry="",FALSE,SUMPRODUCT(--ISNUMBER(SEARCH(","&amp;TRIM(TEXTSPLIT(FO70,","))&amp;",",","&amp;SUBSTITUTE(input_industry," ","")&amp;",")))=COUNTA(TEXTSPLIT(FO70,",")))))</f>
        <v/>
      </c>
      <c r="JJ70" s="19">
        <f>AND(IF(FQ70="",TRUE,IF(input_location="",FALSE,SUMPRODUCT(--ISNUMBER(SEARCH(","&amp;TRIM(TEXTSPLIT(FQ70,","))&amp;",",","&amp;SUBSTITUTE(input_location," ","")&amp;",")))&gt;0)),IF(FS70="",TRUE,IF(input_location="",FALSE,SUMPRODUCT(--ISNUMBER(SEARCH(","&amp;TRIM(TEXTSPLIT(FS70,","))&amp;",",","&amp;SUBSTITUTE(input_location," ","")&amp;",")))=COUNTA(TEXTSPLIT(FS70,",")))),IF(FU70="",TRUE,IF(input_location="",TRUE,SUMPRODUCT(--ISNUMBER(SEARCH(","&amp;TRIM(TEXTSPLIT(FU70,","))&amp;",",","&amp;SUBSTITUTE(input_location," ","")&amp;",")))=0)),IF(FW70="",TRUE,IF(input_location="",FALSE,SUMPRODUCT(--ISNUMBER(SEARCH(","&amp;TRIM(TEXTSPLIT(FW70,","))&amp;",",","&amp;SUBSTITUTE(input_location," ","")&amp;",")))&gt;0)),IF(FY70="",TRUE,IF(input_location="",FALSE,SUMPRODUCT(--ISNUMBER(SEARCH(","&amp;TRIM(TEXTSPLIT(FY70,","))&amp;",",","&amp;SUBSTITUTE(input_location," ","")&amp;",")))=COUNTA(TEXTSPLIT(FY70,",")))))</f>
        <v/>
      </c>
      <c r="JK70" s="19">
        <f>AND(IF(GA70="",TRUE,IF(input_modality="",FALSE,SUMPRODUCT(--ISNUMBER(SEARCH(","&amp;TRIM(TEXTSPLIT(GA70,","))&amp;",",","&amp;SUBSTITUTE(input_modality," ","")&amp;",")))&gt;0)),IF(GC70="",TRUE,IF(input_modality="",FALSE,SUMPRODUCT(--ISNUMBER(SEARCH(","&amp;TRIM(TEXTSPLIT(GC70,","))&amp;",",","&amp;SUBSTITUTE(input_modality," ","")&amp;",")))=COUNTA(TEXTSPLIT(GC70,",")))),IF(GE70="",TRUE,IF(input_modality="",TRUE,SUMPRODUCT(--ISNUMBER(SEARCH(","&amp;TRIM(TEXTSPLIT(GE70,","))&amp;",",","&amp;SUBSTITUTE(input_modality," ","")&amp;",")))=0)),IF(GG70="",TRUE,IF(input_modality="",FALSE,SUMPRODUCT(--ISNUMBER(SEARCH(","&amp;TRIM(TEXTSPLIT(GG70,","))&amp;",",","&amp;SUBSTITUTE(input_modality," ","")&amp;",")))&gt;0)),IF(GI70="",TRUE,IF(input_modality="",FALSE,SUMPRODUCT(--ISNUMBER(SEARCH(","&amp;TRIM(TEXTSPLIT(GI70,","))&amp;",",","&amp;SUBSTITUTE(input_modality," ","")&amp;",")))=COUNTA(TEXTSPLIT(GI70,",")))))</f>
        <v/>
      </c>
      <c r="JL70" s="19">
        <f>AND(IF(GK70="",TRUE,IF(input_organizer="",FALSE,SUMPRODUCT(--ISNUMBER(SEARCH(","&amp;TRIM(TEXTSPLIT(GK70,","))&amp;",",","&amp;SUBSTITUTE(input_organizer," ","")&amp;",")))&gt;0)),IF(GM70="",TRUE,IF(input_organizer="",FALSE,SUMPRODUCT(--ISNUMBER(SEARCH(","&amp;TRIM(TEXTSPLIT(GM70,","))&amp;",",","&amp;SUBSTITUTE(input_organizer," ","")&amp;",")))=COUNTA(TEXTSPLIT(GM70,",")))),IF(GO70="",TRUE,IF(input_organizer="",TRUE,SUMPRODUCT(--ISNUMBER(SEARCH(","&amp;TRIM(TEXTSPLIT(GO70,","))&amp;",",","&amp;SUBSTITUTE(input_organizer," ","")&amp;",")))=0)),IF(GQ70="",TRUE,IF(input_organizer="",FALSE,SUMPRODUCT(--ISNUMBER(SEARCH(","&amp;TRIM(TEXTSPLIT(GQ70,","))&amp;",",","&amp;SUBSTITUTE(input_organizer," ","")&amp;",")))&gt;0)),IF(GS70="",TRUE,IF(input_organizer="",FALSE,SUMPRODUCT(--ISNUMBER(SEARCH(","&amp;TRIM(TEXTSPLIT(GS70,","))&amp;",",","&amp;SUBSTITUTE(input_organizer," ","")&amp;",")))=COUNTA(TEXTSPLIT(GS70,",")))))</f>
        <v/>
      </c>
      <c r="JM70" s="19">
        <f>AND(IF(GU70="",TRUE,IF(input_profile_type="",FALSE,SUMPRODUCT(--ISNUMBER(SEARCH(","&amp;TRIM(TEXTSPLIT(GU70,","))&amp;",",","&amp;SUBSTITUTE(input_profile_type," ","")&amp;",")))&gt;0)),IF(GW70="",TRUE,IF(input_profile_type="",FALSE,SUMPRODUCT(--ISNUMBER(SEARCH(","&amp;TRIM(TEXTSPLIT(GW70,","))&amp;",",","&amp;SUBSTITUTE(input_profile_type," ","")&amp;",")))=COUNTA(TEXTSPLIT(GW70,",")))),IF(GY70="",TRUE,IF(input_profile_type="",TRUE,SUMPRODUCT(--ISNUMBER(SEARCH(","&amp;TRIM(TEXTSPLIT(GY70,","))&amp;",",","&amp;SUBSTITUTE(input_profile_type," ","")&amp;",")))=0)),IF(HA70="",TRUE,IF(input_profile_type="",FALSE,SUMPRODUCT(--ISNUMBER(SEARCH(","&amp;TRIM(TEXTSPLIT(HA70,","))&amp;",",","&amp;SUBSTITUTE(input_profile_type," ","")&amp;",")))&gt;0)),IF(HC70="",TRUE,IF(input_profile_type="",FALSE,SUMPRODUCT(--ISNUMBER(SEARCH(","&amp;TRIM(TEXTSPLIT(HC70,","))&amp;",",","&amp;SUBSTITUTE(input_profile_type," ","")&amp;",")))=COUNTA(TEXTSPLIT(HC70,",")))))</f>
        <v/>
      </c>
      <c r="JN70" s="19">
        <f>AND(IF(HE70="",TRUE,IF(input_program="",FALSE,SUMPRODUCT(--ISNUMBER(SEARCH(","&amp;TRIM(TEXTSPLIT(HE70,","))&amp;",",","&amp;SUBSTITUTE(input_program," ","")&amp;",")))&gt;0)),IF(HG70="",TRUE,IF(input_program="",FALSE,SUMPRODUCT(--ISNUMBER(SEARCH(","&amp;TRIM(TEXTSPLIT(HG70,","))&amp;",",","&amp;SUBSTITUTE(input_program," ","")&amp;",")))=COUNTA(TEXTSPLIT(HG70,",")))),IF(HI70="",TRUE,IF(input_program="",TRUE,SUMPRODUCT(--ISNUMBER(SEARCH(","&amp;TRIM(TEXTSPLIT(HI70,","))&amp;",",","&amp;SUBSTITUTE(input_program," ","")&amp;",")))=0)),IF(HK70="",TRUE,IF(input_program="",FALSE,SUMPRODUCT(--ISNUMBER(SEARCH(","&amp;TRIM(TEXTSPLIT(HK70,","))&amp;",",","&amp;SUBSTITUTE(input_program," ","")&amp;",")))&gt;0)),IF(HM70="",TRUE,IF(input_program="",FALSE,SUMPRODUCT(--ISNUMBER(SEARCH(","&amp;TRIM(TEXTSPLIT(HM70,","))&amp;",",","&amp;SUBSTITUTE(input_program," ","")&amp;",")))=COUNTA(TEXTSPLIT(HM70,",")))))</f>
        <v/>
      </c>
      <c r="JO70" s="19">
        <f>AND(IF(HO70="",TRUE,IF(input_story_categories="",FALSE,SUMPRODUCT(--ISNUMBER(SEARCH(","&amp;TRIM(TEXTSPLIT(HO70,","))&amp;",",","&amp;SUBSTITUTE(input_story_categories," ","")&amp;",")))&gt;0)),IF(HQ70="",TRUE,IF(input_story_categories="",FALSE,SUMPRODUCT(--ISNUMBER(SEARCH(","&amp;TRIM(TEXTSPLIT(HQ70,","))&amp;",",","&amp;SUBSTITUTE(input_story_categories," ","")&amp;",")))=COUNTA(TEXTSPLIT(HQ70,",")))),IF(HS70="",TRUE,IF(input_story_categories="",TRUE,SUMPRODUCT(--ISNUMBER(SEARCH(","&amp;TRIM(TEXTSPLIT(HS70,","))&amp;",",","&amp;SUBSTITUTE(input_story_categories," ","")&amp;",")))=0)),IF(HU70="",TRUE,IF(input_story_categories="",FALSE,SUMPRODUCT(--ISNUMBER(SEARCH(","&amp;TRIM(TEXTSPLIT(HU70,","))&amp;",",","&amp;SUBSTITUTE(input_story_categories," ","")&amp;",")))&gt;0)),IF(HW70="",TRUE,IF(input_story_categories="",FALSE,SUMPRODUCT(--ISNUMBER(SEARCH(","&amp;TRIM(TEXTSPLIT(HW70,","))&amp;",",","&amp;SUBSTITUTE(input_story_categories," ","")&amp;",")))=COUNTA(TEXTSPLIT(HW70,",")))))</f>
        <v/>
      </c>
      <c r="JP70" s="19">
        <f>AND(IF(HY70="",TRUE,IF(input_story_type="",FALSE,SUMPRODUCT(--ISNUMBER(SEARCH(","&amp;TRIM(TEXTSPLIT(HY70,","))&amp;",",","&amp;SUBSTITUTE(input_story_type," ","")&amp;",")))&gt;0)),IF(IA70="",TRUE,IF(input_story_type="",FALSE,SUMPRODUCT(--ISNUMBER(SEARCH(","&amp;TRIM(TEXTSPLIT(IA70,","))&amp;",",","&amp;SUBSTITUTE(input_story_type," ","")&amp;",")))=COUNTA(TEXTSPLIT(IA70,",")))),IF(IC70="",TRUE,IF(input_story_type="",TRUE,SUMPRODUCT(--ISNUMBER(SEARCH(","&amp;TRIM(TEXTSPLIT(IC70,","))&amp;",",","&amp;SUBSTITUTE(input_story_type," ","")&amp;",")))=0)),IF(IE70="",TRUE,IF(input_story_type="",FALSE,SUMPRODUCT(--ISNUMBER(SEARCH(","&amp;TRIM(TEXTSPLIT(IE70,","))&amp;",",","&amp;SUBSTITUTE(input_story_type," ","")&amp;",")))&gt;0)),IF(IG70="",TRUE,IF(input_story_type="",FALSE,SUMPRODUCT(--ISNUMBER(SEARCH(","&amp;TRIM(TEXTSPLIT(IG70,","))&amp;",",","&amp;SUBSTITUTE(input_story_type," ","")&amp;",")))=COUNTA(TEXTSPLIT(IG70,",")))))</f>
        <v/>
      </c>
      <c r="JQ70" s="19">
        <f>AND(IF(II70="",TRUE,IF(input_topics="",FALSE,SUMPRODUCT(--ISNUMBER(SEARCH(","&amp;TRIM(TEXTSPLIT(II70,","))&amp;",",","&amp;SUBSTITUTE(input_topics," ","")&amp;",")))&gt;0)),IF(IK70="",TRUE,IF(input_topics="",FALSE,SUMPRODUCT(--ISNUMBER(SEARCH(","&amp;TRIM(TEXTSPLIT(IK70,","))&amp;",",","&amp;SUBSTITUTE(input_topics," ","")&amp;",")))=COUNTA(TEXTSPLIT(IK70,",")))),IF(IM70="",TRUE,IF(input_topics="",TRUE,SUMPRODUCT(--ISNUMBER(SEARCH(","&amp;TRIM(TEXTSPLIT(IM70,","))&amp;",",","&amp;SUBSTITUTE(input_topics," ","")&amp;",")))=0)),IF(IO70="",TRUE,IF(input_topics="",FALSE,SUMPRODUCT(--ISNUMBER(SEARCH(","&amp;TRIM(TEXTSPLIT(IO70,","))&amp;",",","&amp;SUBSTITUTE(input_topics," ","")&amp;",")))&gt;0)),IF(IQ70="",TRUE,IF(input_topics="",FALSE,SUMPRODUCT(--ISNUMBER(SEARCH(","&amp;TRIM(TEXTSPLIT(IQ70,","))&amp;",",","&amp;SUBSTITUTE(input_topics," ","")&amp;",")))=COUNTA(TEXTSPLIT(IQ70,",")))))</f>
        <v/>
      </c>
    </row>
    <row r="71">
      <c r="A71" s="24">
        <f>IF(NOT(IS71),"Excluded",IF(AND(IT71,IU71,IV71,IW71,IX71,IY71,IZ71,JA71,JB71,JC71,JD71,JE71,JF71,JG71,JH71,JI71,JJ71,JK71,JL71,JM71,JN71,JO71,JP71,JQ71),IF(I71&gt;0,"Eligible but limited","Will appear"),"Excluded"))</f>
        <v/>
      </c>
      <c r="B71" s="24" t="inlineStr">
        <is>
          <t>All stories</t>
        </is>
      </c>
      <c r="C71" s="27" t="inlineStr">
        <is>
          <t>/the-som-experience/life-at-yale-som/new-haven</t>
        </is>
      </c>
      <c r="D71" s="24" t="inlineStr">
        <is>
          <t>/the-som-experience/life-at-yale-som/new-haven</t>
        </is>
      </c>
      <c r="E71" s="24" t="n">
        <v>1</v>
      </c>
      <c r="F71" s="24" t="inlineStr">
        <is>
          <t>story</t>
        </is>
      </c>
      <c r="G71" s="24" t="inlineStr">
        <is>
          <t>stories_mosaic_grid</t>
        </is>
      </c>
      <c r="H71" s="24" t="inlineStr">
        <is>
          <t>embed_all_stories</t>
        </is>
      </c>
      <c r="I71" s="24" t="n">
        <v>1</v>
      </c>
      <c r="J71" s="24" t="inlineStr">
        <is>
          <t>View/config rules</t>
        </is>
      </c>
      <c r="K71" s="24" t="inlineStr">
        <is>
          <t>Page placement</t>
        </is>
      </c>
      <c r="L71" s="24" t="inlineStr">
        <is>
          <t>Content type: story; Limited to 1 item(s); Source: View/config rules</t>
        </is>
      </c>
      <c r="IS71" s="19">
        <f>IF(input_content_type="",FALSE,ISNUMBER(SEARCH(","&amp;LOWER(input_content_type)&amp;",",","&amp;LOWER(SUBSTITUTE(F71," ",""))&amp;",")))</f>
        <v/>
      </c>
      <c r="IT71" s="19">
        <f>AND(IF(M71="",TRUE,IF(input_affiliations="",FALSE,SUMPRODUCT(--ISNUMBER(SEARCH(","&amp;TRIM(TEXTSPLIT(M71,","))&amp;",",","&amp;SUBSTITUTE(input_affiliations," ","")&amp;",")))&gt;0)),IF(O71="",TRUE,IF(input_affiliations="",FALSE,SUMPRODUCT(--ISNUMBER(SEARCH(","&amp;TRIM(TEXTSPLIT(O71,","))&amp;",",","&amp;SUBSTITUTE(input_affiliations," ","")&amp;",")))=COUNTA(TEXTSPLIT(O71,",")))),IF(Q71="",TRUE,IF(input_affiliations="",TRUE,SUMPRODUCT(--ISNUMBER(SEARCH(","&amp;TRIM(TEXTSPLIT(Q71,","))&amp;",",","&amp;SUBSTITUTE(input_affiliations," ","")&amp;",")))=0)),IF(S71="",TRUE,IF(input_affiliations="",FALSE,SUMPRODUCT(--ISNUMBER(SEARCH(","&amp;TRIM(TEXTSPLIT(S71,","))&amp;",",","&amp;SUBSTITUTE(input_affiliations," ","")&amp;",")))&gt;0)),IF(U71="",TRUE,IF(input_affiliations="",FALSE,SUMPRODUCT(--ISNUMBER(SEARCH(","&amp;TRIM(TEXTSPLIT(U71,","))&amp;",",","&amp;SUBSTITUTE(input_affiliations," ","")&amp;",")))=COUNTA(TEXTSPLIT(U71,",")))))</f>
        <v/>
      </c>
      <c r="IU71" s="19">
        <f>AND(IF(W71="",TRUE,IF(input_announcement_category="",FALSE,SUMPRODUCT(--ISNUMBER(SEARCH(","&amp;TRIM(TEXTSPLIT(W71,","))&amp;",",","&amp;SUBSTITUTE(input_announcement_category," ","")&amp;",")))&gt;0)),IF(Y71="",TRUE,IF(input_announcement_category="",FALSE,SUMPRODUCT(--ISNUMBER(SEARCH(","&amp;TRIM(TEXTSPLIT(Y71,","))&amp;",",","&amp;SUBSTITUTE(input_announcement_category," ","")&amp;",")))=COUNTA(TEXTSPLIT(Y71,",")))),IF(AA71="",TRUE,IF(input_announcement_category="",TRUE,SUMPRODUCT(--ISNUMBER(SEARCH(","&amp;TRIM(TEXTSPLIT(AA71,","))&amp;",",","&amp;SUBSTITUTE(input_announcement_category," ","")&amp;",")))=0)),IF(AC71="",TRUE,IF(input_announcement_category="",FALSE,SUMPRODUCT(--ISNUMBER(SEARCH(","&amp;TRIM(TEXTSPLIT(AC71,","))&amp;",",","&amp;SUBSTITUTE(input_announcement_category," ","")&amp;",")))&gt;0)),IF(AE71="",TRUE,IF(input_announcement_category="",FALSE,SUMPRODUCT(--ISNUMBER(SEARCH(","&amp;TRIM(TEXTSPLIT(AE71,","))&amp;",",","&amp;SUBSTITUTE(input_announcement_category," ","")&amp;",")))=COUNTA(TEXTSPLIT(AE71,",")))))</f>
        <v/>
      </c>
      <c r="IV71" s="19">
        <f>AND(IF(AG71="",TRUE,IF(input_area_of_focus="",FALSE,SUMPRODUCT(--ISNUMBER(SEARCH(","&amp;TRIM(TEXTSPLIT(AG71,","))&amp;",",","&amp;SUBSTITUTE(input_area_of_focus," ","")&amp;",")))&gt;0)),IF(AI71="",TRUE,IF(input_area_of_focus="",FALSE,SUMPRODUCT(--ISNUMBER(SEARCH(","&amp;TRIM(TEXTSPLIT(AI71,","))&amp;",",","&amp;SUBSTITUTE(input_area_of_focus," ","")&amp;",")))=COUNTA(TEXTSPLIT(AI71,",")))),IF(AK71="",TRUE,IF(input_area_of_focus="",TRUE,SUMPRODUCT(--ISNUMBER(SEARCH(","&amp;TRIM(TEXTSPLIT(AK71,","))&amp;",",","&amp;SUBSTITUTE(input_area_of_focus," ","")&amp;",")))=0)),IF(AM71="",TRUE,IF(input_area_of_focus="",FALSE,SUMPRODUCT(--ISNUMBER(SEARCH(","&amp;TRIM(TEXTSPLIT(AM71,","))&amp;",",","&amp;SUBSTITUTE(input_area_of_focus," ","")&amp;",")))&gt;0)),IF(AO71="",TRUE,IF(input_area_of_focus="",FALSE,SUMPRODUCT(--ISNUMBER(SEARCH(","&amp;TRIM(TEXTSPLIT(AO71,","))&amp;",",","&amp;SUBSTITUTE(input_area_of_focus," ","")&amp;",")))=COUNTA(TEXTSPLIT(AO71,",")))))</f>
        <v/>
      </c>
      <c r="IW71" s="19">
        <f>AND(IF(AQ71="",TRUE,IF(input_audience="",FALSE,SUMPRODUCT(--ISNUMBER(SEARCH(","&amp;TRIM(TEXTSPLIT(AQ71,","))&amp;",",","&amp;SUBSTITUTE(input_audience," ","")&amp;",")))&gt;0)),IF(AS71="",TRUE,IF(input_audience="",FALSE,SUMPRODUCT(--ISNUMBER(SEARCH(","&amp;TRIM(TEXTSPLIT(AS71,","))&amp;",",","&amp;SUBSTITUTE(input_audience," ","")&amp;",")))=COUNTA(TEXTSPLIT(AS71,",")))),IF(AU71="",TRUE,IF(input_audience="",TRUE,SUMPRODUCT(--ISNUMBER(SEARCH(","&amp;TRIM(TEXTSPLIT(AU71,","))&amp;",",","&amp;SUBSTITUTE(input_audience," ","")&amp;",")))=0)),IF(AW71="",TRUE,IF(input_audience="",FALSE,SUMPRODUCT(--ISNUMBER(SEARCH(","&amp;TRIM(TEXTSPLIT(AW71,","))&amp;",",","&amp;SUBSTITUTE(input_audience," ","")&amp;",")))&gt;0)),IF(AY71="",TRUE,IF(input_audience="",FALSE,SUMPRODUCT(--ISNUMBER(SEARCH(","&amp;TRIM(TEXTSPLIT(AY71,","))&amp;",",","&amp;SUBSTITUTE(input_audience," ","")&amp;",")))=COUNTA(TEXTSPLIT(AY71,",")))))</f>
        <v/>
      </c>
      <c r="IX71" s="19">
        <f>AND(IF(BA71="",TRUE,IF(input_challenge_opportunities="",FALSE,SUMPRODUCT(--ISNUMBER(SEARCH(","&amp;TRIM(TEXTSPLIT(BA71,","))&amp;",",","&amp;SUBSTITUTE(input_challenge_opportunities," ","")&amp;",")))&gt;0)),IF(BC71="",TRUE,IF(input_challenge_opportunities="",FALSE,SUMPRODUCT(--ISNUMBER(SEARCH(","&amp;TRIM(TEXTSPLIT(BC71,","))&amp;",",","&amp;SUBSTITUTE(input_challenge_opportunities," ","")&amp;",")))=COUNTA(TEXTSPLIT(BC71,",")))),IF(BE71="",TRUE,IF(input_challenge_opportunities="",TRUE,SUMPRODUCT(--ISNUMBER(SEARCH(","&amp;TRIM(TEXTSPLIT(BE71,","))&amp;",",","&amp;SUBSTITUTE(input_challenge_opportunities," ","")&amp;",")))=0)),IF(BG71="",TRUE,IF(input_challenge_opportunities="",FALSE,SUMPRODUCT(--ISNUMBER(SEARCH(","&amp;TRIM(TEXTSPLIT(BG71,","))&amp;",",","&amp;SUBSTITUTE(input_challenge_opportunities," ","")&amp;",")))&gt;0)),IF(BI71="",TRUE,IF(input_challenge_opportunities="",FALSE,SUMPRODUCT(--ISNUMBER(SEARCH(","&amp;TRIM(TEXTSPLIT(BI71,","))&amp;",",","&amp;SUBSTITUTE(input_challenge_opportunities," ","")&amp;",")))=COUNTA(TEXTSPLIT(BI71,",")))))</f>
        <v/>
      </c>
      <c r="IY71" s="19">
        <f>AND(IF(BK71="",TRUE,IF(input_context="",FALSE,SUMPRODUCT(--ISNUMBER(SEARCH(","&amp;TRIM(TEXTSPLIT(BK71,","))&amp;",",","&amp;SUBSTITUTE(input_context," ","")&amp;",")))&gt;0)),IF(BM71="",TRUE,IF(input_context="",FALSE,SUMPRODUCT(--ISNUMBER(SEARCH(","&amp;TRIM(TEXTSPLIT(BM71,","))&amp;",",","&amp;SUBSTITUTE(input_context," ","")&amp;",")))=COUNTA(TEXTSPLIT(BM71,",")))),IF(BO71="",TRUE,IF(input_context="",TRUE,SUMPRODUCT(--ISNUMBER(SEARCH(","&amp;TRIM(TEXTSPLIT(BO71,","))&amp;",",","&amp;SUBSTITUTE(input_context," ","")&amp;",")))=0)),IF(BQ71="",TRUE,IF(input_context="",FALSE,SUMPRODUCT(--ISNUMBER(SEARCH(","&amp;TRIM(TEXTSPLIT(BQ71,","))&amp;",",","&amp;SUBSTITUTE(input_context," ","")&amp;",")))&gt;0)),IF(BS71="",TRUE,IF(input_context="",FALSE,SUMPRODUCT(--ISNUMBER(SEARCH(","&amp;TRIM(TEXTSPLIT(BS71,","))&amp;",",","&amp;SUBSTITUTE(input_context," ","")&amp;",")))=COUNTA(TEXTSPLIT(BS71,",")))))</f>
        <v/>
      </c>
      <c r="IZ71" s="19">
        <f>AND(IF(BU71="",TRUE,IF(input_enews_announcement_type="",FALSE,SUMPRODUCT(--ISNUMBER(SEARCH(","&amp;TRIM(TEXTSPLIT(BU71,","))&amp;",",","&amp;SUBSTITUTE(input_enews_announcement_type," ","")&amp;",")))&gt;0)),IF(BW71="",TRUE,IF(input_enews_announcement_type="",FALSE,SUMPRODUCT(--ISNUMBER(SEARCH(","&amp;TRIM(TEXTSPLIT(BW71,","))&amp;",",","&amp;SUBSTITUTE(input_enews_announcement_type," ","")&amp;",")))=COUNTA(TEXTSPLIT(BW71,",")))),IF(BY71="",TRUE,IF(input_enews_announcement_type="",TRUE,SUMPRODUCT(--ISNUMBER(SEARCH(","&amp;TRIM(TEXTSPLIT(BY71,","))&amp;",",","&amp;SUBSTITUTE(input_enews_announcement_type," ","")&amp;",")))=0)),IF(CA71="",TRUE,IF(input_enews_announcement_type="",FALSE,SUMPRODUCT(--ISNUMBER(SEARCH(","&amp;TRIM(TEXTSPLIT(CA71,","))&amp;",",","&amp;SUBSTITUTE(input_enews_announcement_type," ","")&amp;",")))&gt;0)),IF(CC71="",TRUE,IF(input_enews_announcement_type="",FALSE,SUMPRODUCT(--ISNUMBER(SEARCH(","&amp;TRIM(TEXTSPLIT(CC71,","))&amp;",",","&amp;SUBSTITUTE(input_enews_announcement_type," ","")&amp;",")))=COUNTA(TEXTSPLIT(CC71,",")))))</f>
        <v/>
      </c>
      <c r="JA71" s="19">
        <f>AND(IF(CE71="",TRUE,IF(input_enews_audience="",FALSE,SUMPRODUCT(--ISNUMBER(SEARCH(","&amp;TRIM(TEXTSPLIT(CE71,","))&amp;",",","&amp;SUBSTITUTE(input_enews_audience," ","")&amp;",")))&gt;0)),IF(CG71="",TRUE,IF(input_enews_audience="",FALSE,SUMPRODUCT(--ISNUMBER(SEARCH(","&amp;TRIM(TEXTSPLIT(CG71,","))&amp;",",","&amp;SUBSTITUTE(input_enews_audience," ","")&amp;",")))=COUNTA(TEXTSPLIT(CG71,",")))),IF(CI71="",TRUE,IF(input_enews_audience="",TRUE,SUMPRODUCT(--ISNUMBER(SEARCH(","&amp;TRIM(TEXTSPLIT(CI71,","))&amp;",",","&amp;SUBSTITUTE(input_enews_audience," ","")&amp;",")))=0)),IF(CK71="",TRUE,IF(input_enews_audience="",FALSE,SUMPRODUCT(--ISNUMBER(SEARCH(","&amp;TRIM(TEXTSPLIT(CK71,","))&amp;",",","&amp;SUBSTITUTE(input_enews_audience," ","")&amp;",")))&gt;0)),IF(CM71="",TRUE,IF(input_enews_audience="",FALSE,SUMPRODUCT(--ISNUMBER(SEARCH(","&amp;TRIM(TEXTSPLIT(CM71,","))&amp;",",","&amp;SUBSTITUTE(input_enews_audience," ","")&amp;",")))=COUNTA(TEXTSPLIT(CM71,",")))))</f>
        <v/>
      </c>
      <c r="JB71" s="19">
        <f>AND(IF(CO71="",TRUE,IF(input_event_location="",FALSE,SUMPRODUCT(--ISNUMBER(SEARCH(","&amp;TRIM(TEXTSPLIT(CO71,","))&amp;",",","&amp;SUBSTITUTE(input_event_location," ","")&amp;",")))&gt;0)),IF(CQ71="",TRUE,IF(input_event_location="",FALSE,SUMPRODUCT(--ISNUMBER(SEARCH(","&amp;TRIM(TEXTSPLIT(CQ71,","))&amp;",",","&amp;SUBSTITUTE(input_event_location," ","")&amp;",")))=COUNTA(TEXTSPLIT(CQ71,",")))),IF(CS71="",TRUE,IF(input_event_location="",TRUE,SUMPRODUCT(--ISNUMBER(SEARCH(","&amp;TRIM(TEXTSPLIT(CS71,","))&amp;",",","&amp;SUBSTITUTE(input_event_location," ","")&amp;",")))=0)),IF(CU71="",TRUE,IF(input_event_location="",FALSE,SUMPRODUCT(--ISNUMBER(SEARCH(","&amp;TRIM(TEXTSPLIT(CU71,","))&amp;",",","&amp;SUBSTITUTE(input_event_location," ","")&amp;",")))&gt;0)),IF(CW71="",TRUE,IF(input_event_location="",FALSE,SUMPRODUCT(--ISNUMBER(SEARCH(","&amp;TRIM(TEXTSPLIT(CW71,","))&amp;",",","&amp;SUBSTITUTE(input_event_location," ","")&amp;",")))=COUNTA(TEXTSPLIT(CW71,",")))))</f>
        <v/>
      </c>
      <c r="JC71" s="19">
        <f>AND(IF(CY71="",TRUE,IF(input_event_type="",FALSE,SUMPRODUCT(--ISNUMBER(SEARCH(","&amp;TRIM(TEXTSPLIT(CY71,","))&amp;",",","&amp;SUBSTITUTE(input_event_type," ","")&amp;",")))&gt;0)),IF(DA71="",TRUE,IF(input_event_type="",FALSE,SUMPRODUCT(--ISNUMBER(SEARCH(","&amp;TRIM(TEXTSPLIT(DA71,","))&amp;",",","&amp;SUBSTITUTE(input_event_type," ","")&amp;",")))=COUNTA(TEXTSPLIT(DA71,",")))),IF(DC71="",TRUE,IF(input_event_type="",TRUE,SUMPRODUCT(--ISNUMBER(SEARCH(","&amp;TRIM(TEXTSPLIT(DC71,","))&amp;",",","&amp;SUBSTITUTE(input_event_type," ","")&amp;",")))=0)),IF(DE71="",TRUE,IF(input_event_type="",FALSE,SUMPRODUCT(--ISNUMBER(SEARCH(","&amp;TRIM(TEXTSPLIT(DE71,","))&amp;",",","&amp;SUBSTITUTE(input_event_type," ","")&amp;",")))&gt;0)),IF(DG71="",TRUE,IF(input_event_type="",FALSE,SUMPRODUCT(--ISNUMBER(SEARCH(","&amp;TRIM(TEXTSPLIT(DG71,","))&amp;",",","&amp;SUBSTITUTE(input_event_type," ","")&amp;",")))=COUNTA(TEXTSPLIT(DG71,",")))))</f>
        <v/>
      </c>
      <c r="JD71" s="19">
        <f>AND(IF(DI71="",TRUE,IF(input_executive_education_focus="",FALSE,SUMPRODUCT(--ISNUMBER(SEARCH(","&amp;TRIM(TEXTSPLIT(DI71,","))&amp;",",","&amp;SUBSTITUTE(input_executive_education_focus," ","")&amp;",")))&gt;0)),IF(DK71="",TRUE,IF(input_executive_education_focus="",FALSE,SUMPRODUCT(--ISNUMBER(SEARCH(","&amp;TRIM(TEXTSPLIT(DK71,","))&amp;",",","&amp;SUBSTITUTE(input_executive_education_focus," ","")&amp;",")))=COUNTA(TEXTSPLIT(DK71,",")))),IF(DM71="",TRUE,IF(input_executive_education_focus="",TRUE,SUMPRODUCT(--ISNUMBER(SEARCH(","&amp;TRIM(TEXTSPLIT(DM71,","))&amp;",",","&amp;SUBSTITUTE(input_executive_education_focus," ","")&amp;",")))=0)),IF(DO71="",TRUE,IF(input_executive_education_focus="",FALSE,SUMPRODUCT(--ISNUMBER(SEARCH(","&amp;TRIM(TEXTSPLIT(DO71,","))&amp;",",","&amp;SUBSTITUTE(input_executive_education_focus," ","")&amp;",")))&gt;0)),IF(DQ71="",TRUE,IF(input_executive_education_focus="",FALSE,SUMPRODUCT(--ISNUMBER(SEARCH(","&amp;TRIM(TEXTSPLIT(DQ71,","))&amp;",",","&amp;SUBSTITUTE(input_executive_education_focus," ","")&amp;",")))=COUNTA(TEXTSPLIT(DQ71,",")))))</f>
        <v/>
      </c>
      <c r="JE71" s="19">
        <f>AND(IF(DS71="",TRUE,IF(input_faculty_category="",FALSE,SUMPRODUCT(--ISNUMBER(SEARCH(","&amp;TRIM(TEXTSPLIT(DS71,","))&amp;",",","&amp;SUBSTITUTE(input_faculty_category," ","")&amp;",")))&gt;0)),IF(DU71="",TRUE,IF(input_faculty_category="",FALSE,SUMPRODUCT(--ISNUMBER(SEARCH(","&amp;TRIM(TEXTSPLIT(DU71,","))&amp;",",","&amp;SUBSTITUTE(input_faculty_category," ","")&amp;",")))=COUNTA(TEXTSPLIT(DU71,",")))),IF(DW71="",TRUE,IF(input_faculty_category="",TRUE,SUMPRODUCT(--ISNUMBER(SEARCH(","&amp;TRIM(TEXTSPLIT(DW71,","))&amp;",",","&amp;SUBSTITUTE(input_faculty_category," ","")&amp;",")))=0)),IF(DY71="",TRUE,IF(input_faculty_category="",FALSE,SUMPRODUCT(--ISNUMBER(SEARCH(","&amp;TRIM(TEXTSPLIT(DY71,","))&amp;",",","&amp;SUBSTITUTE(input_faculty_category," ","")&amp;",")))&gt;0)),IF(EA71="",TRUE,IF(input_faculty_category="",FALSE,SUMPRODUCT(--ISNUMBER(SEARCH(","&amp;TRIM(TEXTSPLIT(EA71,","))&amp;",",","&amp;SUBSTITUTE(input_faculty_category," ","")&amp;",")))=COUNTA(TEXTSPLIT(EA71,",")))))</f>
        <v/>
      </c>
      <c r="JF71" s="19">
        <f>AND(IF(EC71="",TRUE,IF(input_faculty_discipline="",FALSE,SUMPRODUCT(--ISNUMBER(SEARCH(","&amp;TRIM(TEXTSPLIT(EC71,","))&amp;",",","&amp;SUBSTITUTE(input_faculty_discipline," ","")&amp;",")))&gt;0)),IF(EE71="",TRUE,IF(input_faculty_discipline="",FALSE,SUMPRODUCT(--ISNUMBER(SEARCH(","&amp;TRIM(TEXTSPLIT(EE71,","))&amp;",",","&amp;SUBSTITUTE(input_faculty_discipline," ","")&amp;",")))=COUNTA(TEXTSPLIT(EE71,",")))),IF(EG71="",TRUE,IF(input_faculty_discipline="",TRUE,SUMPRODUCT(--ISNUMBER(SEARCH(","&amp;TRIM(TEXTSPLIT(EG71,","))&amp;",",","&amp;SUBSTITUTE(input_faculty_discipline," ","")&amp;",")))=0)),IF(EI71="",TRUE,IF(input_faculty_discipline="",FALSE,SUMPRODUCT(--ISNUMBER(SEARCH(","&amp;TRIM(TEXTSPLIT(EI71,","))&amp;",",","&amp;SUBSTITUTE(input_faculty_discipline," ","")&amp;",")))&gt;0)),IF(EK71="",TRUE,IF(input_faculty_discipline="",FALSE,SUMPRODUCT(--ISNUMBER(SEARCH(","&amp;TRIM(TEXTSPLIT(EK71,","))&amp;",",","&amp;SUBSTITUTE(input_faculty_discipline," ","")&amp;",")))=COUNTA(TEXTSPLIT(EK71,",")))))</f>
        <v/>
      </c>
      <c r="JG71" s="19">
        <f>AND(IF(EM71="",TRUE,IF(input_faculty_expertise="",FALSE,SUMPRODUCT(--ISNUMBER(SEARCH(","&amp;TRIM(TEXTSPLIT(EM71,","))&amp;",",","&amp;SUBSTITUTE(input_faculty_expertise," ","")&amp;",")))&gt;0)),IF(EO71="",TRUE,IF(input_faculty_expertise="",FALSE,SUMPRODUCT(--ISNUMBER(SEARCH(","&amp;TRIM(TEXTSPLIT(EO71,","))&amp;",",","&amp;SUBSTITUTE(input_faculty_expertise," ","")&amp;",")))=COUNTA(TEXTSPLIT(EO71,",")))),IF(EQ71="",TRUE,IF(input_faculty_expertise="",TRUE,SUMPRODUCT(--ISNUMBER(SEARCH(","&amp;TRIM(TEXTSPLIT(EQ71,","))&amp;",",","&amp;SUBSTITUTE(input_faculty_expertise," ","")&amp;",")))=0)),IF(ES71="",TRUE,IF(input_faculty_expertise="",FALSE,SUMPRODUCT(--ISNUMBER(SEARCH(","&amp;TRIM(TEXTSPLIT(ES71,","))&amp;",",","&amp;SUBSTITUTE(input_faculty_expertise," ","")&amp;",")))&gt;0)),IF(EU71="",TRUE,IF(input_faculty_expertise="",FALSE,SUMPRODUCT(--ISNUMBER(SEARCH(","&amp;TRIM(TEXTSPLIT(EU71,","))&amp;",",","&amp;SUBSTITUTE(input_faculty_expertise," ","")&amp;",")))=COUNTA(TEXTSPLIT(EU71,",")))))</f>
        <v/>
      </c>
      <c r="JH71" s="19">
        <f>AND(IF(EW71="",TRUE,IF(input_global_network_school="",FALSE,SUMPRODUCT(--ISNUMBER(SEARCH(","&amp;TRIM(TEXTSPLIT(EW71,","))&amp;",",","&amp;SUBSTITUTE(input_global_network_school," ","")&amp;",")))&gt;0)),IF(EY71="",TRUE,IF(input_global_network_school="",FALSE,SUMPRODUCT(--ISNUMBER(SEARCH(","&amp;TRIM(TEXTSPLIT(EY71,","))&amp;",",","&amp;SUBSTITUTE(input_global_network_school," ","")&amp;",")))=COUNTA(TEXTSPLIT(EY71,",")))),IF(FA71="",TRUE,IF(input_global_network_school="",TRUE,SUMPRODUCT(--ISNUMBER(SEARCH(","&amp;TRIM(TEXTSPLIT(FA71,","))&amp;",",","&amp;SUBSTITUTE(input_global_network_school," ","")&amp;",")))=0)),IF(FC71="",TRUE,IF(input_global_network_school="",FALSE,SUMPRODUCT(--ISNUMBER(SEARCH(","&amp;TRIM(TEXTSPLIT(FC71,","))&amp;",",","&amp;SUBSTITUTE(input_global_network_school," ","")&amp;",")))&gt;0)),IF(FE71="",TRUE,IF(input_global_network_school="",FALSE,SUMPRODUCT(--ISNUMBER(SEARCH(","&amp;TRIM(TEXTSPLIT(FE71,","))&amp;",",","&amp;SUBSTITUTE(input_global_network_school," ","")&amp;",")))=COUNTA(TEXTSPLIT(FE71,",")))))</f>
        <v/>
      </c>
      <c r="JI71" s="19">
        <f>AND(IF(FG71="",TRUE,IF(input_industry="",FALSE,SUMPRODUCT(--ISNUMBER(SEARCH(","&amp;TRIM(TEXTSPLIT(FG71,","))&amp;",",","&amp;SUBSTITUTE(input_industry," ","")&amp;",")))&gt;0)),IF(FI71="",TRUE,IF(input_industry="",FALSE,SUMPRODUCT(--ISNUMBER(SEARCH(","&amp;TRIM(TEXTSPLIT(FI71,","))&amp;",",","&amp;SUBSTITUTE(input_industry," ","")&amp;",")))=COUNTA(TEXTSPLIT(FI71,",")))),IF(FK71="",TRUE,IF(input_industry="",TRUE,SUMPRODUCT(--ISNUMBER(SEARCH(","&amp;TRIM(TEXTSPLIT(FK71,","))&amp;",",","&amp;SUBSTITUTE(input_industry," ","")&amp;",")))=0)),IF(FM71="",TRUE,IF(input_industry="",FALSE,SUMPRODUCT(--ISNUMBER(SEARCH(","&amp;TRIM(TEXTSPLIT(FM71,","))&amp;",",","&amp;SUBSTITUTE(input_industry," ","")&amp;",")))&gt;0)),IF(FO71="",TRUE,IF(input_industry="",FALSE,SUMPRODUCT(--ISNUMBER(SEARCH(","&amp;TRIM(TEXTSPLIT(FO71,","))&amp;",",","&amp;SUBSTITUTE(input_industry," ","")&amp;",")))=COUNTA(TEXTSPLIT(FO71,",")))))</f>
        <v/>
      </c>
      <c r="JJ71" s="19">
        <f>AND(IF(FQ71="",TRUE,IF(input_location="",FALSE,SUMPRODUCT(--ISNUMBER(SEARCH(","&amp;TRIM(TEXTSPLIT(FQ71,","))&amp;",",","&amp;SUBSTITUTE(input_location," ","")&amp;",")))&gt;0)),IF(FS71="",TRUE,IF(input_location="",FALSE,SUMPRODUCT(--ISNUMBER(SEARCH(","&amp;TRIM(TEXTSPLIT(FS71,","))&amp;",",","&amp;SUBSTITUTE(input_location," ","")&amp;",")))=COUNTA(TEXTSPLIT(FS71,",")))),IF(FU71="",TRUE,IF(input_location="",TRUE,SUMPRODUCT(--ISNUMBER(SEARCH(","&amp;TRIM(TEXTSPLIT(FU71,","))&amp;",",","&amp;SUBSTITUTE(input_location," ","")&amp;",")))=0)),IF(FW71="",TRUE,IF(input_location="",FALSE,SUMPRODUCT(--ISNUMBER(SEARCH(","&amp;TRIM(TEXTSPLIT(FW71,","))&amp;",",","&amp;SUBSTITUTE(input_location," ","")&amp;",")))&gt;0)),IF(FY71="",TRUE,IF(input_location="",FALSE,SUMPRODUCT(--ISNUMBER(SEARCH(","&amp;TRIM(TEXTSPLIT(FY71,","))&amp;",",","&amp;SUBSTITUTE(input_location," ","")&amp;",")))=COUNTA(TEXTSPLIT(FY71,",")))))</f>
        <v/>
      </c>
      <c r="JK71" s="19">
        <f>AND(IF(GA71="",TRUE,IF(input_modality="",FALSE,SUMPRODUCT(--ISNUMBER(SEARCH(","&amp;TRIM(TEXTSPLIT(GA71,","))&amp;",",","&amp;SUBSTITUTE(input_modality," ","")&amp;",")))&gt;0)),IF(GC71="",TRUE,IF(input_modality="",FALSE,SUMPRODUCT(--ISNUMBER(SEARCH(","&amp;TRIM(TEXTSPLIT(GC71,","))&amp;",",","&amp;SUBSTITUTE(input_modality," ","")&amp;",")))=COUNTA(TEXTSPLIT(GC71,",")))),IF(GE71="",TRUE,IF(input_modality="",TRUE,SUMPRODUCT(--ISNUMBER(SEARCH(","&amp;TRIM(TEXTSPLIT(GE71,","))&amp;",",","&amp;SUBSTITUTE(input_modality," ","")&amp;",")))=0)),IF(GG71="",TRUE,IF(input_modality="",FALSE,SUMPRODUCT(--ISNUMBER(SEARCH(","&amp;TRIM(TEXTSPLIT(GG71,","))&amp;",",","&amp;SUBSTITUTE(input_modality," ","")&amp;",")))&gt;0)),IF(GI71="",TRUE,IF(input_modality="",FALSE,SUMPRODUCT(--ISNUMBER(SEARCH(","&amp;TRIM(TEXTSPLIT(GI71,","))&amp;",",","&amp;SUBSTITUTE(input_modality," ","")&amp;",")))=COUNTA(TEXTSPLIT(GI71,",")))))</f>
        <v/>
      </c>
      <c r="JL71" s="19">
        <f>AND(IF(GK71="",TRUE,IF(input_organizer="",FALSE,SUMPRODUCT(--ISNUMBER(SEARCH(","&amp;TRIM(TEXTSPLIT(GK71,","))&amp;",",","&amp;SUBSTITUTE(input_organizer," ","")&amp;",")))&gt;0)),IF(GM71="",TRUE,IF(input_organizer="",FALSE,SUMPRODUCT(--ISNUMBER(SEARCH(","&amp;TRIM(TEXTSPLIT(GM71,","))&amp;",",","&amp;SUBSTITUTE(input_organizer," ","")&amp;",")))=COUNTA(TEXTSPLIT(GM71,",")))),IF(GO71="",TRUE,IF(input_organizer="",TRUE,SUMPRODUCT(--ISNUMBER(SEARCH(","&amp;TRIM(TEXTSPLIT(GO71,","))&amp;",",","&amp;SUBSTITUTE(input_organizer," ","")&amp;",")))=0)),IF(GQ71="",TRUE,IF(input_organizer="",FALSE,SUMPRODUCT(--ISNUMBER(SEARCH(","&amp;TRIM(TEXTSPLIT(GQ71,","))&amp;",",","&amp;SUBSTITUTE(input_organizer," ","")&amp;",")))&gt;0)),IF(GS71="",TRUE,IF(input_organizer="",FALSE,SUMPRODUCT(--ISNUMBER(SEARCH(","&amp;TRIM(TEXTSPLIT(GS71,","))&amp;",",","&amp;SUBSTITUTE(input_organizer," ","")&amp;",")))=COUNTA(TEXTSPLIT(GS71,",")))))</f>
        <v/>
      </c>
      <c r="JM71" s="19">
        <f>AND(IF(GU71="",TRUE,IF(input_profile_type="",FALSE,SUMPRODUCT(--ISNUMBER(SEARCH(","&amp;TRIM(TEXTSPLIT(GU71,","))&amp;",",","&amp;SUBSTITUTE(input_profile_type," ","")&amp;",")))&gt;0)),IF(GW71="",TRUE,IF(input_profile_type="",FALSE,SUMPRODUCT(--ISNUMBER(SEARCH(","&amp;TRIM(TEXTSPLIT(GW71,","))&amp;",",","&amp;SUBSTITUTE(input_profile_type," ","")&amp;",")))=COUNTA(TEXTSPLIT(GW71,",")))),IF(GY71="",TRUE,IF(input_profile_type="",TRUE,SUMPRODUCT(--ISNUMBER(SEARCH(","&amp;TRIM(TEXTSPLIT(GY71,","))&amp;",",","&amp;SUBSTITUTE(input_profile_type," ","")&amp;",")))=0)),IF(HA71="",TRUE,IF(input_profile_type="",FALSE,SUMPRODUCT(--ISNUMBER(SEARCH(","&amp;TRIM(TEXTSPLIT(HA71,","))&amp;",",","&amp;SUBSTITUTE(input_profile_type," ","")&amp;",")))&gt;0)),IF(HC71="",TRUE,IF(input_profile_type="",FALSE,SUMPRODUCT(--ISNUMBER(SEARCH(","&amp;TRIM(TEXTSPLIT(HC71,","))&amp;",",","&amp;SUBSTITUTE(input_profile_type," ","")&amp;",")))=COUNTA(TEXTSPLIT(HC71,",")))))</f>
        <v/>
      </c>
      <c r="JN71" s="19">
        <f>AND(IF(HE71="",TRUE,IF(input_program="",FALSE,SUMPRODUCT(--ISNUMBER(SEARCH(","&amp;TRIM(TEXTSPLIT(HE71,","))&amp;",",","&amp;SUBSTITUTE(input_program," ","")&amp;",")))&gt;0)),IF(HG71="",TRUE,IF(input_program="",FALSE,SUMPRODUCT(--ISNUMBER(SEARCH(","&amp;TRIM(TEXTSPLIT(HG71,","))&amp;",",","&amp;SUBSTITUTE(input_program," ","")&amp;",")))=COUNTA(TEXTSPLIT(HG71,",")))),IF(HI71="",TRUE,IF(input_program="",TRUE,SUMPRODUCT(--ISNUMBER(SEARCH(","&amp;TRIM(TEXTSPLIT(HI71,","))&amp;",",","&amp;SUBSTITUTE(input_program," ","")&amp;",")))=0)),IF(HK71="",TRUE,IF(input_program="",FALSE,SUMPRODUCT(--ISNUMBER(SEARCH(","&amp;TRIM(TEXTSPLIT(HK71,","))&amp;",",","&amp;SUBSTITUTE(input_program," ","")&amp;",")))&gt;0)),IF(HM71="",TRUE,IF(input_program="",FALSE,SUMPRODUCT(--ISNUMBER(SEARCH(","&amp;TRIM(TEXTSPLIT(HM71,","))&amp;",",","&amp;SUBSTITUTE(input_program," ","")&amp;",")))=COUNTA(TEXTSPLIT(HM71,",")))))</f>
        <v/>
      </c>
      <c r="JO71" s="19">
        <f>AND(IF(HO71="",TRUE,IF(input_story_categories="",FALSE,SUMPRODUCT(--ISNUMBER(SEARCH(","&amp;TRIM(TEXTSPLIT(HO71,","))&amp;",",","&amp;SUBSTITUTE(input_story_categories," ","")&amp;",")))&gt;0)),IF(HQ71="",TRUE,IF(input_story_categories="",FALSE,SUMPRODUCT(--ISNUMBER(SEARCH(","&amp;TRIM(TEXTSPLIT(HQ71,","))&amp;",",","&amp;SUBSTITUTE(input_story_categories," ","")&amp;",")))=COUNTA(TEXTSPLIT(HQ71,",")))),IF(HS71="",TRUE,IF(input_story_categories="",TRUE,SUMPRODUCT(--ISNUMBER(SEARCH(","&amp;TRIM(TEXTSPLIT(HS71,","))&amp;",",","&amp;SUBSTITUTE(input_story_categories," ","")&amp;",")))=0)),IF(HU71="",TRUE,IF(input_story_categories="",FALSE,SUMPRODUCT(--ISNUMBER(SEARCH(","&amp;TRIM(TEXTSPLIT(HU71,","))&amp;",",","&amp;SUBSTITUTE(input_story_categories," ","")&amp;",")))&gt;0)),IF(HW71="",TRUE,IF(input_story_categories="",FALSE,SUMPRODUCT(--ISNUMBER(SEARCH(","&amp;TRIM(TEXTSPLIT(HW71,","))&amp;",",","&amp;SUBSTITUTE(input_story_categories," ","")&amp;",")))=COUNTA(TEXTSPLIT(HW71,",")))))</f>
        <v/>
      </c>
      <c r="JP71" s="19">
        <f>AND(IF(HY71="",TRUE,IF(input_story_type="",FALSE,SUMPRODUCT(--ISNUMBER(SEARCH(","&amp;TRIM(TEXTSPLIT(HY71,","))&amp;",",","&amp;SUBSTITUTE(input_story_type," ","")&amp;",")))&gt;0)),IF(IA71="",TRUE,IF(input_story_type="",FALSE,SUMPRODUCT(--ISNUMBER(SEARCH(","&amp;TRIM(TEXTSPLIT(IA71,","))&amp;",",","&amp;SUBSTITUTE(input_story_type," ","")&amp;",")))=COUNTA(TEXTSPLIT(IA71,",")))),IF(IC71="",TRUE,IF(input_story_type="",TRUE,SUMPRODUCT(--ISNUMBER(SEARCH(","&amp;TRIM(TEXTSPLIT(IC71,","))&amp;",",","&amp;SUBSTITUTE(input_story_type," ","")&amp;",")))=0)),IF(IE71="",TRUE,IF(input_story_type="",FALSE,SUMPRODUCT(--ISNUMBER(SEARCH(","&amp;TRIM(TEXTSPLIT(IE71,","))&amp;",",","&amp;SUBSTITUTE(input_story_type," ","")&amp;",")))&gt;0)),IF(IG71="",TRUE,IF(input_story_type="",FALSE,SUMPRODUCT(--ISNUMBER(SEARCH(","&amp;TRIM(TEXTSPLIT(IG71,","))&amp;",",","&amp;SUBSTITUTE(input_story_type," ","")&amp;",")))=COUNTA(TEXTSPLIT(IG71,",")))))</f>
        <v/>
      </c>
      <c r="JQ71" s="19">
        <f>AND(IF(II71="",TRUE,IF(input_topics="",FALSE,SUMPRODUCT(--ISNUMBER(SEARCH(","&amp;TRIM(TEXTSPLIT(II71,","))&amp;",",","&amp;SUBSTITUTE(input_topics," ","")&amp;",")))&gt;0)),IF(IK71="",TRUE,IF(input_topics="",FALSE,SUMPRODUCT(--ISNUMBER(SEARCH(","&amp;TRIM(TEXTSPLIT(IK71,","))&amp;",",","&amp;SUBSTITUTE(input_topics," ","")&amp;",")))=COUNTA(TEXTSPLIT(IK71,",")))),IF(IM71="",TRUE,IF(input_topics="",TRUE,SUMPRODUCT(--ISNUMBER(SEARCH(","&amp;TRIM(TEXTSPLIT(IM71,","))&amp;",",","&amp;SUBSTITUTE(input_topics," ","")&amp;",")))=0)),IF(IO71="",TRUE,IF(input_topics="",FALSE,SUMPRODUCT(--ISNUMBER(SEARCH(","&amp;TRIM(TEXTSPLIT(IO71,","))&amp;",",","&amp;SUBSTITUTE(input_topics," ","")&amp;",")))&gt;0)),IF(IQ71="",TRUE,IF(input_topics="",FALSE,SUMPRODUCT(--ISNUMBER(SEARCH(","&amp;TRIM(TEXTSPLIT(IQ71,","))&amp;",",","&amp;SUBSTITUTE(input_topics," ","")&amp;",")))=COUNTA(TEXTSPLIT(IQ71,",")))))</f>
        <v/>
      </c>
    </row>
    <row r="72">
      <c r="A72" s="24">
        <f>IF(NOT(IS72),"Excluded",IF(AND(IT72,IU72,IV72,IW72,IX72,IY72,IZ72,JA72,JB72,JC72,JD72,JE72,JF72,JG72,JH72,JI72,JJ72,JK72,JL72,JM72,JN72,JO72,JP72,JQ72),IF(I72&gt;0,"Eligible but limited","Will appear"),"Excluded"))</f>
        <v/>
      </c>
      <c r="B72" s="24" t="inlineStr">
        <is>
          <t>Alumni Headlines</t>
        </is>
      </c>
      <c r="C72" s="27" t="inlineStr">
        <is>
          <t>/alumni/alumni-headlines</t>
        </is>
      </c>
      <c r="D72" s="24" t="inlineStr">
        <is>
          <t>/alumni/alumni-headlines</t>
        </is>
      </c>
      <c r="E72" s="24" t="n">
        <v>1</v>
      </c>
      <c r="F72" s="24" t="inlineStr">
        <is>
          <t>story</t>
        </is>
      </c>
      <c r="G72" s="24" t="inlineStr">
        <is>
          <t>stories_list</t>
        </is>
      </c>
      <c r="H72" s="24" t="inlineStr">
        <is>
          <t>embed_1</t>
        </is>
      </c>
      <c r="I72" s="24" t="n">
        <v>10</v>
      </c>
      <c r="J72" s="28" t="inlineStr">
        <is>
          <t>Explicit args</t>
        </is>
      </c>
      <c r="K72" s="24" t="inlineStr">
        <is>
          <t>Page placement</t>
        </is>
      </c>
      <c r="L72" s="24" t="inlineStr">
        <is>
          <t>Content type: story; Context uses Courses Context: Alumni (1142); Limited to 10 item(s); Source: Explicit args</t>
        </is>
      </c>
      <c r="BQ72" s="19" t="inlineStr">
        <is>
          <t>1142</t>
        </is>
      </c>
      <c r="BR72" s="19" t="inlineStr">
        <is>
          <t>Alumni (1142)</t>
        </is>
      </c>
      <c r="IS72" s="19">
        <f>IF(input_content_type="",FALSE,ISNUMBER(SEARCH(","&amp;LOWER(input_content_type)&amp;",",","&amp;LOWER(SUBSTITUTE(F72," ",""))&amp;",")))</f>
        <v/>
      </c>
      <c r="IT72" s="19">
        <f>AND(IF(M72="",TRUE,IF(input_affiliations="",FALSE,SUMPRODUCT(--ISNUMBER(SEARCH(","&amp;TRIM(TEXTSPLIT(M72,","))&amp;",",","&amp;SUBSTITUTE(input_affiliations," ","")&amp;",")))&gt;0)),IF(O72="",TRUE,IF(input_affiliations="",FALSE,SUMPRODUCT(--ISNUMBER(SEARCH(","&amp;TRIM(TEXTSPLIT(O72,","))&amp;",",","&amp;SUBSTITUTE(input_affiliations," ","")&amp;",")))=COUNTA(TEXTSPLIT(O72,",")))),IF(Q72="",TRUE,IF(input_affiliations="",TRUE,SUMPRODUCT(--ISNUMBER(SEARCH(","&amp;TRIM(TEXTSPLIT(Q72,","))&amp;",",","&amp;SUBSTITUTE(input_affiliations," ","")&amp;",")))=0)),IF(S72="",TRUE,IF(input_affiliations="",FALSE,SUMPRODUCT(--ISNUMBER(SEARCH(","&amp;TRIM(TEXTSPLIT(S72,","))&amp;",",","&amp;SUBSTITUTE(input_affiliations," ","")&amp;",")))&gt;0)),IF(U72="",TRUE,IF(input_affiliations="",FALSE,SUMPRODUCT(--ISNUMBER(SEARCH(","&amp;TRIM(TEXTSPLIT(U72,","))&amp;",",","&amp;SUBSTITUTE(input_affiliations," ","")&amp;",")))=COUNTA(TEXTSPLIT(U72,",")))))</f>
        <v/>
      </c>
      <c r="IU72" s="19">
        <f>AND(IF(W72="",TRUE,IF(input_announcement_category="",FALSE,SUMPRODUCT(--ISNUMBER(SEARCH(","&amp;TRIM(TEXTSPLIT(W72,","))&amp;",",","&amp;SUBSTITUTE(input_announcement_category," ","")&amp;",")))&gt;0)),IF(Y72="",TRUE,IF(input_announcement_category="",FALSE,SUMPRODUCT(--ISNUMBER(SEARCH(","&amp;TRIM(TEXTSPLIT(Y72,","))&amp;",",","&amp;SUBSTITUTE(input_announcement_category," ","")&amp;",")))=COUNTA(TEXTSPLIT(Y72,",")))),IF(AA72="",TRUE,IF(input_announcement_category="",TRUE,SUMPRODUCT(--ISNUMBER(SEARCH(","&amp;TRIM(TEXTSPLIT(AA72,","))&amp;",",","&amp;SUBSTITUTE(input_announcement_category," ","")&amp;",")))=0)),IF(AC72="",TRUE,IF(input_announcement_category="",FALSE,SUMPRODUCT(--ISNUMBER(SEARCH(","&amp;TRIM(TEXTSPLIT(AC72,","))&amp;",",","&amp;SUBSTITUTE(input_announcement_category," ","")&amp;",")))&gt;0)),IF(AE72="",TRUE,IF(input_announcement_category="",FALSE,SUMPRODUCT(--ISNUMBER(SEARCH(","&amp;TRIM(TEXTSPLIT(AE72,","))&amp;",",","&amp;SUBSTITUTE(input_announcement_category," ","")&amp;",")))=COUNTA(TEXTSPLIT(AE72,",")))))</f>
        <v/>
      </c>
      <c r="IV72" s="19">
        <f>AND(IF(AG72="",TRUE,IF(input_area_of_focus="",FALSE,SUMPRODUCT(--ISNUMBER(SEARCH(","&amp;TRIM(TEXTSPLIT(AG72,","))&amp;",",","&amp;SUBSTITUTE(input_area_of_focus," ","")&amp;",")))&gt;0)),IF(AI72="",TRUE,IF(input_area_of_focus="",FALSE,SUMPRODUCT(--ISNUMBER(SEARCH(","&amp;TRIM(TEXTSPLIT(AI72,","))&amp;",",","&amp;SUBSTITUTE(input_area_of_focus," ","")&amp;",")))=COUNTA(TEXTSPLIT(AI72,",")))),IF(AK72="",TRUE,IF(input_area_of_focus="",TRUE,SUMPRODUCT(--ISNUMBER(SEARCH(","&amp;TRIM(TEXTSPLIT(AK72,","))&amp;",",","&amp;SUBSTITUTE(input_area_of_focus," ","")&amp;",")))=0)),IF(AM72="",TRUE,IF(input_area_of_focus="",FALSE,SUMPRODUCT(--ISNUMBER(SEARCH(","&amp;TRIM(TEXTSPLIT(AM72,","))&amp;",",","&amp;SUBSTITUTE(input_area_of_focus," ","")&amp;",")))&gt;0)),IF(AO72="",TRUE,IF(input_area_of_focus="",FALSE,SUMPRODUCT(--ISNUMBER(SEARCH(","&amp;TRIM(TEXTSPLIT(AO72,","))&amp;",",","&amp;SUBSTITUTE(input_area_of_focus," ","")&amp;",")))=COUNTA(TEXTSPLIT(AO72,",")))))</f>
        <v/>
      </c>
      <c r="IW72" s="19">
        <f>AND(IF(AQ72="",TRUE,IF(input_audience="",FALSE,SUMPRODUCT(--ISNUMBER(SEARCH(","&amp;TRIM(TEXTSPLIT(AQ72,","))&amp;",",","&amp;SUBSTITUTE(input_audience," ","")&amp;",")))&gt;0)),IF(AS72="",TRUE,IF(input_audience="",FALSE,SUMPRODUCT(--ISNUMBER(SEARCH(","&amp;TRIM(TEXTSPLIT(AS72,","))&amp;",",","&amp;SUBSTITUTE(input_audience," ","")&amp;",")))=COUNTA(TEXTSPLIT(AS72,",")))),IF(AU72="",TRUE,IF(input_audience="",TRUE,SUMPRODUCT(--ISNUMBER(SEARCH(","&amp;TRIM(TEXTSPLIT(AU72,","))&amp;",",","&amp;SUBSTITUTE(input_audience," ","")&amp;",")))=0)),IF(AW72="",TRUE,IF(input_audience="",FALSE,SUMPRODUCT(--ISNUMBER(SEARCH(","&amp;TRIM(TEXTSPLIT(AW72,","))&amp;",",","&amp;SUBSTITUTE(input_audience," ","")&amp;",")))&gt;0)),IF(AY72="",TRUE,IF(input_audience="",FALSE,SUMPRODUCT(--ISNUMBER(SEARCH(","&amp;TRIM(TEXTSPLIT(AY72,","))&amp;",",","&amp;SUBSTITUTE(input_audience," ","")&amp;",")))=COUNTA(TEXTSPLIT(AY72,",")))))</f>
        <v/>
      </c>
      <c r="IX72" s="19">
        <f>AND(IF(BA72="",TRUE,IF(input_challenge_opportunities="",FALSE,SUMPRODUCT(--ISNUMBER(SEARCH(","&amp;TRIM(TEXTSPLIT(BA72,","))&amp;",",","&amp;SUBSTITUTE(input_challenge_opportunities," ","")&amp;",")))&gt;0)),IF(BC72="",TRUE,IF(input_challenge_opportunities="",FALSE,SUMPRODUCT(--ISNUMBER(SEARCH(","&amp;TRIM(TEXTSPLIT(BC72,","))&amp;",",","&amp;SUBSTITUTE(input_challenge_opportunities," ","")&amp;",")))=COUNTA(TEXTSPLIT(BC72,",")))),IF(BE72="",TRUE,IF(input_challenge_opportunities="",TRUE,SUMPRODUCT(--ISNUMBER(SEARCH(","&amp;TRIM(TEXTSPLIT(BE72,","))&amp;",",","&amp;SUBSTITUTE(input_challenge_opportunities," ","")&amp;",")))=0)),IF(BG72="",TRUE,IF(input_challenge_opportunities="",FALSE,SUMPRODUCT(--ISNUMBER(SEARCH(","&amp;TRIM(TEXTSPLIT(BG72,","))&amp;",",","&amp;SUBSTITUTE(input_challenge_opportunities," ","")&amp;",")))&gt;0)),IF(BI72="",TRUE,IF(input_challenge_opportunities="",FALSE,SUMPRODUCT(--ISNUMBER(SEARCH(","&amp;TRIM(TEXTSPLIT(BI72,","))&amp;",",","&amp;SUBSTITUTE(input_challenge_opportunities," ","")&amp;",")))=COUNTA(TEXTSPLIT(BI72,",")))))</f>
        <v/>
      </c>
      <c r="IY72" s="19">
        <f>AND(IF(BK72="",TRUE,IF(input_context="",FALSE,SUMPRODUCT(--ISNUMBER(SEARCH(","&amp;TRIM(TEXTSPLIT(BK72,","))&amp;",",","&amp;SUBSTITUTE(input_context," ","")&amp;",")))&gt;0)),IF(BM72="",TRUE,IF(input_context="",FALSE,SUMPRODUCT(--ISNUMBER(SEARCH(","&amp;TRIM(TEXTSPLIT(BM72,","))&amp;",",","&amp;SUBSTITUTE(input_context," ","")&amp;",")))=COUNTA(TEXTSPLIT(BM72,",")))),IF(BO72="",TRUE,IF(input_context="",TRUE,SUMPRODUCT(--ISNUMBER(SEARCH(","&amp;TRIM(TEXTSPLIT(BO72,","))&amp;",",","&amp;SUBSTITUTE(input_context," ","")&amp;",")))=0)),IF(BQ72="",TRUE,IF(input_context="",FALSE,SUMPRODUCT(--ISNUMBER(SEARCH(","&amp;TRIM(TEXTSPLIT(BQ72,","))&amp;",",","&amp;SUBSTITUTE(input_context," ","")&amp;",")))&gt;0)),IF(BS72="",TRUE,IF(input_context="",FALSE,SUMPRODUCT(--ISNUMBER(SEARCH(","&amp;TRIM(TEXTSPLIT(BS72,","))&amp;",",","&amp;SUBSTITUTE(input_context," ","")&amp;",")))=COUNTA(TEXTSPLIT(BS72,",")))))</f>
        <v/>
      </c>
      <c r="IZ72" s="19">
        <f>AND(IF(BU72="",TRUE,IF(input_enews_announcement_type="",FALSE,SUMPRODUCT(--ISNUMBER(SEARCH(","&amp;TRIM(TEXTSPLIT(BU72,","))&amp;",",","&amp;SUBSTITUTE(input_enews_announcement_type," ","")&amp;",")))&gt;0)),IF(BW72="",TRUE,IF(input_enews_announcement_type="",FALSE,SUMPRODUCT(--ISNUMBER(SEARCH(","&amp;TRIM(TEXTSPLIT(BW72,","))&amp;",",","&amp;SUBSTITUTE(input_enews_announcement_type," ","")&amp;",")))=COUNTA(TEXTSPLIT(BW72,",")))),IF(BY72="",TRUE,IF(input_enews_announcement_type="",TRUE,SUMPRODUCT(--ISNUMBER(SEARCH(","&amp;TRIM(TEXTSPLIT(BY72,","))&amp;",",","&amp;SUBSTITUTE(input_enews_announcement_type," ","")&amp;",")))=0)),IF(CA72="",TRUE,IF(input_enews_announcement_type="",FALSE,SUMPRODUCT(--ISNUMBER(SEARCH(","&amp;TRIM(TEXTSPLIT(CA72,","))&amp;",",","&amp;SUBSTITUTE(input_enews_announcement_type," ","")&amp;",")))&gt;0)),IF(CC72="",TRUE,IF(input_enews_announcement_type="",FALSE,SUMPRODUCT(--ISNUMBER(SEARCH(","&amp;TRIM(TEXTSPLIT(CC72,","))&amp;",",","&amp;SUBSTITUTE(input_enews_announcement_type," ","")&amp;",")))=COUNTA(TEXTSPLIT(CC72,",")))))</f>
        <v/>
      </c>
      <c r="JA72" s="19">
        <f>AND(IF(CE72="",TRUE,IF(input_enews_audience="",FALSE,SUMPRODUCT(--ISNUMBER(SEARCH(","&amp;TRIM(TEXTSPLIT(CE72,","))&amp;",",","&amp;SUBSTITUTE(input_enews_audience," ","")&amp;",")))&gt;0)),IF(CG72="",TRUE,IF(input_enews_audience="",FALSE,SUMPRODUCT(--ISNUMBER(SEARCH(","&amp;TRIM(TEXTSPLIT(CG72,","))&amp;",",","&amp;SUBSTITUTE(input_enews_audience," ","")&amp;",")))=COUNTA(TEXTSPLIT(CG72,",")))),IF(CI72="",TRUE,IF(input_enews_audience="",TRUE,SUMPRODUCT(--ISNUMBER(SEARCH(","&amp;TRIM(TEXTSPLIT(CI72,","))&amp;",",","&amp;SUBSTITUTE(input_enews_audience," ","")&amp;",")))=0)),IF(CK72="",TRUE,IF(input_enews_audience="",FALSE,SUMPRODUCT(--ISNUMBER(SEARCH(","&amp;TRIM(TEXTSPLIT(CK72,","))&amp;",",","&amp;SUBSTITUTE(input_enews_audience," ","")&amp;",")))&gt;0)),IF(CM72="",TRUE,IF(input_enews_audience="",FALSE,SUMPRODUCT(--ISNUMBER(SEARCH(","&amp;TRIM(TEXTSPLIT(CM72,","))&amp;",",","&amp;SUBSTITUTE(input_enews_audience," ","")&amp;",")))=COUNTA(TEXTSPLIT(CM72,",")))))</f>
        <v/>
      </c>
      <c r="JB72" s="19">
        <f>AND(IF(CO72="",TRUE,IF(input_event_location="",FALSE,SUMPRODUCT(--ISNUMBER(SEARCH(","&amp;TRIM(TEXTSPLIT(CO72,","))&amp;",",","&amp;SUBSTITUTE(input_event_location," ","")&amp;",")))&gt;0)),IF(CQ72="",TRUE,IF(input_event_location="",FALSE,SUMPRODUCT(--ISNUMBER(SEARCH(","&amp;TRIM(TEXTSPLIT(CQ72,","))&amp;",",","&amp;SUBSTITUTE(input_event_location," ","")&amp;",")))=COUNTA(TEXTSPLIT(CQ72,",")))),IF(CS72="",TRUE,IF(input_event_location="",TRUE,SUMPRODUCT(--ISNUMBER(SEARCH(","&amp;TRIM(TEXTSPLIT(CS72,","))&amp;",",","&amp;SUBSTITUTE(input_event_location," ","")&amp;",")))=0)),IF(CU72="",TRUE,IF(input_event_location="",FALSE,SUMPRODUCT(--ISNUMBER(SEARCH(","&amp;TRIM(TEXTSPLIT(CU72,","))&amp;",",","&amp;SUBSTITUTE(input_event_location," ","")&amp;",")))&gt;0)),IF(CW72="",TRUE,IF(input_event_location="",FALSE,SUMPRODUCT(--ISNUMBER(SEARCH(","&amp;TRIM(TEXTSPLIT(CW72,","))&amp;",",","&amp;SUBSTITUTE(input_event_location," ","")&amp;",")))=COUNTA(TEXTSPLIT(CW72,",")))))</f>
        <v/>
      </c>
      <c r="JC72" s="19">
        <f>AND(IF(CY72="",TRUE,IF(input_event_type="",FALSE,SUMPRODUCT(--ISNUMBER(SEARCH(","&amp;TRIM(TEXTSPLIT(CY72,","))&amp;",",","&amp;SUBSTITUTE(input_event_type," ","")&amp;",")))&gt;0)),IF(DA72="",TRUE,IF(input_event_type="",FALSE,SUMPRODUCT(--ISNUMBER(SEARCH(","&amp;TRIM(TEXTSPLIT(DA72,","))&amp;",",","&amp;SUBSTITUTE(input_event_type," ","")&amp;",")))=COUNTA(TEXTSPLIT(DA72,",")))),IF(DC72="",TRUE,IF(input_event_type="",TRUE,SUMPRODUCT(--ISNUMBER(SEARCH(","&amp;TRIM(TEXTSPLIT(DC72,","))&amp;",",","&amp;SUBSTITUTE(input_event_type," ","")&amp;",")))=0)),IF(DE72="",TRUE,IF(input_event_type="",FALSE,SUMPRODUCT(--ISNUMBER(SEARCH(","&amp;TRIM(TEXTSPLIT(DE72,","))&amp;",",","&amp;SUBSTITUTE(input_event_type," ","")&amp;",")))&gt;0)),IF(DG72="",TRUE,IF(input_event_type="",FALSE,SUMPRODUCT(--ISNUMBER(SEARCH(","&amp;TRIM(TEXTSPLIT(DG72,","))&amp;",",","&amp;SUBSTITUTE(input_event_type," ","")&amp;",")))=COUNTA(TEXTSPLIT(DG72,",")))))</f>
        <v/>
      </c>
      <c r="JD72" s="19">
        <f>AND(IF(DI72="",TRUE,IF(input_executive_education_focus="",FALSE,SUMPRODUCT(--ISNUMBER(SEARCH(","&amp;TRIM(TEXTSPLIT(DI72,","))&amp;",",","&amp;SUBSTITUTE(input_executive_education_focus," ","")&amp;",")))&gt;0)),IF(DK72="",TRUE,IF(input_executive_education_focus="",FALSE,SUMPRODUCT(--ISNUMBER(SEARCH(","&amp;TRIM(TEXTSPLIT(DK72,","))&amp;",",","&amp;SUBSTITUTE(input_executive_education_focus," ","")&amp;",")))=COUNTA(TEXTSPLIT(DK72,",")))),IF(DM72="",TRUE,IF(input_executive_education_focus="",TRUE,SUMPRODUCT(--ISNUMBER(SEARCH(","&amp;TRIM(TEXTSPLIT(DM72,","))&amp;",",","&amp;SUBSTITUTE(input_executive_education_focus," ","")&amp;",")))=0)),IF(DO72="",TRUE,IF(input_executive_education_focus="",FALSE,SUMPRODUCT(--ISNUMBER(SEARCH(","&amp;TRIM(TEXTSPLIT(DO72,","))&amp;",",","&amp;SUBSTITUTE(input_executive_education_focus," ","")&amp;",")))&gt;0)),IF(DQ72="",TRUE,IF(input_executive_education_focus="",FALSE,SUMPRODUCT(--ISNUMBER(SEARCH(","&amp;TRIM(TEXTSPLIT(DQ72,","))&amp;",",","&amp;SUBSTITUTE(input_executive_education_focus," ","")&amp;",")))=COUNTA(TEXTSPLIT(DQ72,",")))))</f>
        <v/>
      </c>
      <c r="JE72" s="19">
        <f>AND(IF(DS72="",TRUE,IF(input_faculty_category="",FALSE,SUMPRODUCT(--ISNUMBER(SEARCH(","&amp;TRIM(TEXTSPLIT(DS72,","))&amp;",",","&amp;SUBSTITUTE(input_faculty_category," ","")&amp;",")))&gt;0)),IF(DU72="",TRUE,IF(input_faculty_category="",FALSE,SUMPRODUCT(--ISNUMBER(SEARCH(","&amp;TRIM(TEXTSPLIT(DU72,","))&amp;",",","&amp;SUBSTITUTE(input_faculty_category," ","")&amp;",")))=COUNTA(TEXTSPLIT(DU72,",")))),IF(DW72="",TRUE,IF(input_faculty_category="",TRUE,SUMPRODUCT(--ISNUMBER(SEARCH(","&amp;TRIM(TEXTSPLIT(DW72,","))&amp;",",","&amp;SUBSTITUTE(input_faculty_category," ","")&amp;",")))=0)),IF(DY72="",TRUE,IF(input_faculty_category="",FALSE,SUMPRODUCT(--ISNUMBER(SEARCH(","&amp;TRIM(TEXTSPLIT(DY72,","))&amp;",",","&amp;SUBSTITUTE(input_faculty_category," ","")&amp;",")))&gt;0)),IF(EA72="",TRUE,IF(input_faculty_category="",FALSE,SUMPRODUCT(--ISNUMBER(SEARCH(","&amp;TRIM(TEXTSPLIT(EA72,","))&amp;",",","&amp;SUBSTITUTE(input_faculty_category," ","")&amp;",")))=COUNTA(TEXTSPLIT(EA72,",")))))</f>
        <v/>
      </c>
      <c r="JF72" s="19">
        <f>AND(IF(EC72="",TRUE,IF(input_faculty_discipline="",FALSE,SUMPRODUCT(--ISNUMBER(SEARCH(","&amp;TRIM(TEXTSPLIT(EC72,","))&amp;",",","&amp;SUBSTITUTE(input_faculty_discipline," ","")&amp;",")))&gt;0)),IF(EE72="",TRUE,IF(input_faculty_discipline="",FALSE,SUMPRODUCT(--ISNUMBER(SEARCH(","&amp;TRIM(TEXTSPLIT(EE72,","))&amp;",",","&amp;SUBSTITUTE(input_faculty_discipline," ","")&amp;",")))=COUNTA(TEXTSPLIT(EE72,",")))),IF(EG72="",TRUE,IF(input_faculty_discipline="",TRUE,SUMPRODUCT(--ISNUMBER(SEARCH(","&amp;TRIM(TEXTSPLIT(EG72,","))&amp;",",","&amp;SUBSTITUTE(input_faculty_discipline," ","")&amp;",")))=0)),IF(EI72="",TRUE,IF(input_faculty_discipline="",FALSE,SUMPRODUCT(--ISNUMBER(SEARCH(","&amp;TRIM(TEXTSPLIT(EI72,","))&amp;",",","&amp;SUBSTITUTE(input_faculty_discipline," ","")&amp;",")))&gt;0)),IF(EK72="",TRUE,IF(input_faculty_discipline="",FALSE,SUMPRODUCT(--ISNUMBER(SEARCH(","&amp;TRIM(TEXTSPLIT(EK72,","))&amp;",",","&amp;SUBSTITUTE(input_faculty_discipline," ","")&amp;",")))=COUNTA(TEXTSPLIT(EK72,",")))))</f>
        <v/>
      </c>
      <c r="JG72" s="19">
        <f>AND(IF(EM72="",TRUE,IF(input_faculty_expertise="",FALSE,SUMPRODUCT(--ISNUMBER(SEARCH(","&amp;TRIM(TEXTSPLIT(EM72,","))&amp;",",","&amp;SUBSTITUTE(input_faculty_expertise," ","")&amp;",")))&gt;0)),IF(EO72="",TRUE,IF(input_faculty_expertise="",FALSE,SUMPRODUCT(--ISNUMBER(SEARCH(","&amp;TRIM(TEXTSPLIT(EO72,","))&amp;",",","&amp;SUBSTITUTE(input_faculty_expertise," ","")&amp;",")))=COUNTA(TEXTSPLIT(EO72,",")))),IF(EQ72="",TRUE,IF(input_faculty_expertise="",TRUE,SUMPRODUCT(--ISNUMBER(SEARCH(","&amp;TRIM(TEXTSPLIT(EQ72,","))&amp;",",","&amp;SUBSTITUTE(input_faculty_expertise," ","")&amp;",")))=0)),IF(ES72="",TRUE,IF(input_faculty_expertise="",FALSE,SUMPRODUCT(--ISNUMBER(SEARCH(","&amp;TRIM(TEXTSPLIT(ES72,","))&amp;",",","&amp;SUBSTITUTE(input_faculty_expertise," ","")&amp;",")))&gt;0)),IF(EU72="",TRUE,IF(input_faculty_expertise="",FALSE,SUMPRODUCT(--ISNUMBER(SEARCH(","&amp;TRIM(TEXTSPLIT(EU72,","))&amp;",",","&amp;SUBSTITUTE(input_faculty_expertise," ","")&amp;",")))=COUNTA(TEXTSPLIT(EU72,",")))))</f>
        <v/>
      </c>
      <c r="JH72" s="19">
        <f>AND(IF(EW72="",TRUE,IF(input_global_network_school="",FALSE,SUMPRODUCT(--ISNUMBER(SEARCH(","&amp;TRIM(TEXTSPLIT(EW72,","))&amp;",",","&amp;SUBSTITUTE(input_global_network_school," ","")&amp;",")))&gt;0)),IF(EY72="",TRUE,IF(input_global_network_school="",FALSE,SUMPRODUCT(--ISNUMBER(SEARCH(","&amp;TRIM(TEXTSPLIT(EY72,","))&amp;",",","&amp;SUBSTITUTE(input_global_network_school," ","")&amp;",")))=COUNTA(TEXTSPLIT(EY72,",")))),IF(FA72="",TRUE,IF(input_global_network_school="",TRUE,SUMPRODUCT(--ISNUMBER(SEARCH(","&amp;TRIM(TEXTSPLIT(FA72,","))&amp;",",","&amp;SUBSTITUTE(input_global_network_school," ","")&amp;",")))=0)),IF(FC72="",TRUE,IF(input_global_network_school="",FALSE,SUMPRODUCT(--ISNUMBER(SEARCH(","&amp;TRIM(TEXTSPLIT(FC72,","))&amp;",",","&amp;SUBSTITUTE(input_global_network_school," ","")&amp;",")))&gt;0)),IF(FE72="",TRUE,IF(input_global_network_school="",FALSE,SUMPRODUCT(--ISNUMBER(SEARCH(","&amp;TRIM(TEXTSPLIT(FE72,","))&amp;",",","&amp;SUBSTITUTE(input_global_network_school," ","")&amp;",")))=COUNTA(TEXTSPLIT(FE72,",")))))</f>
        <v/>
      </c>
      <c r="JI72" s="19">
        <f>AND(IF(FG72="",TRUE,IF(input_industry="",FALSE,SUMPRODUCT(--ISNUMBER(SEARCH(","&amp;TRIM(TEXTSPLIT(FG72,","))&amp;",",","&amp;SUBSTITUTE(input_industry," ","")&amp;",")))&gt;0)),IF(FI72="",TRUE,IF(input_industry="",FALSE,SUMPRODUCT(--ISNUMBER(SEARCH(","&amp;TRIM(TEXTSPLIT(FI72,","))&amp;",",","&amp;SUBSTITUTE(input_industry," ","")&amp;",")))=COUNTA(TEXTSPLIT(FI72,",")))),IF(FK72="",TRUE,IF(input_industry="",TRUE,SUMPRODUCT(--ISNUMBER(SEARCH(","&amp;TRIM(TEXTSPLIT(FK72,","))&amp;",",","&amp;SUBSTITUTE(input_industry," ","")&amp;",")))=0)),IF(FM72="",TRUE,IF(input_industry="",FALSE,SUMPRODUCT(--ISNUMBER(SEARCH(","&amp;TRIM(TEXTSPLIT(FM72,","))&amp;",",","&amp;SUBSTITUTE(input_industry," ","")&amp;",")))&gt;0)),IF(FO72="",TRUE,IF(input_industry="",FALSE,SUMPRODUCT(--ISNUMBER(SEARCH(","&amp;TRIM(TEXTSPLIT(FO72,","))&amp;",",","&amp;SUBSTITUTE(input_industry," ","")&amp;",")))=COUNTA(TEXTSPLIT(FO72,",")))))</f>
        <v/>
      </c>
      <c r="JJ72" s="19">
        <f>AND(IF(FQ72="",TRUE,IF(input_location="",FALSE,SUMPRODUCT(--ISNUMBER(SEARCH(","&amp;TRIM(TEXTSPLIT(FQ72,","))&amp;",",","&amp;SUBSTITUTE(input_location," ","")&amp;",")))&gt;0)),IF(FS72="",TRUE,IF(input_location="",FALSE,SUMPRODUCT(--ISNUMBER(SEARCH(","&amp;TRIM(TEXTSPLIT(FS72,","))&amp;",",","&amp;SUBSTITUTE(input_location," ","")&amp;",")))=COUNTA(TEXTSPLIT(FS72,",")))),IF(FU72="",TRUE,IF(input_location="",TRUE,SUMPRODUCT(--ISNUMBER(SEARCH(","&amp;TRIM(TEXTSPLIT(FU72,","))&amp;",",","&amp;SUBSTITUTE(input_location," ","")&amp;",")))=0)),IF(FW72="",TRUE,IF(input_location="",FALSE,SUMPRODUCT(--ISNUMBER(SEARCH(","&amp;TRIM(TEXTSPLIT(FW72,","))&amp;",",","&amp;SUBSTITUTE(input_location," ","")&amp;",")))&gt;0)),IF(FY72="",TRUE,IF(input_location="",FALSE,SUMPRODUCT(--ISNUMBER(SEARCH(","&amp;TRIM(TEXTSPLIT(FY72,","))&amp;",",","&amp;SUBSTITUTE(input_location," ","")&amp;",")))=COUNTA(TEXTSPLIT(FY72,",")))))</f>
        <v/>
      </c>
      <c r="JK72" s="19">
        <f>AND(IF(GA72="",TRUE,IF(input_modality="",FALSE,SUMPRODUCT(--ISNUMBER(SEARCH(","&amp;TRIM(TEXTSPLIT(GA72,","))&amp;",",","&amp;SUBSTITUTE(input_modality," ","")&amp;",")))&gt;0)),IF(GC72="",TRUE,IF(input_modality="",FALSE,SUMPRODUCT(--ISNUMBER(SEARCH(","&amp;TRIM(TEXTSPLIT(GC72,","))&amp;",",","&amp;SUBSTITUTE(input_modality," ","")&amp;",")))=COUNTA(TEXTSPLIT(GC72,",")))),IF(GE72="",TRUE,IF(input_modality="",TRUE,SUMPRODUCT(--ISNUMBER(SEARCH(","&amp;TRIM(TEXTSPLIT(GE72,","))&amp;",",","&amp;SUBSTITUTE(input_modality," ","")&amp;",")))=0)),IF(GG72="",TRUE,IF(input_modality="",FALSE,SUMPRODUCT(--ISNUMBER(SEARCH(","&amp;TRIM(TEXTSPLIT(GG72,","))&amp;",",","&amp;SUBSTITUTE(input_modality," ","")&amp;",")))&gt;0)),IF(GI72="",TRUE,IF(input_modality="",FALSE,SUMPRODUCT(--ISNUMBER(SEARCH(","&amp;TRIM(TEXTSPLIT(GI72,","))&amp;",",","&amp;SUBSTITUTE(input_modality," ","")&amp;",")))=COUNTA(TEXTSPLIT(GI72,",")))))</f>
        <v/>
      </c>
      <c r="JL72" s="19">
        <f>AND(IF(GK72="",TRUE,IF(input_organizer="",FALSE,SUMPRODUCT(--ISNUMBER(SEARCH(","&amp;TRIM(TEXTSPLIT(GK72,","))&amp;",",","&amp;SUBSTITUTE(input_organizer," ","")&amp;",")))&gt;0)),IF(GM72="",TRUE,IF(input_organizer="",FALSE,SUMPRODUCT(--ISNUMBER(SEARCH(","&amp;TRIM(TEXTSPLIT(GM72,","))&amp;",",","&amp;SUBSTITUTE(input_organizer," ","")&amp;",")))=COUNTA(TEXTSPLIT(GM72,",")))),IF(GO72="",TRUE,IF(input_organizer="",TRUE,SUMPRODUCT(--ISNUMBER(SEARCH(","&amp;TRIM(TEXTSPLIT(GO72,","))&amp;",",","&amp;SUBSTITUTE(input_organizer," ","")&amp;",")))=0)),IF(GQ72="",TRUE,IF(input_organizer="",FALSE,SUMPRODUCT(--ISNUMBER(SEARCH(","&amp;TRIM(TEXTSPLIT(GQ72,","))&amp;",",","&amp;SUBSTITUTE(input_organizer," ","")&amp;",")))&gt;0)),IF(GS72="",TRUE,IF(input_organizer="",FALSE,SUMPRODUCT(--ISNUMBER(SEARCH(","&amp;TRIM(TEXTSPLIT(GS72,","))&amp;",",","&amp;SUBSTITUTE(input_organizer," ","")&amp;",")))=COUNTA(TEXTSPLIT(GS72,",")))))</f>
        <v/>
      </c>
      <c r="JM72" s="19">
        <f>AND(IF(GU72="",TRUE,IF(input_profile_type="",FALSE,SUMPRODUCT(--ISNUMBER(SEARCH(","&amp;TRIM(TEXTSPLIT(GU72,","))&amp;",",","&amp;SUBSTITUTE(input_profile_type," ","")&amp;",")))&gt;0)),IF(GW72="",TRUE,IF(input_profile_type="",FALSE,SUMPRODUCT(--ISNUMBER(SEARCH(","&amp;TRIM(TEXTSPLIT(GW72,","))&amp;",",","&amp;SUBSTITUTE(input_profile_type," ","")&amp;",")))=COUNTA(TEXTSPLIT(GW72,",")))),IF(GY72="",TRUE,IF(input_profile_type="",TRUE,SUMPRODUCT(--ISNUMBER(SEARCH(","&amp;TRIM(TEXTSPLIT(GY72,","))&amp;",",","&amp;SUBSTITUTE(input_profile_type," ","")&amp;",")))=0)),IF(HA72="",TRUE,IF(input_profile_type="",FALSE,SUMPRODUCT(--ISNUMBER(SEARCH(","&amp;TRIM(TEXTSPLIT(HA72,","))&amp;",",","&amp;SUBSTITUTE(input_profile_type," ","")&amp;",")))&gt;0)),IF(HC72="",TRUE,IF(input_profile_type="",FALSE,SUMPRODUCT(--ISNUMBER(SEARCH(","&amp;TRIM(TEXTSPLIT(HC72,","))&amp;",",","&amp;SUBSTITUTE(input_profile_type," ","")&amp;",")))=COUNTA(TEXTSPLIT(HC72,",")))))</f>
        <v/>
      </c>
      <c r="JN72" s="19">
        <f>AND(IF(HE72="",TRUE,IF(input_program="",FALSE,SUMPRODUCT(--ISNUMBER(SEARCH(","&amp;TRIM(TEXTSPLIT(HE72,","))&amp;",",","&amp;SUBSTITUTE(input_program," ","")&amp;",")))&gt;0)),IF(HG72="",TRUE,IF(input_program="",FALSE,SUMPRODUCT(--ISNUMBER(SEARCH(","&amp;TRIM(TEXTSPLIT(HG72,","))&amp;",",","&amp;SUBSTITUTE(input_program," ","")&amp;",")))=COUNTA(TEXTSPLIT(HG72,",")))),IF(HI72="",TRUE,IF(input_program="",TRUE,SUMPRODUCT(--ISNUMBER(SEARCH(","&amp;TRIM(TEXTSPLIT(HI72,","))&amp;",",","&amp;SUBSTITUTE(input_program," ","")&amp;",")))=0)),IF(HK72="",TRUE,IF(input_program="",FALSE,SUMPRODUCT(--ISNUMBER(SEARCH(","&amp;TRIM(TEXTSPLIT(HK72,","))&amp;",",","&amp;SUBSTITUTE(input_program," ","")&amp;",")))&gt;0)),IF(HM72="",TRUE,IF(input_program="",FALSE,SUMPRODUCT(--ISNUMBER(SEARCH(","&amp;TRIM(TEXTSPLIT(HM72,","))&amp;",",","&amp;SUBSTITUTE(input_program," ","")&amp;",")))=COUNTA(TEXTSPLIT(HM72,",")))))</f>
        <v/>
      </c>
      <c r="JO72" s="19">
        <f>AND(IF(HO72="",TRUE,IF(input_story_categories="",FALSE,SUMPRODUCT(--ISNUMBER(SEARCH(","&amp;TRIM(TEXTSPLIT(HO72,","))&amp;",",","&amp;SUBSTITUTE(input_story_categories," ","")&amp;",")))&gt;0)),IF(HQ72="",TRUE,IF(input_story_categories="",FALSE,SUMPRODUCT(--ISNUMBER(SEARCH(","&amp;TRIM(TEXTSPLIT(HQ72,","))&amp;",",","&amp;SUBSTITUTE(input_story_categories," ","")&amp;",")))=COUNTA(TEXTSPLIT(HQ72,",")))),IF(HS72="",TRUE,IF(input_story_categories="",TRUE,SUMPRODUCT(--ISNUMBER(SEARCH(","&amp;TRIM(TEXTSPLIT(HS72,","))&amp;",",","&amp;SUBSTITUTE(input_story_categories," ","")&amp;",")))=0)),IF(HU72="",TRUE,IF(input_story_categories="",FALSE,SUMPRODUCT(--ISNUMBER(SEARCH(","&amp;TRIM(TEXTSPLIT(HU72,","))&amp;",",","&amp;SUBSTITUTE(input_story_categories," ","")&amp;",")))&gt;0)),IF(HW72="",TRUE,IF(input_story_categories="",FALSE,SUMPRODUCT(--ISNUMBER(SEARCH(","&amp;TRIM(TEXTSPLIT(HW72,","))&amp;",",","&amp;SUBSTITUTE(input_story_categories," ","")&amp;",")))=COUNTA(TEXTSPLIT(HW72,",")))))</f>
        <v/>
      </c>
      <c r="JP72" s="19">
        <f>AND(IF(HY72="",TRUE,IF(input_story_type="",FALSE,SUMPRODUCT(--ISNUMBER(SEARCH(","&amp;TRIM(TEXTSPLIT(HY72,","))&amp;",",","&amp;SUBSTITUTE(input_story_type," ","")&amp;",")))&gt;0)),IF(IA72="",TRUE,IF(input_story_type="",FALSE,SUMPRODUCT(--ISNUMBER(SEARCH(","&amp;TRIM(TEXTSPLIT(IA72,","))&amp;",",","&amp;SUBSTITUTE(input_story_type," ","")&amp;",")))=COUNTA(TEXTSPLIT(IA72,",")))),IF(IC72="",TRUE,IF(input_story_type="",TRUE,SUMPRODUCT(--ISNUMBER(SEARCH(","&amp;TRIM(TEXTSPLIT(IC72,","))&amp;",",","&amp;SUBSTITUTE(input_story_type," ","")&amp;",")))=0)),IF(IE72="",TRUE,IF(input_story_type="",FALSE,SUMPRODUCT(--ISNUMBER(SEARCH(","&amp;TRIM(TEXTSPLIT(IE72,","))&amp;",",","&amp;SUBSTITUTE(input_story_type," ","")&amp;",")))&gt;0)),IF(IG72="",TRUE,IF(input_story_type="",FALSE,SUMPRODUCT(--ISNUMBER(SEARCH(","&amp;TRIM(TEXTSPLIT(IG72,","))&amp;",",","&amp;SUBSTITUTE(input_story_type," ","")&amp;",")))=COUNTA(TEXTSPLIT(IG72,",")))))</f>
        <v/>
      </c>
      <c r="JQ72" s="19">
        <f>AND(IF(II72="",TRUE,IF(input_topics="",FALSE,SUMPRODUCT(--ISNUMBER(SEARCH(","&amp;TRIM(TEXTSPLIT(II72,","))&amp;",",","&amp;SUBSTITUTE(input_topics," ","")&amp;",")))&gt;0)),IF(IK72="",TRUE,IF(input_topics="",FALSE,SUMPRODUCT(--ISNUMBER(SEARCH(","&amp;TRIM(TEXTSPLIT(IK72,","))&amp;",",","&amp;SUBSTITUTE(input_topics," ","")&amp;",")))=COUNTA(TEXTSPLIT(IK72,",")))),IF(IM72="",TRUE,IF(input_topics="",TRUE,SUMPRODUCT(--ISNUMBER(SEARCH(","&amp;TRIM(TEXTSPLIT(IM72,","))&amp;",",","&amp;SUBSTITUTE(input_topics," ","")&amp;",")))=0)),IF(IO72="",TRUE,IF(input_topics="",FALSE,SUMPRODUCT(--ISNUMBER(SEARCH(","&amp;TRIM(TEXTSPLIT(IO72,","))&amp;",",","&amp;SUBSTITUTE(input_topics," ","")&amp;",")))&gt;0)),IF(IQ72="",TRUE,IF(input_topics="",FALSE,SUMPRODUCT(--ISNUMBER(SEARCH(","&amp;TRIM(TEXTSPLIT(IQ72,","))&amp;",",","&amp;SUBSTITUTE(input_topics," ","")&amp;",")))=COUNTA(TEXTSPLIT(IQ72,",")))))</f>
        <v/>
      </c>
    </row>
    <row r="73">
      <c r="A73" s="24">
        <f>IF(NOT(IS73),"Excluded",IF(AND(IT73,IU73,IV73,IW73,IX73,IY73,IZ73,JA73,JB73,JC73,JD73,JE73,JF73,JG73,JH73,JI73,JJ73,JK73,JL73,JM73,JN73,JO73,JP73,JQ73),IF(I73&gt;0,"Eligible but limited","Will appear"),"Excluded"))</f>
        <v/>
      </c>
      <c r="B73" s="24" t="inlineStr">
        <is>
          <t>Asset Management Student Profiles</t>
        </is>
      </c>
      <c r="C73" s="27" t="inlineStr">
        <is>
          <t>/programs/mms-asset-management/asset-management-student-profiles</t>
        </is>
      </c>
      <c r="D73" s="24" t="inlineStr">
        <is>
          <t>/programs/mms-asset-management/asset-management-student-profiles</t>
        </is>
      </c>
      <c r="E73" s="24" t="n">
        <v>1</v>
      </c>
      <c r="F73" s="24" t="inlineStr">
        <is>
          <t>profile</t>
        </is>
      </c>
      <c r="G73" s="24" t="inlineStr">
        <is>
          <t>profiles_grid</t>
        </is>
      </c>
      <c r="H73" s="24" t="inlineStr">
        <is>
          <t>embed_6</t>
        </is>
      </c>
      <c r="I73" s="24" t="n">
        <v>9</v>
      </c>
      <c r="J73" s="28" t="inlineStr">
        <is>
          <t>Explicit args</t>
        </is>
      </c>
      <c r="K73" s="24" t="inlineStr">
        <is>
          <t>Page placement</t>
        </is>
      </c>
      <c r="L73" s="24" t="inlineStr">
        <is>
          <t>Content type: profile; Excludes Profile Type: Ambassador (1552); Context uses Program: Master’s in Asset Management (82); Limited to 9 item(s); Source: Explicit args</t>
        </is>
      </c>
      <c r="GY73" s="19" t="inlineStr">
        <is>
          <t>1552</t>
        </is>
      </c>
      <c r="GZ73" s="19" t="inlineStr">
        <is>
          <t>Ambassador (1552)</t>
        </is>
      </c>
      <c r="HK73" s="19" t="inlineStr">
        <is>
          <t>82</t>
        </is>
      </c>
      <c r="HL73" s="19" t="inlineStr">
        <is>
          <t>Master’s in Asset Management (82)</t>
        </is>
      </c>
      <c r="IS73" s="19">
        <f>IF(input_content_type="",FALSE,ISNUMBER(SEARCH(","&amp;LOWER(input_content_type)&amp;",",","&amp;LOWER(SUBSTITUTE(F73," ",""))&amp;",")))</f>
        <v/>
      </c>
      <c r="IT73" s="19">
        <f>AND(IF(M73="",TRUE,IF(input_affiliations="",FALSE,SUMPRODUCT(--ISNUMBER(SEARCH(","&amp;TRIM(TEXTSPLIT(M73,","))&amp;",",","&amp;SUBSTITUTE(input_affiliations," ","")&amp;",")))&gt;0)),IF(O73="",TRUE,IF(input_affiliations="",FALSE,SUMPRODUCT(--ISNUMBER(SEARCH(","&amp;TRIM(TEXTSPLIT(O73,","))&amp;",",","&amp;SUBSTITUTE(input_affiliations," ","")&amp;",")))=COUNTA(TEXTSPLIT(O73,",")))),IF(Q73="",TRUE,IF(input_affiliations="",TRUE,SUMPRODUCT(--ISNUMBER(SEARCH(","&amp;TRIM(TEXTSPLIT(Q73,","))&amp;",",","&amp;SUBSTITUTE(input_affiliations," ","")&amp;",")))=0)),IF(S73="",TRUE,IF(input_affiliations="",FALSE,SUMPRODUCT(--ISNUMBER(SEARCH(","&amp;TRIM(TEXTSPLIT(S73,","))&amp;",",","&amp;SUBSTITUTE(input_affiliations," ","")&amp;",")))&gt;0)),IF(U73="",TRUE,IF(input_affiliations="",FALSE,SUMPRODUCT(--ISNUMBER(SEARCH(","&amp;TRIM(TEXTSPLIT(U73,","))&amp;",",","&amp;SUBSTITUTE(input_affiliations," ","")&amp;",")))=COUNTA(TEXTSPLIT(U73,",")))))</f>
        <v/>
      </c>
      <c r="IU73" s="19">
        <f>AND(IF(W73="",TRUE,IF(input_announcement_category="",FALSE,SUMPRODUCT(--ISNUMBER(SEARCH(","&amp;TRIM(TEXTSPLIT(W73,","))&amp;",",","&amp;SUBSTITUTE(input_announcement_category," ","")&amp;",")))&gt;0)),IF(Y73="",TRUE,IF(input_announcement_category="",FALSE,SUMPRODUCT(--ISNUMBER(SEARCH(","&amp;TRIM(TEXTSPLIT(Y73,","))&amp;",",","&amp;SUBSTITUTE(input_announcement_category," ","")&amp;",")))=COUNTA(TEXTSPLIT(Y73,",")))),IF(AA73="",TRUE,IF(input_announcement_category="",TRUE,SUMPRODUCT(--ISNUMBER(SEARCH(","&amp;TRIM(TEXTSPLIT(AA73,","))&amp;",",","&amp;SUBSTITUTE(input_announcement_category," ","")&amp;",")))=0)),IF(AC73="",TRUE,IF(input_announcement_category="",FALSE,SUMPRODUCT(--ISNUMBER(SEARCH(","&amp;TRIM(TEXTSPLIT(AC73,","))&amp;",",","&amp;SUBSTITUTE(input_announcement_category," ","")&amp;",")))&gt;0)),IF(AE73="",TRUE,IF(input_announcement_category="",FALSE,SUMPRODUCT(--ISNUMBER(SEARCH(","&amp;TRIM(TEXTSPLIT(AE73,","))&amp;",",","&amp;SUBSTITUTE(input_announcement_category," ","")&amp;",")))=COUNTA(TEXTSPLIT(AE73,",")))))</f>
        <v/>
      </c>
      <c r="IV73" s="19">
        <f>AND(IF(AG73="",TRUE,IF(input_area_of_focus="",FALSE,SUMPRODUCT(--ISNUMBER(SEARCH(","&amp;TRIM(TEXTSPLIT(AG73,","))&amp;",",","&amp;SUBSTITUTE(input_area_of_focus," ","")&amp;",")))&gt;0)),IF(AI73="",TRUE,IF(input_area_of_focus="",FALSE,SUMPRODUCT(--ISNUMBER(SEARCH(","&amp;TRIM(TEXTSPLIT(AI73,","))&amp;",",","&amp;SUBSTITUTE(input_area_of_focus," ","")&amp;",")))=COUNTA(TEXTSPLIT(AI73,",")))),IF(AK73="",TRUE,IF(input_area_of_focus="",TRUE,SUMPRODUCT(--ISNUMBER(SEARCH(","&amp;TRIM(TEXTSPLIT(AK73,","))&amp;",",","&amp;SUBSTITUTE(input_area_of_focus," ","")&amp;",")))=0)),IF(AM73="",TRUE,IF(input_area_of_focus="",FALSE,SUMPRODUCT(--ISNUMBER(SEARCH(","&amp;TRIM(TEXTSPLIT(AM73,","))&amp;",",","&amp;SUBSTITUTE(input_area_of_focus," ","")&amp;",")))&gt;0)),IF(AO73="",TRUE,IF(input_area_of_focus="",FALSE,SUMPRODUCT(--ISNUMBER(SEARCH(","&amp;TRIM(TEXTSPLIT(AO73,","))&amp;",",","&amp;SUBSTITUTE(input_area_of_focus," ","")&amp;",")))=COUNTA(TEXTSPLIT(AO73,",")))))</f>
        <v/>
      </c>
      <c r="IW73" s="19">
        <f>AND(IF(AQ73="",TRUE,IF(input_audience="",FALSE,SUMPRODUCT(--ISNUMBER(SEARCH(","&amp;TRIM(TEXTSPLIT(AQ73,","))&amp;",",","&amp;SUBSTITUTE(input_audience," ","")&amp;",")))&gt;0)),IF(AS73="",TRUE,IF(input_audience="",FALSE,SUMPRODUCT(--ISNUMBER(SEARCH(","&amp;TRIM(TEXTSPLIT(AS73,","))&amp;",",","&amp;SUBSTITUTE(input_audience," ","")&amp;",")))=COUNTA(TEXTSPLIT(AS73,",")))),IF(AU73="",TRUE,IF(input_audience="",TRUE,SUMPRODUCT(--ISNUMBER(SEARCH(","&amp;TRIM(TEXTSPLIT(AU73,","))&amp;",",","&amp;SUBSTITUTE(input_audience," ","")&amp;",")))=0)),IF(AW73="",TRUE,IF(input_audience="",FALSE,SUMPRODUCT(--ISNUMBER(SEARCH(","&amp;TRIM(TEXTSPLIT(AW73,","))&amp;",",","&amp;SUBSTITUTE(input_audience," ","")&amp;",")))&gt;0)),IF(AY73="",TRUE,IF(input_audience="",FALSE,SUMPRODUCT(--ISNUMBER(SEARCH(","&amp;TRIM(TEXTSPLIT(AY73,","))&amp;",",","&amp;SUBSTITUTE(input_audience," ","")&amp;",")))=COUNTA(TEXTSPLIT(AY73,",")))))</f>
        <v/>
      </c>
      <c r="IX73" s="19">
        <f>AND(IF(BA73="",TRUE,IF(input_challenge_opportunities="",FALSE,SUMPRODUCT(--ISNUMBER(SEARCH(","&amp;TRIM(TEXTSPLIT(BA73,","))&amp;",",","&amp;SUBSTITUTE(input_challenge_opportunities," ","")&amp;",")))&gt;0)),IF(BC73="",TRUE,IF(input_challenge_opportunities="",FALSE,SUMPRODUCT(--ISNUMBER(SEARCH(","&amp;TRIM(TEXTSPLIT(BC73,","))&amp;",",","&amp;SUBSTITUTE(input_challenge_opportunities," ","")&amp;",")))=COUNTA(TEXTSPLIT(BC73,",")))),IF(BE73="",TRUE,IF(input_challenge_opportunities="",TRUE,SUMPRODUCT(--ISNUMBER(SEARCH(","&amp;TRIM(TEXTSPLIT(BE73,","))&amp;",",","&amp;SUBSTITUTE(input_challenge_opportunities," ","")&amp;",")))=0)),IF(BG73="",TRUE,IF(input_challenge_opportunities="",FALSE,SUMPRODUCT(--ISNUMBER(SEARCH(","&amp;TRIM(TEXTSPLIT(BG73,","))&amp;",",","&amp;SUBSTITUTE(input_challenge_opportunities," ","")&amp;",")))&gt;0)),IF(BI73="",TRUE,IF(input_challenge_opportunities="",FALSE,SUMPRODUCT(--ISNUMBER(SEARCH(","&amp;TRIM(TEXTSPLIT(BI73,","))&amp;",",","&amp;SUBSTITUTE(input_challenge_opportunities," ","")&amp;",")))=COUNTA(TEXTSPLIT(BI73,",")))))</f>
        <v/>
      </c>
      <c r="IY73" s="19">
        <f>AND(IF(BK73="",TRUE,IF(input_context="",FALSE,SUMPRODUCT(--ISNUMBER(SEARCH(","&amp;TRIM(TEXTSPLIT(BK73,","))&amp;",",","&amp;SUBSTITUTE(input_context," ","")&amp;",")))&gt;0)),IF(BM73="",TRUE,IF(input_context="",FALSE,SUMPRODUCT(--ISNUMBER(SEARCH(","&amp;TRIM(TEXTSPLIT(BM73,","))&amp;",",","&amp;SUBSTITUTE(input_context," ","")&amp;",")))=COUNTA(TEXTSPLIT(BM73,",")))),IF(BO73="",TRUE,IF(input_context="",TRUE,SUMPRODUCT(--ISNUMBER(SEARCH(","&amp;TRIM(TEXTSPLIT(BO73,","))&amp;",",","&amp;SUBSTITUTE(input_context," ","")&amp;",")))=0)),IF(BQ73="",TRUE,IF(input_context="",FALSE,SUMPRODUCT(--ISNUMBER(SEARCH(","&amp;TRIM(TEXTSPLIT(BQ73,","))&amp;",",","&amp;SUBSTITUTE(input_context," ","")&amp;",")))&gt;0)),IF(BS73="",TRUE,IF(input_context="",FALSE,SUMPRODUCT(--ISNUMBER(SEARCH(","&amp;TRIM(TEXTSPLIT(BS73,","))&amp;",",","&amp;SUBSTITUTE(input_context," ","")&amp;",")))=COUNTA(TEXTSPLIT(BS73,",")))))</f>
        <v/>
      </c>
      <c r="IZ73" s="19">
        <f>AND(IF(BU73="",TRUE,IF(input_enews_announcement_type="",FALSE,SUMPRODUCT(--ISNUMBER(SEARCH(","&amp;TRIM(TEXTSPLIT(BU73,","))&amp;",",","&amp;SUBSTITUTE(input_enews_announcement_type," ","")&amp;",")))&gt;0)),IF(BW73="",TRUE,IF(input_enews_announcement_type="",FALSE,SUMPRODUCT(--ISNUMBER(SEARCH(","&amp;TRIM(TEXTSPLIT(BW73,","))&amp;",",","&amp;SUBSTITUTE(input_enews_announcement_type," ","")&amp;",")))=COUNTA(TEXTSPLIT(BW73,",")))),IF(BY73="",TRUE,IF(input_enews_announcement_type="",TRUE,SUMPRODUCT(--ISNUMBER(SEARCH(","&amp;TRIM(TEXTSPLIT(BY73,","))&amp;",",","&amp;SUBSTITUTE(input_enews_announcement_type," ","")&amp;",")))=0)),IF(CA73="",TRUE,IF(input_enews_announcement_type="",FALSE,SUMPRODUCT(--ISNUMBER(SEARCH(","&amp;TRIM(TEXTSPLIT(CA73,","))&amp;",",","&amp;SUBSTITUTE(input_enews_announcement_type," ","")&amp;",")))&gt;0)),IF(CC73="",TRUE,IF(input_enews_announcement_type="",FALSE,SUMPRODUCT(--ISNUMBER(SEARCH(","&amp;TRIM(TEXTSPLIT(CC73,","))&amp;",",","&amp;SUBSTITUTE(input_enews_announcement_type," ","")&amp;",")))=COUNTA(TEXTSPLIT(CC73,",")))))</f>
        <v/>
      </c>
      <c r="JA73" s="19">
        <f>AND(IF(CE73="",TRUE,IF(input_enews_audience="",FALSE,SUMPRODUCT(--ISNUMBER(SEARCH(","&amp;TRIM(TEXTSPLIT(CE73,","))&amp;",",","&amp;SUBSTITUTE(input_enews_audience," ","")&amp;",")))&gt;0)),IF(CG73="",TRUE,IF(input_enews_audience="",FALSE,SUMPRODUCT(--ISNUMBER(SEARCH(","&amp;TRIM(TEXTSPLIT(CG73,","))&amp;",",","&amp;SUBSTITUTE(input_enews_audience," ","")&amp;",")))=COUNTA(TEXTSPLIT(CG73,",")))),IF(CI73="",TRUE,IF(input_enews_audience="",TRUE,SUMPRODUCT(--ISNUMBER(SEARCH(","&amp;TRIM(TEXTSPLIT(CI73,","))&amp;",",","&amp;SUBSTITUTE(input_enews_audience," ","")&amp;",")))=0)),IF(CK73="",TRUE,IF(input_enews_audience="",FALSE,SUMPRODUCT(--ISNUMBER(SEARCH(","&amp;TRIM(TEXTSPLIT(CK73,","))&amp;",",","&amp;SUBSTITUTE(input_enews_audience," ","")&amp;",")))&gt;0)),IF(CM73="",TRUE,IF(input_enews_audience="",FALSE,SUMPRODUCT(--ISNUMBER(SEARCH(","&amp;TRIM(TEXTSPLIT(CM73,","))&amp;",",","&amp;SUBSTITUTE(input_enews_audience," ","")&amp;",")))=COUNTA(TEXTSPLIT(CM73,",")))))</f>
        <v/>
      </c>
      <c r="JB73" s="19">
        <f>AND(IF(CO73="",TRUE,IF(input_event_location="",FALSE,SUMPRODUCT(--ISNUMBER(SEARCH(","&amp;TRIM(TEXTSPLIT(CO73,","))&amp;",",","&amp;SUBSTITUTE(input_event_location," ","")&amp;",")))&gt;0)),IF(CQ73="",TRUE,IF(input_event_location="",FALSE,SUMPRODUCT(--ISNUMBER(SEARCH(","&amp;TRIM(TEXTSPLIT(CQ73,","))&amp;",",","&amp;SUBSTITUTE(input_event_location," ","")&amp;",")))=COUNTA(TEXTSPLIT(CQ73,",")))),IF(CS73="",TRUE,IF(input_event_location="",TRUE,SUMPRODUCT(--ISNUMBER(SEARCH(","&amp;TRIM(TEXTSPLIT(CS73,","))&amp;",",","&amp;SUBSTITUTE(input_event_location," ","")&amp;",")))=0)),IF(CU73="",TRUE,IF(input_event_location="",FALSE,SUMPRODUCT(--ISNUMBER(SEARCH(","&amp;TRIM(TEXTSPLIT(CU73,","))&amp;",",","&amp;SUBSTITUTE(input_event_location," ","")&amp;",")))&gt;0)),IF(CW73="",TRUE,IF(input_event_location="",FALSE,SUMPRODUCT(--ISNUMBER(SEARCH(","&amp;TRIM(TEXTSPLIT(CW73,","))&amp;",",","&amp;SUBSTITUTE(input_event_location," ","")&amp;",")))=COUNTA(TEXTSPLIT(CW73,",")))))</f>
        <v/>
      </c>
      <c r="JC73" s="19">
        <f>AND(IF(CY73="",TRUE,IF(input_event_type="",FALSE,SUMPRODUCT(--ISNUMBER(SEARCH(","&amp;TRIM(TEXTSPLIT(CY73,","))&amp;",",","&amp;SUBSTITUTE(input_event_type," ","")&amp;",")))&gt;0)),IF(DA73="",TRUE,IF(input_event_type="",FALSE,SUMPRODUCT(--ISNUMBER(SEARCH(","&amp;TRIM(TEXTSPLIT(DA73,","))&amp;",",","&amp;SUBSTITUTE(input_event_type," ","")&amp;",")))=COUNTA(TEXTSPLIT(DA73,",")))),IF(DC73="",TRUE,IF(input_event_type="",TRUE,SUMPRODUCT(--ISNUMBER(SEARCH(","&amp;TRIM(TEXTSPLIT(DC73,","))&amp;",",","&amp;SUBSTITUTE(input_event_type," ","")&amp;",")))=0)),IF(DE73="",TRUE,IF(input_event_type="",FALSE,SUMPRODUCT(--ISNUMBER(SEARCH(","&amp;TRIM(TEXTSPLIT(DE73,","))&amp;",",","&amp;SUBSTITUTE(input_event_type," ","")&amp;",")))&gt;0)),IF(DG73="",TRUE,IF(input_event_type="",FALSE,SUMPRODUCT(--ISNUMBER(SEARCH(","&amp;TRIM(TEXTSPLIT(DG73,","))&amp;",",","&amp;SUBSTITUTE(input_event_type," ","")&amp;",")))=COUNTA(TEXTSPLIT(DG73,",")))))</f>
        <v/>
      </c>
      <c r="JD73" s="19">
        <f>AND(IF(DI73="",TRUE,IF(input_executive_education_focus="",FALSE,SUMPRODUCT(--ISNUMBER(SEARCH(","&amp;TRIM(TEXTSPLIT(DI73,","))&amp;",",","&amp;SUBSTITUTE(input_executive_education_focus," ","")&amp;",")))&gt;0)),IF(DK73="",TRUE,IF(input_executive_education_focus="",FALSE,SUMPRODUCT(--ISNUMBER(SEARCH(","&amp;TRIM(TEXTSPLIT(DK73,","))&amp;",",","&amp;SUBSTITUTE(input_executive_education_focus," ","")&amp;",")))=COUNTA(TEXTSPLIT(DK73,",")))),IF(DM73="",TRUE,IF(input_executive_education_focus="",TRUE,SUMPRODUCT(--ISNUMBER(SEARCH(","&amp;TRIM(TEXTSPLIT(DM73,","))&amp;",",","&amp;SUBSTITUTE(input_executive_education_focus," ","")&amp;",")))=0)),IF(DO73="",TRUE,IF(input_executive_education_focus="",FALSE,SUMPRODUCT(--ISNUMBER(SEARCH(","&amp;TRIM(TEXTSPLIT(DO73,","))&amp;",",","&amp;SUBSTITUTE(input_executive_education_focus," ","")&amp;",")))&gt;0)),IF(DQ73="",TRUE,IF(input_executive_education_focus="",FALSE,SUMPRODUCT(--ISNUMBER(SEARCH(","&amp;TRIM(TEXTSPLIT(DQ73,","))&amp;",",","&amp;SUBSTITUTE(input_executive_education_focus," ","")&amp;",")))=COUNTA(TEXTSPLIT(DQ73,",")))))</f>
        <v/>
      </c>
      <c r="JE73" s="19">
        <f>AND(IF(DS73="",TRUE,IF(input_faculty_category="",FALSE,SUMPRODUCT(--ISNUMBER(SEARCH(","&amp;TRIM(TEXTSPLIT(DS73,","))&amp;",",","&amp;SUBSTITUTE(input_faculty_category," ","")&amp;",")))&gt;0)),IF(DU73="",TRUE,IF(input_faculty_category="",FALSE,SUMPRODUCT(--ISNUMBER(SEARCH(","&amp;TRIM(TEXTSPLIT(DU73,","))&amp;",",","&amp;SUBSTITUTE(input_faculty_category," ","")&amp;",")))=COUNTA(TEXTSPLIT(DU73,",")))),IF(DW73="",TRUE,IF(input_faculty_category="",TRUE,SUMPRODUCT(--ISNUMBER(SEARCH(","&amp;TRIM(TEXTSPLIT(DW73,","))&amp;",",","&amp;SUBSTITUTE(input_faculty_category," ","")&amp;",")))=0)),IF(DY73="",TRUE,IF(input_faculty_category="",FALSE,SUMPRODUCT(--ISNUMBER(SEARCH(","&amp;TRIM(TEXTSPLIT(DY73,","))&amp;",",","&amp;SUBSTITUTE(input_faculty_category," ","")&amp;",")))&gt;0)),IF(EA73="",TRUE,IF(input_faculty_category="",FALSE,SUMPRODUCT(--ISNUMBER(SEARCH(","&amp;TRIM(TEXTSPLIT(EA73,","))&amp;",",","&amp;SUBSTITUTE(input_faculty_category," ","")&amp;",")))=COUNTA(TEXTSPLIT(EA73,",")))))</f>
        <v/>
      </c>
      <c r="JF73" s="19">
        <f>AND(IF(EC73="",TRUE,IF(input_faculty_discipline="",FALSE,SUMPRODUCT(--ISNUMBER(SEARCH(","&amp;TRIM(TEXTSPLIT(EC73,","))&amp;",",","&amp;SUBSTITUTE(input_faculty_discipline," ","")&amp;",")))&gt;0)),IF(EE73="",TRUE,IF(input_faculty_discipline="",FALSE,SUMPRODUCT(--ISNUMBER(SEARCH(","&amp;TRIM(TEXTSPLIT(EE73,","))&amp;",",","&amp;SUBSTITUTE(input_faculty_discipline," ","")&amp;",")))=COUNTA(TEXTSPLIT(EE73,",")))),IF(EG73="",TRUE,IF(input_faculty_discipline="",TRUE,SUMPRODUCT(--ISNUMBER(SEARCH(","&amp;TRIM(TEXTSPLIT(EG73,","))&amp;",",","&amp;SUBSTITUTE(input_faculty_discipline," ","")&amp;",")))=0)),IF(EI73="",TRUE,IF(input_faculty_discipline="",FALSE,SUMPRODUCT(--ISNUMBER(SEARCH(","&amp;TRIM(TEXTSPLIT(EI73,","))&amp;",",","&amp;SUBSTITUTE(input_faculty_discipline," ","")&amp;",")))&gt;0)),IF(EK73="",TRUE,IF(input_faculty_discipline="",FALSE,SUMPRODUCT(--ISNUMBER(SEARCH(","&amp;TRIM(TEXTSPLIT(EK73,","))&amp;",",","&amp;SUBSTITUTE(input_faculty_discipline," ","")&amp;",")))=COUNTA(TEXTSPLIT(EK73,",")))))</f>
        <v/>
      </c>
      <c r="JG73" s="19">
        <f>AND(IF(EM73="",TRUE,IF(input_faculty_expertise="",FALSE,SUMPRODUCT(--ISNUMBER(SEARCH(","&amp;TRIM(TEXTSPLIT(EM73,","))&amp;",",","&amp;SUBSTITUTE(input_faculty_expertise," ","")&amp;",")))&gt;0)),IF(EO73="",TRUE,IF(input_faculty_expertise="",FALSE,SUMPRODUCT(--ISNUMBER(SEARCH(","&amp;TRIM(TEXTSPLIT(EO73,","))&amp;",",","&amp;SUBSTITUTE(input_faculty_expertise," ","")&amp;",")))=COUNTA(TEXTSPLIT(EO73,",")))),IF(EQ73="",TRUE,IF(input_faculty_expertise="",TRUE,SUMPRODUCT(--ISNUMBER(SEARCH(","&amp;TRIM(TEXTSPLIT(EQ73,","))&amp;",",","&amp;SUBSTITUTE(input_faculty_expertise," ","")&amp;",")))=0)),IF(ES73="",TRUE,IF(input_faculty_expertise="",FALSE,SUMPRODUCT(--ISNUMBER(SEARCH(","&amp;TRIM(TEXTSPLIT(ES73,","))&amp;",",","&amp;SUBSTITUTE(input_faculty_expertise," ","")&amp;",")))&gt;0)),IF(EU73="",TRUE,IF(input_faculty_expertise="",FALSE,SUMPRODUCT(--ISNUMBER(SEARCH(","&amp;TRIM(TEXTSPLIT(EU73,","))&amp;",",","&amp;SUBSTITUTE(input_faculty_expertise," ","")&amp;",")))=COUNTA(TEXTSPLIT(EU73,",")))))</f>
        <v/>
      </c>
      <c r="JH73" s="19">
        <f>AND(IF(EW73="",TRUE,IF(input_global_network_school="",FALSE,SUMPRODUCT(--ISNUMBER(SEARCH(","&amp;TRIM(TEXTSPLIT(EW73,","))&amp;",",","&amp;SUBSTITUTE(input_global_network_school," ","")&amp;",")))&gt;0)),IF(EY73="",TRUE,IF(input_global_network_school="",FALSE,SUMPRODUCT(--ISNUMBER(SEARCH(","&amp;TRIM(TEXTSPLIT(EY73,","))&amp;",",","&amp;SUBSTITUTE(input_global_network_school," ","")&amp;",")))=COUNTA(TEXTSPLIT(EY73,",")))),IF(FA73="",TRUE,IF(input_global_network_school="",TRUE,SUMPRODUCT(--ISNUMBER(SEARCH(","&amp;TRIM(TEXTSPLIT(FA73,","))&amp;",",","&amp;SUBSTITUTE(input_global_network_school," ","")&amp;",")))=0)),IF(FC73="",TRUE,IF(input_global_network_school="",FALSE,SUMPRODUCT(--ISNUMBER(SEARCH(","&amp;TRIM(TEXTSPLIT(FC73,","))&amp;",",","&amp;SUBSTITUTE(input_global_network_school," ","")&amp;",")))&gt;0)),IF(FE73="",TRUE,IF(input_global_network_school="",FALSE,SUMPRODUCT(--ISNUMBER(SEARCH(","&amp;TRIM(TEXTSPLIT(FE73,","))&amp;",",","&amp;SUBSTITUTE(input_global_network_school," ","")&amp;",")))=COUNTA(TEXTSPLIT(FE73,",")))))</f>
        <v/>
      </c>
      <c r="JI73" s="19">
        <f>AND(IF(FG73="",TRUE,IF(input_industry="",FALSE,SUMPRODUCT(--ISNUMBER(SEARCH(","&amp;TRIM(TEXTSPLIT(FG73,","))&amp;",",","&amp;SUBSTITUTE(input_industry," ","")&amp;",")))&gt;0)),IF(FI73="",TRUE,IF(input_industry="",FALSE,SUMPRODUCT(--ISNUMBER(SEARCH(","&amp;TRIM(TEXTSPLIT(FI73,","))&amp;",",","&amp;SUBSTITUTE(input_industry," ","")&amp;",")))=COUNTA(TEXTSPLIT(FI73,",")))),IF(FK73="",TRUE,IF(input_industry="",TRUE,SUMPRODUCT(--ISNUMBER(SEARCH(","&amp;TRIM(TEXTSPLIT(FK73,","))&amp;",",","&amp;SUBSTITUTE(input_industry," ","")&amp;",")))=0)),IF(FM73="",TRUE,IF(input_industry="",FALSE,SUMPRODUCT(--ISNUMBER(SEARCH(","&amp;TRIM(TEXTSPLIT(FM73,","))&amp;",",","&amp;SUBSTITUTE(input_industry," ","")&amp;",")))&gt;0)),IF(FO73="",TRUE,IF(input_industry="",FALSE,SUMPRODUCT(--ISNUMBER(SEARCH(","&amp;TRIM(TEXTSPLIT(FO73,","))&amp;",",","&amp;SUBSTITUTE(input_industry," ","")&amp;",")))=COUNTA(TEXTSPLIT(FO73,",")))))</f>
        <v/>
      </c>
      <c r="JJ73" s="19">
        <f>AND(IF(FQ73="",TRUE,IF(input_location="",FALSE,SUMPRODUCT(--ISNUMBER(SEARCH(","&amp;TRIM(TEXTSPLIT(FQ73,","))&amp;",",","&amp;SUBSTITUTE(input_location," ","")&amp;",")))&gt;0)),IF(FS73="",TRUE,IF(input_location="",FALSE,SUMPRODUCT(--ISNUMBER(SEARCH(","&amp;TRIM(TEXTSPLIT(FS73,","))&amp;",",","&amp;SUBSTITUTE(input_location," ","")&amp;",")))=COUNTA(TEXTSPLIT(FS73,",")))),IF(FU73="",TRUE,IF(input_location="",TRUE,SUMPRODUCT(--ISNUMBER(SEARCH(","&amp;TRIM(TEXTSPLIT(FU73,","))&amp;",",","&amp;SUBSTITUTE(input_location," ","")&amp;",")))=0)),IF(FW73="",TRUE,IF(input_location="",FALSE,SUMPRODUCT(--ISNUMBER(SEARCH(","&amp;TRIM(TEXTSPLIT(FW73,","))&amp;",",","&amp;SUBSTITUTE(input_location," ","")&amp;",")))&gt;0)),IF(FY73="",TRUE,IF(input_location="",FALSE,SUMPRODUCT(--ISNUMBER(SEARCH(","&amp;TRIM(TEXTSPLIT(FY73,","))&amp;",",","&amp;SUBSTITUTE(input_location," ","")&amp;",")))=COUNTA(TEXTSPLIT(FY73,",")))))</f>
        <v/>
      </c>
      <c r="JK73" s="19">
        <f>AND(IF(GA73="",TRUE,IF(input_modality="",FALSE,SUMPRODUCT(--ISNUMBER(SEARCH(","&amp;TRIM(TEXTSPLIT(GA73,","))&amp;",",","&amp;SUBSTITUTE(input_modality," ","")&amp;",")))&gt;0)),IF(GC73="",TRUE,IF(input_modality="",FALSE,SUMPRODUCT(--ISNUMBER(SEARCH(","&amp;TRIM(TEXTSPLIT(GC73,","))&amp;",",","&amp;SUBSTITUTE(input_modality," ","")&amp;",")))=COUNTA(TEXTSPLIT(GC73,",")))),IF(GE73="",TRUE,IF(input_modality="",TRUE,SUMPRODUCT(--ISNUMBER(SEARCH(","&amp;TRIM(TEXTSPLIT(GE73,","))&amp;",",","&amp;SUBSTITUTE(input_modality," ","")&amp;",")))=0)),IF(GG73="",TRUE,IF(input_modality="",FALSE,SUMPRODUCT(--ISNUMBER(SEARCH(","&amp;TRIM(TEXTSPLIT(GG73,","))&amp;",",","&amp;SUBSTITUTE(input_modality," ","")&amp;",")))&gt;0)),IF(GI73="",TRUE,IF(input_modality="",FALSE,SUMPRODUCT(--ISNUMBER(SEARCH(","&amp;TRIM(TEXTSPLIT(GI73,","))&amp;",",","&amp;SUBSTITUTE(input_modality," ","")&amp;",")))=COUNTA(TEXTSPLIT(GI73,",")))))</f>
        <v/>
      </c>
      <c r="JL73" s="19">
        <f>AND(IF(GK73="",TRUE,IF(input_organizer="",FALSE,SUMPRODUCT(--ISNUMBER(SEARCH(","&amp;TRIM(TEXTSPLIT(GK73,","))&amp;",",","&amp;SUBSTITUTE(input_organizer," ","")&amp;",")))&gt;0)),IF(GM73="",TRUE,IF(input_organizer="",FALSE,SUMPRODUCT(--ISNUMBER(SEARCH(","&amp;TRIM(TEXTSPLIT(GM73,","))&amp;",",","&amp;SUBSTITUTE(input_organizer," ","")&amp;",")))=COUNTA(TEXTSPLIT(GM73,",")))),IF(GO73="",TRUE,IF(input_organizer="",TRUE,SUMPRODUCT(--ISNUMBER(SEARCH(","&amp;TRIM(TEXTSPLIT(GO73,","))&amp;",",","&amp;SUBSTITUTE(input_organizer," ","")&amp;",")))=0)),IF(GQ73="",TRUE,IF(input_organizer="",FALSE,SUMPRODUCT(--ISNUMBER(SEARCH(","&amp;TRIM(TEXTSPLIT(GQ73,","))&amp;",",","&amp;SUBSTITUTE(input_organizer," ","")&amp;",")))&gt;0)),IF(GS73="",TRUE,IF(input_organizer="",FALSE,SUMPRODUCT(--ISNUMBER(SEARCH(","&amp;TRIM(TEXTSPLIT(GS73,","))&amp;",",","&amp;SUBSTITUTE(input_organizer," ","")&amp;",")))=COUNTA(TEXTSPLIT(GS73,",")))))</f>
        <v/>
      </c>
      <c r="JM73" s="19">
        <f>AND(IF(GU73="",TRUE,IF(input_profile_type="",FALSE,SUMPRODUCT(--ISNUMBER(SEARCH(","&amp;TRIM(TEXTSPLIT(GU73,","))&amp;",",","&amp;SUBSTITUTE(input_profile_type," ","")&amp;",")))&gt;0)),IF(GW73="",TRUE,IF(input_profile_type="",FALSE,SUMPRODUCT(--ISNUMBER(SEARCH(","&amp;TRIM(TEXTSPLIT(GW73,","))&amp;",",","&amp;SUBSTITUTE(input_profile_type," ","")&amp;",")))=COUNTA(TEXTSPLIT(GW73,",")))),IF(GY73="",TRUE,IF(input_profile_type="",TRUE,SUMPRODUCT(--ISNUMBER(SEARCH(","&amp;TRIM(TEXTSPLIT(GY73,","))&amp;",",","&amp;SUBSTITUTE(input_profile_type," ","")&amp;",")))=0)),IF(HA73="",TRUE,IF(input_profile_type="",FALSE,SUMPRODUCT(--ISNUMBER(SEARCH(","&amp;TRIM(TEXTSPLIT(HA73,","))&amp;",",","&amp;SUBSTITUTE(input_profile_type," ","")&amp;",")))&gt;0)),IF(HC73="",TRUE,IF(input_profile_type="",FALSE,SUMPRODUCT(--ISNUMBER(SEARCH(","&amp;TRIM(TEXTSPLIT(HC73,","))&amp;",",","&amp;SUBSTITUTE(input_profile_type," ","")&amp;",")))=COUNTA(TEXTSPLIT(HC73,",")))))</f>
        <v/>
      </c>
      <c r="JN73" s="19">
        <f>AND(IF(HE73="",TRUE,IF(input_program="",FALSE,SUMPRODUCT(--ISNUMBER(SEARCH(","&amp;TRIM(TEXTSPLIT(HE73,","))&amp;",",","&amp;SUBSTITUTE(input_program," ","")&amp;",")))&gt;0)),IF(HG73="",TRUE,IF(input_program="",FALSE,SUMPRODUCT(--ISNUMBER(SEARCH(","&amp;TRIM(TEXTSPLIT(HG73,","))&amp;",",","&amp;SUBSTITUTE(input_program," ","")&amp;",")))=COUNTA(TEXTSPLIT(HG73,",")))),IF(HI73="",TRUE,IF(input_program="",TRUE,SUMPRODUCT(--ISNUMBER(SEARCH(","&amp;TRIM(TEXTSPLIT(HI73,","))&amp;",",","&amp;SUBSTITUTE(input_program," ","")&amp;",")))=0)),IF(HK73="",TRUE,IF(input_program="",FALSE,SUMPRODUCT(--ISNUMBER(SEARCH(","&amp;TRIM(TEXTSPLIT(HK73,","))&amp;",",","&amp;SUBSTITUTE(input_program," ","")&amp;",")))&gt;0)),IF(HM73="",TRUE,IF(input_program="",FALSE,SUMPRODUCT(--ISNUMBER(SEARCH(","&amp;TRIM(TEXTSPLIT(HM73,","))&amp;",",","&amp;SUBSTITUTE(input_program," ","")&amp;",")))=COUNTA(TEXTSPLIT(HM73,",")))))</f>
        <v/>
      </c>
      <c r="JO73" s="19">
        <f>AND(IF(HO73="",TRUE,IF(input_story_categories="",FALSE,SUMPRODUCT(--ISNUMBER(SEARCH(","&amp;TRIM(TEXTSPLIT(HO73,","))&amp;",",","&amp;SUBSTITUTE(input_story_categories," ","")&amp;",")))&gt;0)),IF(HQ73="",TRUE,IF(input_story_categories="",FALSE,SUMPRODUCT(--ISNUMBER(SEARCH(","&amp;TRIM(TEXTSPLIT(HQ73,","))&amp;",",","&amp;SUBSTITUTE(input_story_categories," ","")&amp;",")))=COUNTA(TEXTSPLIT(HQ73,",")))),IF(HS73="",TRUE,IF(input_story_categories="",TRUE,SUMPRODUCT(--ISNUMBER(SEARCH(","&amp;TRIM(TEXTSPLIT(HS73,","))&amp;",",","&amp;SUBSTITUTE(input_story_categories," ","")&amp;",")))=0)),IF(HU73="",TRUE,IF(input_story_categories="",FALSE,SUMPRODUCT(--ISNUMBER(SEARCH(","&amp;TRIM(TEXTSPLIT(HU73,","))&amp;",",","&amp;SUBSTITUTE(input_story_categories," ","")&amp;",")))&gt;0)),IF(HW73="",TRUE,IF(input_story_categories="",FALSE,SUMPRODUCT(--ISNUMBER(SEARCH(","&amp;TRIM(TEXTSPLIT(HW73,","))&amp;",",","&amp;SUBSTITUTE(input_story_categories," ","")&amp;",")))=COUNTA(TEXTSPLIT(HW73,",")))))</f>
        <v/>
      </c>
      <c r="JP73" s="19">
        <f>AND(IF(HY73="",TRUE,IF(input_story_type="",FALSE,SUMPRODUCT(--ISNUMBER(SEARCH(","&amp;TRIM(TEXTSPLIT(HY73,","))&amp;",",","&amp;SUBSTITUTE(input_story_type," ","")&amp;",")))&gt;0)),IF(IA73="",TRUE,IF(input_story_type="",FALSE,SUMPRODUCT(--ISNUMBER(SEARCH(","&amp;TRIM(TEXTSPLIT(IA73,","))&amp;",",","&amp;SUBSTITUTE(input_story_type," ","")&amp;",")))=COUNTA(TEXTSPLIT(IA73,",")))),IF(IC73="",TRUE,IF(input_story_type="",TRUE,SUMPRODUCT(--ISNUMBER(SEARCH(","&amp;TRIM(TEXTSPLIT(IC73,","))&amp;",",","&amp;SUBSTITUTE(input_story_type," ","")&amp;",")))=0)),IF(IE73="",TRUE,IF(input_story_type="",FALSE,SUMPRODUCT(--ISNUMBER(SEARCH(","&amp;TRIM(TEXTSPLIT(IE73,","))&amp;",",","&amp;SUBSTITUTE(input_story_type," ","")&amp;",")))&gt;0)),IF(IG73="",TRUE,IF(input_story_type="",FALSE,SUMPRODUCT(--ISNUMBER(SEARCH(","&amp;TRIM(TEXTSPLIT(IG73,","))&amp;",",","&amp;SUBSTITUTE(input_story_type," ","")&amp;",")))=COUNTA(TEXTSPLIT(IG73,",")))))</f>
        <v/>
      </c>
      <c r="JQ73" s="19">
        <f>AND(IF(II73="",TRUE,IF(input_topics="",FALSE,SUMPRODUCT(--ISNUMBER(SEARCH(","&amp;TRIM(TEXTSPLIT(II73,","))&amp;",",","&amp;SUBSTITUTE(input_topics," ","")&amp;",")))&gt;0)),IF(IK73="",TRUE,IF(input_topics="",FALSE,SUMPRODUCT(--ISNUMBER(SEARCH(","&amp;TRIM(TEXTSPLIT(IK73,","))&amp;",",","&amp;SUBSTITUTE(input_topics," ","")&amp;",")))=COUNTA(TEXTSPLIT(IK73,",")))),IF(IM73="",TRUE,IF(input_topics="",TRUE,SUMPRODUCT(--ISNUMBER(SEARCH(","&amp;TRIM(TEXTSPLIT(IM73,","))&amp;",",","&amp;SUBSTITUTE(input_topics," ","")&amp;",")))=0)),IF(IO73="",TRUE,IF(input_topics="",FALSE,SUMPRODUCT(--ISNUMBER(SEARCH(","&amp;TRIM(TEXTSPLIT(IO73,","))&amp;",",","&amp;SUBSTITUTE(input_topics," ","")&amp;",")))&gt;0)),IF(IQ73="",TRUE,IF(input_topics="",FALSE,SUMPRODUCT(--ISNUMBER(SEARCH(","&amp;TRIM(TEXTSPLIT(IQ73,","))&amp;",",","&amp;SUBSTITUTE(input_topics," ","")&amp;",")))=COUNTA(TEXTSPLIT(IQ73,",")))))</f>
        <v/>
      </c>
    </row>
    <row r="74">
      <c r="A74" s="24">
        <f>IF(NOT(IS74),"Excluded",IF(AND(IT74,IU74,IV74,IW74,IX74,IY74,IZ74,JA74,JB74,JC74,JD74,JE74,JF74,JG74,JH74,JI74,JJ74,JK74,JL74,JM74,JN74,JO74,JP74,JQ74),IF(I74&gt;0,"Eligible but limited","Will appear"),"Excluded"))</f>
        <v/>
      </c>
      <c r="B74" s="24" t="inlineStr">
        <is>
          <t>Blogs</t>
        </is>
      </c>
      <c r="C74" s="27" t="inlineStr">
        <is>
          <t>/about/headlines/blogs</t>
        </is>
      </c>
      <c r="D74" s="24" t="inlineStr">
        <is>
          <t>/about/headlines/blogs</t>
        </is>
      </c>
      <c r="E74" s="24" t="n">
        <v>1</v>
      </c>
      <c r="F74" s="24" t="inlineStr">
        <is>
          <t>story</t>
        </is>
      </c>
      <c r="G74" s="24" t="inlineStr">
        <is>
          <t>stories_list</t>
        </is>
      </c>
      <c r="H74" s="24" t="inlineStr">
        <is>
          <t>embed_blog</t>
        </is>
      </c>
      <c r="I74" s="24" t="n">
        <v>10</v>
      </c>
      <c r="J74" s="28" t="inlineStr">
        <is>
          <t>Explicit args</t>
        </is>
      </c>
      <c r="K74" s="24" t="inlineStr">
        <is>
          <t>Page placement</t>
        </is>
      </c>
      <c r="L74" s="24" t="inlineStr">
        <is>
          <t>Content type: story; Context uses Courses Context: Executive Education (967), Doctoral Programs (962), Joint Degrees (973), Master of Advanced Management (932), Master's Degree in Asset Management (930), Master's Degree in Global Business and Society (950), Master's Degree in Systemic Risk (949), MBA (92), MBA For Executives (928), 93, Yale Global Executive Leadership Program (968), All SOM (77), Headlines (1390); Needs any Story Type: Blog (974); Limited to 10 item(s); Source: Explicit args</t>
        </is>
      </c>
      <c r="BQ74" s="19" t="inlineStr">
        <is>
          <t>967, 962, 973, 932, 930, 950, 949, 92, 928, 93, 968, 77, 1390</t>
        </is>
      </c>
      <c r="BR74" s="19" t="inlineStr">
        <is>
          <t>Executive Education (967), Doctoral Programs (962), Joint Degrees (973), Master of Advanced Management (932), Master's Degree in Asset Management (930), Master's Degree in Global Business and Society (950), Master's Degree in Systemic Risk (949), MBA (92), MBA For Executives (928), 93, Yale Global Executive Leadership Program (968), All SOM (77), Headlines (1390)</t>
        </is>
      </c>
      <c r="HY74" s="19" t="inlineStr">
        <is>
          <t>974</t>
        </is>
      </c>
      <c r="HZ74" s="19" t="inlineStr">
        <is>
          <t>Blog (974)</t>
        </is>
      </c>
      <c r="IS74" s="19">
        <f>IF(input_content_type="",FALSE,ISNUMBER(SEARCH(","&amp;LOWER(input_content_type)&amp;",",","&amp;LOWER(SUBSTITUTE(F74," ",""))&amp;",")))</f>
        <v/>
      </c>
      <c r="IT74" s="19">
        <f>AND(IF(M74="",TRUE,IF(input_affiliations="",FALSE,SUMPRODUCT(--ISNUMBER(SEARCH(","&amp;TRIM(TEXTSPLIT(M74,","))&amp;",",","&amp;SUBSTITUTE(input_affiliations," ","")&amp;",")))&gt;0)),IF(O74="",TRUE,IF(input_affiliations="",FALSE,SUMPRODUCT(--ISNUMBER(SEARCH(","&amp;TRIM(TEXTSPLIT(O74,","))&amp;",",","&amp;SUBSTITUTE(input_affiliations," ","")&amp;",")))=COUNTA(TEXTSPLIT(O74,",")))),IF(Q74="",TRUE,IF(input_affiliations="",TRUE,SUMPRODUCT(--ISNUMBER(SEARCH(","&amp;TRIM(TEXTSPLIT(Q74,","))&amp;",",","&amp;SUBSTITUTE(input_affiliations," ","")&amp;",")))=0)),IF(S74="",TRUE,IF(input_affiliations="",FALSE,SUMPRODUCT(--ISNUMBER(SEARCH(","&amp;TRIM(TEXTSPLIT(S74,","))&amp;",",","&amp;SUBSTITUTE(input_affiliations," ","")&amp;",")))&gt;0)),IF(U74="",TRUE,IF(input_affiliations="",FALSE,SUMPRODUCT(--ISNUMBER(SEARCH(","&amp;TRIM(TEXTSPLIT(U74,","))&amp;",",","&amp;SUBSTITUTE(input_affiliations," ","")&amp;",")))=COUNTA(TEXTSPLIT(U74,",")))))</f>
        <v/>
      </c>
      <c r="IU74" s="19">
        <f>AND(IF(W74="",TRUE,IF(input_announcement_category="",FALSE,SUMPRODUCT(--ISNUMBER(SEARCH(","&amp;TRIM(TEXTSPLIT(W74,","))&amp;",",","&amp;SUBSTITUTE(input_announcement_category," ","")&amp;",")))&gt;0)),IF(Y74="",TRUE,IF(input_announcement_category="",FALSE,SUMPRODUCT(--ISNUMBER(SEARCH(","&amp;TRIM(TEXTSPLIT(Y74,","))&amp;",",","&amp;SUBSTITUTE(input_announcement_category," ","")&amp;",")))=COUNTA(TEXTSPLIT(Y74,",")))),IF(AA74="",TRUE,IF(input_announcement_category="",TRUE,SUMPRODUCT(--ISNUMBER(SEARCH(","&amp;TRIM(TEXTSPLIT(AA74,","))&amp;",",","&amp;SUBSTITUTE(input_announcement_category," ","")&amp;",")))=0)),IF(AC74="",TRUE,IF(input_announcement_category="",FALSE,SUMPRODUCT(--ISNUMBER(SEARCH(","&amp;TRIM(TEXTSPLIT(AC74,","))&amp;",",","&amp;SUBSTITUTE(input_announcement_category," ","")&amp;",")))&gt;0)),IF(AE74="",TRUE,IF(input_announcement_category="",FALSE,SUMPRODUCT(--ISNUMBER(SEARCH(","&amp;TRIM(TEXTSPLIT(AE74,","))&amp;",",","&amp;SUBSTITUTE(input_announcement_category," ","")&amp;",")))=COUNTA(TEXTSPLIT(AE74,",")))))</f>
        <v/>
      </c>
      <c r="IV74" s="19">
        <f>AND(IF(AG74="",TRUE,IF(input_area_of_focus="",FALSE,SUMPRODUCT(--ISNUMBER(SEARCH(","&amp;TRIM(TEXTSPLIT(AG74,","))&amp;",",","&amp;SUBSTITUTE(input_area_of_focus," ","")&amp;",")))&gt;0)),IF(AI74="",TRUE,IF(input_area_of_focus="",FALSE,SUMPRODUCT(--ISNUMBER(SEARCH(","&amp;TRIM(TEXTSPLIT(AI74,","))&amp;",",","&amp;SUBSTITUTE(input_area_of_focus," ","")&amp;",")))=COUNTA(TEXTSPLIT(AI74,",")))),IF(AK74="",TRUE,IF(input_area_of_focus="",TRUE,SUMPRODUCT(--ISNUMBER(SEARCH(","&amp;TRIM(TEXTSPLIT(AK74,","))&amp;",",","&amp;SUBSTITUTE(input_area_of_focus," ","")&amp;",")))=0)),IF(AM74="",TRUE,IF(input_area_of_focus="",FALSE,SUMPRODUCT(--ISNUMBER(SEARCH(","&amp;TRIM(TEXTSPLIT(AM74,","))&amp;",",","&amp;SUBSTITUTE(input_area_of_focus," ","")&amp;",")))&gt;0)),IF(AO74="",TRUE,IF(input_area_of_focus="",FALSE,SUMPRODUCT(--ISNUMBER(SEARCH(","&amp;TRIM(TEXTSPLIT(AO74,","))&amp;",",","&amp;SUBSTITUTE(input_area_of_focus," ","")&amp;",")))=COUNTA(TEXTSPLIT(AO74,",")))))</f>
        <v/>
      </c>
      <c r="IW74" s="19">
        <f>AND(IF(AQ74="",TRUE,IF(input_audience="",FALSE,SUMPRODUCT(--ISNUMBER(SEARCH(","&amp;TRIM(TEXTSPLIT(AQ74,","))&amp;",",","&amp;SUBSTITUTE(input_audience," ","")&amp;",")))&gt;0)),IF(AS74="",TRUE,IF(input_audience="",FALSE,SUMPRODUCT(--ISNUMBER(SEARCH(","&amp;TRIM(TEXTSPLIT(AS74,","))&amp;",",","&amp;SUBSTITUTE(input_audience," ","")&amp;",")))=COUNTA(TEXTSPLIT(AS74,",")))),IF(AU74="",TRUE,IF(input_audience="",TRUE,SUMPRODUCT(--ISNUMBER(SEARCH(","&amp;TRIM(TEXTSPLIT(AU74,","))&amp;",",","&amp;SUBSTITUTE(input_audience," ","")&amp;",")))=0)),IF(AW74="",TRUE,IF(input_audience="",FALSE,SUMPRODUCT(--ISNUMBER(SEARCH(","&amp;TRIM(TEXTSPLIT(AW74,","))&amp;",",","&amp;SUBSTITUTE(input_audience," ","")&amp;",")))&gt;0)),IF(AY74="",TRUE,IF(input_audience="",FALSE,SUMPRODUCT(--ISNUMBER(SEARCH(","&amp;TRIM(TEXTSPLIT(AY74,","))&amp;",",","&amp;SUBSTITUTE(input_audience," ","")&amp;",")))=COUNTA(TEXTSPLIT(AY74,",")))))</f>
        <v/>
      </c>
      <c r="IX74" s="19">
        <f>AND(IF(BA74="",TRUE,IF(input_challenge_opportunities="",FALSE,SUMPRODUCT(--ISNUMBER(SEARCH(","&amp;TRIM(TEXTSPLIT(BA74,","))&amp;",",","&amp;SUBSTITUTE(input_challenge_opportunities," ","")&amp;",")))&gt;0)),IF(BC74="",TRUE,IF(input_challenge_opportunities="",FALSE,SUMPRODUCT(--ISNUMBER(SEARCH(","&amp;TRIM(TEXTSPLIT(BC74,","))&amp;",",","&amp;SUBSTITUTE(input_challenge_opportunities," ","")&amp;",")))=COUNTA(TEXTSPLIT(BC74,",")))),IF(BE74="",TRUE,IF(input_challenge_opportunities="",TRUE,SUMPRODUCT(--ISNUMBER(SEARCH(","&amp;TRIM(TEXTSPLIT(BE74,","))&amp;",",","&amp;SUBSTITUTE(input_challenge_opportunities," ","")&amp;",")))=0)),IF(BG74="",TRUE,IF(input_challenge_opportunities="",FALSE,SUMPRODUCT(--ISNUMBER(SEARCH(","&amp;TRIM(TEXTSPLIT(BG74,","))&amp;",",","&amp;SUBSTITUTE(input_challenge_opportunities," ","")&amp;",")))&gt;0)),IF(BI74="",TRUE,IF(input_challenge_opportunities="",FALSE,SUMPRODUCT(--ISNUMBER(SEARCH(","&amp;TRIM(TEXTSPLIT(BI74,","))&amp;",",","&amp;SUBSTITUTE(input_challenge_opportunities," ","")&amp;",")))=COUNTA(TEXTSPLIT(BI74,",")))))</f>
        <v/>
      </c>
      <c r="IY74" s="19">
        <f>AND(IF(BK74="",TRUE,IF(input_context="",FALSE,SUMPRODUCT(--ISNUMBER(SEARCH(","&amp;TRIM(TEXTSPLIT(BK74,","))&amp;",",","&amp;SUBSTITUTE(input_context," ","")&amp;",")))&gt;0)),IF(BM74="",TRUE,IF(input_context="",FALSE,SUMPRODUCT(--ISNUMBER(SEARCH(","&amp;TRIM(TEXTSPLIT(BM74,","))&amp;",",","&amp;SUBSTITUTE(input_context," ","")&amp;",")))=COUNTA(TEXTSPLIT(BM74,",")))),IF(BO74="",TRUE,IF(input_context="",TRUE,SUMPRODUCT(--ISNUMBER(SEARCH(","&amp;TRIM(TEXTSPLIT(BO74,","))&amp;",",","&amp;SUBSTITUTE(input_context," ","")&amp;",")))=0)),IF(BQ74="",TRUE,IF(input_context="",FALSE,SUMPRODUCT(--ISNUMBER(SEARCH(","&amp;TRIM(TEXTSPLIT(BQ74,","))&amp;",",","&amp;SUBSTITUTE(input_context," ","")&amp;",")))&gt;0)),IF(BS74="",TRUE,IF(input_context="",FALSE,SUMPRODUCT(--ISNUMBER(SEARCH(","&amp;TRIM(TEXTSPLIT(BS74,","))&amp;",",","&amp;SUBSTITUTE(input_context," ","")&amp;",")))=COUNTA(TEXTSPLIT(BS74,",")))))</f>
        <v/>
      </c>
      <c r="IZ74" s="19">
        <f>AND(IF(BU74="",TRUE,IF(input_enews_announcement_type="",FALSE,SUMPRODUCT(--ISNUMBER(SEARCH(","&amp;TRIM(TEXTSPLIT(BU74,","))&amp;",",","&amp;SUBSTITUTE(input_enews_announcement_type," ","")&amp;",")))&gt;0)),IF(BW74="",TRUE,IF(input_enews_announcement_type="",FALSE,SUMPRODUCT(--ISNUMBER(SEARCH(","&amp;TRIM(TEXTSPLIT(BW74,","))&amp;",",","&amp;SUBSTITUTE(input_enews_announcement_type," ","")&amp;",")))=COUNTA(TEXTSPLIT(BW74,",")))),IF(BY74="",TRUE,IF(input_enews_announcement_type="",TRUE,SUMPRODUCT(--ISNUMBER(SEARCH(","&amp;TRIM(TEXTSPLIT(BY74,","))&amp;",",","&amp;SUBSTITUTE(input_enews_announcement_type," ","")&amp;",")))=0)),IF(CA74="",TRUE,IF(input_enews_announcement_type="",FALSE,SUMPRODUCT(--ISNUMBER(SEARCH(","&amp;TRIM(TEXTSPLIT(CA74,","))&amp;",",","&amp;SUBSTITUTE(input_enews_announcement_type," ","")&amp;",")))&gt;0)),IF(CC74="",TRUE,IF(input_enews_announcement_type="",FALSE,SUMPRODUCT(--ISNUMBER(SEARCH(","&amp;TRIM(TEXTSPLIT(CC74,","))&amp;",",","&amp;SUBSTITUTE(input_enews_announcement_type," ","")&amp;",")))=COUNTA(TEXTSPLIT(CC74,",")))))</f>
        <v/>
      </c>
      <c r="JA74" s="19">
        <f>AND(IF(CE74="",TRUE,IF(input_enews_audience="",FALSE,SUMPRODUCT(--ISNUMBER(SEARCH(","&amp;TRIM(TEXTSPLIT(CE74,","))&amp;",",","&amp;SUBSTITUTE(input_enews_audience," ","")&amp;",")))&gt;0)),IF(CG74="",TRUE,IF(input_enews_audience="",FALSE,SUMPRODUCT(--ISNUMBER(SEARCH(","&amp;TRIM(TEXTSPLIT(CG74,","))&amp;",",","&amp;SUBSTITUTE(input_enews_audience," ","")&amp;",")))=COUNTA(TEXTSPLIT(CG74,",")))),IF(CI74="",TRUE,IF(input_enews_audience="",TRUE,SUMPRODUCT(--ISNUMBER(SEARCH(","&amp;TRIM(TEXTSPLIT(CI74,","))&amp;",",","&amp;SUBSTITUTE(input_enews_audience," ","")&amp;",")))=0)),IF(CK74="",TRUE,IF(input_enews_audience="",FALSE,SUMPRODUCT(--ISNUMBER(SEARCH(","&amp;TRIM(TEXTSPLIT(CK74,","))&amp;",",","&amp;SUBSTITUTE(input_enews_audience," ","")&amp;",")))&gt;0)),IF(CM74="",TRUE,IF(input_enews_audience="",FALSE,SUMPRODUCT(--ISNUMBER(SEARCH(","&amp;TRIM(TEXTSPLIT(CM74,","))&amp;",",","&amp;SUBSTITUTE(input_enews_audience," ","")&amp;",")))=COUNTA(TEXTSPLIT(CM74,",")))))</f>
        <v/>
      </c>
      <c r="JB74" s="19">
        <f>AND(IF(CO74="",TRUE,IF(input_event_location="",FALSE,SUMPRODUCT(--ISNUMBER(SEARCH(","&amp;TRIM(TEXTSPLIT(CO74,","))&amp;",",","&amp;SUBSTITUTE(input_event_location," ","")&amp;",")))&gt;0)),IF(CQ74="",TRUE,IF(input_event_location="",FALSE,SUMPRODUCT(--ISNUMBER(SEARCH(","&amp;TRIM(TEXTSPLIT(CQ74,","))&amp;",",","&amp;SUBSTITUTE(input_event_location," ","")&amp;",")))=COUNTA(TEXTSPLIT(CQ74,",")))),IF(CS74="",TRUE,IF(input_event_location="",TRUE,SUMPRODUCT(--ISNUMBER(SEARCH(","&amp;TRIM(TEXTSPLIT(CS74,","))&amp;",",","&amp;SUBSTITUTE(input_event_location," ","")&amp;",")))=0)),IF(CU74="",TRUE,IF(input_event_location="",FALSE,SUMPRODUCT(--ISNUMBER(SEARCH(","&amp;TRIM(TEXTSPLIT(CU74,","))&amp;",",","&amp;SUBSTITUTE(input_event_location," ","")&amp;",")))&gt;0)),IF(CW74="",TRUE,IF(input_event_location="",FALSE,SUMPRODUCT(--ISNUMBER(SEARCH(","&amp;TRIM(TEXTSPLIT(CW74,","))&amp;",",","&amp;SUBSTITUTE(input_event_location," ","")&amp;",")))=COUNTA(TEXTSPLIT(CW74,",")))))</f>
        <v/>
      </c>
      <c r="JC74" s="19">
        <f>AND(IF(CY74="",TRUE,IF(input_event_type="",FALSE,SUMPRODUCT(--ISNUMBER(SEARCH(","&amp;TRIM(TEXTSPLIT(CY74,","))&amp;",",","&amp;SUBSTITUTE(input_event_type," ","")&amp;",")))&gt;0)),IF(DA74="",TRUE,IF(input_event_type="",FALSE,SUMPRODUCT(--ISNUMBER(SEARCH(","&amp;TRIM(TEXTSPLIT(DA74,","))&amp;",",","&amp;SUBSTITUTE(input_event_type," ","")&amp;",")))=COUNTA(TEXTSPLIT(DA74,",")))),IF(DC74="",TRUE,IF(input_event_type="",TRUE,SUMPRODUCT(--ISNUMBER(SEARCH(","&amp;TRIM(TEXTSPLIT(DC74,","))&amp;",",","&amp;SUBSTITUTE(input_event_type," ","")&amp;",")))=0)),IF(DE74="",TRUE,IF(input_event_type="",FALSE,SUMPRODUCT(--ISNUMBER(SEARCH(","&amp;TRIM(TEXTSPLIT(DE74,","))&amp;",",","&amp;SUBSTITUTE(input_event_type," ","")&amp;",")))&gt;0)),IF(DG74="",TRUE,IF(input_event_type="",FALSE,SUMPRODUCT(--ISNUMBER(SEARCH(","&amp;TRIM(TEXTSPLIT(DG74,","))&amp;",",","&amp;SUBSTITUTE(input_event_type," ","")&amp;",")))=COUNTA(TEXTSPLIT(DG74,",")))))</f>
        <v/>
      </c>
      <c r="JD74" s="19">
        <f>AND(IF(DI74="",TRUE,IF(input_executive_education_focus="",FALSE,SUMPRODUCT(--ISNUMBER(SEARCH(","&amp;TRIM(TEXTSPLIT(DI74,","))&amp;",",","&amp;SUBSTITUTE(input_executive_education_focus," ","")&amp;",")))&gt;0)),IF(DK74="",TRUE,IF(input_executive_education_focus="",FALSE,SUMPRODUCT(--ISNUMBER(SEARCH(","&amp;TRIM(TEXTSPLIT(DK74,","))&amp;",",","&amp;SUBSTITUTE(input_executive_education_focus," ","")&amp;",")))=COUNTA(TEXTSPLIT(DK74,",")))),IF(DM74="",TRUE,IF(input_executive_education_focus="",TRUE,SUMPRODUCT(--ISNUMBER(SEARCH(","&amp;TRIM(TEXTSPLIT(DM74,","))&amp;",",","&amp;SUBSTITUTE(input_executive_education_focus," ","")&amp;",")))=0)),IF(DO74="",TRUE,IF(input_executive_education_focus="",FALSE,SUMPRODUCT(--ISNUMBER(SEARCH(","&amp;TRIM(TEXTSPLIT(DO74,","))&amp;",",","&amp;SUBSTITUTE(input_executive_education_focus," ","")&amp;",")))&gt;0)),IF(DQ74="",TRUE,IF(input_executive_education_focus="",FALSE,SUMPRODUCT(--ISNUMBER(SEARCH(","&amp;TRIM(TEXTSPLIT(DQ74,","))&amp;",",","&amp;SUBSTITUTE(input_executive_education_focus," ","")&amp;",")))=COUNTA(TEXTSPLIT(DQ74,",")))))</f>
        <v/>
      </c>
      <c r="JE74" s="19">
        <f>AND(IF(DS74="",TRUE,IF(input_faculty_category="",FALSE,SUMPRODUCT(--ISNUMBER(SEARCH(","&amp;TRIM(TEXTSPLIT(DS74,","))&amp;",",","&amp;SUBSTITUTE(input_faculty_category," ","")&amp;",")))&gt;0)),IF(DU74="",TRUE,IF(input_faculty_category="",FALSE,SUMPRODUCT(--ISNUMBER(SEARCH(","&amp;TRIM(TEXTSPLIT(DU74,","))&amp;",",","&amp;SUBSTITUTE(input_faculty_category," ","")&amp;",")))=COUNTA(TEXTSPLIT(DU74,",")))),IF(DW74="",TRUE,IF(input_faculty_category="",TRUE,SUMPRODUCT(--ISNUMBER(SEARCH(","&amp;TRIM(TEXTSPLIT(DW74,","))&amp;",",","&amp;SUBSTITUTE(input_faculty_category," ","")&amp;",")))=0)),IF(DY74="",TRUE,IF(input_faculty_category="",FALSE,SUMPRODUCT(--ISNUMBER(SEARCH(","&amp;TRIM(TEXTSPLIT(DY74,","))&amp;",",","&amp;SUBSTITUTE(input_faculty_category," ","")&amp;",")))&gt;0)),IF(EA74="",TRUE,IF(input_faculty_category="",FALSE,SUMPRODUCT(--ISNUMBER(SEARCH(","&amp;TRIM(TEXTSPLIT(EA74,","))&amp;",",","&amp;SUBSTITUTE(input_faculty_category," ","")&amp;",")))=COUNTA(TEXTSPLIT(EA74,",")))))</f>
        <v/>
      </c>
      <c r="JF74" s="19">
        <f>AND(IF(EC74="",TRUE,IF(input_faculty_discipline="",FALSE,SUMPRODUCT(--ISNUMBER(SEARCH(","&amp;TRIM(TEXTSPLIT(EC74,","))&amp;",",","&amp;SUBSTITUTE(input_faculty_discipline," ","")&amp;",")))&gt;0)),IF(EE74="",TRUE,IF(input_faculty_discipline="",FALSE,SUMPRODUCT(--ISNUMBER(SEARCH(","&amp;TRIM(TEXTSPLIT(EE74,","))&amp;",",","&amp;SUBSTITUTE(input_faculty_discipline," ","")&amp;",")))=COUNTA(TEXTSPLIT(EE74,",")))),IF(EG74="",TRUE,IF(input_faculty_discipline="",TRUE,SUMPRODUCT(--ISNUMBER(SEARCH(","&amp;TRIM(TEXTSPLIT(EG74,","))&amp;",",","&amp;SUBSTITUTE(input_faculty_discipline," ","")&amp;",")))=0)),IF(EI74="",TRUE,IF(input_faculty_discipline="",FALSE,SUMPRODUCT(--ISNUMBER(SEARCH(","&amp;TRIM(TEXTSPLIT(EI74,","))&amp;",",","&amp;SUBSTITUTE(input_faculty_discipline," ","")&amp;",")))&gt;0)),IF(EK74="",TRUE,IF(input_faculty_discipline="",FALSE,SUMPRODUCT(--ISNUMBER(SEARCH(","&amp;TRIM(TEXTSPLIT(EK74,","))&amp;",",","&amp;SUBSTITUTE(input_faculty_discipline," ","")&amp;",")))=COUNTA(TEXTSPLIT(EK74,",")))))</f>
        <v/>
      </c>
      <c r="JG74" s="19">
        <f>AND(IF(EM74="",TRUE,IF(input_faculty_expertise="",FALSE,SUMPRODUCT(--ISNUMBER(SEARCH(","&amp;TRIM(TEXTSPLIT(EM74,","))&amp;",",","&amp;SUBSTITUTE(input_faculty_expertise," ","")&amp;",")))&gt;0)),IF(EO74="",TRUE,IF(input_faculty_expertise="",FALSE,SUMPRODUCT(--ISNUMBER(SEARCH(","&amp;TRIM(TEXTSPLIT(EO74,","))&amp;",",","&amp;SUBSTITUTE(input_faculty_expertise," ","")&amp;",")))=COUNTA(TEXTSPLIT(EO74,",")))),IF(EQ74="",TRUE,IF(input_faculty_expertise="",TRUE,SUMPRODUCT(--ISNUMBER(SEARCH(","&amp;TRIM(TEXTSPLIT(EQ74,","))&amp;",",","&amp;SUBSTITUTE(input_faculty_expertise," ","")&amp;",")))=0)),IF(ES74="",TRUE,IF(input_faculty_expertise="",FALSE,SUMPRODUCT(--ISNUMBER(SEARCH(","&amp;TRIM(TEXTSPLIT(ES74,","))&amp;",",","&amp;SUBSTITUTE(input_faculty_expertise," ","")&amp;",")))&gt;0)),IF(EU74="",TRUE,IF(input_faculty_expertise="",FALSE,SUMPRODUCT(--ISNUMBER(SEARCH(","&amp;TRIM(TEXTSPLIT(EU74,","))&amp;",",","&amp;SUBSTITUTE(input_faculty_expertise," ","")&amp;",")))=COUNTA(TEXTSPLIT(EU74,",")))))</f>
        <v/>
      </c>
      <c r="JH74" s="19">
        <f>AND(IF(EW74="",TRUE,IF(input_global_network_school="",FALSE,SUMPRODUCT(--ISNUMBER(SEARCH(","&amp;TRIM(TEXTSPLIT(EW74,","))&amp;",",","&amp;SUBSTITUTE(input_global_network_school," ","")&amp;",")))&gt;0)),IF(EY74="",TRUE,IF(input_global_network_school="",FALSE,SUMPRODUCT(--ISNUMBER(SEARCH(","&amp;TRIM(TEXTSPLIT(EY74,","))&amp;",",","&amp;SUBSTITUTE(input_global_network_school," ","")&amp;",")))=COUNTA(TEXTSPLIT(EY74,",")))),IF(FA74="",TRUE,IF(input_global_network_school="",TRUE,SUMPRODUCT(--ISNUMBER(SEARCH(","&amp;TRIM(TEXTSPLIT(FA74,","))&amp;",",","&amp;SUBSTITUTE(input_global_network_school," ","")&amp;",")))=0)),IF(FC74="",TRUE,IF(input_global_network_school="",FALSE,SUMPRODUCT(--ISNUMBER(SEARCH(","&amp;TRIM(TEXTSPLIT(FC74,","))&amp;",",","&amp;SUBSTITUTE(input_global_network_school," ","")&amp;",")))&gt;0)),IF(FE74="",TRUE,IF(input_global_network_school="",FALSE,SUMPRODUCT(--ISNUMBER(SEARCH(","&amp;TRIM(TEXTSPLIT(FE74,","))&amp;",",","&amp;SUBSTITUTE(input_global_network_school," ","")&amp;",")))=COUNTA(TEXTSPLIT(FE74,",")))))</f>
        <v/>
      </c>
      <c r="JI74" s="19">
        <f>AND(IF(FG74="",TRUE,IF(input_industry="",FALSE,SUMPRODUCT(--ISNUMBER(SEARCH(","&amp;TRIM(TEXTSPLIT(FG74,","))&amp;",",","&amp;SUBSTITUTE(input_industry," ","")&amp;",")))&gt;0)),IF(FI74="",TRUE,IF(input_industry="",FALSE,SUMPRODUCT(--ISNUMBER(SEARCH(","&amp;TRIM(TEXTSPLIT(FI74,","))&amp;",",","&amp;SUBSTITUTE(input_industry," ","")&amp;",")))=COUNTA(TEXTSPLIT(FI74,",")))),IF(FK74="",TRUE,IF(input_industry="",TRUE,SUMPRODUCT(--ISNUMBER(SEARCH(","&amp;TRIM(TEXTSPLIT(FK74,","))&amp;",",","&amp;SUBSTITUTE(input_industry," ","")&amp;",")))=0)),IF(FM74="",TRUE,IF(input_industry="",FALSE,SUMPRODUCT(--ISNUMBER(SEARCH(","&amp;TRIM(TEXTSPLIT(FM74,","))&amp;",",","&amp;SUBSTITUTE(input_industry," ","")&amp;",")))&gt;0)),IF(FO74="",TRUE,IF(input_industry="",FALSE,SUMPRODUCT(--ISNUMBER(SEARCH(","&amp;TRIM(TEXTSPLIT(FO74,","))&amp;",",","&amp;SUBSTITUTE(input_industry," ","")&amp;",")))=COUNTA(TEXTSPLIT(FO74,",")))))</f>
        <v/>
      </c>
      <c r="JJ74" s="19">
        <f>AND(IF(FQ74="",TRUE,IF(input_location="",FALSE,SUMPRODUCT(--ISNUMBER(SEARCH(","&amp;TRIM(TEXTSPLIT(FQ74,","))&amp;",",","&amp;SUBSTITUTE(input_location," ","")&amp;",")))&gt;0)),IF(FS74="",TRUE,IF(input_location="",FALSE,SUMPRODUCT(--ISNUMBER(SEARCH(","&amp;TRIM(TEXTSPLIT(FS74,","))&amp;",",","&amp;SUBSTITUTE(input_location," ","")&amp;",")))=COUNTA(TEXTSPLIT(FS74,",")))),IF(FU74="",TRUE,IF(input_location="",TRUE,SUMPRODUCT(--ISNUMBER(SEARCH(","&amp;TRIM(TEXTSPLIT(FU74,","))&amp;",",","&amp;SUBSTITUTE(input_location," ","")&amp;",")))=0)),IF(FW74="",TRUE,IF(input_location="",FALSE,SUMPRODUCT(--ISNUMBER(SEARCH(","&amp;TRIM(TEXTSPLIT(FW74,","))&amp;",",","&amp;SUBSTITUTE(input_location," ","")&amp;",")))&gt;0)),IF(FY74="",TRUE,IF(input_location="",FALSE,SUMPRODUCT(--ISNUMBER(SEARCH(","&amp;TRIM(TEXTSPLIT(FY74,","))&amp;",",","&amp;SUBSTITUTE(input_location," ","")&amp;",")))=COUNTA(TEXTSPLIT(FY74,",")))))</f>
        <v/>
      </c>
      <c r="JK74" s="19">
        <f>AND(IF(GA74="",TRUE,IF(input_modality="",FALSE,SUMPRODUCT(--ISNUMBER(SEARCH(","&amp;TRIM(TEXTSPLIT(GA74,","))&amp;",",","&amp;SUBSTITUTE(input_modality," ","")&amp;",")))&gt;0)),IF(GC74="",TRUE,IF(input_modality="",FALSE,SUMPRODUCT(--ISNUMBER(SEARCH(","&amp;TRIM(TEXTSPLIT(GC74,","))&amp;",",","&amp;SUBSTITUTE(input_modality," ","")&amp;",")))=COUNTA(TEXTSPLIT(GC74,",")))),IF(GE74="",TRUE,IF(input_modality="",TRUE,SUMPRODUCT(--ISNUMBER(SEARCH(","&amp;TRIM(TEXTSPLIT(GE74,","))&amp;",",","&amp;SUBSTITUTE(input_modality," ","")&amp;",")))=0)),IF(GG74="",TRUE,IF(input_modality="",FALSE,SUMPRODUCT(--ISNUMBER(SEARCH(","&amp;TRIM(TEXTSPLIT(GG74,","))&amp;",",","&amp;SUBSTITUTE(input_modality," ","")&amp;",")))&gt;0)),IF(GI74="",TRUE,IF(input_modality="",FALSE,SUMPRODUCT(--ISNUMBER(SEARCH(","&amp;TRIM(TEXTSPLIT(GI74,","))&amp;",",","&amp;SUBSTITUTE(input_modality," ","")&amp;",")))=COUNTA(TEXTSPLIT(GI74,",")))))</f>
        <v/>
      </c>
      <c r="JL74" s="19">
        <f>AND(IF(GK74="",TRUE,IF(input_organizer="",FALSE,SUMPRODUCT(--ISNUMBER(SEARCH(","&amp;TRIM(TEXTSPLIT(GK74,","))&amp;",",","&amp;SUBSTITUTE(input_organizer," ","")&amp;",")))&gt;0)),IF(GM74="",TRUE,IF(input_organizer="",FALSE,SUMPRODUCT(--ISNUMBER(SEARCH(","&amp;TRIM(TEXTSPLIT(GM74,","))&amp;",",","&amp;SUBSTITUTE(input_organizer," ","")&amp;",")))=COUNTA(TEXTSPLIT(GM74,",")))),IF(GO74="",TRUE,IF(input_organizer="",TRUE,SUMPRODUCT(--ISNUMBER(SEARCH(","&amp;TRIM(TEXTSPLIT(GO74,","))&amp;",",","&amp;SUBSTITUTE(input_organizer," ","")&amp;",")))=0)),IF(GQ74="",TRUE,IF(input_organizer="",FALSE,SUMPRODUCT(--ISNUMBER(SEARCH(","&amp;TRIM(TEXTSPLIT(GQ74,","))&amp;",",","&amp;SUBSTITUTE(input_organizer," ","")&amp;",")))&gt;0)),IF(GS74="",TRUE,IF(input_organizer="",FALSE,SUMPRODUCT(--ISNUMBER(SEARCH(","&amp;TRIM(TEXTSPLIT(GS74,","))&amp;",",","&amp;SUBSTITUTE(input_organizer," ","")&amp;",")))=COUNTA(TEXTSPLIT(GS74,",")))))</f>
        <v/>
      </c>
      <c r="JM74" s="19">
        <f>AND(IF(GU74="",TRUE,IF(input_profile_type="",FALSE,SUMPRODUCT(--ISNUMBER(SEARCH(","&amp;TRIM(TEXTSPLIT(GU74,","))&amp;",",","&amp;SUBSTITUTE(input_profile_type," ","")&amp;",")))&gt;0)),IF(GW74="",TRUE,IF(input_profile_type="",FALSE,SUMPRODUCT(--ISNUMBER(SEARCH(","&amp;TRIM(TEXTSPLIT(GW74,","))&amp;",",","&amp;SUBSTITUTE(input_profile_type," ","")&amp;",")))=COUNTA(TEXTSPLIT(GW74,",")))),IF(GY74="",TRUE,IF(input_profile_type="",TRUE,SUMPRODUCT(--ISNUMBER(SEARCH(","&amp;TRIM(TEXTSPLIT(GY74,","))&amp;",",","&amp;SUBSTITUTE(input_profile_type," ","")&amp;",")))=0)),IF(HA74="",TRUE,IF(input_profile_type="",FALSE,SUMPRODUCT(--ISNUMBER(SEARCH(","&amp;TRIM(TEXTSPLIT(HA74,","))&amp;",",","&amp;SUBSTITUTE(input_profile_type," ","")&amp;",")))&gt;0)),IF(HC74="",TRUE,IF(input_profile_type="",FALSE,SUMPRODUCT(--ISNUMBER(SEARCH(","&amp;TRIM(TEXTSPLIT(HC74,","))&amp;",",","&amp;SUBSTITUTE(input_profile_type," ","")&amp;",")))=COUNTA(TEXTSPLIT(HC74,",")))))</f>
        <v/>
      </c>
      <c r="JN74" s="19">
        <f>AND(IF(HE74="",TRUE,IF(input_program="",FALSE,SUMPRODUCT(--ISNUMBER(SEARCH(","&amp;TRIM(TEXTSPLIT(HE74,","))&amp;",",","&amp;SUBSTITUTE(input_program," ","")&amp;",")))&gt;0)),IF(HG74="",TRUE,IF(input_program="",FALSE,SUMPRODUCT(--ISNUMBER(SEARCH(","&amp;TRIM(TEXTSPLIT(HG74,","))&amp;",",","&amp;SUBSTITUTE(input_program," ","")&amp;",")))=COUNTA(TEXTSPLIT(HG74,",")))),IF(HI74="",TRUE,IF(input_program="",TRUE,SUMPRODUCT(--ISNUMBER(SEARCH(","&amp;TRIM(TEXTSPLIT(HI74,","))&amp;",",","&amp;SUBSTITUTE(input_program," ","")&amp;",")))=0)),IF(HK74="",TRUE,IF(input_program="",FALSE,SUMPRODUCT(--ISNUMBER(SEARCH(","&amp;TRIM(TEXTSPLIT(HK74,","))&amp;",",","&amp;SUBSTITUTE(input_program," ","")&amp;",")))&gt;0)),IF(HM74="",TRUE,IF(input_program="",FALSE,SUMPRODUCT(--ISNUMBER(SEARCH(","&amp;TRIM(TEXTSPLIT(HM74,","))&amp;",",","&amp;SUBSTITUTE(input_program," ","")&amp;",")))=COUNTA(TEXTSPLIT(HM74,",")))))</f>
        <v/>
      </c>
      <c r="JO74" s="19">
        <f>AND(IF(HO74="",TRUE,IF(input_story_categories="",FALSE,SUMPRODUCT(--ISNUMBER(SEARCH(","&amp;TRIM(TEXTSPLIT(HO74,","))&amp;",",","&amp;SUBSTITUTE(input_story_categories," ","")&amp;",")))&gt;0)),IF(HQ74="",TRUE,IF(input_story_categories="",FALSE,SUMPRODUCT(--ISNUMBER(SEARCH(","&amp;TRIM(TEXTSPLIT(HQ74,","))&amp;",",","&amp;SUBSTITUTE(input_story_categories," ","")&amp;",")))=COUNTA(TEXTSPLIT(HQ74,",")))),IF(HS74="",TRUE,IF(input_story_categories="",TRUE,SUMPRODUCT(--ISNUMBER(SEARCH(","&amp;TRIM(TEXTSPLIT(HS74,","))&amp;",",","&amp;SUBSTITUTE(input_story_categories," ","")&amp;",")))=0)),IF(HU74="",TRUE,IF(input_story_categories="",FALSE,SUMPRODUCT(--ISNUMBER(SEARCH(","&amp;TRIM(TEXTSPLIT(HU74,","))&amp;",",","&amp;SUBSTITUTE(input_story_categories," ","")&amp;",")))&gt;0)),IF(HW74="",TRUE,IF(input_story_categories="",FALSE,SUMPRODUCT(--ISNUMBER(SEARCH(","&amp;TRIM(TEXTSPLIT(HW74,","))&amp;",",","&amp;SUBSTITUTE(input_story_categories," ","")&amp;",")))=COUNTA(TEXTSPLIT(HW74,",")))))</f>
        <v/>
      </c>
      <c r="JP74" s="19">
        <f>AND(IF(HY74="",TRUE,IF(input_story_type="",FALSE,SUMPRODUCT(--ISNUMBER(SEARCH(","&amp;TRIM(TEXTSPLIT(HY74,","))&amp;",",","&amp;SUBSTITUTE(input_story_type," ","")&amp;",")))&gt;0)),IF(IA74="",TRUE,IF(input_story_type="",FALSE,SUMPRODUCT(--ISNUMBER(SEARCH(","&amp;TRIM(TEXTSPLIT(IA74,","))&amp;",",","&amp;SUBSTITUTE(input_story_type," ","")&amp;",")))=COUNTA(TEXTSPLIT(IA74,",")))),IF(IC74="",TRUE,IF(input_story_type="",TRUE,SUMPRODUCT(--ISNUMBER(SEARCH(","&amp;TRIM(TEXTSPLIT(IC74,","))&amp;",",","&amp;SUBSTITUTE(input_story_type," ","")&amp;",")))=0)),IF(IE74="",TRUE,IF(input_story_type="",FALSE,SUMPRODUCT(--ISNUMBER(SEARCH(","&amp;TRIM(TEXTSPLIT(IE74,","))&amp;",",","&amp;SUBSTITUTE(input_story_type," ","")&amp;",")))&gt;0)),IF(IG74="",TRUE,IF(input_story_type="",FALSE,SUMPRODUCT(--ISNUMBER(SEARCH(","&amp;TRIM(TEXTSPLIT(IG74,","))&amp;",",","&amp;SUBSTITUTE(input_story_type," ","")&amp;",")))=COUNTA(TEXTSPLIT(IG74,",")))))</f>
        <v/>
      </c>
      <c r="JQ74" s="19">
        <f>AND(IF(II74="",TRUE,IF(input_topics="",FALSE,SUMPRODUCT(--ISNUMBER(SEARCH(","&amp;TRIM(TEXTSPLIT(II74,","))&amp;",",","&amp;SUBSTITUTE(input_topics," ","")&amp;",")))&gt;0)),IF(IK74="",TRUE,IF(input_topics="",FALSE,SUMPRODUCT(--ISNUMBER(SEARCH(","&amp;TRIM(TEXTSPLIT(IK74,","))&amp;",",","&amp;SUBSTITUTE(input_topics," ","")&amp;",")))=COUNTA(TEXTSPLIT(IK74,",")))),IF(IM74="",TRUE,IF(input_topics="",TRUE,SUMPRODUCT(--ISNUMBER(SEARCH(","&amp;TRIM(TEXTSPLIT(IM74,","))&amp;",",","&amp;SUBSTITUTE(input_topics," ","")&amp;",")))=0)),IF(IO74="",TRUE,IF(input_topics="",FALSE,SUMPRODUCT(--ISNUMBER(SEARCH(","&amp;TRIM(TEXTSPLIT(IO74,","))&amp;",",","&amp;SUBSTITUTE(input_topics," ","")&amp;",")))&gt;0)),IF(IQ74="",TRUE,IF(input_topics="",FALSE,SUMPRODUCT(--ISNUMBER(SEARCH(","&amp;TRIM(TEXTSPLIT(IQ74,","))&amp;",",","&amp;SUBSTITUTE(input_topics," ","")&amp;",")))=COUNTA(TEXTSPLIT(IQ74,",")))))</f>
        <v/>
      </c>
    </row>
    <row r="75">
      <c r="A75" s="24">
        <f>IF(NOT(IS75),"Excluded",IF(AND(IT75,IU75,IV75,IW75,IX75,IY75,IZ75,JA75,JB75,JC75,JD75,JE75,JF75,JG75,JH75,JI75,JJ75,JK75,JL75,JM75,JN75,JO75,JP75,JQ75),IF(I75&gt;0,"Eligible but limited","Will appear"),"Excluded"))</f>
        <v/>
      </c>
      <c r="B75" s="24" t="inlineStr">
        <is>
          <t>Blogs - Summary</t>
        </is>
      </c>
      <c r="C75" s="27" t="inlineStr">
        <is>
          <t>/</t>
        </is>
      </c>
      <c r="D75" s="24" t="inlineStr">
        <is>
          <t>/</t>
        </is>
      </c>
      <c r="E75" s="24" t="n">
        <v>1</v>
      </c>
      <c r="F75" s="24" t="inlineStr">
        <is>
          <t>story</t>
        </is>
      </c>
      <c r="G75" s="24" t="inlineStr">
        <is>
          <t>stories_mosaic_grid</t>
        </is>
      </c>
      <c r="H75" s="24" t="inlineStr">
        <is>
          <t>embed_blog_summary</t>
        </is>
      </c>
      <c r="I75" s="24" t="n">
        <v>1</v>
      </c>
      <c r="J75" s="24" t="inlineStr">
        <is>
          <t>View/config rules</t>
        </is>
      </c>
      <c r="K75" s="24" t="inlineStr">
        <is>
          <t>Page placement</t>
        </is>
      </c>
      <c r="L75" s="24" t="inlineStr">
        <is>
          <t>Content type: story; Needs any Story Type: Blog (974); Limited to 1 item(s); Source: View/config rules</t>
        </is>
      </c>
      <c r="HY75" s="19" t="inlineStr">
        <is>
          <t>974</t>
        </is>
      </c>
      <c r="HZ75" s="19" t="inlineStr">
        <is>
          <t>Blog (974)</t>
        </is>
      </c>
      <c r="IS75" s="19">
        <f>IF(input_content_type="",FALSE,ISNUMBER(SEARCH(","&amp;LOWER(input_content_type)&amp;",",","&amp;LOWER(SUBSTITUTE(F75," ",""))&amp;",")))</f>
        <v/>
      </c>
      <c r="IT75" s="19">
        <f>AND(IF(M75="",TRUE,IF(input_affiliations="",FALSE,SUMPRODUCT(--ISNUMBER(SEARCH(","&amp;TRIM(TEXTSPLIT(M75,","))&amp;",",","&amp;SUBSTITUTE(input_affiliations," ","")&amp;",")))&gt;0)),IF(O75="",TRUE,IF(input_affiliations="",FALSE,SUMPRODUCT(--ISNUMBER(SEARCH(","&amp;TRIM(TEXTSPLIT(O75,","))&amp;",",","&amp;SUBSTITUTE(input_affiliations," ","")&amp;",")))=COUNTA(TEXTSPLIT(O75,",")))),IF(Q75="",TRUE,IF(input_affiliations="",TRUE,SUMPRODUCT(--ISNUMBER(SEARCH(","&amp;TRIM(TEXTSPLIT(Q75,","))&amp;",",","&amp;SUBSTITUTE(input_affiliations," ","")&amp;",")))=0)),IF(S75="",TRUE,IF(input_affiliations="",FALSE,SUMPRODUCT(--ISNUMBER(SEARCH(","&amp;TRIM(TEXTSPLIT(S75,","))&amp;",",","&amp;SUBSTITUTE(input_affiliations," ","")&amp;",")))&gt;0)),IF(U75="",TRUE,IF(input_affiliations="",FALSE,SUMPRODUCT(--ISNUMBER(SEARCH(","&amp;TRIM(TEXTSPLIT(U75,","))&amp;",",","&amp;SUBSTITUTE(input_affiliations," ","")&amp;",")))=COUNTA(TEXTSPLIT(U75,",")))))</f>
        <v/>
      </c>
      <c r="IU75" s="19">
        <f>AND(IF(W75="",TRUE,IF(input_announcement_category="",FALSE,SUMPRODUCT(--ISNUMBER(SEARCH(","&amp;TRIM(TEXTSPLIT(W75,","))&amp;",",","&amp;SUBSTITUTE(input_announcement_category," ","")&amp;",")))&gt;0)),IF(Y75="",TRUE,IF(input_announcement_category="",FALSE,SUMPRODUCT(--ISNUMBER(SEARCH(","&amp;TRIM(TEXTSPLIT(Y75,","))&amp;",",","&amp;SUBSTITUTE(input_announcement_category," ","")&amp;",")))=COUNTA(TEXTSPLIT(Y75,",")))),IF(AA75="",TRUE,IF(input_announcement_category="",TRUE,SUMPRODUCT(--ISNUMBER(SEARCH(","&amp;TRIM(TEXTSPLIT(AA75,","))&amp;",",","&amp;SUBSTITUTE(input_announcement_category," ","")&amp;",")))=0)),IF(AC75="",TRUE,IF(input_announcement_category="",FALSE,SUMPRODUCT(--ISNUMBER(SEARCH(","&amp;TRIM(TEXTSPLIT(AC75,","))&amp;",",","&amp;SUBSTITUTE(input_announcement_category," ","")&amp;",")))&gt;0)),IF(AE75="",TRUE,IF(input_announcement_category="",FALSE,SUMPRODUCT(--ISNUMBER(SEARCH(","&amp;TRIM(TEXTSPLIT(AE75,","))&amp;",",","&amp;SUBSTITUTE(input_announcement_category," ","")&amp;",")))=COUNTA(TEXTSPLIT(AE75,",")))))</f>
        <v/>
      </c>
      <c r="IV75" s="19">
        <f>AND(IF(AG75="",TRUE,IF(input_area_of_focus="",FALSE,SUMPRODUCT(--ISNUMBER(SEARCH(","&amp;TRIM(TEXTSPLIT(AG75,","))&amp;",",","&amp;SUBSTITUTE(input_area_of_focus," ","")&amp;",")))&gt;0)),IF(AI75="",TRUE,IF(input_area_of_focus="",FALSE,SUMPRODUCT(--ISNUMBER(SEARCH(","&amp;TRIM(TEXTSPLIT(AI75,","))&amp;",",","&amp;SUBSTITUTE(input_area_of_focus," ","")&amp;",")))=COUNTA(TEXTSPLIT(AI75,",")))),IF(AK75="",TRUE,IF(input_area_of_focus="",TRUE,SUMPRODUCT(--ISNUMBER(SEARCH(","&amp;TRIM(TEXTSPLIT(AK75,","))&amp;",",","&amp;SUBSTITUTE(input_area_of_focus," ","")&amp;",")))=0)),IF(AM75="",TRUE,IF(input_area_of_focus="",FALSE,SUMPRODUCT(--ISNUMBER(SEARCH(","&amp;TRIM(TEXTSPLIT(AM75,","))&amp;",",","&amp;SUBSTITUTE(input_area_of_focus," ","")&amp;",")))&gt;0)),IF(AO75="",TRUE,IF(input_area_of_focus="",FALSE,SUMPRODUCT(--ISNUMBER(SEARCH(","&amp;TRIM(TEXTSPLIT(AO75,","))&amp;",",","&amp;SUBSTITUTE(input_area_of_focus," ","")&amp;",")))=COUNTA(TEXTSPLIT(AO75,",")))))</f>
        <v/>
      </c>
      <c r="IW75" s="19">
        <f>AND(IF(AQ75="",TRUE,IF(input_audience="",FALSE,SUMPRODUCT(--ISNUMBER(SEARCH(","&amp;TRIM(TEXTSPLIT(AQ75,","))&amp;",",","&amp;SUBSTITUTE(input_audience," ","")&amp;",")))&gt;0)),IF(AS75="",TRUE,IF(input_audience="",FALSE,SUMPRODUCT(--ISNUMBER(SEARCH(","&amp;TRIM(TEXTSPLIT(AS75,","))&amp;",",","&amp;SUBSTITUTE(input_audience," ","")&amp;",")))=COUNTA(TEXTSPLIT(AS75,",")))),IF(AU75="",TRUE,IF(input_audience="",TRUE,SUMPRODUCT(--ISNUMBER(SEARCH(","&amp;TRIM(TEXTSPLIT(AU75,","))&amp;",",","&amp;SUBSTITUTE(input_audience," ","")&amp;",")))=0)),IF(AW75="",TRUE,IF(input_audience="",FALSE,SUMPRODUCT(--ISNUMBER(SEARCH(","&amp;TRIM(TEXTSPLIT(AW75,","))&amp;",",","&amp;SUBSTITUTE(input_audience," ","")&amp;",")))&gt;0)),IF(AY75="",TRUE,IF(input_audience="",FALSE,SUMPRODUCT(--ISNUMBER(SEARCH(","&amp;TRIM(TEXTSPLIT(AY75,","))&amp;",",","&amp;SUBSTITUTE(input_audience," ","")&amp;",")))=COUNTA(TEXTSPLIT(AY75,",")))))</f>
        <v/>
      </c>
      <c r="IX75" s="19">
        <f>AND(IF(BA75="",TRUE,IF(input_challenge_opportunities="",FALSE,SUMPRODUCT(--ISNUMBER(SEARCH(","&amp;TRIM(TEXTSPLIT(BA75,","))&amp;",",","&amp;SUBSTITUTE(input_challenge_opportunities," ","")&amp;",")))&gt;0)),IF(BC75="",TRUE,IF(input_challenge_opportunities="",FALSE,SUMPRODUCT(--ISNUMBER(SEARCH(","&amp;TRIM(TEXTSPLIT(BC75,","))&amp;",",","&amp;SUBSTITUTE(input_challenge_opportunities," ","")&amp;",")))=COUNTA(TEXTSPLIT(BC75,",")))),IF(BE75="",TRUE,IF(input_challenge_opportunities="",TRUE,SUMPRODUCT(--ISNUMBER(SEARCH(","&amp;TRIM(TEXTSPLIT(BE75,","))&amp;",",","&amp;SUBSTITUTE(input_challenge_opportunities," ","")&amp;",")))=0)),IF(BG75="",TRUE,IF(input_challenge_opportunities="",FALSE,SUMPRODUCT(--ISNUMBER(SEARCH(","&amp;TRIM(TEXTSPLIT(BG75,","))&amp;",",","&amp;SUBSTITUTE(input_challenge_opportunities," ","")&amp;",")))&gt;0)),IF(BI75="",TRUE,IF(input_challenge_opportunities="",FALSE,SUMPRODUCT(--ISNUMBER(SEARCH(","&amp;TRIM(TEXTSPLIT(BI75,","))&amp;",",","&amp;SUBSTITUTE(input_challenge_opportunities," ","")&amp;",")))=COUNTA(TEXTSPLIT(BI75,",")))))</f>
        <v/>
      </c>
      <c r="IY75" s="19">
        <f>AND(IF(BK75="",TRUE,IF(input_context="",FALSE,SUMPRODUCT(--ISNUMBER(SEARCH(","&amp;TRIM(TEXTSPLIT(BK75,","))&amp;",",","&amp;SUBSTITUTE(input_context," ","")&amp;",")))&gt;0)),IF(BM75="",TRUE,IF(input_context="",FALSE,SUMPRODUCT(--ISNUMBER(SEARCH(","&amp;TRIM(TEXTSPLIT(BM75,","))&amp;",",","&amp;SUBSTITUTE(input_context," ","")&amp;",")))=COUNTA(TEXTSPLIT(BM75,",")))),IF(BO75="",TRUE,IF(input_context="",TRUE,SUMPRODUCT(--ISNUMBER(SEARCH(","&amp;TRIM(TEXTSPLIT(BO75,","))&amp;",",","&amp;SUBSTITUTE(input_context," ","")&amp;",")))=0)),IF(BQ75="",TRUE,IF(input_context="",FALSE,SUMPRODUCT(--ISNUMBER(SEARCH(","&amp;TRIM(TEXTSPLIT(BQ75,","))&amp;",",","&amp;SUBSTITUTE(input_context," ","")&amp;",")))&gt;0)),IF(BS75="",TRUE,IF(input_context="",FALSE,SUMPRODUCT(--ISNUMBER(SEARCH(","&amp;TRIM(TEXTSPLIT(BS75,","))&amp;",",","&amp;SUBSTITUTE(input_context," ","")&amp;",")))=COUNTA(TEXTSPLIT(BS75,",")))))</f>
        <v/>
      </c>
      <c r="IZ75" s="19">
        <f>AND(IF(BU75="",TRUE,IF(input_enews_announcement_type="",FALSE,SUMPRODUCT(--ISNUMBER(SEARCH(","&amp;TRIM(TEXTSPLIT(BU75,","))&amp;",",","&amp;SUBSTITUTE(input_enews_announcement_type," ","")&amp;",")))&gt;0)),IF(BW75="",TRUE,IF(input_enews_announcement_type="",FALSE,SUMPRODUCT(--ISNUMBER(SEARCH(","&amp;TRIM(TEXTSPLIT(BW75,","))&amp;",",","&amp;SUBSTITUTE(input_enews_announcement_type," ","")&amp;",")))=COUNTA(TEXTSPLIT(BW75,",")))),IF(BY75="",TRUE,IF(input_enews_announcement_type="",TRUE,SUMPRODUCT(--ISNUMBER(SEARCH(","&amp;TRIM(TEXTSPLIT(BY75,","))&amp;",",","&amp;SUBSTITUTE(input_enews_announcement_type," ","")&amp;",")))=0)),IF(CA75="",TRUE,IF(input_enews_announcement_type="",FALSE,SUMPRODUCT(--ISNUMBER(SEARCH(","&amp;TRIM(TEXTSPLIT(CA75,","))&amp;",",","&amp;SUBSTITUTE(input_enews_announcement_type," ","")&amp;",")))&gt;0)),IF(CC75="",TRUE,IF(input_enews_announcement_type="",FALSE,SUMPRODUCT(--ISNUMBER(SEARCH(","&amp;TRIM(TEXTSPLIT(CC75,","))&amp;",",","&amp;SUBSTITUTE(input_enews_announcement_type," ","")&amp;",")))=COUNTA(TEXTSPLIT(CC75,",")))))</f>
        <v/>
      </c>
      <c r="JA75" s="19">
        <f>AND(IF(CE75="",TRUE,IF(input_enews_audience="",FALSE,SUMPRODUCT(--ISNUMBER(SEARCH(","&amp;TRIM(TEXTSPLIT(CE75,","))&amp;",",","&amp;SUBSTITUTE(input_enews_audience," ","")&amp;",")))&gt;0)),IF(CG75="",TRUE,IF(input_enews_audience="",FALSE,SUMPRODUCT(--ISNUMBER(SEARCH(","&amp;TRIM(TEXTSPLIT(CG75,","))&amp;",",","&amp;SUBSTITUTE(input_enews_audience," ","")&amp;",")))=COUNTA(TEXTSPLIT(CG75,",")))),IF(CI75="",TRUE,IF(input_enews_audience="",TRUE,SUMPRODUCT(--ISNUMBER(SEARCH(","&amp;TRIM(TEXTSPLIT(CI75,","))&amp;",",","&amp;SUBSTITUTE(input_enews_audience," ","")&amp;",")))=0)),IF(CK75="",TRUE,IF(input_enews_audience="",FALSE,SUMPRODUCT(--ISNUMBER(SEARCH(","&amp;TRIM(TEXTSPLIT(CK75,","))&amp;",",","&amp;SUBSTITUTE(input_enews_audience," ","")&amp;",")))&gt;0)),IF(CM75="",TRUE,IF(input_enews_audience="",FALSE,SUMPRODUCT(--ISNUMBER(SEARCH(","&amp;TRIM(TEXTSPLIT(CM75,","))&amp;",",","&amp;SUBSTITUTE(input_enews_audience," ","")&amp;",")))=COUNTA(TEXTSPLIT(CM75,",")))))</f>
        <v/>
      </c>
      <c r="JB75" s="19">
        <f>AND(IF(CO75="",TRUE,IF(input_event_location="",FALSE,SUMPRODUCT(--ISNUMBER(SEARCH(","&amp;TRIM(TEXTSPLIT(CO75,","))&amp;",",","&amp;SUBSTITUTE(input_event_location," ","")&amp;",")))&gt;0)),IF(CQ75="",TRUE,IF(input_event_location="",FALSE,SUMPRODUCT(--ISNUMBER(SEARCH(","&amp;TRIM(TEXTSPLIT(CQ75,","))&amp;",",","&amp;SUBSTITUTE(input_event_location," ","")&amp;",")))=COUNTA(TEXTSPLIT(CQ75,",")))),IF(CS75="",TRUE,IF(input_event_location="",TRUE,SUMPRODUCT(--ISNUMBER(SEARCH(","&amp;TRIM(TEXTSPLIT(CS75,","))&amp;",",","&amp;SUBSTITUTE(input_event_location," ","")&amp;",")))=0)),IF(CU75="",TRUE,IF(input_event_location="",FALSE,SUMPRODUCT(--ISNUMBER(SEARCH(","&amp;TRIM(TEXTSPLIT(CU75,","))&amp;",",","&amp;SUBSTITUTE(input_event_location," ","")&amp;",")))&gt;0)),IF(CW75="",TRUE,IF(input_event_location="",FALSE,SUMPRODUCT(--ISNUMBER(SEARCH(","&amp;TRIM(TEXTSPLIT(CW75,","))&amp;",",","&amp;SUBSTITUTE(input_event_location," ","")&amp;",")))=COUNTA(TEXTSPLIT(CW75,",")))))</f>
        <v/>
      </c>
      <c r="JC75" s="19">
        <f>AND(IF(CY75="",TRUE,IF(input_event_type="",FALSE,SUMPRODUCT(--ISNUMBER(SEARCH(","&amp;TRIM(TEXTSPLIT(CY75,","))&amp;",",","&amp;SUBSTITUTE(input_event_type," ","")&amp;",")))&gt;0)),IF(DA75="",TRUE,IF(input_event_type="",FALSE,SUMPRODUCT(--ISNUMBER(SEARCH(","&amp;TRIM(TEXTSPLIT(DA75,","))&amp;",",","&amp;SUBSTITUTE(input_event_type," ","")&amp;",")))=COUNTA(TEXTSPLIT(DA75,",")))),IF(DC75="",TRUE,IF(input_event_type="",TRUE,SUMPRODUCT(--ISNUMBER(SEARCH(","&amp;TRIM(TEXTSPLIT(DC75,","))&amp;",",","&amp;SUBSTITUTE(input_event_type," ","")&amp;",")))=0)),IF(DE75="",TRUE,IF(input_event_type="",FALSE,SUMPRODUCT(--ISNUMBER(SEARCH(","&amp;TRIM(TEXTSPLIT(DE75,","))&amp;",",","&amp;SUBSTITUTE(input_event_type," ","")&amp;",")))&gt;0)),IF(DG75="",TRUE,IF(input_event_type="",FALSE,SUMPRODUCT(--ISNUMBER(SEARCH(","&amp;TRIM(TEXTSPLIT(DG75,","))&amp;",",","&amp;SUBSTITUTE(input_event_type," ","")&amp;",")))=COUNTA(TEXTSPLIT(DG75,",")))))</f>
        <v/>
      </c>
      <c r="JD75" s="19">
        <f>AND(IF(DI75="",TRUE,IF(input_executive_education_focus="",FALSE,SUMPRODUCT(--ISNUMBER(SEARCH(","&amp;TRIM(TEXTSPLIT(DI75,","))&amp;",",","&amp;SUBSTITUTE(input_executive_education_focus," ","")&amp;",")))&gt;0)),IF(DK75="",TRUE,IF(input_executive_education_focus="",FALSE,SUMPRODUCT(--ISNUMBER(SEARCH(","&amp;TRIM(TEXTSPLIT(DK75,","))&amp;",",","&amp;SUBSTITUTE(input_executive_education_focus," ","")&amp;",")))=COUNTA(TEXTSPLIT(DK75,",")))),IF(DM75="",TRUE,IF(input_executive_education_focus="",TRUE,SUMPRODUCT(--ISNUMBER(SEARCH(","&amp;TRIM(TEXTSPLIT(DM75,","))&amp;",",","&amp;SUBSTITUTE(input_executive_education_focus," ","")&amp;",")))=0)),IF(DO75="",TRUE,IF(input_executive_education_focus="",FALSE,SUMPRODUCT(--ISNUMBER(SEARCH(","&amp;TRIM(TEXTSPLIT(DO75,","))&amp;",",","&amp;SUBSTITUTE(input_executive_education_focus," ","")&amp;",")))&gt;0)),IF(DQ75="",TRUE,IF(input_executive_education_focus="",FALSE,SUMPRODUCT(--ISNUMBER(SEARCH(","&amp;TRIM(TEXTSPLIT(DQ75,","))&amp;",",","&amp;SUBSTITUTE(input_executive_education_focus," ","")&amp;",")))=COUNTA(TEXTSPLIT(DQ75,",")))))</f>
        <v/>
      </c>
      <c r="JE75" s="19">
        <f>AND(IF(DS75="",TRUE,IF(input_faculty_category="",FALSE,SUMPRODUCT(--ISNUMBER(SEARCH(","&amp;TRIM(TEXTSPLIT(DS75,","))&amp;",",","&amp;SUBSTITUTE(input_faculty_category," ","")&amp;",")))&gt;0)),IF(DU75="",TRUE,IF(input_faculty_category="",FALSE,SUMPRODUCT(--ISNUMBER(SEARCH(","&amp;TRIM(TEXTSPLIT(DU75,","))&amp;",",","&amp;SUBSTITUTE(input_faculty_category," ","")&amp;",")))=COUNTA(TEXTSPLIT(DU75,",")))),IF(DW75="",TRUE,IF(input_faculty_category="",TRUE,SUMPRODUCT(--ISNUMBER(SEARCH(","&amp;TRIM(TEXTSPLIT(DW75,","))&amp;",",","&amp;SUBSTITUTE(input_faculty_category," ","")&amp;",")))=0)),IF(DY75="",TRUE,IF(input_faculty_category="",FALSE,SUMPRODUCT(--ISNUMBER(SEARCH(","&amp;TRIM(TEXTSPLIT(DY75,","))&amp;",",","&amp;SUBSTITUTE(input_faculty_category," ","")&amp;",")))&gt;0)),IF(EA75="",TRUE,IF(input_faculty_category="",FALSE,SUMPRODUCT(--ISNUMBER(SEARCH(","&amp;TRIM(TEXTSPLIT(EA75,","))&amp;",",","&amp;SUBSTITUTE(input_faculty_category," ","")&amp;",")))=COUNTA(TEXTSPLIT(EA75,",")))))</f>
        <v/>
      </c>
      <c r="JF75" s="19">
        <f>AND(IF(EC75="",TRUE,IF(input_faculty_discipline="",FALSE,SUMPRODUCT(--ISNUMBER(SEARCH(","&amp;TRIM(TEXTSPLIT(EC75,","))&amp;",",","&amp;SUBSTITUTE(input_faculty_discipline," ","")&amp;",")))&gt;0)),IF(EE75="",TRUE,IF(input_faculty_discipline="",FALSE,SUMPRODUCT(--ISNUMBER(SEARCH(","&amp;TRIM(TEXTSPLIT(EE75,","))&amp;",",","&amp;SUBSTITUTE(input_faculty_discipline," ","")&amp;",")))=COUNTA(TEXTSPLIT(EE75,",")))),IF(EG75="",TRUE,IF(input_faculty_discipline="",TRUE,SUMPRODUCT(--ISNUMBER(SEARCH(","&amp;TRIM(TEXTSPLIT(EG75,","))&amp;",",","&amp;SUBSTITUTE(input_faculty_discipline," ","")&amp;",")))=0)),IF(EI75="",TRUE,IF(input_faculty_discipline="",FALSE,SUMPRODUCT(--ISNUMBER(SEARCH(","&amp;TRIM(TEXTSPLIT(EI75,","))&amp;",",","&amp;SUBSTITUTE(input_faculty_discipline," ","")&amp;",")))&gt;0)),IF(EK75="",TRUE,IF(input_faculty_discipline="",FALSE,SUMPRODUCT(--ISNUMBER(SEARCH(","&amp;TRIM(TEXTSPLIT(EK75,","))&amp;",",","&amp;SUBSTITUTE(input_faculty_discipline," ","")&amp;",")))=COUNTA(TEXTSPLIT(EK75,",")))))</f>
        <v/>
      </c>
      <c r="JG75" s="19">
        <f>AND(IF(EM75="",TRUE,IF(input_faculty_expertise="",FALSE,SUMPRODUCT(--ISNUMBER(SEARCH(","&amp;TRIM(TEXTSPLIT(EM75,","))&amp;",",","&amp;SUBSTITUTE(input_faculty_expertise," ","")&amp;",")))&gt;0)),IF(EO75="",TRUE,IF(input_faculty_expertise="",FALSE,SUMPRODUCT(--ISNUMBER(SEARCH(","&amp;TRIM(TEXTSPLIT(EO75,","))&amp;",",","&amp;SUBSTITUTE(input_faculty_expertise," ","")&amp;",")))=COUNTA(TEXTSPLIT(EO75,",")))),IF(EQ75="",TRUE,IF(input_faculty_expertise="",TRUE,SUMPRODUCT(--ISNUMBER(SEARCH(","&amp;TRIM(TEXTSPLIT(EQ75,","))&amp;",",","&amp;SUBSTITUTE(input_faculty_expertise," ","")&amp;",")))=0)),IF(ES75="",TRUE,IF(input_faculty_expertise="",FALSE,SUMPRODUCT(--ISNUMBER(SEARCH(","&amp;TRIM(TEXTSPLIT(ES75,","))&amp;",",","&amp;SUBSTITUTE(input_faculty_expertise," ","")&amp;",")))&gt;0)),IF(EU75="",TRUE,IF(input_faculty_expertise="",FALSE,SUMPRODUCT(--ISNUMBER(SEARCH(","&amp;TRIM(TEXTSPLIT(EU75,","))&amp;",",","&amp;SUBSTITUTE(input_faculty_expertise," ","")&amp;",")))=COUNTA(TEXTSPLIT(EU75,",")))))</f>
        <v/>
      </c>
      <c r="JH75" s="19">
        <f>AND(IF(EW75="",TRUE,IF(input_global_network_school="",FALSE,SUMPRODUCT(--ISNUMBER(SEARCH(","&amp;TRIM(TEXTSPLIT(EW75,","))&amp;",",","&amp;SUBSTITUTE(input_global_network_school," ","")&amp;",")))&gt;0)),IF(EY75="",TRUE,IF(input_global_network_school="",FALSE,SUMPRODUCT(--ISNUMBER(SEARCH(","&amp;TRIM(TEXTSPLIT(EY75,","))&amp;",",","&amp;SUBSTITUTE(input_global_network_school," ","")&amp;",")))=COUNTA(TEXTSPLIT(EY75,",")))),IF(FA75="",TRUE,IF(input_global_network_school="",TRUE,SUMPRODUCT(--ISNUMBER(SEARCH(","&amp;TRIM(TEXTSPLIT(FA75,","))&amp;",",","&amp;SUBSTITUTE(input_global_network_school," ","")&amp;",")))=0)),IF(FC75="",TRUE,IF(input_global_network_school="",FALSE,SUMPRODUCT(--ISNUMBER(SEARCH(","&amp;TRIM(TEXTSPLIT(FC75,","))&amp;",",","&amp;SUBSTITUTE(input_global_network_school," ","")&amp;",")))&gt;0)),IF(FE75="",TRUE,IF(input_global_network_school="",FALSE,SUMPRODUCT(--ISNUMBER(SEARCH(","&amp;TRIM(TEXTSPLIT(FE75,","))&amp;",",","&amp;SUBSTITUTE(input_global_network_school," ","")&amp;",")))=COUNTA(TEXTSPLIT(FE75,",")))))</f>
        <v/>
      </c>
      <c r="JI75" s="19">
        <f>AND(IF(FG75="",TRUE,IF(input_industry="",FALSE,SUMPRODUCT(--ISNUMBER(SEARCH(","&amp;TRIM(TEXTSPLIT(FG75,","))&amp;",",","&amp;SUBSTITUTE(input_industry," ","")&amp;",")))&gt;0)),IF(FI75="",TRUE,IF(input_industry="",FALSE,SUMPRODUCT(--ISNUMBER(SEARCH(","&amp;TRIM(TEXTSPLIT(FI75,","))&amp;",",","&amp;SUBSTITUTE(input_industry," ","")&amp;",")))=COUNTA(TEXTSPLIT(FI75,",")))),IF(FK75="",TRUE,IF(input_industry="",TRUE,SUMPRODUCT(--ISNUMBER(SEARCH(","&amp;TRIM(TEXTSPLIT(FK75,","))&amp;",",","&amp;SUBSTITUTE(input_industry," ","")&amp;",")))=0)),IF(FM75="",TRUE,IF(input_industry="",FALSE,SUMPRODUCT(--ISNUMBER(SEARCH(","&amp;TRIM(TEXTSPLIT(FM75,","))&amp;",",","&amp;SUBSTITUTE(input_industry," ","")&amp;",")))&gt;0)),IF(FO75="",TRUE,IF(input_industry="",FALSE,SUMPRODUCT(--ISNUMBER(SEARCH(","&amp;TRIM(TEXTSPLIT(FO75,","))&amp;",",","&amp;SUBSTITUTE(input_industry," ","")&amp;",")))=COUNTA(TEXTSPLIT(FO75,",")))))</f>
        <v/>
      </c>
      <c r="JJ75" s="19">
        <f>AND(IF(FQ75="",TRUE,IF(input_location="",FALSE,SUMPRODUCT(--ISNUMBER(SEARCH(","&amp;TRIM(TEXTSPLIT(FQ75,","))&amp;",",","&amp;SUBSTITUTE(input_location," ","")&amp;",")))&gt;0)),IF(FS75="",TRUE,IF(input_location="",FALSE,SUMPRODUCT(--ISNUMBER(SEARCH(","&amp;TRIM(TEXTSPLIT(FS75,","))&amp;",",","&amp;SUBSTITUTE(input_location," ","")&amp;",")))=COUNTA(TEXTSPLIT(FS75,",")))),IF(FU75="",TRUE,IF(input_location="",TRUE,SUMPRODUCT(--ISNUMBER(SEARCH(","&amp;TRIM(TEXTSPLIT(FU75,","))&amp;",",","&amp;SUBSTITUTE(input_location," ","")&amp;",")))=0)),IF(FW75="",TRUE,IF(input_location="",FALSE,SUMPRODUCT(--ISNUMBER(SEARCH(","&amp;TRIM(TEXTSPLIT(FW75,","))&amp;",",","&amp;SUBSTITUTE(input_location," ","")&amp;",")))&gt;0)),IF(FY75="",TRUE,IF(input_location="",FALSE,SUMPRODUCT(--ISNUMBER(SEARCH(","&amp;TRIM(TEXTSPLIT(FY75,","))&amp;",",","&amp;SUBSTITUTE(input_location," ","")&amp;",")))=COUNTA(TEXTSPLIT(FY75,",")))))</f>
        <v/>
      </c>
      <c r="JK75" s="19">
        <f>AND(IF(GA75="",TRUE,IF(input_modality="",FALSE,SUMPRODUCT(--ISNUMBER(SEARCH(","&amp;TRIM(TEXTSPLIT(GA75,","))&amp;",",","&amp;SUBSTITUTE(input_modality," ","")&amp;",")))&gt;0)),IF(GC75="",TRUE,IF(input_modality="",FALSE,SUMPRODUCT(--ISNUMBER(SEARCH(","&amp;TRIM(TEXTSPLIT(GC75,","))&amp;",",","&amp;SUBSTITUTE(input_modality," ","")&amp;",")))=COUNTA(TEXTSPLIT(GC75,",")))),IF(GE75="",TRUE,IF(input_modality="",TRUE,SUMPRODUCT(--ISNUMBER(SEARCH(","&amp;TRIM(TEXTSPLIT(GE75,","))&amp;",",","&amp;SUBSTITUTE(input_modality," ","")&amp;",")))=0)),IF(GG75="",TRUE,IF(input_modality="",FALSE,SUMPRODUCT(--ISNUMBER(SEARCH(","&amp;TRIM(TEXTSPLIT(GG75,","))&amp;",",","&amp;SUBSTITUTE(input_modality," ","")&amp;",")))&gt;0)),IF(GI75="",TRUE,IF(input_modality="",FALSE,SUMPRODUCT(--ISNUMBER(SEARCH(","&amp;TRIM(TEXTSPLIT(GI75,","))&amp;",",","&amp;SUBSTITUTE(input_modality," ","")&amp;",")))=COUNTA(TEXTSPLIT(GI75,",")))))</f>
        <v/>
      </c>
      <c r="JL75" s="19">
        <f>AND(IF(GK75="",TRUE,IF(input_organizer="",FALSE,SUMPRODUCT(--ISNUMBER(SEARCH(","&amp;TRIM(TEXTSPLIT(GK75,","))&amp;",",","&amp;SUBSTITUTE(input_organizer," ","")&amp;",")))&gt;0)),IF(GM75="",TRUE,IF(input_organizer="",FALSE,SUMPRODUCT(--ISNUMBER(SEARCH(","&amp;TRIM(TEXTSPLIT(GM75,","))&amp;",",","&amp;SUBSTITUTE(input_organizer," ","")&amp;",")))=COUNTA(TEXTSPLIT(GM75,",")))),IF(GO75="",TRUE,IF(input_organizer="",TRUE,SUMPRODUCT(--ISNUMBER(SEARCH(","&amp;TRIM(TEXTSPLIT(GO75,","))&amp;",",","&amp;SUBSTITUTE(input_organizer," ","")&amp;",")))=0)),IF(GQ75="",TRUE,IF(input_organizer="",FALSE,SUMPRODUCT(--ISNUMBER(SEARCH(","&amp;TRIM(TEXTSPLIT(GQ75,","))&amp;",",","&amp;SUBSTITUTE(input_organizer," ","")&amp;",")))&gt;0)),IF(GS75="",TRUE,IF(input_organizer="",FALSE,SUMPRODUCT(--ISNUMBER(SEARCH(","&amp;TRIM(TEXTSPLIT(GS75,","))&amp;",",","&amp;SUBSTITUTE(input_organizer," ","")&amp;",")))=COUNTA(TEXTSPLIT(GS75,",")))))</f>
        <v/>
      </c>
      <c r="JM75" s="19">
        <f>AND(IF(GU75="",TRUE,IF(input_profile_type="",FALSE,SUMPRODUCT(--ISNUMBER(SEARCH(","&amp;TRIM(TEXTSPLIT(GU75,","))&amp;",",","&amp;SUBSTITUTE(input_profile_type," ","")&amp;",")))&gt;0)),IF(GW75="",TRUE,IF(input_profile_type="",FALSE,SUMPRODUCT(--ISNUMBER(SEARCH(","&amp;TRIM(TEXTSPLIT(GW75,","))&amp;",",","&amp;SUBSTITUTE(input_profile_type," ","")&amp;",")))=COUNTA(TEXTSPLIT(GW75,",")))),IF(GY75="",TRUE,IF(input_profile_type="",TRUE,SUMPRODUCT(--ISNUMBER(SEARCH(","&amp;TRIM(TEXTSPLIT(GY75,","))&amp;",",","&amp;SUBSTITUTE(input_profile_type," ","")&amp;",")))=0)),IF(HA75="",TRUE,IF(input_profile_type="",FALSE,SUMPRODUCT(--ISNUMBER(SEARCH(","&amp;TRIM(TEXTSPLIT(HA75,","))&amp;",",","&amp;SUBSTITUTE(input_profile_type," ","")&amp;",")))&gt;0)),IF(HC75="",TRUE,IF(input_profile_type="",FALSE,SUMPRODUCT(--ISNUMBER(SEARCH(","&amp;TRIM(TEXTSPLIT(HC75,","))&amp;",",","&amp;SUBSTITUTE(input_profile_type," ","")&amp;",")))=COUNTA(TEXTSPLIT(HC75,",")))))</f>
        <v/>
      </c>
      <c r="JN75" s="19">
        <f>AND(IF(HE75="",TRUE,IF(input_program="",FALSE,SUMPRODUCT(--ISNUMBER(SEARCH(","&amp;TRIM(TEXTSPLIT(HE75,","))&amp;",",","&amp;SUBSTITUTE(input_program," ","")&amp;",")))&gt;0)),IF(HG75="",TRUE,IF(input_program="",FALSE,SUMPRODUCT(--ISNUMBER(SEARCH(","&amp;TRIM(TEXTSPLIT(HG75,","))&amp;",",","&amp;SUBSTITUTE(input_program," ","")&amp;",")))=COUNTA(TEXTSPLIT(HG75,",")))),IF(HI75="",TRUE,IF(input_program="",TRUE,SUMPRODUCT(--ISNUMBER(SEARCH(","&amp;TRIM(TEXTSPLIT(HI75,","))&amp;",",","&amp;SUBSTITUTE(input_program," ","")&amp;",")))=0)),IF(HK75="",TRUE,IF(input_program="",FALSE,SUMPRODUCT(--ISNUMBER(SEARCH(","&amp;TRIM(TEXTSPLIT(HK75,","))&amp;",",","&amp;SUBSTITUTE(input_program," ","")&amp;",")))&gt;0)),IF(HM75="",TRUE,IF(input_program="",FALSE,SUMPRODUCT(--ISNUMBER(SEARCH(","&amp;TRIM(TEXTSPLIT(HM75,","))&amp;",",","&amp;SUBSTITUTE(input_program," ","")&amp;",")))=COUNTA(TEXTSPLIT(HM75,",")))))</f>
        <v/>
      </c>
      <c r="JO75" s="19">
        <f>AND(IF(HO75="",TRUE,IF(input_story_categories="",FALSE,SUMPRODUCT(--ISNUMBER(SEARCH(","&amp;TRIM(TEXTSPLIT(HO75,","))&amp;",",","&amp;SUBSTITUTE(input_story_categories," ","")&amp;",")))&gt;0)),IF(HQ75="",TRUE,IF(input_story_categories="",FALSE,SUMPRODUCT(--ISNUMBER(SEARCH(","&amp;TRIM(TEXTSPLIT(HQ75,","))&amp;",",","&amp;SUBSTITUTE(input_story_categories," ","")&amp;",")))=COUNTA(TEXTSPLIT(HQ75,",")))),IF(HS75="",TRUE,IF(input_story_categories="",TRUE,SUMPRODUCT(--ISNUMBER(SEARCH(","&amp;TRIM(TEXTSPLIT(HS75,","))&amp;",",","&amp;SUBSTITUTE(input_story_categories," ","")&amp;",")))=0)),IF(HU75="",TRUE,IF(input_story_categories="",FALSE,SUMPRODUCT(--ISNUMBER(SEARCH(","&amp;TRIM(TEXTSPLIT(HU75,","))&amp;",",","&amp;SUBSTITUTE(input_story_categories," ","")&amp;",")))&gt;0)),IF(HW75="",TRUE,IF(input_story_categories="",FALSE,SUMPRODUCT(--ISNUMBER(SEARCH(","&amp;TRIM(TEXTSPLIT(HW75,","))&amp;",",","&amp;SUBSTITUTE(input_story_categories," ","")&amp;",")))=COUNTA(TEXTSPLIT(HW75,",")))))</f>
        <v/>
      </c>
      <c r="JP75" s="19">
        <f>AND(IF(HY75="",TRUE,IF(input_story_type="",FALSE,SUMPRODUCT(--ISNUMBER(SEARCH(","&amp;TRIM(TEXTSPLIT(HY75,","))&amp;",",","&amp;SUBSTITUTE(input_story_type," ","")&amp;",")))&gt;0)),IF(IA75="",TRUE,IF(input_story_type="",FALSE,SUMPRODUCT(--ISNUMBER(SEARCH(","&amp;TRIM(TEXTSPLIT(IA75,","))&amp;",",","&amp;SUBSTITUTE(input_story_type," ","")&amp;",")))=COUNTA(TEXTSPLIT(IA75,",")))),IF(IC75="",TRUE,IF(input_story_type="",TRUE,SUMPRODUCT(--ISNUMBER(SEARCH(","&amp;TRIM(TEXTSPLIT(IC75,","))&amp;",",","&amp;SUBSTITUTE(input_story_type," ","")&amp;",")))=0)),IF(IE75="",TRUE,IF(input_story_type="",FALSE,SUMPRODUCT(--ISNUMBER(SEARCH(","&amp;TRIM(TEXTSPLIT(IE75,","))&amp;",",","&amp;SUBSTITUTE(input_story_type," ","")&amp;",")))&gt;0)),IF(IG75="",TRUE,IF(input_story_type="",FALSE,SUMPRODUCT(--ISNUMBER(SEARCH(","&amp;TRIM(TEXTSPLIT(IG75,","))&amp;",",","&amp;SUBSTITUTE(input_story_type," ","")&amp;",")))=COUNTA(TEXTSPLIT(IG75,",")))))</f>
        <v/>
      </c>
      <c r="JQ75" s="19">
        <f>AND(IF(II75="",TRUE,IF(input_topics="",FALSE,SUMPRODUCT(--ISNUMBER(SEARCH(","&amp;TRIM(TEXTSPLIT(II75,","))&amp;",",","&amp;SUBSTITUTE(input_topics," ","")&amp;",")))&gt;0)),IF(IK75="",TRUE,IF(input_topics="",FALSE,SUMPRODUCT(--ISNUMBER(SEARCH(","&amp;TRIM(TEXTSPLIT(IK75,","))&amp;",",","&amp;SUBSTITUTE(input_topics," ","")&amp;",")))=COUNTA(TEXTSPLIT(IK75,",")))),IF(IM75="",TRUE,IF(input_topics="",TRUE,SUMPRODUCT(--ISNUMBER(SEARCH(","&amp;TRIM(TEXTSPLIT(IM75,","))&amp;",",","&amp;SUBSTITUTE(input_topics," ","")&amp;",")))=0)),IF(IO75="",TRUE,IF(input_topics="",FALSE,SUMPRODUCT(--ISNUMBER(SEARCH(","&amp;TRIM(TEXTSPLIT(IO75,","))&amp;",",","&amp;SUBSTITUTE(input_topics," ","")&amp;",")))&gt;0)),IF(IQ75="",TRUE,IF(input_topics="",FALSE,SUMPRODUCT(--ISNUMBER(SEARCH(","&amp;TRIM(TEXTSPLIT(IQ75,","))&amp;",",","&amp;SUBSTITUTE(input_topics," ","")&amp;",")))=COUNTA(TEXTSPLIT(IQ75,",")))))</f>
        <v/>
      </c>
    </row>
    <row r="76">
      <c r="A76" s="24">
        <f>IF(NOT(IS76),"Excluded",IF(AND(IT76,IU76,IV76,IW76,IX76,IY76,IZ76,JA76,JB76,JC76,JD76,JE76,JF76,JG76,JH76,JI76,JJ76,JK76,JL76,JM76,JN76,JO76,JP76,JQ76),IF(I76&gt;0,"Eligible but limited","Will appear"),"Excluded"))</f>
        <v/>
      </c>
      <c r="B76" s="24" t="inlineStr">
        <is>
          <t>Blogs - Summary</t>
        </is>
      </c>
      <c r="C76" s="27" t="inlineStr">
        <is>
          <t>/the-som-experience/interests-and-industries/ai-data-analytics</t>
        </is>
      </c>
      <c r="D76" s="24" t="inlineStr">
        <is>
          <t>/the-som-experience/interests-and-industries/ai-data-analytics</t>
        </is>
      </c>
      <c r="E76" s="24" t="n">
        <v>1</v>
      </c>
      <c r="F76" s="24" t="inlineStr">
        <is>
          <t>story</t>
        </is>
      </c>
      <c r="G76" s="24" t="inlineStr">
        <is>
          <t>stories_mosaic_grid</t>
        </is>
      </c>
      <c r="H76" s="24" t="inlineStr">
        <is>
          <t>embed_blog_summary</t>
        </is>
      </c>
      <c r="I76" s="24" t="n">
        <v>1</v>
      </c>
      <c r="J76" s="24" t="inlineStr">
        <is>
          <t>View/config rules</t>
        </is>
      </c>
      <c r="K76" s="24" t="inlineStr">
        <is>
          <t>Page placement</t>
        </is>
      </c>
      <c r="L76" s="24" t="inlineStr">
        <is>
          <t>Content type: story; Needs any Story Type: Blog (974); Limited to 1 item(s); Source: View/config rules</t>
        </is>
      </c>
      <c r="HY76" s="19" t="inlineStr">
        <is>
          <t>974</t>
        </is>
      </c>
      <c r="HZ76" s="19" t="inlineStr">
        <is>
          <t>Blog (974)</t>
        </is>
      </c>
      <c r="IS76" s="19">
        <f>IF(input_content_type="",FALSE,ISNUMBER(SEARCH(","&amp;LOWER(input_content_type)&amp;",",","&amp;LOWER(SUBSTITUTE(F76," ",""))&amp;",")))</f>
        <v/>
      </c>
      <c r="IT76" s="19">
        <f>AND(IF(M76="",TRUE,IF(input_affiliations="",FALSE,SUMPRODUCT(--ISNUMBER(SEARCH(","&amp;TRIM(TEXTSPLIT(M76,","))&amp;",",","&amp;SUBSTITUTE(input_affiliations," ","")&amp;",")))&gt;0)),IF(O76="",TRUE,IF(input_affiliations="",FALSE,SUMPRODUCT(--ISNUMBER(SEARCH(","&amp;TRIM(TEXTSPLIT(O76,","))&amp;",",","&amp;SUBSTITUTE(input_affiliations," ","")&amp;",")))=COUNTA(TEXTSPLIT(O76,",")))),IF(Q76="",TRUE,IF(input_affiliations="",TRUE,SUMPRODUCT(--ISNUMBER(SEARCH(","&amp;TRIM(TEXTSPLIT(Q76,","))&amp;",",","&amp;SUBSTITUTE(input_affiliations," ","")&amp;",")))=0)),IF(S76="",TRUE,IF(input_affiliations="",FALSE,SUMPRODUCT(--ISNUMBER(SEARCH(","&amp;TRIM(TEXTSPLIT(S76,","))&amp;",",","&amp;SUBSTITUTE(input_affiliations," ","")&amp;",")))&gt;0)),IF(U76="",TRUE,IF(input_affiliations="",FALSE,SUMPRODUCT(--ISNUMBER(SEARCH(","&amp;TRIM(TEXTSPLIT(U76,","))&amp;",",","&amp;SUBSTITUTE(input_affiliations," ","")&amp;",")))=COUNTA(TEXTSPLIT(U76,",")))))</f>
        <v/>
      </c>
      <c r="IU76" s="19">
        <f>AND(IF(W76="",TRUE,IF(input_announcement_category="",FALSE,SUMPRODUCT(--ISNUMBER(SEARCH(","&amp;TRIM(TEXTSPLIT(W76,","))&amp;",",","&amp;SUBSTITUTE(input_announcement_category," ","")&amp;",")))&gt;0)),IF(Y76="",TRUE,IF(input_announcement_category="",FALSE,SUMPRODUCT(--ISNUMBER(SEARCH(","&amp;TRIM(TEXTSPLIT(Y76,","))&amp;",",","&amp;SUBSTITUTE(input_announcement_category," ","")&amp;",")))=COUNTA(TEXTSPLIT(Y76,",")))),IF(AA76="",TRUE,IF(input_announcement_category="",TRUE,SUMPRODUCT(--ISNUMBER(SEARCH(","&amp;TRIM(TEXTSPLIT(AA76,","))&amp;",",","&amp;SUBSTITUTE(input_announcement_category," ","")&amp;",")))=0)),IF(AC76="",TRUE,IF(input_announcement_category="",FALSE,SUMPRODUCT(--ISNUMBER(SEARCH(","&amp;TRIM(TEXTSPLIT(AC76,","))&amp;",",","&amp;SUBSTITUTE(input_announcement_category," ","")&amp;",")))&gt;0)),IF(AE76="",TRUE,IF(input_announcement_category="",FALSE,SUMPRODUCT(--ISNUMBER(SEARCH(","&amp;TRIM(TEXTSPLIT(AE76,","))&amp;",",","&amp;SUBSTITUTE(input_announcement_category," ","")&amp;",")))=COUNTA(TEXTSPLIT(AE76,",")))))</f>
        <v/>
      </c>
      <c r="IV76" s="19">
        <f>AND(IF(AG76="",TRUE,IF(input_area_of_focus="",FALSE,SUMPRODUCT(--ISNUMBER(SEARCH(","&amp;TRIM(TEXTSPLIT(AG76,","))&amp;",",","&amp;SUBSTITUTE(input_area_of_focus," ","")&amp;",")))&gt;0)),IF(AI76="",TRUE,IF(input_area_of_focus="",FALSE,SUMPRODUCT(--ISNUMBER(SEARCH(","&amp;TRIM(TEXTSPLIT(AI76,","))&amp;",",","&amp;SUBSTITUTE(input_area_of_focus," ","")&amp;",")))=COUNTA(TEXTSPLIT(AI76,",")))),IF(AK76="",TRUE,IF(input_area_of_focus="",TRUE,SUMPRODUCT(--ISNUMBER(SEARCH(","&amp;TRIM(TEXTSPLIT(AK76,","))&amp;",",","&amp;SUBSTITUTE(input_area_of_focus," ","")&amp;",")))=0)),IF(AM76="",TRUE,IF(input_area_of_focus="",FALSE,SUMPRODUCT(--ISNUMBER(SEARCH(","&amp;TRIM(TEXTSPLIT(AM76,","))&amp;",",","&amp;SUBSTITUTE(input_area_of_focus," ","")&amp;",")))&gt;0)),IF(AO76="",TRUE,IF(input_area_of_focus="",FALSE,SUMPRODUCT(--ISNUMBER(SEARCH(","&amp;TRIM(TEXTSPLIT(AO76,","))&amp;",",","&amp;SUBSTITUTE(input_area_of_focus," ","")&amp;",")))=COUNTA(TEXTSPLIT(AO76,",")))))</f>
        <v/>
      </c>
      <c r="IW76" s="19">
        <f>AND(IF(AQ76="",TRUE,IF(input_audience="",FALSE,SUMPRODUCT(--ISNUMBER(SEARCH(","&amp;TRIM(TEXTSPLIT(AQ76,","))&amp;",",","&amp;SUBSTITUTE(input_audience," ","")&amp;",")))&gt;0)),IF(AS76="",TRUE,IF(input_audience="",FALSE,SUMPRODUCT(--ISNUMBER(SEARCH(","&amp;TRIM(TEXTSPLIT(AS76,","))&amp;",",","&amp;SUBSTITUTE(input_audience," ","")&amp;",")))=COUNTA(TEXTSPLIT(AS76,",")))),IF(AU76="",TRUE,IF(input_audience="",TRUE,SUMPRODUCT(--ISNUMBER(SEARCH(","&amp;TRIM(TEXTSPLIT(AU76,","))&amp;",",","&amp;SUBSTITUTE(input_audience," ","")&amp;",")))=0)),IF(AW76="",TRUE,IF(input_audience="",FALSE,SUMPRODUCT(--ISNUMBER(SEARCH(","&amp;TRIM(TEXTSPLIT(AW76,","))&amp;",",","&amp;SUBSTITUTE(input_audience," ","")&amp;",")))&gt;0)),IF(AY76="",TRUE,IF(input_audience="",FALSE,SUMPRODUCT(--ISNUMBER(SEARCH(","&amp;TRIM(TEXTSPLIT(AY76,","))&amp;",",","&amp;SUBSTITUTE(input_audience," ","")&amp;",")))=COUNTA(TEXTSPLIT(AY76,",")))))</f>
        <v/>
      </c>
      <c r="IX76" s="19">
        <f>AND(IF(BA76="",TRUE,IF(input_challenge_opportunities="",FALSE,SUMPRODUCT(--ISNUMBER(SEARCH(","&amp;TRIM(TEXTSPLIT(BA76,","))&amp;",",","&amp;SUBSTITUTE(input_challenge_opportunities," ","")&amp;",")))&gt;0)),IF(BC76="",TRUE,IF(input_challenge_opportunities="",FALSE,SUMPRODUCT(--ISNUMBER(SEARCH(","&amp;TRIM(TEXTSPLIT(BC76,","))&amp;",",","&amp;SUBSTITUTE(input_challenge_opportunities," ","")&amp;",")))=COUNTA(TEXTSPLIT(BC76,",")))),IF(BE76="",TRUE,IF(input_challenge_opportunities="",TRUE,SUMPRODUCT(--ISNUMBER(SEARCH(","&amp;TRIM(TEXTSPLIT(BE76,","))&amp;",",","&amp;SUBSTITUTE(input_challenge_opportunities," ","")&amp;",")))=0)),IF(BG76="",TRUE,IF(input_challenge_opportunities="",FALSE,SUMPRODUCT(--ISNUMBER(SEARCH(","&amp;TRIM(TEXTSPLIT(BG76,","))&amp;",",","&amp;SUBSTITUTE(input_challenge_opportunities," ","")&amp;",")))&gt;0)),IF(BI76="",TRUE,IF(input_challenge_opportunities="",FALSE,SUMPRODUCT(--ISNUMBER(SEARCH(","&amp;TRIM(TEXTSPLIT(BI76,","))&amp;",",","&amp;SUBSTITUTE(input_challenge_opportunities," ","")&amp;",")))=COUNTA(TEXTSPLIT(BI76,",")))))</f>
        <v/>
      </c>
      <c r="IY76" s="19">
        <f>AND(IF(BK76="",TRUE,IF(input_context="",FALSE,SUMPRODUCT(--ISNUMBER(SEARCH(","&amp;TRIM(TEXTSPLIT(BK76,","))&amp;",",","&amp;SUBSTITUTE(input_context," ","")&amp;",")))&gt;0)),IF(BM76="",TRUE,IF(input_context="",FALSE,SUMPRODUCT(--ISNUMBER(SEARCH(","&amp;TRIM(TEXTSPLIT(BM76,","))&amp;",",","&amp;SUBSTITUTE(input_context," ","")&amp;",")))=COUNTA(TEXTSPLIT(BM76,",")))),IF(BO76="",TRUE,IF(input_context="",TRUE,SUMPRODUCT(--ISNUMBER(SEARCH(","&amp;TRIM(TEXTSPLIT(BO76,","))&amp;",",","&amp;SUBSTITUTE(input_context," ","")&amp;",")))=0)),IF(BQ76="",TRUE,IF(input_context="",FALSE,SUMPRODUCT(--ISNUMBER(SEARCH(","&amp;TRIM(TEXTSPLIT(BQ76,","))&amp;",",","&amp;SUBSTITUTE(input_context," ","")&amp;",")))&gt;0)),IF(BS76="",TRUE,IF(input_context="",FALSE,SUMPRODUCT(--ISNUMBER(SEARCH(","&amp;TRIM(TEXTSPLIT(BS76,","))&amp;",",","&amp;SUBSTITUTE(input_context," ","")&amp;",")))=COUNTA(TEXTSPLIT(BS76,",")))))</f>
        <v/>
      </c>
      <c r="IZ76" s="19">
        <f>AND(IF(BU76="",TRUE,IF(input_enews_announcement_type="",FALSE,SUMPRODUCT(--ISNUMBER(SEARCH(","&amp;TRIM(TEXTSPLIT(BU76,","))&amp;",",","&amp;SUBSTITUTE(input_enews_announcement_type," ","")&amp;",")))&gt;0)),IF(BW76="",TRUE,IF(input_enews_announcement_type="",FALSE,SUMPRODUCT(--ISNUMBER(SEARCH(","&amp;TRIM(TEXTSPLIT(BW76,","))&amp;",",","&amp;SUBSTITUTE(input_enews_announcement_type," ","")&amp;",")))=COUNTA(TEXTSPLIT(BW76,",")))),IF(BY76="",TRUE,IF(input_enews_announcement_type="",TRUE,SUMPRODUCT(--ISNUMBER(SEARCH(","&amp;TRIM(TEXTSPLIT(BY76,","))&amp;",",","&amp;SUBSTITUTE(input_enews_announcement_type," ","")&amp;",")))=0)),IF(CA76="",TRUE,IF(input_enews_announcement_type="",FALSE,SUMPRODUCT(--ISNUMBER(SEARCH(","&amp;TRIM(TEXTSPLIT(CA76,","))&amp;",",","&amp;SUBSTITUTE(input_enews_announcement_type," ","")&amp;",")))&gt;0)),IF(CC76="",TRUE,IF(input_enews_announcement_type="",FALSE,SUMPRODUCT(--ISNUMBER(SEARCH(","&amp;TRIM(TEXTSPLIT(CC76,","))&amp;",",","&amp;SUBSTITUTE(input_enews_announcement_type," ","")&amp;",")))=COUNTA(TEXTSPLIT(CC76,",")))))</f>
        <v/>
      </c>
      <c r="JA76" s="19">
        <f>AND(IF(CE76="",TRUE,IF(input_enews_audience="",FALSE,SUMPRODUCT(--ISNUMBER(SEARCH(","&amp;TRIM(TEXTSPLIT(CE76,","))&amp;",",","&amp;SUBSTITUTE(input_enews_audience," ","")&amp;",")))&gt;0)),IF(CG76="",TRUE,IF(input_enews_audience="",FALSE,SUMPRODUCT(--ISNUMBER(SEARCH(","&amp;TRIM(TEXTSPLIT(CG76,","))&amp;",",","&amp;SUBSTITUTE(input_enews_audience," ","")&amp;",")))=COUNTA(TEXTSPLIT(CG76,",")))),IF(CI76="",TRUE,IF(input_enews_audience="",TRUE,SUMPRODUCT(--ISNUMBER(SEARCH(","&amp;TRIM(TEXTSPLIT(CI76,","))&amp;",",","&amp;SUBSTITUTE(input_enews_audience," ","")&amp;",")))=0)),IF(CK76="",TRUE,IF(input_enews_audience="",FALSE,SUMPRODUCT(--ISNUMBER(SEARCH(","&amp;TRIM(TEXTSPLIT(CK76,","))&amp;",",","&amp;SUBSTITUTE(input_enews_audience," ","")&amp;",")))&gt;0)),IF(CM76="",TRUE,IF(input_enews_audience="",FALSE,SUMPRODUCT(--ISNUMBER(SEARCH(","&amp;TRIM(TEXTSPLIT(CM76,","))&amp;",",","&amp;SUBSTITUTE(input_enews_audience," ","")&amp;",")))=COUNTA(TEXTSPLIT(CM76,",")))))</f>
        <v/>
      </c>
      <c r="JB76" s="19">
        <f>AND(IF(CO76="",TRUE,IF(input_event_location="",FALSE,SUMPRODUCT(--ISNUMBER(SEARCH(","&amp;TRIM(TEXTSPLIT(CO76,","))&amp;",",","&amp;SUBSTITUTE(input_event_location," ","")&amp;",")))&gt;0)),IF(CQ76="",TRUE,IF(input_event_location="",FALSE,SUMPRODUCT(--ISNUMBER(SEARCH(","&amp;TRIM(TEXTSPLIT(CQ76,","))&amp;",",","&amp;SUBSTITUTE(input_event_location," ","")&amp;",")))=COUNTA(TEXTSPLIT(CQ76,",")))),IF(CS76="",TRUE,IF(input_event_location="",TRUE,SUMPRODUCT(--ISNUMBER(SEARCH(","&amp;TRIM(TEXTSPLIT(CS76,","))&amp;",",","&amp;SUBSTITUTE(input_event_location," ","")&amp;",")))=0)),IF(CU76="",TRUE,IF(input_event_location="",FALSE,SUMPRODUCT(--ISNUMBER(SEARCH(","&amp;TRIM(TEXTSPLIT(CU76,","))&amp;",",","&amp;SUBSTITUTE(input_event_location," ","")&amp;",")))&gt;0)),IF(CW76="",TRUE,IF(input_event_location="",FALSE,SUMPRODUCT(--ISNUMBER(SEARCH(","&amp;TRIM(TEXTSPLIT(CW76,","))&amp;",",","&amp;SUBSTITUTE(input_event_location," ","")&amp;",")))=COUNTA(TEXTSPLIT(CW76,",")))))</f>
        <v/>
      </c>
      <c r="JC76" s="19">
        <f>AND(IF(CY76="",TRUE,IF(input_event_type="",FALSE,SUMPRODUCT(--ISNUMBER(SEARCH(","&amp;TRIM(TEXTSPLIT(CY76,","))&amp;",",","&amp;SUBSTITUTE(input_event_type," ","")&amp;",")))&gt;0)),IF(DA76="",TRUE,IF(input_event_type="",FALSE,SUMPRODUCT(--ISNUMBER(SEARCH(","&amp;TRIM(TEXTSPLIT(DA76,","))&amp;",",","&amp;SUBSTITUTE(input_event_type," ","")&amp;",")))=COUNTA(TEXTSPLIT(DA76,",")))),IF(DC76="",TRUE,IF(input_event_type="",TRUE,SUMPRODUCT(--ISNUMBER(SEARCH(","&amp;TRIM(TEXTSPLIT(DC76,","))&amp;",",","&amp;SUBSTITUTE(input_event_type," ","")&amp;",")))=0)),IF(DE76="",TRUE,IF(input_event_type="",FALSE,SUMPRODUCT(--ISNUMBER(SEARCH(","&amp;TRIM(TEXTSPLIT(DE76,","))&amp;",",","&amp;SUBSTITUTE(input_event_type," ","")&amp;",")))&gt;0)),IF(DG76="",TRUE,IF(input_event_type="",FALSE,SUMPRODUCT(--ISNUMBER(SEARCH(","&amp;TRIM(TEXTSPLIT(DG76,","))&amp;",",","&amp;SUBSTITUTE(input_event_type," ","")&amp;",")))=COUNTA(TEXTSPLIT(DG76,",")))))</f>
        <v/>
      </c>
      <c r="JD76" s="19">
        <f>AND(IF(DI76="",TRUE,IF(input_executive_education_focus="",FALSE,SUMPRODUCT(--ISNUMBER(SEARCH(","&amp;TRIM(TEXTSPLIT(DI76,","))&amp;",",","&amp;SUBSTITUTE(input_executive_education_focus," ","")&amp;",")))&gt;0)),IF(DK76="",TRUE,IF(input_executive_education_focus="",FALSE,SUMPRODUCT(--ISNUMBER(SEARCH(","&amp;TRIM(TEXTSPLIT(DK76,","))&amp;",",","&amp;SUBSTITUTE(input_executive_education_focus," ","")&amp;",")))=COUNTA(TEXTSPLIT(DK76,",")))),IF(DM76="",TRUE,IF(input_executive_education_focus="",TRUE,SUMPRODUCT(--ISNUMBER(SEARCH(","&amp;TRIM(TEXTSPLIT(DM76,","))&amp;",",","&amp;SUBSTITUTE(input_executive_education_focus," ","")&amp;",")))=0)),IF(DO76="",TRUE,IF(input_executive_education_focus="",FALSE,SUMPRODUCT(--ISNUMBER(SEARCH(","&amp;TRIM(TEXTSPLIT(DO76,","))&amp;",",","&amp;SUBSTITUTE(input_executive_education_focus," ","")&amp;",")))&gt;0)),IF(DQ76="",TRUE,IF(input_executive_education_focus="",FALSE,SUMPRODUCT(--ISNUMBER(SEARCH(","&amp;TRIM(TEXTSPLIT(DQ76,","))&amp;",",","&amp;SUBSTITUTE(input_executive_education_focus," ","")&amp;",")))=COUNTA(TEXTSPLIT(DQ76,",")))))</f>
        <v/>
      </c>
      <c r="JE76" s="19">
        <f>AND(IF(DS76="",TRUE,IF(input_faculty_category="",FALSE,SUMPRODUCT(--ISNUMBER(SEARCH(","&amp;TRIM(TEXTSPLIT(DS76,","))&amp;",",","&amp;SUBSTITUTE(input_faculty_category," ","")&amp;",")))&gt;0)),IF(DU76="",TRUE,IF(input_faculty_category="",FALSE,SUMPRODUCT(--ISNUMBER(SEARCH(","&amp;TRIM(TEXTSPLIT(DU76,","))&amp;",",","&amp;SUBSTITUTE(input_faculty_category," ","")&amp;",")))=COUNTA(TEXTSPLIT(DU76,",")))),IF(DW76="",TRUE,IF(input_faculty_category="",TRUE,SUMPRODUCT(--ISNUMBER(SEARCH(","&amp;TRIM(TEXTSPLIT(DW76,","))&amp;",",","&amp;SUBSTITUTE(input_faculty_category," ","")&amp;",")))=0)),IF(DY76="",TRUE,IF(input_faculty_category="",FALSE,SUMPRODUCT(--ISNUMBER(SEARCH(","&amp;TRIM(TEXTSPLIT(DY76,","))&amp;",",","&amp;SUBSTITUTE(input_faculty_category," ","")&amp;",")))&gt;0)),IF(EA76="",TRUE,IF(input_faculty_category="",FALSE,SUMPRODUCT(--ISNUMBER(SEARCH(","&amp;TRIM(TEXTSPLIT(EA76,","))&amp;",",","&amp;SUBSTITUTE(input_faculty_category," ","")&amp;",")))=COUNTA(TEXTSPLIT(EA76,",")))))</f>
        <v/>
      </c>
      <c r="JF76" s="19">
        <f>AND(IF(EC76="",TRUE,IF(input_faculty_discipline="",FALSE,SUMPRODUCT(--ISNUMBER(SEARCH(","&amp;TRIM(TEXTSPLIT(EC76,","))&amp;",",","&amp;SUBSTITUTE(input_faculty_discipline," ","")&amp;",")))&gt;0)),IF(EE76="",TRUE,IF(input_faculty_discipline="",FALSE,SUMPRODUCT(--ISNUMBER(SEARCH(","&amp;TRIM(TEXTSPLIT(EE76,","))&amp;",",","&amp;SUBSTITUTE(input_faculty_discipline," ","")&amp;",")))=COUNTA(TEXTSPLIT(EE76,",")))),IF(EG76="",TRUE,IF(input_faculty_discipline="",TRUE,SUMPRODUCT(--ISNUMBER(SEARCH(","&amp;TRIM(TEXTSPLIT(EG76,","))&amp;",",","&amp;SUBSTITUTE(input_faculty_discipline," ","")&amp;",")))=0)),IF(EI76="",TRUE,IF(input_faculty_discipline="",FALSE,SUMPRODUCT(--ISNUMBER(SEARCH(","&amp;TRIM(TEXTSPLIT(EI76,","))&amp;",",","&amp;SUBSTITUTE(input_faculty_discipline," ","")&amp;",")))&gt;0)),IF(EK76="",TRUE,IF(input_faculty_discipline="",FALSE,SUMPRODUCT(--ISNUMBER(SEARCH(","&amp;TRIM(TEXTSPLIT(EK76,","))&amp;",",","&amp;SUBSTITUTE(input_faculty_discipline," ","")&amp;",")))=COUNTA(TEXTSPLIT(EK76,",")))))</f>
        <v/>
      </c>
      <c r="JG76" s="19">
        <f>AND(IF(EM76="",TRUE,IF(input_faculty_expertise="",FALSE,SUMPRODUCT(--ISNUMBER(SEARCH(","&amp;TRIM(TEXTSPLIT(EM76,","))&amp;",",","&amp;SUBSTITUTE(input_faculty_expertise," ","")&amp;",")))&gt;0)),IF(EO76="",TRUE,IF(input_faculty_expertise="",FALSE,SUMPRODUCT(--ISNUMBER(SEARCH(","&amp;TRIM(TEXTSPLIT(EO76,","))&amp;",",","&amp;SUBSTITUTE(input_faculty_expertise," ","")&amp;",")))=COUNTA(TEXTSPLIT(EO76,",")))),IF(EQ76="",TRUE,IF(input_faculty_expertise="",TRUE,SUMPRODUCT(--ISNUMBER(SEARCH(","&amp;TRIM(TEXTSPLIT(EQ76,","))&amp;",",","&amp;SUBSTITUTE(input_faculty_expertise," ","")&amp;",")))=0)),IF(ES76="",TRUE,IF(input_faculty_expertise="",FALSE,SUMPRODUCT(--ISNUMBER(SEARCH(","&amp;TRIM(TEXTSPLIT(ES76,","))&amp;",",","&amp;SUBSTITUTE(input_faculty_expertise," ","")&amp;",")))&gt;0)),IF(EU76="",TRUE,IF(input_faculty_expertise="",FALSE,SUMPRODUCT(--ISNUMBER(SEARCH(","&amp;TRIM(TEXTSPLIT(EU76,","))&amp;",",","&amp;SUBSTITUTE(input_faculty_expertise," ","")&amp;",")))=COUNTA(TEXTSPLIT(EU76,",")))))</f>
        <v/>
      </c>
      <c r="JH76" s="19">
        <f>AND(IF(EW76="",TRUE,IF(input_global_network_school="",FALSE,SUMPRODUCT(--ISNUMBER(SEARCH(","&amp;TRIM(TEXTSPLIT(EW76,","))&amp;",",","&amp;SUBSTITUTE(input_global_network_school," ","")&amp;",")))&gt;0)),IF(EY76="",TRUE,IF(input_global_network_school="",FALSE,SUMPRODUCT(--ISNUMBER(SEARCH(","&amp;TRIM(TEXTSPLIT(EY76,","))&amp;",",","&amp;SUBSTITUTE(input_global_network_school," ","")&amp;",")))=COUNTA(TEXTSPLIT(EY76,",")))),IF(FA76="",TRUE,IF(input_global_network_school="",TRUE,SUMPRODUCT(--ISNUMBER(SEARCH(","&amp;TRIM(TEXTSPLIT(FA76,","))&amp;",",","&amp;SUBSTITUTE(input_global_network_school," ","")&amp;",")))=0)),IF(FC76="",TRUE,IF(input_global_network_school="",FALSE,SUMPRODUCT(--ISNUMBER(SEARCH(","&amp;TRIM(TEXTSPLIT(FC76,","))&amp;",",","&amp;SUBSTITUTE(input_global_network_school," ","")&amp;",")))&gt;0)),IF(FE76="",TRUE,IF(input_global_network_school="",FALSE,SUMPRODUCT(--ISNUMBER(SEARCH(","&amp;TRIM(TEXTSPLIT(FE76,","))&amp;",",","&amp;SUBSTITUTE(input_global_network_school," ","")&amp;",")))=COUNTA(TEXTSPLIT(FE76,",")))))</f>
        <v/>
      </c>
      <c r="JI76" s="19">
        <f>AND(IF(FG76="",TRUE,IF(input_industry="",FALSE,SUMPRODUCT(--ISNUMBER(SEARCH(","&amp;TRIM(TEXTSPLIT(FG76,","))&amp;",",","&amp;SUBSTITUTE(input_industry," ","")&amp;",")))&gt;0)),IF(FI76="",TRUE,IF(input_industry="",FALSE,SUMPRODUCT(--ISNUMBER(SEARCH(","&amp;TRIM(TEXTSPLIT(FI76,","))&amp;",",","&amp;SUBSTITUTE(input_industry," ","")&amp;",")))=COUNTA(TEXTSPLIT(FI76,",")))),IF(FK76="",TRUE,IF(input_industry="",TRUE,SUMPRODUCT(--ISNUMBER(SEARCH(","&amp;TRIM(TEXTSPLIT(FK76,","))&amp;",",","&amp;SUBSTITUTE(input_industry," ","")&amp;",")))=0)),IF(FM76="",TRUE,IF(input_industry="",FALSE,SUMPRODUCT(--ISNUMBER(SEARCH(","&amp;TRIM(TEXTSPLIT(FM76,","))&amp;",",","&amp;SUBSTITUTE(input_industry," ","")&amp;",")))&gt;0)),IF(FO76="",TRUE,IF(input_industry="",FALSE,SUMPRODUCT(--ISNUMBER(SEARCH(","&amp;TRIM(TEXTSPLIT(FO76,","))&amp;",",","&amp;SUBSTITUTE(input_industry," ","")&amp;",")))=COUNTA(TEXTSPLIT(FO76,",")))))</f>
        <v/>
      </c>
      <c r="JJ76" s="19">
        <f>AND(IF(FQ76="",TRUE,IF(input_location="",FALSE,SUMPRODUCT(--ISNUMBER(SEARCH(","&amp;TRIM(TEXTSPLIT(FQ76,","))&amp;",",","&amp;SUBSTITUTE(input_location," ","")&amp;",")))&gt;0)),IF(FS76="",TRUE,IF(input_location="",FALSE,SUMPRODUCT(--ISNUMBER(SEARCH(","&amp;TRIM(TEXTSPLIT(FS76,","))&amp;",",","&amp;SUBSTITUTE(input_location," ","")&amp;",")))=COUNTA(TEXTSPLIT(FS76,",")))),IF(FU76="",TRUE,IF(input_location="",TRUE,SUMPRODUCT(--ISNUMBER(SEARCH(","&amp;TRIM(TEXTSPLIT(FU76,","))&amp;",",","&amp;SUBSTITUTE(input_location," ","")&amp;",")))=0)),IF(FW76="",TRUE,IF(input_location="",FALSE,SUMPRODUCT(--ISNUMBER(SEARCH(","&amp;TRIM(TEXTSPLIT(FW76,","))&amp;",",","&amp;SUBSTITUTE(input_location," ","")&amp;",")))&gt;0)),IF(FY76="",TRUE,IF(input_location="",FALSE,SUMPRODUCT(--ISNUMBER(SEARCH(","&amp;TRIM(TEXTSPLIT(FY76,","))&amp;",",","&amp;SUBSTITUTE(input_location," ","")&amp;",")))=COUNTA(TEXTSPLIT(FY76,",")))))</f>
        <v/>
      </c>
      <c r="JK76" s="19">
        <f>AND(IF(GA76="",TRUE,IF(input_modality="",FALSE,SUMPRODUCT(--ISNUMBER(SEARCH(","&amp;TRIM(TEXTSPLIT(GA76,","))&amp;",",","&amp;SUBSTITUTE(input_modality," ","")&amp;",")))&gt;0)),IF(GC76="",TRUE,IF(input_modality="",FALSE,SUMPRODUCT(--ISNUMBER(SEARCH(","&amp;TRIM(TEXTSPLIT(GC76,","))&amp;",",","&amp;SUBSTITUTE(input_modality," ","")&amp;",")))=COUNTA(TEXTSPLIT(GC76,",")))),IF(GE76="",TRUE,IF(input_modality="",TRUE,SUMPRODUCT(--ISNUMBER(SEARCH(","&amp;TRIM(TEXTSPLIT(GE76,","))&amp;",",","&amp;SUBSTITUTE(input_modality," ","")&amp;",")))=0)),IF(GG76="",TRUE,IF(input_modality="",FALSE,SUMPRODUCT(--ISNUMBER(SEARCH(","&amp;TRIM(TEXTSPLIT(GG76,","))&amp;",",","&amp;SUBSTITUTE(input_modality," ","")&amp;",")))&gt;0)),IF(GI76="",TRUE,IF(input_modality="",FALSE,SUMPRODUCT(--ISNUMBER(SEARCH(","&amp;TRIM(TEXTSPLIT(GI76,","))&amp;",",","&amp;SUBSTITUTE(input_modality," ","")&amp;",")))=COUNTA(TEXTSPLIT(GI76,",")))))</f>
        <v/>
      </c>
      <c r="JL76" s="19">
        <f>AND(IF(GK76="",TRUE,IF(input_organizer="",FALSE,SUMPRODUCT(--ISNUMBER(SEARCH(","&amp;TRIM(TEXTSPLIT(GK76,","))&amp;",",","&amp;SUBSTITUTE(input_organizer," ","")&amp;",")))&gt;0)),IF(GM76="",TRUE,IF(input_organizer="",FALSE,SUMPRODUCT(--ISNUMBER(SEARCH(","&amp;TRIM(TEXTSPLIT(GM76,","))&amp;",",","&amp;SUBSTITUTE(input_organizer," ","")&amp;",")))=COUNTA(TEXTSPLIT(GM76,",")))),IF(GO76="",TRUE,IF(input_organizer="",TRUE,SUMPRODUCT(--ISNUMBER(SEARCH(","&amp;TRIM(TEXTSPLIT(GO76,","))&amp;",",","&amp;SUBSTITUTE(input_organizer," ","")&amp;",")))=0)),IF(GQ76="",TRUE,IF(input_organizer="",FALSE,SUMPRODUCT(--ISNUMBER(SEARCH(","&amp;TRIM(TEXTSPLIT(GQ76,","))&amp;",",","&amp;SUBSTITUTE(input_organizer," ","")&amp;",")))&gt;0)),IF(GS76="",TRUE,IF(input_organizer="",FALSE,SUMPRODUCT(--ISNUMBER(SEARCH(","&amp;TRIM(TEXTSPLIT(GS76,","))&amp;",",","&amp;SUBSTITUTE(input_organizer," ","")&amp;",")))=COUNTA(TEXTSPLIT(GS76,",")))))</f>
        <v/>
      </c>
      <c r="JM76" s="19">
        <f>AND(IF(GU76="",TRUE,IF(input_profile_type="",FALSE,SUMPRODUCT(--ISNUMBER(SEARCH(","&amp;TRIM(TEXTSPLIT(GU76,","))&amp;",",","&amp;SUBSTITUTE(input_profile_type," ","")&amp;",")))&gt;0)),IF(GW76="",TRUE,IF(input_profile_type="",FALSE,SUMPRODUCT(--ISNUMBER(SEARCH(","&amp;TRIM(TEXTSPLIT(GW76,","))&amp;",",","&amp;SUBSTITUTE(input_profile_type," ","")&amp;",")))=COUNTA(TEXTSPLIT(GW76,",")))),IF(GY76="",TRUE,IF(input_profile_type="",TRUE,SUMPRODUCT(--ISNUMBER(SEARCH(","&amp;TRIM(TEXTSPLIT(GY76,","))&amp;",",","&amp;SUBSTITUTE(input_profile_type," ","")&amp;",")))=0)),IF(HA76="",TRUE,IF(input_profile_type="",FALSE,SUMPRODUCT(--ISNUMBER(SEARCH(","&amp;TRIM(TEXTSPLIT(HA76,","))&amp;",",","&amp;SUBSTITUTE(input_profile_type," ","")&amp;",")))&gt;0)),IF(HC76="",TRUE,IF(input_profile_type="",FALSE,SUMPRODUCT(--ISNUMBER(SEARCH(","&amp;TRIM(TEXTSPLIT(HC76,","))&amp;",",","&amp;SUBSTITUTE(input_profile_type," ","")&amp;",")))=COUNTA(TEXTSPLIT(HC76,",")))))</f>
        <v/>
      </c>
      <c r="JN76" s="19">
        <f>AND(IF(HE76="",TRUE,IF(input_program="",FALSE,SUMPRODUCT(--ISNUMBER(SEARCH(","&amp;TRIM(TEXTSPLIT(HE76,","))&amp;",",","&amp;SUBSTITUTE(input_program," ","")&amp;",")))&gt;0)),IF(HG76="",TRUE,IF(input_program="",FALSE,SUMPRODUCT(--ISNUMBER(SEARCH(","&amp;TRIM(TEXTSPLIT(HG76,","))&amp;",",","&amp;SUBSTITUTE(input_program," ","")&amp;",")))=COUNTA(TEXTSPLIT(HG76,",")))),IF(HI76="",TRUE,IF(input_program="",TRUE,SUMPRODUCT(--ISNUMBER(SEARCH(","&amp;TRIM(TEXTSPLIT(HI76,","))&amp;",",","&amp;SUBSTITUTE(input_program," ","")&amp;",")))=0)),IF(HK76="",TRUE,IF(input_program="",FALSE,SUMPRODUCT(--ISNUMBER(SEARCH(","&amp;TRIM(TEXTSPLIT(HK76,","))&amp;",",","&amp;SUBSTITUTE(input_program," ","")&amp;",")))&gt;0)),IF(HM76="",TRUE,IF(input_program="",FALSE,SUMPRODUCT(--ISNUMBER(SEARCH(","&amp;TRIM(TEXTSPLIT(HM76,","))&amp;",",","&amp;SUBSTITUTE(input_program," ","")&amp;",")))=COUNTA(TEXTSPLIT(HM76,",")))))</f>
        <v/>
      </c>
      <c r="JO76" s="19">
        <f>AND(IF(HO76="",TRUE,IF(input_story_categories="",FALSE,SUMPRODUCT(--ISNUMBER(SEARCH(","&amp;TRIM(TEXTSPLIT(HO76,","))&amp;",",","&amp;SUBSTITUTE(input_story_categories," ","")&amp;",")))&gt;0)),IF(HQ76="",TRUE,IF(input_story_categories="",FALSE,SUMPRODUCT(--ISNUMBER(SEARCH(","&amp;TRIM(TEXTSPLIT(HQ76,","))&amp;",",","&amp;SUBSTITUTE(input_story_categories," ","")&amp;",")))=COUNTA(TEXTSPLIT(HQ76,",")))),IF(HS76="",TRUE,IF(input_story_categories="",TRUE,SUMPRODUCT(--ISNUMBER(SEARCH(","&amp;TRIM(TEXTSPLIT(HS76,","))&amp;",",","&amp;SUBSTITUTE(input_story_categories," ","")&amp;",")))=0)),IF(HU76="",TRUE,IF(input_story_categories="",FALSE,SUMPRODUCT(--ISNUMBER(SEARCH(","&amp;TRIM(TEXTSPLIT(HU76,","))&amp;",",","&amp;SUBSTITUTE(input_story_categories," ","")&amp;",")))&gt;0)),IF(HW76="",TRUE,IF(input_story_categories="",FALSE,SUMPRODUCT(--ISNUMBER(SEARCH(","&amp;TRIM(TEXTSPLIT(HW76,","))&amp;",",","&amp;SUBSTITUTE(input_story_categories," ","")&amp;",")))=COUNTA(TEXTSPLIT(HW76,",")))))</f>
        <v/>
      </c>
      <c r="JP76" s="19">
        <f>AND(IF(HY76="",TRUE,IF(input_story_type="",FALSE,SUMPRODUCT(--ISNUMBER(SEARCH(","&amp;TRIM(TEXTSPLIT(HY76,","))&amp;",",","&amp;SUBSTITUTE(input_story_type," ","")&amp;",")))&gt;0)),IF(IA76="",TRUE,IF(input_story_type="",FALSE,SUMPRODUCT(--ISNUMBER(SEARCH(","&amp;TRIM(TEXTSPLIT(IA76,","))&amp;",",","&amp;SUBSTITUTE(input_story_type," ","")&amp;",")))=COUNTA(TEXTSPLIT(IA76,",")))),IF(IC76="",TRUE,IF(input_story_type="",TRUE,SUMPRODUCT(--ISNUMBER(SEARCH(","&amp;TRIM(TEXTSPLIT(IC76,","))&amp;",",","&amp;SUBSTITUTE(input_story_type," ","")&amp;",")))=0)),IF(IE76="",TRUE,IF(input_story_type="",FALSE,SUMPRODUCT(--ISNUMBER(SEARCH(","&amp;TRIM(TEXTSPLIT(IE76,","))&amp;",",","&amp;SUBSTITUTE(input_story_type," ","")&amp;",")))&gt;0)),IF(IG76="",TRUE,IF(input_story_type="",FALSE,SUMPRODUCT(--ISNUMBER(SEARCH(","&amp;TRIM(TEXTSPLIT(IG76,","))&amp;",",","&amp;SUBSTITUTE(input_story_type," ","")&amp;",")))=COUNTA(TEXTSPLIT(IG76,",")))))</f>
        <v/>
      </c>
      <c r="JQ76" s="19">
        <f>AND(IF(II76="",TRUE,IF(input_topics="",FALSE,SUMPRODUCT(--ISNUMBER(SEARCH(","&amp;TRIM(TEXTSPLIT(II76,","))&amp;",",","&amp;SUBSTITUTE(input_topics," ","")&amp;",")))&gt;0)),IF(IK76="",TRUE,IF(input_topics="",FALSE,SUMPRODUCT(--ISNUMBER(SEARCH(","&amp;TRIM(TEXTSPLIT(IK76,","))&amp;",",","&amp;SUBSTITUTE(input_topics," ","")&amp;",")))=COUNTA(TEXTSPLIT(IK76,",")))),IF(IM76="",TRUE,IF(input_topics="",TRUE,SUMPRODUCT(--ISNUMBER(SEARCH(","&amp;TRIM(TEXTSPLIT(IM76,","))&amp;",",","&amp;SUBSTITUTE(input_topics," ","")&amp;",")))=0)),IF(IO76="",TRUE,IF(input_topics="",FALSE,SUMPRODUCT(--ISNUMBER(SEARCH(","&amp;TRIM(TEXTSPLIT(IO76,","))&amp;",",","&amp;SUBSTITUTE(input_topics," ","")&amp;",")))&gt;0)),IF(IQ76="",TRUE,IF(input_topics="",FALSE,SUMPRODUCT(--ISNUMBER(SEARCH(","&amp;TRIM(TEXTSPLIT(IQ76,","))&amp;",",","&amp;SUBSTITUTE(input_topics," ","")&amp;",")))=COUNTA(TEXTSPLIT(IQ76,",")))))</f>
        <v/>
      </c>
    </row>
    <row r="77">
      <c r="A77" s="24">
        <f>IF(NOT(IS77),"Excluded",IF(AND(IT77,IU77,IV77,IW77,IX77,IY77,IZ77,JA77,JB77,JC77,JD77,JE77,JF77,JG77,JH77,JI77,JJ77,JK77,JL77,JM77,JN77,JO77,JP77,JQ77),IF(I77&gt;0,"Eligible but limited","Will appear"),"Excluded"))</f>
        <v/>
      </c>
      <c r="B77" s="24" t="inlineStr">
        <is>
          <t>Blogs - Summary</t>
        </is>
      </c>
      <c r="C77" s="27" t="inlineStr">
        <is>
          <t>/the-som-experience/interests-and-industries/consulting</t>
        </is>
      </c>
      <c r="D77" s="24" t="inlineStr">
        <is>
          <t>/the-som-experience/interests-and-industries/consulting</t>
        </is>
      </c>
      <c r="E77" s="24" t="n">
        <v>1</v>
      </c>
      <c r="F77" s="24" t="inlineStr">
        <is>
          <t>story</t>
        </is>
      </c>
      <c r="G77" s="24" t="inlineStr">
        <is>
          <t>stories_mosaic_grid</t>
        </is>
      </c>
      <c r="H77" s="24" t="inlineStr">
        <is>
          <t>embed_blog_summary</t>
        </is>
      </c>
      <c r="I77" s="24" t="n">
        <v>1</v>
      </c>
      <c r="J77" s="24" t="inlineStr">
        <is>
          <t>View/config rules</t>
        </is>
      </c>
      <c r="K77" s="24" t="inlineStr">
        <is>
          <t>Page placement</t>
        </is>
      </c>
      <c r="L77" s="24" t="inlineStr">
        <is>
          <t>Content type: story; Needs any Story Type: Blog (974); Limited to 1 item(s); Source: View/config rules</t>
        </is>
      </c>
      <c r="HY77" s="19" t="inlineStr">
        <is>
          <t>974</t>
        </is>
      </c>
      <c r="HZ77" s="19" t="inlineStr">
        <is>
          <t>Blog (974)</t>
        </is>
      </c>
      <c r="IS77" s="19">
        <f>IF(input_content_type="",FALSE,ISNUMBER(SEARCH(","&amp;LOWER(input_content_type)&amp;",",","&amp;LOWER(SUBSTITUTE(F77," ",""))&amp;",")))</f>
        <v/>
      </c>
      <c r="IT77" s="19">
        <f>AND(IF(M77="",TRUE,IF(input_affiliations="",FALSE,SUMPRODUCT(--ISNUMBER(SEARCH(","&amp;TRIM(TEXTSPLIT(M77,","))&amp;",",","&amp;SUBSTITUTE(input_affiliations," ","")&amp;",")))&gt;0)),IF(O77="",TRUE,IF(input_affiliations="",FALSE,SUMPRODUCT(--ISNUMBER(SEARCH(","&amp;TRIM(TEXTSPLIT(O77,","))&amp;",",","&amp;SUBSTITUTE(input_affiliations," ","")&amp;",")))=COUNTA(TEXTSPLIT(O77,",")))),IF(Q77="",TRUE,IF(input_affiliations="",TRUE,SUMPRODUCT(--ISNUMBER(SEARCH(","&amp;TRIM(TEXTSPLIT(Q77,","))&amp;",",","&amp;SUBSTITUTE(input_affiliations," ","")&amp;",")))=0)),IF(S77="",TRUE,IF(input_affiliations="",FALSE,SUMPRODUCT(--ISNUMBER(SEARCH(","&amp;TRIM(TEXTSPLIT(S77,","))&amp;",",","&amp;SUBSTITUTE(input_affiliations," ","")&amp;",")))&gt;0)),IF(U77="",TRUE,IF(input_affiliations="",FALSE,SUMPRODUCT(--ISNUMBER(SEARCH(","&amp;TRIM(TEXTSPLIT(U77,","))&amp;",",","&amp;SUBSTITUTE(input_affiliations," ","")&amp;",")))=COUNTA(TEXTSPLIT(U77,",")))))</f>
        <v/>
      </c>
      <c r="IU77" s="19">
        <f>AND(IF(W77="",TRUE,IF(input_announcement_category="",FALSE,SUMPRODUCT(--ISNUMBER(SEARCH(","&amp;TRIM(TEXTSPLIT(W77,","))&amp;",",","&amp;SUBSTITUTE(input_announcement_category," ","")&amp;",")))&gt;0)),IF(Y77="",TRUE,IF(input_announcement_category="",FALSE,SUMPRODUCT(--ISNUMBER(SEARCH(","&amp;TRIM(TEXTSPLIT(Y77,","))&amp;",",","&amp;SUBSTITUTE(input_announcement_category," ","")&amp;",")))=COUNTA(TEXTSPLIT(Y77,",")))),IF(AA77="",TRUE,IF(input_announcement_category="",TRUE,SUMPRODUCT(--ISNUMBER(SEARCH(","&amp;TRIM(TEXTSPLIT(AA77,","))&amp;",",","&amp;SUBSTITUTE(input_announcement_category," ","")&amp;",")))=0)),IF(AC77="",TRUE,IF(input_announcement_category="",FALSE,SUMPRODUCT(--ISNUMBER(SEARCH(","&amp;TRIM(TEXTSPLIT(AC77,","))&amp;",",","&amp;SUBSTITUTE(input_announcement_category," ","")&amp;",")))&gt;0)),IF(AE77="",TRUE,IF(input_announcement_category="",FALSE,SUMPRODUCT(--ISNUMBER(SEARCH(","&amp;TRIM(TEXTSPLIT(AE77,","))&amp;",",","&amp;SUBSTITUTE(input_announcement_category," ","")&amp;",")))=COUNTA(TEXTSPLIT(AE77,",")))))</f>
        <v/>
      </c>
      <c r="IV77" s="19">
        <f>AND(IF(AG77="",TRUE,IF(input_area_of_focus="",FALSE,SUMPRODUCT(--ISNUMBER(SEARCH(","&amp;TRIM(TEXTSPLIT(AG77,","))&amp;",",","&amp;SUBSTITUTE(input_area_of_focus," ","")&amp;",")))&gt;0)),IF(AI77="",TRUE,IF(input_area_of_focus="",FALSE,SUMPRODUCT(--ISNUMBER(SEARCH(","&amp;TRIM(TEXTSPLIT(AI77,","))&amp;",",","&amp;SUBSTITUTE(input_area_of_focus," ","")&amp;",")))=COUNTA(TEXTSPLIT(AI77,",")))),IF(AK77="",TRUE,IF(input_area_of_focus="",TRUE,SUMPRODUCT(--ISNUMBER(SEARCH(","&amp;TRIM(TEXTSPLIT(AK77,","))&amp;",",","&amp;SUBSTITUTE(input_area_of_focus," ","")&amp;",")))=0)),IF(AM77="",TRUE,IF(input_area_of_focus="",FALSE,SUMPRODUCT(--ISNUMBER(SEARCH(","&amp;TRIM(TEXTSPLIT(AM77,","))&amp;",",","&amp;SUBSTITUTE(input_area_of_focus," ","")&amp;",")))&gt;0)),IF(AO77="",TRUE,IF(input_area_of_focus="",FALSE,SUMPRODUCT(--ISNUMBER(SEARCH(","&amp;TRIM(TEXTSPLIT(AO77,","))&amp;",",","&amp;SUBSTITUTE(input_area_of_focus," ","")&amp;",")))=COUNTA(TEXTSPLIT(AO77,",")))))</f>
        <v/>
      </c>
      <c r="IW77" s="19">
        <f>AND(IF(AQ77="",TRUE,IF(input_audience="",FALSE,SUMPRODUCT(--ISNUMBER(SEARCH(","&amp;TRIM(TEXTSPLIT(AQ77,","))&amp;",",","&amp;SUBSTITUTE(input_audience," ","")&amp;",")))&gt;0)),IF(AS77="",TRUE,IF(input_audience="",FALSE,SUMPRODUCT(--ISNUMBER(SEARCH(","&amp;TRIM(TEXTSPLIT(AS77,","))&amp;",",","&amp;SUBSTITUTE(input_audience," ","")&amp;",")))=COUNTA(TEXTSPLIT(AS77,",")))),IF(AU77="",TRUE,IF(input_audience="",TRUE,SUMPRODUCT(--ISNUMBER(SEARCH(","&amp;TRIM(TEXTSPLIT(AU77,","))&amp;",",","&amp;SUBSTITUTE(input_audience," ","")&amp;",")))=0)),IF(AW77="",TRUE,IF(input_audience="",FALSE,SUMPRODUCT(--ISNUMBER(SEARCH(","&amp;TRIM(TEXTSPLIT(AW77,","))&amp;",",","&amp;SUBSTITUTE(input_audience," ","")&amp;",")))&gt;0)),IF(AY77="",TRUE,IF(input_audience="",FALSE,SUMPRODUCT(--ISNUMBER(SEARCH(","&amp;TRIM(TEXTSPLIT(AY77,","))&amp;",",","&amp;SUBSTITUTE(input_audience," ","")&amp;",")))=COUNTA(TEXTSPLIT(AY77,",")))))</f>
        <v/>
      </c>
      <c r="IX77" s="19">
        <f>AND(IF(BA77="",TRUE,IF(input_challenge_opportunities="",FALSE,SUMPRODUCT(--ISNUMBER(SEARCH(","&amp;TRIM(TEXTSPLIT(BA77,","))&amp;",",","&amp;SUBSTITUTE(input_challenge_opportunities," ","")&amp;",")))&gt;0)),IF(BC77="",TRUE,IF(input_challenge_opportunities="",FALSE,SUMPRODUCT(--ISNUMBER(SEARCH(","&amp;TRIM(TEXTSPLIT(BC77,","))&amp;",",","&amp;SUBSTITUTE(input_challenge_opportunities," ","")&amp;",")))=COUNTA(TEXTSPLIT(BC77,",")))),IF(BE77="",TRUE,IF(input_challenge_opportunities="",TRUE,SUMPRODUCT(--ISNUMBER(SEARCH(","&amp;TRIM(TEXTSPLIT(BE77,","))&amp;",",","&amp;SUBSTITUTE(input_challenge_opportunities," ","")&amp;",")))=0)),IF(BG77="",TRUE,IF(input_challenge_opportunities="",FALSE,SUMPRODUCT(--ISNUMBER(SEARCH(","&amp;TRIM(TEXTSPLIT(BG77,","))&amp;",",","&amp;SUBSTITUTE(input_challenge_opportunities," ","")&amp;",")))&gt;0)),IF(BI77="",TRUE,IF(input_challenge_opportunities="",FALSE,SUMPRODUCT(--ISNUMBER(SEARCH(","&amp;TRIM(TEXTSPLIT(BI77,","))&amp;",",","&amp;SUBSTITUTE(input_challenge_opportunities," ","")&amp;",")))=COUNTA(TEXTSPLIT(BI77,",")))))</f>
        <v/>
      </c>
      <c r="IY77" s="19">
        <f>AND(IF(BK77="",TRUE,IF(input_context="",FALSE,SUMPRODUCT(--ISNUMBER(SEARCH(","&amp;TRIM(TEXTSPLIT(BK77,","))&amp;",",","&amp;SUBSTITUTE(input_context," ","")&amp;",")))&gt;0)),IF(BM77="",TRUE,IF(input_context="",FALSE,SUMPRODUCT(--ISNUMBER(SEARCH(","&amp;TRIM(TEXTSPLIT(BM77,","))&amp;",",","&amp;SUBSTITUTE(input_context," ","")&amp;",")))=COUNTA(TEXTSPLIT(BM77,",")))),IF(BO77="",TRUE,IF(input_context="",TRUE,SUMPRODUCT(--ISNUMBER(SEARCH(","&amp;TRIM(TEXTSPLIT(BO77,","))&amp;",",","&amp;SUBSTITUTE(input_context," ","")&amp;",")))=0)),IF(BQ77="",TRUE,IF(input_context="",FALSE,SUMPRODUCT(--ISNUMBER(SEARCH(","&amp;TRIM(TEXTSPLIT(BQ77,","))&amp;",",","&amp;SUBSTITUTE(input_context," ","")&amp;",")))&gt;0)),IF(BS77="",TRUE,IF(input_context="",FALSE,SUMPRODUCT(--ISNUMBER(SEARCH(","&amp;TRIM(TEXTSPLIT(BS77,","))&amp;",",","&amp;SUBSTITUTE(input_context," ","")&amp;",")))=COUNTA(TEXTSPLIT(BS77,",")))))</f>
        <v/>
      </c>
      <c r="IZ77" s="19">
        <f>AND(IF(BU77="",TRUE,IF(input_enews_announcement_type="",FALSE,SUMPRODUCT(--ISNUMBER(SEARCH(","&amp;TRIM(TEXTSPLIT(BU77,","))&amp;",",","&amp;SUBSTITUTE(input_enews_announcement_type," ","")&amp;",")))&gt;0)),IF(BW77="",TRUE,IF(input_enews_announcement_type="",FALSE,SUMPRODUCT(--ISNUMBER(SEARCH(","&amp;TRIM(TEXTSPLIT(BW77,","))&amp;",",","&amp;SUBSTITUTE(input_enews_announcement_type," ","")&amp;",")))=COUNTA(TEXTSPLIT(BW77,",")))),IF(BY77="",TRUE,IF(input_enews_announcement_type="",TRUE,SUMPRODUCT(--ISNUMBER(SEARCH(","&amp;TRIM(TEXTSPLIT(BY77,","))&amp;",",","&amp;SUBSTITUTE(input_enews_announcement_type," ","")&amp;",")))=0)),IF(CA77="",TRUE,IF(input_enews_announcement_type="",FALSE,SUMPRODUCT(--ISNUMBER(SEARCH(","&amp;TRIM(TEXTSPLIT(CA77,","))&amp;",",","&amp;SUBSTITUTE(input_enews_announcement_type," ","")&amp;",")))&gt;0)),IF(CC77="",TRUE,IF(input_enews_announcement_type="",FALSE,SUMPRODUCT(--ISNUMBER(SEARCH(","&amp;TRIM(TEXTSPLIT(CC77,","))&amp;",",","&amp;SUBSTITUTE(input_enews_announcement_type," ","")&amp;",")))=COUNTA(TEXTSPLIT(CC77,",")))))</f>
        <v/>
      </c>
      <c r="JA77" s="19">
        <f>AND(IF(CE77="",TRUE,IF(input_enews_audience="",FALSE,SUMPRODUCT(--ISNUMBER(SEARCH(","&amp;TRIM(TEXTSPLIT(CE77,","))&amp;",",","&amp;SUBSTITUTE(input_enews_audience," ","")&amp;",")))&gt;0)),IF(CG77="",TRUE,IF(input_enews_audience="",FALSE,SUMPRODUCT(--ISNUMBER(SEARCH(","&amp;TRIM(TEXTSPLIT(CG77,","))&amp;",",","&amp;SUBSTITUTE(input_enews_audience," ","")&amp;",")))=COUNTA(TEXTSPLIT(CG77,",")))),IF(CI77="",TRUE,IF(input_enews_audience="",TRUE,SUMPRODUCT(--ISNUMBER(SEARCH(","&amp;TRIM(TEXTSPLIT(CI77,","))&amp;",",","&amp;SUBSTITUTE(input_enews_audience," ","")&amp;",")))=0)),IF(CK77="",TRUE,IF(input_enews_audience="",FALSE,SUMPRODUCT(--ISNUMBER(SEARCH(","&amp;TRIM(TEXTSPLIT(CK77,","))&amp;",",","&amp;SUBSTITUTE(input_enews_audience," ","")&amp;",")))&gt;0)),IF(CM77="",TRUE,IF(input_enews_audience="",FALSE,SUMPRODUCT(--ISNUMBER(SEARCH(","&amp;TRIM(TEXTSPLIT(CM77,","))&amp;",",","&amp;SUBSTITUTE(input_enews_audience," ","")&amp;",")))=COUNTA(TEXTSPLIT(CM77,",")))))</f>
        <v/>
      </c>
      <c r="JB77" s="19">
        <f>AND(IF(CO77="",TRUE,IF(input_event_location="",FALSE,SUMPRODUCT(--ISNUMBER(SEARCH(","&amp;TRIM(TEXTSPLIT(CO77,","))&amp;",",","&amp;SUBSTITUTE(input_event_location," ","")&amp;",")))&gt;0)),IF(CQ77="",TRUE,IF(input_event_location="",FALSE,SUMPRODUCT(--ISNUMBER(SEARCH(","&amp;TRIM(TEXTSPLIT(CQ77,","))&amp;",",","&amp;SUBSTITUTE(input_event_location," ","")&amp;",")))=COUNTA(TEXTSPLIT(CQ77,",")))),IF(CS77="",TRUE,IF(input_event_location="",TRUE,SUMPRODUCT(--ISNUMBER(SEARCH(","&amp;TRIM(TEXTSPLIT(CS77,","))&amp;",",","&amp;SUBSTITUTE(input_event_location," ","")&amp;",")))=0)),IF(CU77="",TRUE,IF(input_event_location="",FALSE,SUMPRODUCT(--ISNUMBER(SEARCH(","&amp;TRIM(TEXTSPLIT(CU77,","))&amp;",",","&amp;SUBSTITUTE(input_event_location," ","")&amp;",")))&gt;0)),IF(CW77="",TRUE,IF(input_event_location="",FALSE,SUMPRODUCT(--ISNUMBER(SEARCH(","&amp;TRIM(TEXTSPLIT(CW77,","))&amp;",",","&amp;SUBSTITUTE(input_event_location," ","")&amp;",")))=COUNTA(TEXTSPLIT(CW77,",")))))</f>
        <v/>
      </c>
      <c r="JC77" s="19">
        <f>AND(IF(CY77="",TRUE,IF(input_event_type="",FALSE,SUMPRODUCT(--ISNUMBER(SEARCH(","&amp;TRIM(TEXTSPLIT(CY77,","))&amp;",",","&amp;SUBSTITUTE(input_event_type," ","")&amp;",")))&gt;0)),IF(DA77="",TRUE,IF(input_event_type="",FALSE,SUMPRODUCT(--ISNUMBER(SEARCH(","&amp;TRIM(TEXTSPLIT(DA77,","))&amp;",",","&amp;SUBSTITUTE(input_event_type," ","")&amp;",")))=COUNTA(TEXTSPLIT(DA77,",")))),IF(DC77="",TRUE,IF(input_event_type="",TRUE,SUMPRODUCT(--ISNUMBER(SEARCH(","&amp;TRIM(TEXTSPLIT(DC77,","))&amp;",",","&amp;SUBSTITUTE(input_event_type," ","")&amp;",")))=0)),IF(DE77="",TRUE,IF(input_event_type="",FALSE,SUMPRODUCT(--ISNUMBER(SEARCH(","&amp;TRIM(TEXTSPLIT(DE77,","))&amp;",",","&amp;SUBSTITUTE(input_event_type," ","")&amp;",")))&gt;0)),IF(DG77="",TRUE,IF(input_event_type="",FALSE,SUMPRODUCT(--ISNUMBER(SEARCH(","&amp;TRIM(TEXTSPLIT(DG77,","))&amp;",",","&amp;SUBSTITUTE(input_event_type," ","")&amp;",")))=COUNTA(TEXTSPLIT(DG77,",")))))</f>
        <v/>
      </c>
      <c r="JD77" s="19">
        <f>AND(IF(DI77="",TRUE,IF(input_executive_education_focus="",FALSE,SUMPRODUCT(--ISNUMBER(SEARCH(","&amp;TRIM(TEXTSPLIT(DI77,","))&amp;",",","&amp;SUBSTITUTE(input_executive_education_focus," ","")&amp;",")))&gt;0)),IF(DK77="",TRUE,IF(input_executive_education_focus="",FALSE,SUMPRODUCT(--ISNUMBER(SEARCH(","&amp;TRIM(TEXTSPLIT(DK77,","))&amp;",",","&amp;SUBSTITUTE(input_executive_education_focus," ","")&amp;",")))=COUNTA(TEXTSPLIT(DK77,",")))),IF(DM77="",TRUE,IF(input_executive_education_focus="",TRUE,SUMPRODUCT(--ISNUMBER(SEARCH(","&amp;TRIM(TEXTSPLIT(DM77,","))&amp;",",","&amp;SUBSTITUTE(input_executive_education_focus," ","")&amp;",")))=0)),IF(DO77="",TRUE,IF(input_executive_education_focus="",FALSE,SUMPRODUCT(--ISNUMBER(SEARCH(","&amp;TRIM(TEXTSPLIT(DO77,","))&amp;",",","&amp;SUBSTITUTE(input_executive_education_focus," ","")&amp;",")))&gt;0)),IF(DQ77="",TRUE,IF(input_executive_education_focus="",FALSE,SUMPRODUCT(--ISNUMBER(SEARCH(","&amp;TRIM(TEXTSPLIT(DQ77,","))&amp;",",","&amp;SUBSTITUTE(input_executive_education_focus," ","")&amp;",")))=COUNTA(TEXTSPLIT(DQ77,",")))))</f>
        <v/>
      </c>
      <c r="JE77" s="19">
        <f>AND(IF(DS77="",TRUE,IF(input_faculty_category="",FALSE,SUMPRODUCT(--ISNUMBER(SEARCH(","&amp;TRIM(TEXTSPLIT(DS77,","))&amp;",",","&amp;SUBSTITUTE(input_faculty_category," ","")&amp;",")))&gt;0)),IF(DU77="",TRUE,IF(input_faculty_category="",FALSE,SUMPRODUCT(--ISNUMBER(SEARCH(","&amp;TRIM(TEXTSPLIT(DU77,","))&amp;",",","&amp;SUBSTITUTE(input_faculty_category," ","")&amp;",")))=COUNTA(TEXTSPLIT(DU77,",")))),IF(DW77="",TRUE,IF(input_faculty_category="",TRUE,SUMPRODUCT(--ISNUMBER(SEARCH(","&amp;TRIM(TEXTSPLIT(DW77,","))&amp;",",","&amp;SUBSTITUTE(input_faculty_category," ","")&amp;",")))=0)),IF(DY77="",TRUE,IF(input_faculty_category="",FALSE,SUMPRODUCT(--ISNUMBER(SEARCH(","&amp;TRIM(TEXTSPLIT(DY77,","))&amp;",",","&amp;SUBSTITUTE(input_faculty_category," ","")&amp;",")))&gt;0)),IF(EA77="",TRUE,IF(input_faculty_category="",FALSE,SUMPRODUCT(--ISNUMBER(SEARCH(","&amp;TRIM(TEXTSPLIT(EA77,","))&amp;",",","&amp;SUBSTITUTE(input_faculty_category," ","")&amp;",")))=COUNTA(TEXTSPLIT(EA77,",")))))</f>
        <v/>
      </c>
      <c r="JF77" s="19">
        <f>AND(IF(EC77="",TRUE,IF(input_faculty_discipline="",FALSE,SUMPRODUCT(--ISNUMBER(SEARCH(","&amp;TRIM(TEXTSPLIT(EC77,","))&amp;",",","&amp;SUBSTITUTE(input_faculty_discipline," ","")&amp;",")))&gt;0)),IF(EE77="",TRUE,IF(input_faculty_discipline="",FALSE,SUMPRODUCT(--ISNUMBER(SEARCH(","&amp;TRIM(TEXTSPLIT(EE77,","))&amp;",",","&amp;SUBSTITUTE(input_faculty_discipline," ","")&amp;",")))=COUNTA(TEXTSPLIT(EE77,",")))),IF(EG77="",TRUE,IF(input_faculty_discipline="",TRUE,SUMPRODUCT(--ISNUMBER(SEARCH(","&amp;TRIM(TEXTSPLIT(EG77,","))&amp;",",","&amp;SUBSTITUTE(input_faculty_discipline," ","")&amp;",")))=0)),IF(EI77="",TRUE,IF(input_faculty_discipline="",FALSE,SUMPRODUCT(--ISNUMBER(SEARCH(","&amp;TRIM(TEXTSPLIT(EI77,","))&amp;",",","&amp;SUBSTITUTE(input_faculty_discipline," ","")&amp;",")))&gt;0)),IF(EK77="",TRUE,IF(input_faculty_discipline="",FALSE,SUMPRODUCT(--ISNUMBER(SEARCH(","&amp;TRIM(TEXTSPLIT(EK77,","))&amp;",",","&amp;SUBSTITUTE(input_faculty_discipline," ","")&amp;",")))=COUNTA(TEXTSPLIT(EK77,",")))))</f>
        <v/>
      </c>
      <c r="JG77" s="19">
        <f>AND(IF(EM77="",TRUE,IF(input_faculty_expertise="",FALSE,SUMPRODUCT(--ISNUMBER(SEARCH(","&amp;TRIM(TEXTSPLIT(EM77,","))&amp;",",","&amp;SUBSTITUTE(input_faculty_expertise," ","")&amp;",")))&gt;0)),IF(EO77="",TRUE,IF(input_faculty_expertise="",FALSE,SUMPRODUCT(--ISNUMBER(SEARCH(","&amp;TRIM(TEXTSPLIT(EO77,","))&amp;",",","&amp;SUBSTITUTE(input_faculty_expertise," ","")&amp;",")))=COUNTA(TEXTSPLIT(EO77,",")))),IF(EQ77="",TRUE,IF(input_faculty_expertise="",TRUE,SUMPRODUCT(--ISNUMBER(SEARCH(","&amp;TRIM(TEXTSPLIT(EQ77,","))&amp;",",","&amp;SUBSTITUTE(input_faculty_expertise," ","")&amp;",")))=0)),IF(ES77="",TRUE,IF(input_faculty_expertise="",FALSE,SUMPRODUCT(--ISNUMBER(SEARCH(","&amp;TRIM(TEXTSPLIT(ES77,","))&amp;",",","&amp;SUBSTITUTE(input_faculty_expertise," ","")&amp;",")))&gt;0)),IF(EU77="",TRUE,IF(input_faculty_expertise="",FALSE,SUMPRODUCT(--ISNUMBER(SEARCH(","&amp;TRIM(TEXTSPLIT(EU77,","))&amp;",",","&amp;SUBSTITUTE(input_faculty_expertise," ","")&amp;",")))=COUNTA(TEXTSPLIT(EU77,",")))))</f>
        <v/>
      </c>
      <c r="JH77" s="19">
        <f>AND(IF(EW77="",TRUE,IF(input_global_network_school="",FALSE,SUMPRODUCT(--ISNUMBER(SEARCH(","&amp;TRIM(TEXTSPLIT(EW77,","))&amp;",",","&amp;SUBSTITUTE(input_global_network_school," ","")&amp;",")))&gt;0)),IF(EY77="",TRUE,IF(input_global_network_school="",FALSE,SUMPRODUCT(--ISNUMBER(SEARCH(","&amp;TRIM(TEXTSPLIT(EY77,","))&amp;",",","&amp;SUBSTITUTE(input_global_network_school," ","")&amp;",")))=COUNTA(TEXTSPLIT(EY77,",")))),IF(FA77="",TRUE,IF(input_global_network_school="",TRUE,SUMPRODUCT(--ISNUMBER(SEARCH(","&amp;TRIM(TEXTSPLIT(FA77,","))&amp;",",","&amp;SUBSTITUTE(input_global_network_school," ","")&amp;",")))=0)),IF(FC77="",TRUE,IF(input_global_network_school="",FALSE,SUMPRODUCT(--ISNUMBER(SEARCH(","&amp;TRIM(TEXTSPLIT(FC77,","))&amp;",",","&amp;SUBSTITUTE(input_global_network_school," ","")&amp;",")))&gt;0)),IF(FE77="",TRUE,IF(input_global_network_school="",FALSE,SUMPRODUCT(--ISNUMBER(SEARCH(","&amp;TRIM(TEXTSPLIT(FE77,","))&amp;",",","&amp;SUBSTITUTE(input_global_network_school," ","")&amp;",")))=COUNTA(TEXTSPLIT(FE77,",")))))</f>
        <v/>
      </c>
      <c r="JI77" s="19">
        <f>AND(IF(FG77="",TRUE,IF(input_industry="",FALSE,SUMPRODUCT(--ISNUMBER(SEARCH(","&amp;TRIM(TEXTSPLIT(FG77,","))&amp;",",","&amp;SUBSTITUTE(input_industry," ","")&amp;",")))&gt;0)),IF(FI77="",TRUE,IF(input_industry="",FALSE,SUMPRODUCT(--ISNUMBER(SEARCH(","&amp;TRIM(TEXTSPLIT(FI77,","))&amp;",",","&amp;SUBSTITUTE(input_industry," ","")&amp;",")))=COUNTA(TEXTSPLIT(FI77,",")))),IF(FK77="",TRUE,IF(input_industry="",TRUE,SUMPRODUCT(--ISNUMBER(SEARCH(","&amp;TRIM(TEXTSPLIT(FK77,","))&amp;",",","&amp;SUBSTITUTE(input_industry," ","")&amp;",")))=0)),IF(FM77="",TRUE,IF(input_industry="",FALSE,SUMPRODUCT(--ISNUMBER(SEARCH(","&amp;TRIM(TEXTSPLIT(FM77,","))&amp;",",","&amp;SUBSTITUTE(input_industry," ","")&amp;",")))&gt;0)),IF(FO77="",TRUE,IF(input_industry="",FALSE,SUMPRODUCT(--ISNUMBER(SEARCH(","&amp;TRIM(TEXTSPLIT(FO77,","))&amp;",",","&amp;SUBSTITUTE(input_industry," ","")&amp;",")))=COUNTA(TEXTSPLIT(FO77,",")))))</f>
        <v/>
      </c>
      <c r="JJ77" s="19">
        <f>AND(IF(FQ77="",TRUE,IF(input_location="",FALSE,SUMPRODUCT(--ISNUMBER(SEARCH(","&amp;TRIM(TEXTSPLIT(FQ77,","))&amp;",",","&amp;SUBSTITUTE(input_location," ","")&amp;",")))&gt;0)),IF(FS77="",TRUE,IF(input_location="",FALSE,SUMPRODUCT(--ISNUMBER(SEARCH(","&amp;TRIM(TEXTSPLIT(FS77,","))&amp;",",","&amp;SUBSTITUTE(input_location," ","")&amp;",")))=COUNTA(TEXTSPLIT(FS77,",")))),IF(FU77="",TRUE,IF(input_location="",TRUE,SUMPRODUCT(--ISNUMBER(SEARCH(","&amp;TRIM(TEXTSPLIT(FU77,","))&amp;",",","&amp;SUBSTITUTE(input_location," ","")&amp;",")))=0)),IF(FW77="",TRUE,IF(input_location="",FALSE,SUMPRODUCT(--ISNUMBER(SEARCH(","&amp;TRIM(TEXTSPLIT(FW77,","))&amp;",",","&amp;SUBSTITUTE(input_location," ","")&amp;",")))&gt;0)),IF(FY77="",TRUE,IF(input_location="",FALSE,SUMPRODUCT(--ISNUMBER(SEARCH(","&amp;TRIM(TEXTSPLIT(FY77,","))&amp;",",","&amp;SUBSTITUTE(input_location," ","")&amp;",")))=COUNTA(TEXTSPLIT(FY77,",")))))</f>
        <v/>
      </c>
      <c r="JK77" s="19">
        <f>AND(IF(GA77="",TRUE,IF(input_modality="",FALSE,SUMPRODUCT(--ISNUMBER(SEARCH(","&amp;TRIM(TEXTSPLIT(GA77,","))&amp;",",","&amp;SUBSTITUTE(input_modality," ","")&amp;",")))&gt;0)),IF(GC77="",TRUE,IF(input_modality="",FALSE,SUMPRODUCT(--ISNUMBER(SEARCH(","&amp;TRIM(TEXTSPLIT(GC77,","))&amp;",",","&amp;SUBSTITUTE(input_modality," ","")&amp;",")))=COUNTA(TEXTSPLIT(GC77,",")))),IF(GE77="",TRUE,IF(input_modality="",TRUE,SUMPRODUCT(--ISNUMBER(SEARCH(","&amp;TRIM(TEXTSPLIT(GE77,","))&amp;",",","&amp;SUBSTITUTE(input_modality," ","")&amp;",")))=0)),IF(GG77="",TRUE,IF(input_modality="",FALSE,SUMPRODUCT(--ISNUMBER(SEARCH(","&amp;TRIM(TEXTSPLIT(GG77,","))&amp;",",","&amp;SUBSTITUTE(input_modality," ","")&amp;",")))&gt;0)),IF(GI77="",TRUE,IF(input_modality="",FALSE,SUMPRODUCT(--ISNUMBER(SEARCH(","&amp;TRIM(TEXTSPLIT(GI77,","))&amp;",",","&amp;SUBSTITUTE(input_modality," ","")&amp;",")))=COUNTA(TEXTSPLIT(GI77,",")))))</f>
        <v/>
      </c>
      <c r="JL77" s="19">
        <f>AND(IF(GK77="",TRUE,IF(input_organizer="",FALSE,SUMPRODUCT(--ISNUMBER(SEARCH(","&amp;TRIM(TEXTSPLIT(GK77,","))&amp;",",","&amp;SUBSTITUTE(input_organizer," ","")&amp;",")))&gt;0)),IF(GM77="",TRUE,IF(input_organizer="",FALSE,SUMPRODUCT(--ISNUMBER(SEARCH(","&amp;TRIM(TEXTSPLIT(GM77,","))&amp;",",","&amp;SUBSTITUTE(input_organizer," ","")&amp;",")))=COUNTA(TEXTSPLIT(GM77,",")))),IF(GO77="",TRUE,IF(input_organizer="",TRUE,SUMPRODUCT(--ISNUMBER(SEARCH(","&amp;TRIM(TEXTSPLIT(GO77,","))&amp;",",","&amp;SUBSTITUTE(input_organizer," ","")&amp;",")))=0)),IF(GQ77="",TRUE,IF(input_organizer="",FALSE,SUMPRODUCT(--ISNUMBER(SEARCH(","&amp;TRIM(TEXTSPLIT(GQ77,","))&amp;",",","&amp;SUBSTITUTE(input_organizer," ","")&amp;",")))&gt;0)),IF(GS77="",TRUE,IF(input_organizer="",FALSE,SUMPRODUCT(--ISNUMBER(SEARCH(","&amp;TRIM(TEXTSPLIT(GS77,","))&amp;",",","&amp;SUBSTITUTE(input_organizer," ","")&amp;",")))=COUNTA(TEXTSPLIT(GS77,",")))))</f>
        <v/>
      </c>
      <c r="JM77" s="19">
        <f>AND(IF(GU77="",TRUE,IF(input_profile_type="",FALSE,SUMPRODUCT(--ISNUMBER(SEARCH(","&amp;TRIM(TEXTSPLIT(GU77,","))&amp;",",","&amp;SUBSTITUTE(input_profile_type," ","")&amp;",")))&gt;0)),IF(GW77="",TRUE,IF(input_profile_type="",FALSE,SUMPRODUCT(--ISNUMBER(SEARCH(","&amp;TRIM(TEXTSPLIT(GW77,","))&amp;",",","&amp;SUBSTITUTE(input_profile_type," ","")&amp;",")))=COUNTA(TEXTSPLIT(GW77,",")))),IF(GY77="",TRUE,IF(input_profile_type="",TRUE,SUMPRODUCT(--ISNUMBER(SEARCH(","&amp;TRIM(TEXTSPLIT(GY77,","))&amp;",",","&amp;SUBSTITUTE(input_profile_type," ","")&amp;",")))=0)),IF(HA77="",TRUE,IF(input_profile_type="",FALSE,SUMPRODUCT(--ISNUMBER(SEARCH(","&amp;TRIM(TEXTSPLIT(HA77,","))&amp;",",","&amp;SUBSTITUTE(input_profile_type," ","")&amp;",")))&gt;0)),IF(HC77="",TRUE,IF(input_profile_type="",FALSE,SUMPRODUCT(--ISNUMBER(SEARCH(","&amp;TRIM(TEXTSPLIT(HC77,","))&amp;",",","&amp;SUBSTITUTE(input_profile_type," ","")&amp;",")))=COUNTA(TEXTSPLIT(HC77,",")))))</f>
        <v/>
      </c>
      <c r="JN77" s="19">
        <f>AND(IF(HE77="",TRUE,IF(input_program="",FALSE,SUMPRODUCT(--ISNUMBER(SEARCH(","&amp;TRIM(TEXTSPLIT(HE77,","))&amp;",",","&amp;SUBSTITUTE(input_program," ","")&amp;",")))&gt;0)),IF(HG77="",TRUE,IF(input_program="",FALSE,SUMPRODUCT(--ISNUMBER(SEARCH(","&amp;TRIM(TEXTSPLIT(HG77,","))&amp;",",","&amp;SUBSTITUTE(input_program," ","")&amp;",")))=COUNTA(TEXTSPLIT(HG77,",")))),IF(HI77="",TRUE,IF(input_program="",TRUE,SUMPRODUCT(--ISNUMBER(SEARCH(","&amp;TRIM(TEXTSPLIT(HI77,","))&amp;",",","&amp;SUBSTITUTE(input_program," ","")&amp;",")))=0)),IF(HK77="",TRUE,IF(input_program="",FALSE,SUMPRODUCT(--ISNUMBER(SEARCH(","&amp;TRIM(TEXTSPLIT(HK77,","))&amp;",",","&amp;SUBSTITUTE(input_program," ","")&amp;",")))&gt;0)),IF(HM77="",TRUE,IF(input_program="",FALSE,SUMPRODUCT(--ISNUMBER(SEARCH(","&amp;TRIM(TEXTSPLIT(HM77,","))&amp;",",","&amp;SUBSTITUTE(input_program," ","")&amp;",")))=COUNTA(TEXTSPLIT(HM77,",")))))</f>
        <v/>
      </c>
      <c r="JO77" s="19">
        <f>AND(IF(HO77="",TRUE,IF(input_story_categories="",FALSE,SUMPRODUCT(--ISNUMBER(SEARCH(","&amp;TRIM(TEXTSPLIT(HO77,","))&amp;",",","&amp;SUBSTITUTE(input_story_categories," ","")&amp;",")))&gt;0)),IF(HQ77="",TRUE,IF(input_story_categories="",FALSE,SUMPRODUCT(--ISNUMBER(SEARCH(","&amp;TRIM(TEXTSPLIT(HQ77,","))&amp;",",","&amp;SUBSTITUTE(input_story_categories," ","")&amp;",")))=COUNTA(TEXTSPLIT(HQ77,",")))),IF(HS77="",TRUE,IF(input_story_categories="",TRUE,SUMPRODUCT(--ISNUMBER(SEARCH(","&amp;TRIM(TEXTSPLIT(HS77,","))&amp;",",","&amp;SUBSTITUTE(input_story_categories," ","")&amp;",")))=0)),IF(HU77="",TRUE,IF(input_story_categories="",FALSE,SUMPRODUCT(--ISNUMBER(SEARCH(","&amp;TRIM(TEXTSPLIT(HU77,","))&amp;",",","&amp;SUBSTITUTE(input_story_categories," ","")&amp;",")))&gt;0)),IF(HW77="",TRUE,IF(input_story_categories="",FALSE,SUMPRODUCT(--ISNUMBER(SEARCH(","&amp;TRIM(TEXTSPLIT(HW77,","))&amp;",",","&amp;SUBSTITUTE(input_story_categories," ","")&amp;",")))=COUNTA(TEXTSPLIT(HW77,",")))))</f>
        <v/>
      </c>
      <c r="JP77" s="19">
        <f>AND(IF(HY77="",TRUE,IF(input_story_type="",FALSE,SUMPRODUCT(--ISNUMBER(SEARCH(","&amp;TRIM(TEXTSPLIT(HY77,","))&amp;",",","&amp;SUBSTITUTE(input_story_type," ","")&amp;",")))&gt;0)),IF(IA77="",TRUE,IF(input_story_type="",FALSE,SUMPRODUCT(--ISNUMBER(SEARCH(","&amp;TRIM(TEXTSPLIT(IA77,","))&amp;",",","&amp;SUBSTITUTE(input_story_type," ","")&amp;",")))=COUNTA(TEXTSPLIT(IA77,",")))),IF(IC77="",TRUE,IF(input_story_type="",TRUE,SUMPRODUCT(--ISNUMBER(SEARCH(","&amp;TRIM(TEXTSPLIT(IC77,","))&amp;",",","&amp;SUBSTITUTE(input_story_type," ","")&amp;",")))=0)),IF(IE77="",TRUE,IF(input_story_type="",FALSE,SUMPRODUCT(--ISNUMBER(SEARCH(","&amp;TRIM(TEXTSPLIT(IE77,","))&amp;",",","&amp;SUBSTITUTE(input_story_type," ","")&amp;",")))&gt;0)),IF(IG77="",TRUE,IF(input_story_type="",FALSE,SUMPRODUCT(--ISNUMBER(SEARCH(","&amp;TRIM(TEXTSPLIT(IG77,","))&amp;",",","&amp;SUBSTITUTE(input_story_type," ","")&amp;",")))=COUNTA(TEXTSPLIT(IG77,",")))))</f>
        <v/>
      </c>
      <c r="JQ77" s="19">
        <f>AND(IF(II77="",TRUE,IF(input_topics="",FALSE,SUMPRODUCT(--ISNUMBER(SEARCH(","&amp;TRIM(TEXTSPLIT(II77,","))&amp;",",","&amp;SUBSTITUTE(input_topics," ","")&amp;",")))&gt;0)),IF(IK77="",TRUE,IF(input_topics="",FALSE,SUMPRODUCT(--ISNUMBER(SEARCH(","&amp;TRIM(TEXTSPLIT(IK77,","))&amp;",",","&amp;SUBSTITUTE(input_topics," ","")&amp;",")))=COUNTA(TEXTSPLIT(IK77,",")))),IF(IM77="",TRUE,IF(input_topics="",TRUE,SUMPRODUCT(--ISNUMBER(SEARCH(","&amp;TRIM(TEXTSPLIT(IM77,","))&amp;",",","&amp;SUBSTITUTE(input_topics," ","")&amp;",")))=0)),IF(IO77="",TRUE,IF(input_topics="",FALSE,SUMPRODUCT(--ISNUMBER(SEARCH(","&amp;TRIM(TEXTSPLIT(IO77,","))&amp;",",","&amp;SUBSTITUTE(input_topics," ","")&amp;",")))&gt;0)),IF(IQ77="",TRUE,IF(input_topics="",FALSE,SUMPRODUCT(--ISNUMBER(SEARCH(","&amp;TRIM(TEXTSPLIT(IQ77,","))&amp;",",","&amp;SUBSTITUTE(input_topics," ","")&amp;",")))=COUNTA(TEXTSPLIT(IQ77,",")))))</f>
        <v/>
      </c>
    </row>
    <row r="78">
      <c r="A78" s="24">
        <f>IF(NOT(IS78),"Excluded",IF(AND(IT78,IU78,IV78,IW78,IX78,IY78,IZ78,JA78,JB78,JC78,JD78,JE78,JF78,JG78,JH78,JI78,JJ78,JK78,JL78,JM78,JN78,JO78,JP78,JQ78),IF(I78&gt;0,"Eligible but limited","Will appear"),"Excluded"))</f>
        <v/>
      </c>
      <c r="B78" s="24" t="inlineStr">
        <is>
          <t>Blogs - Summary</t>
        </is>
      </c>
      <c r="C78" s="27" t="inlineStr">
        <is>
          <t>/the-som-experience/interests-and-industries/entrepreneurship</t>
        </is>
      </c>
      <c r="D78" s="24" t="inlineStr">
        <is>
          <t>/the-som-experience/interests-and-industries/entrepreneurship</t>
        </is>
      </c>
      <c r="E78" s="24" t="n">
        <v>1</v>
      </c>
      <c r="F78" s="24" t="inlineStr">
        <is>
          <t>story</t>
        </is>
      </c>
      <c r="G78" s="24" t="inlineStr">
        <is>
          <t>stories_mosaic_grid</t>
        </is>
      </c>
      <c r="H78" s="24" t="inlineStr">
        <is>
          <t>embed_blog_summary</t>
        </is>
      </c>
      <c r="I78" s="24" t="n">
        <v>1</v>
      </c>
      <c r="J78" s="24" t="inlineStr">
        <is>
          <t>View/config rules</t>
        </is>
      </c>
      <c r="K78" s="24" t="inlineStr">
        <is>
          <t>Page placement</t>
        </is>
      </c>
      <c r="L78" s="24" t="inlineStr">
        <is>
          <t>Content type: story; Needs any Story Type: Blog (974); Limited to 1 item(s); Source: View/config rules</t>
        </is>
      </c>
      <c r="HY78" s="19" t="inlineStr">
        <is>
          <t>974</t>
        </is>
      </c>
      <c r="HZ78" s="19" t="inlineStr">
        <is>
          <t>Blog (974)</t>
        </is>
      </c>
      <c r="IS78" s="19">
        <f>IF(input_content_type="",FALSE,ISNUMBER(SEARCH(","&amp;LOWER(input_content_type)&amp;",",","&amp;LOWER(SUBSTITUTE(F78," ",""))&amp;",")))</f>
        <v/>
      </c>
      <c r="IT78" s="19">
        <f>AND(IF(M78="",TRUE,IF(input_affiliations="",FALSE,SUMPRODUCT(--ISNUMBER(SEARCH(","&amp;TRIM(TEXTSPLIT(M78,","))&amp;",",","&amp;SUBSTITUTE(input_affiliations," ","")&amp;",")))&gt;0)),IF(O78="",TRUE,IF(input_affiliations="",FALSE,SUMPRODUCT(--ISNUMBER(SEARCH(","&amp;TRIM(TEXTSPLIT(O78,","))&amp;",",","&amp;SUBSTITUTE(input_affiliations," ","")&amp;",")))=COUNTA(TEXTSPLIT(O78,",")))),IF(Q78="",TRUE,IF(input_affiliations="",TRUE,SUMPRODUCT(--ISNUMBER(SEARCH(","&amp;TRIM(TEXTSPLIT(Q78,","))&amp;",",","&amp;SUBSTITUTE(input_affiliations," ","")&amp;",")))=0)),IF(S78="",TRUE,IF(input_affiliations="",FALSE,SUMPRODUCT(--ISNUMBER(SEARCH(","&amp;TRIM(TEXTSPLIT(S78,","))&amp;",",","&amp;SUBSTITUTE(input_affiliations," ","")&amp;",")))&gt;0)),IF(U78="",TRUE,IF(input_affiliations="",FALSE,SUMPRODUCT(--ISNUMBER(SEARCH(","&amp;TRIM(TEXTSPLIT(U78,","))&amp;",",","&amp;SUBSTITUTE(input_affiliations," ","")&amp;",")))=COUNTA(TEXTSPLIT(U78,",")))))</f>
        <v/>
      </c>
      <c r="IU78" s="19">
        <f>AND(IF(W78="",TRUE,IF(input_announcement_category="",FALSE,SUMPRODUCT(--ISNUMBER(SEARCH(","&amp;TRIM(TEXTSPLIT(W78,","))&amp;",",","&amp;SUBSTITUTE(input_announcement_category," ","")&amp;",")))&gt;0)),IF(Y78="",TRUE,IF(input_announcement_category="",FALSE,SUMPRODUCT(--ISNUMBER(SEARCH(","&amp;TRIM(TEXTSPLIT(Y78,","))&amp;",",","&amp;SUBSTITUTE(input_announcement_category," ","")&amp;",")))=COUNTA(TEXTSPLIT(Y78,",")))),IF(AA78="",TRUE,IF(input_announcement_category="",TRUE,SUMPRODUCT(--ISNUMBER(SEARCH(","&amp;TRIM(TEXTSPLIT(AA78,","))&amp;",",","&amp;SUBSTITUTE(input_announcement_category," ","")&amp;",")))=0)),IF(AC78="",TRUE,IF(input_announcement_category="",FALSE,SUMPRODUCT(--ISNUMBER(SEARCH(","&amp;TRIM(TEXTSPLIT(AC78,","))&amp;",",","&amp;SUBSTITUTE(input_announcement_category," ","")&amp;",")))&gt;0)),IF(AE78="",TRUE,IF(input_announcement_category="",FALSE,SUMPRODUCT(--ISNUMBER(SEARCH(","&amp;TRIM(TEXTSPLIT(AE78,","))&amp;",",","&amp;SUBSTITUTE(input_announcement_category," ","")&amp;",")))=COUNTA(TEXTSPLIT(AE78,",")))))</f>
        <v/>
      </c>
      <c r="IV78" s="19">
        <f>AND(IF(AG78="",TRUE,IF(input_area_of_focus="",FALSE,SUMPRODUCT(--ISNUMBER(SEARCH(","&amp;TRIM(TEXTSPLIT(AG78,","))&amp;",",","&amp;SUBSTITUTE(input_area_of_focus," ","")&amp;",")))&gt;0)),IF(AI78="",TRUE,IF(input_area_of_focus="",FALSE,SUMPRODUCT(--ISNUMBER(SEARCH(","&amp;TRIM(TEXTSPLIT(AI78,","))&amp;",",","&amp;SUBSTITUTE(input_area_of_focus," ","")&amp;",")))=COUNTA(TEXTSPLIT(AI78,",")))),IF(AK78="",TRUE,IF(input_area_of_focus="",TRUE,SUMPRODUCT(--ISNUMBER(SEARCH(","&amp;TRIM(TEXTSPLIT(AK78,","))&amp;",",","&amp;SUBSTITUTE(input_area_of_focus," ","")&amp;",")))=0)),IF(AM78="",TRUE,IF(input_area_of_focus="",FALSE,SUMPRODUCT(--ISNUMBER(SEARCH(","&amp;TRIM(TEXTSPLIT(AM78,","))&amp;",",","&amp;SUBSTITUTE(input_area_of_focus," ","")&amp;",")))&gt;0)),IF(AO78="",TRUE,IF(input_area_of_focus="",FALSE,SUMPRODUCT(--ISNUMBER(SEARCH(","&amp;TRIM(TEXTSPLIT(AO78,","))&amp;",",","&amp;SUBSTITUTE(input_area_of_focus," ","")&amp;",")))=COUNTA(TEXTSPLIT(AO78,",")))))</f>
        <v/>
      </c>
      <c r="IW78" s="19">
        <f>AND(IF(AQ78="",TRUE,IF(input_audience="",FALSE,SUMPRODUCT(--ISNUMBER(SEARCH(","&amp;TRIM(TEXTSPLIT(AQ78,","))&amp;",",","&amp;SUBSTITUTE(input_audience," ","")&amp;",")))&gt;0)),IF(AS78="",TRUE,IF(input_audience="",FALSE,SUMPRODUCT(--ISNUMBER(SEARCH(","&amp;TRIM(TEXTSPLIT(AS78,","))&amp;",",","&amp;SUBSTITUTE(input_audience," ","")&amp;",")))=COUNTA(TEXTSPLIT(AS78,",")))),IF(AU78="",TRUE,IF(input_audience="",TRUE,SUMPRODUCT(--ISNUMBER(SEARCH(","&amp;TRIM(TEXTSPLIT(AU78,","))&amp;",",","&amp;SUBSTITUTE(input_audience," ","")&amp;",")))=0)),IF(AW78="",TRUE,IF(input_audience="",FALSE,SUMPRODUCT(--ISNUMBER(SEARCH(","&amp;TRIM(TEXTSPLIT(AW78,","))&amp;",",","&amp;SUBSTITUTE(input_audience," ","")&amp;",")))&gt;0)),IF(AY78="",TRUE,IF(input_audience="",FALSE,SUMPRODUCT(--ISNUMBER(SEARCH(","&amp;TRIM(TEXTSPLIT(AY78,","))&amp;",",","&amp;SUBSTITUTE(input_audience," ","")&amp;",")))=COUNTA(TEXTSPLIT(AY78,",")))))</f>
        <v/>
      </c>
      <c r="IX78" s="19">
        <f>AND(IF(BA78="",TRUE,IF(input_challenge_opportunities="",FALSE,SUMPRODUCT(--ISNUMBER(SEARCH(","&amp;TRIM(TEXTSPLIT(BA78,","))&amp;",",","&amp;SUBSTITUTE(input_challenge_opportunities," ","")&amp;",")))&gt;0)),IF(BC78="",TRUE,IF(input_challenge_opportunities="",FALSE,SUMPRODUCT(--ISNUMBER(SEARCH(","&amp;TRIM(TEXTSPLIT(BC78,","))&amp;",",","&amp;SUBSTITUTE(input_challenge_opportunities," ","")&amp;",")))=COUNTA(TEXTSPLIT(BC78,",")))),IF(BE78="",TRUE,IF(input_challenge_opportunities="",TRUE,SUMPRODUCT(--ISNUMBER(SEARCH(","&amp;TRIM(TEXTSPLIT(BE78,","))&amp;",",","&amp;SUBSTITUTE(input_challenge_opportunities," ","")&amp;",")))=0)),IF(BG78="",TRUE,IF(input_challenge_opportunities="",FALSE,SUMPRODUCT(--ISNUMBER(SEARCH(","&amp;TRIM(TEXTSPLIT(BG78,","))&amp;",",","&amp;SUBSTITUTE(input_challenge_opportunities," ","")&amp;",")))&gt;0)),IF(BI78="",TRUE,IF(input_challenge_opportunities="",FALSE,SUMPRODUCT(--ISNUMBER(SEARCH(","&amp;TRIM(TEXTSPLIT(BI78,","))&amp;",",","&amp;SUBSTITUTE(input_challenge_opportunities," ","")&amp;",")))=COUNTA(TEXTSPLIT(BI78,",")))))</f>
        <v/>
      </c>
      <c r="IY78" s="19">
        <f>AND(IF(BK78="",TRUE,IF(input_context="",FALSE,SUMPRODUCT(--ISNUMBER(SEARCH(","&amp;TRIM(TEXTSPLIT(BK78,","))&amp;",",","&amp;SUBSTITUTE(input_context," ","")&amp;",")))&gt;0)),IF(BM78="",TRUE,IF(input_context="",FALSE,SUMPRODUCT(--ISNUMBER(SEARCH(","&amp;TRIM(TEXTSPLIT(BM78,","))&amp;",",","&amp;SUBSTITUTE(input_context," ","")&amp;",")))=COUNTA(TEXTSPLIT(BM78,",")))),IF(BO78="",TRUE,IF(input_context="",TRUE,SUMPRODUCT(--ISNUMBER(SEARCH(","&amp;TRIM(TEXTSPLIT(BO78,","))&amp;",",","&amp;SUBSTITUTE(input_context," ","")&amp;",")))=0)),IF(BQ78="",TRUE,IF(input_context="",FALSE,SUMPRODUCT(--ISNUMBER(SEARCH(","&amp;TRIM(TEXTSPLIT(BQ78,","))&amp;",",","&amp;SUBSTITUTE(input_context," ","")&amp;",")))&gt;0)),IF(BS78="",TRUE,IF(input_context="",FALSE,SUMPRODUCT(--ISNUMBER(SEARCH(","&amp;TRIM(TEXTSPLIT(BS78,","))&amp;",",","&amp;SUBSTITUTE(input_context," ","")&amp;",")))=COUNTA(TEXTSPLIT(BS78,",")))))</f>
        <v/>
      </c>
      <c r="IZ78" s="19">
        <f>AND(IF(BU78="",TRUE,IF(input_enews_announcement_type="",FALSE,SUMPRODUCT(--ISNUMBER(SEARCH(","&amp;TRIM(TEXTSPLIT(BU78,","))&amp;",",","&amp;SUBSTITUTE(input_enews_announcement_type," ","")&amp;",")))&gt;0)),IF(BW78="",TRUE,IF(input_enews_announcement_type="",FALSE,SUMPRODUCT(--ISNUMBER(SEARCH(","&amp;TRIM(TEXTSPLIT(BW78,","))&amp;",",","&amp;SUBSTITUTE(input_enews_announcement_type," ","")&amp;",")))=COUNTA(TEXTSPLIT(BW78,",")))),IF(BY78="",TRUE,IF(input_enews_announcement_type="",TRUE,SUMPRODUCT(--ISNUMBER(SEARCH(","&amp;TRIM(TEXTSPLIT(BY78,","))&amp;",",","&amp;SUBSTITUTE(input_enews_announcement_type," ","")&amp;",")))=0)),IF(CA78="",TRUE,IF(input_enews_announcement_type="",FALSE,SUMPRODUCT(--ISNUMBER(SEARCH(","&amp;TRIM(TEXTSPLIT(CA78,","))&amp;",",","&amp;SUBSTITUTE(input_enews_announcement_type," ","")&amp;",")))&gt;0)),IF(CC78="",TRUE,IF(input_enews_announcement_type="",FALSE,SUMPRODUCT(--ISNUMBER(SEARCH(","&amp;TRIM(TEXTSPLIT(CC78,","))&amp;",",","&amp;SUBSTITUTE(input_enews_announcement_type," ","")&amp;",")))=COUNTA(TEXTSPLIT(CC78,",")))))</f>
        <v/>
      </c>
      <c r="JA78" s="19">
        <f>AND(IF(CE78="",TRUE,IF(input_enews_audience="",FALSE,SUMPRODUCT(--ISNUMBER(SEARCH(","&amp;TRIM(TEXTSPLIT(CE78,","))&amp;",",","&amp;SUBSTITUTE(input_enews_audience," ","")&amp;",")))&gt;0)),IF(CG78="",TRUE,IF(input_enews_audience="",FALSE,SUMPRODUCT(--ISNUMBER(SEARCH(","&amp;TRIM(TEXTSPLIT(CG78,","))&amp;",",","&amp;SUBSTITUTE(input_enews_audience," ","")&amp;",")))=COUNTA(TEXTSPLIT(CG78,",")))),IF(CI78="",TRUE,IF(input_enews_audience="",TRUE,SUMPRODUCT(--ISNUMBER(SEARCH(","&amp;TRIM(TEXTSPLIT(CI78,","))&amp;",",","&amp;SUBSTITUTE(input_enews_audience," ","")&amp;",")))=0)),IF(CK78="",TRUE,IF(input_enews_audience="",FALSE,SUMPRODUCT(--ISNUMBER(SEARCH(","&amp;TRIM(TEXTSPLIT(CK78,","))&amp;",",","&amp;SUBSTITUTE(input_enews_audience," ","")&amp;",")))&gt;0)),IF(CM78="",TRUE,IF(input_enews_audience="",FALSE,SUMPRODUCT(--ISNUMBER(SEARCH(","&amp;TRIM(TEXTSPLIT(CM78,","))&amp;",",","&amp;SUBSTITUTE(input_enews_audience," ","")&amp;",")))=COUNTA(TEXTSPLIT(CM78,",")))))</f>
        <v/>
      </c>
      <c r="JB78" s="19">
        <f>AND(IF(CO78="",TRUE,IF(input_event_location="",FALSE,SUMPRODUCT(--ISNUMBER(SEARCH(","&amp;TRIM(TEXTSPLIT(CO78,","))&amp;",",","&amp;SUBSTITUTE(input_event_location," ","")&amp;",")))&gt;0)),IF(CQ78="",TRUE,IF(input_event_location="",FALSE,SUMPRODUCT(--ISNUMBER(SEARCH(","&amp;TRIM(TEXTSPLIT(CQ78,","))&amp;",",","&amp;SUBSTITUTE(input_event_location," ","")&amp;",")))=COUNTA(TEXTSPLIT(CQ78,",")))),IF(CS78="",TRUE,IF(input_event_location="",TRUE,SUMPRODUCT(--ISNUMBER(SEARCH(","&amp;TRIM(TEXTSPLIT(CS78,","))&amp;",",","&amp;SUBSTITUTE(input_event_location," ","")&amp;",")))=0)),IF(CU78="",TRUE,IF(input_event_location="",FALSE,SUMPRODUCT(--ISNUMBER(SEARCH(","&amp;TRIM(TEXTSPLIT(CU78,","))&amp;",",","&amp;SUBSTITUTE(input_event_location," ","")&amp;",")))&gt;0)),IF(CW78="",TRUE,IF(input_event_location="",FALSE,SUMPRODUCT(--ISNUMBER(SEARCH(","&amp;TRIM(TEXTSPLIT(CW78,","))&amp;",",","&amp;SUBSTITUTE(input_event_location," ","")&amp;",")))=COUNTA(TEXTSPLIT(CW78,",")))))</f>
        <v/>
      </c>
      <c r="JC78" s="19">
        <f>AND(IF(CY78="",TRUE,IF(input_event_type="",FALSE,SUMPRODUCT(--ISNUMBER(SEARCH(","&amp;TRIM(TEXTSPLIT(CY78,","))&amp;",",","&amp;SUBSTITUTE(input_event_type," ","")&amp;",")))&gt;0)),IF(DA78="",TRUE,IF(input_event_type="",FALSE,SUMPRODUCT(--ISNUMBER(SEARCH(","&amp;TRIM(TEXTSPLIT(DA78,","))&amp;",",","&amp;SUBSTITUTE(input_event_type," ","")&amp;",")))=COUNTA(TEXTSPLIT(DA78,",")))),IF(DC78="",TRUE,IF(input_event_type="",TRUE,SUMPRODUCT(--ISNUMBER(SEARCH(","&amp;TRIM(TEXTSPLIT(DC78,","))&amp;",",","&amp;SUBSTITUTE(input_event_type," ","")&amp;",")))=0)),IF(DE78="",TRUE,IF(input_event_type="",FALSE,SUMPRODUCT(--ISNUMBER(SEARCH(","&amp;TRIM(TEXTSPLIT(DE78,","))&amp;",",","&amp;SUBSTITUTE(input_event_type," ","")&amp;",")))&gt;0)),IF(DG78="",TRUE,IF(input_event_type="",FALSE,SUMPRODUCT(--ISNUMBER(SEARCH(","&amp;TRIM(TEXTSPLIT(DG78,","))&amp;",",","&amp;SUBSTITUTE(input_event_type," ","")&amp;",")))=COUNTA(TEXTSPLIT(DG78,",")))))</f>
        <v/>
      </c>
      <c r="JD78" s="19">
        <f>AND(IF(DI78="",TRUE,IF(input_executive_education_focus="",FALSE,SUMPRODUCT(--ISNUMBER(SEARCH(","&amp;TRIM(TEXTSPLIT(DI78,","))&amp;",",","&amp;SUBSTITUTE(input_executive_education_focus," ","")&amp;",")))&gt;0)),IF(DK78="",TRUE,IF(input_executive_education_focus="",FALSE,SUMPRODUCT(--ISNUMBER(SEARCH(","&amp;TRIM(TEXTSPLIT(DK78,","))&amp;",",","&amp;SUBSTITUTE(input_executive_education_focus," ","")&amp;",")))=COUNTA(TEXTSPLIT(DK78,",")))),IF(DM78="",TRUE,IF(input_executive_education_focus="",TRUE,SUMPRODUCT(--ISNUMBER(SEARCH(","&amp;TRIM(TEXTSPLIT(DM78,","))&amp;",",","&amp;SUBSTITUTE(input_executive_education_focus," ","")&amp;",")))=0)),IF(DO78="",TRUE,IF(input_executive_education_focus="",FALSE,SUMPRODUCT(--ISNUMBER(SEARCH(","&amp;TRIM(TEXTSPLIT(DO78,","))&amp;",",","&amp;SUBSTITUTE(input_executive_education_focus," ","")&amp;",")))&gt;0)),IF(DQ78="",TRUE,IF(input_executive_education_focus="",FALSE,SUMPRODUCT(--ISNUMBER(SEARCH(","&amp;TRIM(TEXTSPLIT(DQ78,","))&amp;",",","&amp;SUBSTITUTE(input_executive_education_focus," ","")&amp;",")))=COUNTA(TEXTSPLIT(DQ78,",")))))</f>
        <v/>
      </c>
      <c r="JE78" s="19">
        <f>AND(IF(DS78="",TRUE,IF(input_faculty_category="",FALSE,SUMPRODUCT(--ISNUMBER(SEARCH(","&amp;TRIM(TEXTSPLIT(DS78,","))&amp;",",","&amp;SUBSTITUTE(input_faculty_category," ","")&amp;",")))&gt;0)),IF(DU78="",TRUE,IF(input_faculty_category="",FALSE,SUMPRODUCT(--ISNUMBER(SEARCH(","&amp;TRIM(TEXTSPLIT(DU78,","))&amp;",",","&amp;SUBSTITUTE(input_faculty_category," ","")&amp;",")))=COUNTA(TEXTSPLIT(DU78,",")))),IF(DW78="",TRUE,IF(input_faculty_category="",TRUE,SUMPRODUCT(--ISNUMBER(SEARCH(","&amp;TRIM(TEXTSPLIT(DW78,","))&amp;",",","&amp;SUBSTITUTE(input_faculty_category," ","")&amp;",")))=0)),IF(DY78="",TRUE,IF(input_faculty_category="",FALSE,SUMPRODUCT(--ISNUMBER(SEARCH(","&amp;TRIM(TEXTSPLIT(DY78,","))&amp;",",","&amp;SUBSTITUTE(input_faculty_category," ","")&amp;",")))&gt;0)),IF(EA78="",TRUE,IF(input_faculty_category="",FALSE,SUMPRODUCT(--ISNUMBER(SEARCH(","&amp;TRIM(TEXTSPLIT(EA78,","))&amp;",",","&amp;SUBSTITUTE(input_faculty_category," ","")&amp;",")))=COUNTA(TEXTSPLIT(EA78,",")))))</f>
        <v/>
      </c>
      <c r="JF78" s="19">
        <f>AND(IF(EC78="",TRUE,IF(input_faculty_discipline="",FALSE,SUMPRODUCT(--ISNUMBER(SEARCH(","&amp;TRIM(TEXTSPLIT(EC78,","))&amp;",",","&amp;SUBSTITUTE(input_faculty_discipline," ","")&amp;",")))&gt;0)),IF(EE78="",TRUE,IF(input_faculty_discipline="",FALSE,SUMPRODUCT(--ISNUMBER(SEARCH(","&amp;TRIM(TEXTSPLIT(EE78,","))&amp;",",","&amp;SUBSTITUTE(input_faculty_discipline," ","")&amp;",")))=COUNTA(TEXTSPLIT(EE78,",")))),IF(EG78="",TRUE,IF(input_faculty_discipline="",TRUE,SUMPRODUCT(--ISNUMBER(SEARCH(","&amp;TRIM(TEXTSPLIT(EG78,","))&amp;",",","&amp;SUBSTITUTE(input_faculty_discipline," ","")&amp;",")))=0)),IF(EI78="",TRUE,IF(input_faculty_discipline="",FALSE,SUMPRODUCT(--ISNUMBER(SEARCH(","&amp;TRIM(TEXTSPLIT(EI78,","))&amp;",",","&amp;SUBSTITUTE(input_faculty_discipline," ","")&amp;",")))&gt;0)),IF(EK78="",TRUE,IF(input_faculty_discipline="",FALSE,SUMPRODUCT(--ISNUMBER(SEARCH(","&amp;TRIM(TEXTSPLIT(EK78,","))&amp;",",","&amp;SUBSTITUTE(input_faculty_discipline," ","")&amp;",")))=COUNTA(TEXTSPLIT(EK78,",")))))</f>
        <v/>
      </c>
      <c r="JG78" s="19">
        <f>AND(IF(EM78="",TRUE,IF(input_faculty_expertise="",FALSE,SUMPRODUCT(--ISNUMBER(SEARCH(","&amp;TRIM(TEXTSPLIT(EM78,","))&amp;",",","&amp;SUBSTITUTE(input_faculty_expertise," ","")&amp;",")))&gt;0)),IF(EO78="",TRUE,IF(input_faculty_expertise="",FALSE,SUMPRODUCT(--ISNUMBER(SEARCH(","&amp;TRIM(TEXTSPLIT(EO78,","))&amp;",",","&amp;SUBSTITUTE(input_faculty_expertise," ","")&amp;",")))=COUNTA(TEXTSPLIT(EO78,",")))),IF(EQ78="",TRUE,IF(input_faculty_expertise="",TRUE,SUMPRODUCT(--ISNUMBER(SEARCH(","&amp;TRIM(TEXTSPLIT(EQ78,","))&amp;",",","&amp;SUBSTITUTE(input_faculty_expertise," ","")&amp;",")))=0)),IF(ES78="",TRUE,IF(input_faculty_expertise="",FALSE,SUMPRODUCT(--ISNUMBER(SEARCH(","&amp;TRIM(TEXTSPLIT(ES78,","))&amp;",",","&amp;SUBSTITUTE(input_faculty_expertise," ","")&amp;",")))&gt;0)),IF(EU78="",TRUE,IF(input_faculty_expertise="",FALSE,SUMPRODUCT(--ISNUMBER(SEARCH(","&amp;TRIM(TEXTSPLIT(EU78,","))&amp;",",","&amp;SUBSTITUTE(input_faculty_expertise," ","")&amp;",")))=COUNTA(TEXTSPLIT(EU78,",")))))</f>
        <v/>
      </c>
      <c r="JH78" s="19">
        <f>AND(IF(EW78="",TRUE,IF(input_global_network_school="",FALSE,SUMPRODUCT(--ISNUMBER(SEARCH(","&amp;TRIM(TEXTSPLIT(EW78,","))&amp;",",","&amp;SUBSTITUTE(input_global_network_school," ","")&amp;",")))&gt;0)),IF(EY78="",TRUE,IF(input_global_network_school="",FALSE,SUMPRODUCT(--ISNUMBER(SEARCH(","&amp;TRIM(TEXTSPLIT(EY78,","))&amp;",",","&amp;SUBSTITUTE(input_global_network_school," ","")&amp;",")))=COUNTA(TEXTSPLIT(EY78,",")))),IF(FA78="",TRUE,IF(input_global_network_school="",TRUE,SUMPRODUCT(--ISNUMBER(SEARCH(","&amp;TRIM(TEXTSPLIT(FA78,","))&amp;",",","&amp;SUBSTITUTE(input_global_network_school," ","")&amp;",")))=0)),IF(FC78="",TRUE,IF(input_global_network_school="",FALSE,SUMPRODUCT(--ISNUMBER(SEARCH(","&amp;TRIM(TEXTSPLIT(FC78,","))&amp;",",","&amp;SUBSTITUTE(input_global_network_school," ","")&amp;",")))&gt;0)),IF(FE78="",TRUE,IF(input_global_network_school="",FALSE,SUMPRODUCT(--ISNUMBER(SEARCH(","&amp;TRIM(TEXTSPLIT(FE78,","))&amp;",",","&amp;SUBSTITUTE(input_global_network_school," ","")&amp;",")))=COUNTA(TEXTSPLIT(FE78,",")))))</f>
        <v/>
      </c>
      <c r="JI78" s="19">
        <f>AND(IF(FG78="",TRUE,IF(input_industry="",FALSE,SUMPRODUCT(--ISNUMBER(SEARCH(","&amp;TRIM(TEXTSPLIT(FG78,","))&amp;",",","&amp;SUBSTITUTE(input_industry," ","")&amp;",")))&gt;0)),IF(FI78="",TRUE,IF(input_industry="",FALSE,SUMPRODUCT(--ISNUMBER(SEARCH(","&amp;TRIM(TEXTSPLIT(FI78,","))&amp;",",","&amp;SUBSTITUTE(input_industry," ","")&amp;",")))=COUNTA(TEXTSPLIT(FI78,",")))),IF(FK78="",TRUE,IF(input_industry="",TRUE,SUMPRODUCT(--ISNUMBER(SEARCH(","&amp;TRIM(TEXTSPLIT(FK78,","))&amp;",",","&amp;SUBSTITUTE(input_industry," ","")&amp;",")))=0)),IF(FM78="",TRUE,IF(input_industry="",FALSE,SUMPRODUCT(--ISNUMBER(SEARCH(","&amp;TRIM(TEXTSPLIT(FM78,","))&amp;",",","&amp;SUBSTITUTE(input_industry," ","")&amp;",")))&gt;0)),IF(FO78="",TRUE,IF(input_industry="",FALSE,SUMPRODUCT(--ISNUMBER(SEARCH(","&amp;TRIM(TEXTSPLIT(FO78,","))&amp;",",","&amp;SUBSTITUTE(input_industry," ","")&amp;",")))=COUNTA(TEXTSPLIT(FO78,",")))))</f>
        <v/>
      </c>
      <c r="JJ78" s="19">
        <f>AND(IF(FQ78="",TRUE,IF(input_location="",FALSE,SUMPRODUCT(--ISNUMBER(SEARCH(","&amp;TRIM(TEXTSPLIT(FQ78,","))&amp;",",","&amp;SUBSTITUTE(input_location," ","")&amp;",")))&gt;0)),IF(FS78="",TRUE,IF(input_location="",FALSE,SUMPRODUCT(--ISNUMBER(SEARCH(","&amp;TRIM(TEXTSPLIT(FS78,","))&amp;",",","&amp;SUBSTITUTE(input_location," ","")&amp;",")))=COUNTA(TEXTSPLIT(FS78,",")))),IF(FU78="",TRUE,IF(input_location="",TRUE,SUMPRODUCT(--ISNUMBER(SEARCH(","&amp;TRIM(TEXTSPLIT(FU78,","))&amp;",",","&amp;SUBSTITUTE(input_location," ","")&amp;",")))=0)),IF(FW78="",TRUE,IF(input_location="",FALSE,SUMPRODUCT(--ISNUMBER(SEARCH(","&amp;TRIM(TEXTSPLIT(FW78,","))&amp;",",","&amp;SUBSTITUTE(input_location," ","")&amp;",")))&gt;0)),IF(FY78="",TRUE,IF(input_location="",FALSE,SUMPRODUCT(--ISNUMBER(SEARCH(","&amp;TRIM(TEXTSPLIT(FY78,","))&amp;",",","&amp;SUBSTITUTE(input_location," ","")&amp;",")))=COUNTA(TEXTSPLIT(FY78,",")))))</f>
        <v/>
      </c>
      <c r="JK78" s="19">
        <f>AND(IF(GA78="",TRUE,IF(input_modality="",FALSE,SUMPRODUCT(--ISNUMBER(SEARCH(","&amp;TRIM(TEXTSPLIT(GA78,","))&amp;",",","&amp;SUBSTITUTE(input_modality," ","")&amp;",")))&gt;0)),IF(GC78="",TRUE,IF(input_modality="",FALSE,SUMPRODUCT(--ISNUMBER(SEARCH(","&amp;TRIM(TEXTSPLIT(GC78,","))&amp;",",","&amp;SUBSTITUTE(input_modality," ","")&amp;",")))=COUNTA(TEXTSPLIT(GC78,",")))),IF(GE78="",TRUE,IF(input_modality="",TRUE,SUMPRODUCT(--ISNUMBER(SEARCH(","&amp;TRIM(TEXTSPLIT(GE78,","))&amp;",",","&amp;SUBSTITUTE(input_modality," ","")&amp;",")))=0)),IF(GG78="",TRUE,IF(input_modality="",FALSE,SUMPRODUCT(--ISNUMBER(SEARCH(","&amp;TRIM(TEXTSPLIT(GG78,","))&amp;",",","&amp;SUBSTITUTE(input_modality," ","")&amp;",")))&gt;0)),IF(GI78="",TRUE,IF(input_modality="",FALSE,SUMPRODUCT(--ISNUMBER(SEARCH(","&amp;TRIM(TEXTSPLIT(GI78,","))&amp;",",","&amp;SUBSTITUTE(input_modality," ","")&amp;",")))=COUNTA(TEXTSPLIT(GI78,",")))))</f>
        <v/>
      </c>
      <c r="JL78" s="19">
        <f>AND(IF(GK78="",TRUE,IF(input_organizer="",FALSE,SUMPRODUCT(--ISNUMBER(SEARCH(","&amp;TRIM(TEXTSPLIT(GK78,","))&amp;",",","&amp;SUBSTITUTE(input_organizer," ","")&amp;",")))&gt;0)),IF(GM78="",TRUE,IF(input_organizer="",FALSE,SUMPRODUCT(--ISNUMBER(SEARCH(","&amp;TRIM(TEXTSPLIT(GM78,","))&amp;",",","&amp;SUBSTITUTE(input_organizer," ","")&amp;",")))=COUNTA(TEXTSPLIT(GM78,",")))),IF(GO78="",TRUE,IF(input_organizer="",TRUE,SUMPRODUCT(--ISNUMBER(SEARCH(","&amp;TRIM(TEXTSPLIT(GO78,","))&amp;",",","&amp;SUBSTITUTE(input_organizer," ","")&amp;",")))=0)),IF(GQ78="",TRUE,IF(input_organizer="",FALSE,SUMPRODUCT(--ISNUMBER(SEARCH(","&amp;TRIM(TEXTSPLIT(GQ78,","))&amp;",",","&amp;SUBSTITUTE(input_organizer," ","")&amp;",")))&gt;0)),IF(GS78="",TRUE,IF(input_organizer="",FALSE,SUMPRODUCT(--ISNUMBER(SEARCH(","&amp;TRIM(TEXTSPLIT(GS78,","))&amp;",",","&amp;SUBSTITUTE(input_organizer," ","")&amp;",")))=COUNTA(TEXTSPLIT(GS78,",")))))</f>
        <v/>
      </c>
      <c r="JM78" s="19">
        <f>AND(IF(GU78="",TRUE,IF(input_profile_type="",FALSE,SUMPRODUCT(--ISNUMBER(SEARCH(","&amp;TRIM(TEXTSPLIT(GU78,","))&amp;",",","&amp;SUBSTITUTE(input_profile_type," ","")&amp;",")))&gt;0)),IF(GW78="",TRUE,IF(input_profile_type="",FALSE,SUMPRODUCT(--ISNUMBER(SEARCH(","&amp;TRIM(TEXTSPLIT(GW78,","))&amp;",",","&amp;SUBSTITUTE(input_profile_type," ","")&amp;",")))=COUNTA(TEXTSPLIT(GW78,",")))),IF(GY78="",TRUE,IF(input_profile_type="",TRUE,SUMPRODUCT(--ISNUMBER(SEARCH(","&amp;TRIM(TEXTSPLIT(GY78,","))&amp;",",","&amp;SUBSTITUTE(input_profile_type," ","")&amp;",")))=0)),IF(HA78="",TRUE,IF(input_profile_type="",FALSE,SUMPRODUCT(--ISNUMBER(SEARCH(","&amp;TRIM(TEXTSPLIT(HA78,","))&amp;",",","&amp;SUBSTITUTE(input_profile_type," ","")&amp;",")))&gt;0)),IF(HC78="",TRUE,IF(input_profile_type="",FALSE,SUMPRODUCT(--ISNUMBER(SEARCH(","&amp;TRIM(TEXTSPLIT(HC78,","))&amp;",",","&amp;SUBSTITUTE(input_profile_type," ","")&amp;",")))=COUNTA(TEXTSPLIT(HC78,",")))))</f>
        <v/>
      </c>
      <c r="JN78" s="19">
        <f>AND(IF(HE78="",TRUE,IF(input_program="",FALSE,SUMPRODUCT(--ISNUMBER(SEARCH(","&amp;TRIM(TEXTSPLIT(HE78,","))&amp;",",","&amp;SUBSTITUTE(input_program," ","")&amp;",")))&gt;0)),IF(HG78="",TRUE,IF(input_program="",FALSE,SUMPRODUCT(--ISNUMBER(SEARCH(","&amp;TRIM(TEXTSPLIT(HG78,","))&amp;",",","&amp;SUBSTITUTE(input_program," ","")&amp;",")))=COUNTA(TEXTSPLIT(HG78,",")))),IF(HI78="",TRUE,IF(input_program="",TRUE,SUMPRODUCT(--ISNUMBER(SEARCH(","&amp;TRIM(TEXTSPLIT(HI78,","))&amp;",",","&amp;SUBSTITUTE(input_program," ","")&amp;",")))=0)),IF(HK78="",TRUE,IF(input_program="",FALSE,SUMPRODUCT(--ISNUMBER(SEARCH(","&amp;TRIM(TEXTSPLIT(HK78,","))&amp;",",","&amp;SUBSTITUTE(input_program," ","")&amp;",")))&gt;0)),IF(HM78="",TRUE,IF(input_program="",FALSE,SUMPRODUCT(--ISNUMBER(SEARCH(","&amp;TRIM(TEXTSPLIT(HM78,","))&amp;",",","&amp;SUBSTITUTE(input_program," ","")&amp;",")))=COUNTA(TEXTSPLIT(HM78,",")))))</f>
        <v/>
      </c>
      <c r="JO78" s="19">
        <f>AND(IF(HO78="",TRUE,IF(input_story_categories="",FALSE,SUMPRODUCT(--ISNUMBER(SEARCH(","&amp;TRIM(TEXTSPLIT(HO78,","))&amp;",",","&amp;SUBSTITUTE(input_story_categories," ","")&amp;",")))&gt;0)),IF(HQ78="",TRUE,IF(input_story_categories="",FALSE,SUMPRODUCT(--ISNUMBER(SEARCH(","&amp;TRIM(TEXTSPLIT(HQ78,","))&amp;",",","&amp;SUBSTITUTE(input_story_categories," ","")&amp;",")))=COUNTA(TEXTSPLIT(HQ78,",")))),IF(HS78="",TRUE,IF(input_story_categories="",TRUE,SUMPRODUCT(--ISNUMBER(SEARCH(","&amp;TRIM(TEXTSPLIT(HS78,","))&amp;",",","&amp;SUBSTITUTE(input_story_categories," ","")&amp;",")))=0)),IF(HU78="",TRUE,IF(input_story_categories="",FALSE,SUMPRODUCT(--ISNUMBER(SEARCH(","&amp;TRIM(TEXTSPLIT(HU78,","))&amp;",",","&amp;SUBSTITUTE(input_story_categories," ","")&amp;",")))&gt;0)),IF(HW78="",TRUE,IF(input_story_categories="",FALSE,SUMPRODUCT(--ISNUMBER(SEARCH(","&amp;TRIM(TEXTSPLIT(HW78,","))&amp;",",","&amp;SUBSTITUTE(input_story_categories," ","")&amp;",")))=COUNTA(TEXTSPLIT(HW78,",")))))</f>
        <v/>
      </c>
      <c r="JP78" s="19">
        <f>AND(IF(HY78="",TRUE,IF(input_story_type="",FALSE,SUMPRODUCT(--ISNUMBER(SEARCH(","&amp;TRIM(TEXTSPLIT(HY78,","))&amp;",",","&amp;SUBSTITUTE(input_story_type," ","")&amp;",")))&gt;0)),IF(IA78="",TRUE,IF(input_story_type="",FALSE,SUMPRODUCT(--ISNUMBER(SEARCH(","&amp;TRIM(TEXTSPLIT(IA78,","))&amp;",",","&amp;SUBSTITUTE(input_story_type," ","")&amp;",")))=COUNTA(TEXTSPLIT(IA78,",")))),IF(IC78="",TRUE,IF(input_story_type="",TRUE,SUMPRODUCT(--ISNUMBER(SEARCH(","&amp;TRIM(TEXTSPLIT(IC78,","))&amp;",",","&amp;SUBSTITUTE(input_story_type," ","")&amp;",")))=0)),IF(IE78="",TRUE,IF(input_story_type="",FALSE,SUMPRODUCT(--ISNUMBER(SEARCH(","&amp;TRIM(TEXTSPLIT(IE78,","))&amp;",",","&amp;SUBSTITUTE(input_story_type," ","")&amp;",")))&gt;0)),IF(IG78="",TRUE,IF(input_story_type="",FALSE,SUMPRODUCT(--ISNUMBER(SEARCH(","&amp;TRIM(TEXTSPLIT(IG78,","))&amp;",",","&amp;SUBSTITUTE(input_story_type," ","")&amp;",")))=COUNTA(TEXTSPLIT(IG78,",")))))</f>
        <v/>
      </c>
      <c r="JQ78" s="19">
        <f>AND(IF(II78="",TRUE,IF(input_topics="",FALSE,SUMPRODUCT(--ISNUMBER(SEARCH(","&amp;TRIM(TEXTSPLIT(II78,","))&amp;",",","&amp;SUBSTITUTE(input_topics," ","")&amp;",")))&gt;0)),IF(IK78="",TRUE,IF(input_topics="",FALSE,SUMPRODUCT(--ISNUMBER(SEARCH(","&amp;TRIM(TEXTSPLIT(IK78,","))&amp;",",","&amp;SUBSTITUTE(input_topics," ","")&amp;",")))=COUNTA(TEXTSPLIT(IK78,",")))),IF(IM78="",TRUE,IF(input_topics="",TRUE,SUMPRODUCT(--ISNUMBER(SEARCH(","&amp;TRIM(TEXTSPLIT(IM78,","))&amp;",",","&amp;SUBSTITUTE(input_topics," ","")&amp;",")))=0)),IF(IO78="",TRUE,IF(input_topics="",FALSE,SUMPRODUCT(--ISNUMBER(SEARCH(","&amp;TRIM(TEXTSPLIT(IO78,","))&amp;",",","&amp;SUBSTITUTE(input_topics," ","")&amp;",")))&gt;0)),IF(IQ78="",TRUE,IF(input_topics="",FALSE,SUMPRODUCT(--ISNUMBER(SEARCH(","&amp;TRIM(TEXTSPLIT(IQ78,","))&amp;",",","&amp;SUBSTITUTE(input_topics," ","")&amp;",")))=COUNTA(TEXTSPLIT(IQ78,",")))))</f>
        <v/>
      </c>
    </row>
    <row r="79">
      <c r="A79" s="24">
        <f>IF(NOT(IS79),"Excluded",IF(AND(IT79,IU79,IV79,IW79,IX79,IY79,IZ79,JA79,JB79,JC79,JD79,JE79,JF79,JG79,JH79,JI79,JJ79,JK79,JL79,JM79,JN79,JO79,JP79,JQ79),IF(I79&gt;0,"Eligible but limited","Will appear"),"Excluded"))</f>
        <v/>
      </c>
      <c r="B79" s="24" t="inlineStr">
        <is>
          <t>Blogs - Summary</t>
        </is>
      </c>
      <c r="C79" s="27" t="inlineStr">
        <is>
          <t>/the-som-experience/interests-and-industries/finance</t>
        </is>
      </c>
      <c r="D79" s="24" t="inlineStr">
        <is>
          <t>/the-som-experience/interests-and-industries/finance</t>
        </is>
      </c>
      <c r="E79" s="24" t="n">
        <v>1</v>
      </c>
      <c r="F79" s="24" t="inlineStr">
        <is>
          <t>story</t>
        </is>
      </c>
      <c r="G79" s="24" t="inlineStr">
        <is>
          <t>stories_mosaic_grid</t>
        </is>
      </c>
      <c r="H79" s="24" t="inlineStr">
        <is>
          <t>embed_blog_summary</t>
        </is>
      </c>
      <c r="I79" s="24" t="n">
        <v>1</v>
      </c>
      <c r="J79" s="24" t="inlineStr">
        <is>
          <t>View/config rules</t>
        </is>
      </c>
      <c r="K79" s="24" t="inlineStr">
        <is>
          <t>Page placement</t>
        </is>
      </c>
      <c r="L79" s="24" t="inlineStr">
        <is>
          <t>Content type: story; Needs any Story Type: Blog (974); Limited to 1 item(s); Source: View/config rules</t>
        </is>
      </c>
      <c r="HY79" s="19" t="inlineStr">
        <is>
          <t>974</t>
        </is>
      </c>
      <c r="HZ79" s="19" t="inlineStr">
        <is>
          <t>Blog (974)</t>
        </is>
      </c>
      <c r="IS79" s="19">
        <f>IF(input_content_type="",FALSE,ISNUMBER(SEARCH(","&amp;LOWER(input_content_type)&amp;",",","&amp;LOWER(SUBSTITUTE(F79," ",""))&amp;",")))</f>
        <v/>
      </c>
      <c r="IT79" s="19">
        <f>AND(IF(M79="",TRUE,IF(input_affiliations="",FALSE,SUMPRODUCT(--ISNUMBER(SEARCH(","&amp;TRIM(TEXTSPLIT(M79,","))&amp;",",","&amp;SUBSTITUTE(input_affiliations," ","")&amp;",")))&gt;0)),IF(O79="",TRUE,IF(input_affiliations="",FALSE,SUMPRODUCT(--ISNUMBER(SEARCH(","&amp;TRIM(TEXTSPLIT(O79,","))&amp;",",","&amp;SUBSTITUTE(input_affiliations," ","")&amp;",")))=COUNTA(TEXTSPLIT(O79,",")))),IF(Q79="",TRUE,IF(input_affiliations="",TRUE,SUMPRODUCT(--ISNUMBER(SEARCH(","&amp;TRIM(TEXTSPLIT(Q79,","))&amp;",",","&amp;SUBSTITUTE(input_affiliations," ","")&amp;",")))=0)),IF(S79="",TRUE,IF(input_affiliations="",FALSE,SUMPRODUCT(--ISNUMBER(SEARCH(","&amp;TRIM(TEXTSPLIT(S79,","))&amp;",",","&amp;SUBSTITUTE(input_affiliations," ","")&amp;",")))&gt;0)),IF(U79="",TRUE,IF(input_affiliations="",FALSE,SUMPRODUCT(--ISNUMBER(SEARCH(","&amp;TRIM(TEXTSPLIT(U79,","))&amp;",",","&amp;SUBSTITUTE(input_affiliations," ","")&amp;",")))=COUNTA(TEXTSPLIT(U79,",")))))</f>
        <v/>
      </c>
      <c r="IU79" s="19">
        <f>AND(IF(W79="",TRUE,IF(input_announcement_category="",FALSE,SUMPRODUCT(--ISNUMBER(SEARCH(","&amp;TRIM(TEXTSPLIT(W79,","))&amp;",",","&amp;SUBSTITUTE(input_announcement_category," ","")&amp;",")))&gt;0)),IF(Y79="",TRUE,IF(input_announcement_category="",FALSE,SUMPRODUCT(--ISNUMBER(SEARCH(","&amp;TRIM(TEXTSPLIT(Y79,","))&amp;",",","&amp;SUBSTITUTE(input_announcement_category," ","")&amp;",")))=COUNTA(TEXTSPLIT(Y79,",")))),IF(AA79="",TRUE,IF(input_announcement_category="",TRUE,SUMPRODUCT(--ISNUMBER(SEARCH(","&amp;TRIM(TEXTSPLIT(AA79,","))&amp;",",","&amp;SUBSTITUTE(input_announcement_category," ","")&amp;",")))=0)),IF(AC79="",TRUE,IF(input_announcement_category="",FALSE,SUMPRODUCT(--ISNUMBER(SEARCH(","&amp;TRIM(TEXTSPLIT(AC79,","))&amp;",",","&amp;SUBSTITUTE(input_announcement_category," ","")&amp;",")))&gt;0)),IF(AE79="",TRUE,IF(input_announcement_category="",FALSE,SUMPRODUCT(--ISNUMBER(SEARCH(","&amp;TRIM(TEXTSPLIT(AE79,","))&amp;",",","&amp;SUBSTITUTE(input_announcement_category," ","")&amp;",")))=COUNTA(TEXTSPLIT(AE79,",")))))</f>
        <v/>
      </c>
      <c r="IV79" s="19">
        <f>AND(IF(AG79="",TRUE,IF(input_area_of_focus="",FALSE,SUMPRODUCT(--ISNUMBER(SEARCH(","&amp;TRIM(TEXTSPLIT(AG79,","))&amp;",",","&amp;SUBSTITUTE(input_area_of_focus," ","")&amp;",")))&gt;0)),IF(AI79="",TRUE,IF(input_area_of_focus="",FALSE,SUMPRODUCT(--ISNUMBER(SEARCH(","&amp;TRIM(TEXTSPLIT(AI79,","))&amp;",",","&amp;SUBSTITUTE(input_area_of_focus," ","")&amp;",")))=COUNTA(TEXTSPLIT(AI79,",")))),IF(AK79="",TRUE,IF(input_area_of_focus="",TRUE,SUMPRODUCT(--ISNUMBER(SEARCH(","&amp;TRIM(TEXTSPLIT(AK79,","))&amp;",",","&amp;SUBSTITUTE(input_area_of_focus," ","")&amp;",")))=0)),IF(AM79="",TRUE,IF(input_area_of_focus="",FALSE,SUMPRODUCT(--ISNUMBER(SEARCH(","&amp;TRIM(TEXTSPLIT(AM79,","))&amp;",",","&amp;SUBSTITUTE(input_area_of_focus," ","")&amp;",")))&gt;0)),IF(AO79="",TRUE,IF(input_area_of_focus="",FALSE,SUMPRODUCT(--ISNUMBER(SEARCH(","&amp;TRIM(TEXTSPLIT(AO79,","))&amp;",",","&amp;SUBSTITUTE(input_area_of_focus," ","")&amp;",")))=COUNTA(TEXTSPLIT(AO79,",")))))</f>
        <v/>
      </c>
      <c r="IW79" s="19">
        <f>AND(IF(AQ79="",TRUE,IF(input_audience="",FALSE,SUMPRODUCT(--ISNUMBER(SEARCH(","&amp;TRIM(TEXTSPLIT(AQ79,","))&amp;",",","&amp;SUBSTITUTE(input_audience," ","")&amp;",")))&gt;0)),IF(AS79="",TRUE,IF(input_audience="",FALSE,SUMPRODUCT(--ISNUMBER(SEARCH(","&amp;TRIM(TEXTSPLIT(AS79,","))&amp;",",","&amp;SUBSTITUTE(input_audience," ","")&amp;",")))=COUNTA(TEXTSPLIT(AS79,",")))),IF(AU79="",TRUE,IF(input_audience="",TRUE,SUMPRODUCT(--ISNUMBER(SEARCH(","&amp;TRIM(TEXTSPLIT(AU79,","))&amp;",",","&amp;SUBSTITUTE(input_audience," ","")&amp;",")))=0)),IF(AW79="",TRUE,IF(input_audience="",FALSE,SUMPRODUCT(--ISNUMBER(SEARCH(","&amp;TRIM(TEXTSPLIT(AW79,","))&amp;",",","&amp;SUBSTITUTE(input_audience," ","")&amp;",")))&gt;0)),IF(AY79="",TRUE,IF(input_audience="",FALSE,SUMPRODUCT(--ISNUMBER(SEARCH(","&amp;TRIM(TEXTSPLIT(AY79,","))&amp;",",","&amp;SUBSTITUTE(input_audience," ","")&amp;",")))=COUNTA(TEXTSPLIT(AY79,",")))))</f>
        <v/>
      </c>
      <c r="IX79" s="19">
        <f>AND(IF(BA79="",TRUE,IF(input_challenge_opportunities="",FALSE,SUMPRODUCT(--ISNUMBER(SEARCH(","&amp;TRIM(TEXTSPLIT(BA79,","))&amp;",",","&amp;SUBSTITUTE(input_challenge_opportunities," ","")&amp;",")))&gt;0)),IF(BC79="",TRUE,IF(input_challenge_opportunities="",FALSE,SUMPRODUCT(--ISNUMBER(SEARCH(","&amp;TRIM(TEXTSPLIT(BC79,","))&amp;",",","&amp;SUBSTITUTE(input_challenge_opportunities," ","")&amp;",")))=COUNTA(TEXTSPLIT(BC79,",")))),IF(BE79="",TRUE,IF(input_challenge_opportunities="",TRUE,SUMPRODUCT(--ISNUMBER(SEARCH(","&amp;TRIM(TEXTSPLIT(BE79,","))&amp;",",","&amp;SUBSTITUTE(input_challenge_opportunities," ","")&amp;",")))=0)),IF(BG79="",TRUE,IF(input_challenge_opportunities="",FALSE,SUMPRODUCT(--ISNUMBER(SEARCH(","&amp;TRIM(TEXTSPLIT(BG79,","))&amp;",",","&amp;SUBSTITUTE(input_challenge_opportunities," ","")&amp;",")))&gt;0)),IF(BI79="",TRUE,IF(input_challenge_opportunities="",FALSE,SUMPRODUCT(--ISNUMBER(SEARCH(","&amp;TRIM(TEXTSPLIT(BI79,","))&amp;",",","&amp;SUBSTITUTE(input_challenge_opportunities," ","")&amp;",")))=COUNTA(TEXTSPLIT(BI79,",")))))</f>
        <v/>
      </c>
      <c r="IY79" s="19">
        <f>AND(IF(BK79="",TRUE,IF(input_context="",FALSE,SUMPRODUCT(--ISNUMBER(SEARCH(","&amp;TRIM(TEXTSPLIT(BK79,","))&amp;",",","&amp;SUBSTITUTE(input_context," ","")&amp;",")))&gt;0)),IF(BM79="",TRUE,IF(input_context="",FALSE,SUMPRODUCT(--ISNUMBER(SEARCH(","&amp;TRIM(TEXTSPLIT(BM79,","))&amp;",",","&amp;SUBSTITUTE(input_context," ","")&amp;",")))=COUNTA(TEXTSPLIT(BM79,",")))),IF(BO79="",TRUE,IF(input_context="",TRUE,SUMPRODUCT(--ISNUMBER(SEARCH(","&amp;TRIM(TEXTSPLIT(BO79,","))&amp;",",","&amp;SUBSTITUTE(input_context," ","")&amp;",")))=0)),IF(BQ79="",TRUE,IF(input_context="",FALSE,SUMPRODUCT(--ISNUMBER(SEARCH(","&amp;TRIM(TEXTSPLIT(BQ79,","))&amp;",",","&amp;SUBSTITUTE(input_context," ","")&amp;",")))&gt;0)),IF(BS79="",TRUE,IF(input_context="",FALSE,SUMPRODUCT(--ISNUMBER(SEARCH(","&amp;TRIM(TEXTSPLIT(BS79,","))&amp;",",","&amp;SUBSTITUTE(input_context," ","")&amp;",")))=COUNTA(TEXTSPLIT(BS79,",")))))</f>
        <v/>
      </c>
      <c r="IZ79" s="19">
        <f>AND(IF(BU79="",TRUE,IF(input_enews_announcement_type="",FALSE,SUMPRODUCT(--ISNUMBER(SEARCH(","&amp;TRIM(TEXTSPLIT(BU79,","))&amp;",",","&amp;SUBSTITUTE(input_enews_announcement_type," ","")&amp;",")))&gt;0)),IF(BW79="",TRUE,IF(input_enews_announcement_type="",FALSE,SUMPRODUCT(--ISNUMBER(SEARCH(","&amp;TRIM(TEXTSPLIT(BW79,","))&amp;",",","&amp;SUBSTITUTE(input_enews_announcement_type," ","")&amp;",")))=COUNTA(TEXTSPLIT(BW79,",")))),IF(BY79="",TRUE,IF(input_enews_announcement_type="",TRUE,SUMPRODUCT(--ISNUMBER(SEARCH(","&amp;TRIM(TEXTSPLIT(BY79,","))&amp;",",","&amp;SUBSTITUTE(input_enews_announcement_type," ","")&amp;",")))=0)),IF(CA79="",TRUE,IF(input_enews_announcement_type="",FALSE,SUMPRODUCT(--ISNUMBER(SEARCH(","&amp;TRIM(TEXTSPLIT(CA79,","))&amp;",",","&amp;SUBSTITUTE(input_enews_announcement_type," ","")&amp;",")))&gt;0)),IF(CC79="",TRUE,IF(input_enews_announcement_type="",FALSE,SUMPRODUCT(--ISNUMBER(SEARCH(","&amp;TRIM(TEXTSPLIT(CC79,","))&amp;",",","&amp;SUBSTITUTE(input_enews_announcement_type," ","")&amp;",")))=COUNTA(TEXTSPLIT(CC79,",")))))</f>
        <v/>
      </c>
      <c r="JA79" s="19">
        <f>AND(IF(CE79="",TRUE,IF(input_enews_audience="",FALSE,SUMPRODUCT(--ISNUMBER(SEARCH(","&amp;TRIM(TEXTSPLIT(CE79,","))&amp;",",","&amp;SUBSTITUTE(input_enews_audience," ","")&amp;",")))&gt;0)),IF(CG79="",TRUE,IF(input_enews_audience="",FALSE,SUMPRODUCT(--ISNUMBER(SEARCH(","&amp;TRIM(TEXTSPLIT(CG79,","))&amp;",",","&amp;SUBSTITUTE(input_enews_audience," ","")&amp;",")))=COUNTA(TEXTSPLIT(CG79,",")))),IF(CI79="",TRUE,IF(input_enews_audience="",TRUE,SUMPRODUCT(--ISNUMBER(SEARCH(","&amp;TRIM(TEXTSPLIT(CI79,","))&amp;",",","&amp;SUBSTITUTE(input_enews_audience," ","")&amp;",")))=0)),IF(CK79="",TRUE,IF(input_enews_audience="",FALSE,SUMPRODUCT(--ISNUMBER(SEARCH(","&amp;TRIM(TEXTSPLIT(CK79,","))&amp;",",","&amp;SUBSTITUTE(input_enews_audience," ","")&amp;",")))&gt;0)),IF(CM79="",TRUE,IF(input_enews_audience="",FALSE,SUMPRODUCT(--ISNUMBER(SEARCH(","&amp;TRIM(TEXTSPLIT(CM79,","))&amp;",",","&amp;SUBSTITUTE(input_enews_audience," ","")&amp;",")))=COUNTA(TEXTSPLIT(CM79,",")))))</f>
        <v/>
      </c>
      <c r="JB79" s="19">
        <f>AND(IF(CO79="",TRUE,IF(input_event_location="",FALSE,SUMPRODUCT(--ISNUMBER(SEARCH(","&amp;TRIM(TEXTSPLIT(CO79,","))&amp;",",","&amp;SUBSTITUTE(input_event_location," ","")&amp;",")))&gt;0)),IF(CQ79="",TRUE,IF(input_event_location="",FALSE,SUMPRODUCT(--ISNUMBER(SEARCH(","&amp;TRIM(TEXTSPLIT(CQ79,","))&amp;",",","&amp;SUBSTITUTE(input_event_location," ","")&amp;",")))=COUNTA(TEXTSPLIT(CQ79,",")))),IF(CS79="",TRUE,IF(input_event_location="",TRUE,SUMPRODUCT(--ISNUMBER(SEARCH(","&amp;TRIM(TEXTSPLIT(CS79,","))&amp;",",","&amp;SUBSTITUTE(input_event_location," ","")&amp;",")))=0)),IF(CU79="",TRUE,IF(input_event_location="",FALSE,SUMPRODUCT(--ISNUMBER(SEARCH(","&amp;TRIM(TEXTSPLIT(CU79,","))&amp;",",","&amp;SUBSTITUTE(input_event_location," ","")&amp;",")))&gt;0)),IF(CW79="",TRUE,IF(input_event_location="",FALSE,SUMPRODUCT(--ISNUMBER(SEARCH(","&amp;TRIM(TEXTSPLIT(CW79,","))&amp;",",","&amp;SUBSTITUTE(input_event_location," ","")&amp;",")))=COUNTA(TEXTSPLIT(CW79,",")))))</f>
        <v/>
      </c>
      <c r="JC79" s="19">
        <f>AND(IF(CY79="",TRUE,IF(input_event_type="",FALSE,SUMPRODUCT(--ISNUMBER(SEARCH(","&amp;TRIM(TEXTSPLIT(CY79,","))&amp;",",","&amp;SUBSTITUTE(input_event_type," ","")&amp;",")))&gt;0)),IF(DA79="",TRUE,IF(input_event_type="",FALSE,SUMPRODUCT(--ISNUMBER(SEARCH(","&amp;TRIM(TEXTSPLIT(DA79,","))&amp;",",","&amp;SUBSTITUTE(input_event_type," ","")&amp;",")))=COUNTA(TEXTSPLIT(DA79,",")))),IF(DC79="",TRUE,IF(input_event_type="",TRUE,SUMPRODUCT(--ISNUMBER(SEARCH(","&amp;TRIM(TEXTSPLIT(DC79,","))&amp;",",","&amp;SUBSTITUTE(input_event_type," ","")&amp;",")))=0)),IF(DE79="",TRUE,IF(input_event_type="",FALSE,SUMPRODUCT(--ISNUMBER(SEARCH(","&amp;TRIM(TEXTSPLIT(DE79,","))&amp;",",","&amp;SUBSTITUTE(input_event_type," ","")&amp;",")))&gt;0)),IF(DG79="",TRUE,IF(input_event_type="",FALSE,SUMPRODUCT(--ISNUMBER(SEARCH(","&amp;TRIM(TEXTSPLIT(DG79,","))&amp;",",","&amp;SUBSTITUTE(input_event_type," ","")&amp;",")))=COUNTA(TEXTSPLIT(DG79,",")))))</f>
        <v/>
      </c>
      <c r="JD79" s="19">
        <f>AND(IF(DI79="",TRUE,IF(input_executive_education_focus="",FALSE,SUMPRODUCT(--ISNUMBER(SEARCH(","&amp;TRIM(TEXTSPLIT(DI79,","))&amp;",",","&amp;SUBSTITUTE(input_executive_education_focus," ","")&amp;",")))&gt;0)),IF(DK79="",TRUE,IF(input_executive_education_focus="",FALSE,SUMPRODUCT(--ISNUMBER(SEARCH(","&amp;TRIM(TEXTSPLIT(DK79,","))&amp;",",","&amp;SUBSTITUTE(input_executive_education_focus," ","")&amp;",")))=COUNTA(TEXTSPLIT(DK79,",")))),IF(DM79="",TRUE,IF(input_executive_education_focus="",TRUE,SUMPRODUCT(--ISNUMBER(SEARCH(","&amp;TRIM(TEXTSPLIT(DM79,","))&amp;",",","&amp;SUBSTITUTE(input_executive_education_focus," ","")&amp;",")))=0)),IF(DO79="",TRUE,IF(input_executive_education_focus="",FALSE,SUMPRODUCT(--ISNUMBER(SEARCH(","&amp;TRIM(TEXTSPLIT(DO79,","))&amp;",",","&amp;SUBSTITUTE(input_executive_education_focus," ","")&amp;",")))&gt;0)),IF(DQ79="",TRUE,IF(input_executive_education_focus="",FALSE,SUMPRODUCT(--ISNUMBER(SEARCH(","&amp;TRIM(TEXTSPLIT(DQ79,","))&amp;",",","&amp;SUBSTITUTE(input_executive_education_focus," ","")&amp;",")))=COUNTA(TEXTSPLIT(DQ79,",")))))</f>
        <v/>
      </c>
      <c r="JE79" s="19">
        <f>AND(IF(DS79="",TRUE,IF(input_faculty_category="",FALSE,SUMPRODUCT(--ISNUMBER(SEARCH(","&amp;TRIM(TEXTSPLIT(DS79,","))&amp;",",","&amp;SUBSTITUTE(input_faculty_category," ","")&amp;",")))&gt;0)),IF(DU79="",TRUE,IF(input_faculty_category="",FALSE,SUMPRODUCT(--ISNUMBER(SEARCH(","&amp;TRIM(TEXTSPLIT(DU79,","))&amp;",",","&amp;SUBSTITUTE(input_faculty_category," ","")&amp;",")))=COUNTA(TEXTSPLIT(DU79,",")))),IF(DW79="",TRUE,IF(input_faculty_category="",TRUE,SUMPRODUCT(--ISNUMBER(SEARCH(","&amp;TRIM(TEXTSPLIT(DW79,","))&amp;",",","&amp;SUBSTITUTE(input_faculty_category," ","")&amp;",")))=0)),IF(DY79="",TRUE,IF(input_faculty_category="",FALSE,SUMPRODUCT(--ISNUMBER(SEARCH(","&amp;TRIM(TEXTSPLIT(DY79,","))&amp;",",","&amp;SUBSTITUTE(input_faculty_category," ","")&amp;",")))&gt;0)),IF(EA79="",TRUE,IF(input_faculty_category="",FALSE,SUMPRODUCT(--ISNUMBER(SEARCH(","&amp;TRIM(TEXTSPLIT(EA79,","))&amp;",",","&amp;SUBSTITUTE(input_faculty_category," ","")&amp;",")))=COUNTA(TEXTSPLIT(EA79,",")))))</f>
        <v/>
      </c>
      <c r="JF79" s="19">
        <f>AND(IF(EC79="",TRUE,IF(input_faculty_discipline="",FALSE,SUMPRODUCT(--ISNUMBER(SEARCH(","&amp;TRIM(TEXTSPLIT(EC79,","))&amp;",",","&amp;SUBSTITUTE(input_faculty_discipline," ","")&amp;",")))&gt;0)),IF(EE79="",TRUE,IF(input_faculty_discipline="",FALSE,SUMPRODUCT(--ISNUMBER(SEARCH(","&amp;TRIM(TEXTSPLIT(EE79,","))&amp;",",","&amp;SUBSTITUTE(input_faculty_discipline," ","")&amp;",")))=COUNTA(TEXTSPLIT(EE79,",")))),IF(EG79="",TRUE,IF(input_faculty_discipline="",TRUE,SUMPRODUCT(--ISNUMBER(SEARCH(","&amp;TRIM(TEXTSPLIT(EG79,","))&amp;",",","&amp;SUBSTITUTE(input_faculty_discipline," ","")&amp;",")))=0)),IF(EI79="",TRUE,IF(input_faculty_discipline="",FALSE,SUMPRODUCT(--ISNUMBER(SEARCH(","&amp;TRIM(TEXTSPLIT(EI79,","))&amp;",",","&amp;SUBSTITUTE(input_faculty_discipline," ","")&amp;",")))&gt;0)),IF(EK79="",TRUE,IF(input_faculty_discipline="",FALSE,SUMPRODUCT(--ISNUMBER(SEARCH(","&amp;TRIM(TEXTSPLIT(EK79,","))&amp;",",","&amp;SUBSTITUTE(input_faculty_discipline," ","")&amp;",")))=COUNTA(TEXTSPLIT(EK79,",")))))</f>
        <v/>
      </c>
      <c r="JG79" s="19">
        <f>AND(IF(EM79="",TRUE,IF(input_faculty_expertise="",FALSE,SUMPRODUCT(--ISNUMBER(SEARCH(","&amp;TRIM(TEXTSPLIT(EM79,","))&amp;",",","&amp;SUBSTITUTE(input_faculty_expertise," ","")&amp;",")))&gt;0)),IF(EO79="",TRUE,IF(input_faculty_expertise="",FALSE,SUMPRODUCT(--ISNUMBER(SEARCH(","&amp;TRIM(TEXTSPLIT(EO79,","))&amp;",",","&amp;SUBSTITUTE(input_faculty_expertise," ","")&amp;",")))=COUNTA(TEXTSPLIT(EO79,",")))),IF(EQ79="",TRUE,IF(input_faculty_expertise="",TRUE,SUMPRODUCT(--ISNUMBER(SEARCH(","&amp;TRIM(TEXTSPLIT(EQ79,","))&amp;",",","&amp;SUBSTITUTE(input_faculty_expertise," ","")&amp;",")))=0)),IF(ES79="",TRUE,IF(input_faculty_expertise="",FALSE,SUMPRODUCT(--ISNUMBER(SEARCH(","&amp;TRIM(TEXTSPLIT(ES79,","))&amp;",",","&amp;SUBSTITUTE(input_faculty_expertise," ","")&amp;",")))&gt;0)),IF(EU79="",TRUE,IF(input_faculty_expertise="",FALSE,SUMPRODUCT(--ISNUMBER(SEARCH(","&amp;TRIM(TEXTSPLIT(EU79,","))&amp;",",","&amp;SUBSTITUTE(input_faculty_expertise," ","")&amp;",")))=COUNTA(TEXTSPLIT(EU79,",")))))</f>
        <v/>
      </c>
      <c r="JH79" s="19">
        <f>AND(IF(EW79="",TRUE,IF(input_global_network_school="",FALSE,SUMPRODUCT(--ISNUMBER(SEARCH(","&amp;TRIM(TEXTSPLIT(EW79,","))&amp;",",","&amp;SUBSTITUTE(input_global_network_school," ","")&amp;",")))&gt;0)),IF(EY79="",TRUE,IF(input_global_network_school="",FALSE,SUMPRODUCT(--ISNUMBER(SEARCH(","&amp;TRIM(TEXTSPLIT(EY79,","))&amp;",",","&amp;SUBSTITUTE(input_global_network_school," ","")&amp;",")))=COUNTA(TEXTSPLIT(EY79,",")))),IF(FA79="",TRUE,IF(input_global_network_school="",TRUE,SUMPRODUCT(--ISNUMBER(SEARCH(","&amp;TRIM(TEXTSPLIT(FA79,","))&amp;",",","&amp;SUBSTITUTE(input_global_network_school," ","")&amp;",")))=0)),IF(FC79="",TRUE,IF(input_global_network_school="",FALSE,SUMPRODUCT(--ISNUMBER(SEARCH(","&amp;TRIM(TEXTSPLIT(FC79,","))&amp;",",","&amp;SUBSTITUTE(input_global_network_school," ","")&amp;",")))&gt;0)),IF(FE79="",TRUE,IF(input_global_network_school="",FALSE,SUMPRODUCT(--ISNUMBER(SEARCH(","&amp;TRIM(TEXTSPLIT(FE79,","))&amp;",",","&amp;SUBSTITUTE(input_global_network_school," ","")&amp;",")))=COUNTA(TEXTSPLIT(FE79,",")))))</f>
        <v/>
      </c>
      <c r="JI79" s="19">
        <f>AND(IF(FG79="",TRUE,IF(input_industry="",FALSE,SUMPRODUCT(--ISNUMBER(SEARCH(","&amp;TRIM(TEXTSPLIT(FG79,","))&amp;",",","&amp;SUBSTITUTE(input_industry," ","")&amp;",")))&gt;0)),IF(FI79="",TRUE,IF(input_industry="",FALSE,SUMPRODUCT(--ISNUMBER(SEARCH(","&amp;TRIM(TEXTSPLIT(FI79,","))&amp;",",","&amp;SUBSTITUTE(input_industry," ","")&amp;",")))=COUNTA(TEXTSPLIT(FI79,",")))),IF(FK79="",TRUE,IF(input_industry="",TRUE,SUMPRODUCT(--ISNUMBER(SEARCH(","&amp;TRIM(TEXTSPLIT(FK79,","))&amp;",",","&amp;SUBSTITUTE(input_industry," ","")&amp;",")))=0)),IF(FM79="",TRUE,IF(input_industry="",FALSE,SUMPRODUCT(--ISNUMBER(SEARCH(","&amp;TRIM(TEXTSPLIT(FM79,","))&amp;",",","&amp;SUBSTITUTE(input_industry," ","")&amp;",")))&gt;0)),IF(FO79="",TRUE,IF(input_industry="",FALSE,SUMPRODUCT(--ISNUMBER(SEARCH(","&amp;TRIM(TEXTSPLIT(FO79,","))&amp;",",","&amp;SUBSTITUTE(input_industry," ","")&amp;",")))=COUNTA(TEXTSPLIT(FO79,",")))))</f>
        <v/>
      </c>
      <c r="JJ79" s="19">
        <f>AND(IF(FQ79="",TRUE,IF(input_location="",FALSE,SUMPRODUCT(--ISNUMBER(SEARCH(","&amp;TRIM(TEXTSPLIT(FQ79,","))&amp;",",","&amp;SUBSTITUTE(input_location," ","")&amp;",")))&gt;0)),IF(FS79="",TRUE,IF(input_location="",FALSE,SUMPRODUCT(--ISNUMBER(SEARCH(","&amp;TRIM(TEXTSPLIT(FS79,","))&amp;",",","&amp;SUBSTITUTE(input_location," ","")&amp;",")))=COUNTA(TEXTSPLIT(FS79,",")))),IF(FU79="",TRUE,IF(input_location="",TRUE,SUMPRODUCT(--ISNUMBER(SEARCH(","&amp;TRIM(TEXTSPLIT(FU79,","))&amp;",",","&amp;SUBSTITUTE(input_location," ","")&amp;",")))=0)),IF(FW79="",TRUE,IF(input_location="",FALSE,SUMPRODUCT(--ISNUMBER(SEARCH(","&amp;TRIM(TEXTSPLIT(FW79,","))&amp;",",","&amp;SUBSTITUTE(input_location," ","")&amp;",")))&gt;0)),IF(FY79="",TRUE,IF(input_location="",FALSE,SUMPRODUCT(--ISNUMBER(SEARCH(","&amp;TRIM(TEXTSPLIT(FY79,","))&amp;",",","&amp;SUBSTITUTE(input_location," ","")&amp;",")))=COUNTA(TEXTSPLIT(FY79,",")))))</f>
        <v/>
      </c>
      <c r="JK79" s="19">
        <f>AND(IF(GA79="",TRUE,IF(input_modality="",FALSE,SUMPRODUCT(--ISNUMBER(SEARCH(","&amp;TRIM(TEXTSPLIT(GA79,","))&amp;",",","&amp;SUBSTITUTE(input_modality," ","")&amp;",")))&gt;0)),IF(GC79="",TRUE,IF(input_modality="",FALSE,SUMPRODUCT(--ISNUMBER(SEARCH(","&amp;TRIM(TEXTSPLIT(GC79,","))&amp;",",","&amp;SUBSTITUTE(input_modality," ","")&amp;",")))=COUNTA(TEXTSPLIT(GC79,",")))),IF(GE79="",TRUE,IF(input_modality="",TRUE,SUMPRODUCT(--ISNUMBER(SEARCH(","&amp;TRIM(TEXTSPLIT(GE79,","))&amp;",",","&amp;SUBSTITUTE(input_modality," ","")&amp;",")))=0)),IF(GG79="",TRUE,IF(input_modality="",FALSE,SUMPRODUCT(--ISNUMBER(SEARCH(","&amp;TRIM(TEXTSPLIT(GG79,","))&amp;",",","&amp;SUBSTITUTE(input_modality," ","")&amp;",")))&gt;0)),IF(GI79="",TRUE,IF(input_modality="",FALSE,SUMPRODUCT(--ISNUMBER(SEARCH(","&amp;TRIM(TEXTSPLIT(GI79,","))&amp;",",","&amp;SUBSTITUTE(input_modality," ","")&amp;",")))=COUNTA(TEXTSPLIT(GI79,",")))))</f>
        <v/>
      </c>
      <c r="JL79" s="19">
        <f>AND(IF(GK79="",TRUE,IF(input_organizer="",FALSE,SUMPRODUCT(--ISNUMBER(SEARCH(","&amp;TRIM(TEXTSPLIT(GK79,","))&amp;",",","&amp;SUBSTITUTE(input_organizer," ","")&amp;",")))&gt;0)),IF(GM79="",TRUE,IF(input_organizer="",FALSE,SUMPRODUCT(--ISNUMBER(SEARCH(","&amp;TRIM(TEXTSPLIT(GM79,","))&amp;",",","&amp;SUBSTITUTE(input_organizer," ","")&amp;",")))=COUNTA(TEXTSPLIT(GM79,",")))),IF(GO79="",TRUE,IF(input_organizer="",TRUE,SUMPRODUCT(--ISNUMBER(SEARCH(","&amp;TRIM(TEXTSPLIT(GO79,","))&amp;",",","&amp;SUBSTITUTE(input_organizer," ","")&amp;",")))=0)),IF(GQ79="",TRUE,IF(input_organizer="",FALSE,SUMPRODUCT(--ISNUMBER(SEARCH(","&amp;TRIM(TEXTSPLIT(GQ79,","))&amp;",",","&amp;SUBSTITUTE(input_organizer," ","")&amp;",")))&gt;0)),IF(GS79="",TRUE,IF(input_organizer="",FALSE,SUMPRODUCT(--ISNUMBER(SEARCH(","&amp;TRIM(TEXTSPLIT(GS79,","))&amp;",",","&amp;SUBSTITUTE(input_organizer," ","")&amp;",")))=COUNTA(TEXTSPLIT(GS79,",")))))</f>
        <v/>
      </c>
      <c r="JM79" s="19">
        <f>AND(IF(GU79="",TRUE,IF(input_profile_type="",FALSE,SUMPRODUCT(--ISNUMBER(SEARCH(","&amp;TRIM(TEXTSPLIT(GU79,","))&amp;",",","&amp;SUBSTITUTE(input_profile_type," ","")&amp;",")))&gt;0)),IF(GW79="",TRUE,IF(input_profile_type="",FALSE,SUMPRODUCT(--ISNUMBER(SEARCH(","&amp;TRIM(TEXTSPLIT(GW79,","))&amp;",",","&amp;SUBSTITUTE(input_profile_type," ","")&amp;",")))=COUNTA(TEXTSPLIT(GW79,",")))),IF(GY79="",TRUE,IF(input_profile_type="",TRUE,SUMPRODUCT(--ISNUMBER(SEARCH(","&amp;TRIM(TEXTSPLIT(GY79,","))&amp;",",","&amp;SUBSTITUTE(input_profile_type," ","")&amp;",")))=0)),IF(HA79="",TRUE,IF(input_profile_type="",FALSE,SUMPRODUCT(--ISNUMBER(SEARCH(","&amp;TRIM(TEXTSPLIT(HA79,","))&amp;",",","&amp;SUBSTITUTE(input_profile_type," ","")&amp;",")))&gt;0)),IF(HC79="",TRUE,IF(input_profile_type="",FALSE,SUMPRODUCT(--ISNUMBER(SEARCH(","&amp;TRIM(TEXTSPLIT(HC79,","))&amp;",",","&amp;SUBSTITUTE(input_profile_type," ","")&amp;",")))=COUNTA(TEXTSPLIT(HC79,",")))))</f>
        <v/>
      </c>
      <c r="JN79" s="19">
        <f>AND(IF(HE79="",TRUE,IF(input_program="",FALSE,SUMPRODUCT(--ISNUMBER(SEARCH(","&amp;TRIM(TEXTSPLIT(HE79,","))&amp;",",","&amp;SUBSTITUTE(input_program," ","")&amp;",")))&gt;0)),IF(HG79="",TRUE,IF(input_program="",FALSE,SUMPRODUCT(--ISNUMBER(SEARCH(","&amp;TRIM(TEXTSPLIT(HG79,","))&amp;",",","&amp;SUBSTITUTE(input_program," ","")&amp;",")))=COUNTA(TEXTSPLIT(HG79,",")))),IF(HI79="",TRUE,IF(input_program="",TRUE,SUMPRODUCT(--ISNUMBER(SEARCH(","&amp;TRIM(TEXTSPLIT(HI79,","))&amp;",",","&amp;SUBSTITUTE(input_program," ","")&amp;",")))=0)),IF(HK79="",TRUE,IF(input_program="",FALSE,SUMPRODUCT(--ISNUMBER(SEARCH(","&amp;TRIM(TEXTSPLIT(HK79,","))&amp;",",","&amp;SUBSTITUTE(input_program," ","")&amp;",")))&gt;0)),IF(HM79="",TRUE,IF(input_program="",FALSE,SUMPRODUCT(--ISNUMBER(SEARCH(","&amp;TRIM(TEXTSPLIT(HM79,","))&amp;",",","&amp;SUBSTITUTE(input_program," ","")&amp;",")))=COUNTA(TEXTSPLIT(HM79,",")))))</f>
        <v/>
      </c>
      <c r="JO79" s="19">
        <f>AND(IF(HO79="",TRUE,IF(input_story_categories="",FALSE,SUMPRODUCT(--ISNUMBER(SEARCH(","&amp;TRIM(TEXTSPLIT(HO79,","))&amp;",",","&amp;SUBSTITUTE(input_story_categories," ","")&amp;",")))&gt;0)),IF(HQ79="",TRUE,IF(input_story_categories="",FALSE,SUMPRODUCT(--ISNUMBER(SEARCH(","&amp;TRIM(TEXTSPLIT(HQ79,","))&amp;",",","&amp;SUBSTITUTE(input_story_categories," ","")&amp;",")))=COUNTA(TEXTSPLIT(HQ79,",")))),IF(HS79="",TRUE,IF(input_story_categories="",TRUE,SUMPRODUCT(--ISNUMBER(SEARCH(","&amp;TRIM(TEXTSPLIT(HS79,","))&amp;",",","&amp;SUBSTITUTE(input_story_categories," ","")&amp;",")))=0)),IF(HU79="",TRUE,IF(input_story_categories="",FALSE,SUMPRODUCT(--ISNUMBER(SEARCH(","&amp;TRIM(TEXTSPLIT(HU79,","))&amp;",",","&amp;SUBSTITUTE(input_story_categories," ","")&amp;",")))&gt;0)),IF(HW79="",TRUE,IF(input_story_categories="",FALSE,SUMPRODUCT(--ISNUMBER(SEARCH(","&amp;TRIM(TEXTSPLIT(HW79,","))&amp;",",","&amp;SUBSTITUTE(input_story_categories," ","")&amp;",")))=COUNTA(TEXTSPLIT(HW79,",")))))</f>
        <v/>
      </c>
      <c r="JP79" s="19">
        <f>AND(IF(HY79="",TRUE,IF(input_story_type="",FALSE,SUMPRODUCT(--ISNUMBER(SEARCH(","&amp;TRIM(TEXTSPLIT(HY79,","))&amp;",",","&amp;SUBSTITUTE(input_story_type," ","")&amp;",")))&gt;0)),IF(IA79="",TRUE,IF(input_story_type="",FALSE,SUMPRODUCT(--ISNUMBER(SEARCH(","&amp;TRIM(TEXTSPLIT(IA79,","))&amp;",",","&amp;SUBSTITUTE(input_story_type," ","")&amp;",")))=COUNTA(TEXTSPLIT(IA79,",")))),IF(IC79="",TRUE,IF(input_story_type="",TRUE,SUMPRODUCT(--ISNUMBER(SEARCH(","&amp;TRIM(TEXTSPLIT(IC79,","))&amp;",",","&amp;SUBSTITUTE(input_story_type," ","")&amp;",")))=0)),IF(IE79="",TRUE,IF(input_story_type="",FALSE,SUMPRODUCT(--ISNUMBER(SEARCH(","&amp;TRIM(TEXTSPLIT(IE79,","))&amp;",",","&amp;SUBSTITUTE(input_story_type," ","")&amp;",")))&gt;0)),IF(IG79="",TRUE,IF(input_story_type="",FALSE,SUMPRODUCT(--ISNUMBER(SEARCH(","&amp;TRIM(TEXTSPLIT(IG79,","))&amp;",",","&amp;SUBSTITUTE(input_story_type," ","")&amp;",")))=COUNTA(TEXTSPLIT(IG79,",")))))</f>
        <v/>
      </c>
      <c r="JQ79" s="19">
        <f>AND(IF(II79="",TRUE,IF(input_topics="",FALSE,SUMPRODUCT(--ISNUMBER(SEARCH(","&amp;TRIM(TEXTSPLIT(II79,","))&amp;",",","&amp;SUBSTITUTE(input_topics," ","")&amp;",")))&gt;0)),IF(IK79="",TRUE,IF(input_topics="",FALSE,SUMPRODUCT(--ISNUMBER(SEARCH(","&amp;TRIM(TEXTSPLIT(IK79,","))&amp;",",","&amp;SUBSTITUTE(input_topics," ","")&amp;",")))=COUNTA(TEXTSPLIT(IK79,",")))),IF(IM79="",TRUE,IF(input_topics="",TRUE,SUMPRODUCT(--ISNUMBER(SEARCH(","&amp;TRIM(TEXTSPLIT(IM79,","))&amp;",",","&amp;SUBSTITUTE(input_topics," ","")&amp;",")))=0)),IF(IO79="",TRUE,IF(input_topics="",FALSE,SUMPRODUCT(--ISNUMBER(SEARCH(","&amp;TRIM(TEXTSPLIT(IO79,","))&amp;",",","&amp;SUBSTITUTE(input_topics," ","")&amp;",")))&gt;0)),IF(IQ79="",TRUE,IF(input_topics="",FALSE,SUMPRODUCT(--ISNUMBER(SEARCH(","&amp;TRIM(TEXTSPLIT(IQ79,","))&amp;",",","&amp;SUBSTITUTE(input_topics," ","")&amp;",")))=COUNTA(TEXTSPLIT(IQ79,",")))))</f>
        <v/>
      </c>
    </row>
    <row r="80">
      <c r="A80" s="24">
        <f>IF(NOT(IS80),"Excluded",IF(AND(IT80,IU80,IV80,IW80,IX80,IY80,IZ80,JA80,JB80,JC80,JD80,JE80,JF80,JG80,JH80,JI80,JJ80,JK80,JL80,JM80,JN80,JO80,JP80,JQ80),IF(I80&gt;0,"Eligible but limited","Will appear"),"Excluded"))</f>
        <v/>
      </c>
      <c r="B80" s="24" t="inlineStr">
        <is>
          <t>Blogs - Summary</t>
        </is>
      </c>
      <c r="C80" s="27" t="inlineStr">
        <is>
          <t>/the-som-experience/interests-and-industries/healthcare</t>
        </is>
      </c>
      <c r="D80" s="24" t="inlineStr">
        <is>
          <t>/the-som-experience/interests-and-industries/healthcare</t>
        </is>
      </c>
      <c r="E80" s="24" t="n">
        <v>1</v>
      </c>
      <c r="F80" s="24" t="inlineStr">
        <is>
          <t>story</t>
        </is>
      </c>
      <c r="G80" s="24" t="inlineStr">
        <is>
          <t>stories_mosaic_grid</t>
        </is>
      </c>
      <c r="H80" s="24" t="inlineStr">
        <is>
          <t>embed_blog_summary</t>
        </is>
      </c>
      <c r="I80" s="24" t="n">
        <v>1</v>
      </c>
      <c r="J80" s="24" t="inlineStr">
        <is>
          <t>View/config rules</t>
        </is>
      </c>
      <c r="K80" s="24" t="inlineStr">
        <is>
          <t>Page placement</t>
        </is>
      </c>
      <c r="L80" s="24" t="inlineStr">
        <is>
          <t>Content type: story; Needs any Story Type: Blog (974); Limited to 1 item(s); Source: View/config rules</t>
        </is>
      </c>
      <c r="HY80" s="19" t="inlineStr">
        <is>
          <t>974</t>
        </is>
      </c>
      <c r="HZ80" s="19" t="inlineStr">
        <is>
          <t>Blog (974)</t>
        </is>
      </c>
      <c r="IS80" s="19">
        <f>IF(input_content_type="",FALSE,ISNUMBER(SEARCH(","&amp;LOWER(input_content_type)&amp;",",","&amp;LOWER(SUBSTITUTE(F80," ",""))&amp;",")))</f>
        <v/>
      </c>
      <c r="IT80" s="19">
        <f>AND(IF(M80="",TRUE,IF(input_affiliations="",FALSE,SUMPRODUCT(--ISNUMBER(SEARCH(","&amp;TRIM(TEXTSPLIT(M80,","))&amp;",",","&amp;SUBSTITUTE(input_affiliations," ","")&amp;",")))&gt;0)),IF(O80="",TRUE,IF(input_affiliations="",FALSE,SUMPRODUCT(--ISNUMBER(SEARCH(","&amp;TRIM(TEXTSPLIT(O80,","))&amp;",",","&amp;SUBSTITUTE(input_affiliations," ","")&amp;",")))=COUNTA(TEXTSPLIT(O80,",")))),IF(Q80="",TRUE,IF(input_affiliations="",TRUE,SUMPRODUCT(--ISNUMBER(SEARCH(","&amp;TRIM(TEXTSPLIT(Q80,","))&amp;",",","&amp;SUBSTITUTE(input_affiliations," ","")&amp;",")))=0)),IF(S80="",TRUE,IF(input_affiliations="",FALSE,SUMPRODUCT(--ISNUMBER(SEARCH(","&amp;TRIM(TEXTSPLIT(S80,","))&amp;",",","&amp;SUBSTITUTE(input_affiliations," ","")&amp;",")))&gt;0)),IF(U80="",TRUE,IF(input_affiliations="",FALSE,SUMPRODUCT(--ISNUMBER(SEARCH(","&amp;TRIM(TEXTSPLIT(U80,","))&amp;",",","&amp;SUBSTITUTE(input_affiliations," ","")&amp;",")))=COUNTA(TEXTSPLIT(U80,",")))))</f>
        <v/>
      </c>
      <c r="IU80" s="19">
        <f>AND(IF(W80="",TRUE,IF(input_announcement_category="",FALSE,SUMPRODUCT(--ISNUMBER(SEARCH(","&amp;TRIM(TEXTSPLIT(W80,","))&amp;",",","&amp;SUBSTITUTE(input_announcement_category," ","")&amp;",")))&gt;0)),IF(Y80="",TRUE,IF(input_announcement_category="",FALSE,SUMPRODUCT(--ISNUMBER(SEARCH(","&amp;TRIM(TEXTSPLIT(Y80,","))&amp;",",","&amp;SUBSTITUTE(input_announcement_category," ","")&amp;",")))=COUNTA(TEXTSPLIT(Y80,",")))),IF(AA80="",TRUE,IF(input_announcement_category="",TRUE,SUMPRODUCT(--ISNUMBER(SEARCH(","&amp;TRIM(TEXTSPLIT(AA80,","))&amp;",",","&amp;SUBSTITUTE(input_announcement_category," ","")&amp;",")))=0)),IF(AC80="",TRUE,IF(input_announcement_category="",FALSE,SUMPRODUCT(--ISNUMBER(SEARCH(","&amp;TRIM(TEXTSPLIT(AC80,","))&amp;",",","&amp;SUBSTITUTE(input_announcement_category," ","")&amp;",")))&gt;0)),IF(AE80="",TRUE,IF(input_announcement_category="",FALSE,SUMPRODUCT(--ISNUMBER(SEARCH(","&amp;TRIM(TEXTSPLIT(AE80,","))&amp;",",","&amp;SUBSTITUTE(input_announcement_category," ","")&amp;",")))=COUNTA(TEXTSPLIT(AE80,",")))))</f>
        <v/>
      </c>
      <c r="IV80" s="19">
        <f>AND(IF(AG80="",TRUE,IF(input_area_of_focus="",FALSE,SUMPRODUCT(--ISNUMBER(SEARCH(","&amp;TRIM(TEXTSPLIT(AG80,","))&amp;",",","&amp;SUBSTITUTE(input_area_of_focus," ","")&amp;",")))&gt;0)),IF(AI80="",TRUE,IF(input_area_of_focus="",FALSE,SUMPRODUCT(--ISNUMBER(SEARCH(","&amp;TRIM(TEXTSPLIT(AI80,","))&amp;",",","&amp;SUBSTITUTE(input_area_of_focus," ","")&amp;",")))=COUNTA(TEXTSPLIT(AI80,",")))),IF(AK80="",TRUE,IF(input_area_of_focus="",TRUE,SUMPRODUCT(--ISNUMBER(SEARCH(","&amp;TRIM(TEXTSPLIT(AK80,","))&amp;",",","&amp;SUBSTITUTE(input_area_of_focus," ","")&amp;",")))=0)),IF(AM80="",TRUE,IF(input_area_of_focus="",FALSE,SUMPRODUCT(--ISNUMBER(SEARCH(","&amp;TRIM(TEXTSPLIT(AM80,","))&amp;",",","&amp;SUBSTITUTE(input_area_of_focus," ","")&amp;",")))&gt;0)),IF(AO80="",TRUE,IF(input_area_of_focus="",FALSE,SUMPRODUCT(--ISNUMBER(SEARCH(","&amp;TRIM(TEXTSPLIT(AO80,","))&amp;",",","&amp;SUBSTITUTE(input_area_of_focus," ","")&amp;",")))=COUNTA(TEXTSPLIT(AO80,",")))))</f>
        <v/>
      </c>
      <c r="IW80" s="19">
        <f>AND(IF(AQ80="",TRUE,IF(input_audience="",FALSE,SUMPRODUCT(--ISNUMBER(SEARCH(","&amp;TRIM(TEXTSPLIT(AQ80,","))&amp;",",","&amp;SUBSTITUTE(input_audience," ","")&amp;",")))&gt;0)),IF(AS80="",TRUE,IF(input_audience="",FALSE,SUMPRODUCT(--ISNUMBER(SEARCH(","&amp;TRIM(TEXTSPLIT(AS80,","))&amp;",",","&amp;SUBSTITUTE(input_audience," ","")&amp;",")))=COUNTA(TEXTSPLIT(AS80,",")))),IF(AU80="",TRUE,IF(input_audience="",TRUE,SUMPRODUCT(--ISNUMBER(SEARCH(","&amp;TRIM(TEXTSPLIT(AU80,","))&amp;",",","&amp;SUBSTITUTE(input_audience," ","")&amp;",")))=0)),IF(AW80="",TRUE,IF(input_audience="",FALSE,SUMPRODUCT(--ISNUMBER(SEARCH(","&amp;TRIM(TEXTSPLIT(AW80,","))&amp;",",","&amp;SUBSTITUTE(input_audience," ","")&amp;",")))&gt;0)),IF(AY80="",TRUE,IF(input_audience="",FALSE,SUMPRODUCT(--ISNUMBER(SEARCH(","&amp;TRIM(TEXTSPLIT(AY80,","))&amp;",",","&amp;SUBSTITUTE(input_audience," ","")&amp;",")))=COUNTA(TEXTSPLIT(AY80,",")))))</f>
        <v/>
      </c>
      <c r="IX80" s="19">
        <f>AND(IF(BA80="",TRUE,IF(input_challenge_opportunities="",FALSE,SUMPRODUCT(--ISNUMBER(SEARCH(","&amp;TRIM(TEXTSPLIT(BA80,","))&amp;",",","&amp;SUBSTITUTE(input_challenge_opportunities," ","")&amp;",")))&gt;0)),IF(BC80="",TRUE,IF(input_challenge_opportunities="",FALSE,SUMPRODUCT(--ISNUMBER(SEARCH(","&amp;TRIM(TEXTSPLIT(BC80,","))&amp;",",","&amp;SUBSTITUTE(input_challenge_opportunities," ","")&amp;",")))=COUNTA(TEXTSPLIT(BC80,",")))),IF(BE80="",TRUE,IF(input_challenge_opportunities="",TRUE,SUMPRODUCT(--ISNUMBER(SEARCH(","&amp;TRIM(TEXTSPLIT(BE80,","))&amp;",",","&amp;SUBSTITUTE(input_challenge_opportunities," ","")&amp;",")))=0)),IF(BG80="",TRUE,IF(input_challenge_opportunities="",FALSE,SUMPRODUCT(--ISNUMBER(SEARCH(","&amp;TRIM(TEXTSPLIT(BG80,","))&amp;",",","&amp;SUBSTITUTE(input_challenge_opportunities," ","")&amp;",")))&gt;0)),IF(BI80="",TRUE,IF(input_challenge_opportunities="",FALSE,SUMPRODUCT(--ISNUMBER(SEARCH(","&amp;TRIM(TEXTSPLIT(BI80,","))&amp;",",","&amp;SUBSTITUTE(input_challenge_opportunities," ","")&amp;",")))=COUNTA(TEXTSPLIT(BI80,",")))))</f>
        <v/>
      </c>
      <c r="IY80" s="19">
        <f>AND(IF(BK80="",TRUE,IF(input_context="",FALSE,SUMPRODUCT(--ISNUMBER(SEARCH(","&amp;TRIM(TEXTSPLIT(BK80,","))&amp;",",","&amp;SUBSTITUTE(input_context," ","")&amp;",")))&gt;0)),IF(BM80="",TRUE,IF(input_context="",FALSE,SUMPRODUCT(--ISNUMBER(SEARCH(","&amp;TRIM(TEXTSPLIT(BM80,","))&amp;",",","&amp;SUBSTITUTE(input_context," ","")&amp;",")))=COUNTA(TEXTSPLIT(BM80,",")))),IF(BO80="",TRUE,IF(input_context="",TRUE,SUMPRODUCT(--ISNUMBER(SEARCH(","&amp;TRIM(TEXTSPLIT(BO80,","))&amp;",",","&amp;SUBSTITUTE(input_context," ","")&amp;",")))=0)),IF(BQ80="",TRUE,IF(input_context="",FALSE,SUMPRODUCT(--ISNUMBER(SEARCH(","&amp;TRIM(TEXTSPLIT(BQ80,","))&amp;",",","&amp;SUBSTITUTE(input_context," ","")&amp;",")))&gt;0)),IF(BS80="",TRUE,IF(input_context="",FALSE,SUMPRODUCT(--ISNUMBER(SEARCH(","&amp;TRIM(TEXTSPLIT(BS80,","))&amp;",",","&amp;SUBSTITUTE(input_context," ","")&amp;",")))=COUNTA(TEXTSPLIT(BS80,",")))))</f>
        <v/>
      </c>
      <c r="IZ80" s="19">
        <f>AND(IF(BU80="",TRUE,IF(input_enews_announcement_type="",FALSE,SUMPRODUCT(--ISNUMBER(SEARCH(","&amp;TRIM(TEXTSPLIT(BU80,","))&amp;",",","&amp;SUBSTITUTE(input_enews_announcement_type," ","")&amp;",")))&gt;0)),IF(BW80="",TRUE,IF(input_enews_announcement_type="",FALSE,SUMPRODUCT(--ISNUMBER(SEARCH(","&amp;TRIM(TEXTSPLIT(BW80,","))&amp;",",","&amp;SUBSTITUTE(input_enews_announcement_type," ","")&amp;",")))=COUNTA(TEXTSPLIT(BW80,",")))),IF(BY80="",TRUE,IF(input_enews_announcement_type="",TRUE,SUMPRODUCT(--ISNUMBER(SEARCH(","&amp;TRIM(TEXTSPLIT(BY80,","))&amp;",",","&amp;SUBSTITUTE(input_enews_announcement_type," ","")&amp;",")))=0)),IF(CA80="",TRUE,IF(input_enews_announcement_type="",FALSE,SUMPRODUCT(--ISNUMBER(SEARCH(","&amp;TRIM(TEXTSPLIT(CA80,","))&amp;",",","&amp;SUBSTITUTE(input_enews_announcement_type," ","")&amp;",")))&gt;0)),IF(CC80="",TRUE,IF(input_enews_announcement_type="",FALSE,SUMPRODUCT(--ISNUMBER(SEARCH(","&amp;TRIM(TEXTSPLIT(CC80,","))&amp;",",","&amp;SUBSTITUTE(input_enews_announcement_type," ","")&amp;",")))=COUNTA(TEXTSPLIT(CC80,",")))))</f>
        <v/>
      </c>
      <c r="JA80" s="19">
        <f>AND(IF(CE80="",TRUE,IF(input_enews_audience="",FALSE,SUMPRODUCT(--ISNUMBER(SEARCH(","&amp;TRIM(TEXTSPLIT(CE80,","))&amp;",",","&amp;SUBSTITUTE(input_enews_audience," ","")&amp;",")))&gt;0)),IF(CG80="",TRUE,IF(input_enews_audience="",FALSE,SUMPRODUCT(--ISNUMBER(SEARCH(","&amp;TRIM(TEXTSPLIT(CG80,","))&amp;",",","&amp;SUBSTITUTE(input_enews_audience," ","")&amp;",")))=COUNTA(TEXTSPLIT(CG80,",")))),IF(CI80="",TRUE,IF(input_enews_audience="",TRUE,SUMPRODUCT(--ISNUMBER(SEARCH(","&amp;TRIM(TEXTSPLIT(CI80,","))&amp;",",","&amp;SUBSTITUTE(input_enews_audience," ","")&amp;",")))=0)),IF(CK80="",TRUE,IF(input_enews_audience="",FALSE,SUMPRODUCT(--ISNUMBER(SEARCH(","&amp;TRIM(TEXTSPLIT(CK80,","))&amp;",",","&amp;SUBSTITUTE(input_enews_audience," ","")&amp;",")))&gt;0)),IF(CM80="",TRUE,IF(input_enews_audience="",FALSE,SUMPRODUCT(--ISNUMBER(SEARCH(","&amp;TRIM(TEXTSPLIT(CM80,","))&amp;",",","&amp;SUBSTITUTE(input_enews_audience," ","")&amp;",")))=COUNTA(TEXTSPLIT(CM80,",")))))</f>
        <v/>
      </c>
      <c r="JB80" s="19">
        <f>AND(IF(CO80="",TRUE,IF(input_event_location="",FALSE,SUMPRODUCT(--ISNUMBER(SEARCH(","&amp;TRIM(TEXTSPLIT(CO80,","))&amp;",",","&amp;SUBSTITUTE(input_event_location," ","")&amp;",")))&gt;0)),IF(CQ80="",TRUE,IF(input_event_location="",FALSE,SUMPRODUCT(--ISNUMBER(SEARCH(","&amp;TRIM(TEXTSPLIT(CQ80,","))&amp;",",","&amp;SUBSTITUTE(input_event_location," ","")&amp;",")))=COUNTA(TEXTSPLIT(CQ80,",")))),IF(CS80="",TRUE,IF(input_event_location="",TRUE,SUMPRODUCT(--ISNUMBER(SEARCH(","&amp;TRIM(TEXTSPLIT(CS80,","))&amp;",",","&amp;SUBSTITUTE(input_event_location," ","")&amp;",")))=0)),IF(CU80="",TRUE,IF(input_event_location="",FALSE,SUMPRODUCT(--ISNUMBER(SEARCH(","&amp;TRIM(TEXTSPLIT(CU80,","))&amp;",",","&amp;SUBSTITUTE(input_event_location," ","")&amp;",")))&gt;0)),IF(CW80="",TRUE,IF(input_event_location="",FALSE,SUMPRODUCT(--ISNUMBER(SEARCH(","&amp;TRIM(TEXTSPLIT(CW80,","))&amp;",",","&amp;SUBSTITUTE(input_event_location," ","")&amp;",")))=COUNTA(TEXTSPLIT(CW80,",")))))</f>
        <v/>
      </c>
      <c r="JC80" s="19">
        <f>AND(IF(CY80="",TRUE,IF(input_event_type="",FALSE,SUMPRODUCT(--ISNUMBER(SEARCH(","&amp;TRIM(TEXTSPLIT(CY80,","))&amp;",",","&amp;SUBSTITUTE(input_event_type," ","")&amp;",")))&gt;0)),IF(DA80="",TRUE,IF(input_event_type="",FALSE,SUMPRODUCT(--ISNUMBER(SEARCH(","&amp;TRIM(TEXTSPLIT(DA80,","))&amp;",",","&amp;SUBSTITUTE(input_event_type," ","")&amp;",")))=COUNTA(TEXTSPLIT(DA80,",")))),IF(DC80="",TRUE,IF(input_event_type="",TRUE,SUMPRODUCT(--ISNUMBER(SEARCH(","&amp;TRIM(TEXTSPLIT(DC80,","))&amp;",",","&amp;SUBSTITUTE(input_event_type," ","")&amp;",")))=0)),IF(DE80="",TRUE,IF(input_event_type="",FALSE,SUMPRODUCT(--ISNUMBER(SEARCH(","&amp;TRIM(TEXTSPLIT(DE80,","))&amp;",",","&amp;SUBSTITUTE(input_event_type," ","")&amp;",")))&gt;0)),IF(DG80="",TRUE,IF(input_event_type="",FALSE,SUMPRODUCT(--ISNUMBER(SEARCH(","&amp;TRIM(TEXTSPLIT(DG80,","))&amp;",",","&amp;SUBSTITUTE(input_event_type," ","")&amp;",")))=COUNTA(TEXTSPLIT(DG80,",")))))</f>
        <v/>
      </c>
      <c r="JD80" s="19">
        <f>AND(IF(DI80="",TRUE,IF(input_executive_education_focus="",FALSE,SUMPRODUCT(--ISNUMBER(SEARCH(","&amp;TRIM(TEXTSPLIT(DI80,","))&amp;",",","&amp;SUBSTITUTE(input_executive_education_focus," ","")&amp;",")))&gt;0)),IF(DK80="",TRUE,IF(input_executive_education_focus="",FALSE,SUMPRODUCT(--ISNUMBER(SEARCH(","&amp;TRIM(TEXTSPLIT(DK80,","))&amp;",",","&amp;SUBSTITUTE(input_executive_education_focus," ","")&amp;",")))=COUNTA(TEXTSPLIT(DK80,",")))),IF(DM80="",TRUE,IF(input_executive_education_focus="",TRUE,SUMPRODUCT(--ISNUMBER(SEARCH(","&amp;TRIM(TEXTSPLIT(DM80,","))&amp;",",","&amp;SUBSTITUTE(input_executive_education_focus," ","")&amp;",")))=0)),IF(DO80="",TRUE,IF(input_executive_education_focus="",FALSE,SUMPRODUCT(--ISNUMBER(SEARCH(","&amp;TRIM(TEXTSPLIT(DO80,","))&amp;",",","&amp;SUBSTITUTE(input_executive_education_focus," ","")&amp;",")))&gt;0)),IF(DQ80="",TRUE,IF(input_executive_education_focus="",FALSE,SUMPRODUCT(--ISNUMBER(SEARCH(","&amp;TRIM(TEXTSPLIT(DQ80,","))&amp;",",","&amp;SUBSTITUTE(input_executive_education_focus," ","")&amp;",")))=COUNTA(TEXTSPLIT(DQ80,",")))))</f>
        <v/>
      </c>
      <c r="JE80" s="19">
        <f>AND(IF(DS80="",TRUE,IF(input_faculty_category="",FALSE,SUMPRODUCT(--ISNUMBER(SEARCH(","&amp;TRIM(TEXTSPLIT(DS80,","))&amp;",",","&amp;SUBSTITUTE(input_faculty_category," ","")&amp;",")))&gt;0)),IF(DU80="",TRUE,IF(input_faculty_category="",FALSE,SUMPRODUCT(--ISNUMBER(SEARCH(","&amp;TRIM(TEXTSPLIT(DU80,","))&amp;",",","&amp;SUBSTITUTE(input_faculty_category," ","")&amp;",")))=COUNTA(TEXTSPLIT(DU80,",")))),IF(DW80="",TRUE,IF(input_faculty_category="",TRUE,SUMPRODUCT(--ISNUMBER(SEARCH(","&amp;TRIM(TEXTSPLIT(DW80,","))&amp;",",","&amp;SUBSTITUTE(input_faculty_category," ","")&amp;",")))=0)),IF(DY80="",TRUE,IF(input_faculty_category="",FALSE,SUMPRODUCT(--ISNUMBER(SEARCH(","&amp;TRIM(TEXTSPLIT(DY80,","))&amp;",",","&amp;SUBSTITUTE(input_faculty_category," ","")&amp;",")))&gt;0)),IF(EA80="",TRUE,IF(input_faculty_category="",FALSE,SUMPRODUCT(--ISNUMBER(SEARCH(","&amp;TRIM(TEXTSPLIT(EA80,","))&amp;",",","&amp;SUBSTITUTE(input_faculty_category," ","")&amp;",")))=COUNTA(TEXTSPLIT(EA80,",")))))</f>
        <v/>
      </c>
      <c r="JF80" s="19">
        <f>AND(IF(EC80="",TRUE,IF(input_faculty_discipline="",FALSE,SUMPRODUCT(--ISNUMBER(SEARCH(","&amp;TRIM(TEXTSPLIT(EC80,","))&amp;",",","&amp;SUBSTITUTE(input_faculty_discipline," ","")&amp;",")))&gt;0)),IF(EE80="",TRUE,IF(input_faculty_discipline="",FALSE,SUMPRODUCT(--ISNUMBER(SEARCH(","&amp;TRIM(TEXTSPLIT(EE80,","))&amp;",",","&amp;SUBSTITUTE(input_faculty_discipline," ","")&amp;",")))=COUNTA(TEXTSPLIT(EE80,",")))),IF(EG80="",TRUE,IF(input_faculty_discipline="",TRUE,SUMPRODUCT(--ISNUMBER(SEARCH(","&amp;TRIM(TEXTSPLIT(EG80,","))&amp;",",","&amp;SUBSTITUTE(input_faculty_discipline," ","")&amp;",")))=0)),IF(EI80="",TRUE,IF(input_faculty_discipline="",FALSE,SUMPRODUCT(--ISNUMBER(SEARCH(","&amp;TRIM(TEXTSPLIT(EI80,","))&amp;",",","&amp;SUBSTITUTE(input_faculty_discipline," ","")&amp;",")))&gt;0)),IF(EK80="",TRUE,IF(input_faculty_discipline="",FALSE,SUMPRODUCT(--ISNUMBER(SEARCH(","&amp;TRIM(TEXTSPLIT(EK80,","))&amp;",",","&amp;SUBSTITUTE(input_faculty_discipline," ","")&amp;",")))=COUNTA(TEXTSPLIT(EK80,",")))))</f>
        <v/>
      </c>
      <c r="JG80" s="19">
        <f>AND(IF(EM80="",TRUE,IF(input_faculty_expertise="",FALSE,SUMPRODUCT(--ISNUMBER(SEARCH(","&amp;TRIM(TEXTSPLIT(EM80,","))&amp;",",","&amp;SUBSTITUTE(input_faculty_expertise," ","")&amp;",")))&gt;0)),IF(EO80="",TRUE,IF(input_faculty_expertise="",FALSE,SUMPRODUCT(--ISNUMBER(SEARCH(","&amp;TRIM(TEXTSPLIT(EO80,","))&amp;",",","&amp;SUBSTITUTE(input_faculty_expertise," ","")&amp;",")))=COUNTA(TEXTSPLIT(EO80,",")))),IF(EQ80="",TRUE,IF(input_faculty_expertise="",TRUE,SUMPRODUCT(--ISNUMBER(SEARCH(","&amp;TRIM(TEXTSPLIT(EQ80,","))&amp;",",","&amp;SUBSTITUTE(input_faculty_expertise," ","")&amp;",")))=0)),IF(ES80="",TRUE,IF(input_faculty_expertise="",FALSE,SUMPRODUCT(--ISNUMBER(SEARCH(","&amp;TRIM(TEXTSPLIT(ES80,","))&amp;",",","&amp;SUBSTITUTE(input_faculty_expertise," ","")&amp;",")))&gt;0)),IF(EU80="",TRUE,IF(input_faculty_expertise="",FALSE,SUMPRODUCT(--ISNUMBER(SEARCH(","&amp;TRIM(TEXTSPLIT(EU80,","))&amp;",",","&amp;SUBSTITUTE(input_faculty_expertise," ","")&amp;",")))=COUNTA(TEXTSPLIT(EU80,",")))))</f>
        <v/>
      </c>
      <c r="JH80" s="19">
        <f>AND(IF(EW80="",TRUE,IF(input_global_network_school="",FALSE,SUMPRODUCT(--ISNUMBER(SEARCH(","&amp;TRIM(TEXTSPLIT(EW80,","))&amp;",",","&amp;SUBSTITUTE(input_global_network_school," ","")&amp;",")))&gt;0)),IF(EY80="",TRUE,IF(input_global_network_school="",FALSE,SUMPRODUCT(--ISNUMBER(SEARCH(","&amp;TRIM(TEXTSPLIT(EY80,","))&amp;",",","&amp;SUBSTITUTE(input_global_network_school," ","")&amp;",")))=COUNTA(TEXTSPLIT(EY80,",")))),IF(FA80="",TRUE,IF(input_global_network_school="",TRUE,SUMPRODUCT(--ISNUMBER(SEARCH(","&amp;TRIM(TEXTSPLIT(FA80,","))&amp;",",","&amp;SUBSTITUTE(input_global_network_school," ","")&amp;",")))=0)),IF(FC80="",TRUE,IF(input_global_network_school="",FALSE,SUMPRODUCT(--ISNUMBER(SEARCH(","&amp;TRIM(TEXTSPLIT(FC80,","))&amp;",",","&amp;SUBSTITUTE(input_global_network_school," ","")&amp;",")))&gt;0)),IF(FE80="",TRUE,IF(input_global_network_school="",FALSE,SUMPRODUCT(--ISNUMBER(SEARCH(","&amp;TRIM(TEXTSPLIT(FE80,","))&amp;",",","&amp;SUBSTITUTE(input_global_network_school," ","")&amp;",")))=COUNTA(TEXTSPLIT(FE80,",")))))</f>
        <v/>
      </c>
      <c r="JI80" s="19">
        <f>AND(IF(FG80="",TRUE,IF(input_industry="",FALSE,SUMPRODUCT(--ISNUMBER(SEARCH(","&amp;TRIM(TEXTSPLIT(FG80,","))&amp;",",","&amp;SUBSTITUTE(input_industry," ","")&amp;",")))&gt;0)),IF(FI80="",TRUE,IF(input_industry="",FALSE,SUMPRODUCT(--ISNUMBER(SEARCH(","&amp;TRIM(TEXTSPLIT(FI80,","))&amp;",",","&amp;SUBSTITUTE(input_industry," ","")&amp;",")))=COUNTA(TEXTSPLIT(FI80,",")))),IF(FK80="",TRUE,IF(input_industry="",TRUE,SUMPRODUCT(--ISNUMBER(SEARCH(","&amp;TRIM(TEXTSPLIT(FK80,","))&amp;",",","&amp;SUBSTITUTE(input_industry," ","")&amp;",")))=0)),IF(FM80="",TRUE,IF(input_industry="",FALSE,SUMPRODUCT(--ISNUMBER(SEARCH(","&amp;TRIM(TEXTSPLIT(FM80,","))&amp;",",","&amp;SUBSTITUTE(input_industry," ","")&amp;",")))&gt;0)),IF(FO80="",TRUE,IF(input_industry="",FALSE,SUMPRODUCT(--ISNUMBER(SEARCH(","&amp;TRIM(TEXTSPLIT(FO80,","))&amp;",",","&amp;SUBSTITUTE(input_industry," ","")&amp;",")))=COUNTA(TEXTSPLIT(FO80,",")))))</f>
        <v/>
      </c>
      <c r="JJ80" s="19">
        <f>AND(IF(FQ80="",TRUE,IF(input_location="",FALSE,SUMPRODUCT(--ISNUMBER(SEARCH(","&amp;TRIM(TEXTSPLIT(FQ80,","))&amp;",",","&amp;SUBSTITUTE(input_location," ","")&amp;",")))&gt;0)),IF(FS80="",TRUE,IF(input_location="",FALSE,SUMPRODUCT(--ISNUMBER(SEARCH(","&amp;TRIM(TEXTSPLIT(FS80,","))&amp;",",","&amp;SUBSTITUTE(input_location," ","")&amp;",")))=COUNTA(TEXTSPLIT(FS80,",")))),IF(FU80="",TRUE,IF(input_location="",TRUE,SUMPRODUCT(--ISNUMBER(SEARCH(","&amp;TRIM(TEXTSPLIT(FU80,","))&amp;",",","&amp;SUBSTITUTE(input_location," ","")&amp;",")))=0)),IF(FW80="",TRUE,IF(input_location="",FALSE,SUMPRODUCT(--ISNUMBER(SEARCH(","&amp;TRIM(TEXTSPLIT(FW80,","))&amp;",",","&amp;SUBSTITUTE(input_location," ","")&amp;",")))&gt;0)),IF(FY80="",TRUE,IF(input_location="",FALSE,SUMPRODUCT(--ISNUMBER(SEARCH(","&amp;TRIM(TEXTSPLIT(FY80,","))&amp;",",","&amp;SUBSTITUTE(input_location," ","")&amp;",")))=COUNTA(TEXTSPLIT(FY80,",")))))</f>
        <v/>
      </c>
      <c r="JK80" s="19">
        <f>AND(IF(GA80="",TRUE,IF(input_modality="",FALSE,SUMPRODUCT(--ISNUMBER(SEARCH(","&amp;TRIM(TEXTSPLIT(GA80,","))&amp;",",","&amp;SUBSTITUTE(input_modality," ","")&amp;",")))&gt;0)),IF(GC80="",TRUE,IF(input_modality="",FALSE,SUMPRODUCT(--ISNUMBER(SEARCH(","&amp;TRIM(TEXTSPLIT(GC80,","))&amp;",",","&amp;SUBSTITUTE(input_modality," ","")&amp;",")))=COUNTA(TEXTSPLIT(GC80,",")))),IF(GE80="",TRUE,IF(input_modality="",TRUE,SUMPRODUCT(--ISNUMBER(SEARCH(","&amp;TRIM(TEXTSPLIT(GE80,","))&amp;",",","&amp;SUBSTITUTE(input_modality," ","")&amp;",")))=0)),IF(GG80="",TRUE,IF(input_modality="",FALSE,SUMPRODUCT(--ISNUMBER(SEARCH(","&amp;TRIM(TEXTSPLIT(GG80,","))&amp;",",","&amp;SUBSTITUTE(input_modality," ","")&amp;",")))&gt;0)),IF(GI80="",TRUE,IF(input_modality="",FALSE,SUMPRODUCT(--ISNUMBER(SEARCH(","&amp;TRIM(TEXTSPLIT(GI80,","))&amp;",",","&amp;SUBSTITUTE(input_modality," ","")&amp;",")))=COUNTA(TEXTSPLIT(GI80,",")))))</f>
        <v/>
      </c>
      <c r="JL80" s="19">
        <f>AND(IF(GK80="",TRUE,IF(input_organizer="",FALSE,SUMPRODUCT(--ISNUMBER(SEARCH(","&amp;TRIM(TEXTSPLIT(GK80,","))&amp;",",","&amp;SUBSTITUTE(input_organizer," ","")&amp;",")))&gt;0)),IF(GM80="",TRUE,IF(input_organizer="",FALSE,SUMPRODUCT(--ISNUMBER(SEARCH(","&amp;TRIM(TEXTSPLIT(GM80,","))&amp;",",","&amp;SUBSTITUTE(input_organizer," ","")&amp;",")))=COUNTA(TEXTSPLIT(GM80,",")))),IF(GO80="",TRUE,IF(input_organizer="",TRUE,SUMPRODUCT(--ISNUMBER(SEARCH(","&amp;TRIM(TEXTSPLIT(GO80,","))&amp;",",","&amp;SUBSTITUTE(input_organizer," ","")&amp;",")))=0)),IF(GQ80="",TRUE,IF(input_organizer="",FALSE,SUMPRODUCT(--ISNUMBER(SEARCH(","&amp;TRIM(TEXTSPLIT(GQ80,","))&amp;",",","&amp;SUBSTITUTE(input_organizer," ","")&amp;",")))&gt;0)),IF(GS80="",TRUE,IF(input_organizer="",FALSE,SUMPRODUCT(--ISNUMBER(SEARCH(","&amp;TRIM(TEXTSPLIT(GS80,","))&amp;",",","&amp;SUBSTITUTE(input_organizer," ","")&amp;",")))=COUNTA(TEXTSPLIT(GS80,",")))))</f>
        <v/>
      </c>
      <c r="JM80" s="19">
        <f>AND(IF(GU80="",TRUE,IF(input_profile_type="",FALSE,SUMPRODUCT(--ISNUMBER(SEARCH(","&amp;TRIM(TEXTSPLIT(GU80,","))&amp;",",","&amp;SUBSTITUTE(input_profile_type," ","")&amp;",")))&gt;0)),IF(GW80="",TRUE,IF(input_profile_type="",FALSE,SUMPRODUCT(--ISNUMBER(SEARCH(","&amp;TRIM(TEXTSPLIT(GW80,","))&amp;",",","&amp;SUBSTITUTE(input_profile_type," ","")&amp;",")))=COUNTA(TEXTSPLIT(GW80,",")))),IF(GY80="",TRUE,IF(input_profile_type="",TRUE,SUMPRODUCT(--ISNUMBER(SEARCH(","&amp;TRIM(TEXTSPLIT(GY80,","))&amp;",",","&amp;SUBSTITUTE(input_profile_type," ","")&amp;",")))=0)),IF(HA80="",TRUE,IF(input_profile_type="",FALSE,SUMPRODUCT(--ISNUMBER(SEARCH(","&amp;TRIM(TEXTSPLIT(HA80,","))&amp;",",","&amp;SUBSTITUTE(input_profile_type," ","")&amp;",")))&gt;0)),IF(HC80="",TRUE,IF(input_profile_type="",FALSE,SUMPRODUCT(--ISNUMBER(SEARCH(","&amp;TRIM(TEXTSPLIT(HC80,","))&amp;",",","&amp;SUBSTITUTE(input_profile_type," ","")&amp;",")))=COUNTA(TEXTSPLIT(HC80,",")))))</f>
        <v/>
      </c>
      <c r="JN80" s="19">
        <f>AND(IF(HE80="",TRUE,IF(input_program="",FALSE,SUMPRODUCT(--ISNUMBER(SEARCH(","&amp;TRIM(TEXTSPLIT(HE80,","))&amp;",",","&amp;SUBSTITUTE(input_program," ","")&amp;",")))&gt;0)),IF(HG80="",TRUE,IF(input_program="",FALSE,SUMPRODUCT(--ISNUMBER(SEARCH(","&amp;TRIM(TEXTSPLIT(HG80,","))&amp;",",","&amp;SUBSTITUTE(input_program," ","")&amp;",")))=COUNTA(TEXTSPLIT(HG80,",")))),IF(HI80="",TRUE,IF(input_program="",TRUE,SUMPRODUCT(--ISNUMBER(SEARCH(","&amp;TRIM(TEXTSPLIT(HI80,","))&amp;",",","&amp;SUBSTITUTE(input_program," ","")&amp;",")))=0)),IF(HK80="",TRUE,IF(input_program="",FALSE,SUMPRODUCT(--ISNUMBER(SEARCH(","&amp;TRIM(TEXTSPLIT(HK80,","))&amp;",",","&amp;SUBSTITUTE(input_program," ","")&amp;",")))&gt;0)),IF(HM80="",TRUE,IF(input_program="",FALSE,SUMPRODUCT(--ISNUMBER(SEARCH(","&amp;TRIM(TEXTSPLIT(HM80,","))&amp;",",","&amp;SUBSTITUTE(input_program," ","")&amp;",")))=COUNTA(TEXTSPLIT(HM80,",")))))</f>
        <v/>
      </c>
      <c r="JO80" s="19">
        <f>AND(IF(HO80="",TRUE,IF(input_story_categories="",FALSE,SUMPRODUCT(--ISNUMBER(SEARCH(","&amp;TRIM(TEXTSPLIT(HO80,","))&amp;",",","&amp;SUBSTITUTE(input_story_categories," ","")&amp;",")))&gt;0)),IF(HQ80="",TRUE,IF(input_story_categories="",FALSE,SUMPRODUCT(--ISNUMBER(SEARCH(","&amp;TRIM(TEXTSPLIT(HQ80,","))&amp;",",","&amp;SUBSTITUTE(input_story_categories," ","")&amp;",")))=COUNTA(TEXTSPLIT(HQ80,",")))),IF(HS80="",TRUE,IF(input_story_categories="",TRUE,SUMPRODUCT(--ISNUMBER(SEARCH(","&amp;TRIM(TEXTSPLIT(HS80,","))&amp;",",","&amp;SUBSTITUTE(input_story_categories," ","")&amp;",")))=0)),IF(HU80="",TRUE,IF(input_story_categories="",FALSE,SUMPRODUCT(--ISNUMBER(SEARCH(","&amp;TRIM(TEXTSPLIT(HU80,","))&amp;",",","&amp;SUBSTITUTE(input_story_categories," ","")&amp;",")))&gt;0)),IF(HW80="",TRUE,IF(input_story_categories="",FALSE,SUMPRODUCT(--ISNUMBER(SEARCH(","&amp;TRIM(TEXTSPLIT(HW80,","))&amp;",",","&amp;SUBSTITUTE(input_story_categories," ","")&amp;",")))=COUNTA(TEXTSPLIT(HW80,",")))))</f>
        <v/>
      </c>
      <c r="JP80" s="19">
        <f>AND(IF(HY80="",TRUE,IF(input_story_type="",FALSE,SUMPRODUCT(--ISNUMBER(SEARCH(","&amp;TRIM(TEXTSPLIT(HY80,","))&amp;",",","&amp;SUBSTITUTE(input_story_type," ","")&amp;",")))&gt;0)),IF(IA80="",TRUE,IF(input_story_type="",FALSE,SUMPRODUCT(--ISNUMBER(SEARCH(","&amp;TRIM(TEXTSPLIT(IA80,","))&amp;",",","&amp;SUBSTITUTE(input_story_type," ","")&amp;",")))=COUNTA(TEXTSPLIT(IA80,",")))),IF(IC80="",TRUE,IF(input_story_type="",TRUE,SUMPRODUCT(--ISNUMBER(SEARCH(","&amp;TRIM(TEXTSPLIT(IC80,","))&amp;",",","&amp;SUBSTITUTE(input_story_type," ","")&amp;",")))=0)),IF(IE80="",TRUE,IF(input_story_type="",FALSE,SUMPRODUCT(--ISNUMBER(SEARCH(","&amp;TRIM(TEXTSPLIT(IE80,","))&amp;",",","&amp;SUBSTITUTE(input_story_type," ","")&amp;",")))&gt;0)),IF(IG80="",TRUE,IF(input_story_type="",FALSE,SUMPRODUCT(--ISNUMBER(SEARCH(","&amp;TRIM(TEXTSPLIT(IG80,","))&amp;",",","&amp;SUBSTITUTE(input_story_type," ","")&amp;",")))=COUNTA(TEXTSPLIT(IG80,",")))))</f>
        <v/>
      </c>
      <c r="JQ80" s="19">
        <f>AND(IF(II80="",TRUE,IF(input_topics="",FALSE,SUMPRODUCT(--ISNUMBER(SEARCH(","&amp;TRIM(TEXTSPLIT(II80,","))&amp;",",","&amp;SUBSTITUTE(input_topics," ","")&amp;",")))&gt;0)),IF(IK80="",TRUE,IF(input_topics="",FALSE,SUMPRODUCT(--ISNUMBER(SEARCH(","&amp;TRIM(TEXTSPLIT(IK80,","))&amp;",",","&amp;SUBSTITUTE(input_topics," ","")&amp;",")))=COUNTA(TEXTSPLIT(IK80,",")))),IF(IM80="",TRUE,IF(input_topics="",TRUE,SUMPRODUCT(--ISNUMBER(SEARCH(","&amp;TRIM(TEXTSPLIT(IM80,","))&amp;",",","&amp;SUBSTITUTE(input_topics," ","")&amp;",")))=0)),IF(IO80="",TRUE,IF(input_topics="",FALSE,SUMPRODUCT(--ISNUMBER(SEARCH(","&amp;TRIM(TEXTSPLIT(IO80,","))&amp;",",","&amp;SUBSTITUTE(input_topics," ","")&amp;",")))&gt;0)),IF(IQ80="",TRUE,IF(input_topics="",FALSE,SUMPRODUCT(--ISNUMBER(SEARCH(","&amp;TRIM(TEXTSPLIT(IQ80,","))&amp;",",","&amp;SUBSTITUTE(input_topics," ","")&amp;",")))=COUNTA(TEXTSPLIT(IQ80,",")))))</f>
        <v/>
      </c>
    </row>
    <row r="81">
      <c r="A81" s="24">
        <f>IF(NOT(IS81),"Excluded",IF(AND(IT81,IU81,IV81,IW81,IX81,IY81,IZ81,JA81,JB81,JC81,JD81,JE81,JF81,JG81,JH81,JI81,JJ81,JK81,JL81,JM81,JN81,JO81,JP81,JQ81),IF(I81&gt;0,"Eligible but limited","Will appear"),"Excluded"))</f>
        <v/>
      </c>
      <c r="B81" s="24" t="inlineStr">
        <is>
          <t>Blogs - Summary</t>
        </is>
      </c>
      <c r="C81" s="27" t="inlineStr">
        <is>
          <t>/the-som-experience/interests-and-industries/marketing</t>
        </is>
      </c>
      <c r="D81" s="24" t="inlineStr">
        <is>
          <t>/the-som-experience/interests-and-industries/marketing</t>
        </is>
      </c>
      <c r="E81" s="24" t="n">
        <v>1</v>
      </c>
      <c r="F81" s="24" t="inlineStr">
        <is>
          <t>story</t>
        </is>
      </c>
      <c r="G81" s="24" t="inlineStr">
        <is>
          <t>stories_mosaic_grid</t>
        </is>
      </c>
      <c r="H81" s="24" t="inlineStr">
        <is>
          <t>embed_blog_summary</t>
        </is>
      </c>
      <c r="I81" s="24" t="n">
        <v>1</v>
      </c>
      <c r="J81" s="24" t="inlineStr">
        <is>
          <t>View/config rules</t>
        </is>
      </c>
      <c r="K81" s="24" t="inlineStr">
        <is>
          <t>Page placement</t>
        </is>
      </c>
      <c r="L81" s="24" t="inlineStr">
        <is>
          <t>Content type: story; Needs any Story Type: Blog (974); Limited to 1 item(s); Source: View/config rules</t>
        </is>
      </c>
      <c r="HY81" s="19" t="inlineStr">
        <is>
          <t>974</t>
        </is>
      </c>
      <c r="HZ81" s="19" t="inlineStr">
        <is>
          <t>Blog (974)</t>
        </is>
      </c>
      <c r="IS81" s="19">
        <f>IF(input_content_type="",FALSE,ISNUMBER(SEARCH(","&amp;LOWER(input_content_type)&amp;",",","&amp;LOWER(SUBSTITUTE(F81," ",""))&amp;",")))</f>
        <v/>
      </c>
      <c r="IT81" s="19">
        <f>AND(IF(M81="",TRUE,IF(input_affiliations="",FALSE,SUMPRODUCT(--ISNUMBER(SEARCH(","&amp;TRIM(TEXTSPLIT(M81,","))&amp;",",","&amp;SUBSTITUTE(input_affiliations," ","")&amp;",")))&gt;0)),IF(O81="",TRUE,IF(input_affiliations="",FALSE,SUMPRODUCT(--ISNUMBER(SEARCH(","&amp;TRIM(TEXTSPLIT(O81,","))&amp;",",","&amp;SUBSTITUTE(input_affiliations," ","")&amp;",")))=COUNTA(TEXTSPLIT(O81,",")))),IF(Q81="",TRUE,IF(input_affiliations="",TRUE,SUMPRODUCT(--ISNUMBER(SEARCH(","&amp;TRIM(TEXTSPLIT(Q81,","))&amp;",",","&amp;SUBSTITUTE(input_affiliations," ","")&amp;",")))=0)),IF(S81="",TRUE,IF(input_affiliations="",FALSE,SUMPRODUCT(--ISNUMBER(SEARCH(","&amp;TRIM(TEXTSPLIT(S81,","))&amp;",",","&amp;SUBSTITUTE(input_affiliations," ","")&amp;",")))&gt;0)),IF(U81="",TRUE,IF(input_affiliations="",FALSE,SUMPRODUCT(--ISNUMBER(SEARCH(","&amp;TRIM(TEXTSPLIT(U81,","))&amp;",",","&amp;SUBSTITUTE(input_affiliations," ","")&amp;",")))=COUNTA(TEXTSPLIT(U81,",")))))</f>
        <v/>
      </c>
      <c r="IU81" s="19">
        <f>AND(IF(W81="",TRUE,IF(input_announcement_category="",FALSE,SUMPRODUCT(--ISNUMBER(SEARCH(","&amp;TRIM(TEXTSPLIT(W81,","))&amp;",",","&amp;SUBSTITUTE(input_announcement_category," ","")&amp;",")))&gt;0)),IF(Y81="",TRUE,IF(input_announcement_category="",FALSE,SUMPRODUCT(--ISNUMBER(SEARCH(","&amp;TRIM(TEXTSPLIT(Y81,","))&amp;",",","&amp;SUBSTITUTE(input_announcement_category," ","")&amp;",")))=COUNTA(TEXTSPLIT(Y81,",")))),IF(AA81="",TRUE,IF(input_announcement_category="",TRUE,SUMPRODUCT(--ISNUMBER(SEARCH(","&amp;TRIM(TEXTSPLIT(AA81,","))&amp;",",","&amp;SUBSTITUTE(input_announcement_category," ","")&amp;",")))=0)),IF(AC81="",TRUE,IF(input_announcement_category="",FALSE,SUMPRODUCT(--ISNUMBER(SEARCH(","&amp;TRIM(TEXTSPLIT(AC81,","))&amp;",",","&amp;SUBSTITUTE(input_announcement_category," ","")&amp;",")))&gt;0)),IF(AE81="",TRUE,IF(input_announcement_category="",FALSE,SUMPRODUCT(--ISNUMBER(SEARCH(","&amp;TRIM(TEXTSPLIT(AE81,","))&amp;",",","&amp;SUBSTITUTE(input_announcement_category," ","")&amp;",")))=COUNTA(TEXTSPLIT(AE81,",")))))</f>
        <v/>
      </c>
      <c r="IV81" s="19">
        <f>AND(IF(AG81="",TRUE,IF(input_area_of_focus="",FALSE,SUMPRODUCT(--ISNUMBER(SEARCH(","&amp;TRIM(TEXTSPLIT(AG81,","))&amp;",",","&amp;SUBSTITUTE(input_area_of_focus," ","")&amp;",")))&gt;0)),IF(AI81="",TRUE,IF(input_area_of_focus="",FALSE,SUMPRODUCT(--ISNUMBER(SEARCH(","&amp;TRIM(TEXTSPLIT(AI81,","))&amp;",",","&amp;SUBSTITUTE(input_area_of_focus," ","")&amp;",")))=COUNTA(TEXTSPLIT(AI81,",")))),IF(AK81="",TRUE,IF(input_area_of_focus="",TRUE,SUMPRODUCT(--ISNUMBER(SEARCH(","&amp;TRIM(TEXTSPLIT(AK81,","))&amp;",",","&amp;SUBSTITUTE(input_area_of_focus," ","")&amp;",")))=0)),IF(AM81="",TRUE,IF(input_area_of_focus="",FALSE,SUMPRODUCT(--ISNUMBER(SEARCH(","&amp;TRIM(TEXTSPLIT(AM81,","))&amp;",",","&amp;SUBSTITUTE(input_area_of_focus," ","")&amp;",")))&gt;0)),IF(AO81="",TRUE,IF(input_area_of_focus="",FALSE,SUMPRODUCT(--ISNUMBER(SEARCH(","&amp;TRIM(TEXTSPLIT(AO81,","))&amp;",",","&amp;SUBSTITUTE(input_area_of_focus," ","")&amp;",")))=COUNTA(TEXTSPLIT(AO81,",")))))</f>
        <v/>
      </c>
      <c r="IW81" s="19">
        <f>AND(IF(AQ81="",TRUE,IF(input_audience="",FALSE,SUMPRODUCT(--ISNUMBER(SEARCH(","&amp;TRIM(TEXTSPLIT(AQ81,","))&amp;",",","&amp;SUBSTITUTE(input_audience," ","")&amp;",")))&gt;0)),IF(AS81="",TRUE,IF(input_audience="",FALSE,SUMPRODUCT(--ISNUMBER(SEARCH(","&amp;TRIM(TEXTSPLIT(AS81,","))&amp;",",","&amp;SUBSTITUTE(input_audience," ","")&amp;",")))=COUNTA(TEXTSPLIT(AS81,",")))),IF(AU81="",TRUE,IF(input_audience="",TRUE,SUMPRODUCT(--ISNUMBER(SEARCH(","&amp;TRIM(TEXTSPLIT(AU81,","))&amp;",",","&amp;SUBSTITUTE(input_audience," ","")&amp;",")))=0)),IF(AW81="",TRUE,IF(input_audience="",FALSE,SUMPRODUCT(--ISNUMBER(SEARCH(","&amp;TRIM(TEXTSPLIT(AW81,","))&amp;",",","&amp;SUBSTITUTE(input_audience," ","")&amp;",")))&gt;0)),IF(AY81="",TRUE,IF(input_audience="",FALSE,SUMPRODUCT(--ISNUMBER(SEARCH(","&amp;TRIM(TEXTSPLIT(AY81,","))&amp;",",","&amp;SUBSTITUTE(input_audience," ","")&amp;",")))=COUNTA(TEXTSPLIT(AY81,",")))))</f>
        <v/>
      </c>
      <c r="IX81" s="19">
        <f>AND(IF(BA81="",TRUE,IF(input_challenge_opportunities="",FALSE,SUMPRODUCT(--ISNUMBER(SEARCH(","&amp;TRIM(TEXTSPLIT(BA81,","))&amp;",",","&amp;SUBSTITUTE(input_challenge_opportunities," ","")&amp;",")))&gt;0)),IF(BC81="",TRUE,IF(input_challenge_opportunities="",FALSE,SUMPRODUCT(--ISNUMBER(SEARCH(","&amp;TRIM(TEXTSPLIT(BC81,","))&amp;",",","&amp;SUBSTITUTE(input_challenge_opportunities," ","")&amp;",")))=COUNTA(TEXTSPLIT(BC81,",")))),IF(BE81="",TRUE,IF(input_challenge_opportunities="",TRUE,SUMPRODUCT(--ISNUMBER(SEARCH(","&amp;TRIM(TEXTSPLIT(BE81,","))&amp;",",","&amp;SUBSTITUTE(input_challenge_opportunities," ","")&amp;",")))=0)),IF(BG81="",TRUE,IF(input_challenge_opportunities="",FALSE,SUMPRODUCT(--ISNUMBER(SEARCH(","&amp;TRIM(TEXTSPLIT(BG81,","))&amp;",",","&amp;SUBSTITUTE(input_challenge_opportunities," ","")&amp;",")))&gt;0)),IF(BI81="",TRUE,IF(input_challenge_opportunities="",FALSE,SUMPRODUCT(--ISNUMBER(SEARCH(","&amp;TRIM(TEXTSPLIT(BI81,","))&amp;",",","&amp;SUBSTITUTE(input_challenge_opportunities," ","")&amp;",")))=COUNTA(TEXTSPLIT(BI81,",")))))</f>
        <v/>
      </c>
      <c r="IY81" s="19">
        <f>AND(IF(BK81="",TRUE,IF(input_context="",FALSE,SUMPRODUCT(--ISNUMBER(SEARCH(","&amp;TRIM(TEXTSPLIT(BK81,","))&amp;",",","&amp;SUBSTITUTE(input_context," ","")&amp;",")))&gt;0)),IF(BM81="",TRUE,IF(input_context="",FALSE,SUMPRODUCT(--ISNUMBER(SEARCH(","&amp;TRIM(TEXTSPLIT(BM81,","))&amp;",",","&amp;SUBSTITUTE(input_context," ","")&amp;",")))=COUNTA(TEXTSPLIT(BM81,",")))),IF(BO81="",TRUE,IF(input_context="",TRUE,SUMPRODUCT(--ISNUMBER(SEARCH(","&amp;TRIM(TEXTSPLIT(BO81,","))&amp;",",","&amp;SUBSTITUTE(input_context," ","")&amp;",")))=0)),IF(BQ81="",TRUE,IF(input_context="",FALSE,SUMPRODUCT(--ISNUMBER(SEARCH(","&amp;TRIM(TEXTSPLIT(BQ81,","))&amp;",",","&amp;SUBSTITUTE(input_context," ","")&amp;",")))&gt;0)),IF(BS81="",TRUE,IF(input_context="",FALSE,SUMPRODUCT(--ISNUMBER(SEARCH(","&amp;TRIM(TEXTSPLIT(BS81,","))&amp;",",","&amp;SUBSTITUTE(input_context," ","")&amp;",")))=COUNTA(TEXTSPLIT(BS81,",")))))</f>
        <v/>
      </c>
      <c r="IZ81" s="19">
        <f>AND(IF(BU81="",TRUE,IF(input_enews_announcement_type="",FALSE,SUMPRODUCT(--ISNUMBER(SEARCH(","&amp;TRIM(TEXTSPLIT(BU81,","))&amp;",",","&amp;SUBSTITUTE(input_enews_announcement_type," ","")&amp;",")))&gt;0)),IF(BW81="",TRUE,IF(input_enews_announcement_type="",FALSE,SUMPRODUCT(--ISNUMBER(SEARCH(","&amp;TRIM(TEXTSPLIT(BW81,","))&amp;",",","&amp;SUBSTITUTE(input_enews_announcement_type," ","")&amp;",")))=COUNTA(TEXTSPLIT(BW81,",")))),IF(BY81="",TRUE,IF(input_enews_announcement_type="",TRUE,SUMPRODUCT(--ISNUMBER(SEARCH(","&amp;TRIM(TEXTSPLIT(BY81,","))&amp;",",","&amp;SUBSTITUTE(input_enews_announcement_type," ","")&amp;",")))=0)),IF(CA81="",TRUE,IF(input_enews_announcement_type="",FALSE,SUMPRODUCT(--ISNUMBER(SEARCH(","&amp;TRIM(TEXTSPLIT(CA81,","))&amp;",",","&amp;SUBSTITUTE(input_enews_announcement_type," ","")&amp;",")))&gt;0)),IF(CC81="",TRUE,IF(input_enews_announcement_type="",FALSE,SUMPRODUCT(--ISNUMBER(SEARCH(","&amp;TRIM(TEXTSPLIT(CC81,","))&amp;",",","&amp;SUBSTITUTE(input_enews_announcement_type," ","")&amp;",")))=COUNTA(TEXTSPLIT(CC81,",")))))</f>
        <v/>
      </c>
      <c r="JA81" s="19">
        <f>AND(IF(CE81="",TRUE,IF(input_enews_audience="",FALSE,SUMPRODUCT(--ISNUMBER(SEARCH(","&amp;TRIM(TEXTSPLIT(CE81,","))&amp;",",","&amp;SUBSTITUTE(input_enews_audience," ","")&amp;",")))&gt;0)),IF(CG81="",TRUE,IF(input_enews_audience="",FALSE,SUMPRODUCT(--ISNUMBER(SEARCH(","&amp;TRIM(TEXTSPLIT(CG81,","))&amp;",",","&amp;SUBSTITUTE(input_enews_audience," ","")&amp;",")))=COUNTA(TEXTSPLIT(CG81,",")))),IF(CI81="",TRUE,IF(input_enews_audience="",TRUE,SUMPRODUCT(--ISNUMBER(SEARCH(","&amp;TRIM(TEXTSPLIT(CI81,","))&amp;",",","&amp;SUBSTITUTE(input_enews_audience," ","")&amp;",")))=0)),IF(CK81="",TRUE,IF(input_enews_audience="",FALSE,SUMPRODUCT(--ISNUMBER(SEARCH(","&amp;TRIM(TEXTSPLIT(CK81,","))&amp;",",","&amp;SUBSTITUTE(input_enews_audience," ","")&amp;",")))&gt;0)),IF(CM81="",TRUE,IF(input_enews_audience="",FALSE,SUMPRODUCT(--ISNUMBER(SEARCH(","&amp;TRIM(TEXTSPLIT(CM81,","))&amp;",",","&amp;SUBSTITUTE(input_enews_audience," ","")&amp;",")))=COUNTA(TEXTSPLIT(CM81,",")))))</f>
        <v/>
      </c>
      <c r="JB81" s="19">
        <f>AND(IF(CO81="",TRUE,IF(input_event_location="",FALSE,SUMPRODUCT(--ISNUMBER(SEARCH(","&amp;TRIM(TEXTSPLIT(CO81,","))&amp;",",","&amp;SUBSTITUTE(input_event_location," ","")&amp;",")))&gt;0)),IF(CQ81="",TRUE,IF(input_event_location="",FALSE,SUMPRODUCT(--ISNUMBER(SEARCH(","&amp;TRIM(TEXTSPLIT(CQ81,","))&amp;",",","&amp;SUBSTITUTE(input_event_location," ","")&amp;",")))=COUNTA(TEXTSPLIT(CQ81,",")))),IF(CS81="",TRUE,IF(input_event_location="",TRUE,SUMPRODUCT(--ISNUMBER(SEARCH(","&amp;TRIM(TEXTSPLIT(CS81,","))&amp;",",","&amp;SUBSTITUTE(input_event_location," ","")&amp;",")))=0)),IF(CU81="",TRUE,IF(input_event_location="",FALSE,SUMPRODUCT(--ISNUMBER(SEARCH(","&amp;TRIM(TEXTSPLIT(CU81,","))&amp;",",","&amp;SUBSTITUTE(input_event_location," ","")&amp;",")))&gt;0)),IF(CW81="",TRUE,IF(input_event_location="",FALSE,SUMPRODUCT(--ISNUMBER(SEARCH(","&amp;TRIM(TEXTSPLIT(CW81,","))&amp;",",","&amp;SUBSTITUTE(input_event_location," ","")&amp;",")))=COUNTA(TEXTSPLIT(CW81,",")))))</f>
        <v/>
      </c>
      <c r="JC81" s="19">
        <f>AND(IF(CY81="",TRUE,IF(input_event_type="",FALSE,SUMPRODUCT(--ISNUMBER(SEARCH(","&amp;TRIM(TEXTSPLIT(CY81,","))&amp;",",","&amp;SUBSTITUTE(input_event_type," ","")&amp;",")))&gt;0)),IF(DA81="",TRUE,IF(input_event_type="",FALSE,SUMPRODUCT(--ISNUMBER(SEARCH(","&amp;TRIM(TEXTSPLIT(DA81,","))&amp;",",","&amp;SUBSTITUTE(input_event_type," ","")&amp;",")))=COUNTA(TEXTSPLIT(DA81,",")))),IF(DC81="",TRUE,IF(input_event_type="",TRUE,SUMPRODUCT(--ISNUMBER(SEARCH(","&amp;TRIM(TEXTSPLIT(DC81,","))&amp;",",","&amp;SUBSTITUTE(input_event_type," ","")&amp;",")))=0)),IF(DE81="",TRUE,IF(input_event_type="",FALSE,SUMPRODUCT(--ISNUMBER(SEARCH(","&amp;TRIM(TEXTSPLIT(DE81,","))&amp;",",","&amp;SUBSTITUTE(input_event_type," ","")&amp;",")))&gt;0)),IF(DG81="",TRUE,IF(input_event_type="",FALSE,SUMPRODUCT(--ISNUMBER(SEARCH(","&amp;TRIM(TEXTSPLIT(DG81,","))&amp;",",","&amp;SUBSTITUTE(input_event_type," ","")&amp;",")))=COUNTA(TEXTSPLIT(DG81,",")))))</f>
        <v/>
      </c>
      <c r="JD81" s="19">
        <f>AND(IF(DI81="",TRUE,IF(input_executive_education_focus="",FALSE,SUMPRODUCT(--ISNUMBER(SEARCH(","&amp;TRIM(TEXTSPLIT(DI81,","))&amp;",",","&amp;SUBSTITUTE(input_executive_education_focus," ","")&amp;",")))&gt;0)),IF(DK81="",TRUE,IF(input_executive_education_focus="",FALSE,SUMPRODUCT(--ISNUMBER(SEARCH(","&amp;TRIM(TEXTSPLIT(DK81,","))&amp;",",","&amp;SUBSTITUTE(input_executive_education_focus," ","")&amp;",")))=COUNTA(TEXTSPLIT(DK81,",")))),IF(DM81="",TRUE,IF(input_executive_education_focus="",TRUE,SUMPRODUCT(--ISNUMBER(SEARCH(","&amp;TRIM(TEXTSPLIT(DM81,","))&amp;",",","&amp;SUBSTITUTE(input_executive_education_focus," ","")&amp;",")))=0)),IF(DO81="",TRUE,IF(input_executive_education_focus="",FALSE,SUMPRODUCT(--ISNUMBER(SEARCH(","&amp;TRIM(TEXTSPLIT(DO81,","))&amp;",",","&amp;SUBSTITUTE(input_executive_education_focus," ","")&amp;",")))&gt;0)),IF(DQ81="",TRUE,IF(input_executive_education_focus="",FALSE,SUMPRODUCT(--ISNUMBER(SEARCH(","&amp;TRIM(TEXTSPLIT(DQ81,","))&amp;",",","&amp;SUBSTITUTE(input_executive_education_focus," ","")&amp;",")))=COUNTA(TEXTSPLIT(DQ81,",")))))</f>
        <v/>
      </c>
      <c r="JE81" s="19">
        <f>AND(IF(DS81="",TRUE,IF(input_faculty_category="",FALSE,SUMPRODUCT(--ISNUMBER(SEARCH(","&amp;TRIM(TEXTSPLIT(DS81,","))&amp;",",","&amp;SUBSTITUTE(input_faculty_category," ","")&amp;",")))&gt;0)),IF(DU81="",TRUE,IF(input_faculty_category="",FALSE,SUMPRODUCT(--ISNUMBER(SEARCH(","&amp;TRIM(TEXTSPLIT(DU81,","))&amp;",",","&amp;SUBSTITUTE(input_faculty_category," ","")&amp;",")))=COUNTA(TEXTSPLIT(DU81,",")))),IF(DW81="",TRUE,IF(input_faculty_category="",TRUE,SUMPRODUCT(--ISNUMBER(SEARCH(","&amp;TRIM(TEXTSPLIT(DW81,","))&amp;",",","&amp;SUBSTITUTE(input_faculty_category," ","")&amp;",")))=0)),IF(DY81="",TRUE,IF(input_faculty_category="",FALSE,SUMPRODUCT(--ISNUMBER(SEARCH(","&amp;TRIM(TEXTSPLIT(DY81,","))&amp;",",","&amp;SUBSTITUTE(input_faculty_category," ","")&amp;",")))&gt;0)),IF(EA81="",TRUE,IF(input_faculty_category="",FALSE,SUMPRODUCT(--ISNUMBER(SEARCH(","&amp;TRIM(TEXTSPLIT(EA81,","))&amp;",",","&amp;SUBSTITUTE(input_faculty_category," ","")&amp;",")))=COUNTA(TEXTSPLIT(EA81,",")))))</f>
        <v/>
      </c>
      <c r="JF81" s="19">
        <f>AND(IF(EC81="",TRUE,IF(input_faculty_discipline="",FALSE,SUMPRODUCT(--ISNUMBER(SEARCH(","&amp;TRIM(TEXTSPLIT(EC81,","))&amp;",",","&amp;SUBSTITUTE(input_faculty_discipline," ","")&amp;",")))&gt;0)),IF(EE81="",TRUE,IF(input_faculty_discipline="",FALSE,SUMPRODUCT(--ISNUMBER(SEARCH(","&amp;TRIM(TEXTSPLIT(EE81,","))&amp;",",","&amp;SUBSTITUTE(input_faculty_discipline," ","")&amp;",")))=COUNTA(TEXTSPLIT(EE81,",")))),IF(EG81="",TRUE,IF(input_faculty_discipline="",TRUE,SUMPRODUCT(--ISNUMBER(SEARCH(","&amp;TRIM(TEXTSPLIT(EG81,","))&amp;",",","&amp;SUBSTITUTE(input_faculty_discipline," ","")&amp;",")))=0)),IF(EI81="",TRUE,IF(input_faculty_discipline="",FALSE,SUMPRODUCT(--ISNUMBER(SEARCH(","&amp;TRIM(TEXTSPLIT(EI81,","))&amp;",",","&amp;SUBSTITUTE(input_faculty_discipline," ","")&amp;",")))&gt;0)),IF(EK81="",TRUE,IF(input_faculty_discipline="",FALSE,SUMPRODUCT(--ISNUMBER(SEARCH(","&amp;TRIM(TEXTSPLIT(EK81,","))&amp;",",","&amp;SUBSTITUTE(input_faculty_discipline," ","")&amp;",")))=COUNTA(TEXTSPLIT(EK81,",")))))</f>
        <v/>
      </c>
      <c r="JG81" s="19">
        <f>AND(IF(EM81="",TRUE,IF(input_faculty_expertise="",FALSE,SUMPRODUCT(--ISNUMBER(SEARCH(","&amp;TRIM(TEXTSPLIT(EM81,","))&amp;",",","&amp;SUBSTITUTE(input_faculty_expertise," ","")&amp;",")))&gt;0)),IF(EO81="",TRUE,IF(input_faculty_expertise="",FALSE,SUMPRODUCT(--ISNUMBER(SEARCH(","&amp;TRIM(TEXTSPLIT(EO81,","))&amp;",",","&amp;SUBSTITUTE(input_faculty_expertise," ","")&amp;",")))=COUNTA(TEXTSPLIT(EO81,",")))),IF(EQ81="",TRUE,IF(input_faculty_expertise="",TRUE,SUMPRODUCT(--ISNUMBER(SEARCH(","&amp;TRIM(TEXTSPLIT(EQ81,","))&amp;",",","&amp;SUBSTITUTE(input_faculty_expertise," ","")&amp;",")))=0)),IF(ES81="",TRUE,IF(input_faculty_expertise="",FALSE,SUMPRODUCT(--ISNUMBER(SEARCH(","&amp;TRIM(TEXTSPLIT(ES81,","))&amp;",",","&amp;SUBSTITUTE(input_faculty_expertise," ","")&amp;",")))&gt;0)),IF(EU81="",TRUE,IF(input_faculty_expertise="",FALSE,SUMPRODUCT(--ISNUMBER(SEARCH(","&amp;TRIM(TEXTSPLIT(EU81,","))&amp;",",","&amp;SUBSTITUTE(input_faculty_expertise," ","")&amp;",")))=COUNTA(TEXTSPLIT(EU81,",")))))</f>
        <v/>
      </c>
      <c r="JH81" s="19">
        <f>AND(IF(EW81="",TRUE,IF(input_global_network_school="",FALSE,SUMPRODUCT(--ISNUMBER(SEARCH(","&amp;TRIM(TEXTSPLIT(EW81,","))&amp;",",","&amp;SUBSTITUTE(input_global_network_school," ","")&amp;",")))&gt;0)),IF(EY81="",TRUE,IF(input_global_network_school="",FALSE,SUMPRODUCT(--ISNUMBER(SEARCH(","&amp;TRIM(TEXTSPLIT(EY81,","))&amp;",",","&amp;SUBSTITUTE(input_global_network_school," ","")&amp;",")))=COUNTA(TEXTSPLIT(EY81,",")))),IF(FA81="",TRUE,IF(input_global_network_school="",TRUE,SUMPRODUCT(--ISNUMBER(SEARCH(","&amp;TRIM(TEXTSPLIT(FA81,","))&amp;",",","&amp;SUBSTITUTE(input_global_network_school," ","")&amp;",")))=0)),IF(FC81="",TRUE,IF(input_global_network_school="",FALSE,SUMPRODUCT(--ISNUMBER(SEARCH(","&amp;TRIM(TEXTSPLIT(FC81,","))&amp;",",","&amp;SUBSTITUTE(input_global_network_school," ","")&amp;",")))&gt;0)),IF(FE81="",TRUE,IF(input_global_network_school="",FALSE,SUMPRODUCT(--ISNUMBER(SEARCH(","&amp;TRIM(TEXTSPLIT(FE81,","))&amp;",",","&amp;SUBSTITUTE(input_global_network_school," ","")&amp;",")))=COUNTA(TEXTSPLIT(FE81,",")))))</f>
        <v/>
      </c>
      <c r="JI81" s="19">
        <f>AND(IF(FG81="",TRUE,IF(input_industry="",FALSE,SUMPRODUCT(--ISNUMBER(SEARCH(","&amp;TRIM(TEXTSPLIT(FG81,","))&amp;",",","&amp;SUBSTITUTE(input_industry," ","")&amp;",")))&gt;0)),IF(FI81="",TRUE,IF(input_industry="",FALSE,SUMPRODUCT(--ISNUMBER(SEARCH(","&amp;TRIM(TEXTSPLIT(FI81,","))&amp;",",","&amp;SUBSTITUTE(input_industry," ","")&amp;",")))=COUNTA(TEXTSPLIT(FI81,",")))),IF(FK81="",TRUE,IF(input_industry="",TRUE,SUMPRODUCT(--ISNUMBER(SEARCH(","&amp;TRIM(TEXTSPLIT(FK81,","))&amp;",",","&amp;SUBSTITUTE(input_industry," ","")&amp;",")))=0)),IF(FM81="",TRUE,IF(input_industry="",FALSE,SUMPRODUCT(--ISNUMBER(SEARCH(","&amp;TRIM(TEXTSPLIT(FM81,","))&amp;",",","&amp;SUBSTITUTE(input_industry," ","")&amp;",")))&gt;0)),IF(FO81="",TRUE,IF(input_industry="",FALSE,SUMPRODUCT(--ISNUMBER(SEARCH(","&amp;TRIM(TEXTSPLIT(FO81,","))&amp;",",","&amp;SUBSTITUTE(input_industry," ","")&amp;",")))=COUNTA(TEXTSPLIT(FO81,",")))))</f>
        <v/>
      </c>
      <c r="JJ81" s="19">
        <f>AND(IF(FQ81="",TRUE,IF(input_location="",FALSE,SUMPRODUCT(--ISNUMBER(SEARCH(","&amp;TRIM(TEXTSPLIT(FQ81,","))&amp;",",","&amp;SUBSTITUTE(input_location," ","")&amp;",")))&gt;0)),IF(FS81="",TRUE,IF(input_location="",FALSE,SUMPRODUCT(--ISNUMBER(SEARCH(","&amp;TRIM(TEXTSPLIT(FS81,","))&amp;",",","&amp;SUBSTITUTE(input_location," ","")&amp;",")))=COUNTA(TEXTSPLIT(FS81,",")))),IF(FU81="",TRUE,IF(input_location="",TRUE,SUMPRODUCT(--ISNUMBER(SEARCH(","&amp;TRIM(TEXTSPLIT(FU81,","))&amp;",",","&amp;SUBSTITUTE(input_location," ","")&amp;",")))=0)),IF(FW81="",TRUE,IF(input_location="",FALSE,SUMPRODUCT(--ISNUMBER(SEARCH(","&amp;TRIM(TEXTSPLIT(FW81,","))&amp;",",","&amp;SUBSTITUTE(input_location," ","")&amp;",")))&gt;0)),IF(FY81="",TRUE,IF(input_location="",FALSE,SUMPRODUCT(--ISNUMBER(SEARCH(","&amp;TRIM(TEXTSPLIT(FY81,","))&amp;",",","&amp;SUBSTITUTE(input_location," ","")&amp;",")))=COUNTA(TEXTSPLIT(FY81,",")))))</f>
        <v/>
      </c>
      <c r="JK81" s="19">
        <f>AND(IF(GA81="",TRUE,IF(input_modality="",FALSE,SUMPRODUCT(--ISNUMBER(SEARCH(","&amp;TRIM(TEXTSPLIT(GA81,","))&amp;",",","&amp;SUBSTITUTE(input_modality," ","")&amp;",")))&gt;0)),IF(GC81="",TRUE,IF(input_modality="",FALSE,SUMPRODUCT(--ISNUMBER(SEARCH(","&amp;TRIM(TEXTSPLIT(GC81,","))&amp;",",","&amp;SUBSTITUTE(input_modality," ","")&amp;",")))=COUNTA(TEXTSPLIT(GC81,",")))),IF(GE81="",TRUE,IF(input_modality="",TRUE,SUMPRODUCT(--ISNUMBER(SEARCH(","&amp;TRIM(TEXTSPLIT(GE81,","))&amp;",",","&amp;SUBSTITUTE(input_modality," ","")&amp;",")))=0)),IF(GG81="",TRUE,IF(input_modality="",FALSE,SUMPRODUCT(--ISNUMBER(SEARCH(","&amp;TRIM(TEXTSPLIT(GG81,","))&amp;",",","&amp;SUBSTITUTE(input_modality," ","")&amp;",")))&gt;0)),IF(GI81="",TRUE,IF(input_modality="",FALSE,SUMPRODUCT(--ISNUMBER(SEARCH(","&amp;TRIM(TEXTSPLIT(GI81,","))&amp;",",","&amp;SUBSTITUTE(input_modality," ","")&amp;",")))=COUNTA(TEXTSPLIT(GI81,",")))))</f>
        <v/>
      </c>
      <c r="JL81" s="19">
        <f>AND(IF(GK81="",TRUE,IF(input_organizer="",FALSE,SUMPRODUCT(--ISNUMBER(SEARCH(","&amp;TRIM(TEXTSPLIT(GK81,","))&amp;",",","&amp;SUBSTITUTE(input_organizer," ","")&amp;",")))&gt;0)),IF(GM81="",TRUE,IF(input_organizer="",FALSE,SUMPRODUCT(--ISNUMBER(SEARCH(","&amp;TRIM(TEXTSPLIT(GM81,","))&amp;",",","&amp;SUBSTITUTE(input_organizer," ","")&amp;",")))=COUNTA(TEXTSPLIT(GM81,",")))),IF(GO81="",TRUE,IF(input_organizer="",TRUE,SUMPRODUCT(--ISNUMBER(SEARCH(","&amp;TRIM(TEXTSPLIT(GO81,","))&amp;",",","&amp;SUBSTITUTE(input_organizer," ","")&amp;",")))=0)),IF(GQ81="",TRUE,IF(input_organizer="",FALSE,SUMPRODUCT(--ISNUMBER(SEARCH(","&amp;TRIM(TEXTSPLIT(GQ81,","))&amp;",",","&amp;SUBSTITUTE(input_organizer," ","")&amp;",")))&gt;0)),IF(GS81="",TRUE,IF(input_organizer="",FALSE,SUMPRODUCT(--ISNUMBER(SEARCH(","&amp;TRIM(TEXTSPLIT(GS81,","))&amp;",",","&amp;SUBSTITUTE(input_organizer," ","")&amp;",")))=COUNTA(TEXTSPLIT(GS81,",")))))</f>
        <v/>
      </c>
      <c r="JM81" s="19">
        <f>AND(IF(GU81="",TRUE,IF(input_profile_type="",FALSE,SUMPRODUCT(--ISNUMBER(SEARCH(","&amp;TRIM(TEXTSPLIT(GU81,","))&amp;",",","&amp;SUBSTITUTE(input_profile_type," ","")&amp;",")))&gt;0)),IF(GW81="",TRUE,IF(input_profile_type="",FALSE,SUMPRODUCT(--ISNUMBER(SEARCH(","&amp;TRIM(TEXTSPLIT(GW81,","))&amp;",",","&amp;SUBSTITUTE(input_profile_type," ","")&amp;",")))=COUNTA(TEXTSPLIT(GW81,",")))),IF(GY81="",TRUE,IF(input_profile_type="",TRUE,SUMPRODUCT(--ISNUMBER(SEARCH(","&amp;TRIM(TEXTSPLIT(GY81,","))&amp;",",","&amp;SUBSTITUTE(input_profile_type," ","")&amp;",")))=0)),IF(HA81="",TRUE,IF(input_profile_type="",FALSE,SUMPRODUCT(--ISNUMBER(SEARCH(","&amp;TRIM(TEXTSPLIT(HA81,","))&amp;",",","&amp;SUBSTITUTE(input_profile_type," ","")&amp;",")))&gt;0)),IF(HC81="",TRUE,IF(input_profile_type="",FALSE,SUMPRODUCT(--ISNUMBER(SEARCH(","&amp;TRIM(TEXTSPLIT(HC81,","))&amp;",",","&amp;SUBSTITUTE(input_profile_type," ","")&amp;",")))=COUNTA(TEXTSPLIT(HC81,",")))))</f>
        <v/>
      </c>
      <c r="JN81" s="19">
        <f>AND(IF(HE81="",TRUE,IF(input_program="",FALSE,SUMPRODUCT(--ISNUMBER(SEARCH(","&amp;TRIM(TEXTSPLIT(HE81,","))&amp;",",","&amp;SUBSTITUTE(input_program," ","")&amp;",")))&gt;0)),IF(HG81="",TRUE,IF(input_program="",FALSE,SUMPRODUCT(--ISNUMBER(SEARCH(","&amp;TRIM(TEXTSPLIT(HG81,","))&amp;",",","&amp;SUBSTITUTE(input_program," ","")&amp;",")))=COUNTA(TEXTSPLIT(HG81,",")))),IF(HI81="",TRUE,IF(input_program="",TRUE,SUMPRODUCT(--ISNUMBER(SEARCH(","&amp;TRIM(TEXTSPLIT(HI81,","))&amp;",",","&amp;SUBSTITUTE(input_program," ","")&amp;",")))=0)),IF(HK81="",TRUE,IF(input_program="",FALSE,SUMPRODUCT(--ISNUMBER(SEARCH(","&amp;TRIM(TEXTSPLIT(HK81,","))&amp;",",","&amp;SUBSTITUTE(input_program," ","")&amp;",")))&gt;0)),IF(HM81="",TRUE,IF(input_program="",FALSE,SUMPRODUCT(--ISNUMBER(SEARCH(","&amp;TRIM(TEXTSPLIT(HM81,","))&amp;",",","&amp;SUBSTITUTE(input_program," ","")&amp;",")))=COUNTA(TEXTSPLIT(HM81,",")))))</f>
        <v/>
      </c>
      <c r="JO81" s="19">
        <f>AND(IF(HO81="",TRUE,IF(input_story_categories="",FALSE,SUMPRODUCT(--ISNUMBER(SEARCH(","&amp;TRIM(TEXTSPLIT(HO81,","))&amp;",",","&amp;SUBSTITUTE(input_story_categories," ","")&amp;",")))&gt;0)),IF(HQ81="",TRUE,IF(input_story_categories="",FALSE,SUMPRODUCT(--ISNUMBER(SEARCH(","&amp;TRIM(TEXTSPLIT(HQ81,","))&amp;",",","&amp;SUBSTITUTE(input_story_categories," ","")&amp;",")))=COUNTA(TEXTSPLIT(HQ81,",")))),IF(HS81="",TRUE,IF(input_story_categories="",TRUE,SUMPRODUCT(--ISNUMBER(SEARCH(","&amp;TRIM(TEXTSPLIT(HS81,","))&amp;",",","&amp;SUBSTITUTE(input_story_categories," ","")&amp;",")))=0)),IF(HU81="",TRUE,IF(input_story_categories="",FALSE,SUMPRODUCT(--ISNUMBER(SEARCH(","&amp;TRIM(TEXTSPLIT(HU81,","))&amp;",",","&amp;SUBSTITUTE(input_story_categories," ","")&amp;",")))&gt;0)),IF(HW81="",TRUE,IF(input_story_categories="",FALSE,SUMPRODUCT(--ISNUMBER(SEARCH(","&amp;TRIM(TEXTSPLIT(HW81,","))&amp;",",","&amp;SUBSTITUTE(input_story_categories," ","")&amp;",")))=COUNTA(TEXTSPLIT(HW81,",")))))</f>
        <v/>
      </c>
      <c r="JP81" s="19">
        <f>AND(IF(HY81="",TRUE,IF(input_story_type="",FALSE,SUMPRODUCT(--ISNUMBER(SEARCH(","&amp;TRIM(TEXTSPLIT(HY81,","))&amp;",",","&amp;SUBSTITUTE(input_story_type," ","")&amp;",")))&gt;0)),IF(IA81="",TRUE,IF(input_story_type="",FALSE,SUMPRODUCT(--ISNUMBER(SEARCH(","&amp;TRIM(TEXTSPLIT(IA81,","))&amp;",",","&amp;SUBSTITUTE(input_story_type," ","")&amp;",")))=COUNTA(TEXTSPLIT(IA81,",")))),IF(IC81="",TRUE,IF(input_story_type="",TRUE,SUMPRODUCT(--ISNUMBER(SEARCH(","&amp;TRIM(TEXTSPLIT(IC81,","))&amp;",",","&amp;SUBSTITUTE(input_story_type," ","")&amp;",")))=0)),IF(IE81="",TRUE,IF(input_story_type="",FALSE,SUMPRODUCT(--ISNUMBER(SEARCH(","&amp;TRIM(TEXTSPLIT(IE81,","))&amp;",",","&amp;SUBSTITUTE(input_story_type," ","")&amp;",")))&gt;0)),IF(IG81="",TRUE,IF(input_story_type="",FALSE,SUMPRODUCT(--ISNUMBER(SEARCH(","&amp;TRIM(TEXTSPLIT(IG81,","))&amp;",",","&amp;SUBSTITUTE(input_story_type," ","")&amp;",")))=COUNTA(TEXTSPLIT(IG81,",")))))</f>
        <v/>
      </c>
      <c r="JQ81" s="19">
        <f>AND(IF(II81="",TRUE,IF(input_topics="",FALSE,SUMPRODUCT(--ISNUMBER(SEARCH(","&amp;TRIM(TEXTSPLIT(II81,","))&amp;",",","&amp;SUBSTITUTE(input_topics," ","")&amp;",")))&gt;0)),IF(IK81="",TRUE,IF(input_topics="",FALSE,SUMPRODUCT(--ISNUMBER(SEARCH(","&amp;TRIM(TEXTSPLIT(IK81,","))&amp;",",","&amp;SUBSTITUTE(input_topics," ","")&amp;",")))=COUNTA(TEXTSPLIT(IK81,",")))),IF(IM81="",TRUE,IF(input_topics="",TRUE,SUMPRODUCT(--ISNUMBER(SEARCH(","&amp;TRIM(TEXTSPLIT(IM81,","))&amp;",",","&amp;SUBSTITUTE(input_topics," ","")&amp;",")))=0)),IF(IO81="",TRUE,IF(input_topics="",FALSE,SUMPRODUCT(--ISNUMBER(SEARCH(","&amp;TRIM(TEXTSPLIT(IO81,","))&amp;",",","&amp;SUBSTITUTE(input_topics," ","")&amp;",")))&gt;0)),IF(IQ81="",TRUE,IF(input_topics="",FALSE,SUMPRODUCT(--ISNUMBER(SEARCH(","&amp;TRIM(TEXTSPLIT(IQ81,","))&amp;",",","&amp;SUBSTITUTE(input_topics," ","")&amp;",")))=COUNTA(TEXTSPLIT(IQ81,",")))))</f>
        <v/>
      </c>
    </row>
    <row r="82">
      <c r="A82" s="24">
        <f>IF(NOT(IS82),"Excluded",IF(AND(IT82,IU82,IV82,IW82,IX82,IY82,IZ82,JA82,JB82,JC82,JD82,JE82,JF82,JG82,JH82,JI82,JJ82,JK82,JL82,JM82,JN82,JO82,JP82,JQ82),IF(I82&gt;0,"Eligible but limited","Will appear"),"Excluded"))</f>
        <v/>
      </c>
      <c r="B82" s="24" t="inlineStr">
        <is>
          <t>Blogs - Summary</t>
        </is>
      </c>
      <c r="C82" s="27" t="inlineStr">
        <is>
          <t>/the-som-experience/interests-and-industries/social-impact</t>
        </is>
      </c>
      <c r="D82" s="24" t="inlineStr">
        <is>
          <t>/the-som-experience/interests-and-industries/social-impact</t>
        </is>
      </c>
      <c r="E82" s="24" t="n">
        <v>1</v>
      </c>
      <c r="F82" s="24" t="inlineStr">
        <is>
          <t>story</t>
        </is>
      </c>
      <c r="G82" s="24" t="inlineStr">
        <is>
          <t>stories_mosaic_grid</t>
        </is>
      </c>
      <c r="H82" s="24" t="inlineStr">
        <is>
          <t>embed_blog_summary</t>
        </is>
      </c>
      <c r="I82" s="24" t="n">
        <v>1</v>
      </c>
      <c r="J82" s="24" t="inlineStr">
        <is>
          <t>View/config rules</t>
        </is>
      </c>
      <c r="K82" s="24" t="inlineStr">
        <is>
          <t>Page placement</t>
        </is>
      </c>
      <c r="L82" s="24" t="inlineStr">
        <is>
          <t>Content type: story; Needs any Story Type: Blog (974); Limited to 1 item(s); Source: View/config rules</t>
        </is>
      </c>
      <c r="HY82" s="19" t="inlineStr">
        <is>
          <t>974</t>
        </is>
      </c>
      <c r="HZ82" s="19" t="inlineStr">
        <is>
          <t>Blog (974)</t>
        </is>
      </c>
      <c r="IS82" s="19">
        <f>IF(input_content_type="",FALSE,ISNUMBER(SEARCH(","&amp;LOWER(input_content_type)&amp;",",","&amp;LOWER(SUBSTITUTE(F82," ",""))&amp;",")))</f>
        <v/>
      </c>
      <c r="IT82" s="19">
        <f>AND(IF(M82="",TRUE,IF(input_affiliations="",FALSE,SUMPRODUCT(--ISNUMBER(SEARCH(","&amp;TRIM(TEXTSPLIT(M82,","))&amp;",",","&amp;SUBSTITUTE(input_affiliations," ","")&amp;",")))&gt;0)),IF(O82="",TRUE,IF(input_affiliations="",FALSE,SUMPRODUCT(--ISNUMBER(SEARCH(","&amp;TRIM(TEXTSPLIT(O82,","))&amp;",",","&amp;SUBSTITUTE(input_affiliations," ","")&amp;",")))=COUNTA(TEXTSPLIT(O82,",")))),IF(Q82="",TRUE,IF(input_affiliations="",TRUE,SUMPRODUCT(--ISNUMBER(SEARCH(","&amp;TRIM(TEXTSPLIT(Q82,","))&amp;",",","&amp;SUBSTITUTE(input_affiliations," ","")&amp;",")))=0)),IF(S82="",TRUE,IF(input_affiliations="",FALSE,SUMPRODUCT(--ISNUMBER(SEARCH(","&amp;TRIM(TEXTSPLIT(S82,","))&amp;",",","&amp;SUBSTITUTE(input_affiliations," ","")&amp;",")))&gt;0)),IF(U82="",TRUE,IF(input_affiliations="",FALSE,SUMPRODUCT(--ISNUMBER(SEARCH(","&amp;TRIM(TEXTSPLIT(U82,","))&amp;",",","&amp;SUBSTITUTE(input_affiliations," ","")&amp;",")))=COUNTA(TEXTSPLIT(U82,",")))))</f>
        <v/>
      </c>
      <c r="IU82" s="19">
        <f>AND(IF(W82="",TRUE,IF(input_announcement_category="",FALSE,SUMPRODUCT(--ISNUMBER(SEARCH(","&amp;TRIM(TEXTSPLIT(W82,","))&amp;",",","&amp;SUBSTITUTE(input_announcement_category," ","")&amp;",")))&gt;0)),IF(Y82="",TRUE,IF(input_announcement_category="",FALSE,SUMPRODUCT(--ISNUMBER(SEARCH(","&amp;TRIM(TEXTSPLIT(Y82,","))&amp;",",","&amp;SUBSTITUTE(input_announcement_category," ","")&amp;",")))=COUNTA(TEXTSPLIT(Y82,",")))),IF(AA82="",TRUE,IF(input_announcement_category="",TRUE,SUMPRODUCT(--ISNUMBER(SEARCH(","&amp;TRIM(TEXTSPLIT(AA82,","))&amp;",",","&amp;SUBSTITUTE(input_announcement_category," ","")&amp;",")))=0)),IF(AC82="",TRUE,IF(input_announcement_category="",FALSE,SUMPRODUCT(--ISNUMBER(SEARCH(","&amp;TRIM(TEXTSPLIT(AC82,","))&amp;",",","&amp;SUBSTITUTE(input_announcement_category," ","")&amp;",")))&gt;0)),IF(AE82="",TRUE,IF(input_announcement_category="",FALSE,SUMPRODUCT(--ISNUMBER(SEARCH(","&amp;TRIM(TEXTSPLIT(AE82,","))&amp;",",","&amp;SUBSTITUTE(input_announcement_category," ","")&amp;",")))=COUNTA(TEXTSPLIT(AE82,",")))))</f>
        <v/>
      </c>
      <c r="IV82" s="19">
        <f>AND(IF(AG82="",TRUE,IF(input_area_of_focus="",FALSE,SUMPRODUCT(--ISNUMBER(SEARCH(","&amp;TRIM(TEXTSPLIT(AG82,","))&amp;",",","&amp;SUBSTITUTE(input_area_of_focus," ","")&amp;",")))&gt;0)),IF(AI82="",TRUE,IF(input_area_of_focus="",FALSE,SUMPRODUCT(--ISNUMBER(SEARCH(","&amp;TRIM(TEXTSPLIT(AI82,","))&amp;",",","&amp;SUBSTITUTE(input_area_of_focus," ","")&amp;",")))=COUNTA(TEXTSPLIT(AI82,",")))),IF(AK82="",TRUE,IF(input_area_of_focus="",TRUE,SUMPRODUCT(--ISNUMBER(SEARCH(","&amp;TRIM(TEXTSPLIT(AK82,","))&amp;",",","&amp;SUBSTITUTE(input_area_of_focus," ","")&amp;",")))=0)),IF(AM82="",TRUE,IF(input_area_of_focus="",FALSE,SUMPRODUCT(--ISNUMBER(SEARCH(","&amp;TRIM(TEXTSPLIT(AM82,","))&amp;",",","&amp;SUBSTITUTE(input_area_of_focus," ","")&amp;",")))&gt;0)),IF(AO82="",TRUE,IF(input_area_of_focus="",FALSE,SUMPRODUCT(--ISNUMBER(SEARCH(","&amp;TRIM(TEXTSPLIT(AO82,","))&amp;",",","&amp;SUBSTITUTE(input_area_of_focus," ","")&amp;",")))=COUNTA(TEXTSPLIT(AO82,",")))))</f>
        <v/>
      </c>
      <c r="IW82" s="19">
        <f>AND(IF(AQ82="",TRUE,IF(input_audience="",FALSE,SUMPRODUCT(--ISNUMBER(SEARCH(","&amp;TRIM(TEXTSPLIT(AQ82,","))&amp;",",","&amp;SUBSTITUTE(input_audience," ","")&amp;",")))&gt;0)),IF(AS82="",TRUE,IF(input_audience="",FALSE,SUMPRODUCT(--ISNUMBER(SEARCH(","&amp;TRIM(TEXTSPLIT(AS82,","))&amp;",",","&amp;SUBSTITUTE(input_audience," ","")&amp;",")))=COUNTA(TEXTSPLIT(AS82,",")))),IF(AU82="",TRUE,IF(input_audience="",TRUE,SUMPRODUCT(--ISNUMBER(SEARCH(","&amp;TRIM(TEXTSPLIT(AU82,","))&amp;",",","&amp;SUBSTITUTE(input_audience," ","")&amp;",")))=0)),IF(AW82="",TRUE,IF(input_audience="",FALSE,SUMPRODUCT(--ISNUMBER(SEARCH(","&amp;TRIM(TEXTSPLIT(AW82,","))&amp;",",","&amp;SUBSTITUTE(input_audience," ","")&amp;",")))&gt;0)),IF(AY82="",TRUE,IF(input_audience="",FALSE,SUMPRODUCT(--ISNUMBER(SEARCH(","&amp;TRIM(TEXTSPLIT(AY82,","))&amp;",",","&amp;SUBSTITUTE(input_audience," ","")&amp;",")))=COUNTA(TEXTSPLIT(AY82,",")))))</f>
        <v/>
      </c>
      <c r="IX82" s="19">
        <f>AND(IF(BA82="",TRUE,IF(input_challenge_opportunities="",FALSE,SUMPRODUCT(--ISNUMBER(SEARCH(","&amp;TRIM(TEXTSPLIT(BA82,","))&amp;",",","&amp;SUBSTITUTE(input_challenge_opportunities," ","")&amp;",")))&gt;0)),IF(BC82="",TRUE,IF(input_challenge_opportunities="",FALSE,SUMPRODUCT(--ISNUMBER(SEARCH(","&amp;TRIM(TEXTSPLIT(BC82,","))&amp;",",","&amp;SUBSTITUTE(input_challenge_opportunities," ","")&amp;",")))=COUNTA(TEXTSPLIT(BC82,",")))),IF(BE82="",TRUE,IF(input_challenge_opportunities="",TRUE,SUMPRODUCT(--ISNUMBER(SEARCH(","&amp;TRIM(TEXTSPLIT(BE82,","))&amp;",",","&amp;SUBSTITUTE(input_challenge_opportunities," ","")&amp;",")))=0)),IF(BG82="",TRUE,IF(input_challenge_opportunities="",FALSE,SUMPRODUCT(--ISNUMBER(SEARCH(","&amp;TRIM(TEXTSPLIT(BG82,","))&amp;",",","&amp;SUBSTITUTE(input_challenge_opportunities," ","")&amp;",")))&gt;0)),IF(BI82="",TRUE,IF(input_challenge_opportunities="",FALSE,SUMPRODUCT(--ISNUMBER(SEARCH(","&amp;TRIM(TEXTSPLIT(BI82,","))&amp;",",","&amp;SUBSTITUTE(input_challenge_opportunities," ","")&amp;",")))=COUNTA(TEXTSPLIT(BI82,",")))))</f>
        <v/>
      </c>
      <c r="IY82" s="19">
        <f>AND(IF(BK82="",TRUE,IF(input_context="",FALSE,SUMPRODUCT(--ISNUMBER(SEARCH(","&amp;TRIM(TEXTSPLIT(BK82,","))&amp;",",","&amp;SUBSTITUTE(input_context," ","")&amp;",")))&gt;0)),IF(BM82="",TRUE,IF(input_context="",FALSE,SUMPRODUCT(--ISNUMBER(SEARCH(","&amp;TRIM(TEXTSPLIT(BM82,","))&amp;",",","&amp;SUBSTITUTE(input_context," ","")&amp;",")))=COUNTA(TEXTSPLIT(BM82,",")))),IF(BO82="",TRUE,IF(input_context="",TRUE,SUMPRODUCT(--ISNUMBER(SEARCH(","&amp;TRIM(TEXTSPLIT(BO82,","))&amp;",",","&amp;SUBSTITUTE(input_context," ","")&amp;",")))=0)),IF(BQ82="",TRUE,IF(input_context="",FALSE,SUMPRODUCT(--ISNUMBER(SEARCH(","&amp;TRIM(TEXTSPLIT(BQ82,","))&amp;",",","&amp;SUBSTITUTE(input_context," ","")&amp;",")))&gt;0)),IF(BS82="",TRUE,IF(input_context="",FALSE,SUMPRODUCT(--ISNUMBER(SEARCH(","&amp;TRIM(TEXTSPLIT(BS82,","))&amp;",",","&amp;SUBSTITUTE(input_context," ","")&amp;",")))=COUNTA(TEXTSPLIT(BS82,",")))))</f>
        <v/>
      </c>
      <c r="IZ82" s="19">
        <f>AND(IF(BU82="",TRUE,IF(input_enews_announcement_type="",FALSE,SUMPRODUCT(--ISNUMBER(SEARCH(","&amp;TRIM(TEXTSPLIT(BU82,","))&amp;",",","&amp;SUBSTITUTE(input_enews_announcement_type," ","")&amp;",")))&gt;0)),IF(BW82="",TRUE,IF(input_enews_announcement_type="",FALSE,SUMPRODUCT(--ISNUMBER(SEARCH(","&amp;TRIM(TEXTSPLIT(BW82,","))&amp;",",","&amp;SUBSTITUTE(input_enews_announcement_type," ","")&amp;",")))=COUNTA(TEXTSPLIT(BW82,",")))),IF(BY82="",TRUE,IF(input_enews_announcement_type="",TRUE,SUMPRODUCT(--ISNUMBER(SEARCH(","&amp;TRIM(TEXTSPLIT(BY82,","))&amp;",",","&amp;SUBSTITUTE(input_enews_announcement_type," ","")&amp;",")))=0)),IF(CA82="",TRUE,IF(input_enews_announcement_type="",FALSE,SUMPRODUCT(--ISNUMBER(SEARCH(","&amp;TRIM(TEXTSPLIT(CA82,","))&amp;",",","&amp;SUBSTITUTE(input_enews_announcement_type," ","")&amp;",")))&gt;0)),IF(CC82="",TRUE,IF(input_enews_announcement_type="",FALSE,SUMPRODUCT(--ISNUMBER(SEARCH(","&amp;TRIM(TEXTSPLIT(CC82,","))&amp;",",","&amp;SUBSTITUTE(input_enews_announcement_type," ","")&amp;",")))=COUNTA(TEXTSPLIT(CC82,",")))))</f>
        <v/>
      </c>
      <c r="JA82" s="19">
        <f>AND(IF(CE82="",TRUE,IF(input_enews_audience="",FALSE,SUMPRODUCT(--ISNUMBER(SEARCH(","&amp;TRIM(TEXTSPLIT(CE82,","))&amp;",",","&amp;SUBSTITUTE(input_enews_audience," ","")&amp;",")))&gt;0)),IF(CG82="",TRUE,IF(input_enews_audience="",FALSE,SUMPRODUCT(--ISNUMBER(SEARCH(","&amp;TRIM(TEXTSPLIT(CG82,","))&amp;",",","&amp;SUBSTITUTE(input_enews_audience," ","")&amp;",")))=COUNTA(TEXTSPLIT(CG82,",")))),IF(CI82="",TRUE,IF(input_enews_audience="",TRUE,SUMPRODUCT(--ISNUMBER(SEARCH(","&amp;TRIM(TEXTSPLIT(CI82,","))&amp;",",","&amp;SUBSTITUTE(input_enews_audience," ","")&amp;",")))=0)),IF(CK82="",TRUE,IF(input_enews_audience="",FALSE,SUMPRODUCT(--ISNUMBER(SEARCH(","&amp;TRIM(TEXTSPLIT(CK82,","))&amp;",",","&amp;SUBSTITUTE(input_enews_audience," ","")&amp;",")))&gt;0)),IF(CM82="",TRUE,IF(input_enews_audience="",FALSE,SUMPRODUCT(--ISNUMBER(SEARCH(","&amp;TRIM(TEXTSPLIT(CM82,","))&amp;",",","&amp;SUBSTITUTE(input_enews_audience," ","")&amp;",")))=COUNTA(TEXTSPLIT(CM82,",")))))</f>
        <v/>
      </c>
      <c r="JB82" s="19">
        <f>AND(IF(CO82="",TRUE,IF(input_event_location="",FALSE,SUMPRODUCT(--ISNUMBER(SEARCH(","&amp;TRIM(TEXTSPLIT(CO82,","))&amp;",",","&amp;SUBSTITUTE(input_event_location," ","")&amp;",")))&gt;0)),IF(CQ82="",TRUE,IF(input_event_location="",FALSE,SUMPRODUCT(--ISNUMBER(SEARCH(","&amp;TRIM(TEXTSPLIT(CQ82,","))&amp;",",","&amp;SUBSTITUTE(input_event_location," ","")&amp;",")))=COUNTA(TEXTSPLIT(CQ82,",")))),IF(CS82="",TRUE,IF(input_event_location="",TRUE,SUMPRODUCT(--ISNUMBER(SEARCH(","&amp;TRIM(TEXTSPLIT(CS82,","))&amp;",",","&amp;SUBSTITUTE(input_event_location," ","")&amp;",")))=0)),IF(CU82="",TRUE,IF(input_event_location="",FALSE,SUMPRODUCT(--ISNUMBER(SEARCH(","&amp;TRIM(TEXTSPLIT(CU82,","))&amp;",",","&amp;SUBSTITUTE(input_event_location," ","")&amp;",")))&gt;0)),IF(CW82="",TRUE,IF(input_event_location="",FALSE,SUMPRODUCT(--ISNUMBER(SEARCH(","&amp;TRIM(TEXTSPLIT(CW82,","))&amp;",",","&amp;SUBSTITUTE(input_event_location," ","")&amp;",")))=COUNTA(TEXTSPLIT(CW82,",")))))</f>
        <v/>
      </c>
      <c r="JC82" s="19">
        <f>AND(IF(CY82="",TRUE,IF(input_event_type="",FALSE,SUMPRODUCT(--ISNUMBER(SEARCH(","&amp;TRIM(TEXTSPLIT(CY82,","))&amp;",",","&amp;SUBSTITUTE(input_event_type," ","")&amp;",")))&gt;0)),IF(DA82="",TRUE,IF(input_event_type="",FALSE,SUMPRODUCT(--ISNUMBER(SEARCH(","&amp;TRIM(TEXTSPLIT(DA82,","))&amp;",",","&amp;SUBSTITUTE(input_event_type," ","")&amp;",")))=COUNTA(TEXTSPLIT(DA82,",")))),IF(DC82="",TRUE,IF(input_event_type="",TRUE,SUMPRODUCT(--ISNUMBER(SEARCH(","&amp;TRIM(TEXTSPLIT(DC82,","))&amp;",",","&amp;SUBSTITUTE(input_event_type," ","")&amp;",")))=0)),IF(DE82="",TRUE,IF(input_event_type="",FALSE,SUMPRODUCT(--ISNUMBER(SEARCH(","&amp;TRIM(TEXTSPLIT(DE82,","))&amp;",",","&amp;SUBSTITUTE(input_event_type," ","")&amp;",")))&gt;0)),IF(DG82="",TRUE,IF(input_event_type="",FALSE,SUMPRODUCT(--ISNUMBER(SEARCH(","&amp;TRIM(TEXTSPLIT(DG82,","))&amp;",",","&amp;SUBSTITUTE(input_event_type," ","")&amp;",")))=COUNTA(TEXTSPLIT(DG82,",")))))</f>
        <v/>
      </c>
      <c r="JD82" s="19">
        <f>AND(IF(DI82="",TRUE,IF(input_executive_education_focus="",FALSE,SUMPRODUCT(--ISNUMBER(SEARCH(","&amp;TRIM(TEXTSPLIT(DI82,","))&amp;",",","&amp;SUBSTITUTE(input_executive_education_focus," ","")&amp;",")))&gt;0)),IF(DK82="",TRUE,IF(input_executive_education_focus="",FALSE,SUMPRODUCT(--ISNUMBER(SEARCH(","&amp;TRIM(TEXTSPLIT(DK82,","))&amp;",",","&amp;SUBSTITUTE(input_executive_education_focus," ","")&amp;",")))=COUNTA(TEXTSPLIT(DK82,",")))),IF(DM82="",TRUE,IF(input_executive_education_focus="",TRUE,SUMPRODUCT(--ISNUMBER(SEARCH(","&amp;TRIM(TEXTSPLIT(DM82,","))&amp;",",","&amp;SUBSTITUTE(input_executive_education_focus," ","")&amp;",")))=0)),IF(DO82="",TRUE,IF(input_executive_education_focus="",FALSE,SUMPRODUCT(--ISNUMBER(SEARCH(","&amp;TRIM(TEXTSPLIT(DO82,","))&amp;",",","&amp;SUBSTITUTE(input_executive_education_focus," ","")&amp;",")))&gt;0)),IF(DQ82="",TRUE,IF(input_executive_education_focus="",FALSE,SUMPRODUCT(--ISNUMBER(SEARCH(","&amp;TRIM(TEXTSPLIT(DQ82,","))&amp;",",","&amp;SUBSTITUTE(input_executive_education_focus," ","")&amp;",")))=COUNTA(TEXTSPLIT(DQ82,",")))))</f>
        <v/>
      </c>
      <c r="JE82" s="19">
        <f>AND(IF(DS82="",TRUE,IF(input_faculty_category="",FALSE,SUMPRODUCT(--ISNUMBER(SEARCH(","&amp;TRIM(TEXTSPLIT(DS82,","))&amp;",",","&amp;SUBSTITUTE(input_faculty_category," ","")&amp;",")))&gt;0)),IF(DU82="",TRUE,IF(input_faculty_category="",FALSE,SUMPRODUCT(--ISNUMBER(SEARCH(","&amp;TRIM(TEXTSPLIT(DU82,","))&amp;",",","&amp;SUBSTITUTE(input_faculty_category," ","")&amp;",")))=COUNTA(TEXTSPLIT(DU82,",")))),IF(DW82="",TRUE,IF(input_faculty_category="",TRUE,SUMPRODUCT(--ISNUMBER(SEARCH(","&amp;TRIM(TEXTSPLIT(DW82,","))&amp;",",","&amp;SUBSTITUTE(input_faculty_category," ","")&amp;",")))=0)),IF(DY82="",TRUE,IF(input_faculty_category="",FALSE,SUMPRODUCT(--ISNUMBER(SEARCH(","&amp;TRIM(TEXTSPLIT(DY82,","))&amp;",",","&amp;SUBSTITUTE(input_faculty_category," ","")&amp;",")))&gt;0)),IF(EA82="",TRUE,IF(input_faculty_category="",FALSE,SUMPRODUCT(--ISNUMBER(SEARCH(","&amp;TRIM(TEXTSPLIT(EA82,","))&amp;",",","&amp;SUBSTITUTE(input_faculty_category," ","")&amp;",")))=COUNTA(TEXTSPLIT(EA82,",")))))</f>
        <v/>
      </c>
      <c r="JF82" s="19">
        <f>AND(IF(EC82="",TRUE,IF(input_faculty_discipline="",FALSE,SUMPRODUCT(--ISNUMBER(SEARCH(","&amp;TRIM(TEXTSPLIT(EC82,","))&amp;",",","&amp;SUBSTITUTE(input_faculty_discipline," ","")&amp;",")))&gt;0)),IF(EE82="",TRUE,IF(input_faculty_discipline="",FALSE,SUMPRODUCT(--ISNUMBER(SEARCH(","&amp;TRIM(TEXTSPLIT(EE82,","))&amp;",",","&amp;SUBSTITUTE(input_faculty_discipline," ","")&amp;",")))=COUNTA(TEXTSPLIT(EE82,",")))),IF(EG82="",TRUE,IF(input_faculty_discipline="",TRUE,SUMPRODUCT(--ISNUMBER(SEARCH(","&amp;TRIM(TEXTSPLIT(EG82,","))&amp;",",","&amp;SUBSTITUTE(input_faculty_discipline," ","")&amp;",")))=0)),IF(EI82="",TRUE,IF(input_faculty_discipline="",FALSE,SUMPRODUCT(--ISNUMBER(SEARCH(","&amp;TRIM(TEXTSPLIT(EI82,","))&amp;",",","&amp;SUBSTITUTE(input_faculty_discipline," ","")&amp;",")))&gt;0)),IF(EK82="",TRUE,IF(input_faculty_discipline="",FALSE,SUMPRODUCT(--ISNUMBER(SEARCH(","&amp;TRIM(TEXTSPLIT(EK82,","))&amp;",",","&amp;SUBSTITUTE(input_faculty_discipline," ","")&amp;",")))=COUNTA(TEXTSPLIT(EK82,",")))))</f>
        <v/>
      </c>
      <c r="JG82" s="19">
        <f>AND(IF(EM82="",TRUE,IF(input_faculty_expertise="",FALSE,SUMPRODUCT(--ISNUMBER(SEARCH(","&amp;TRIM(TEXTSPLIT(EM82,","))&amp;",",","&amp;SUBSTITUTE(input_faculty_expertise," ","")&amp;",")))&gt;0)),IF(EO82="",TRUE,IF(input_faculty_expertise="",FALSE,SUMPRODUCT(--ISNUMBER(SEARCH(","&amp;TRIM(TEXTSPLIT(EO82,","))&amp;",",","&amp;SUBSTITUTE(input_faculty_expertise," ","")&amp;",")))=COUNTA(TEXTSPLIT(EO82,",")))),IF(EQ82="",TRUE,IF(input_faculty_expertise="",TRUE,SUMPRODUCT(--ISNUMBER(SEARCH(","&amp;TRIM(TEXTSPLIT(EQ82,","))&amp;",",","&amp;SUBSTITUTE(input_faculty_expertise," ","")&amp;",")))=0)),IF(ES82="",TRUE,IF(input_faculty_expertise="",FALSE,SUMPRODUCT(--ISNUMBER(SEARCH(","&amp;TRIM(TEXTSPLIT(ES82,","))&amp;",",","&amp;SUBSTITUTE(input_faculty_expertise," ","")&amp;",")))&gt;0)),IF(EU82="",TRUE,IF(input_faculty_expertise="",FALSE,SUMPRODUCT(--ISNUMBER(SEARCH(","&amp;TRIM(TEXTSPLIT(EU82,","))&amp;",",","&amp;SUBSTITUTE(input_faculty_expertise," ","")&amp;",")))=COUNTA(TEXTSPLIT(EU82,",")))))</f>
        <v/>
      </c>
      <c r="JH82" s="19">
        <f>AND(IF(EW82="",TRUE,IF(input_global_network_school="",FALSE,SUMPRODUCT(--ISNUMBER(SEARCH(","&amp;TRIM(TEXTSPLIT(EW82,","))&amp;",",","&amp;SUBSTITUTE(input_global_network_school," ","")&amp;",")))&gt;0)),IF(EY82="",TRUE,IF(input_global_network_school="",FALSE,SUMPRODUCT(--ISNUMBER(SEARCH(","&amp;TRIM(TEXTSPLIT(EY82,","))&amp;",",","&amp;SUBSTITUTE(input_global_network_school," ","")&amp;",")))=COUNTA(TEXTSPLIT(EY82,",")))),IF(FA82="",TRUE,IF(input_global_network_school="",TRUE,SUMPRODUCT(--ISNUMBER(SEARCH(","&amp;TRIM(TEXTSPLIT(FA82,","))&amp;",",","&amp;SUBSTITUTE(input_global_network_school," ","")&amp;",")))=0)),IF(FC82="",TRUE,IF(input_global_network_school="",FALSE,SUMPRODUCT(--ISNUMBER(SEARCH(","&amp;TRIM(TEXTSPLIT(FC82,","))&amp;",",","&amp;SUBSTITUTE(input_global_network_school," ","")&amp;",")))&gt;0)),IF(FE82="",TRUE,IF(input_global_network_school="",FALSE,SUMPRODUCT(--ISNUMBER(SEARCH(","&amp;TRIM(TEXTSPLIT(FE82,","))&amp;",",","&amp;SUBSTITUTE(input_global_network_school," ","")&amp;",")))=COUNTA(TEXTSPLIT(FE82,",")))))</f>
        <v/>
      </c>
      <c r="JI82" s="19">
        <f>AND(IF(FG82="",TRUE,IF(input_industry="",FALSE,SUMPRODUCT(--ISNUMBER(SEARCH(","&amp;TRIM(TEXTSPLIT(FG82,","))&amp;",",","&amp;SUBSTITUTE(input_industry," ","")&amp;",")))&gt;0)),IF(FI82="",TRUE,IF(input_industry="",FALSE,SUMPRODUCT(--ISNUMBER(SEARCH(","&amp;TRIM(TEXTSPLIT(FI82,","))&amp;",",","&amp;SUBSTITUTE(input_industry," ","")&amp;",")))=COUNTA(TEXTSPLIT(FI82,",")))),IF(FK82="",TRUE,IF(input_industry="",TRUE,SUMPRODUCT(--ISNUMBER(SEARCH(","&amp;TRIM(TEXTSPLIT(FK82,","))&amp;",",","&amp;SUBSTITUTE(input_industry," ","")&amp;",")))=0)),IF(FM82="",TRUE,IF(input_industry="",FALSE,SUMPRODUCT(--ISNUMBER(SEARCH(","&amp;TRIM(TEXTSPLIT(FM82,","))&amp;",",","&amp;SUBSTITUTE(input_industry," ","")&amp;",")))&gt;0)),IF(FO82="",TRUE,IF(input_industry="",FALSE,SUMPRODUCT(--ISNUMBER(SEARCH(","&amp;TRIM(TEXTSPLIT(FO82,","))&amp;",",","&amp;SUBSTITUTE(input_industry," ","")&amp;",")))=COUNTA(TEXTSPLIT(FO82,",")))))</f>
        <v/>
      </c>
      <c r="JJ82" s="19">
        <f>AND(IF(FQ82="",TRUE,IF(input_location="",FALSE,SUMPRODUCT(--ISNUMBER(SEARCH(","&amp;TRIM(TEXTSPLIT(FQ82,","))&amp;",",","&amp;SUBSTITUTE(input_location," ","")&amp;",")))&gt;0)),IF(FS82="",TRUE,IF(input_location="",FALSE,SUMPRODUCT(--ISNUMBER(SEARCH(","&amp;TRIM(TEXTSPLIT(FS82,","))&amp;",",","&amp;SUBSTITUTE(input_location," ","")&amp;",")))=COUNTA(TEXTSPLIT(FS82,",")))),IF(FU82="",TRUE,IF(input_location="",TRUE,SUMPRODUCT(--ISNUMBER(SEARCH(","&amp;TRIM(TEXTSPLIT(FU82,","))&amp;",",","&amp;SUBSTITUTE(input_location," ","")&amp;",")))=0)),IF(FW82="",TRUE,IF(input_location="",FALSE,SUMPRODUCT(--ISNUMBER(SEARCH(","&amp;TRIM(TEXTSPLIT(FW82,","))&amp;",",","&amp;SUBSTITUTE(input_location," ","")&amp;",")))&gt;0)),IF(FY82="",TRUE,IF(input_location="",FALSE,SUMPRODUCT(--ISNUMBER(SEARCH(","&amp;TRIM(TEXTSPLIT(FY82,","))&amp;",",","&amp;SUBSTITUTE(input_location," ","")&amp;",")))=COUNTA(TEXTSPLIT(FY82,",")))))</f>
        <v/>
      </c>
      <c r="JK82" s="19">
        <f>AND(IF(GA82="",TRUE,IF(input_modality="",FALSE,SUMPRODUCT(--ISNUMBER(SEARCH(","&amp;TRIM(TEXTSPLIT(GA82,","))&amp;",",","&amp;SUBSTITUTE(input_modality," ","")&amp;",")))&gt;0)),IF(GC82="",TRUE,IF(input_modality="",FALSE,SUMPRODUCT(--ISNUMBER(SEARCH(","&amp;TRIM(TEXTSPLIT(GC82,","))&amp;",",","&amp;SUBSTITUTE(input_modality," ","")&amp;",")))=COUNTA(TEXTSPLIT(GC82,",")))),IF(GE82="",TRUE,IF(input_modality="",TRUE,SUMPRODUCT(--ISNUMBER(SEARCH(","&amp;TRIM(TEXTSPLIT(GE82,","))&amp;",",","&amp;SUBSTITUTE(input_modality," ","")&amp;",")))=0)),IF(GG82="",TRUE,IF(input_modality="",FALSE,SUMPRODUCT(--ISNUMBER(SEARCH(","&amp;TRIM(TEXTSPLIT(GG82,","))&amp;",",","&amp;SUBSTITUTE(input_modality," ","")&amp;",")))&gt;0)),IF(GI82="",TRUE,IF(input_modality="",FALSE,SUMPRODUCT(--ISNUMBER(SEARCH(","&amp;TRIM(TEXTSPLIT(GI82,","))&amp;",",","&amp;SUBSTITUTE(input_modality," ","")&amp;",")))=COUNTA(TEXTSPLIT(GI82,",")))))</f>
        <v/>
      </c>
      <c r="JL82" s="19">
        <f>AND(IF(GK82="",TRUE,IF(input_organizer="",FALSE,SUMPRODUCT(--ISNUMBER(SEARCH(","&amp;TRIM(TEXTSPLIT(GK82,","))&amp;",",","&amp;SUBSTITUTE(input_organizer," ","")&amp;",")))&gt;0)),IF(GM82="",TRUE,IF(input_organizer="",FALSE,SUMPRODUCT(--ISNUMBER(SEARCH(","&amp;TRIM(TEXTSPLIT(GM82,","))&amp;",",","&amp;SUBSTITUTE(input_organizer," ","")&amp;",")))=COUNTA(TEXTSPLIT(GM82,",")))),IF(GO82="",TRUE,IF(input_organizer="",TRUE,SUMPRODUCT(--ISNUMBER(SEARCH(","&amp;TRIM(TEXTSPLIT(GO82,","))&amp;",",","&amp;SUBSTITUTE(input_organizer," ","")&amp;",")))=0)),IF(GQ82="",TRUE,IF(input_organizer="",FALSE,SUMPRODUCT(--ISNUMBER(SEARCH(","&amp;TRIM(TEXTSPLIT(GQ82,","))&amp;",",","&amp;SUBSTITUTE(input_organizer," ","")&amp;",")))&gt;0)),IF(GS82="",TRUE,IF(input_organizer="",FALSE,SUMPRODUCT(--ISNUMBER(SEARCH(","&amp;TRIM(TEXTSPLIT(GS82,","))&amp;",",","&amp;SUBSTITUTE(input_organizer," ","")&amp;",")))=COUNTA(TEXTSPLIT(GS82,",")))))</f>
        <v/>
      </c>
      <c r="JM82" s="19">
        <f>AND(IF(GU82="",TRUE,IF(input_profile_type="",FALSE,SUMPRODUCT(--ISNUMBER(SEARCH(","&amp;TRIM(TEXTSPLIT(GU82,","))&amp;",",","&amp;SUBSTITUTE(input_profile_type," ","")&amp;",")))&gt;0)),IF(GW82="",TRUE,IF(input_profile_type="",FALSE,SUMPRODUCT(--ISNUMBER(SEARCH(","&amp;TRIM(TEXTSPLIT(GW82,","))&amp;",",","&amp;SUBSTITUTE(input_profile_type," ","")&amp;",")))=COUNTA(TEXTSPLIT(GW82,",")))),IF(GY82="",TRUE,IF(input_profile_type="",TRUE,SUMPRODUCT(--ISNUMBER(SEARCH(","&amp;TRIM(TEXTSPLIT(GY82,","))&amp;",",","&amp;SUBSTITUTE(input_profile_type," ","")&amp;",")))=0)),IF(HA82="",TRUE,IF(input_profile_type="",FALSE,SUMPRODUCT(--ISNUMBER(SEARCH(","&amp;TRIM(TEXTSPLIT(HA82,","))&amp;",",","&amp;SUBSTITUTE(input_profile_type," ","")&amp;",")))&gt;0)),IF(HC82="",TRUE,IF(input_profile_type="",FALSE,SUMPRODUCT(--ISNUMBER(SEARCH(","&amp;TRIM(TEXTSPLIT(HC82,","))&amp;",",","&amp;SUBSTITUTE(input_profile_type," ","")&amp;",")))=COUNTA(TEXTSPLIT(HC82,",")))))</f>
        <v/>
      </c>
      <c r="JN82" s="19">
        <f>AND(IF(HE82="",TRUE,IF(input_program="",FALSE,SUMPRODUCT(--ISNUMBER(SEARCH(","&amp;TRIM(TEXTSPLIT(HE82,","))&amp;",",","&amp;SUBSTITUTE(input_program," ","")&amp;",")))&gt;0)),IF(HG82="",TRUE,IF(input_program="",FALSE,SUMPRODUCT(--ISNUMBER(SEARCH(","&amp;TRIM(TEXTSPLIT(HG82,","))&amp;",",","&amp;SUBSTITUTE(input_program," ","")&amp;",")))=COUNTA(TEXTSPLIT(HG82,",")))),IF(HI82="",TRUE,IF(input_program="",TRUE,SUMPRODUCT(--ISNUMBER(SEARCH(","&amp;TRIM(TEXTSPLIT(HI82,","))&amp;",",","&amp;SUBSTITUTE(input_program," ","")&amp;",")))=0)),IF(HK82="",TRUE,IF(input_program="",FALSE,SUMPRODUCT(--ISNUMBER(SEARCH(","&amp;TRIM(TEXTSPLIT(HK82,","))&amp;",",","&amp;SUBSTITUTE(input_program," ","")&amp;",")))&gt;0)),IF(HM82="",TRUE,IF(input_program="",FALSE,SUMPRODUCT(--ISNUMBER(SEARCH(","&amp;TRIM(TEXTSPLIT(HM82,","))&amp;",",","&amp;SUBSTITUTE(input_program," ","")&amp;",")))=COUNTA(TEXTSPLIT(HM82,",")))))</f>
        <v/>
      </c>
      <c r="JO82" s="19">
        <f>AND(IF(HO82="",TRUE,IF(input_story_categories="",FALSE,SUMPRODUCT(--ISNUMBER(SEARCH(","&amp;TRIM(TEXTSPLIT(HO82,","))&amp;",",","&amp;SUBSTITUTE(input_story_categories," ","")&amp;",")))&gt;0)),IF(HQ82="",TRUE,IF(input_story_categories="",FALSE,SUMPRODUCT(--ISNUMBER(SEARCH(","&amp;TRIM(TEXTSPLIT(HQ82,","))&amp;",",","&amp;SUBSTITUTE(input_story_categories," ","")&amp;",")))=COUNTA(TEXTSPLIT(HQ82,",")))),IF(HS82="",TRUE,IF(input_story_categories="",TRUE,SUMPRODUCT(--ISNUMBER(SEARCH(","&amp;TRIM(TEXTSPLIT(HS82,","))&amp;",",","&amp;SUBSTITUTE(input_story_categories," ","")&amp;",")))=0)),IF(HU82="",TRUE,IF(input_story_categories="",FALSE,SUMPRODUCT(--ISNUMBER(SEARCH(","&amp;TRIM(TEXTSPLIT(HU82,","))&amp;",",","&amp;SUBSTITUTE(input_story_categories," ","")&amp;",")))&gt;0)),IF(HW82="",TRUE,IF(input_story_categories="",FALSE,SUMPRODUCT(--ISNUMBER(SEARCH(","&amp;TRIM(TEXTSPLIT(HW82,","))&amp;",",","&amp;SUBSTITUTE(input_story_categories," ","")&amp;",")))=COUNTA(TEXTSPLIT(HW82,",")))))</f>
        <v/>
      </c>
      <c r="JP82" s="19">
        <f>AND(IF(HY82="",TRUE,IF(input_story_type="",FALSE,SUMPRODUCT(--ISNUMBER(SEARCH(","&amp;TRIM(TEXTSPLIT(HY82,","))&amp;",",","&amp;SUBSTITUTE(input_story_type," ","")&amp;",")))&gt;0)),IF(IA82="",TRUE,IF(input_story_type="",FALSE,SUMPRODUCT(--ISNUMBER(SEARCH(","&amp;TRIM(TEXTSPLIT(IA82,","))&amp;",",","&amp;SUBSTITUTE(input_story_type," ","")&amp;",")))=COUNTA(TEXTSPLIT(IA82,",")))),IF(IC82="",TRUE,IF(input_story_type="",TRUE,SUMPRODUCT(--ISNUMBER(SEARCH(","&amp;TRIM(TEXTSPLIT(IC82,","))&amp;",",","&amp;SUBSTITUTE(input_story_type," ","")&amp;",")))=0)),IF(IE82="",TRUE,IF(input_story_type="",FALSE,SUMPRODUCT(--ISNUMBER(SEARCH(","&amp;TRIM(TEXTSPLIT(IE82,","))&amp;",",","&amp;SUBSTITUTE(input_story_type," ","")&amp;",")))&gt;0)),IF(IG82="",TRUE,IF(input_story_type="",FALSE,SUMPRODUCT(--ISNUMBER(SEARCH(","&amp;TRIM(TEXTSPLIT(IG82,","))&amp;",",","&amp;SUBSTITUTE(input_story_type," ","")&amp;",")))=COUNTA(TEXTSPLIT(IG82,",")))))</f>
        <v/>
      </c>
      <c r="JQ82" s="19">
        <f>AND(IF(II82="",TRUE,IF(input_topics="",FALSE,SUMPRODUCT(--ISNUMBER(SEARCH(","&amp;TRIM(TEXTSPLIT(II82,","))&amp;",",","&amp;SUBSTITUTE(input_topics," ","")&amp;",")))&gt;0)),IF(IK82="",TRUE,IF(input_topics="",FALSE,SUMPRODUCT(--ISNUMBER(SEARCH(","&amp;TRIM(TEXTSPLIT(IK82,","))&amp;",",","&amp;SUBSTITUTE(input_topics," ","")&amp;",")))=COUNTA(TEXTSPLIT(IK82,",")))),IF(IM82="",TRUE,IF(input_topics="",TRUE,SUMPRODUCT(--ISNUMBER(SEARCH(","&amp;TRIM(TEXTSPLIT(IM82,","))&amp;",",","&amp;SUBSTITUTE(input_topics," ","")&amp;",")))=0)),IF(IO82="",TRUE,IF(input_topics="",FALSE,SUMPRODUCT(--ISNUMBER(SEARCH(","&amp;TRIM(TEXTSPLIT(IO82,","))&amp;",",","&amp;SUBSTITUTE(input_topics," ","")&amp;",")))&gt;0)),IF(IQ82="",TRUE,IF(input_topics="",FALSE,SUMPRODUCT(--ISNUMBER(SEARCH(","&amp;TRIM(TEXTSPLIT(IQ82,","))&amp;",",","&amp;SUBSTITUTE(input_topics," ","")&amp;",")))=COUNTA(TEXTSPLIT(IQ82,",")))))</f>
        <v/>
      </c>
    </row>
    <row r="83">
      <c r="A83" s="24">
        <f>IF(NOT(IS83),"Excluded",IF(AND(IT83,IU83,IV83,IW83,IX83,IY83,IZ83,JA83,JB83,JC83,JD83,JE83,JF83,JG83,JH83,JI83,JJ83,JK83,JL83,JM83,JN83,JO83,JP83,JQ83),IF(I83&gt;0,"Eligible but limited","Will appear"),"Excluded"))</f>
        <v/>
      </c>
      <c r="B83" s="24" t="inlineStr">
        <is>
          <t>Blogs - Summary</t>
        </is>
      </c>
      <c r="C83" s="27" t="inlineStr">
        <is>
          <t>/the-som-experience/interests-and-industries/sustainability</t>
        </is>
      </c>
      <c r="D83" s="24" t="inlineStr">
        <is>
          <t>/the-som-experience/interests-and-industries/sustainability</t>
        </is>
      </c>
      <c r="E83" s="24" t="n">
        <v>1</v>
      </c>
      <c r="F83" s="24" t="inlineStr">
        <is>
          <t>story</t>
        </is>
      </c>
      <c r="G83" s="24" t="inlineStr">
        <is>
          <t>stories_mosaic_grid</t>
        </is>
      </c>
      <c r="H83" s="24" t="inlineStr">
        <is>
          <t>embed_blog_summary</t>
        </is>
      </c>
      <c r="I83" s="24" t="n">
        <v>1</v>
      </c>
      <c r="J83" s="24" t="inlineStr">
        <is>
          <t>View/config rules</t>
        </is>
      </c>
      <c r="K83" s="24" t="inlineStr">
        <is>
          <t>Page placement</t>
        </is>
      </c>
      <c r="L83" s="24" t="inlineStr">
        <is>
          <t>Content type: story; Needs any Story Type: Blog (974); Limited to 1 item(s); Source: View/config rules</t>
        </is>
      </c>
      <c r="HY83" s="19" t="inlineStr">
        <is>
          <t>974</t>
        </is>
      </c>
      <c r="HZ83" s="19" t="inlineStr">
        <is>
          <t>Blog (974)</t>
        </is>
      </c>
      <c r="IS83" s="19">
        <f>IF(input_content_type="",FALSE,ISNUMBER(SEARCH(","&amp;LOWER(input_content_type)&amp;",",","&amp;LOWER(SUBSTITUTE(F83," ",""))&amp;",")))</f>
        <v/>
      </c>
      <c r="IT83" s="19">
        <f>AND(IF(M83="",TRUE,IF(input_affiliations="",FALSE,SUMPRODUCT(--ISNUMBER(SEARCH(","&amp;TRIM(TEXTSPLIT(M83,","))&amp;",",","&amp;SUBSTITUTE(input_affiliations," ","")&amp;",")))&gt;0)),IF(O83="",TRUE,IF(input_affiliations="",FALSE,SUMPRODUCT(--ISNUMBER(SEARCH(","&amp;TRIM(TEXTSPLIT(O83,","))&amp;",",","&amp;SUBSTITUTE(input_affiliations," ","")&amp;",")))=COUNTA(TEXTSPLIT(O83,",")))),IF(Q83="",TRUE,IF(input_affiliations="",TRUE,SUMPRODUCT(--ISNUMBER(SEARCH(","&amp;TRIM(TEXTSPLIT(Q83,","))&amp;",",","&amp;SUBSTITUTE(input_affiliations," ","")&amp;",")))=0)),IF(S83="",TRUE,IF(input_affiliations="",FALSE,SUMPRODUCT(--ISNUMBER(SEARCH(","&amp;TRIM(TEXTSPLIT(S83,","))&amp;",",","&amp;SUBSTITUTE(input_affiliations," ","")&amp;",")))&gt;0)),IF(U83="",TRUE,IF(input_affiliations="",FALSE,SUMPRODUCT(--ISNUMBER(SEARCH(","&amp;TRIM(TEXTSPLIT(U83,","))&amp;",",","&amp;SUBSTITUTE(input_affiliations," ","")&amp;",")))=COUNTA(TEXTSPLIT(U83,",")))))</f>
        <v/>
      </c>
      <c r="IU83" s="19">
        <f>AND(IF(W83="",TRUE,IF(input_announcement_category="",FALSE,SUMPRODUCT(--ISNUMBER(SEARCH(","&amp;TRIM(TEXTSPLIT(W83,","))&amp;",",","&amp;SUBSTITUTE(input_announcement_category," ","")&amp;",")))&gt;0)),IF(Y83="",TRUE,IF(input_announcement_category="",FALSE,SUMPRODUCT(--ISNUMBER(SEARCH(","&amp;TRIM(TEXTSPLIT(Y83,","))&amp;",",","&amp;SUBSTITUTE(input_announcement_category," ","")&amp;",")))=COUNTA(TEXTSPLIT(Y83,",")))),IF(AA83="",TRUE,IF(input_announcement_category="",TRUE,SUMPRODUCT(--ISNUMBER(SEARCH(","&amp;TRIM(TEXTSPLIT(AA83,","))&amp;",",","&amp;SUBSTITUTE(input_announcement_category," ","")&amp;",")))=0)),IF(AC83="",TRUE,IF(input_announcement_category="",FALSE,SUMPRODUCT(--ISNUMBER(SEARCH(","&amp;TRIM(TEXTSPLIT(AC83,","))&amp;",",","&amp;SUBSTITUTE(input_announcement_category," ","")&amp;",")))&gt;0)),IF(AE83="",TRUE,IF(input_announcement_category="",FALSE,SUMPRODUCT(--ISNUMBER(SEARCH(","&amp;TRIM(TEXTSPLIT(AE83,","))&amp;",",","&amp;SUBSTITUTE(input_announcement_category," ","")&amp;",")))=COUNTA(TEXTSPLIT(AE83,",")))))</f>
        <v/>
      </c>
      <c r="IV83" s="19">
        <f>AND(IF(AG83="",TRUE,IF(input_area_of_focus="",FALSE,SUMPRODUCT(--ISNUMBER(SEARCH(","&amp;TRIM(TEXTSPLIT(AG83,","))&amp;",",","&amp;SUBSTITUTE(input_area_of_focus," ","")&amp;",")))&gt;0)),IF(AI83="",TRUE,IF(input_area_of_focus="",FALSE,SUMPRODUCT(--ISNUMBER(SEARCH(","&amp;TRIM(TEXTSPLIT(AI83,","))&amp;",",","&amp;SUBSTITUTE(input_area_of_focus," ","")&amp;",")))=COUNTA(TEXTSPLIT(AI83,",")))),IF(AK83="",TRUE,IF(input_area_of_focus="",TRUE,SUMPRODUCT(--ISNUMBER(SEARCH(","&amp;TRIM(TEXTSPLIT(AK83,","))&amp;",",","&amp;SUBSTITUTE(input_area_of_focus," ","")&amp;",")))=0)),IF(AM83="",TRUE,IF(input_area_of_focus="",FALSE,SUMPRODUCT(--ISNUMBER(SEARCH(","&amp;TRIM(TEXTSPLIT(AM83,","))&amp;",",","&amp;SUBSTITUTE(input_area_of_focus," ","")&amp;",")))&gt;0)),IF(AO83="",TRUE,IF(input_area_of_focus="",FALSE,SUMPRODUCT(--ISNUMBER(SEARCH(","&amp;TRIM(TEXTSPLIT(AO83,","))&amp;",",","&amp;SUBSTITUTE(input_area_of_focus," ","")&amp;",")))=COUNTA(TEXTSPLIT(AO83,",")))))</f>
        <v/>
      </c>
      <c r="IW83" s="19">
        <f>AND(IF(AQ83="",TRUE,IF(input_audience="",FALSE,SUMPRODUCT(--ISNUMBER(SEARCH(","&amp;TRIM(TEXTSPLIT(AQ83,","))&amp;",",","&amp;SUBSTITUTE(input_audience," ","")&amp;",")))&gt;0)),IF(AS83="",TRUE,IF(input_audience="",FALSE,SUMPRODUCT(--ISNUMBER(SEARCH(","&amp;TRIM(TEXTSPLIT(AS83,","))&amp;",",","&amp;SUBSTITUTE(input_audience," ","")&amp;",")))=COUNTA(TEXTSPLIT(AS83,",")))),IF(AU83="",TRUE,IF(input_audience="",TRUE,SUMPRODUCT(--ISNUMBER(SEARCH(","&amp;TRIM(TEXTSPLIT(AU83,","))&amp;",",","&amp;SUBSTITUTE(input_audience," ","")&amp;",")))=0)),IF(AW83="",TRUE,IF(input_audience="",FALSE,SUMPRODUCT(--ISNUMBER(SEARCH(","&amp;TRIM(TEXTSPLIT(AW83,","))&amp;",",","&amp;SUBSTITUTE(input_audience," ","")&amp;",")))&gt;0)),IF(AY83="",TRUE,IF(input_audience="",FALSE,SUMPRODUCT(--ISNUMBER(SEARCH(","&amp;TRIM(TEXTSPLIT(AY83,","))&amp;",",","&amp;SUBSTITUTE(input_audience," ","")&amp;",")))=COUNTA(TEXTSPLIT(AY83,",")))))</f>
        <v/>
      </c>
      <c r="IX83" s="19">
        <f>AND(IF(BA83="",TRUE,IF(input_challenge_opportunities="",FALSE,SUMPRODUCT(--ISNUMBER(SEARCH(","&amp;TRIM(TEXTSPLIT(BA83,","))&amp;",",","&amp;SUBSTITUTE(input_challenge_opportunities," ","")&amp;",")))&gt;0)),IF(BC83="",TRUE,IF(input_challenge_opportunities="",FALSE,SUMPRODUCT(--ISNUMBER(SEARCH(","&amp;TRIM(TEXTSPLIT(BC83,","))&amp;",",","&amp;SUBSTITUTE(input_challenge_opportunities," ","")&amp;",")))=COUNTA(TEXTSPLIT(BC83,",")))),IF(BE83="",TRUE,IF(input_challenge_opportunities="",TRUE,SUMPRODUCT(--ISNUMBER(SEARCH(","&amp;TRIM(TEXTSPLIT(BE83,","))&amp;",",","&amp;SUBSTITUTE(input_challenge_opportunities," ","")&amp;",")))=0)),IF(BG83="",TRUE,IF(input_challenge_opportunities="",FALSE,SUMPRODUCT(--ISNUMBER(SEARCH(","&amp;TRIM(TEXTSPLIT(BG83,","))&amp;",",","&amp;SUBSTITUTE(input_challenge_opportunities," ","")&amp;",")))&gt;0)),IF(BI83="",TRUE,IF(input_challenge_opportunities="",FALSE,SUMPRODUCT(--ISNUMBER(SEARCH(","&amp;TRIM(TEXTSPLIT(BI83,","))&amp;",",","&amp;SUBSTITUTE(input_challenge_opportunities," ","")&amp;",")))=COUNTA(TEXTSPLIT(BI83,",")))))</f>
        <v/>
      </c>
      <c r="IY83" s="19">
        <f>AND(IF(BK83="",TRUE,IF(input_context="",FALSE,SUMPRODUCT(--ISNUMBER(SEARCH(","&amp;TRIM(TEXTSPLIT(BK83,","))&amp;",",","&amp;SUBSTITUTE(input_context," ","")&amp;",")))&gt;0)),IF(BM83="",TRUE,IF(input_context="",FALSE,SUMPRODUCT(--ISNUMBER(SEARCH(","&amp;TRIM(TEXTSPLIT(BM83,","))&amp;",",","&amp;SUBSTITUTE(input_context," ","")&amp;",")))=COUNTA(TEXTSPLIT(BM83,",")))),IF(BO83="",TRUE,IF(input_context="",TRUE,SUMPRODUCT(--ISNUMBER(SEARCH(","&amp;TRIM(TEXTSPLIT(BO83,","))&amp;",",","&amp;SUBSTITUTE(input_context," ","")&amp;",")))=0)),IF(BQ83="",TRUE,IF(input_context="",FALSE,SUMPRODUCT(--ISNUMBER(SEARCH(","&amp;TRIM(TEXTSPLIT(BQ83,","))&amp;",",","&amp;SUBSTITUTE(input_context," ","")&amp;",")))&gt;0)),IF(BS83="",TRUE,IF(input_context="",FALSE,SUMPRODUCT(--ISNUMBER(SEARCH(","&amp;TRIM(TEXTSPLIT(BS83,","))&amp;",",","&amp;SUBSTITUTE(input_context," ","")&amp;",")))=COUNTA(TEXTSPLIT(BS83,",")))))</f>
        <v/>
      </c>
      <c r="IZ83" s="19">
        <f>AND(IF(BU83="",TRUE,IF(input_enews_announcement_type="",FALSE,SUMPRODUCT(--ISNUMBER(SEARCH(","&amp;TRIM(TEXTSPLIT(BU83,","))&amp;",",","&amp;SUBSTITUTE(input_enews_announcement_type," ","")&amp;",")))&gt;0)),IF(BW83="",TRUE,IF(input_enews_announcement_type="",FALSE,SUMPRODUCT(--ISNUMBER(SEARCH(","&amp;TRIM(TEXTSPLIT(BW83,","))&amp;",",","&amp;SUBSTITUTE(input_enews_announcement_type," ","")&amp;",")))=COUNTA(TEXTSPLIT(BW83,",")))),IF(BY83="",TRUE,IF(input_enews_announcement_type="",TRUE,SUMPRODUCT(--ISNUMBER(SEARCH(","&amp;TRIM(TEXTSPLIT(BY83,","))&amp;",",","&amp;SUBSTITUTE(input_enews_announcement_type," ","")&amp;",")))=0)),IF(CA83="",TRUE,IF(input_enews_announcement_type="",FALSE,SUMPRODUCT(--ISNUMBER(SEARCH(","&amp;TRIM(TEXTSPLIT(CA83,","))&amp;",",","&amp;SUBSTITUTE(input_enews_announcement_type," ","")&amp;",")))&gt;0)),IF(CC83="",TRUE,IF(input_enews_announcement_type="",FALSE,SUMPRODUCT(--ISNUMBER(SEARCH(","&amp;TRIM(TEXTSPLIT(CC83,","))&amp;",",","&amp;SUBSTITUTE(input_enews_announcement_type," ","")&amp;",")))=COUNTA(TEXTSPLIT(CC83,",")))))</f>
        <v/>
      </c>
      <c r="JA83" s="19">
        <f>AND(IF(CE83="",TRUE,IF(input_enews_audience="",FALSE,SUMPRODUCT(--ISNUMBER(SEARCH(","&amp;TRIM(TEXTSPLIT(CE83,","))&amp;",",","&amp;SUBSTITUTE(input_enews_audience," ","")&amp;",")))&gt;0)),IF(CG83="",TRUE,IF(input_enews_audience="",FALSE,SUMPRODUCT(--ISNUMBER(SEARCH(","&amp;TRIM(TEXTSPLIT(CG83,","))&amp;",",","&amp;SUBSTITUTE(input_enews_audience," ","")&amp;",")))=COUNTA(TEXTSPLIT(CG83,",")))),IF(CI83="",TRUE,IF(input_enews_audience="",TRUE,SUMPRODUCT(--ISNUMBER(SEARCH(","&amp;TRIM(TEXTSPLIT(CI83,","))&amp;",",","&amp;SUBSTITUTE(input_enews_audience," ","")&amp;",")))=0)),IF(CK83="",TRUE,IF(input_enews_audience="",FALSE,SUMPRODUCT(--ISNUMBER(SEARCH(","&amp;TRIM(TEXTSPLIT(CK83,","))&amp;",",","&amp;SUBSTITUTE(input_enews_audience," ","")&amp;",")))&gt;0)),IF(CM83="",TRUE,IF(input_enews_audience="",FALSE,SUMPRODUCT(--ISNUMBER(SEARCH(","&amp;TRIM(TEXTSPLIT(CM83,","))&amp;",",","&amp;SUBSTITUTE(input_enews_audience," ","")&amp;",")))=COUNTA(TEXTSPLIT(CM83,",")))))</f>
        <v/>
      </c>
      <c r="JB83" s="19">
        <f>AND(IF(CO83="",TRUE,IF(input_event_location="",FALSE,SUMPRODUCT(--ISNUMBER(SEARCH(","&amp;TRIM(TEXTSPLIT(CO83,","))&amp;",",","&amp;SUBSTITUTE(input_event_location," ","")&amp;",")))&gt;0)),IF(CQ83="",TRUE,IF(input_event_location="",FALSE,SUMPRODUCT(--ISNUMBER(SEARCH(","&amp;TRIM(TEXTSPLIT(CQ83,","))&amp;",",","&amp;SUBSTITUTE(input_event_location," ","")&amp;",")))=COUNTA(TEXTSPLIT(CQ83,",")))),IF(CS83="",TRUE,IF(input_event_location="",TRUE,SUMPRODUCT(--ISNUMBER(SEARCH(","&amp;TRIM(TEXTSPLIT(CS83,","))&amp;",",","&amp;SUBSTITUTE(input_event_location," ","")&amp;",")))=0)),IF(CU83="",TRUE,IF(input_event_location="",FALSE,SUMPRODUCT(--ISNUMBER(SEARCH(","&amp;TRIM(TEXTSPLIT(CU83,","))&amp;",",","&amp;SUBSTITUTE(input_event_location," ","")&amp;",")))&gt;0)),IF(CW83="",TRUE,IF(input_event_location="",FALSE,SUMPRODUCT(--ISNUMBER(SEARCH(","&amp;TRIM(TEXTSPLIT(CW83,","))&amp;",",","&amp;SUBSTITUTE(input_event_location," ","")&amp;",")))=COUNTA(TEXTSPLIT(CW83,",")))))</f>
        <v/>
      </c>
      <c r="JC83" s="19">
        <f>AND(IF(CY83="",TRUE,IF(input_event_type="",FALSE,SUMPRODUCT(--ISNUMBER(SEARCH(","&amp;TRIM(TEXTSPLIT(CY83,","))&amp;",",","&amp;SUBSTITUTE(input_event_type," ","")&amp;",")))&gt;0)),IF(DA83="",TRUE,IF(input_event_type="",FALSE,SUMPRODUCT(--ISNUMBER(SEARCH(","&amp;TRIM(TEXTSPLIT(DA83,","))&amp;",",","&amp;SUBSTITUTE(input_event_type," ","")&amp;",")))=COUNTA(TEXTSPLIT(DA83,",")))),IF(DC83="",TRUE,IF(input_event_type="",TRUE,SUMPRODUCT(--ISNUMBER(SEARCH(","&amp;TRIM(TEXTSPLIT(DC83,","))&amp;",",","&amp;SUBSTITUTE(input_event_type," ","")&amp;",")))=0)),IF(DE83="",TRUE,IF(input_event_type="",FALSE,SUMPRODUCT(--ISNUMBER(SEARCH(","&amp;TRIM(TEXTSPLIT(DE83,","))&amp;",",","&amp;SUBSTITUTE(input_event_type," ","")&amp;",")))&gt;0)),IF(DG83="",TRUE,IF(input_event_type="",FALSE,SUMPRODUCT(--ISNUMBER(SEARCH(","&amp;TRIM(TEXTSPLIT(DG83,","))&amp;",",","&amp;SUBSTITUTE(input_event_type," ","")&amp;",")))=COUNTA(TEXTSPLIT(DG83,",")))))</f>
        <v/>
      </c>
      <c r="JD83" s="19">
        <f>AND(IF(DI83="",TRUE,IF(input_executive_education_focus="",FALSE,SUMPRODUCT(--ISNUMBER(SEARCH(","&amp;TRIM(TEXTSPLIT(DI83,","))&amp;",",","&amp;SUBSTITUTE(input_executive_education_focus," ","")&amp;",")))&gt;0)),IF(DK83="",TRUE,IF(input_executive_education_focus="",FALSE,SUMPRODUCT(--ISNUMBER(SEARCH(","&amp;TRIM(TEXTSPLIT(DK83,","))&amp;",",","&amp;SUBSTITUTE(input_executive_education_focus," ","")&amp;",")))=COUNTA(TEXTSPLIT(DK83,",")))),IF(DM83="",TRUE,IF(input_executive_education_focus="",TRUE,SUMPRODUCT(--ISNUMBER(SEARCH(","&amp;TRIM(TEXTSPLIT(DM83,","))&amp;",",","&amp;SUBSTITUTE(input_executive_education_focus," ","")&amp;",")))=0)),IF(DO83="",TRUE,IF(input_executive_education_focus="",FALSE,SUMPRODUCT(--ISNUMBER(SEARCH(","&amp;TRIM(TEXTSPLIT(DO83,","))&amp;",",","&amp;SUBSTITUTE(input_executive_education_focus," ","")&amp;",")))&gt;0)),IF(DQ83="",TRUE,IF(input_executive_education_focus="",FALSE,SUMPRODUCT(--ISNUMBER(SEARCH(","&amp;TRIM(TEXTSPLIT(DQ83,","))&amp;",",","&amp;SUBSTITUTE(input_executive_education_focus," ","")&amp;",")))=COUNTA(TEXTSPLIT(DQ83,",")))))</f>
        <v/>
      </c>
      <c r="JE83" s="19">
        <f>AND(IF(DS83="",TRUE,IF(input_faculty_category="",FALSE,SUMPRODUCT(--ISNUMBER(SEARCH(","&amp;TRIM(TEXTSPLIT(DS83,","))&amp;",",","&amp;SUBSTITUTE(input_faculty_category," ","")&amp;",")))&gt;0)),IF(DU83="",TRUE,IF(input_faculty_category="",FALSE,SUMPRODUCT(--ISNUMBER(SEARCH(","&amp;TRIM(TEXTSPLIT(DU83,","))&amp;",",","&amp;SUBSTITUTE(input_faculty_category," ","")&amp;",")))=COUNTA(TEXTSPLIT(DU83,",")))),IF(DW83="",TRUE,IF(input_faculty_category="",TRUE,SUMPRODUCT(--ISNUMBER(SEARCH(","&amp;TRIM(TEXTSPLIT(DW83,","))&amp;",",","&amp;SUBSTITUTE(input_faculty_category," ","")&amp;",")))=0)),IF(DY83="",TRUE,IF(input_faculty_category="",FALSE,SUMPRODUCT(--ISNUMBER(SEARCH(","&amp;TRIM(TEXTSPLIT(DY83,","))&amp;",",","&amp;SUBSTITUTE(input_faculty_category," ","")&amp;",")))&gt;0)),IF(EA83="",TRUE,IF(input_faculty_category="",FALSE,SUMPRODUCT(--ISNUMBER(SEARCH(","&amp;TRIM(TEXTSPLIT(EA83,","))&amp;",",","&amp;SUBSTITUTE(input_faculty_category," ","")&amp;",")))=COUNTA(TEXTSPLIT(EA83,",")))))</f>
        <v/>
      </c>
      <c r="JF83" s="19">
        <f>AND(IF(EC83="",TRUE,IF(input_faculty_discipline="",FALSE,SUMPRODUCT(--ISNUMBER(SEARCH(","&amp;TRIM(TEXTSPLIT(EC83,","))&amp;",",","&amp;SUBSTITUTE(input_faculty_discipline," ","")&amp;",")))&gt;0)),IF(EE83="",TRUE,IF(input_faculty_discipline="",FALSE,SUMPRODUCT(--ISNUMBER(SEARCH(","&amp;TRIM(TEXTSPLIT(EE83,","))&amp;",",","&amp;SUBSTITUTE(input_faculty_discipline," ","")&amp;",")))=COUNTA(TEXTSPLIT(EE83,",")))),IF(EG83="",TRUE,IF(input_faculty_discipline="",TRUE,SUMPRODUCT(--ISNUMBER(SEARCH(","&amp;TRIM(TEXTSPLIT(EG83,","))&amp;",",","&amp;SUBSTITUTE(input_faculty_discipline," ","")&amp;",")))=0)),IF(EI83="",TRUE,IF(input_faculty_discipline="",FALSE,SUMPRODUCT(--ISNUMBER(SEARCH(","&amp;TRIM(TEXTSPLIT(EI83,","))&amp;",",","&amp;SUBSTITUTE(input_faculty_discipline," ","")&amp;",")))&gt;0)),IF(EK83="",TRUE,IF(input_faculty_discipline="",FALSE,SUMPRODUCT(--ISNUMBER(SEARCH(","&amp;TRIM(TEXTSPLIT(EK83,","))&amp;",",","&amp;SUBSTITUTE(input_faculty_discipline," ","")&amp;",")))=COUNTA(TEXTSPLIT(EK83,",")))))</f>
        <v/>
      </c>
      <c r="JG83" s="19">
        <f>AND(IF(EM83="",TRUE,IF(input_faculty_expertise="",FALSE,SUMPRODUCT(--ISNUMBER(SEARCH(","&amp;TRIM(TEXTSPLIT(EM83,","))&amp;",",","&amp;SUBSTITUTE(input_faculty_expertise," ","")&amp;",")))&gt;0)),IF(EO83="",TRUE,IF(input_faculty_expertise="",FALSE,SUMPRODUCT(--ISNUMBER(SEARCH(","&amp;TRIM(TEXTSPLIT(EO83,","))&amp;",",","&amp;SUBSTITUTE(input_faculty_expertise," ","")&amp;",")))=COUNTA(TEXTSPLIT(EO83,",")))),IF(EQ83="",TRUE,IF(input_faculty_expertise="",TRUE,SUMPRODUCT(--ISNUMBER(SEARCH(","&amp;TRIM(TEXTSPLIT(EQ83,","))&amp;",",","&amp;SUBSTITUTE(input_faculty_expertise," ","")&amp;",")))=0)),IF(ES83="",TRUE,IF(input_faculty_expertise="",FALSE,SUMPRODUCT(--ISNUMBER(SEARCH(","&amp;TRIM(TEXTSPLIT(ES83,","))&amp;",",","&amp;SUBSTITUTE(input_faculty_expertise," ","")&amp;",")))&gt;0)),IF(EU83="",TRUE,IF(input_faculty_expertise="",FALSE,SUMPRODUCT(--ISNUMBER(SEARCH(","&amp;TRIM(TEXTSPLIT(EU83,","))&amp;",",","&amp;SUBSTITUTE(input_faculty_expertise," ","")&amp;",")))=COUNTA(TEXTSPLIT(EU83,",")))))</f>
        <v/>
      </c>
      <c r="JH83" s="19">
        <f>AND(IF(EW83="",TRUE,IF(input_global_network_school="",FALSE,SUMPRODUCT(--ISNUMBER(SEARCH(","&amp;TRIM(TEXTSPLIT(EW83,","))&amp;",",","&amp;SUBSTITUTE(input_global_network_school," ","")&amp;",")))&gt;0)),IF(EY83="",TRUE,IF(input_global_network_school="",FALSE,SUMPRODUCT(--ISNUMBER(SEARCH(","&amp;TRIM(TEXTSPLIT(EY83,","))&amp;",",","&amp;SUBSTITUTE(input_global_network_school," ","")&amp;",")))=COUNTA(TEXTSPLIT(EY83,",")))),IF(FA83="",TRUE,IF(input_global_network_school="",TRUE,SUMPRODUCT(--ISNUMBER(SEARCH(","&amp;TRIM(TEXTSPLIT(FA83,","))&amp;",",","&amp;SUBSTITUTE(input_global_network_school," ","")&amp;",")))=0)),IF(FC83="",TRUE,IF(input_global_network_school="",FALSE,SUMPRODUCT(--ISNUMBER(SEARCH(","&amp;TRIM(TEXTSPLIT(FC83,","))&amp;",",","&amp;SUBSTITUTE(input_global_network_school," ","")&amp;",")))&gt;0)),IF(FE83="",TRUE,IF(input_global_network_school="",FALSE,SUMPRODUCT(--ISNUMBER(SEARCH(","&amp;TRIM(TEXTSPLIT(FE83,","))&amp;",",","&amp;SUBSTITUTE(input_global_network_school," ","")&amp;",")))=COUNTA(TEXTSPLIT(FE83,",")))))</f>
        <v/>
      </c>
      <c r="JI83" s="19">
        <f>AND(IF(FG83="",TRUE,IF(input_industry="",FALSE,SUMPRODUCT(--ISNUMBER(SEARCH(","&amp;TRIM(TEXTSPLIT(FG83,","))&amp;",",","&amp;SUBSTITUTE(input_industry," ","")&amp;",")))&gt;0)),IF(FI83="",TRUE,IF(input_industry="",FALSE,SUMPRODUCT(--ISNUMBER(SEARCH(","&amp;TRIM(TEXTSPLIT(FI83,","))&amp;",",","&amp;SUBSTITUTE(input_industry," ","")&amp;",")))=COUNTA(TEXTSPLIT(FI83,",")))),IF(FK83="",TRUE,IF(input_industry="",TRUE,SUMPRODUCT(--ISNUMBER(SEARCH(","&amp;TRIM(TEXTSPLIT(FK83,","))&amp;",",","&amp;SUBSTITUTE(input_industry," ","")&amp;",")))=0)),IF(FM83="",TRUE,IF(input_industry="",FALSE,SUMPRODUCT(--ISNUMBER(SEARCH(","&amp;TRIM(TEXTSPLIT(FM83,","))&amp;",",","&amp;SUBSTITUTE(input_industry," ","")&amp;",")))&gt;0)),IF(FO83="",TRUE,IF(input_industry="",FALSE,SUMPRODUCT(--ISNUMBER(SEARCH(","&amp;TRIM(TEXTSPLIT(FO83,","))&amp;",",","&amp;SUBSTITUTE(input_industry," ","")&amp;",")))=COUNTA(TEXTSPLIT(FO83,",")))))</f>
        <v/>
      </c>
      <c r="JJ83" s="19">
        <f>AND(IF(FQ83="",TRUE,IF(input_location="",FALSE,SUMPRODUCT(--ISNUMBER(SEARCH(","&amp;TRIM(TEXTSPLIT(FQ83,","))&amp;",",","&amp;SUBSTITUTE(input_location," ","")&amp;",")))&gt;0)),IF(FS83="",TRUE,IF(input_location="",FALSE,SUMPRODUCT(--ISNUMBER(SEARCH(","&amp;TRIM(TEXTSPLIT(FS83,","))&amp;",",","&amp;SUBSTITUTE(input_location," ","")&amp;",")))=COUNTA(TEXTSPLIT(FS83,",")))),IF(FU83="",TRUE,IF(input_location="",TRUE,SUMPRODUCT(--ISNUMBER(SEARCH(","&amp;TRIM(TEXTSPLIT(FU83,","))&amp;",",","&amp;SUBSTITUTE(input_location," ","")&amp;",")))=0)),IF(FW83="",TRUE,IF(input_location="",FALSE,SUMPRODUCT(--ISNUMBER(SEARCH(","&amp;TRIM(TEXTSPLIT(FW83,","))&amp;",",","&amp;SUBSTITUTE(input_location," ","")&amp;",")))&gt;0)),IF(FY83="",TRUE,IF(input_location="",FALSE,SUMPRODUCT(--ISNUMBER(SEARCH(","&amp;TRIM(TEXTSPLIT(FY83,","))&amp;",",","&amp;SUBSTITUTE(input_location," ","")&amp;",")))=COUNTA(TEXTSPLIT(FY83,",")))))</f>
        <v/>
      </c>
      <c r="JK83" s="19">
        <f>AND(IF(GA83="",TRUE,IF(input_modality="",FALSE,SUMPRODUCT(--ISNUMBER(SEARCH(","&amp;TRIM(TEXTSPLIT(GA83,","))&amp;",",","&amp;SUBSTITUTE(input_modality," ","")&amp;",")))&gt;0)),IF(GC83="",TRUE,IF(input_modality="",FALSE,SUMPRODUCT(--ISNUMBER(SEARCH(","&amp;TRIM(TEXTSPLIT(GC83,","))&amp;",",","&amp;SUBSTITUTE(input_modality," ","")&amp;",")))=COUNTA(TEXTSPLIT(GC83,",")))),IF(GE83="",TRUE,IF(input_modality="",TRUE,SUMPRODUCT(--ISNUMBER(SEARCH(","&amp;TRIM(TEXTSPLIT(GE83,","))&amp;",",","&amp;SUBSTITUTE(input_modality," ","")&amp;",")))=0)),IF(GG83="",TRUE,IF(input_modality="",FALSE,SUMPRODUCT(--ISNUMBER(SEARCH(","&amp;TRIM(TEXTSPLIT(GG83,","))&amp;",",","&amp;SUBSTITUTE(input_modality," ","")&amp;",")))&gt;0)),IF(GI83="",TRUE,IF(input_modality="",FALSE,SUMPRODUCT(--ISNUMBER(SEARCH(","&amp;TRIM(TEXTSPLIT(GI83,","))&amp;",",","&amp;SUBSTITUTE(input_modality," ","")&amp;",")))=COUNTA(TEXTSPLIT(GI83,",")))))</f>
        <v/>
      </c>
      <c r="JL83" s="19">
        <f>AND(IF(GK83="",TRUE,IF(input_organizer="",FALSE,SUMPRODUCT(--ISNUMBER(SEARCH(","&amp;TRIM(TEXTSPLIT(GK83,","))&amp;",",","&amp;SUBSTITUTE(input_organizer," ","")&amp;",")))&gt;0)),IF(GM83="",TRUE,IF(input_organizer="",FALSE,SUMPRODUCT(--ISNUMBER(SEARCH(","&amp;TRIM(TEXTSPLIT(GM83,","))&amp;",",","&amp;SUBSTITUTE(input_organizer," ","")&amp;",")))=COUNTA(TEXTSPLIT(GM83,",")))),IF(GO83="",TRUE,IF(input_organizer="",TRUE,SUMPRODUCT(--ISNUMBER(SEARCH(","&amp;TRIM(TEXTSPLIT(GO83,","))&amp;",",","&amp;SUBSTITUTE(input_organizer," ","")&amp;",")))=0)),IF(GQ83="",TRUE,IF(input_organizer="",FALSE,SUMPRODUCT(--ISNUMBER(SEARCH(","&amp;TRIM(TEXTSPLIT(GQ83,","))&amp;",",","&amp;SUBSTITUTE(input_organizer," ","")&amp;",")))&gt;0)),IF(GS83="",TRUE,IF(input_organizer="",FALSE,SUMPRODUCT(--ISNUMBER(SEARCH(","&amp;TRIM(TEXTSPLIT(GS83,","))&amp;",",","&amp;SUBSTITUTE(input_organizer," ","")&amp;",")))=COUNTA(TEXTSPLIT(GS83,",")))))</f>
        <v/>
      </c>
      <c r="JM83" s="19">
        <f>AND(IF(GU83="",TRUE,IF(input_profile_type="",FALSE,SUMPRODUCT(--ISNUMBER(SEARCH(","&amp;TRIM(TEXTSPLIT(GU83,","))&amp;",",","&amp;SUBSTITUTE(input_profile_type," ","")&amp;",")))&gt;0)),IF(GW83="",TRUE,IF(input_profile_type="",FALSE,SUMPRODUCT(--ISNUMBER(SEARCH(","&amp;TRIM(TEXTSPLIT(GW83,","))&amp;",",","&amp;SUBSTITUTE(input_profile_type," ","")&amp;",")))=COUNTA(TEXTSPLIT(GW83,",")))),IF(GY83="",TRUE,IF(input_profile_type="",TRUE,SUMPRODUCT(--ISNUMBER(SEARCH(","&amp;TRIM(TEXTSPLIT(GY83,","))&amp;",",","&amp;SUBSTITUTE(input_profile_type," ","")&amp;",")))=0)),IF(HA83="",TRUE,IF(input_profile_type="",FALSE,SUMPRODUCT(--ISNUMBER(SEARCH(","&amp;TRIM(TEXTSPLIT(HA83,","))&amp;",",","&amp;SUBSTITUTE(input_profile_type," ","")&amp;",")))&gt;0)),IF(HC83="",TRUE,IF(input_profile_type="",FALSE,SUMPRODUCT(--ISNUMBER(SEARCH(","&amp;TRIM(TEXTSPLIT(HC83,","))&amp;",",","&amp;SUBSTITUTE(input_profile_type," ","")&amp;",")))=COUNTA(TEXTSPLIT(HC83,",")))))</f>
        <v/>
      </c>
      <c r="JN83" s="19">
        <f>AND(IF(HE83="",TRUE,IF(input_program="",FALSE,SUMPRODUCT(--ISNUMBER(SEARCH(","&amp;TRIM(TEXTSPLIT(HE83,","))&amp;",",","&amp;SUBSTITUTE(input_program," ","")&amp;",")))&gt;0)),IF(HG83="",TRUE,IF(input_program="",FALSE,SUMPRODUCT(--ISNUMBER(SEARCH(","&amp;TRIM(TEXTSPLIT(HG83,","))&amp;",",","&amp;SUBSTITUTE(input_program," ","")&amp;",")))=COUNTA(TEXTSPLIT(HG83,",")))),IF(HI83="",TRUE,IF(input_program="",TRUE,SUMPRODUCT(--ISNUMBER(SEARCH(","&amp;TRIM(TEXTSPLIT(HI83,","))&amp;",",","&amp;SUBSTITUTE(input_program," ","")&amp;",")))=0)),IF(HK83="",TRUE,IF(input_program="",FALSE,SUMPRODUCT(--ISNUMBER(SEARCH(","&amp;TRIM(TEXTSPLIT(HK83,","))&amp;",",","&amp;SUBSTITUTE(input_program," ","")&amp;",")))&gt;0)),IF(HM83="",TRUE,IF(input_program="",FALSE,SUMPRODUCT(--ISNUMBER(SEARCH(","&amp;TRIM(TEXTSPLIT(HM83,","))&amp;",",","&amp;SUBSTITUTE(input_program," ","")&amp;",")))=COUNTA(TEXTSPLIT(HM83,",")))))</f>
        <v/>
      </c>
      <c r="JO83" s="19">
        <f>AND(IF(HO83="",TRUE,IF(input_story_categories="",FALSE,SUMPRODUCT(--ISNUMBER(SEARCH(","&amp;TRIM(TEXTSPLIT(HO83,","))&amp;",",","&amp;SUBSTITUTE(input_story_categories," ","")&amp;",")))&gt;0)),IF(HQ83="",TRUE,IF(input_story_categories="",FALSE,SUMPRODUCT(--ISNUMBER(SEARCH(","&amp;TRIM(TEXTSPLIT(HQ83,","))&amp;",",","&amp;SUBSTITUTE(input_story_categories," ","")&amp;",")))=COUNTA(TEXTSPLIT(HQ83,",")))),IF(HS83="",TRUE,IF(input_story_categories="",TRUE,SUMPRODUCT(--ISNUMBER(SEARCH(","&amp;TRIM(TEXTSPLIT(HS83,","))&amp;",",","&amp;SUBSTITUTE(input_story_categories," ","")&amp;",")))=0)),IF(HU83="",TRUE,IF(input_story_categories="",FALSE,SUMPRODUCT(--ISNUMBER(SEARCH(","&amp;TRIM(TEXTSPLIT(HU83,","))&amp;",",","&amp;SUBSTITUTE(input_story_categories," ","")&amp;",")))&gt;0)),IF(HW83="",TRUE,IF(input_story_categories="",FALSE,SUMPRODUCT(--ISNUMBER(SEARCH(","&amp;TRIM(TEXTSPLIT(HW83,","))&amp;",",","&amp;SUBSTITUTE(input_story_categories," ","")&amp;",")))=COUNTA(TEXTSPLIT(HW83,",")))))</f>
        <v/>
      </c>
      <c r="JP83" s="19">
        <f>AND(IF(HY83="",TRUE,IF(input_story_type="",FALSE,SUMPRODUCT(--ISNUMBER(SEARCH(","&amp;TRIM(TEXTSPLIT(HY83,","))&amp;",",","&amp;SUBSTITUTE(input_story_type," ","")&amp;",")))&gt;0)),IF(IA83="",TRUE,IF(input_story_type="",FALSE,SUMPRODUCT(--ISNUMBER(SEARCH(","&amp;TRIM(TEXTSPLIT(IA83,","))&amp;",",","&amp;SUBSTITUTE(input_story_type," ","")&amp;",")))=COUNTA(TEXTSPLIT(IA83,",")))),IF(IC83="",TRUE,IF(input_story_type="",TRUE,SUMPRODUCT(--ISNUMBER(SEARCH(","&amp;TRIM(TEXTSPLIT(IC83,","))&amp;",",","&amp;SUBSTITUTE(input_story_type," ","")&amp;",")))=0)),IF(IE83="",TRUE,IF(input_story_type="",FALSE,SUMPRODUCT(--ISNUMBER(SEARCH(","&amp;TRIM(TEXTSPLIT(IE83,","))&amp;",",","&amp;SUBSTITUTE(input_story_type," ","")&amp;",")))&gt;0)),IF(IG83="",TRUE,IF(input_story_type="",FALSE,SUMPRODUCT(--ISNUMBER(SEARCH(","&amp;TRIM(TEXTSPLIT(IG83,","))&amp;",",","&amp;SUBSTITUTE(input_story_type," ","")&amp;",")))=COUNTA(TEXTSPLIT(IG83,",")))))</f>
        <v/>
      </c>
      <c r="JQ83" s="19">
        <f>AND(IF(II83="",TRUE,IF(input_topics="",FALSE,SUMPRODUCT(--ISNUMBER(SEARCH(","&amp;TRIM(TEXTSPLIT(II83,","))&amp;",",","&amp;SUBSTITUTE(input_topics," ","")&amp;",")))&gt;0)),IF(IK83="",TRUE,IF(input_topics="",FALSE,SUMPRODUCT(--ISNUMBER(SEARCH(","&amp;TRIM(TEXTSPLIT(IK83,","))&amp;",",","&amp;SUBSTITUTE(input_topics," ","")&amp;",")))=COUNTA(TEXTSPLIT(IK83,",")))),IF(IM83="",TRUE,IF(input_topics="",TRUE,SUMPRODUCT(--ISNUMBER(SEARCH(","&amp;TRIM(TEXTSPLIT(IM83,","))&amp;",",","&amp;SUBSTITUTE(input_topics," ","")&amp;",")))=0)),IF(IO83="",TRUE,IF(input_topics="",FALSE,SUMPRODUCT(--ISNUMBER(SEARCH(","&amp;TRIM(TEXTSPLIT(IO83,","))&amp;",",","&amp;SUBSTITUTE(input_topics," ","")&amp;",")))&gt;0)),IF(IQ83="",TRUE,IF(input_topics="",FALSE,SUMPRODUCT(--ISNUMBER(SEARCH(","&amp;TRIM(TEXTSPLIT(IQ83,","))&amp;",",","&amp;SUBSTITUTE(input_topics," ","")&amp;",")))=COUNTA(TEXTSPLIT(IQ83,",")))))</f>
        <v/>
      </c>
    </row>
    <row r="84">
      <c r="A84" s="24">
        <f>IF(NOT(IS84),"Excluded",IF(AND(IT84,IU84,IV84,IW84,IX84,IY84,IZ84,JA84,JB84,JC84,JD84,JE84,JF84,JG84,JH84,JI84,JJ84,JK84,JL84,JM84,JN84,JO84,JP84,JQ84),IF(I84&gt;0,"Eligible but limited","Will appear"),"Excluded"))</f>
        <v/>
      </c>
      <c r="B84" s="24" t="inlineStr">
        <is>
          <t>Blogs - Summary</t>
        </is>
      </c>
      <c r="C84" s="27" t="inlineStr">
        <is>
          <t>/the-som-experience/life-at-yale-som/new-haven</t>
        </is>
      </c>
      <c r="D84" s="24" t="inlineStr">
        <is>
          <t>/the-som-experience/life-at-yale-som/new-haven</t>
        </is>
      </c>
      <c r="E84" s="24" t="n">
        <v>1</v>
      </c>
      <c r="F84" s="24" t="inlineStr">
        <is>
          <t>story</t>
        </is>
      </c>
      <c r="G84" s="24" t="inlineStr">
        <is>
          <t>stories_mosaic_grid</t>
        </is>
      </c>
      <c r="H84" s="24" t="inlineStr">
        <is>
          <t>embed_blog_summary</t>
        </is>
      </c>
      <c r="I84" s="24" t="n">
        <v>1</v>
      </c>
      <c r="J84" s="24" t="inlineStr">
        <is>
          <t>View/config rules</t>
        </is>
      </c>
      <c r="K84" s="24" t="inlineStr">
        <is>
          <t>Page placement</t>
        </is>
      </c>
      <c r="L84" s="24" t="inlineStr">
        <is>
          <t>Content type: story; Needs any Story Type: Blog (974); Limited to 1 item(s); Source: View/config rules</t>
        </is>
      </c>
      <c r="HY84" s="19" t="inlineStr">
        <is>
          <t>974</t>
        </is>
      </c>
      <c r="HZ84" s="19" t="inlineStr">
        <is>
          <t>Blog (974)</t>
        </is>
      </c>
      <c r="IS84" s="19">
        <f>IF(input_content_type="",FALSE,ISNUMBER(SEARCH(","&amp;LOWER(input_content_type)&amp;",",","&amp;LOWER(SUBSTITUTE(F84," ",""))&amp;",")))</f>
        <v/>
      </c>
      <c r="IT84" s="19">
        <f>AND(IF(M84="",TRUE,IF(input_affiliations="",FALSE,SUMPRODUCT(--ISNUMBER(SEARCH(","&amp;TRIM(TEXTSPLIT(M84,","))&amp;",",","&amp;SUBSTITUTE(input_affiliations," ","")&amp;",")))&gt;0)),IF(O84="",TRUE,IF(input_affiliations="",FALSE,SUMPRODUCT(--ISNUMBER(SEARCH(","&amp;TRIM(TEXTSPLIT(O84,","))&amp;",",","&amp;SUBSTITUTE(input_affiliations," ","")&amp;",")))=COUNTA(TEXTSPLIT(O84,",")))),IF(Q84="",TRUE,IF(input_affiliations="",TRUE,SUMPRODUCT(--ISNUMBER(SEARCH(","&amp;TRIM(TEXTSPLIT(Q84,","))&amp;",",","&amp;SUBSTITUTE(input_affiliations," ","")&amp;",")))=0)),IF(S84="",TRUE,IF(input_affiliations="",FALSE,SUMPRODUCT(--ISNUMBER(SEARCH(","&amp;TRIM(TEXTSPLIT(S84,","))&amp;",",","&amp;SUBSTITUTE(input_affiliations," ","")&amp;",")))&gt;0)),IF(U84="",TRUE,IF(input_affiliations="",FALSE,SUMPRODUCT(--ISNUMBER(SEARCH(","&amp;TRIM(TEXTSPLIT(U84,","))&amp;",",","&amp;SUBSTITUTE(input_affiliations," ","")&amp;",")))=COUNTA(TEXTSPLIT(U84,",")))))</f>
        <v/>
      </c>
      <c r="IU84" s="19">
        <f>AND(IF(W84="",TRUE,IF(input_announcement_category="",FALSE,SUMPRODUCT(--ISNUMBER(SEARCH(","&amp;TRIM(TEXTSPLIT(W84,","))&amp;",",","&amp;SUBSTITUTE(input_announcement_category," ","")&amp;",")))&gt;0)),IF(Y84="",TRUE,IF(input_announcement_category="",FALSE,SUMPRODUCT(--ISNUMBER(SEARCH(","&amp;TRIM(TEXTSPLIT(Y84,","))&amp;",",","&amp;SUBSTITUTE(input_announcement_category," ","")&amp;",")))=COUNTA(TEXTSPLIT(Y84,",")))),IF(AA84="",TRUE,IF(input_announcement_category="",TRUE,SUMPRODUCT(--ISNUMBER(SEARCH(","&amp;TRIM(TEXTSPLIT(AA84,","))&amp;",",","&amp;SUBSTITUTE(input_announcement_category," ","")&amp;",")))=0)),IF(AC84="",TRUE,IF(input_announcement_category="",FALSE,SUMPRODUCT(--ISNUMBER(SEARCH(","&amp;TRIM(TEXTSPLIT(AC84,","))&amp;",",","&amp;SUBSTITUTE(input_announcement_category," ","")&amp;",")))&gt;0)),IF(AE84="",TRUE,IF(input_announcement_category="",FALSE,SUMPRODUCT(--ISNUMBER(SEARCH(","&amp;TRIM(TEXTSPLIT(AE84,","))&amp;",",","&amp;SUBSTITUTE(input_announcement_category," ","")&amp;",")))=COUNTA(TEXTSPLIT(AE84,",")))))</f>
        <v/>
      </c>
      <c r="IV84" s="19">
        <f>AND(IF(AG84="",TRUE,IF(input_area_of_focus="",FALSE,SUMPRODUCT(--ISNUMBER(SEARCH(","&amp;TRIM(TEXTSPLIT(AG84,","))&amp;",",","&amp;SUBSTITUTE(input_area_of_focus," ","")&amp;",")))&gt;0)),IF(AI84="",TRUE,IF(input_area_of_focus="",FALSE,SUMPRODUCT(--ISNUMBER(SEARCH(","&amp;TRIM(TEXTSPLIT(AI84,","))&amp;",",","&amp;SUBSTITUTE(input_area_of_focus," ","")&amp;",")))=COUNTA(TEXTSPLIT(AI84,",")))),IF(AK84="",TRUE,IF(input_area_of_focus="",TRUE,SUMPRODUCT(--ISNUMBER(SEARCH(","&amp;TRIM(TEXTSPLIT(AK84,","))&amp;",",","&amp;SUBSTITUTE(input_area_of_focus," ","")&amp;",")))=0)),IF(AM84="",TRUE,IF(input_area_of_focus="",FALSE,SUMPRODUCT(--ISNUMBER(SEARCH(","&amp;TRIM(TEXTSPLIT(AM84,","))&amp;",",","&amp;SUBSTITUTE(input_area_of_focus," ","")&amp;",")))&gt;0)),IF(AO84="",TRUE,IF(input_area_of_focus="",FALSE,SUMPRODUCT(--ISNUMBER(SEARCH(","&amp;TRIM(TEXTSPLIT(AO84,","))&amp;",",","&amp;SUBSTITUTE(input_area_of_focus," ","")&amp;",")))=COUNTA(TEXTSPLIT(AO84,",")))))</f>
        <v/>
      </c>
      <c r="IW84" s="19">
        <f>AND(IF(AQ84="",TRUE,IF(input_audience="",FALSE,SUMPRODUCT(--ISNUMBER(SEARCH(","&amp;TRIM(TEXTSPLIT(AQ84,","))&amp;",",","&amp;SUBSTITUTE(input_audience," ","")&amp;",")))&gt;0)),IF(AS84="",TRUE,IF(input_audience="",FALSE,SUMPRODUCT(--ISNUMBER(SEARCH(","&amp;TRIM(TEXTSPLIT(AS84,","))&amp;",",","&amp;SUBSTITUTE(input_audience," ","")&amp;",")))=COUNTA(TEXTSPLIT(AS84,",")))),IF(AU84="",TRUE,IF(input_audience="",TRUE,SUMPRODUCT(--ISNUMBER(SEARCH(","&amp;TRIM(TEXTSPLIT(AU84,","))&amp;",",","&amp;SUBSTITUTE(input_audience," ","")&amp;",")))=0)),IF(AW84="",TRUE,IF(input_audience="",FALSE,SUMPRODUCT(--ISNUMBER(SEARCH(","&amp;TRIM(TEXTSPLIT(AW84,","))&amp;",",","&amp;SUBSTITUTE(input_audience," ","")&amp;",")))&gt;0)),IF(AY84="",TRUE,IF(input_audience="",FALSE,SUMPRODUCT(--ISNUMBER(SEARCH(","&amp;TRIM(TEXTSPLIT(AY84,","))&amp;",",","&amp;SUBSTITUTE(input_audience," ","")&amp;",")))=COUNTA(TEXTSPLIT(AY84,",")))))</f>
        <v/>
      </c>
      <c r="IX84" s="19">
        <f>AND(IF(BA84="",TRUE,IF(input_challenge_opportunities="",FALSE,SUMPRODUCT(--ISNUMBER(SEARCH(","&amp;TRIM(TEXTSPLIT(BA84,","))&amp;",",","&amp;SUBSTITUTE(input_challenge_opportunities," ","")&amp;",")))&gt;0)),IF(BC84="",TRUE,IF(input_challenge_opportunities="",FALSE,SUMPRODUCT(--ISNUMBER(SEARCH(","&amp;TRIM(TEXTSPLIT(BC84,","))&amp;",",","&amp;SUBSTITUTE(input_challenge_opportunities," ","")&amp;",")))=COUNTA(TEXTSPLIT(BC84,",")))),IF(BE84="",TRUE,IF(input_challenge_opportunities="",TRUE,SUMPRODUCT(--ISNUMBER(SEARCH(","&amp;TRIM(TEXTSPLIT(BE84,","))&amp;",",","&amp;SUBSTITUTE(input_challenge_opportunities," ","")&amp;",")))=0)),IF(BG84="",TRUE,IF(input_challenge_opportunities="",FALSE,SUMPRODUCT(--ISNUMBER(SEARCH(","&amp;TRIM(TEXTSPLIT(BG84,","))&amp;",",","&amp;SUBSTITUTE(input_challenge_opportunities," ","")&amp;",")))&gt;0)),IF(BI84="",TRUE,IF(input_challenge_opportunities="",FALSE,SUMPRODUCT(--ISNUMBER(SEARCH(","&amp;TRIM(TEXTSPLIT(BI84,","))&amp;",",","&amp;SUBSTITUTE(input_challenge_opportunities," ","")&amp;",")))=COUNTA(TEXTSPLIT(BI84,",")))))</f>
        <v/>
      </c>
      <c r="IY84" s="19">
        <f>AND(IF(BK84="",TRUE,IF(input_context="",FALSE,SUMPRODUCT(--ISNUMBER(SEARCH(","&amp;TRIM(TEXTSPLIT(BK84,","))&amp;",",","&amp;SUBSTITUTE(input_context," ","")&amp;",")))&gt;0)),IF(BM84="",TRUE,IF(input_context="",FALSE,SUMPRODUCT(--ISNUMBER(SEARCH(","&amp;TRIM(TEXTSPLIT(BM84,","))&amp;",",","&amp;SUBSTITUTE(input_context," ","")&amp;",")))=COUNTA(TEXTSPLIT(BM84,",")))),IF(BO84="",TRUE,IF(input_context="",TRUE,SUMPRODUCT(--ISNUMBER(SEARCH(","&amp;TRIM(TEXTSPLIT(BO84,","))&amp;",",","&amp;SUBSTITUTE(input_context," ","")&amp;",")))=0)),IF(BQ84="",TRUE,IF(input_context="",FALSE,SUMPRODUCT(--ISNUMBER(SEARCH(","&amp;TRIM(TEXTSPLIT(BQ84,","))&amp;",",","&amp;SUBSTITUTE(input_context," ","")&amp;",")))&gt;0)),IF(BS84="",TRUE,IF(input_context="",FALSE,SUMPRODUCT(--ISNUMBER(SEARCH(","&amp;TRIM(TEXTSPLIT(BS84,","))&amp;",",","&amp;SUBSTITUTE(input_context," ","")&amp;",")))=COUNTA(TEXTSPLIT(BS84,",")))))</f>
        <v/>
      </c>
      <c r="IZ84" s="19">
        <f>AND(IF(BU84="",TRUE,IF(input_enews_announcement_type="",FALSE,SUMPRODUCT(--ISNUMBER(SEARCH(","&amp;TRIM(TEXTSPLIT(BU84,","))&amp;",",","&amp;SUBSTITUTE(input_enews_announcement_type," ","")&amp;",")))&gt;0)),IF(BW84="",TRUE,IF(input_enews_announcement_type="",FALSE,SUMPRODUCT(--ISNUMBER(SEARCH(","&amp;TRIM(TEXTSPLIT(BW84,","))&amp;",",","&amp;SUBSTITUTE(input_enews_announcement_type," ","")&amp;",")))=COUNTA(TEXTSPLIT(BW84,",")))),IF(BY84="",TRUE,IF(input_enews_announcement_type="",TRUE,SUMPRODUCT(--ISNUMBER(SEARCH(","&amp;TRIM(TEXTSPLIT(BY84,","))&amp;",",","&amp;SUBSTITUTE(input_enews_announcement_type," ","")&amp;",")))=0)),IF(CA84="",TRUE,IF(input_enews_announcement_type="",FALSE,SUMPRODUCT(--ISNUMBER(SEARCH(","&amp;TRIM(TEXTSPLIT(CA84,","))&amp;",",","&amp;SUBSTITUTE(input_enews_announcement_type," ","")&amp;",")))&gt;0)),IF(CC84="",TRUE,IF(input_enews_announcement_type="",FALSE,SUMPRODUCT(--ISNUMBER(SEARCH(","&amp;TRIM(TEXTSPLIT(CC84,","))&amp;",",","&amp;SUBSTITUTE(input_enews_announcement_type," ","")&amp;",")))=COUNTA(TEXTSPLIT(CC84,",")))))</f>
        <v/>
      </c>
      <c r="JA84" s="19">
        <f>AND(IF(CE84="",TRUE,IF(input_enews_audience="",FALSE,SUMPRODUCT(--ISNUMBER(SEARCH(","&amp;TRIM(TEXTSPLIT(CE84,","))&amp;",",","&amp;SUBSTITUTE(input_enews_audience," ","")&amp;",")))&gt;0)),IF(CG84="",TRUE,IF(input_enews_audience="",FALSE,SUMPRODUCT(--ISNUMBER(SEARCH(","&amp;TRIM(TEXTSPLIT(CG84,","))&amp;",",","&amp;SUBSTITUTE(input_enews_audience," ","")&amp;",")))=COUNTA(TEXTSPLIT(CG84,",")))),IF(CI84="",TRUE,IF(input_enews_audience="",TRUE,SUMPRODUCT(--ISNUMBER(SEARCH(","&amp;TRIM(TEXTSPLIT(CI84,","))&amp;",",","&amp;SUBSTITUTE(input_enews_audience," ","")&amp;",")))=0)),IF(CK84="",TRUE,IF(input_enews_audience="",FALSE,SUMPRODUCT(--ISNUMBER(SEARCH(","&amp;TRIM(TEXTSPLIT(CK84,","))&amp;",",","&amp;SUBSTITUTE(input_enews_audience," ","")&amp;",")))&gt;0)),IF(CM84="",TRUE,IF(input_enews_audience="",FALSE,SUMPRODUCT(--ISNUMBER(SEARCH(","&amp;TRIM(TEXTSPLIT(CM84,","))&amp;",",","&amp;SUBSTITUTE(input_enews_audience," ","")&amp;",")))=COUNTA(TEXTSPLIT(CM84,",")))))</f>
        <v/>
      </c>
      <c r="JB84" s="19">
        <f>AND(IF(CO84="",TRUE,IF(input_event_location="",FALSE,SUMPRODUCT(--ISNUMBER(SEARCH(","&amp;TRIM(TEXTSPLIT(CO84,","))&amp;",",","&amp;SUBSTITUTE(input_event_location," ","")&amp;",")))&gt;0)),IF(CQ84="",TRUE,IF(input_event_location="",FALSE,SUMPRODUCT(--ISNUMBER(SEARCH(","&amp;TRIM(TEXTSPLIT(CQ84,","))&amp;",",","&amp;SUBSTITUTE(input_event_location," ","")&amp;",")))=COUNTA(TEXTSPLIT(CQ84,",")))),IF(CS84="",TRUE,IF(input_event_location="",TRUE,SUMPRODUCT(--ISNUMBER(SEARCH(","&amp;TRIM(TEXTSPLIT(CS84,","))&amp;",",","&amp;SUBSTITUTE(input_event_location," ","")&amp;",")))=0)),IF(CU84="",TRUE,IF(input_event_location="",FALSE,SUMPRODUCT(--ISNUMBER(SEARCH(","&amp;TRIM(TEXTSPLIT(CU84,","))&amp;",",","&amp;SUBSTITUTE(input_event_location," ","")&amp;",")))&gt;0)),IF(CW84="",TRUE,IF(input_event_location="",FALSE,SUMPRODUCT(--ISNUMBER(SEARCH(","&amp;TRIM(TEXTSPLIT(CW84,","))&amp;",",","&amp;SUBSTITUTE(input_event_location," ","")&amp;",")))=COUNTA(TEXTSPLIT(CW84,",")))))</f>
        <v/>
      </c>
      <c r="JC84" s="19">
        <f>AND(IF(CY84="",TRUE,IF(input_event_type="",FALSE,SUMPRODUCT(--ISNUMBER(SEARCH(","&amp;TRIM(TEXTSPLIT(CY84,","))&amp;",",","&amp;SUBSTITUTE(input_event_type," ","")&amp;",")))&gt;0)),IF(DA84="",TRUE,IF(input_event_type="",FALSE,SUMPRODUCT(--ISNUMBER(SEARCH(","&amp;TRIM(TEXTSPLIT(DA84,","))&amp;",",","&amp;SUBSTITUTE(input_event_type," ","")&amp;",")))=COUNTA(TEXTSPLIT(DA84,",")))),IF(DC84="",TRUE,IF(input_event_type="",TRUE,SUMPRODUCT(--ISNUMBER(SEARCH(","&amp;TRIM(TEXTSPLIT(DC84,","))&amp;",",","&amp;SUBSTITUTE(input_event_type," ","")&amp;",")))=0)),IF(DE84="",TRUE,IF(input_event_type="",FALSE,SUMPRODUCT(--ISNUMBER(SEARCH(","&amp;TRIM(TEXTSPLIT(DE84,","))&amp;",",","&amp;SUBSTITUTE(input_event_type," ","")&amp;",")))&gt;0)),IF(DG84="",TRUE,IF(input_event_type="",FALSE,SUMPRODUCT(--ISNUMBER(SEARCH(","&amp;TRIM(TEXTSPLIT(DG84,","))&amp;",",","&amp;SUBSTITUTE(input_event_type," ","")&amp;",")))=COUNTA(TEXTSPLIT(DG84,",")))))</f>
        <v/>
      </c>
      <c r="JD84" s="19">
        <f>AND(IF(DI84="",TRUE,IF(input_executive_education_focus="",FALSE,SUMPRODUCT(--ISNUMBER(SEARCH(","&amp;TRIM(TEXTSPLIT(DI84,","))&amp;",",","&amp;SUBSTITUTE(input_executive_education_focus," ","")&amp;",")))&gt;0)),IF(DK84="",TRUE,IF(input_executive_education_focus="",FALSE,SUMPRODUCT(--ISNUMBER(SEARCH(","&amp;TRIM(TEXTSPLIT(DK84,","))&amp;",",","&amp;SUBSTITUTE(input_executive_education_focus," ","")&amp;",")))=COUNTA(TEXTSPLIT(DK84,",")))),IF(DM84="",TRUE,IF(input_executive_education_focus="",TRUE,SUMPRODUCT(--ISNUMBER(SEARCH(","&amp;TRIM(TEXTSPLIT(DM84,","))&amp;",",","&amp;SUBSTITUTE(input_executive_education_focus," ","")&amp;",")))=0)),IF(DO84="",TRUE,IF(input_executive_education_focus="",FALSE,SUMPRODUCT(--ISNUMBER(SEARCH(","&amp;TRIM(TEXTSPLIT(DO84,","))&amp;",",","&amp;SUBSTITUTE(input_executive_education_focus," ","")&amp;",")))&gt;0)),IF(DQ84="",TRUE,IF(input_executive_education_focus="",FALSE,SUMPRODUCT(--ISNUMBER(SEARCH(","&amp;TRIM(TEXTSPLIT(DQ84,","))&amp;",",","&amp;SUBSTITUTE(input_executive_education_focus," ","")&amp;",")))=COUNTA(TEXTSPLIT(DQ84,",")))))</f>
        <v/>
      </c>
      <c r="JE84" s="19">
        <f>AND(IF(DS84="",TRUE,IF(input_faculty_category="",FALSE,SUMPRODUCT(--ISNUMBER(SEARCH(","&amp;TRIM(TEXTSPLIT(DS84,","))&amp;",",","&amp;SUBSTITUTE(input_faculty_category," ","")&amp;",")))&gt;0)),IF(DU84="",TRUE,IF(input_faculty_category="",FALSE,SUMPRODUCT(--ISNUMBER(SEARCH(","&amp;TRIM(TEXTSPLIT(DU84,","))&amp;",",","&amp;SUBSTITUTE(input_faculty_category," ","")&amp;",")))=COUNTA(TEXTSPLIT(DU84,",")))),IF(DW84="",TRUE,IF(input_faculty_category="",TRUE,SUMPRODUCT(--ISNUMBER(SEARCH(","&amp;TRIM(TEXTSPLIT(DW84,","))&amp;",",","&amp;SUBSTITUTE(input_faculty_category," ","")&amp;",")))=0)),IF(DY84="",TRUE,IF(input_faculty_category="",FALSE,SUMPRODUCT(--ISNUMBER(SEARCH(","&amp;TRIM(TEXTSPLIT(DY84,","))&amp;",",","&amp;SUBSTITUTE(input_faculty_category," ","")&amp;",")))&gt;0)),IF(EA84="",TRUE,IF(input_faculty_category="",FALSE,SUMPRODUCT(--ISNUMBER(SEARCH(","&amp;TRIM(TEXTSPLIT(EA84,","))&amp;",",","&amp;SUBSTITUTE(input_faculty_category," ","")&amp;",")))=COUNTA(TEXTSPLIT(EA84,",")))))</f>
        <v/>
      </c>
      <c r="JF84" s="19">
        <f>AND(IF(EC84="",TRUE,IF(input_faculty_discipline="",FALSE,SUMPRODUCT(--ISNUMBER(SEARCH(","&amp;TRIM(TEXTSPLIT(EC84,","))&amp;",",","&amp;SUBSTITUTE(input_faculty_discipline," ","")&amp;",")))&gt;0)),IF(EE84="",TRUE,IF(input_faculty_discipline="",FALSE,SUMPRODUCT(--ISNUMBER(SEARCH(","&amp;TRIM(TEXTSPLIT(EE84,","))&amp;",",","&amp;SUBSTITUTE(input_faculty_discipline," ","")&amp;",")))=COUNTA(TEXTSPLIT(EE84,",")))),IF(EG84="",TRUE,IF(input_faculty_discipline="",TRUE,SUMPRODUCT(--ISNUMBER(SEARCH(","&amp;TRIM(TEXTSPLIT(EG84,","))&amp;",",","&amp;SUBSTITUTE(input_faculty_discipline," ","")&amp;",")))=0)),IF(EI84="",TRUE,IF(input_faculty_discipline="",FALSE,SUMPRODUCT(--ISNUMBER(SEARCH(","&amp;TRIM(TEXTSPLIT(EI84,","))&amp;",",","&amp;SUBSTITUTE(input_faculty_discipline," ","")&amp;",")))&gt;0)),IF(EK84="",TRUE,IF(input_faculty_discipline="",FALSE,SUMPRODUCT(--ISNUMBER(SEARCH(","&amp;TRIM(TEXTSPLIT(EK84,","))&amp;",",","&amp;SUBSTITUTE(input_faculty_discipline," ","")&amp;",")))=COUNTA(TEXTSPLIT(EK84,",")))))</f>
        <v/>
      </c>
      <c r="JG84" s="19">
        <f>AND(IF(EM84="",TRUE,IF(input_faculty_expertise="",FALSE,SUMPRODUCT(--ISNUMBER(SEARCH(","&amp;TRIM(TEXTSPLIT(EM84,","))&amp;",",","&amp;SUBSTITUTE(input_faculty_expertise," ","")&amp;",")))&gt;0)),IF(EO84="",TRUE,IF(input_faculty_expertise="",FALSE,SUMPRODUCT(--ISNUMBER(SEARCH(","&amp;TRIM(TEXTSPLIT(EO84,","))&amp;",",","&amp;SUBSTITUTE(input_faculty_expertise," ","")&amp;",")))=COUNTA(TEXTSPLIT(EO84,",")))),IF(EQ84="",TRUE,IF(input_faculty_expertise="",TRUE,SUMPRODUCT(--ISNUMBER(SEARCH(","&amp;TRIM(TEXTSPLIT(EQ84,","))&amp;",",","&amp;SUBSTITUTE(input_faculty_expertise," ","")&amp;",")))=0)),IF(ES84="",TRUE,IF(input_faculty_expertise="",FALSE,SUMPRODUCT(--ISNUMBER(SEARCH(","&amp;TRIM(TEXTSPLIT(ES84,","))&amp;",",","&amp;SUBSTITUTE(input_faculty_expertise," ","")&amp;",")))&gt;0)),IF(EU84="",TRUE,IF(input_faculty_expertise="",FALSE,SUMPRODUCT(--ISNUMBER(SEARCH(","&amp;TRIM(TEXTSPLIT(EU84,","))&amp;",",","&amp;SUBSTITUTE(input_faculty_expertise," ","")&amp;",")))=COUNTA(TEXTSPLIT(EU84,",")))))</f>
        <v/>
      </c>
      <c r="JH84" s="19">
        <f>AND(IF(EW84="",TRUE,IF(input_global_network_school="",FALSE,SUMPRODUCT(--ISNUMBER(SEARCH(","&amp;TRIM(TEXTSPLIT(EW84,","))&amp;",",","&amp;SUBSTITUTE(input_global_network_school," ","")&amp;",")))&gt;0)),IF(EY84="",TRUE,IF(input_global_network_school="",FALSE,SUMPRODUCT(--ISNUMBER(SEARCH(","&amp;TRIM(TEXTSPLIT(EY84,","))&amp;",",","&amp;SUBSTITUTE(input_global_network_school," ","")&amp;",")))=COUNTA(TEXTSPLIT(EY84,",")))),IF(FA84="",TRUE,IF(input_global_network_school="",TRUE,SUMPRODUCT(--ISNUMBER(SEARCH(","&amp;TRIM(TEXTSPLIT(FA84,","))&amp;",",","&amp;SUBSTITUTE(input_global_network_school," ","")&amp;",")))=0)),IF(FC84="",TRUE,IF(input_global_network_school="",FALSE,SUMPRODUCT(--ISNUMBER(SEARCH(","&amp;TRIM(TEXTSPLIT(FC84,","))&amp;",",","&amp;SUBSTITUTE(input_global_network_school," ","")&amp;",")))&gt;0)),IF(FE84="",TRUE,IF(input_global_network_school="",FALSE,SUMPRODUCT(--ISNUMBER(SEARCH(","&amp;TRIM(TEXTSPLIT(FE84,","))&amp;",",","&amp;SUBSTITUTE(input_global_network_school," ","")&amp;",")))=COUNTA(TEXTSPLIT(FE84,",")))))</f>
        <v/>
      </c>
      <c r="JI84" s="19">
        <f>AND(IF(FG84="",TRUE,IF(input_industry="",FALSE,SUMPRODUCT(--ISNUMBER(SEARCH(","&amp;TRIM(TEXTSPLIT(FG84,","))&amp;",",","&amp;SUBSTITUTE(input_industry," ","")&amp;",")))&gt;0)),IF(FI84="",TRUE,IF(input_industry="",FALSE,SUMPRODUCT(--ISNUMBER(SEARCH(","&amp;TRIM(TEXTSPLIT(FI84,","))&amp;",",","&amp;SUBSTITUTE(input_industry," ","")&amp;",")))=COUNTA(TEXTSPLIT(FI84,",")))),IF(FK84="",TRUE,IF(input_industry="",TRUE,SUMPRODUCT(--ISNUMBER(SEARCH(","&amp;TRIM(TEXTSPLIT(FK84,","))&amp;",",","&amp;SUBSTITUTE(input_industry," ","")&amp;",")))=0)),IF(FM84="",TRUE,IF(input_industry="",FALSE,SUMPRODUCT(--ISNUMBER(SEARCH(","&amp;TRIM(TEXTSPLIT(FM84,","))&amp;",",","&amp;SUBSTITUTE(input_industry," ","")&amp;",")))&gt;0)),IF(FO84="",TRUE,IF(input_industry="",FALSE,SUMPRODUCT(--ISNUMBER(SEARCH(","&amp;TRIM(TEXTSPLIT(FO84,","))&amp;",",","&amp;SUBSTITUTE(input_industry," ","")&amp;",")))=COUNTA(TEXTSPLIT(FO84,",")))))</f>
        <v/>
      </c>
      <c r="JJ84" s="19">
        <f>AND(IF(FQ84="",TRUE,IF(input_location="",FALSE,SUMPRODUCT(--ISNUMBER(SEARCH(","&amp;TRIM(TEXTSPLIT(FQ84,","))&amp;",",","&amp;SUBSTITUTE(input_location," ","")&amp;",")))&gt;0)),IF(FS84="",TRUE,IF(input_location="",FALSE,SUMPRODUCT(--ISNUMBER(SEARCH(","&amp;TRIM(TEXTSPLIT(FS84,","))&amp;",",","&amp;SUBSTITUTE(input_location," ","")&amp;",")))=COUNTA(TEXTSPLIT(FS84,",")))),IF(FU84="",TRUE,IF(input_location="",TRUE,SUMPRODUCT(--ISNUMBER(SEARCH(","&amp;TRIM(TEXTSPLIT(FU84,","))&amp;",",","&amp;SUBSTITUTE(input_location," ","")&amp;",")))=0)),IF(FW84="",TRUE,IF(input_location="",FALSE,SUMPRODUCT(--ISNUMBER(SEARCH(","&amp;TRIM(TEXTSPLIT(FW84,","))&amp;",",","&amp;SUBSTITUTE(input_location," ","")&amp;",")))&gt;0)),IF(FY84="",TRUE,IF(input_location="",FALSE,SUMPRODUCT(--ISNUMBER(SEARCH(","&amp;TRIM(TEXTSPLIT(FY84,","))&amp;",",","&amp;SUBSTITUTE(input_location," ","")&amp;",")))=COUNTA(TEXTSPLIT(FY84,",")))))</f>
        <v/>
      </c>
      <c r="JK84" s="19">
        <f>AND(IF(GA84="",TRUE,IF(input_modality="",FALSE,SUMPRODUCT(--ISNUMBER(SEARCH(","&amp;TRIM(TEXTSPLIT(GA84,","))&amp;",",","&amp;SUBSTITUTE(input_modality," ","")&amp;",")))&gt;0)),IF(GC84="",TRUE,IF(input_modality="",FALSE,SUMPRODUCT(--ISNUMBER(SEARCH(","&amp;TRIM(TEXTSPLIT(GC84,","))&amp;",",","&amp;SUBSTITUTE(input_modality," ","")&amp;",")))=COUNTA(TEXTSPLIT(GC84,",")))),IF(GE84="",TRUE,IF(input_modality="",TRUE,SUMPRODUCT(--ISNUMBER(SEARCH(","&amp;TRIM(TEXTSPLIT(GE84,","))&amp;",",","&amp;SUBSTITUTE(input_modality," ","")&amp;",")))=0)),IF(GG84="",TRUE,IF(input_modality="",FALSE,SUMPRODUCT(--ISNUMBER(SEARCH(","&amp;TRIM(TEXTSPLIT(GG84,","))&amp;",",","&amp;SUBSTITUTE(input_modality," ","")&amp;",")))&gt;0)),IF(GI84="",TRUE,IF(input_modality="",FALSE,SUMPRODUCT(--ISNUMBER(SEARCH(","&amp;TRIM(TEXTSPLIT(GI84,","))&amp;",",","&amp;SUBSTITUTE(input_modality," ","")&amp;",")))=COUNTA(TEXTSPLIT(GI84,",")))))</f>
        <v/>
      </c>
      <c r="JL84" s="19">
        <f>AND(IF(GK84="",TRUE,IF(input_organizer="",FALSE,SUMPRODUCT(--ISNUMBER(SEARCH(","&amp;TRIM(TEXTSPLIT(GK84,","))&amp;",",","&amp;SUBSTITUTE(input_organizer," ","")&amp;",")))&gt;0)),IF(GM84="",TRUE,IF(input_organizer="",FALSE,SUMPRODUCT(--ISNUMBER(SEARCH(","&amp;TRIM(TEXTSPLIT(GM84,","))&amp;",",","&amp;SUBSTITUTE(input_organizer," ","")&amp;",")))=COUNTA(TEXTSPLIT(GM84,",")))),IF(GO84="",TRUE,IF(input_organizer="",TRUE,SUMPRODUCT(--ISNUMBER(SEARCH(","&amp;TRIM(TEXTSPLIT(GO84,","))&amp;",",","&amp;SUBSTITUTE(input_organizer," ","")&amp;",")))=0)),IF(GQ84="",TRUE,IF(input_organizer="",FALSE,SUMPRODUCT(--ISNUMBER(SEARCH(","&amp;TRIM(TEXTSPLIT(GQ84,","))&amp;",",","&amp;SUBSTITUTE(input_organizer," ","")&amp;",")))&gt;0)),IF(GS84="",TRUE,IF(input_organizer="",FALSE,SUMPRODUCT(--ISNUMBER(SEARCH(","&amp;TRIM(TEXTSPLIT(GS84,","))&amp;",",","&amp;SUBSTITUTE(input_organizer," ","")&amp;",")))=COUNTA(TEXTSPLIT(GS84,",")))))</f>
        <v/>
      </c>
      <c r="JM84" s="19">
        <f>AND(IF(GU84="",TRUE,IF(input_profile_type="",FALSE,SUMPRODUCT(--ISNUMBER(SEARCH(","&amp;TRIM(TEXTSPLIT(GU84,","))&amp;",",","&amp;SUBSTITUTE(input_profile_type," ","")&amp;",")))&gt;0)),IF(GW84="",TRUE,IF(input_profile_type="",FALSE,SUMPRODUCT(--ISNUMBER(SEARCH(","&amp;TRIM(TEXTSPLIT(GW84,","))&amp;",",","&amp;SUBSTITUTE(input_profile_type," ","")&amp;",")))=COUNTA(TEXTSPLIT(GW84,",")))),IF(GY84="",TRUE,IF(input_profile_type="",TRUE,SUMPRODUCT(--ISNUMBER(SEARCH(","&amp;TRIM(TEXTSPLIT(GY84,","))&amp;",",","&amp;SUBSTITUTE(input_profile_type," ","")&amp;",")))=0)),IF(HA84="",TRUE,IF(input_profile_type="",FALSE,SUMPRODUCT(--ISNUMBER(SEARCH(","&amp;TRIM(TEXTSPLIT(HA84,","))&amp;",",","&amp;SUBSTITUTE(input_profile_type," ","")&amp;",")))&gt;0)),IF(HC84="",TRUE,IF(input_profile_type="",FALSE,SUMPRODUCT(--ISNUMBER(SEARCH(","&amp;TRIM(TEXTSPLIT(HC84,","))&amp;",",","&amp;SUBSTITUTE(input_profile_type," ","")&amp;",")))=COUNTA(TEXTSPLIT(HC84,",")))))</f>
        <v/>
      </c>
      <c r="JN84" s="19">
        <f>AND(IF(HE84="",TRUE,IF(input_program="",FALSE,SUMPRODUCT(--ISNUMBER(SEARCH(","&amp;TRIM(TEXTSPLIT(HE84,","))&amp;",",","&amp;SUBSTITUTE(input_program," ","")&amp;",")))&gt;0)),IF(HG84="",TRUE,IF(input_program="",FALSE,SUMPRODUCT(--ISNUMBER(SEARCH(","&amp;TRIM(TEXTSPLIT(HG84,","))&amp;",",","&amp;SUBSTITUTE(input_program," ","")&amp;",")))=COUNTA(TEXTSPLIT(HG84,",")))),IF(HI84="",TRUE,IF(input_program="",TRUE,SUMPRODUCT(--ISNUMBER(SEARCH(","&amp;TRIM(TEXTSPLIT(HI84,","))&amp;",",","&amp;SUBSTITUTE(input_program," ","")&amp;",")))=0)),IF(HK84="",TRUE,IF(input_program="",FALSE,SUMPRODUCT(--ISNUMBER(SEARCH(","&amp;TRIM(TEXTSPLIT(HK84,","))&amp;",",","&amp;SUBSTITUTE(input_program," ","")&amp;",")))&gt;0)),IF(HM84="",TRUE,IF(input_program="",FALSE,SUMPRODUCT(--ISNUMBER(SEARCH(","&amp;TRIM(TEXTSPLIT(HM84,","))&amp;",",","&amp;SUBSTITUTE(input_program," ","")&amp;",")))=COUNTA(TEXTSPLIT(HM84,",")))))</f>
        <v/>
      </c>
      <c r="JO84" s="19">
        <f>AND(IF(HO84="",TRUE,IF(input_story_categories="",FALSE,SUMPRODUCT(--ISNUMBER(SEARCH(","&amp;TRIM(TEXTSPLIT(HO84,","))&amp;",",","&amp;SUBSTITUTE(input_story_categories," ","")&amp;",")))&gt;0)),IF(HQ84="",TRUE,IF(input_story_categories="",FALSE,SUMPRODUCT(--ISNUMBER(SEARCH(","&amp;TRIM(TEXTSPLIT(HQ84,","))&amp;",",","&amp;SUBSTITUTE(input_story_categories," ","")&amp;",")))=COUNTA(TEXTSPLIT(HQ84,",")))),IF(HS84="",TRUE,IF(input_story_categories="",TRUE,SUMPRODUCT(--ISNUMBER(SEARCH(","&amp;TRIM(TEXTSPLIT(HS84,","))&amp;",",","&amp;SUBSTITUTE(input_story_categories," ","")&amp;",")))=0)),IF(HU84="",TRUE,IF(input_story_categories="",FALSE,SUMPRODUCT(--ISNUMBER(SEARCH(","&amp;TRIM(TEXTSPLIT(HU84,","))&amp;",",","&amp;SUBSTITUTE(input_story_categories," ","")&amp;",")))&gt;0)),IF(HW84="",TRUE,IF(input_story_categories="",FALSE,SUMPRODUCT(--ISNUMBER(SEARCH(","&amp;TRIM(TEXTSPLIT(HW84,","))&amp;",",","&amp;SUBSTITUTE(input_story_categories," ","")&amp;",")))=COUNTA(TEXTSPLIT(HW84,",")))))</f>
        <v/>
      </c>
      <c r="JP84" s="19">
        <f>AND(IF(HY84="",TRUE,IF(input_story_type="",FALSE,SUMPRODUCT(--ISNUMBER(SEARCH(","&amp;TRIM(TEXTSPLIT(HY84,","))&amp;",",","&amp;SUBSTITUTE(input_story_type," ","")&amp;",")))&gt;0)),IF(IA84="",TRUE,IF(input_story_type="",FALSE,SUMPRODUCT(--ISNUMBER(SEARCH(","&amp;TRIM(TEXTSPLIT(IA84,","))&amp;",",","&amp;SUBSTITUTE(input_story_type," ","")&amp;",")))=COUNTA(TEXTSPLIT(IA84,",")))),IF(IC84="",TRUE,IF(input_story_type="",TRUE,SUMPRODUCT(--ISNUMBER(SEARCH(","&amp;TRIM(TEXTSPLIT(IC84,","))&amp;",",","&amp;SUBSTITUTE(input_story_type," ","")&amp;",")))=0)),IF(IE84="",TRUE,IF(input_story_type="",FALSE,SUMPRODUCT(--ISNUMBER(SEARCH(","&amp;TRIM(TEXTSPLIT(IE84,","))&amp;",",","&amp;SUBSTITUTE(input_story_type," ","")&amp;",")))&gt;0)),IF(IG84="",TRUE,IF(input_story_type="",FALSE,SUMPRODUCT(--ISNUMBER(SEARCH(","&amp;TRIM(TEXTSPLIT(IG84,","))&amp;",",","&amp;SUBSTITUTE(input_story_type," ","")&amp;",")))=COUNTA(TEXTSPLIT(IG84,",")))))</f>
        <v/>
      </c>
      <c r="JQ84" s="19">
        <f>AND(IF(II84="",TRUE,IF(input_topics="",FALSE,SUMPRODUCT(--ISNUMBER(SEARCH(","&amp;TRIM(TEXTSPLIT(II84,","))&amp;",",","&amp;SUBSTITUTE(input_topics," ","")&amp;",")))&gt;0)),IF(IK84="",TRUE,IF(input_topics="",FALSE,SUMPRODUCT(--ISNUMBER(SEARCH(","&amp;TRIM(TEXTSPLIT(IK84,","))&amp;",",","&amp;SUBSTITUTE(input_topics," ","")&amp;",")))=COUNTA(TEXTSPLIT(IK84,",")))),IF(IM84="",TRUE,IF(input_topics="",TRUE,SUMPRODUCT(--ISNUMBER(SEARCH(","&amp;TRIM(TEXTSPLIT(IM84,","))&amp;",",","&amp;SUBSTITUTE(input_topics," ","")&amp;",")))=0)),IF(IO84="",TRUE,IF(input_topics="",FALSE,SUMPRODUCT(--ISNUMBER(SEARCH(","&amp;TRIM(TEXTSPLIT(IO84,","))&amp;",",","&amp;SUBSTITUTE(input_topics," ","")&amp;",")))&gt;0)),IF(IQ84="",TRUE,IF(input_topics="",FALSE,SUMPRODUCT(--ISNUMBER(SEARCH(","&amp;TRIM(TEXTSPLIT(IQ84,","))&amp;",",","&amp;SUBSTITUTE(input_topics," ","")&amp;",")))=COUNTA(TEXTSPLIT(IQ84,",")))))</f>
        <v/>
      </c>
    </row>
    <row r="85">
      <c r="A85" s="24">
        <f>IF(NOT(IS85),"Excluded",IF(AND(IT85,IU85,IV85,IW85,IX85,IY85,IZ85,JA85,JB85,JC85,JD85,JE85,JF85,JG85,JH85,JI85,JJ85,JK85,JL85,JM85,JN85,JO85,JP85,JQ85),IF(I85&gt;0,"Eligible but limited","Will appear"),"Excluded"))</f>
        <v/>
      </c>
      <c r="B85" s="24" t="inlineStr">
        <is>
          <t>CELI Events</t>
        </is>
      </c>
      <c r="C85" s="27" t="inlineStr">
        <is>
          <t>/centers/chief-executive-leadership-institute/celi-events</t>
        </is>
      </c>
      <c r="D85" s="24" t="inlineStr">
        <is>
          <t>/centers/chief-executive-leadership-institute/celi-events</t>
        </is>
      </c>
      <c r="E85" s="24" t="n">
        <v>1</v>
      </c>
      <c r="F85" s="24" t="inlineStr">
        <is>
          <t>event</t>
        </is>
      </c>
      <c r="G85" s="24" t="inlineStr">
        <is>
          <t>event_list</t>
        </is>
      </c>
      <c r="H85" s="24" t="inlineStr">
        <is>
          <t>embed_no_filters</t>
        </is>
      </c>
      <c r="I85" s="24" t="n">
        <v>8</v>
      </c>
      <c r="J85" s="28" t="inlineStr">
        <is>
          <t>Explicit args</t>
        </is>
      </c>
      <c r="K85" s="24" t="inlineStr">
        <is>
          <t>Page placement</t>
        </is>
      </c>
      <c r="L85" s="24" t="inlineStr">
        <is>
          <t>Content type: event; Context uses Courses Context: Chief Executive Leadership Institute (925); Limited to 8 item(s); Source: Explicit args</t>
        </is>
      </c>
      <c r="BQ85" s="19" t="inlineStr">
        <is>
          <t>925</t>
        </is>
      </c>
      <c r="BR85" s="19" t="inlineStr">
        <is>
          <t>Chief Executive Leadership Institute (925)</t>
        </is>
      </c>
      <c r="IS85" s="19">
        <f>IF(input_content_type="",FALSE,ISNUMBER(SEARCH(","&amp;LOWER(input_content_type)&amp;",",","&amp;LOWER(SUBSTITUTE(F85," ",""))&amp;",")))</f>
        <v/>
      </c>
      <c r="IT85" s="19">
        <f>AND(IF(M85="",TRUE,IF(input_affiliations="",FALSE,SUMPRODUCT(--ISNUMBER(SEARCH(","&amp;TRIM(TEXTSPLIT(M85,","))&amp;",",","&amp;SUBSTITUTE(input_affiliations," ","")&amp;",")))&gt;0)),IF(O85="",TRUE,IF(input_affiliations="",FALSE,SUMPRODUCT(--ISNUMBER(SEARCH(","&amp;TRIM(TEXTSPLIT(O85,","))&amp;",",","&amp;SUBSTITUTE(input_affiliations," ","")&amp;",")))=COUNTA(TEXTSPLIT(O85,",")))),IF(Q85="",TRUE,IF(input_affiliations="",TRUE,SUMPRODUCT(--ISNUMBER(SEARCH(","&amp;TRIM(TEXTSPLIT(Q85,","))&amp;",",","&amp;SUBSTITUTE(input_affiliations," ","")&amp;",")))=0)),IF(S85="",TRUE,IF(input_affiliations="",FALSE,SUMPRODUCT(--ISNUMBER(SEARCH(","&amp;TRIM(TEXTSPLIT(S85,","))&amp;",",","&amp;SUBSTITUTE(input_affiliations," ","")&amp;",")))&gt;0)),IF(U85="",TRUE,IF(input_affiliations="",FALSE,SUMPRODUCT(--ISNUMBER(SEARCH(","&amp;TRIM(TEXTSPLIT(U85,","))&amp;",",","&amp;SUBSTITUTE(input_affiliations," ","")&amp;",")))=COUNTA(TEXTSPLIT(U85,",")))))</f>
        <v/>
      </c>
      <c r="IU85" s="19">
        <f>AND(IF(W85="",TRUE,IF(input_announcement_category="",FALSE,SUMPRODUCT(--ISNUMBER(SEARCH(","&amp;TRIM(TEXTSPLIT(W85,","))&amp;",",","&amp;SUBSTITUTE(input_announcement_category," ","")&amp;",")))&gt;0)),IF(Y85="",TRUE,IF(input_announcement_category="",FALSE,SUMPRODUCT(--ISNUMBER(SEARCH(","&amp;TRIM(TEXTSPLIT(Y85,","))&amp;",",","&amp;SUBSTITUTE(input_announcement_category," ","")&amp;",")))=COUNTA(TEXTSPLIT(Y85,",")))),IF(AA85="",TRUE,IF(input_announcement_category="",TRUE,SUMPRODUCT(--ISNUMBER(SEARCH(","&amp;TRIM(TEXTSPLIT(AA85,","))&amp;",",","&amp;SUBSTITUTE(input_announcement_category," ","")&amp;",")))=0)),IF(AC85="",TRUE,IF(input_announcement_category="",FALSE,SUMPRODUCT(--ISNUMBER(SEARCH(","&amp;TRIM(TEXTSPLIT(AC85,","))&amp;",",","&amp;SUBSTITUTE(input_announcement_category," ","")&amp;",")))&gt;0)),IF(AE85="",TRUE,IF(input_announcement_category="",FALSE,SUMPRODUCT(--ISNUMBER(SEARCH(","&amp;TRIM(TEXTSPLIT(AE85,","))&amp;",",","&amp;SUBSTITUTE(input_announcement_category," ","")&amp;",")))=COUNTA(TEXTSPLIT(AE85,",")))))</f>
        <v/>
      </c>
      <c r="IV85" s="19">
        <f>AND(IF(AG85="",TRUE,IF(input_area_of_focus="",FALSE,SUMPRODUCT(--ISNUMBER(SEARCH(","&amp;TRIM(TEXTSPLIT(AG85,","))&amp;",",","&amp;SUBSTITUTE(input_area_of_focus," ","")&amp;",")))&gt;0)),IF(AI85="",TRUE,IF(input_area_of_focus="",FALSE,SUMPRODUCT(--ISNUMBER(SEARCH(","&amp;TRIM(TEXTSPLIT(AI85,","))&amp;",",","&amp;SUBSTITUTE(input_area_of_focus," ","")&amp;",")))=COUNTA(TEXTSPLIT(AI85,",")))),IF(AK85="",TRUE,IF(input_area_of_focus="",TRUE,SUMPRODUCT(--ISNUMBER(SEARCH(","&amp;TRIM(TEXTSPLIT(AK85,","))&amp;",",","&amp;SUBSTITUTE(input_area_of_focus," ","")&amp;",")))=0)),IF(AM85="",TRUE,IF(input_area_of_focus="",FALSE,SUMPRODUCT(--ISNUMBER(SEARCH(","&amp;TRIM(TEXTSPLIT(AM85,","))&amp;",",","&amp;SUBSTITUTE(input_area_of_focus," ","")&amp;",")))&gt;0)),IF(AO85="",TRUE,IF(input_area_of_focus="",FALSE,SUMPRODUCT(--ISNUMBER(SEARCH(","&amp;TRIM(TEXTSPLIT(AO85,","))&amp;",",","&amp;SUBSTITUTE(input_area_of_focus," ","")&amp;",")))=COUNTA(TEXTSPLIT(AO85,",")))))</f>
        <v/>
      </c>
      <c r="IW85" s="19">
        <f>AND(IF(AQ85="",TRUE,IF(input_audience="",FALSE,SUMPRODUCT(--ISNUMBER(SEARCH(","&amp;TRIM(TEXTSPLIT(AQ85,","))&amp;",",","&amp;SUBSTITUTE(input_audience," ","")&amp;",")))&gt;0)),IF(AS85="",TRUE,IF(input_audience="",FALSE,SUMPRODUCT(--ISNUMBER(SEARCH(","&amp;TRIM(TEXTSPLIT(AS85,","))&amp;",",","&amp;SUBSTITUTE(input_audience," ","")&amp;",")))=COUNTA(TEXTSPLIT(AS85,",")))),IF(AU85="",TRUE,IF(input_audience="",TRUE,SUMPRODUCT(--ISNUMBER(SEARCH(","&amp;TRIM(TEXTSPLIT(AU85,","))&amp;",",","&amp;SUBSTITUTE(input_audience," ","")&amp;",")))=0)),IF(AW85="",TRUE,IF(input_audience="",FALSE,SUMPRODUCT(--ISNUMBER(SEARCH(","&amp;TRIM(TEXTSPLIT(AW85,","))&amp;",",","&amp;SUBSTITUTE(input_audience," ","")&amp;",")))&gt;0)),IF(AY85="",TRUE,IF(input_audience="",FALSE,SUMPRODUCT(--ISNUMBER(SEARCH(","&amp;TRIM(TEXTSPLIT(AY85,","))&amp;",",","&amp;SUBSTITUTE(input_audience," ","")&amp;",")))=COUNTA(TEXTSPLIT(AY85,",")))))</f>
        <v/>
      </c>
      <c r="IX85" s="19">
        <f>AND(IF(BA85="",TRUE,IF(input_challenge_opportunities="",FALSE,SUMPRODUCT(--ISNUMBER(SEARCH(","&amp;TRIM(TEXTSPLIT(BA85,","))&amp;",",","&amp;SUBSTITUTE(input_challenge_opportunities," ","")&amp;",")))&gt;0)),IF(BC85="",TRUE,IF(input_challenge_opportunities="",FALSE,SUMPRODUCT(--ISNUMBER(SEARCH(","&amp;TRIM(TEXTSPLIT(BC85,","))&amp;",",","&amp;SUBSTITUTE(input_challenge_opportunities," ","")&amp;",")))=COUNTA(TEXTSPLIT(BC85,",")))),IF(BE85="",TRUE,IF(input_challenge_opportunities="",TRUE,SUMPRODUCT(--ISNUMBER(SEARCH(","&amp;TRIM(TEXTSPLIT(BE85,","))&amp;",",","&amp;SUBSTITUTE(input_challenge_opportunities," ","")&amp;",")))=0)),IF(BG85="",TRUE,IF(input_challenge_opportunities="",FALSE,SUMPRODUCT(--ISNUMBER(SEARCH(","&amp;TRIM(TEXTSPLIT(BG85,","))&amp;",",","&amp;SUBSTITUTE(input_challenge_opportunities," ","")&amp;",")))&gt;0)),IF(BI85="",TRUE,IF(input_challenge_opportunities="",FALSE,SUMPRODUCT(--ISNUMBER(SEARCH(","&amp;TRIM(TEXTSPLIT(BI85,","))&amp;",",","&amp;SUBSTITUTE(input_challenge_opportunities," ","")&amp;",")))=COUNTA(TEXTSPLIT(BI85,",")))))</f>
        <v/>
      </c>
      <c r="IY85" s="19">
        <f>AND(IF(BK85="",TRUE,IF(input_context="",FALSE,SUMPRODUCT(--ISNUMBER(SEARCH(","&amp;TRIM(TEXTSPLIT(BK85,","))&amp;",",","&amp;SUBSTITUTE(input_context," ","")&amp;",")))&gt;0)),IF(BM85="",TRUE,IF(input_context="",FALSE,SUMPRODUCT(--ISNUMBER(SEARCH(","&amp;TRIM(TEXTSPLIT(BM85,","))&amp;",",","&amp;SUBSTITUTE(input_context," ","")&amp;",")))=COUNTA(TEXTSPLIT(BM85,",")))),IF(BO85="",TRUE,IF(input_context="",TRUE,SUMPRODUCT(--ISNUMBER(SEARCH(","&amp;TRIM(TEXTSPLIT(BO85,","))&amp;",",","&amp;SUBSTITUTE(input_context," ","")&amp;",")))=0)),IF(BQ85="",TRUE,IF(input_context="",FALSE,SUMPRODUCT(--ISNUMBER(SEARCH(","&amp;TRIM(TEXTSPLIT(BQ85,","))&amp;",",","&amp;SUBSTITUTE(input_context," ","")&amp;",")))&gt;0)),IF(BS85="",TRUE,IF(input_context="",FALSE,SUMPRODUCT(--ISNUMBER(SEARCH(","&amp;TRIM(TEXTSPLIT(BS85,","))&amp;",",","&amp;SUBSTITUTE(input_context," ","")&amp;",")))=COUNTA(TEXTSPLIT(BS85,",")))))</f>
        <v/>
      </c>
      <c r="IZ85" s="19">
        <f>AND(IF(BU85="",TRUE,IF(input_enews_announcement_type="",FALSE,SUMPRODUCT(--ISNUMBER(SEARCH(","&amp;TRIM(TEXTSPLIT(BU85,","))&amp;",",","&amp;SUBSTITUTE(input_enews_announcement_type," ","")&amp;",")))&gt;0)),IF(BW85="",TRUE,IF(input_enews_announcement_type="",FALSE,SUMPRODUCT(--ISNUMBER(SEARCH(","&amp;TRIM(TEXTSPLIT(BW85,","))&amp;",",","&amp;SUBSTITUTE(input_enews_announcement_type," ","")&amp;",")))=COUNTA(TEXTSPLIT(BW85,",")))),IF(BY85="",TRUE,IF(input_enews_announcement_type="",TRUE,SUMPRODUCT(--ISNUMBER(SEARCH(","&amp;TRIM(TEXTSPLIT(BY85,","))&amp;",",","&amp;SUBSTITUTE(input_enews_announcement_type," ","")&amp;",")))=0)),IF(CA85="",TRUE,IF(input_enews_announcement_type="",FALSE,SUMPRODUCT(--ISNUMBER(SEARCH(","&amp;TRIM(TEXTSPLIT(CA85,","))&amp;",",","&amp;SUBSTITUTE(input_enews_announcement_type," ","")&amp;",")))&gt;0)),IF(CC85="",TRUE,IF(input_enews_announcement_type="",FALSE,SUMPRODUCT(--ISNUMBER(SEARCH(","&amp;TRIM(TEXTSPLIT(CC85,","))&amp;",",","&amp;SUBSTITUTE(input_enews_announcement_type," ","")&amp;",")))=COUNTA(TEXTSPLIT(CC85,",")))))</f>
        <v/>
      </c>
      <c r="JA85" s="19">
        <f>AND(IF(CE85="",TRUE,IF(input_enews_audience="",FALSE,SUMPRODUCT(--ISNUMBER(SEARCH(","&amp;TRIM(TEXTSPLIT(CE85,","))&amp;",",","&amp;SUBSTITUTE(input_enews_audience," ","")&amp;",")))&gt;0)),IF(CG85="",TRUE,IF(input_enews_audience="",FALSE,SUMPRODUCT(--ISNUMBER(SEARCH(","&amp;TRIM(TEXTSPLIT(CG85,","))&amp;",",","&amp;SUBSTITUTE(input_enews_audience," ","")&amp;",")))=COUNTA(TEXTSPLIT(CG85,",")))),IF(CI85="",TRUE,IF(input_enews_audience="",TRUE,SUMPRODUCT(--ISNUMBER(SEARCH(","&amp;TRIM(TEXTSPLIT(CI85,","))&amp;",",","&amp;SUBSTITUTE(input_enews_audience," ","")&amp;",")))=0)),IF(CK85="",TRUE,IF(input_enews_audience="",FALSE,SUMPRODUCT(--ISNUMBER(SEARCH(","&amp;TRIM(TEXTSPLIT(CK85,","))&amp;",",","&amp;SUBSTITUTE(input_enews_audience," ","")&amp;",")))&gt;0)),IF(CM85="",TRUE,IF(input_enews_audience="",FALSE,SUMPRODUCT(--ISNUMBER(SEARCH(","&amp;TRIM(TEXTSPLIT(CM85,","))&amp;",",","&amp;SUBSTITUTE(input_enews_audience," ","")&amp;",")))=COUNTA(TEXTSPLIT(CM85,",")))))</f>
        <v/>
      </c>
      <c r="JB85" s="19">
        <f>AND(IF(CO85="",TRUE,IF(input_event_location="",FALSE,SUMPRODUCT(--ISNUMBER(SEARCH(","&amp;TRIM(TEXTSPLIT(CO85,","))&amp;",",","&amp;SUBSTITUTE(input_event_location," ","")&amp;",")))&gt;0)),IF(CQ85="",TRUE,IF(input_event_location="",FALSE,SUMPRODUCT(--ISNUMBER(SEARCH(","&amp;TRIM(TEXTSPLIT(CQ85,","))&amp;",",","&amp;SUBSTITUTE(input_event_location," ","")&amp;",")))=COUNTA(TEXTSPLIT(CQ85,",")))),IF(CS85="",TRUE,IF(input_event_location="",TRUE,SUMPRODUCT(--ISNUMBER(SEARCH(","&amp;TRIM(TEXTSPLIT(CS85,","))&amp;",",","&amp;SUBSTITUTE(input_event_location," ","")&amp;",")))=0)),IF(CU85="",TRUE,IF(input_event_location="",FALSE,SUMPRODUCT(--ISNUMBER(SEARCH(","&amp;TRIM(TEXTSPLIT(CU85,","))&amp;",",","&amp;SUBSTITUTE(input_event_location," ","")&amp;",")))&gt;0)),IF(CW85="",TRUE,IF(input_event_location="",FALSE,SUMPRODUCT(--ISNUMBER(SEARCH(","&amp;TRIM(TEXTSPLIT(CW85,","))&amp;",",","&amp;SUBSTITUTE(input_event_location," ","")&amp;",")))=COUNTA(TEXTSPLIT(CW85,",")))))</f>
        <v/>
      </c>
      <c r="JC85" s="19">
        <f>AND(IF(CY85="",TRUE,IF(input_event_type="",FALSE,SUMPRODUCT(--ISNUMBER(SEARCH(","&amp;TRIM(TEXTSPLIT(CY85,","))&amp;",",","&amp;SUBSTITUTE(input_event_type," ","")&amp;",")))&gt;0)),IF(DA85="",TRUE,IF(input_event_type="",FALSE,SUMPRODUCT(--ISNUMBER(SEARCH(","&amp;TRIM(TEXTSPLIT(DA85,","))&amp;",",","&amp;SUBSTITUTE(input_event_type," ","")&amp;",")))=COUNTA(TEXTSPLIT(DA85,",")))),IF(DC85="",TRUE,IF(input_event_type="",TRUE,SUMPRODUCT(--ISNUMBER(SEARCH(","&amp;TRIM(TEXTSPLIT(DC85,","))&amp;",",","&amp;SUBSTITUTE(input_event_type," ","")&amp;",")))=0)),IF(DE85="",TRUE,IF(input_event_type="",FALSE,SUMPRODUCT(--ISNUMBER(SEARCH(","&amp;TRIM(TEXTSPLIT(DE85,","))&amp;",",","&amp;SUBSTITUTE(input_event_type," ","")&amp;",")))&gt;0)),IF(DG85="",TRUE,IF(input_event_type="",FALSE,SUMPRODUCT(--ISNUMBER(SEARCH(","&amp;TRIM(TEXTSPLIT(DG85,","))&amp;",",","&amp;SUBSTITUTE(input_event_type," ","")&amp;",")))=COUNTA(TEXTSPLIT(DG85,",")))))</f>
        <v/>
      </c>
      <c r="JD85" s="19">
        <f>AND(IF(DI85="",TRUE,IF(input_executive_education_focus="",FALSE,SUMPRODUCT(--ISNUMBER(SEARCH(","&amp;TRIM(TEXTSPLIT(DI85,","))&amp;",",","&amp;SUBSTITUTE(input_executive_education_focus," ","")&amp;",")))&gt;0)),IF(DK85="",TRUE,IF(input_executive_education_focus="",FALSE,SUMPRODUCT(--ISNUMBER(SEARCH(","&amp;TRIM(TEXTSPLIT(DK85,","))&amp;",",","&amp;SUBSTITUTE(input_executive_education_focus," ","")&amp;",")))=COUNTA(TEXTSPLIT(DK85,",")))),IF(DM85="",TRUE,IF(input_executive_education_focus="",TRUE,SUMPRODUCT(--ISNUMBER(SEARCH(","&amp;TRIM(TEXTSPLIT(DM85,","))&amp;",",","&amp;SUBSTITUTE(input_executive_education_focus," ","")&amp;",")))=0)),IF(DO85="",TRUE,IF(input_executive_education_focus="",FALSE,SUMPRODUCT(--ISNUMBER(SEARCH(","&amp;TRIM(TEXTSPLIT(DO85,","))&amp;",",","&amp;SUBSTITUTE(input_executive_education_focus," ","")&amp;",")))&gt;0)),IF(DQ85="",TRUE,IF(input_executive_education_focus="",FALSE,SUMPRODUCT(--ISNUMBER(SEARCH(","&amp;TRIM(TEXTSPLIT(DQ85,","))&amp;",",","&amp;SUBSTITUTE(input_executive_education_focus," ","")&amp;",")))=COUNTA(TEXTSPLIT(DQ85,",")))))</f>
        <v/>
      </c>
      <c r="JE85" s="19">
        <f>AND(IF(DS85="",TRUE,IF(input_faculty_category="",FALSE,SUMPRODUCT(--ISNUMBER(SEARCH(","&amp;TRIM(TEXTSPLIT(DS85,","))&amp;",",","&amp;SUBSTITUTE(input_faculty_category," ","")&amp;",")))&gt;0)),IF(DU85="",TRUE,IF(input_faculty_category="",FALSE,SUMPRODUCT(--ISNUMBER(SEARCH(","&amp;TRIM(TEXTSPLIT(DU85,","))&amp;",",","&amp;SUBSTITUTE(input_faculty_category," ","")&amp;",")))=COUNTA(TEXTSPLIT(DU85,",")))),IF(DW85="",TRUE,IF(input_faculty_category="",TRUE,SUMPRODUCT(--ISNUMBER(SEARCH(","&amp;TRIM(TEXTSPLIT(DW85,","))&amp;",",","&amp;SUBSTITUTE(input_faculty_category," ","")&amp;",")))=0)),IF(DY85="",TRUE,IF(input_faculty_category="",FALSE,SUMPRODUCT(--ISNUMBER(SEARCH(","&amp;TRIM(TEXTSPLIT(DY85,","))&amp;",",","&amp;SUBSTITUTE(input_faculty_category," ","")&amp;",")))&gt;0)),IF(EA85="",TRUE,IF(input_faculty_category="",FALSE,SUMPRODUCT(--ISNUMBER(SEARCH(","&amp;TRIM(TEXTSPLIT(EA85,","))&amp;",",","&amp;SUBSTITUTE(input_faculty_category," ","")&amp;",")))=COUNTA(TEXTSPLIT(EA85,",")))))</f>
        <v/>
      </c>
      <c r="JF85" s="19">
        <f>AND(IF(EC85="",TRUE,IF(input_faculty_discipline="",FALSE,SUMPRODUCT(--ISNUMBER(SEARCH(","&amp;TRIM(TEXTSPLIT(EC85,","))&amp;",",","&amp;SUBSTITUTE(input_faculty_discipline," ","")&amp;",")))&gt;0)),IF(EE85="",TRUE,IF(input_faculty_discipline="",FALSE,SUMPRODUCT(--ISNUMBER(SEARCH(","&amp;TRIM(TEXTSPLIT(EE85,","))&amp;",",","&amp;SUBSTITUTE(input_faculty_discipline," ","")&amp;",")))=COUNTA(TEXTSPLIT(EE85,",")))),IF(EG85="",TRUE,IF(input_faculty_discipline="",TRUE,SUMPRODUCT(--ISNUMBER(SEARCH(","&amp;TRIM(TEXTSPLIT(EG85,","))&amp;",",","&amp;SUBSTITUTE(input_faculty_discipline," ","")&amp;",")))=0)),IF(EI85="",TRUE,IF(input_faculty_discipline="",FALSE,SUMPRODUCT(--ISNUMBER(SEARCH(","&amp;TRIM(TEXTSPLIT(EI85,","))&amp;",",","&amp;SUBSTITUTE(input_faculty_discipline," ","")&amp;",")))&gt;0)),IF(EK85="",TRUE,IF(input_faculty_discipline="",FALSE,SUMPRODUCT(--ISNUMBER(SEARCH(","&amp;TRIM(TEXTSPLIT(EK85,","))&amp;",",","&amp;SUBSTITUTE(input_faculty_discipline," ","")&amp;",")))=COUNTA(TEXTSPLIT(EK85,",")))))</f>
        <v/>
      </c>
      <c r="JG85" s="19">
        <f>AND(IF(EM85="",TRUE,IF(input_faculty_expertise="",FALSE,SUMPRODUCT(--ISNUMBER(SEARCH(","&amp;TRIM(TEXTSPLIT(EM85,","))&amp;",",","&amp;SUBSTITUTE(input_faculty_expertise," ","")&amp;",")))&gt;0)),IF(EO85="",TRUE,IF(input_faculty_expertise="",FALSE,SUMPRODUCT(--ISNUMBER(SEARCH(","&amp;TRIM(TEXTSPLIT(EO85,","))&amp;",",","&amp;SUBSTITUTE(input_faculty_expertise," ","")&amp;",")))=COUNTA(TEXTSPLIT(EO85,",")))),IF(EQ85="",TRUE,IF(input_faculty_expertise="",TRUE,SUMPRODUCT(--ISNUMBER(SEARCH(","&amp;TRIM(TEXTSPLIT(EQ85,","))&amp;",",","&amp;SUBSTITUTE(input_faculty_expertise," ","")&amp;",")))=0)),IF(ES85="",TRUE,IF(input_faculty_expertise="",FALSE,SUMPRODUCT(--ISNUMBER(SEARCH(","&amp;TRIM(TEXTSPLIT(ES85,","))&amp;",",","&amp;SUBSTITUTE(input_faculty_expertise," ","")&amp;",")))&gt;0)),IF(EU85="",TRUE,IF(input_faculty_expertise="",FALSE,SUMPRODUCT(--ISNUMBER(SEARCH(","&amp;TRIM(TEXTSPLIT(EU85,","))&amp;",",","&amp;SUBSTITUTE(input_faculty_expertise," ","")&amp;",")))=COUNTA(TEXTSPLIT(EU85,",")))))</f>
        <v/>
      </c>
      <c r="JH85" s="19">
        <f>AND(IF(EW85="",TRUE,IF(input_global_network_school="",FALSE,SUMPRODUCT(--ISNUMBER(SEARCH(","&amp;TRIM(TEXTSPLIT(EW85,","))&amp;",",","&amp;SUBSTITUTE(input_global_network_school," ","")&amp;",")))&gt;0)),IF(EY85="",TRUE,IF(input_global_network_school="",FALSE,SUMPRODUCT(--ISNUMBER(SEARCH(","&amp;TRIM(TEXTSPLIT(EY85,","))&amp;",",","&amp;SUBSTITUTE(input_global_network_school," ","")&amp;",")))=COUNTA(TEXTSPLIT(EY85,",")))),IF(FA85="",TRUE,IF(input_global_network_school="",TRUE,SUMPRODUCT(--ISNUMBER(SEARCH(","&amp;TRIM(TEXTSPLIT(FA85,","))&amp;",",","&amp;SUBSTITUTE(input_global_network_school," ","")&amp;",")))=0)),IF(FC85="",TRUE,IF(input_global_network_school="",FALSE,SUMPRODUCT(--ISNUMBER(SEARCH(","&amp;TRIM(TEXTSPLIT(FC85,","))&amp;",",","&amp;SUBSTITUTE(input_global_network_school," ","")&amp;",")))&gt;0)),IF(FE85="",TRUE,IF(input_global_network_school="",FALSE,SUMPRODUCT(--ISNUMBER(SEARCH(","&amp;TRIM(TEXTSPLIT(FE85,","))&amp;",",","&amp;SUBSTITUTE(input_global_network_school," ","")&amp;",")))=COUNTA(TEXTSPLIT(FE85,",")))))</f>
        <v/>
      </c>
      <c r="JI85" s="19">
        <f>AND(IF(FG85="",TRUE,IF(input_industry="",FALSE,SUMPRODUCT(--ISNUMBER(SEARCH(","&amp;TRIM(TEXTSPLIT(FG85,","))&amp;",",","&amp;SUBSTITUTE(input_industry," ","")&amp;",")))&gt;0)),IF(FI85="",TRUE,IF(input_industry="",FALSE,SUMPRODUCT(--ISNUMBER(SEARCH(","&amp;TRIM(TEXTSPLIT(FI85,","))&amp;",",","&amp;SUBSTITUTE(input_industry," ","")&amp;",")))=COUNTA(TEXTSPLIT(FI85,",")))),IF(FK85="",TRUE,IF(input_industry="",TRUE,SUMPRODUCT(--ISNUMBER(SEARCH(","&amp;TRIM(TEXTSPLIT(FK85,","))&amp;",",","&amp;SUBSTITUTE(input_industry," ","")&amp;",")))=0)),IF(FM85="",TRUE,IF(input_industry="",FALSE,SUMPRODUCT(--ISNUMBER(SEARCH(","&amp;TRIM(TEXTSPLIT(FM85,","))&amp;",",","&amp;SUBSTITUTE(input_industry," ","")&amp;",")))&gt;0)),IF(FO85="",TRUE,IF(input_industry="",FALSE,SUMPRODUCT(--ISNUMBER(SEARCH(","&amp;TRIM(TEXTSPLIT(FO85,","))&amp;",",","&amp;SUBSTITUTE(input_industry," ","")&amp;",")))=COUNTA(TEXTSPLIT(FO85,",")))))</f>
        <v/>
      </c>
      <c r="JJ85" s="19">
        <f>AND(IF(FQ85="",TRUE,IF(input_location="",FALSE,SUMPRODUCT(--ISNUMBER(SEARCH(","&amp;TRIM(TEXTSPLIT(FQ85,","))&amp;",",","&amp;SUBSTITUTE(input_location," ","")&amp;",")))&gt;0)),IF(FS85="",TRUE,IF(input_location="",FALSE,SUMPRODUCT(--ISNUMBER(SEARCH(","&amp;TRIM(TEXTSPLIT(FS85,","))&amp;",",","&amp;SUBSTITUTE(input_location," ","")&amp;",")))=COUNTA(TEXTSPLIT(FS85,",")))),IF(FU85="",TRUE,IF(input_location="",TRUE,SUMPRODUCT(--ISNUMBER(SEARCH(","&amp;TRIM(TEXTSPLIT(FU85,","))&amp;",",","&amp;SUBSTITUTE(input_location," ","")&amp;",")))=0)),IF(FW85="",TRUE,IF(input_location="",FALSE,SUMPRODUCT(--ISNUMBER(SEARCH(","&amp;TRIM(TEXTSPLIT(FW85,","))&amp;",",","&amp;SUBSTITUTE(input_location," ","")&amp;",")))&gt;0)),IF(FY85="",TRUE,IF(input_location="",FALSE,SUMPRODUCT(--ISNUMBER(SEARCH(","&amp;TRIM(TEXTSPLIT(FY85,","))&amp;",",","&amp;SUBSTITUTE(input_location," ","")&amp;",")))=COUNTA(TEXTSPLIT(FY85,",")))))</f>
        <v/>
      </c>
      <c r="JK85" s="19">
        <f>AND(IF(GA85="",TRUE,IF(input_modality="",FALSE,SUMPRODUCT(--ISNUMBER(SEARCH(","&amp;TRIM(TEXTSPLIT(GA85,","))&amp;",",","&amp;SUBSTITUTE(input_modality," ","")&amp;",")))&gt;0)),IF(GC85="",TRUE,IF(input_modality="",FALSE,SUMPRODUCT(--ISNUMBER(SEARCH(","&amp;TRIM(TEXTSPLIT(GC85,","))&amp;",",","&amp;SUBSTITUTE(input_modality," ","")&amp;",")))=COUNTA(TEXTSPLIT(GC85,",")))),IF(GE85="",TRUE,IF(input_modality="",TRUE,SUMPRODUCT(--ISNUMBER(SEARCH(","&amp;TRIM(TEXTSPLIT(GE85,","))&amp;",",","&amp;SUBSTITUTE(input_modality," ","")&amp;",")))=0)),IF(GG85="",TRUE,IF(input_modality="",FALSE,SUMPRODUCT(--ISNUMBER(SEARCH(","&amp;TRIM(TEXTSPLIT(GG85,","))&amp;",",","&amp;SUBSTITUTE(input_modality," ","")&amp;",")))&gt;0)),IF(GI85="",TRUE,IF(input_modality="",FALSE,SUMPRODUCT(--ISNUMBER(SEARCH(","&amp;TRIM(TEXTSPLIT(GI85,","))&amp;",",","&amp;SUBSTITUTE(input_modality," ","")&amp;",")))=COUNTA(TEXTSPLIT(GI85,",")))))</f>
        <v/>
      </c>
      <c r="JL85" s="19">
        <f>AND(IF(GK85="",TRUE,IF(input_organizer="",FALSE,SUMPRODUCT(--ISNUMBER(SEARCH(","&amp;TRIM(TEXTSPLIT(GK85,","))&amp;",",","&amp;SUBSTITUTE(input_organizer," ","")&amp;",")))&gt;0)),IF(GM85="",TRUE,IF(input_organizer="",FALSE,SUMPRODUCT(--ISNUMBER(SEARCH(","&amp;TRIM(TEXTSPLIT(GM85,","))&amp;",",","&amp;SUBSTITUTE(input_organizer," ","")&amp;",")))=COUNTA(TEXTSPLIT(GM85,",")))),IF(GO85="",TRUE,IF(input_organizer="",TRUE,SUMPRODUCT(--ISNUMBER(SEARCH(","&amp;TRIM(TEXTSPLIT(GO85,","))&amp;",",","&amp;SUBSTITUTE(input_organizer," ","")&amp;",")))=0)),IF(GQ85="",TRUE,IF(input_organizer="",FALSE,SUMPRODUCT(--ISNUMBER(SEARCH(","&amp;TRIM(TEXTSPLIT(GQ85,","))&amp;",",","&amp;SUBSTITUTE(input_organizer," ","")&amp;",")))&gt;0)),IF(GS85="",TRUE,IF(input_organizer="",FALSE,SUMPRODUCT(--ISNUMBER(SEARCH(","&amp;TRIM(TEXTSPLIT(GS85,","))&amp;",",","&amp;SUBSTITUTE(input_organizer," ","")&amp;",")))=COUNTA(TEXTSPLIT(GS85,",")))))</f>
        <v/>
      </c>
      <c r="JM85" s="19">
        <f>AND(IF(GU85="",TRUE,IF(input_profile_type="",FALSE,SUMPRODUCT(--ISNUMBER(SEARCH(","&amp;TRIM(TEXTSPLIT(GU85,","))&amp;",",","&amp;SUBSTITUTE(input_profile_type," ","")&amp;",")))&gt;0)),IF(GW85="",TRUE,IF(input_profile_type="",FALSE,SUMPRODUCT(--ISNUMBER(SEARCH(","&amp;TRIM(TEXTSPLIT(GW85,","))&amp;",",","&amp;SUBSTITUTE(input_profile_type," ","")&amp;",")))=COUNTA(TEXTSPLIT(GW85,",")))),IF(GY85="",TRUE,IF(input_profile_type="",TRUE,SUMPRODUCT(--ISNUMBER(SEARCH(","&amp;TRIM(TEXTSPLIT(GY85,","))&amp;",",","&amp;SUBSTITUTE(input_profile_type," ","")&amp;",")))=0)),IF(HA85="",TRUE,IF(input_profile_type="",FALSE,SUMPRODUCT(--ISNUMBER(SEARCH(","&amp;TRIM(TEXTSPLIT(HA85,","))&amp;",",","&amp;SUBSTITUTE(input_profile_type," ","")&amp;",")))&gt;0)),IF(HC85="",TRUE,IF(input_profile_type="",FALSE,SUMPRODUCT(--ISNUMBER(SEARCH(","&amp;TRIM(TEXTSPLIT(HC85,","))&amp;",",","&amp;SUBSTITUTE(input_profile_type," ","")&amp;",")))=COUNTA(TEXTSPLIT(HC85,",")))))</f>
        <v/>
      </c>
      <c r="JN85" s="19">
        <f>AND(IF(HE85="",TRUE,IF(input_program="",FALSE,SUMPRODUCT(--ISNUMBER(SEARCH(","&amp;TRIM(TEXTSPLIT(HE85,","))&amp;",",","&amp;SUBSTITUTE(input_program," ","")&amp;",")))&gt;0)),IF(HG85="",TRUE,IF(input_program="",FALSE,SUMPRODUCT(--ISNUMBER(SEARCH(","&amp;TRIM(TEXTSPLIT(HG85,","))&amp;",",","&amp;SUBSTITUTE(input_program," ","")&amp;",")))=COUNTA(TEXTSPLIT(HG85,",")))),IF(HI85="",TRUE,IF(input_program="",TRUE,SUMPRODUCT(--ISNUMBER(SEARCH(","&amp;TRIM(TEXTSPLIT(HI85,","))&amp;",",","&amp;SUBSTITUTE(input_program," ","")&amp;",")))=0)),IF(HK85="",TRUE,IF(input_program="",FALSE,SUMPRODUCT(--ISNUMBER(SEARCH(","&amp;TRIM(TEXTSPLIT(HK85,","))&amp;",",","&amp;SUBSTITUTE(input_program," ","")&amp;",")))&gt;0)),IF(HM85="",TRUE,IF(input_program="",FALSE,SUMPRODUCT(--ISNUMBER(SEARCH(","&amp;TRIM(TEXTSPLIT(HM85,","))&amp;",",","&amp;SUBSTITUTE(input_program," ","")&amp;",")))=COUNTA(TEXTSPLIT(HM85,",")))))</f>
        <v/>
      </c>
      <c r="JO85" s="19">
        <f>AND(IF(HO85="",TRUE,IF(input_story_categories="",FALSE,SUMPRODUCT(--ISNUMBER(SEARCH(","&amp;TRIM(TEXTSPLIT(HO85,","))&amp;",",","&amp;SUBSTITUTE(input_story_categories," ","")&amp;",")))&gt;0)),IF(HQ85="",TRUE,IF(input_story_categories="",FALSE,SUMPRODUCT(--ISNUMBER(SEARCH(","&amp;TRIM(TEXTSPLIT(HQ85,","))&amp;",",","&amp;SUBSTITUTE(input_story_categories," ","")&amp;",")))=COUNTA(TEXTSPLIT(HQ85,",")))),IF(HS85="",TRUE,IF(input_story_categories="",TRUE,SUMPRODUCT(--ISNUMBER(SEARCH(","&amp;TRIM(TEXTSPLIT(HS85,","))&amp;",",","&amp;SUBSTITUTE(input_story_categories," ","")&amp;",")))=0)),IF(HU85="",TRUE,IF(input_story_categories="",FALSE,SUMPRODUCT(--ISNUMBER(SEARCH(","&amp;TRIM(TEXTSPLIT(HU85,","))&amp;",",","&amp;SUBSTITUTE(input_story_categories," ","")&amp;",")))&gt;0)),IF(HW85="",TRUE,IF(input_story_categories="",FALSE,SUMPRODUCT(--ISNUMBER(SEARCH(","&amp;TRIM(TEXTSPLIT(HW85,","))&amp;",",","&amp;SUBSTITUTE(input_story_categories," ","")&amp;",")))=COUNTA(TEXTSPLIT(HW85,",")))))</f>
        <v/>
      </c>
      <c r="JP85" s="19">
        <f>AND(IF(HY85="",TRUE,IF(input_story_type="",FALSE,SUMPRODUCT(--ISNUMBER(SEARCH(","&amp;TRIM(TEXTSPLIT(HY85,","))&amp;",",","&amp;SUBSTITUTE(input_story_type," ","")&amp;",")))&gt;0)),IF(IA85="",TRUE,IF(input_story_type="",FALSE,SUMPRODUCT(--ISNUMBER(SEARCH(","&amp;TRIM(TEXTSPLIT(IA85,","))&amp;",",","&amp;SUBSTITUTE(input_story_type," ","")&amp;",")))=COUNTA(TEXTSPLIT(IA85,",")))),IF(IC85="",TRUE,IF(input_story_type="",TRUE,SUMPRODUCT(--ISNUMBER(SEARCH(","&amp;TRIM(TEXTSPLIT(IC85,","))&amp;",",","&amp;SUBSTITUTE(input_story_type," ","")&amp;",")))=0)),IF(IE85="",TRUE,IF(input_story_type="",FALSE,SUMPRODUCT(--ISNUMBER(SEARCH(","&amp;TRIM(TEXTSPLIT(IE85,","))&amp;",",","&amp;SUBSTITUTE(input_story_type," ","")&amp;",")))&gt;0)),IF(IG85="",TRUE,IF(input_story_type="",FALSE,SUMPRODUCT(--ISNUMBER(SEARCH(","&amp;TRIM(TEXTSPLIT(IG85,","))&amp;",",","&amp;SUBSTITUTE(input_story_type," ","")&amp;",")))=COUNTA(TEXTSPLIT(IG85,",")))))</f>
        <v/>
      </c>
      <c r="JQ85" s="19">
        <f>AND(IF(II85="",TRUE,IF(input_topics="",FALSE,SUMPRODUCT(--ISNUMBER(SEARCH(","&amp;TRIM(TEXTSPLIT(II85,","))&amp;",",","&amp;SUBSTITUTE(input_topics," ","")&amp;",")))&gt;0)),IF(IK85="",TRUE,IF(input_topics="",FALSE,SUMPRODUCT(--ISNUMBER(SEARCH(","&amp;TRIM(TEXTSPLIT(IK85,","))&amp;",",","&amp;SUBSTITUTE(input_topics," ","")&amp;",")))=COUNTA(TEXTSPLIT(IK85,",")))),IF(IM85="",TRUE,IF(input_topics="",TRUE,SUMPRODUCT(--ISNUMBER(SEARCH(","&amp;TRIM(TEXTSPLIT(IM85,","))&amp;",",","&amp;SUBSTITUTE(input_topics," ","")&amp;",")))=0)),IF(IO85="",TRUE,IF(input_topics="",FALSE,SUMPRODUCT(--ISNUMBER(SEARCH(","&amp;TRIM(TEXTSPLIT(IO85,","))&amp;",",","&amp;SUBSTITUTE(input_topics," ","")&amp;",")))&gt;0)),IF(IQ85="",TRUE,IF(input_topics="",FALSE,SUMPRODUCT(--ISNUMBER(SEARCH(","&amp;TRIM(TEXTSPLIT(IQ85,","))&amp;",",","&amp;SUBSTITUTE(input_topics," ","")&amp;",")))=COUNTA(TEXTSPLIT(IQ85,",")))))</f>
        <v/>
      </c>
    </row>
    <row r="86">
      <c r="A86" s="24">
        <f>IF(NOT(IS86),"Excluded",IF(AND(IT86,IU86,IV86,IW86,IX86,IY86,IZ86,JA86,JB86,JC86,JD86,JE86,JF86,JG86,JH86,JI86,JJ86,JK86,JL86,JM86,JN86,JO86,JP86,JQ86),IF(I86&gt;0,"Eligible but limited","Will appear"),"Excluded"))</f>
        <v/>
      </c>
      <c r="B86" s="24" t="inlineStr">
        <is>
          <t>Chief Executive Leadership Institute &gt; Main Content</t>
        </is>
      </c>
      <c r="C86" s="27" t="inlineStr">
        <is>
          <t>/centers/chief-executive-leadership-institute</t>
        </is>
      </c>
      <c r="D86" s="24" t="inlineStr">
        <is>
          <t>/centers/chief-executive-leadership-institute</t>
        </is>
      </c>
      <c r="E86" s="24" t="n">
        <v>1</v>
      </c>
      <c r="F86" s="24" t="inlineStr">
        <is>
          <t>event</t>
        </is>
      </c>
      <c r="G86" s="24" t="inlineStr">
        <is>
          <t>event_list</t>
        </is>
      </c>
      <c r="H86" s="24" t="inlineStr">
        <is>
          <t>embed_no_filters</t>
        </is>
      </c>
      <c r="I86" s="24" t="n">
        <v>8</v>
      </c>
      <c r="J86" s="28" t="inlineStr">
        <is>
          <t>Explicit args</t>
        </is>
      </c>
      <c r="K86" s="24" t="inlineStr">
        <is>
          <t>Page placement</t>
        </is>
      </c>
      <c r="L86" s="24" t="inlineStr">
        <is>
          <t>Content type: event; Context uses Courses Context: Chief Executive Leadership Institute (925); Limited to 8 item(s); Source: Explicit args</t>
        </is>
      </c>
      <c r="BQ86" s="19" t="inlineStr">
        <is>
          <t>925</t>
        </is>
      </c>
      <c r="BR86" s="19" t="inlineStr">
        <is>
          <t>Chief Executive Leadership Institute (925)</t>
        </is>
      </c>
      <c r="IS86" s="19">
        <f>IF(input_content_type="",FALSE,ISNUMBER(SEARCH(","&amp;LOWER(input_content_type)&amp;",",","&amp;LOWER(SUBSTITUTE(F86," ",""))&amp;",")))</f>
        <v/>
      </c>
      <c r="IT86" s="19">
        <f>AND(IF(M86="",TRUE,IF(input_affiliations="",FALSE,SUMPRODUCT(--ISNUMBER(SEARCH(","&amp;TRIM(TEXTSPLIT(M86,","))&amp;",",","&amp;SUBSTITUTE(input_affiliations," ","")&amp;",")))&gt;0)),IF(O86="",TRUE,IF(input_affiliations="",FALSE,SUMPRODUCT(--ISNUMBER(SEARCH(","&amp;TRIM(TEXTSPLIT(O86,","))&amp;",",","&amp;SUBSTITUTE(input_affiliations," ","")&amp;",")))=COUNTA(TEXTSPLIT(O86,",")))),IF(Q86="",TRUE,IF(input_affiliations="",TRUE,SUMPRODUCT(--ISNUMBER(SEARCH(","&amp;TRIM(TEXTSPLIT(Q86,","))&amp;",",","&amp;SUBSTITUTE(input_affiliations," ","")&amp;",")))=0)),IF(S86="",TRUE,IF(input_affiliations="",FALSE,SUMPRODUCT(--ISNUMBER(SEARCH(","&amp;TRIM(TEXTSPLIT(S86,","))&amp;",",","&amp;SUBSTITUTE(input_affiliations," ","")&amp;",")))&gt;0)),IF(U86="",TRUE,IF(input_affiliations="",FALSE,SUMPRODUCT(--ISNUMBER(SEARCH(","&amp;TRIM(TEXTSPLIT(U86,","))&amp;",",","&amp;SUBSTITUTE(input_affiliations," ","")&amp;",")))=COUNTA(TEXTSPLIT(U86,",")))))</f>
        <v/>
      </c>
      <c r="IU86" s="19">
        <f>AND(IF(W86="",TRUE,IF(input_announcement_category="",FALSE,SUMPRODUCT(--ISNUMBER(SEARCH(","&amp;TRIM(TEXTSPLIT(W86,","))&amp;",",","&amp;SUBSTITUTE(input_announcement_category," ","")&amp;",")))&gt;0)),IF(Y86="",TRUE,IF(input_announcement_category="",FALSE,SUMPRODUCT(--ISNUMBER(SEARCH(","&amp;TRIM(TEXTSPLIT(Y86,","))&amp;",",","&amp;SUBSTITUTE(input_announcement_category," ","")&amp;",")))=COUNTA(TEXTSPLIT(Y86,",")))),IF(AA86="",TRUE,IF(input_announcement_category="",TRUE,SUMPRODUCT(--ISNUMBER(SEARCH(","&amp;TRIM(TEXTSPLIT(AA86,","))&amp;",",","&amp;SUBSTITUTE(input_announcement_category," ","")&amp;",")))=0)),IF(AC86="",TRUE,IF(input_announcement_category="",FALSE,SUMPRODUCT(--ISNUMBER(SEARCH(","&amp;TRIM(TEXTSPLIT(AC86,","))&amp;",",","&amp;SUBSTITUTE(input_announcement_category," ","")&amp;",")))&gt;0)),IF(AE86="",TRUE,IF(input_announcement_category="",FALSE,SUMPRODUCT(--ISNUMBER(SEARCH(","&amp;TRIM(TEXTSPLIT(AE86,","))&amp;",",","&amp;SUBSTITUTE(input_announcement_category," ","")&amp;",")))=COUNTA(TEXTSPLIT(AE86,",")))))</f>
        <v/>
      </c>
      <c r="IV86" s="19">
        <f>AND(IF(AG86="",TRUE,IF(input_area_of_focus="",FALSE,SUMPRODUCT(--ISNUMBER(SEARCH(","&amp;TRIM(TEXTSPLIT(AG86,","))&amp;",",","&amp;SUBSTITUTE(input_area_of_focus," ","")&amp;",")))&gt;0)),IF(AI86="",TRUE,IF(input_area_of_focus="",FALSE,SUMPRODUCT(--ISNUMBER(SEARCH(","&amp;TRIM(TEXTSPLIT(AI86,","))&amp;",",","&amp;SUBSTITUTE(input_area_of_focus," ","")&amp;",")))=COUNTA(TEXTSPLIT(AI86,",")))),IF(AK86="",TRUE,IF(input_area_of_focus="",TRUE,SUMPRODUCT(--ISNUMBER(SEARCH(","&amp;TRIM(TEXTSPLIT(AK86,","))&amp;",",","&amp;SUBSTITUTE(input_area_of_focus," ","")&amp;",")))=0)),IF(AM86="",TRUE,IF(input_area_of_focus="",FALSE,SUMPRODUCT(--ISNUMBER(SEARCH(","&amp;TRIM(TEXTSPLIT(AM86,","))&amp;",",","&amp;SUBSTITUTE(input_area_of_focus," ","")&amp;",")))&gt;0)),IF(AO86="",TRUE,IF(input_area_of_focus="",FALSE,SUMPRODUCT(--ISNUMBER(SEARCH(","&amp;TRIM(TEXTSPLIT(AO86,","))&amp;",",","&amp;SUBSTITUTE(input_area_of_focus," ","")&amp;",")))=COUNTA(TEXTSPLIT(AO86,",")))))</f>
        <v/>
      </c>
      <c r="IW86" s="19">
        <f>AND(IF(AQ86="",TRUE,IF(input_audience="",FALSE,SUMPRODUCT(--ISNUMBER(SEARCH(","&amp;TRIM(TEXTSPLIT(AQ86,","))&amp;",",","&amp;SUBSTITUTE(input_audience," ","")&amp;",")))&gt;0)),IF(AS86="",TRUE,IF(input_audience="",FALSE,SUMPRODUCT(--ISNUMBER(SEARCH(","&amp;TRIM(TEXTSPLIT(AS86,","))&amp;",",","&amp;SUBSTITUTE(input_audience," ","")&amp;",")))=COUNTA(TEXTSPLIT(AS86,",")))),IF(AU86="",TRUE,IF(input_audience="",TRUE,SUMPRODUCT(--ISNUMBER(SEARCH(","&amp;TRIM(TEXTSPLIT(AU86,","))&amp;",",","&amp;SUBSTITUTE(input_audience," ","")&amp;",")))=0)),IF(AW86="",TRUE,IF(input_audience="",FALSE,SUMPRODUCT(--ISNUMBER(SEARCH(","&amp;TRIM(TEXTSPLIT(AW86,","))&amp;",",","&amp;SUBSTITUTE(input_audience," ","")&amp;",")))&gt;0)),IF(AY86="",TRUE,IF(input_audience="",FALSE,SUMPRODUCT(--ISNUMBER(SEARCH(","&amp;TRIM(TEXTSPLIT(AY86,","))&amp;",",","&amp;SUBSTITUTE(input_audience," ","")&amp;",")))=COUNTA(TEXTSPLIT(AY86,",")))))</f>
        <v/>
      </c>
      <c r="IX86" s="19">
        <f>AND(IF(BA86="",TRUE,IF(input_challenge_opportunities="",FALSE,SUMPRODUCT(--ISNUMBER(SEARCH(","&amp;TRIM(TEXTSPLIT(BA86,","))&amp;",",","&amp;SUBSTITUTE(input_challenge_opportunities," ","")&amp;",")))&gt;0)),IF(BC86="",TRUE,IF(input_challenge_opportunities="",FALSE,SUMPRODUCT(--ISNUMBER(SEARCH(","&amp;TRIM(TEXTSPLIT(BC86,","))&amp;",",","&amp;SUBSTITUTE(input_challenge_opportunities," ","")&amp;",")))=COUNTA(TEXTSPLIT(BC86,",")))),IF(BE86="",TRUE,IF(input_challenge_opportunities="",TRUE,SUMPRODUCT(--ISNUMBER(SEARCH(","&amp;TRIM(TEXTSPLIT(BE86,","))&amp;",",","&amp;SUBSTITUTE(input_challenge_opportunities," ","")&amp;",")))=0)),IF(BG86="",TRUE,IF(input_challenge_opportunities="",FALSE,SUMPRODUCT(--ISNUMBER(SEARCH(","&amp;TRIM(TEXTSPLIT(BG86,","))&amp;",",","&amp;SUBSTITUTE(input_challenge_opportunities," ","")&amp;",")))&gt;0)),IF(BI86="",TRUE,IF(input_challenge_opportunities="",FALSE,SUMPRODUCT(--ISNUMBER(SEARCH(","&amp;TRIM(TEXTSPLIT(BI86,","))&amp;",",","&amp;SUBSTITUTE(input_challenge_opportunities," ","")&amp;",")))=COUNTA(TEXTSPLIT(BI86,",")))))</f>
        <v/>
      </c>
      <c r="IY86" s="19">
        <f>AND(IF(BK86="",TRUE,IF(input_context="",FALSE,SUMPRODUCT(--ISNUMBER(SEARCH(","&amp;TRIM(TEXTSPLIT(BK86,","))&amp;",",","&amp;SUBSTITUTE(input_context," ","")&amp;",")))&gt;0)),IF(BM86="",TRUE,IF(input_context="",FALSE,SUMPRODUCT(--ISNUMBER(SEARCH(","&amp;TRIM(TEXTSPLIT(BM86,","))&amp;",",","&amp;SUBSTITUTE(input_context," ","")&amp;",")))=COUNTA(TEXTSPLIT(BM86,",")))),IF(BO86="",TRUE,IF(input_context="",TRUE,SUMPRODUCT(--ISNUMBER(SEARCH(","&amp;TRIM(TEXTSPLIT(BO86,","))&amp;",",","&amp;SUBSTITUTE(input_context," ","")&amp;",")))=0)),IF(BQ86="",TRUE,IF(input_context="",FALSE,SUMPRODUCT(--ISNUMBER(SEARCH(","&amp;TRIM(TEXTSPLIT(BQ86,","))&amp;",",","&amp;SUBSTITUTE(input_context," ","")&amp;",")))&gt;0)),IF(BS86="",TRUE,IF(input_context="",FALSE,SUMPRODUCT(--ISNUMBER(SEARCH(","&amp;TRIM(TEXTSPLIT(BS86,","))&amp;",",","&amp;SUBSTITUTE(input_context," ","")&amp;",")))=COUNTA(TEXTSPLIT(BS86,",")))))</f>
        <v/>
      </c>
      <c r="IZ86" s="19">
        <f>AND(IF(BU86="",TRUE,IF(input_enews_announcement_type="",FALSE,SUMPRODUCT(--ISNUMBER(SEARCH(","&amp;TRIM(TEXTSPLIT(BU86,","))&amp;",",","&amp;SUBSTITUTE(input_enews_announcement_type," ","")&amp;",")))&gt;0)),IF(BW86="",TRUE,IF(input_enews_announcement_type="",FALSE,SUMPRODUCT(--ISNUMBER(SEARCH(","&amp;TRIM(TEXTSPLIT(BW86,","))&amp;",",","&amp;SUBSTITUTE(input_enews_announcement_type," ","")&amp;",")))=COUNTA(TEXTSPLIT(BW86,",")))),IF(BY86="",TRUE,IF(input_enews_announcement_type="",TRUE,SUMPRODUCT(--ISNUMBER(SEARCH(","&amp;TRIM(TEXTSPLIT(BY86,","))&amp;",",","&amp;SUBSTITUTE(input_enews_announcement_type," ","")&amp;",")))=0)),IF(CA86="",TRUE,IF(input_enews_announcement_type="",FALSE,SUMPRODUCT(--ISNUMBER(SEARCH(","&amp;TRIM(TEXTSPLIT(CA86,","))&amp;",",","&amp;SUBSTITUTE(input_enews_announcement_type," ","")&amp;",")))&gt;0)),IF(CC86="",TRUE,IF(input_enews_announcement_type="",FALSE,SUMPRODUCT(--ISNUMBER(SEARCH(","&amp;TRIM(TEXTSPLIT(CC86,","))&amp;",",","&amp;SUBSTITUTE(input_enews_announcement_type," ","")&amp;",")))=COUNTA(TEXTSPLIT(CC86,",")))))</f>
        <v/>
      </c>
      <c r="JA86" s="19">
        <f>AND(IF(CE86="",TRUE,IF(input_enews_audience="",FALSE,SUMPRODUCT(--ISNUMBER(SEARCH(","&amp;TRIM(TEXTSPLIT(CE86,","))&amp;",",","&amp;SUBSTITUTE(input_enews_audience," ","")&amp;",")))&gt;0)),IF(CG86="",TRUE,IF(input_enews_audience="",FALSE,SUMPRODUCT(--ISNUMBER(SEARCH(","&amp;TRIM(TEXTSPLIT(CG86,","))&amp;",",","&amp;SUBSTITUTE(input_enews_audience," ","")&amp;",")))=COUNTA(TEXTSPLIT(CG86,",")))),IF(CI86="",TRUE,IF(input_enews_audience="",TRUE,SUMPRODUCT(--ISNUMBER(SEARCH(","&amp;TRIM(TEXTSPLIT(CI86,","))&amp;",",","&amp;SUBSTITUTE(input_enews_audience," ","")&amp;",")))=0)),IF(CK86="",TRUE,IF(input_enews_audience="",FALSE,SUMPRODUCT(--ISNUMBER(SEARCH(","&amp;TRIM(TEXTSPLIT(CK86,","))&amp;",",","&amp;SUBSTITUTE(input_enews_audience," ","")&amp;",")))&gt;0)),IF(CM86="",TRUE,IF(input_enews_audience="",FALSE,SUMPRODUCT(--ISNUMBER(SEARCH(","&amp;TRIM(TEXTSPLIT(CM86,","))&amp;",",","&amp;SUBSTITUTE(input_enews_audience," ","")&amp;",")))=COUNTA(TEXTSPLIT(CM86,",")))))</f>
        <v/>
      </c>
      <c r="JB86" s="19">
        <f>AND(IF(CO86="",TRUE,IF(input_event_location="",FALSE,SUMPRODUCT(--ISNUMBER(SEARCH(","&amp;TRIM(TEXTSPLIT(CO86,","))&amp;",",","&amp;SUBSTITUTE(input_event_location," ","")&amp;",")))&gt;0)),IF(CQ86="",TRUE,IF(input_event_location="",FALSE,SUMPRODUCT(--ISNUMBER(SEARCH(","&amp;TRIM(TEXTSPLIT(CQ86,","))&amp;",",","&amp;SUBSTITUTE(input_event_location," ","")&amp;",")))=COUNTA(TEXTSPLIT(CQ86,",")))),IF(CS86="",TRUE,IF(input_event_location="",TRUE,SUMPRODUCT(--ISNUMBER(SEARCH(","&amp;TRIM(TEXTSPLIT(CS86,","))&amp;",",","&amp;SUBSTITUTE(input_event_location," ","")&amp;",")))=0)),IF(CU86="",TRUE,IF(input_event_location="",FALSE,SUMPRODUCT(--ISNUMBER(SEARCH(","&amp;TRIM(TEXTSPLIT(CU86,","))&amp;",",","&amp;SUBSTITUTE(input_event_location," ","")&amp;",")))&gt;0)),IF(CW86="",TRUE,IF(input_event_location="",FALSE,SUMPRODUCT(--ISNUMBER(SEARCH(","&amp;TRIM(TEXTSPLIT(CW86,","))&amp;",",","&amp;SUBSTITUTE(input_event_location," ","")&amp;",")))=COUNTA(TEXTSPLIT(CW86,",")))))</f>
        <v/>
      </c>
      <c r="JC86" s="19">
        <f>AND(IF(CY86="",TRUE,IF(input_event_type="",FALSE,SUMPRODUCT(--ISNUMBER(SEARCH(","&amp;TRIM(TEXTSPLIT(CY86,","))&amp;",",","&amp;SUBSTITUTE(input_event_type," ","")&amp;",")))&gt;0)),IF(DA86="",TRUE,IF(input_event_type="",FALSE,SUMPRODUCT(--ISNUMBER(SEARCH(","&amp;TRIM(TEXTSPLIT(DA86,","))&amp;",",","&amp;SUBSTITUTE(input_event_type," ","")&amp;",")))=COUNTA(TEXTSPLIT(DA86,",")))),IF(DC86="",TRUE,IF(input_event_type="",TRUE,SUMPRODUCT(--ISNUMBER(SEARCH(","&amp;TRIM(TEXTSPLIT(DC86,","))&amp;",",","&amp;SUBSTITUTE(input_event_type," ","")&amp;",")))=0)),IF(DE86="",TRUE,IF(input_event_type="",FALSE,SUMPRODUCT(--ISNUMBER(SEARCH(","&amp;TRIM(TEXTSPLIT(DE86,","))&amp;",",","&amp;SUBSTITUTE(input_event_type," ","")&amp;",")))&gt;0)),IF(DG86="",TRUE,IF(input_event_type="",FALSE,SUMPRODUCT(--ISNUMBER(SEARCH(","&amp;TRIM(TEXTSPLIT(DG86,","))&amp;",",","&amp;SUBSTITUTE(input_event_type," ","")&amp;",")))=COUNTA(TEXTSPLIT(DG86,",")))))</f>
        <v/>
      </c>
      <c r="JD86" s="19">
        <f>AND(IF(DI86="",TRUE,IF(input_executive_education_focus="",FALSE,SUMPRODUCT(--ISNUMBER(SEARCH(","&amp;TRIM(TEXTSPLIT(DI86,","))&amp;",",","&amp;SUBSTITUTE(input_executive_education_focus," ","")&amp;",")))&gt;0)),IF(DK86="",TRUE,IF(input_executive_education_focus="",FALSE,SUMPRODUCT(--ISNUMBER(SEARCH(","&amp;TRIM(TEXTSPLIT(DK86,","))&amp;",",","&amp;SUBSTITUTE(input_executive_education_focus," ","")&amp;",")))=COUNTA(TEXTSPLIT(DK86,",")))),IF(DM86="",TRUE,IF(input_executive_education_focus="",TRUE,SUMPRODUCT(--ISNUMBER(SEARCH(","&amp;TRIM(TEXTSPLIT(DM86,","))&amp;",",","&amp;SUBSTITUTE(input_executive_education_focus," ","")&amp;",")))=0)),IF(DO86="",TRUE,IF(input_executive_education_focus="",FALSE,SUMPRODUCT(--ISNUMBER(SEARCH(","&amp;TRIM(TEXTSPLIT(DO86,","))&amp;",",","&amp;SUBSTITUTE(input_executive_education_focus," ","")&amp;",")))&gt;0)),IF(DQ86="",TRUE,IF(input_executive_education_focus="",FALSE,SUMPRODUCT(--ISNUMBER(SEARCH(","&amp;TRIM(TEXTSPLIT(DQ86,","))&amp;",",","&amp;SUBSTITUTE(input_executive_education_focus," ","")&amp;",")))=COUNTA(TEXTSPLIT(DQ86,",")))))</f>
        <v/>
      </c>
      <c r="JE86" s="19">
        <f>AND(IF(DS86="",TRUE,IF(input_faculty_category="",FALSE,SUMPRODUCT(--ISNUMBER(SEARCH(","&amp;TRIM(TEXTSPLIT(DS86,","))&amp;",",","&amp;SUBSTITUTE(input_faculty_category," ","")&amp;",")))&gt;0)),IF(DU86="",TRUE,IF(input_faculty_category="",FALSE,SUMPRODUCT(--ISNUMBER(SEARCH(","&amp;TRIM(TEXTSPLIT(DU86,","))&amp;",",","&amp;SUBSTITUTE(input_faculty_category," ","")&amp;",")))=COUNTA(TEXTSPLIT(DU86,",")))),IF(DW86="",TRUE,IF(input_faculty_category="",TRUE,SUMPRODUCT(--ISNUMBER(SEARCH(","&amp;TRIM(TEXTSPLIT(DW86,","))&amp;",",","&amp;SUBSTITUTE(input_faculty_category," ","")&amp;",")))=0)),IF(DY86="",TRUE,IF(input_faculty_category="",FALSE,SUMPRODUCT(--ISNUMBER(SEARCH(","&amp;TRIM(TEXTSPLIT(DY86,","))&amp;",",","&amp;SUBSTITUTE(input_faculty_category," ","")&amp;",")))&gt;0)),IF(EA86="",TRUE,IF(input_faculty_category="",FALSE,SUMPRODUCT(--ISNUMBER(SEARCH(","&amp;TRIM(TEXTSPLIT(EA86,","))&amp;",",","&amp;SUBSTITUTE(input_faculty_category," ","")&amp;",")))=COUNTA(TEXTSPLIT(EA86,",")))))</f>
        <v/>
      </c>
      <c r="JF86" s="19">
        <f>AND(IF(EC86="",TRUE,IF(input_faculty_discipline="",FALSE,SUMPRODUCT(--ISNUMBER(SEARCH(","&amp;TRIM(TEXTSPLIT(EC86,","))&amp;",",","&amp;SUBSTITUTE(input_faculty_discipline," ","")&amp;",")))&gt;0)),IF(EE86="",TRUE,IF(input_faculty_discipline="",FALSE,SUMPRODUCT(--ISNUMBER(SEARCH(","&amp;TRIM(TEXTSPLIT(EE86,","))&amp;",",","&amp;SUBSTITUTE(input_faculty_discipline," ","")&amp;",")))=COUNTA(TEXTSPLIT(EE86,",")))),IF(EG86="",TRUE,IF(input_faculty_discipline="",TRUE,SUMPRODUCT(--ISNUMBER(SEARCH(","&amp;TRIM(TEXTSPLIT(EG86,","))&amp;",",","&amp;SUBSTITUTE(input_faculty_discipline," ","")&amp;",")))=0)),IF(EI86="",TRUE,IF(input_faculty_discipline="",FALSE,SUMPRODUCT(--ISNUMBER(SEARCH(","&amp;TRIM(TEXTSPLIT(EI86,","))&amp;",",","&amp;SUBSTITUTE(input_faculty_discipline," ","")&amp;",")))&gt;0)),IF(EK86="",TRUE,IF(input_faculty_discipline="",FALSE,SUMPRODUCT(--ISNUMBER(SEARCH(","&amp;TRIM(TEXTSPLIT(EK86,","))&amp;",",","&amp;SUBSTITUTE(input_faculty_discipline," ","")&amp;",")))=COUNTA(TEXTSPLIT(EK86,",")))))</f>
        <v/>
      </c>
      <c r="JG86" s="19">
        <f>AND(IF(EM86="",TRUE,IF(input_faculty_expertise="",FALSE,SUMPRODUCT(--ISNUMBER(SEARCH(","&amp;TRIM(TEXTSPLIT(EM86,","))&amp;",",","&amp;SUBSTITUTE(input_faculty_expertise," ","")&amp;",")))&gt;0)),IF(EO86="",TRUE,IF(input_faculty_expertise="",FALSE,SUMPRODUCT(--ISNUMBER(SEARCH(","&amp;TRIM(TEXTSPLIT(EO86,","))&amp;",",","&amp;SUBSTITUTE(input_faculty_expertise," ","")&amp;",")))=COUNTA(TEXTSPLIT(EO86,",")))),IF(EQ86="",TRUE,IF(input_faculty_expertise="",TRUE,SUMPRODUCT(--ISNUMBER(SEARCH(","&amp;TRIM(TEXTSPLIT(EQ86,","))&amp;",",","&amp;SUBSTITUTE(input_faculty_expertise," ","")&amp;",")))=0)),IF(ES86="",TRUE,IF(input_faculty_expertise="",FALSE,SUMPRODUCT(--ISNUMBER(SEARCH(","&amp;TRIM(TEXTSPLIT(ES86,","))&amp;",",","&amp;SUBSTITUTE(input_faculty_expertise," ","")&amp;",")))&gt;0)),IF(EU86="",TRUE,IF(input_faculty_expertise="",FALSE,SUMPRODUCT(--ISNUMBER(SEARCH(","&amp;TRIM(TEXTSPLIT(EU86,","))&amp;",",","&amp;SUBSTITUTE(input_faculty_expertise," ","")&amp;",")))=COUNTA(TEXTSPLIT(EU86,",")))))</f>
        <v/>
      </c>
      <c r="JH86" s="19">
        <f>AND(IF(EW86="",TRUE,IF(input_global_network_school="",FALSE,SUMPRODUCT(--ISNUMBER(SEARCH(","&amp;TRIM(TEXTSPLIT(EW86,","))&amp;",",","&amp;SUBSTITUTE(input_global_network_school," ","")&amp;",")))&gt;0)),IF(EY86="",TRUE,IF(input_global_network_school="",FALSE,SUMPRODUCT(--ISNUMBER(SEARCH(","&amp;TRIM(TEXTSPLIT(EY86,","))&amp;",",","&amp;SUBSTITUTE(input_global_network_school," ","")&amp;",")))=COUNTA(TEXTSPLIT(EY86,",")))),IF(FA86="",TRUE,IF(input_global_network_school="",TRUE,SUMPRODUCT(--ISNUMBER(SEARCH(","&amp;TRIM(TEXTSPLIT(FA86,","))&amp;",",","&amp;SUBSTITUTE(input_global_network_school," ","")&amp;",")))=0)),IF(FC86="",TRUE,IF(input_global_network_school="",FALSE,SUMPRODUCT(--ISNUMBER(SEARCH(","&amp;TRIM(TEXTSPLIT(FC86,","))&amp;",",","&amp;SUBSTITUTE(input_global_network_school," ","")&amp;",")))&gt;0)),IF(FE86="",TRUE,IF(input_global_network_school="",FALSE,SUMPRODUCT(--ISNUMBER(SEARCH(","&amp;TRIM(TEXTSPLIT(FE86,","))&amp;",",","&amp;SUBSTITUTE(input_global_network_school," ","")&amp;",")))=COUNTA(TEXTSPLIT(FE86,",")))))</f>
        <v/>
      </c>
      <c r="JI86" s="19">
        <f>AND(IF(FG86="",TRUE,IF(input_industry="",FALSE,SUMPRODUCT(--ISNUMBER(SEARCH(","&amp;TRIM(TEXTSPLIT(FG86,","))&amp;",",","&amp;SUBSTITUTE(input_industry," ","")&amp;",")))&gt;0)),IF(FI86="",TRUE,IF(input_industry="",FALSE,SUMPRODUCT(--ISNUMBER(SEARCH(","&amp;TRIM(TEXTSPLIT(FI86,","))&amp;",",","&amp;SUBSTITUTE(input_industry," ","")&amp;",")))=COUNTA(TEXTSPLIT(FI86,",")))),IF(FK86="",TRUE,IF(input_industry="",TRUE,SUMPRODUCT(--ISNUMBER(SEARCH(","&amp;TRIM(TEXTSPLIT(FK86,","))&amp;",",","&amp;SUBSTITUTE(input_industry," ","")&amp;",")))=0)),IF(FM86="",TRUE,IF(input_industry="",FALSE,SUMPRODUCT(--ISNUMBER(SEARCH(","&amp;TRIM(TEXTSPLIT(FM86,","))&amp;",",","&amp;SUBSTITUTE(input_industry," ","")&amp;",")))&gt;0)),IF(FO86="",TRUE,IF(input_industry="",FALSE,SUMPRODUCT(--ISNUMBER(SEARCH(","&amp;TRIM(TEXTSPLIT(FO86,","))&amp;",",","&amp;SUBSTITUTE(input_industry," ","")&amp;",")))=COUNTA(TEXTSPLIT(FO86,",")))))</f>
        <v/>
      </c>
      <c r="JJ86" s="19">
        <f>AND(IF(FQ86="",TRUE,IF(input_location="",FALSE,SUMPRODUCT(--ISNUMBER(SEARCH(","&amp;TRIM(TEXTSPLIT(FQ86,","))&amp;",",","&amp;SUBSTITUTE(input_location," ","")&amp;",")))&gt;0)),IF(FS86="",TRUE,IF(input_location="",FALSE,SUMPRODUCT(--ISNUMBER(SEARCH(","&amp;TRIM(TEXTSPLIT(FS86,","))&amp;",",","&amp;SUBSTITUTE(input_location," ","")&amp;",")))=COUNTA(TEXTSPLIT(FS86,",")))),IF(FU86="",TRUE,IF(input_location="",TRUE,SUMPRODUCT(--ISNUMBER(SEARCH(","&amp;TRIM(TEXTSPLIT(FU86,","))&amp;",",","&amp;SUBSTITUTE(input_location," ","")&amp;",")))=0)),IF(FW86="",TRUE,IF(input_location="",FALSE,SUMPRODUCT(--ISNUMBER(SEARCH(","&amp;TRIM(TEXTSPLIT(FW86,","))&amp;",",","&amp;SUBSTITUTE(input_location," ","")&amp;",")))&gt;0)),IF(FY86="",TRUE,IF(input_location="",FALSE,SUMPRODUCT(--ISNUMBER(SEARCH(","&amp;TRIM(TEXTSPLIT(FY86,","))&amp;",",","&amp;SUBSTITUTE(input_location," ","")&amp;",")))=COUNTA(TEXTSPLIT(FY86,",")))))</f>
        <v/>
      </c>
      <c r="JK86" s="19">
        <f>AND(IF(GA86="",TRUE,IF(input_modality="",FALSE,SUMPRODUCT(--ISNUMBER(SEARCH(","&amp;TRIM(TEXTSPLIT(GA86,","))&amp;",",","&amp;SUBSTITUTE(input_modality," ","")&amp;",")))&gt;0)),IF(GC86="",TRUE,IF(input_modality="",FALSE,SUMPRODUCT(--ISNUMBER(SEARCH(","&amp;TRIM(TEXTSPLIT(GC86,","))&amp;",",","&amp;SUBSTITUTE(input_modality," ","")&amp;",")))=COUNTA(TEXTSPLIT(GC86,",")))),IF(GE86="",TRUE,IF(input_modality="",TRUE,SUMPRODUCT(--ISNUMBER(SEARCH(","&amp;TRIM(TEXTSPLIT(GE86,","))&amp;",",","&amp;SUBSTITUTE(input_modality," ","")&amp;",")))=0)),IF(GG86="",TRUE,IF(input_modality="",FALSE,SUMPRODUCT(--ISNUMBER(SEARCH(","&amp;TRIM(TEXTSPLIT(GG86,","))&amp;",",","&amp;SUBSTITUTE(input_modality," ","")&amp;",")))&gt;0)),IF(GI86="",TRUE,IF(input_modality="",FALSE,SUMPRODUCT(--ISNUMBER(SEARCH(","&amp;TRIM(TEXTSPLIT(GI86,","))&amp;",",","&amp;SUBSTITUTE(input_modality," ","")&amp;",")))=COUNTA(TEXTSPLIT(GI86,",")))))</f>
        <v/>
      </c>
      <c r="JL86" s="19">
        <f>AND(IF(GK86="",TRUE,IF(input_organizer="",FALSE,SUMPRODUCT(--ISNUMBER(SEARCH(","&amp;TRIM(TEXTSPLIT(GK86,","))&amp;",",","&amp;SUBSTITUTE(input_organizer," ","")&amp;",")))&gt;0)),IF(GM86="",TRUE,IF(input_organizer="",FALSE,SUMPRODUCT(--ISNUMBER(SEARCH(","&amp;TRIM(TEXTSPLIT(GM86,","))&amp;",",","&amp;SUBSTITUTE(input_organizer," ","")&amp;",")))=COUNTA(TEXTSPLIT(GM86,",")))),IF(GO86="",TRUE,IF(input_organizer="",TRUE,SUMPRODUCT(--ISNUMBER(SEARCH(","&amp;TRIM(TEXTSPLIT(GO86,","))&amp;",",","&amp;SUBSTITUTE(input_organizer," ","")&amp;",")))=0)),IF(GQ86="",TRUE,IF(input_organizer="",FALSE,SUMPRODUCT(--ISNUMBER(SEARCH(","&amp;TRIM(TEXTSPLIT(GQ86,","))&amp;",",","&amp;SUBSTITUTE(input_organizer," ","")&amp;",")))&gt;0)),IF(GS86="",TRUE,IF(input_organizer="",FALSE,SUMPRODUCT(--ISNUMBER(SEARCH(","&amp;TRIM(TEXTSPLIT(GS86,","))&amp;",",","&amp;SUBSTITUTE(input_organizer," ","")&amp;",")))=COUNTA(TEXTSPLIT(GS86,",")))))</f>
        <v/>
      </c>
      <c r="JM86" s="19">
        <f>AND(IF(GU86="",TRUE,IF(input_profile_type="",FALSE,SUMPRODUCT(--ISNUMBER(SEARCH(","&amp;TRIM(TEXTSPLIT(GU86,","))&amp;",",","&amp;SUBSTITUTE(input_profile_type," ","")&amp;",")))&gt;0)),IF(GW86="",TRUE,IF(input_profile_type="",FALSE,SUMPRODUCT(--ISNUMBER(SEARCH(","&amp;TRIM(TEXTSPLIT(GW86,","))&amp;",",","&amp;SUBSTITUTE(input_profile_type," ","")&amp;",")))=COUNTA(TEXTSPLIT(GW86,",")))),IF(GY86="",TRUE,IF(input_profile_type="",TRUE,SUMPRODUCT(--ISNUMBER(SEARCH(","&amp;TRIM(TEXTSPLIT(GY86,","))&amp;",",","&amp;SUBSTITUTE(input_profile_type," ","")&amp;",")))=0)),IF(HA86="",TRUE,IF(input_profile_type="",FALSE,SUMPRODUCT(--ISNUMBER(SEARCH(","&amp;TRIM(TEXTSPLIT(HA86,","))&amp;",",","&amp;SUBSTITUTE(input_profile_type," ","")&amp;",")))&gt;0)),IF(HC86="",TRUE,IF(input_profile_type="",FALSE,SUMPRODUCT(--ISNUMBER(SEARCH(","&amp;TRIM(TEXTSPLIT(HC86,","))&amp;",",","&amp;SUBSTITUTE(input_profile_type," ","")&amp;",")))=COUNTA(TEXTSPLIT(HC86,",")))))</f>
        <v/>
      </c>
      <c r="JN86" s="19">
        <f>AND(IF(HE86="",TRUE,IF(input_program="",FALSE,SUMPRODUCT(--ISNUMBER(SEARCH(","&amp;TRIM(TEXTSPLIT(HE86,","))&amp;",",","&amp;SUBSTITUTE(input_program," ","")&amp;",")))&gt;0)),IF(HG86="",TRUE,IF(input_program="",FALSE,SUMPRODUCT(--ISNUMBER(SEARCH(","&amp;TRIM(TEXTSPLIT(HG86,","))&amp;",",","&amp;SUBSTITUTE(input_program," ","")&amp;",")))=COUNTA(TEXTSPLIT(HG86,",")))),IF(HI86="",TRUE,IF(input_program="",TRUE,SUMPRODUCT(--ISNUMBER(SEARCH(","&amp;TRIM(TEXTSPLIT(HI86,","))&amp;",",","&amp;SUBSTITUTE(input_program," ","")&amp;",")))=0)),IF(HK86="",TRUE,IF(input_program="",FALSE,SUMPRODUCT(--ISNUMBER(SEARCH(","&amp;TRIM(TEXTSPLIT(HK86,","))&amp;",",","&amp;SUBSTITUTE(input_program," ","")&amp;",")))&gt;0)),IF(HM86="",TRUE,IF(input_program="",FALSE,SUMPRODUCT(--ISNUMBER(SEARCH(","&amp;TRIM(TEXTSPLIT(HM86,","))&amp;",",","&amp;SUBSTITUTE(input_program," ","")&amp;",")))=COUNTA(TEXTSPLIT(HM86,",")))))</f>
        <v/>
      </c>
      <c r="JO86" s="19">
        <f>AND(IF(HO86="",TRUE,IF(input_story_categories="",FALSE,SUMPRODUCT(--ISNUMBER(SEARCH(","&amp;TRIM(TEXTSPLIT(HO86,","))&amp;",",","&amp;SUBSTITUTE(input_story_categories," ","")&amp;",")))&gt;0)),IF(HQ86="",TRUE,IF(input_story_categories="",FALSE,SUMPRODUCT(--ISNUMBER(SEARCH(","&amp;TRIM(TEXTSPLIT(HQ86,","))&amp;",",","&amp;SUBSTITUTE(input_story_categories," ","")&amp;",")))=COUNTA(TEXTSPLIT(HQ86,",")))),IF(HS86="",TRUE,IF(input_story_categories="",TRUE,SUMPRODUCT(--ISNUMBER(SEARCH(","&amp;TRIM(TEXTSPLIT(HS86,","))&amp;",",","&amp;SUBSTITUTE(input_story_categories," ","")&amp;",")))=0)),IF(HU86="",TRUE,IF(input_story_categories="",FALSE,SUMPRODUCT(--ISNUMBER(SEARCH(","&amp;TRIM(TEXTSPLIT(HU86,","))&amp;",",","&amp;SUBSTITUTE(input_story_categories," ","")&amp;",")))&gt;0)),IF(HW86="",TRUE,IF(input_story_categories="",FALSE,SUMPRODUCT(--ISNUMBER(SEARCH(","&amp;TRIM(TEXTSPLIT(HW86,","))&amp;",",","&amp;SUBSTITUTE(input_story_categories," ","")&amp;",")))=COUNTA(TEXTSPLIT(HW86,",")))))</f>
        <v/>
      </c>
      <c r="JP86" s="19">
        <f>AND(IF(HY86="",TRUE,IF(input_story_type="",FALSE,SUMPRODUCT(--ISNUMBER(SEARCH(","&amp;TRIM(TEXTSPLIT(HY86,","))&amp;",",","&amp;SUBSTITUTE(input_story_type," ","")&amp;",")))&gt;0)),IF(IA86="",TRUE,IF(input_story_type="",FALSE,SUMPRODUCT(--ISNUMBER(SEARCH(","&amp;TRIM(TEXTSPLIT(IA86,","))&amp;",",","&amp;SUBSTITUTE(input_story_type," ","")&amp;",")))=COUNTA(TEXTSPLIT(IA86,",")))),IF(IC86="",TRUE,IF(input_story_type="",TRUE,SUMPRODUCT(--ISNUMBER(SEARCH(","&amp;TRIM(TEXTSPLIT(IC86,","))&amp;",",","&amp;SUBSTITUTE(input_story_type," ","")&amp;",")))=0)),IF(IE86="",TRUE,IF(input_story_type="",FALSE,SUMPRODUCT(--ISNUMBER(SEARCH(","&amp;TRIM(TEXTSPLIT(IE86,","))&amp;",",","&amp;SUBSTITUTE(input_story_type," ","")&amp;",")))&gt;0)),IF(IG86="",TRUE,IF(input_story_type="",FALSE,SUMPRODUCT(--ISNUMBER(SEARCH(","&amp;TRIM(TEXTSPLIT(IG86,","))&amp;",",","&amp;SUBSTITUTE(input_story_type," ","")&amp;",")))=COUNTA(TEXTSPLIT(IG86,",")))))</f>
        <v/>
      </c>
      <c r="JQ86" s="19">
        <f>AND(IF(II86="",TRUE,IF(input_topics="",FALSE,SUMPRODUCT(--ISNUMBER(SEARCH(","&amp;TRIM(TEXTSPLIT(II86,","))&amp;",",","&amp;SUBSTITUTE(input_topics," ","")&amp;",")))&gt;0)),IF(IK86="",TRUE,IF(input_topics="",FALSE,SUMPRODUCT(--ISNUMBER(SEARCH(","&amp;TRIM(TEXTSPLIT(IK86,","))&amp;",",","&amp;SUBSTITUTE(input_topics," ","")&amp;",")))=COUNTA(TEXTSPLIT(IK86,",")))),IF(IM86="",TRUE,IF(input_topics="",TRUE,SUMPRODUCT(--ISNUMBER(SEARCH(","&amp;TRIM(TEXTSPLIT(IM86,","))&amp;",",","&amp;SUBSTITUTE(input_topics," ","")&amp;",")))=0)),IF(IO86="",TRUE,IF(input_topics="",FALSE,SUMPRODUCT(--ISNUMBER(SEARCH(","&amp;TRIM(TEXTSPLIT(IO86,","))&amp;",",","&amp;SUBSTITUTE(input_topics," ","")&amp;",")))&gt;0)),IF(IQ86="",TRUE,IF(input_topics="",FALSE,SUMPRODUCT(--ISNUMBER(SEARCH(","&amp;TRIM(TEXTSPLIT(IQ86,","))&amp;",",","&amp;SUBSTITUTE(input_topics," ","")&amp;",")))=COUNTA(TEXTSPLIT(IQ86,",")))))</f>
        <v/>
      </c>
    </row>
    <row r="87">
      <c r="A87" s="24">
        <f>IF(NOT(IS87),"Excluded",IF(AND(IT87,IU87,IV87,IW87,IX87,IY87,IZ87,JA87,JB87,JC87,JD87,JE87,JF87,JG87,JH87,JI87,JJ87,JK87,JL87,JM87,JN87,JO87,JP87,JQ87),IF(I87&gt;0,"Eligible but limited","Will appear"),"Excluded"))</f>
        <v/>
      </c>
      <c r="B87" s="24" t="inlineStr">
        <is>
          <t>Community Engagement News</t>
        </is>
      </c>
      <c r="C87" s="27" t="inlineStr">
        <is>
          <t>/the-som-experience/community/office-community-engagement-and-dialogue/community-engagement-news</t>
        </is>
      </c>
      <c r="D87" s="24" t="inlineStr">
        <is>
          <t>/the-som-experience/community/office-community-engagement-and-dialogue/community-engagement-news</t>
        </is>
      </c>
      <c r="E87" s="24" t="n">
        <v>1</v>
      </c>
      <c r="F87" s="24" t="inlineStr">
        <is>
          <t>story</t>
        </is>
      </c>
      <c r="G87" s="24" t="inlineStr">
        <is>
          <t>stories_list</t>
        </is>
      </c>
      <c r="H87" s="24" t="inlineStr">
        <is>
          <t>embed_1</t>
        </is>
      </c>
      <c r="I87" s="24" t="n">
        <v>10</v>
      </c>
      <c r="J87" s="28" t="inlineStr">
        <is>
          <t>Explicit args</t>
        </is>
      </c>
      <c r="K87" s="24" t="inlineStr">
        <is>
          <t>Page placement</t>
        </is>
      </c>
      <c r="L87" s="24" t="inlineStr">
        <is>
          <t>Content type: story; Context uses Event Type: Diversity (889), Diversity and Inclusion (132), Diversity and Inclusion (229); Limited to 10 item(s); Source: Explicit args</t>
        </is>
      </c>
      <c r="DE87" s="19" t="inlineStr">
        <is>
          <t>889, 132, 229</t>
        </is>
      </c>
      <c r="DF87" s="19" t="inlineStr">
        <is>
          <t>Diversity (889), Diversity and Inclusion (132), Diversity and Inclusion (229)</t>
        </is>
      </c>
      <c r="IS87" s="19">
        <f>IF(input_content_type="",FALSE,ISNUMBER(SEARCH(","&amp;LOWER(input_content_type)&amp;",",","&amp;LOWER(SUBSTITUTE(F87," ",""))&amp;",")))</f>
        <v/>
      </c>
      <c r="IT87" s="19">
        <f>AND(IF(M87="",TRUE,IF(input_affiliations="",FALSE,SUMPRODUCT(--ISNUMBER(SEARCH(","&amp;TRIM(TEXTSPLIT(M87,","))&amp;",",","&amp;SUBSTITUTE(input_affiliations," ","")&amp;",")))&gt;0)),IF(O87="",TRUE,IF(input_affiliations="",FALSE,SUMPRODUCT(--ISNUMBER(SEARCH(","&amp;TRIM(TEXTSPLIT(O87,","))&amp;",",","&amp;SUBSTITUTE(input_affiliations," ","")&amp;",")))=COUNTA(TEXTSPLIT(O87,",")))),IF(Q87="",TRUE,IF(input_affiliations="",TRUE,SUMPRODUCT(--ISNUMBER(SEARCH(","&amp;TRIM(TEXTSPLIT(Q87,","))&amp;",",","&amp;SUBSTITUTE(input_affiliations," ","")&amp;",")))=0)),IF(S87="",TRUE,IF(input_affiliations="",FALSE,SUMPRODUCT(--ISNUMBER(SEARCH(","&amp;TRIM(TEXTSPLIT(S87,","))&amp;",",","&amp;SUBSTITUTE(input_affiliations," ","")&amp;",")))&gt;0)),IF(U87="",TRUE,IF(input_affiliations="",FALSE,SUMPRODUCT(--ISNUMBER(SEARCH(","&amp;TRIM(TEXTSPLIT(U87,","))&amp;",",","&amp;SUBSTITUTE(input_affiliations," ","")&amp;",")))=COUNTA(TEXTSPLIT(U87,",")))))</f>
        <v/>
      </c>
      <c r="IU87" s="19">
        <f>AND(IF(W87="",TRUE,IF(input_announcement_category="",FALSE,SUMPRODUCT(--ISNUMBER(SEARCH(","&amp;TRIM(TEXTSPLIT(W87,","))&amp;",",","&amp;SUBSTITUTE(input_announcement_category," ","")&amp;",")))&gt;0)),IF(Y87="",TRUE,IF(input_announcement_category="",FALSE,SUMPRODUCT(--ISNUMBER(SEARCH(","&amp;TRIM(TEXTSPLIT(Y87,","))&amp;",",","&amp;SUBSTITUTE(input_announcement_category," ","")&amp;",")))=COUNTA(TEXTSPLIT(Y87,",")))),IF(AA87="",TRUE,IF(input_announcement_category="",TRUE,SUMPRODUCT(--ISNUMBER(SEARCH(","&amp;TRIM(TEXTSPLIT(AA87,","))&amp;",",","&amp;SUBSTITUTE(input_announcement_category," ","")&amp;",")))=0)),IF(AC87="",TRUE,IF(input_announcement_category="",FALSE,SUMPRODUCT(--ISNUMBER(SEARCH(","&amp;TRIM(TEXTSPLIT(AC87,","))&amp;",",","&amp;SUBSTITUTE(input_announcement_category," ","")&amp;",")))&gt;0)),IF(AE87="",TRUE,IF(input_announcement_category="",FALSE,SUMPRODUCT(--ISNUMBER(SEARCH(","&amp;TRIM(TEXTSPLIT(AE87,","))&amp;",",","&amp;SUBSTITUTE(input_announcement_category," ","")&amp;",")))=COUNTA(TEXTSPLIT(AE87,",")))))</f>
        <v/>
      </c>
      <c r="IV87" s="19">
        <f>AND(IF(AG87="",TRUE,IF(input_area_of_focus="",FALSE,SUMPRODUCT(--ISNUMBER(SEARCH(","&amp;TRIM(TEXTSPLIT(AG87,","))&amp;",",","&amp;SUBSTITUTE(input_area_of_focus," ","")&amp;",")))&gt;0)),IF(AI87="",TRUE,IF(input_area_of_focus="",FALSE,SUMPRODUCT(--ISNUMBER(SEARCH(","&amp;TRIM(TEXTSPLIT(AI87,","))&amp;",",","&amp;SUBSTITUTE(input_area_of_focus," ","")&amp;",")))=COUNTA(TEXTSPLIT(AI87,",")))),IF(AK87="",TRUE,IF(input_area_of_focus="",TRUE,SUMPRODUCT(--ISNUMBER(SEARCH(","&amp;TRIM(TEXTSPLIT(AK87,","))&amp;",",","&amp;SUBSTITUTE(input_area_of_focus," ","")&amp;",")))=0)),IF(AM87="",TRUE,IF(input_area_of_focus="",FALSE,SUMPRODUCT(--ISNUMBER(SEARCH(","&amp;TRIM(TEXTSPLIT(AM87,","))&amp;",",","&amp;SUBSTITUTE(input_area_of_focus," ","")&amp;",")))&gt;0)),IF(AO87="",TRUE,IF(input_area_of_focus="",FALSE,SUMPRODUCT(--ISNUMBER(SEARCH(","&amp;TRIM(TEXTSPLIT(AO87,","))&amp;",",","&amp;SUBSTITUTE(input_area_of_focus," ","")&amp;",")))=COUNTA(TEXTSPLIT(AO87,",")))))</f>
        <v/>
      </c>
      <c r="IW87" s="19">
        <f>AND(IF(AQ87="",TRUE,IF(input_audience="",FALSE,SUMPRODUCT(--ISNUMBER(SEARCH(","&amp;TRIM(TEXTSPLIT(AQ87,","))&amp;",",","&amp;SUBSTITUTE(input_audience," ","")&amp;",")))&gt;0)),IF(AS87="",TRUE,IF(input_audience="",FALSE,SUMPRODUCT(--ISNUMBER(SEARCH(","&amp;TRIM(TEXTSPLIT(AS87,","))&amp;",",","&amp;SUBSTITUTE(input_audience," ","")&amp;",")))=COUNTA(TEXTSPLIT(AS87,",")))),IF(AU87="",TRUE,IF(input_audience="",TRUE,SUMPRODUCT(--ISNUMBER(SEARCH(","&amp;TRIM(TEXTSPLIT(AU87,","))&amp;",",","&amp;SUBSTITUTE(input_audience," ","")&amp;",")))=0)),IF(AW87="",TRUE,IF(input_audience="",FALSE,SUMPRODUCT(--ISNUMBER(SEARCH(","&amp;TRIM(TEXTSPLIT(AW87,","))&amp;",",","&amp;SUBSTITUTE(input_audience," ","")&amp;",")))&gt;0)),IF(AY87="",TRUE,IF(input_audience="",FALSE,SUMPRODUCT(--ISNUMBER(SEARCH(","&amp;TRIM(TEXTSPLIT(AY87,","))&amp;",",","&amp;SUBSTITUTE(input_audience," ","")&amp;",")))=COUNTA(TEXTSPLIT(AY87,",")))))</f>
        <v/>
      </c>
      <c r="IX87" s="19">
        <f>AND(IF(BA87="",TRUE,IF(input_challenge_opportunities="",FALSE,SUMPRODUCT(--ISNUMBER(SEARCH(","&amp;TRIM(TEXTSPLIT(BA87,","))&amp;",",","&amp;SUBSTITUTE(input_challenge_opportunities," ","")&amp;",")))&gt;0)),IF(BC87="",TRUE,IF(input_challenge_opportunities="",FALSE,SUMPRODUCT(--ISNUMBER(SEARCH(","&amp;TRIM(TEXTSPLIT(BC87,","))&amp;",",","&amp;SUBSTITUTE(input_challenge_opportunities," ","")&amp;",")))=COUNTA(TEXTSPLIT(BC87,",")))),IF(BE87="",TRUE,IF(input_challenge_opportunities="",TRUE,SUMPRODUCT(--ISNUMBER(SEARCH(","&amp;TRIM(TEXTSPLIT(BE87,","))&amp;",",","&amp;SUBSTITUTE(input_challenge_opportunities," ","")&amp;",")))=0)),IF(BG87="",TRUE,IF(input_challenge_opportunities="",FALSE,SUMPRODUCT(--ISNUMBER(SEARCH(","&amp;TRIM(TEXTSPLIT(BG87,","))&amp;",",","&amp;SUBSTITUTE(input_challenge_opportunities," ","")&amp;",")))&gt;0)),IF(BI87="",TRUE,IF(input_challenge_opportunities="",FALSE,SUMPRODUCT(--ISNUMBER(SEARCH(","&amp;TRIM(TEXTSPLIT(BI87,","))&amp;",",","&amp;SUBSTITUTE(input_challenge_opportunities," ","")&amp;",")))=COUNTA(TEXTSPLIT(BI87,",")))))</f>
        <v/>
      </c>
      <c r="IY87" s="19">
        <f>AND(IF(BK87="",TRUE,IF(input_context="",FALSE,SUMPRODUCT(--ISNUMBER(SEARCH(","&amp;TRIM(TEXTSPLIT(BK87,","))&amp;",",","&amp;SUBSTITUTE(input_context," ","")&amp;",")))&gt;0)),IF(BM87="",TRUE,IF(input_context="",FALSE,SUMPRODUCT(--ISNUMBER(SEARCH(","&amp;TRIM(TEXTSPLIT(BM87,","))&amp;",",","&amp;SUBSTITUTE(input_context," ","")&amp;",")))=COUNTA(TEXTSPLIT(BM87,",")))),IF(BO87="",TRUE,IF(input_context="",TRUE,SUMPRODUCT(--ISNUMBER(SEARCH(","&amp;TRIM(TEXTSPLIT(BO87,","))&amp;",",","&amp;SUBSTITUTE(input_context," ","")&amp;",")))=0)),IF(BQ87="",TRUE,IF(input_context="",FALSE,SUMPRODUCT(--ISNUMBER(SEARCH(","&amp;TRIM(TEXTSPLIT(BQ87,","))&amp;",",","&amp;SUBSTITUTE(input_context," ","")&amp;",")))&gt;0)),IF(BS87="",TRUE,IF(input_context="",FALSE,SUMPRODUCT(--ISNUMBER(SEARCH(","&amp;TRIM(TEXTSPLIT(BS87,","))&amp;",",","&amp;SUBSTITUTE(input_context," ","")&amp;",")))=COUNTA(TEXTSPLIT(BS87,",")))))</f>
        <v/>
      </c>
      <c r="IZ87" s="19">
        <f>AND(IF(BU87="",TRUE,IF(input_enews_announcement_type="",FALSE,SUMPRODUCT(--ISNUMBER(SEARCH(","&amp;TRIM(TEXTSPLIT(BU87,","))&amp;",",","&amp;SUBSTITUTE(input_enews_announcement_type," ","")&amp;",")))&gt;0)),IF(BW87="",TRUE,IF(input_enews_announcement_type="",FALSE,SUMPRODUCT(--ISNUMBER(SEARCH(","&amp;TRIM(TEXTSPLIT(BW87,","))&amp;",",","&amp;SUBSTITUTE(input_enews_announcement_type," ","")&amp;",")))=COUNTA(TEXTSPLIT(BW87,",")))),IF(BY87="",TRUE,IF(input_enews_announcement_type="",TRUE,SUMPRODUCT(--ISNUMBER(SEARCH(","&amp;TRIM(TEXTSPLIT(BY87,","))&amp;",",","&amp;SUBSTITUTE(input_enews_announcement_type," ","")&amp;",")))=0)),IF(CA87="",TRUE,IF(input_enews_announcement_type="",FALSE,SUMPRODUCT(--ISNUMBER(SEARCH(","&amp;TRIM(TEXTSPLIT(CA87,","))&amp;",",","&amp;SUBSTITUTE(input_enews_announcement_type," ","")&amp;",")))&gt;0)),IF(CC87="",TRUE,IF(input_enews_announcement_type="",FALSE,SUMPRODUCT(--ISNUMBER(SEARCH(","&amp;TRIM(TEXTSPLIT(CC87,","))&amp;",",","&amp;SUBSTITUTE(input_enews_announcement_type," ","")&amp;",")))=COUNTA(TEXTSPLIT(CC87,",")))))</f>
        <v/>
      </c>
      <c r="JA87" s="19">
        <f>AND(IF(CE87="",TRUE,IF(input_enews_audience="",FALSE,SUMPRODUCT(--ISNUMBER(SEARCH(","&amp;TRIM(TEXTSPLIT(CE87,","))&amp;",",","&amp;SUBSTITUTE(input_enews_audience," ","")&amp;",")))&gt;0)),IF(CG87="",TRUE,IF(input_enews_audience="",FALSE,SUMPRODUCT(--ISNUMBER(SEARCH(","&amp;TRIM(TEXTSPLIT(CG87,","))&amp;",",","&amp;SUBSTITUTE(input_enews_audience," ","")&amp;",")))=COUNTA(TEXTSPLIT(CG87,",")))),IF(CI87="",TRUE,IF(input_enews_audience="",TRUE,SUMPRODUCT(--ISNUMBER(SEARCH(","&amp;TRIM(TEXTSPLIT(CI87,","))&amp;",",","&amp;SUBSTITUTE(input_enews_audience," ","")&amp;",")))=0)),IF(CK87="",TRUE,IF(input_enews_audience="",FALSE,SUMPRODUCT(--ISNUMBER(SEARCH(","&amp;TRIM(TEXTSPLIT(CK87,","))&amp;",",","&amp;SUBSTITUTE(input_enews_audience," ","")&amp;",")))&gt;0)),IF(CM87="",TRUE,IF(input_enews_audience="",FALSE,SUMPRODUCT(--ISNUMBER(SEARCH(","&amp;TRIM(TEXTSPLIT(CM87,","))&amp;",",","&amp;SUBSTITUTE(input_enews_audience," ","")&amp;",")))=COUNTA(TEXTSPLIT(CM87,",")))))</f>
        <v/>
      </c>
      <c r="JB87" s="19">
        <f>AND(IF(CO87="",TRUE,IF(input_event_location="",FALSE,SUMPRODUCT(--ISNUMBER(SEARCH(","&amp;TRIM(TEXTSPLIT(CO87,","))&amp;",",","&amp;SUBSTITUTE(input_event_location," ","")&amp;",")))&gt;0)),IF(CQ87="",TRUE,IF(input_event_location="",FALSE,SUMPRODUCT(--ISNUMBER(SEARCH(","&amp;TRIM(TEXTSPLIT(CQ87,","))&amp;",",","&amp;SUBSTITUTE(input_event_location," ","")&amp;",")))=COUNTA(TEXTSPLIT(CQ87,",")))),IF(CS87="",TRUE,IF(input_event_location="",TRUE,SUMPRODUCT(--ISNUMBER(SEARCH(","&amp;TRIM(TEXTSPLIT(CS87,","))&amp;",",","&amp;SUBSTITUTE(input_event_location," ","")&amp;",")))=0)),IF(CU87="",TRUE,IF(input_event_location="",FALSE,SUMPRODUCT(--ISNUMBER(SEARCH(","&amp;TRIM(TEXTSPLIT(CU87,","))&amp;",",","&amp;SUBSTITUTE(input_event_location," ","")&amp;",")))&gt;0)),IF(CW87="",TRUE,IF(input_event_location="",FALSE,SUMPRODUCT(--ISNUMBER(SEARCH(","&amp;TRIM(TEXTSPLIT(CW87,","))&amp;",",","&amp;SUBSTITUTE(input_event_location," ","")&amp;",")))=COUNTA(TEXTSPLIT(CW87,",")))))</f>
        <v/>
      </c>
      <c r="JC87" s="19">
        <f>AND(IF(CY87="",TRUE,IF(input_event_type="",FALSE,SUMPRODUCT(--ISNUMBER(SEARCH(","&amp;TRIM(TEXTSPLIT(CY87,","))&amp;",",","&amp;SUBSTITUTE(input_event_type," ","")&amp;",")))&gt;0)),IF(DA87="",TRUE,IF(input_event_type="",FALSE,SUMPRODUCT(--ISNUMBER(SEARCH(","&amp;TRIM(TEXTSPLIT(DA87,","))&amp;",",","&amp;SUBSTITUTE(input_event_type," ","")&amp;",")))=COUNTA(TEXTSPLIT(DA87,",")))),IF(DC87="",TRUE,IF(input_event_type="",TRUE,SUMPRODUCT(--ISNUMBER(SEARCH(","&amp;TRIM(TEXTSPLIT(DC87,","))&amp;",",","&amp;SUBSTITUTE(input_event_type," ","")&amp;",")))=0)),IF(DE87="",TRUE,IF(input_event_type="",FALSE,SUMPRODUCT(--ISNUMBER(SEARCH(","&amp;TRIM(TEXTSPLIT(DE87,","))&amp;",",","&amp;SUBSTITUTE(input_event_type," ","")&amp;",")))&gt;0)),IF(DG87="",TRUE,IF(input_event_type="",FALSE,SUMPRODUCT(--ISNUMBER(SEARCH(","&amp;TRIM(TEXTSPLIT(DG87,","))&amp;",",","&amp;SUBSTITUTE(input_event_type," ","")&amp;",")))=COUNTA(TEXTSPLIT(DG87,",")))))</f>
        <v/>
      </c>
      <c r="JD87" s="19">
        <f>AND(IF(DI87="",TRUE,IF(input_executive_education_focus="",FALSE,SUMPRODUCT(--ISNUMBER(SEARCH(","&amp;TRIM(TEXTSPLIT(DI87,","))&amp;",",","&amp;SUBSTITUTE(input_executive_education_focus," ","")&amp;",")))&gt;0)),IF(DK87="",TRUE,IF(input_executive_education_focus="",FALSE,SUMPRODUCT(--ISNUMBER(SEARCH(","&amp;TRIM(TEXTSPLIT(DK87,","))&amp;",",","&amp;SUBSTITUTE(input_executive_education_focus," ","")&amp;",")))=COUNTA(TEXTSPLIT(DK87,",")))),IF(DM87="",TRUE,IF(input_executive_education_focus="",TRUE,SUMPRODUCT(--ISNUMBER(SEARCH(","&amp;TRIM(TEXTSPLIT(DM87,","))&amp;",",","&amp;SUBSTITUTE(input_executive_education_focus," ","")&amp;",")))=0)),IF(DO87="",TRUE,IF(input_executive_education_focus="",FALSE,SUMPRODUCT(--ISNUMBER(SEARCH(","&amp;TRIM(TEXTSPLIT(DO87,","))&amp;",",","&amp;SUBSTITUTE(input_executive_education_focus," ","")&amp;",")))&gt;0)),IF(DQ87="",TRUE,IF(input_executive_education_focus="",FALSE,SUMPRODUCT(--ISNUMBER(SEARCH(","&amp;TRIM(TEXTSPLIT(DQ87,","))&amp;",",","&amp;SUBSTITUTE(input_executive_education_focus," ","")&amp;",")))=COUNTA(TEXTSPLIT(DQ87,",")))))</f>
        <v/>
      </c>
      <c r="JE87" s="19">
        <f>AND(IF(DS87="",TRUE,IF(input_faculty_category="",FALSE,SUMPRODUCT(--ISNUMBER(SEARCH(","&amp;TRIM(TEXTSPLIT(DS87,","))&amp;",",","&amp;SUBSTITUTE(input_faculty_category," ","")&amp;",")))&gt;0)),IF(DU87="",TRUE,IF(input_faculty_category="",FALSE,SUMPRODUCT(--ISNUMBER(SEARCH(","&amp;TRIM(TEXTSPLIT(DU87,","))&amp;",",","&amp;SUBSTITUTE(input_faculty_category," ","")&amp;",")))=COUNTA(TEXTSPLIT(DU87,",")))),IF(DW87="",TRUE,IF(input_faculty_category="",TRUE,SUMPRODUCT(--ISNUMBER(SEARCH(","&amp;TRIM(TEXTSPLIT(DW87,","))&amp;",",","&amp;SUBSTITUTE(input_faculty_category," ","")&amp;",")))=0)),IF(DY87="",TRUE,IF(input_faculty_category="",FALSE,SUMPRODUCT(--ISNUMBER(SEARCH(","&amp;TRIM(TEXTSPLIT(DY87,","))&amp;",",","&amp;SUBSTITUTE(input_faculty_category," ","")&amp;",")))&gt;0)),IF(EA87="",TRUE,IF(input_faculty_category="",FALSE,SUMPRODUCT(--ISNUMBER(SEARCH(","&amp;TRIM(TEXTSPLIT(EA87,","))&amp;",",","&amp;SUBSTITUTE(input_faculty_category," ","")&amp;",")))=COUNTA(TEXTSPLIT(EA87,",")))))</f>
        <v/>
      </c>
      <c r="JF87" s="19">
        <f>AND(IF(EC87="",TRUE,IF(input_faculty_discipline="",FALSE,SUMPRODUCT(--ISNUMBER(SEARCH(","&amp;TRIM(TEXTSPLIT(EC87,","))&amp;",",","&amp;SUBSTITUTE(input_faculty_discipline," ","")&amp;",")))&gt;0)),IF(EE87="",TRUE,IF(input_faculty_discipline="",FALSE,SUMPRODUCT(--ISNUMBER(SEARCH(","&amp;TRIM(TEXTSPLIT(EE87,","))&amp;",",","&amp;SUBSTITUTE(input_faculty_discipline," ","")&amp;",")))=COUNTA(TEXTSPLIT(EE87,",")))),IF(EG87="",TRUE,IF(input_faculty_discipline="",TRUE,SUMPRODUCT(--ISNUMBER(SEARCH(","&amp;TRIM(TEXTSPLIT(EG87,","))&amp;",",","&amp;SUBSTITUTE(input_faculty_discipline," ","")&amp;",")))=0)),IF(EI87="",TRUE,IF(input_faculty_discipline="",FALSE,SUMPRODUCT(--ISNUMBER(SEARCH(","&amp;TRIM(TEXTSPLIT(EI87,","))&amp;",",","&amp;SUBSTITUTE(input_faculty_discipline," ","")&amp;",")))&gt;0)),IF(EK87="",TRUE,IF(input_faculty_discipline="",FALSE,SUMPRODUCT(--ISNUMBER(SEARCH(","&amp;TRIM(TEXTSPLIT(EK87,","))&amp;",",","&amp;SUBSTITUTE(input_faculty_discipline," ","")&amp;",")))=COUNTA(TEXTSPLIT(EK87,",")))))</f>
        <v/>
      </c>
      <c r="JG87" s="19">
        <f>AND(IF(EM87="",TRUE,IF(input_faculty_expertise="",FALSE,SUMPRODUCT(--ISNUMBER(SEARCH(","&amp;TRIM(TEXTSPLIT(EM87,","))&amp;",",","&amp;SUBSTITUTE(input_faculty_expertise," ","")&amp;",")))&gt;0)),IF(EO87="",TRUE,IF(input_faculty_expertise="",FALSE,SUMPRODUCT(--ISNUMBER(SEARCH(","&amp;TRIM(TEXTSPLIT(EO87,","))&amp;",",","&amp;SUBSTITUTE(input_faculty_expertise," ","")&amp;",")))=COUNTA(TEXTSPLIT(EO87,",")))),IF(EQ87="",TRUE,IF(input_faculty_expertise="",TRUE,SUMPRODUCT(--ISNUMBER(SEARCH(","&amp;TRIM(TEXTSPLIT(EQ87,","))&amp;",",","&amp;SUBSTITUTE(input_faculty_expertise," ","")&amp;",")))=0)),IF(ES87="",TRUE,IF(input_faculty_expertise="",FALSE,SUMPRODUCT(--ISNUMBER(SEARCH(","&amp;TRIM(TEXTSPLIT(ES87,","))&amp;",",","&amp;SUBSTITUTE(input_faculty_expertise," ","")&amp;",")))&gt;0)),IF(EU87="",TRUE,IF(input_faculty_expertise="",FALSE,SUMPRODUCT(--ISNUMBER(SEARCH(","&amp;TRIM(TEXTSPLIT(EU87,","))&amp;",",","&amp;SUBSTITUTE(input_faculty_expertise," ","")&amp;",")))=COUNTA(TEXTSPLIT(EU87,",")))))</f>
        <v/>
      </c>
      <c r="JH87" s="19">
        <f>AND(IF(EW87="",TRUE,IF(input_global_network_school="",FALSE,SUMPRODUCT(--ISNUMBER(SEARCH(","&amp;TRIM(TEXTSPLIT(EW87,","))&amp;",",","&amp;SUBSTITUTE(input_global_network_school," ","")&amp;",")))&gt;0)),IF(EY87="",TRUE,IF(input_global_network_school="",FALSE,SUMPRODUCT(--ISNUMBER(SEARCH(","&amp;TRIM(TEXTSPLIT(EY87,","))&amp;",",","&amp;SUBSTITUTE(input_global_network_school," ","")&amp;",")))=COUNTA(TEXTSPLIT(EY87,",")))),IF(FA87="",TRUE,IF(input_global_network_school="",TRUE,SUMPRODUCT(--ISNUMBER(SEARCH(","&amp;TRIM(TEXTSPLIT(FA87,","))&amp;",",","&amp;SUBSTITUTE(input_global_network_school," ","")&amp;",")))=0)),IF(FC87="",TRUE,IF(input_global_network_school="",FALSE,SUMPRODUCT(--ISNUMBER(SEARCH(","&amp;TRIM(TEXTSPLIT(FC87,","))&amp;",",","&amp;SUBSTITUTE(input_global_network_school," ","")&amp;",")))&gt;0)),IF(FE87="",TRUE,IF(input_global_network_school="",FALSE,SUMPRODUCT(--ISNUMBER(SEARCH(","&amp;TRIM(TEXTSPLIT(FE87,","))&amp;",",","&amp;SUBSTITUTE(input_global_network_school," ","")&amp;",")))=COUNTA(TEXTSPLIT(FE87,",")))))</f>
        <v/>
      </c>
      <c r="JI87" s="19">
        <f>AND(IF(FG87="",TRUE,IF(input_industry="",FALSE,SUMPRODUCT(--ISNUMBER(SEARCH(","&amp;TRIM(TEXTSPLIT(FG87,","))&amp;",",","&amp;SUBSTITUTE(input_industry," ","")&amp;",")))&gt;0)),IF(FI87="",TRUE,IF(input_industry="",FALSE,SUMPRODUCT(--ISNUMBER(SEARCH(","&amp;TRIM(TEXTSPLIT(FI87,","))&amp;",",","&amp;SUBSTITUTE(input_industry," ","")&amp;",")))=COUNTA(TEXTSPLIT(FI87,",")))),IF(FK87="",TRUE,IF(input_industry="",TRUE,SUMPRODUCT(--ISNUMBER(SEARCH(","&amp;TRIM(TEXTSPLIT(FK87,","))&amp;",",","&amp;SUBSTITUTE(input_industry," ","")&amp;",")))=0)),IF(FM87="",TRUE,IF(input_industry="",FALSE,SUMPRODUCT(--ISNUMBER(SEARCH(","&amp;TRIM(TEXTSPLIT(FM87,","))&amp;",",","&amp;SUBSTITUTE(input_industry," ","")&amp;",")))&gt;0)),IF(FO87="",TRUE,IF(input_industry="",FALSE,SUMPRODUCT(--ISNUMBER(SEARCH(","&amp;TRIM(TEXTSPLIT(FO87,","))&amp;",",","&amp;SUBSTITUTE(input_industry," ","")&amp;",")))=COUNTA(TEXTSPLIT(FO87,",")))))</f>
        <v/>
      </c>
      <c r="JJ87" s="19">
        <f>AND(IF(FQ87="",TRUE,IF(input_location="",FALSE,SUMPRODUCT(--ISNUMBER(SEARCH(","&amp;TRIM(TEXTSPLIT(FQ87,","))&amp;",",","&amp;SUBSTITUTE(input_location," ","")&amp;",")))&gt;0)),IF(FS87="",TRUE,IF(input_location="",FALSE,SUMPRODUCT(--ISNUMBER(SEARCH(","&amp;TRIM(TEXTSPLIT(FS87,","))&amp;",",","&amp;SUBSTITUTE(input_location," ","")&amp;",")))=COUNTA(TEXTSPLIT(FS87,",")))),IF(FU87="",TRUE,IF(input_location="",TRUE,SUMPRODUCT(--ISNUMBER(SEARCH(","&amp;TRIM(TEXTSPLIT(FU87,","))&amp;",",","&amp;SUBSTITUTE(input_location," ","")&amp;",")))=0)),IF(FW87="",TRUE,IF(input_location="",FALSE,SUMPRODUCT(--ISNUMBER(SEARCH(","&amp;TRIM(TEXTSPLIT(FW87,","))&amp;",",","&amp;SUBSTITUTE(input_location," ","")&amp;",")))&gt;0)),IF(FY87="",TRUE,IF(input_location="",FALSE,SUMPRODUCT(--ISNUMBER(SEARCH(","&amp;TRIM(TEXTSPLIT(FY87,","))&amp;",",","&amp;SUBSTITUTE(input_location," ","")&amp;",")))=COUNTA(TEXTSPLIT(FY87,",")))))</f>
        <v/>
      </c>
      <c r="JK87" s="19">
        <f>AND(IF(GA87="",TRUE,IF(input_modality="",FALSE,SUMPRODUCT(--ISNUMBER(SEARCH(","&amp;TRIM(TEXTSPLIT(GA87,","))&amp;",",","&amp;SUBSTITUTE(input_modality," ","")&amp;",")))&gt;0)),IF(GC87="",TRUE,IF(input_modality="",FALSE,SUMPRODUCT(--ISNUMBER(SEARCH(","&amp;TRIM(TEXTSPLIT(GC87,","))&amp;",",","&amp;SUBSTITUTE(input_modality," ","")&amp;",")))=COUNTA(TEXTSPLIT(GC87,",")))),IF(GE87="",TRUE,IF(input_modality="",TRUE,SUMPRODUCT(--ISNUMBER(SEARCH(","&amp;TRIM(TEXTSPLIT(GE87,","))&amp;",",","&amp;SUBSTITUTE(input_modality," ","")&amp;",")))=0)),IF(GG87="",TRUE,IF(input_modality="",FALSE,SUMPRODUCT(--ISNUMBER(SEARCH(","&amp;TRIM(TEXTSPLIT(GG87,","))&amp;",",","&amp;SUBSTITUTE(input_modality," ","")&amp;",")))&gt;0)),IF(GI87="",TRUE,IF(input_modality="",FALSE,SUMPRODUCT(--ISNUMBER(SEARCH(","&amp;TRIM(TEXTSPLIT(GI87,","))&amp;",",","&amp;SUBSTITUTE(input_modality," ","")&amp;",")))=COUNTA(TEXTSPLIT(GI87,",")))))</f>
        <v/>
      </c>
      <c r="JL87" s="19">
        <f>AND(IF(GK87="",TRUE,IF(input_organizer="",FALSE,SUMPRODUCT(--ISNUMBER(SEARCH(","&amp;TRIM(TEXTSPLIT(GK87,","))&amp;",",","&amp;SUBSTITUTE(input_organizer," ","")&amp;",")))&gt;0)),IF(GM87="",TRUE,IF(input_organizer="",FALSE,SUMPRODUCT(--ISNUMBER(SEARCH(","&amp;TRIM(TEXTSPLIT(GM87,","))&amp;",",","&amp;SUBSTITUTE(input_organizer," ","")&amp;",")))=COUNTA(TEXTSPLIT(GM87,",")))),IF(GO87="",TRUE,IF(input_organizer="",TRUE,SUMPRODUCT(--ISNUMBER(SEARCH(","&amp;TRIM(TEXTSPLIT(GO87,","))&amp;",",","&amp;SUBSTITUTE(input_organizer," ","")&amp;",")))=0)),IF(GQ87="",TRUE,IF(input_organizer="",FALSE,SUMPRODUCT(--ISNUMBER(SEARCH(","&amp;TRIM(TEXTSPLIT(GQ87,","))&amp;",",","&amp;SUBSTITUTE(input_organizer," ","")&amp;",")))&gt;0)),IF(GS87="",TRUE,IF(input_organizer="",FALSE,SUMPRODUCT(--ISNUMBER(SEARCH(","&amp;TRIM(TEXTSPLIT(GS87,","))&amp;",",","&amp;SUBSTITUTE(input_organizer," ","")&amp;",")))=COUNTA(TEXTSPLIT(GS87,",")))))</f>
        <v/>
      </c>
      <c r="JM87" s="19">
        <f>AND(IF(GU87="",TRUE,IF(input_profile_type="",FALSE,SUMPRODUCT(--ISNUMBER(SEARCH(","&amp;TRIM(TEXTSPLIT(GU87,","))&amp;",",","&amp;SUBSTITUTE(input_profile_type," ","")&amp;",")))&gt;0)),IF(GW87="",TRUE,IF(input_profile_type="",FALSE,SUMPRODUCT(--ISNUMBER(SEARCH(","&amp;TRIM(TEXTSPLIT(GW87,","))&amp;",",","&amp;SUBSTITUTE(input_profile_type," ","")&amp;",")))=COUNTA(TEXTSPLIT(GW87,",")))),IF(GY87="",TRUE,IF(input_profile_type="",TRUE,SUMPRODUCT(--ISNUMBER(SEARCH(","&amp;TRIM(TEXTSPLIT(GY87,","))&amp;",",","&amp;SUBSTITUTE(input_profile_type," ","")&amp;",")))=0)),IF(HA87="",TRUE,IF(input_profile_type="",FALSE,SUMPRODUCT(--ISNUMBER(SEARCH(","&amp;TRIM(TEXTSPLIT(HA87,","))&amp;",",","&amp;SUBSTITUTE(input_profile_type," ","")&amp;",")))&gt;0)),IF(HC87="",TRUE,IF(input_profile_type="",FALSE,SUMPRODUCT(--ISNUMBER(SEARCH(","&amp;TRIM(TEXTSPLIT(HC87,","))&amp;",",","&amp;SUBSTITUTE(input_profile_type," ","")&amp;",")))=COUNTA(TEXTSPLIT(HC87,",")))))</f>
        <v/>
      </c>
      <c r="JN87" s="19">
        <f>AND(IF(HE87="",TRUE,IF(input_program="",FALSE,SUMPRODUCT(--ISNUMBER(SEARCH(","&amp;TRIM(TEXTSPLIT(HE87,","))&amp;",",","&amp;SUBSTITUTE(input_program," ","")&amp;",")))&gt;0)),IF(HG87="",TRUE,IF(input_program="",FALSE,SUMPRODUCT(--ISNUMBER(SEARCH(","&amp;TRIM(TEXTSPLIT(HG87,","))&amp;",",","&amp;SUBSTITUTE(input_program," ","")&amp;",")))=COUNTA(TEXTSPLIT(HG87,",")))),IF(HI87="",TRUE,IF(input_program="",TRUE,SUMPRODUCT(--ISNUMBER(SEARCH(","&amp;TRIM(TEXTSPLIT(HI87,","))&amp;",",","&amp;SUBSTITUTE(input_program," ","")&amp;",")))=0)),IF(HK87="",TRUE,IF(input_program="",FALSE,SUMPRODUCT(--ISNUMBER(SEARCH(","&amp;TRIM(TEXTSPLIT(HK87,","))&amp;",",","&amp;SUBSTITUTE(input_program," ","")&amp;",")))&gt;0)),IF(HM87="",TRUE,IF(input_program="",FALSE,SUMPRODUCT(--ISNUMBER(SEARCH(","&amp;TRIM(TEXTSPLIT(HM87,","))&amp;",",","&amp;SUBSTITUTE(input_program," ","")&amp;",")))=COUNTA(TEXTSPLIT(HM87,",")))))</f>
        <v/>
      </c>
      <c r="JO87" s="19">
        <f>AND(IF(HO87="",TRUE,IF(input_story_categories="",FALSE,SUMPRODUCT(--ISNUMBER(SEARCH(","&amp;TRIM(TEXTSPLIT(HO87,","))&amp;",",","&amp;SUBSTITUTE(input_story_categories," ","")&amp;",")))&gt;0)),IF(HQ87="",TRUE,IF(input_story_categories="",FALSE,SUMPRODUCT(--ISNUMBER(SEARCH(","&amp;TRIM(TEXTSPLIT(HQ87,","))&amp;",",","&amp;SUBSTITUTE(input_story_categories," ","")&amp;",")))=COUNTA(TEXTSPLIT(HQ87,",")))),IF(HS87="",TRUE,IF(input_story_categories="",TRUE,SUMPRODUCT(--ISNUMBER(SEARCH(","&amp;TRIM(TEXTSPLIT(HS87,","))&amp;",",","&amp;SUBSTITUTE(input_story_categories," ","")&amp;",")))=0)),IF(HU87="",TRUE,IF(input_story_categories="",FALSE,SUMPRODUCT(--ISNUMBER(SEARCH(","&amp;TRIM(TEXTSPLIT(HU87,","))&amp;",",","&amp;SUBSTITUTE(input_story_categories," ","")&amp;",")))&gt;0)),IF(HW87="",TRUE,IF(input_story_categories="",FALSE,SUMPRODUCT(--ISNUMBER(SEARCH(","&amp;TRIM(TEXTSPLIT(HW87,","))&amp;",",","&amp;SUBSTITUTE(input_story_categories," ","")&amp;",")))=COUNTA(TEXTSPLIT(HW87,",")))))</f>
        <v/>
      </c>
      <c r="JP87" s="19">
        <f>AND(IF(HY87="",TRUE,IF(input_story_type="",FALSE,SUMPRODUCT(--ISNUMBER(SEARCH(","&amp;TRIM(TEXTSPLIT(HY87,","))&amp;",",","&amp;SUBSTITUTE(input_story_type," ","")&amp;",")))&gt;0)),IF(IA87="",TRUE,IF(input_story_type="",FALSE,SUMPRODUCT(--ISNUMBER(SEARCH(","&amp;TRIM(TEXTSPLIT(IA87,","))&amp;",",","&amp;SUBSTITUTE(input_story_type," ","")&amp;",")))=COUNTA(TEXTSPLIT(IA87,",")))),IF(IC87="",TRUE,IF(input_story_type="",TRUE,SUMPRODUCT(--ISNUMBER(SEARCH(","&amp;TRIM(TEXTSPLIT(IC87,","))&amp;",",","&amp;SUBSTITUTE(input_story_type," ","")&amp;",")))=0)),IF(IE87="",TRUE,IF(input_story_type="",FALSE,SUMPRODUCT(--ISNUMBER(SEARCH(","&amp;TRIM(TEXTSPLIT(IE87,","))&amp;",",","&amp;SUBSTITUTE(input_story_type," ","")&amp;",")))&gt;0)),IF(IG87="",TRUE,IF(input_story_type="",FALSE,SUMPRODUCT(--ISNUMBER(SEARCH(","&amp;TRIM(TEXTSPLIT(IG87,","))&amp;",",","&amp;SUBSTITUTE(input_story_type," ","")&amp;",")))=COUNTA(TEXTSPLIT(IG87,",")))))</f>
        <v/>
      </c>
      <c r="JQ87" s="19">
        <f>AND(IF(II87="",TRUE,IF(input_topics="",FALSE,SUMPRODUCT(--ISNUMBER(SEARCH(","&amp;TRIM(TEXTSPLIT(II87,","))&amp;",",","&amp;SUBSTITUTE(input_topics," ","")&amp;",")))&gt;0)),IF(IK87="",TRUE,IF(input_topics="",FALSE,SUMPRODUCT(--ISNUMBER(SEARCH(","&amp;TRIM(TEXTSPLIT(IK87,","))&amp;",",","&amp;SUBSTITUTE(input_topics," ","")&amp;",")))=COUNTA(TEXTSPLIT(IK87,",")))),IF(IM87="",TRUE,IF(input_topics="",TRUE,SUMPRODUCT(--ISNUMBER(SEARCH(","&amp;TRIM(TEXTSPLIT(IM87,","))&amp;",",","&amp;SUBSTITUTE(input_topics," ","")&amp;",")))=0)),IF(IO87="",TRUE,IF(input_topics="",FALSE,SUMPRODUCT(--ISNUMBER(SEARCH(","&amp;TRIM(TEXTSPLIT(IO87,","))&amp;",",","&amp;SUBSTITUTE(input_topics," ","")&amp;",")))&gt;0)),IF(IQ87="",TRUE,IF(input_topics="",FALSE,SUMPRODUCT(--ISNUMBER(SEARCH(","&amp;TRIM(TEXTSPLIT(IQ87,","))&amp;",",","&amp;SUBSTITUTE(input_topics," ","")&amp;",")))=COUNTA(TEXTSPLIT(IQ87,",")))))</f>
        <v/>
      </c>
    </row>
    <row r="88">
      <c r="A88" s="24">
        <f>IF(NOT(IS88),"Excluded",IF(AND(IT88,IU88,IV88,IW88,IX88,IY88,IZ88,JA88,JB88,JC88,JD88,JE88,JF88,JG88,JH88,JI88,JJ88,JK88,JL88,JM88,JN88,JO88,JP88,JQ88),IF(I88&gt;0,"Eligible but limited","Will appear"),"Excluded"))</f>
        <v/>
      </c>
      <c r="B88" s="24" t="inlineStr">
        <is>
          <t>Community Insights</t>
        </is>
      </c>
      <c r="C88" s="27" t="inlineStr">
        <is>
          <t>/centers/program-stakeholder-innovation-and-management/community-insights</t>
        </is>
      </c>
      <c r="D88" s="24" t="inlineStr">
        <is>
          <t>/centers/program-stakeholder-innovation-and-management/community-insights</t>
        </is>
      </c>
      <c r="E88" s="24" t="n">
        <v>1</v>
      </c>
      <c r="F88" s="24" t="inlineStr">
        <is>
          <t>story</t>
        </is>
      </c>
      <c r="G88" s="24" t="inlineStr">
        <is>
          <t>stories_list</t>
        </is>
      </c>
      <c r="H88" s="24" t="inlineStr">
        <is>
          <t>embed_blog</t>
        </is>
      </c>
      <c r="I88" s="24" t="n">
        <v>10</v>
      </c>
      <c r="J88" s="28" t="inlineStr">
        <is>
          <t>Explicit args</t>
        </is>
      </c>
      <c r="K88" s="24" t="inlineStr">
        <is>
          <t>Page placement</t>
        </is>
      </c>
      <c r="L88" s="24" t="inlineStr">
        <is>
          <t>Content type: story; Context uses Courses Context: Y-SIM Community Insights (1738); Needs any Story Type: Blog (974); Limited to 10 item(s); Source: Explicit args</t>
        </is>
      </c>
      <c r="BQ88" s="19" t="inlineStr">
        <is>
          <t>1738</t>
        </is>
      </c>
      <c r="BR88" s="19" t="inlineStr">
        <is>
          <t>Y-SIM Community Insights (1738)</t>
        </is>
      </c>
      <c r="HY88" s="19" t="inlineStr">
        <is>
          <t>974</t>
        </is>
      </c>
      <c r="HZ88" s="19" t="inlineStr">
        <is>
          <t>Blog (974)</t>
        </is>
      </c>
      <c r="IS88" s="19">
        <f>IF(input_content_type="",FALSE,ISNUMBER(SEARCH(","&amp;LOWER(input_content_type)&amp;",",","&amp;LOWER(SUBSTITUTE(F88," ",""))&amp;",")))</f>
        <v/>
      </c>
      <c r="IT88" s="19">
        <f>AND(IF(M88="",TRUE,IF(input_affiliations="",FALSE,SUMPRODUCT(--ISNUMBER(SEARCH(","&amp;TRIM(TEXTSPLIT(M88,","))&amp;",",","&amp;SUBSTITUTE(input_affiliations," ","")&amp;",")))&gt;0)),IF(O88="",TRUE,IF(input_affiliations="",FALSE,SUMPRODUCT(--ISNUMBER(SEARCH(","&amp;TRIM(TEXTSPLIT(O88,","))&amp;",",","&amp;SUBSTITUTE(input_affiliations," ","")&amp;",")))=COUNTA(TEXTSPLIT(O88,",")))),IF(Q88="",TRUE,IF(input_affiliations="",TRUE,SUMPRODUCT(--ISNUMBER(SEARCH(","&amp;TRIM(TEXTSPLIT(Q88,","))&amp;",",","&amp;SUBSTITUTE(input_affiliations," ","")&amp;",")))=0)),IF(S88="",TRUE,IF(input_affiliations="",FALSE,SUMPRODUCT(--ISNUMBER(SEARCH(","&amp;TRIM(TEXTSPLIT(S88,","))&amp;",",","&amp;SUBSTITUTE(input_affiliations," ","")&amp;",")))&gt;0)),IF(U88="",TRUE,IF(input_affiliations="",FALSE,SUMPRODUCT(--ISNUMBER(SEARCH(","&amp;TRIM(TEXTSPLIT(U88,","))&amp;",",","&amp;SUBSTITUTE(input_affiliations," ","")&amp;",")))=COUNTA(TEXTSPLIT(U88,",")))))</f>
        <v/>
      </c>
      <c r="IU88" s="19">
        <f>AND(IF(W88="",TRUE,IF(input_announcement_category="",FALSE,SUMPRODUCT(--ISNUMBER(SEARCH(","&amp;TRIM(TEXTSPLIT(W88,","))&amp;",",","&amp;SUBSTITUTE(input_announcement_category," ","")&amp;",")))&gt;0)),IF(Y88="",TRUE,IF(input_announcement_category="",FALSE,SUMPRODUCT(--ISNUMBER(SEARCH(","&amp;TRIM(TEXTSPLIT(Y88,","))&amp;",",","&amp;SUBSTITUTE(input_announcement_category," ","")&amp;",")))=COUNTA(TEXTSPLIT(Y88,",")))),IF(AA88="",TRUE,IF(input_announcement_category="",TRUE,SUMPRODUCT(--ISNUMBER(SEARCH(","&amp;TRIM(TEXTSPLIT(AA88,","))&amp;",",","&amp;SUBSTITUTE(input_announcement_category," ","")&amp;",")))=0)),IF(AC88="",TRUE,IF(input_announcement_category="",FALSE,SUMPRODUCT(--ISNUMBER(SEARCH(","&amp;TRIM(TEXTSPLIT(AC88,","))&amp;",",","&amp;SUBSTITUTE(input_announcement_category," ","")&amp;",")))&gt;0)),IF(AE88="",TRUE,IF(input_announcement_category="",FALSE,SUMPRODUCT(--ISNUMBER(SEARCH(","&amp;TRIM(TEXTSPLIT(AE88,","))&amp;",",","&amp;SUBSTITUTE(input_announcement_category," ","")&amp;",")))=COUNTA(TEXTSPLIT(AE88,",")))))</f>
        <v/>
      </c>
      <c r="IV88" s="19">
        <f>AND(IF(AG88="",TRUE,IF(input_area_of_focus="",FALSE,SUMPRODUCT(--ISNUMBER(SEARCH(","&amp;TRIM(TEXTSPLIT(AG88,","))&amp;",",","&amp;SUBSTITUTE(input_area_of_focus," ","")&amp;",")))&gt;0)),IF(AI88="",TRUE,IF(input_area_of_focus="",FALSE,SUMPRODUCT(--ISNUMBER(SEARCH(","&amp;TRIM(TEXTSPLIT(AI88,","))&amp;",",","&amp;SUBSTITUTE(input_area_of_focus," ","")&amp;",")))=COUNTA(TEXTSPLIT(AI88,",")))),IF(AK88="",TRUE,IF(input_area_of_focus="",TRUE,SUMPRODUCT(--ISNUMBER(SEARCH(","&amp;TRIM(TEXTSPLIT(AK88,","))&amp;",",","&amp;SUBSTITUTE(input_area_of_focus," ","")&amp;",")))=0)),IF(AM88="",TRUE,IF(input_area_of_focus="",FALSE,SUMPRODUCT(--ISNUMBER(SEARCH(","&amp;TRIM(TEXTSPLIT(AM88,","))&amp;",",","&amp;SUBSTITUTE(input_area_of_focus," ","")&amp;",")))&gt;0)),IF(AO88="",TRUE,IF(input_area_of_focus="",FALSE,SUMPRODUCT(--ISNUMBER(SEARCH(","&amp;TRIM(TEXTSPLIT(AO88,","))&amp;",",","&amp;SUBSTITUTE(input_area_of_focus," ","")&amp;",")))=COUNTA(TEXTSPLIT(AO88,",")))))</f>
        <v/>
      </c>
      <c r="IW88" s="19">
        <f>AND(IF(AQ88="",TRUE,IF(input_audience="",FALSE,SUMPRODUCT(--ISNUMBER(SEARCH(","&amp;TRIM(TEXTSPLIT(AQ88,","))&amp;",",","&amp;SUBSTITUTE(input_audience," ","")&amp;",")))&gt;0)),IF(AS88="",TRUE,IF(input_audience="",FALSE,SUMPRODUCT(--ISNUMBER(SEARCH(","&amp;TRIM(TEXTSPLIT(AS88,","))&amp;",",","&amp;SUBSTITUTE(input_audience," ","")&amp;",")))=COUNTA(TEXTSPLIT(AS88,",")))),IF(AU88="",TRUE,IF(input_audience="",TRUE,SUMPRODUCT(--ISNUMBER(SEARCH(","&amp;TRIM(TEXTSPLIT(AU88,","))&amp;",",","&amp;SUBSTITUTE(input_audience," ","")&amp;",")))=0)),IF(AW88="",TRUE,IF(input_audience="",FALSE,SUMPRODUCT(--ISNUMBER(SEARCH(","&amp;TRIM(TEXTSPLIT(AW88,","))&amp;",",","&amp;SUBSTITUTE(input_audience," ","")&amp;",")))&gt;0)),IF(AY88="",TRUE,IF(input_audience="",FALSE,SUMPRODUCT(--ISNUMBER(SEARCH(","&amp;TRIM(TEXTSPLIT(AY88,","))&amp;",",","&amp;SUBSTITUTE(input_audience," ","")&amp;",")))=COUNTA(TEXTSPLIT(AY88,",")))))</f>
        <v/>
      </c>
      <c r="IX88" s="19">
        <f>AND(IF(BA88="",TRUE,IF(input_challenge_opportunities="",FALSE,SUMPRODUCT(--ISNUMBER(SEARCH(","&amp;TRIM(TEXTSPLIT(BA88,","))&amp;",",","&amp;SUBSTITUTE(input_challenge_opportunities," ","")&amp;",")))&gt;0)),IF(BC88="",TRUE,IF(input_challenge_opportunities="",FALSE,SUMPRODUCT(--ISNUMBER(SEARCH(","&amp;TRIM(TEXTSPLIT(BC88,","))&amp;",",","&amp;SUBSTITUTE(input_challenge_opportunities," ","")&amp;",")))=COUNTA(TEXTSPLIT(BC88,",")))),IF(BE88="",TRUE,IF(input_challenge_opportunities="",TRUE,SUMPRODUCT(--ISNUMBER(SEARCH(","&amp;TRIM(TEXTSPLIT(BE88,","))&amp;",",","&amp;SUBSTITUTE(input_challenge_opportunities," ","")&amp;",")))=0)),IF(BG88="",TRUE,IF(input_challenge_opportunities="",FALSE,SUMPRODUCT(--ISNUMBER(SEARCH(","&amp;TRIM(TEXTSPLIT(BG88,","))&amp;",",","&amp;SUBSTITUTE(input_challenge_opportunities," ","")&amp;",")))&gt;0)),IF(BI88="",TRUE,IF(input_challenge_opportunities="",FALSE,SUMPRODUCT(--ISNUMBER(SEARCH(","&amp;TRIM(TEXTSPLIT(BI88,","))&amp;",",","&amp;SUBSTITUTE(input_challenge_opportunities," ","")&amp;",")))=COUNTA(TEXTSPLIT(BI88,",")))))</f>
        <v/>
      </c>
      <c r="IY88" s="19">
        <f>AND(IF(BK88="",TRUE,IF(input_context="",FALSE,SUMPRODUCT(--ISNUMBER(SEARCH(","&amp;TRIM(TEXTSPLIT(BK88,","))&amp;",",","&amp;SUBSTITUTE(input_context," ","")&amp;",")))&gt;0)),IF(BM88="",TRUE,IF(input_context="",FALSE,SUMPRODUCT(--ISNUMBER(SEARCH(","&amp;TRIM(TEXTSPLIT(BM88,","))&amp;",",","&amp;SUBSTITUTE(input_context," ","")&amp;",")))=COUNTA(TEXTSPLIT(BM88,",")))),IF(BO88="",TRUE,IF(input_context="",TRUE,SUMPRODUCT(--ISNUMBER(SEARCH(","&amp;TRIM(TEXTSPLIT(BO88,","))&amp;",",","&amp;SUBSTITUTE(input_context," ","")&amp;",")))=0)),IF(BQ88="",TRUE,IF(input_context="",FALSE,SUMPRODUCT(--ISNUMBER(SEARCH(","&amp;TRIM(TEXTSPLIT(BQ88,","))&amp;",",","&amp;SUBSTITUTE(input_context," ","")&amp;",")))&gt;0)),IF(BS88="",TRUE,IF(input_context="",FALSE,SUMPRODUCT(--ISNUMBER(SEARCH(","&amp;TRIM(TEXTSPLIT(BS88,","))&amp;",",","&amp;SUBSTITUTE(input_context," ","")&amp;",")))=COUNTA(TEXTSPLIT(BS88,",")))))</f>
        <v/>
      </c>
      <c r="IZ88" s="19">
        <f>AND(IF(BU88="",TRUE,IF(input_enews_announcement_type="",FALSE,SUMPRODUCT(--ISNUMBER(SEARCH(","&amp;TRIM(TEXTSPLIT(BU88,","))&amp;",",","&amp;SUBSTITUTE(input_enews_announcement_type," ","")&amp;",")))&gt;0)),IF(BW88="",TRUE,IF(input_enews_announcement_type="",FALSE,SUMPRODUCT(--ISNUMBER(SEARCH(","&amp;TRIM(TEXTSPLIT(BW88,","))&amp;",",","&amp;SUBSTITUTE(input_enews_announcement_type," ","")&amp;",")))=COUNTA(TEXTSPLIT(BW88,",")))),IF(BY88="",TRUE,IF(input_enews_announcement_type="",TRUE,SUMPRODUCT(--ISNUMBER(SEARCH(","&amp;TRIM(TEXTSPLIT(BY88,","))&amp;",",","&amp;SUBSTITUTE(input_enews_announcement_type," ","")&amp;",")))=0)),IF(CA88="",TRUE,IF(input_enews_announcement_type="",FALSE,SUMPRODUCT(--ISNUMBER(SEARCH(","&amp;TRIM(TEXTSPLIT(CA88,","))&amp;",",","&amp;SUBSTITUTE(input_enews_announcement_type," ","")&amp;",")))&gt;0)),IF(CC88="",TRUE,IF(input_enews_announcement_type="",FALSE,SUMPRODUCT(--ISNUMBER(SEARCH(","&amp;TRIM(TEXTSPLIT(CC88,","))&amp;",",","&amp;SUBSTITUTE(input_enews_announcement_type," ","")&amp;",")))=COUNTA(TEXTSPLIT(CC88,",")))))</f>
        <v/>
      </c>
      <c r="JA88" s="19">
        <f>AND(IF(CE88="",TRUE,IF(input_enews_audience="",FALSE,SUMPRODUCT(--ISNUMBER(SEARCH(","&amp;TRIM(TEXTSPLIT(CE88,","))&amp;",",","&amp;SUBSTITUTE(input_enews_audience," ","")&amp;",")))&gt;0)),IF(CG88="",TRUE,IF(input_enews_audience="",FALSE,SUMPRODUCT(--ISNUMBER(SEARCH(","&amp;TRIM(TEXTSPLIT(CG88,","))&amp;",",","&amp;SUBSTITUTE(input_enews_audience," ","")&amp;",")))=COUNTA(TEXTSPLIT(CG88,",")))),IF(CI88="",TRUE,IF(input_enews_audience="",TRUE,SUMPRODUCT(--ISNUMBER(SEARCH(","&amp;TRIM(TEXTSPLIT(CI88,","))&amp;",",","&amp;SUBSTITUTE(input_enews_audience," ","")&amp;",")))=0)),IF(CK88="",TRUE,IF(input_enews_audience="",FALSE,SUMPRODUCT(--ISNUMBER(SEARCH(","&amp;TRIM(TEXTSPLIT(CK88,","))&amp;",",","&amp;SUBSTITUTE(input_enews_audience," ","")&amp;",")))&gt;0)),IF(CM88="",TRUE,IF(input_enews_audience="",FALSE,SUMPRODUCT(--ISNUMBER(SEARCH(","&amp;TRIM(TEXTSPLIT(CM88,","))&amp;",",","&amp;SUBSTITUTE(input_enews_audience," ","")&amp;",")))=COUNTA(TEXTSPLIT(CM88,",")))))</f>
        <v/>
      </c>
      <c r="JB88" s="19">
        <f>AND(IF(CO88="",TRUE,IF(input_event_location="",FALSE,SUMPRODUCT(--ISNUMBER(SEARCH(","&amp;TRIM(TEXTSPLIT(CO88,","))&amp;",",","&amp;SUBSTITUTE(input_event_location," ","")&amp;",")))&gt;0)),IF(CQ88="",TRUE,IF(input_event_location="",FALSE,SUMPRODUCT(--ISNUMBER(SEARCH(","&amp;TRIM(TEXTSPLIT(CQ88,","))&amp;",",","&amp;SUBSTITUTE(input_event_location," ","")&amp;",")))=COUNTA(TEXTSPLIT(CQ88,",")))),IF(CS88="",TRUE,IF(input_event_location="",TRUE,SUMPRODUCT(--ISNUMBER(SEARCH(","&amp;TRIM(TEXTSPLIT(CS88,","))&amp;",",","&amp;SUBSTITUTE(input_event_location," ","")&amp;",")))=0)),IF(CU88="",TRUE,IF(input_event_location="",FALSE,SUMPRODUCT(--ISNUMBER(SEARCH(","&amp;TRIM(TEXTSPLIT(CU88,","))&amp;",",","&amp;SUBSTITUTE(input_event_location," ","")&amp;",")))&gt;0)),IF(CW88="",TRUE,IF(input_event_location="",FALSE,SUMPRODUCT(--ISNUMBER(SEARCH(","&amp;TRIM(TEXTSPLIT(CW88,","))&amp;",",","&amp;SUBSTITUTE(input_event_location," ","")&amp;",")))=COUNTA(TEXTSPLIT(CW88,",")))))</f>
        <v/>
      </c>
      <c r="JC88" s="19">
        <f>AND(IF(CY88="",TRUE,IF(input_event_type="",FALSE,SUMPRODUCT(--ISNUMBER(SEARCH(","&amp;TRIM(TEXTSPLIT(CY88,","))&amp;",",","&amp;SUBSTITUTE(input_event_type," ","")&amp;",")))&gt;0)),IF(DA88="",TRUE,IF(input_event_type="",FALSE,SUMPRODUCT(--ISNUMBER(SEARCH(","&amp;TRIM(TEXTSPLIT(DA88,","))&amp;",",","&amp;SUBSTITUTE(input_event_type," ","")&amp;",")))=COUNTA(TEXTSPLIT(DA88,",")))),IF(DC88="",TRUE,IF(input_event_type="",TRUE,SUMPRODUCT(--ISNUMBER(SEARCH(","&amp;TRIM(TEXTSPLIT(DC88,","))&amp;",",","&amp;SUBSTITUTE(input_event_type," ","")&amp;",")))=0)),IF(DE88="",TRUE,IF(input_event_type="",FALSE,SUMPRODUCT(--ISNUMBER(SEARCH(","&amp;TRIM(TEXTSPLIT(DE88,","))&amp;",",","&amp;SUBSTITUTE(input_event_type," ","")&amp;",")))&gt;0)),IF(DG88="",TRUE,IF(input_event_type="",FALSE,SUMPRODUCT(--ISNUMBER(SEARCH(","&amp;TRIM(TEXTSPLIT(DG88,","))&amp;",",","&amp;SUBSTITUTE(input_event_type," ","")&amp;",")))=COUNTA(TEXTSPLIT(DG88,",")))))</f>
        <v/>
      </c>
      <c r="JD88" s="19">
        <f>AND(IF(DI88="",TRUE,IF(input_executive_education_focus="",FALSE,SUMPRODUCT(--ISNUMBER(SEARCH(","&amp;TRIM(TEXTSPLIT(DI88,","))&amp;",",","&amp;SUBSTITUTE(input_executive_education_focus," ","")&amp;",")))&gt;0)),IF(DK88="",TRUE,IF(input_executive_education_focus="",FALSE,SUMPRODUCT(--ISNUMBER(SEARCH(","&amp;TRIM(TEXTSPLIT(DK88,","))&amp;",",","&amp;SUBSTITUTE(input_executive_education_focus," ","")&amp;",")))=COUNTA(TEXTSPLIT(DK88,",")))),IF(DM88="",TRUE,IF(input_executive_education_focus="",TRUE,SUMPRODUCT(--ISNUMBER(SEARCH(","&amp;TRIM(TEXTSPLIT(DM88,","))&amp;",",","&amp;SUBSTITUTE(input_executive_education_focus," ","")&amp;",")))=0)),IF(DO88="",TRUE,IF(input_executive_education_focus="",FALSE,SUMPRODUCT(--ISNUMBER(SEARCH(","&amp;TRIM(TEXTSPLIT(DO88,","))&amp;",",","&amp;SUBSTITUTE(input_executive_education_focus," ","")&amp;",")))&gt;0)),IF(DQ88="",TRUE,IF(input_executive_education_focus="",FALSE,SUMPRODUCT(--ISNUMBER(SEARCH(","&amp;TRIM(TEXTSPLIT(DQ88,","))&amp;",",","&amp;SUBSTITUTE(input_executive_education_focus," ","")&amp;",")))=COUNTA(TEXTSPLIT(DQ88,",")))))</f>
        <v/>
      </c>
      <c r="JE88" s="19">
        <f>AND(IF(DS88="",TRUE,IF(input_faculty_category="",FALSE,SUMPRODUCT(--ISNUMBER(SEARCH(","&amp;TRIM(TEXTSPLIT(DS88,","))&amp;",",","&amp;SUBSTITUTE(input_faculty_category," ","")&amp;",")))&gt;0)),IF(DU88="",TRUE,IF(input_faculty_category="",FALSE,SUMPRODUCT(--ISNUMBER(SEARCH(","&amp;TRIM(TEXTSPLIT(DU88,","))&amp;",",","&amp;SUBSTITUTE(input_faculty_category," ","")&amp;",")))=COUNTA(TEXTSPLIT(DU88,",")))),IF(DW88="",TRUE,IF(input_faculty_category="",TRUE,SUMPRODUCT(--ISNUMBER(SEARCH(","&amp;TRIM(TEXTSPLIT(DW88,","))&amp;",",","&amp;SUBSTITUTE(input_faculty_category," ","")&amp;",")))=0)),IF(DY88="",TRUE,IF(input_faculty_category="",FALSE,SUMPRODUCT(--ISNUMBER(SEARCH(","&amp;TRIM(TEXTSPLIT(DY88,","))&amp;",",","&amp;SUBSTITUTE(input_faculty_category," ","")&amp;",")))&gt;0)),IF(EA88="",TRUE,IF(input_faculty_category="",FALSE,SUMPRODUCT(--ISNUMBER(SEARCH(","&amp;TRIM(TEXTSPLIT(EA88,","))&amp;",",","&amp;SUBSTITUTE(input_faculty_category," ","")&amp;",")))=COUNTA(TEXTSPLIT(EA88,",")))))</f>
        <v/>
      </c>
      <c r="JF88" s="19">
        <f>AND(IF(EC88="",TRUE,IF(input_faculty_discipline="",FALSE,SUMPRODUCT(--ISNUMBER(SEARCH(","&amp;TRIM(TEXTSPLIT(EC88,","))&amp;",",","&amp;SUBSTITUTE(input_faculty_discipline," ","")&amp;",")))&gt;0)),IF(EE88="",TRUE,IF(input_faculty_discipline="",FALSE,SUMPRODUCT(--ISNUMBER(SEARCH(","&amp;TRIM(TEXTSPLIT(EE88,","))&amp;",",","&amp;SUBSTITUTE(input_faculty_discipline," ","")&amp;",")))=COUNTA(TEXTSPLIT(EE88,",")))),IF(EG88="",TRUE,IF(input_faculty_discipline="",TRUE,SUMPRODUCT(--ISNUMBER(SEARCH(","&amp;TRIM(TEXTSPLIT(EG88,","))&amp;",",","&amp;SUBSTITUTE(input_faculty_discipline," ","")&amp;",")))=0)),IF(EI88="",TRUE,IF(input_faculty_discipline="",FALSE,SUMPRODUCT(--ISNUMBER(SEARCH(","&amp;TRIM(TEXTSPLIT(EI88,","))&amp;",",","&amp;SUBSTITUTE(input_faculty_discipline," ","")&amp;",")))&gt;0)),IF(EK88="",TRUE,IF(input_faculty_discipline="",FALSE,SUMPRODUCT(--ISNUMBER(SEARCH(","&amp;TRIM(TEXTSPLIT(EK88,","))&amp;",",","&amp;SUBSTITUTE(input_faculty_discipline," ","")&amp;",")))=COUNTA(TEXTSPLIT(EK88,",")))))</f>
        <v/>
      </c>
      <c r="JG88" s="19">
        <f>AND(IF(EM88="",TRUE,IF(input_faculty_expertise="",FALSE,SUMPRODUCT(--ISNUMBER(SEARCH(","&amp;TRIM(TEXTSPLIT(EM88,","))&amp;",",","&amp;SUBSTITUTE(input_faculty_expertise," ","")&amp;",")))&gt;0)),IF(EO88="",TRUE,IF(input_faculty_expertise="",FALSE,SUMPRODUCT(--ISNUMBER(SEARCH(","&amp;TRIM(TEXTSPLIT(EO88,","))&amp;",",","&amp;SUBSTITUTE(input_faculty_expertise," ","")&amp;",")))=COUNTA(TEXTSPLIT(EO88,",")))),IF(EQ88="",TRUE,IF(input_faculty_expertise="",TRUE,SUMPRODUCT(--ISNUMBER(SEARCH(","&amp;TRIM(TEXTSPLIT(EQ88,","))&amp;",",","&amp;SUBSTITUTE(input_faculty_expertise," ","")&amp;",")))=0)),IF(ES88="",TRUE,IF(input_faculty_expertise="",FALSE,SUMPRODUCT(--ISNUMBER(SEARCH(","&amp;TRIM(TEXTSPLIT(ES88,","))&amp;",",","&amp;SUBSTITUTE(input_faculty_expertise," ","")&amp;",")))&gt;0)),IF(EU88="",TRUE,IF(input_faculty_expertise="",FALSE,SUMPRODUCT(--ISNUMBER(SEARCH(","&amp;TRIM(TEXTSPLIT(EU88,","))&amp;",",","&amp;SUBSTITUTE(input_faculty_expertise," ","")&amp;",")))=COUNTA(TEXTSPLIT(EU88,",")))))</f>
        <v/>
      </c>
      <c r="JH88" s="19">
        <f>AND(IF(EW88="",TRUE,IF(input_global_network_school="",FALSE,SUMPRODUCT(--ISNUMBER(SEARCH(","&amp;TRIM(TEXTSPLIT(EW88,","))&amp;",",","&amp;SUBSTITUTE(input_global_network_school," ","")&amp;",")))&gt;0)),IF(EY88="",TRUE,IF(input_global_network_school="",FALSE,SUMPRODUCT(--ISNUMBER(SEARCH(","&amp;TRIM(TEXTSPLIT(EY88,","))&amp;",",","&amp;SUBSTITUTE(input_global_network_school," ","")&amp;",")))=COUNTA(TEXTSPLIT(EY88,",")))),IF(FA88="",TRUE,IF(input_global_network_school="",TRUE,SUMPRODUCT(--ISNUMBER(SEARCH(","&amp;TRIM(TEXTSPLIT(FA88,","))&amp;",",","&amp;SUBSTITUTE(input_global_network_school," ","")&amp;",")))=0)),IF(FC88="",TRUE,IF(input_global_network_school="",FALSE,SUMPRODUCT(--ISNUMBER(SEARCH(","&amp;TRIM(TEXTSPLIT(FC88,","))&amp;",",","&amp;SUBSTITUTE(input_global_network_school," ","")&amp;",")))&gt;0)),IF(FE88="",TRUE,IF(input_global_network_school="",FALSE,SUMPRODUCT(--ISNUMBER(SEARCH(","&amp;TRIM(TEXTSPLIT(FE88,","))&amp;",",","&amp;SUBSTITUTE(input_global_network_school," ","")&amp;",")))=COUNTA(TEXTSPLIT(FE88,",")))))</f>
        <v/>
      </c>
      <c r="JI88" s="19">
        <f>AND(IF(FG88="",TRUE,IF(input_industry="",FALSE,SUMPRODUCT(--ISNUMBER(SEARCH(","&amp;TRIM(TEXTSPLIT(FG88,","))&amp;",",","&amp;SUBSTITUTE(input_industry," ","")&amp;",")))&gt;0)),IF(FI88="",TRUE,IF(input_industry="",FALSE,SUMPRODUCT(--ISNUMBER(SEARCH(","&amp;TRIM(TEXTSPLIT(FI88,","))&amp;",",","&amp;SUBSTITUTE(input_industry," ","")&amp;",")))=COUNTA(TEXTSPLIT(FI88,",")))),IF(FK88="",TRUE,IF(input_industry="",TRUE,SUMPRODUCT(--ISNUMBER(SEARCH(","&amp;TRIM(TEXTSPLIT(FK88,","))&amp;",",","&amp;SUBSTITUTE(input_industry," ","")&amp;",")))=0)),IF(FM88="",TRUE,IF(input_industry="",FALSE,SUMPRODUCT(--ISNUMBER(SEARCH(","&amp;TRIM(TEXTSPLIT(FM88,","))&amp;",",","&amp;SUBSTITUTE(input_industry," ","")&amp;",")))&gt;0)),IF(FO88="",TRUE,IF(input_industry="",FALSE,SUMPRODUCT(--ISNUMBER(SEARCH(","&amp;TRIM(TEXTSPLIT(FO88,","))&amp;",",","&amp;SUBSTITUTE(input_industry," ","")&amp;",")))=COUNTA(TEXTSPLIT(FO88,",")))))</f>
        <v/>
      </c>
      <c r="JJ88" s="19">
        <f>AND(IF(FQ88="",TRUE,IF(input_location="",FALSE,SUMPRODUCT(--ISNUMBER(SEARCH(","&amp;TRIM(TEXTSPLIT(FQ88,","))&amp;",",","&amp;SUBSTITUTE(input_location," ","")&amp;",")))&gt;0)),IF(FS88="",TRUE,IF(input_location="",FALSE,SUMPRODUCT(--ISNUMBER(SEARCH(","&amp;TRIM(TEXTSPLIT(FS88,","))&amp;",",","&amp;SUBSTITUTE(input_location," ","")&amp;",")))=COUNTA(TEXTSPLIT(FS88,",")))),IF(FU88="",TRUE,IF(input_location="",TRUE,SUMPRODUCT(--ISNUMBER(SEARCH(","&amp;TRIM(TEXTSPLIT(FU88,","))&amp;",",","&amp;SUBSTITUTE(input_location," ","")&amp;",")))=0)),IF(FW88="",TRUE,IF(input_location="",FALSE,SUMPRODUCT(--ISNUMBER(SEARCH(","&amp;TRIM(TEXTSPLIT(FW88,","))&amp;",",","&amp;SUBSTITUTE(input_location," ","")&amp;",")))&gt;0)),IF(FY88="",TRUE,IF(input_location="",FALSE,SUMPRODUCT(--ISNUMBER(SEARCH(","&amp;TRIM(TEXTSPLIT(FY88,","))&amp;",",","&amp;SUBSTITUTE(input_location," ","")&amp;",")))=COUNTA(TEXTSPLIT(FY88,",")))))</f>
        <v/>
      </c>
      <c r="JK88" s="19">
        <f>AND(IF(GA88="",TRUE,IF(input_modality="",FALSE,SUMPRODUCT(--ISNUMBER(SEARCH(","&amp;TRIM(TEXTSPLIT(GA88,","))&amp;",",","&amp;SUBSTITUTE(input_modality," ","")&amp;",")))&gt;0)),IF(GC88="",TRUE,IF(input_modality="",FALSE,SUMPRODUCT(--ISNUMBER(SEARCH(","&amp;TRIM(TEXTSPLIT(GC88,","))&amp;",",","&amp;SUBSTITUTE(input_modality," ","")&amp;",")))=COUNTA(TEXTSPLIT(GC88,",")))),IF(GE88="",TRUE,IF(input_modality="",TRUE,SUMPRODUCT(--ISNUMBER(SEARCH(","&amp;TRIM(TEXTSPLIT(GE88,","))&amp;",",","&amp;SUBSTITUTE(input_modality," ","")&amp;",")))=0)),IF(GG88="",TRUE,IF(input_modality="",FALSE,SUMPRODUCT(--ISNUMBER(SEARCH(","&amp;TRIM(TEXTSPLIT(GG88,","))&amp;",",","&amp;SUBSTITUTE(input_modality," ","")&amp;",")))&gt;0)),IF(GI88="",TRUE,IF(input_modality="",FALSE,SUMPRODUCT(--ISNUMBER(SEARCH(","&amp;TRIM(TEXTSPLIT(GI88,","))&amp;",",","&amp;SUBSTITUTE(input_modality," ","")&amp;",")))=COUNTA(TEXTSPLIT(GI88,",")))))</f>
        <v/>
      </c>
      <c r="JL88" s="19">
        <f>AND(IF(GK88="",TRUE,IF(input_organizer="",FALSE,SUMPRODUCT(--ISNUMBER(SEARCH(","&amp;TRIM(TEXTSPLIT(GK88,","))&amp;",",","&amp;SUBSTITUTE(input_organizer," ","")&amp;",")))&gt;0)),IF(GM88="",TRUE,IF(input_organizer="",FALSE,SUMPRODUCT(--ISNUMBER(SEARCH(","&amp;TRIM(TEXTSPLIT(GM88,","))&amp;",",","&amp;SUBSTITUTE(input_organizer," ","")&amp;",")))=COUNTA(TEXTSPLIT(GM88,",")))),IF(GO88="",TRUE,IF(input_organizer="",TRUE,SUMPRODUCT(--ISNUMBER(SEARCH(","&amp;TRIM(TEXTSPLIT(GO88,","))&amp;",",","&amp;SUBSTITUTE(input_organizer," ","")&amp;",")))=0)),IF(GQ88="",TRUE,IF(input_organizer="",FALSE,SUMPRODUCT(--ISNUMBER(SEARCH(","&amp;TRIM(TEXTSPLIT(GQ88,","))&amp;",",","&amp;SUBSTITUTE(input_organizer," ","")&amp;",")))&gt;0)),IF(GS88="",TRUE,IF(input_organizer="",FALSE,SUMPRODUCT(--ISNUMBER(SEARCH(","&amp;TRIM(TEXTSPLIT(GS88,","))&amp;",",","&amp;SUBSTITUTE(input_organizer," ","")&amp;",")))=COUNTA(TEXTSPLIT(GS88,",")))))</f>
        <v/>
      </c>
      <c r="JM88" s="19">
        <f>AND(IF(GU88="",TRUE,IF(input_profile_type="",FALSE,SUMPRODUCT(--ISNUMBER(SEARCH(","&amp;TRIM(TEXTSPLIT(GU88,","))&amp;",",","&amp;SUBSTITUTE(input_profile_type," ","")&amp;",")))&gt;0)),IF(GW88="",TRUE,IF(input_profile_type="",FALSE,SUMPRODUCT(--ISNUMBER(SEARCH(","&amp;TRIM(TEXTSPLIT(GW88,","))&amp;",",","&amp;SUBSTITUTE(input_profile_type," ","")&amp;",")))=COUNTA(TEXTSPLIT(GW88,",")))),IF(GY88="",TRUE,IF(input_profile_type="",TRUE,SUMPRODUCT(--ISNUMBER(SEARCH(","&amp;TRIM(TEXTSPLIT(GY88,","))&amp;",",","&amp;SUBSTITUTE(input_profile_type," ","")&amp;",")))=0)),IF(HA88="",TRUE,IF(input_profile_type="",FALSE,SUMPRODUCT(--ISNUMBER(SEARCH(","&amp;TRIM(TEXTSPLIT(HA88,","))&amp;",",","&amp;SUBSTITUTE(input_profile_type," ","")&amp;",")))&gt;0)),IF(HC88="",TRUE,IF(input_profile_type="",FALSE,SUMPRODUCT(--ISNUMBER(SEARCH(","&amp;TRIM(TEXTSPLIT(HC88,","))&amp;",",","&amp;SUBSTITUTE(input_profile_type," ","")&amp;",")))=COUNTA(TEXTSPLIT(HC88,",")))))</f>
        <v/>
      </c>
      <c r="JN88" s="19">
        <f>AND(IF(HE88="",TRUE,IF(input_program="",FALSE,SUMPRODUCT(--ISNUMBER(SEARCH(","&amp;TRIM(TEXTSPLIT(HE88,","))&amp;",",","&amp;SUBSTITUTE(input_program," ","")&amp;",")))&gt;0)),IF(HG88="",TRUE,IF(input_program="",FALSE,SUMPRODUCT(--ISNUMBER(SEARCH(","&amp;TRIM(TEXTSPLIT(HG88,","))&amp;",",","&amp;SUBSTITUTE(input_program," ","")&amp;",")))=COUNTA(TEXTSPLIT(HG88,",")))),IF(HI88="",TRUE,IF(input_program="",TRUE,SUMPRODUCT(--ISNUMBER(SEARCH(","&amp;TRIM(TEXTSPLIT(HI88,","))&amp;",",","&amp;SUBSTITUTE(input_program," ","")&amp;",")))=0)),IF(HK88="",TRUE,IF(input_program="",FALSE,SUMPRODUCT(--ISNUMBER(SEARCH(","&amp;TRIM(TEXTSPLIT(HK88,","))&amp;",",","&amp;SUBSTITUTE(input_program," ","")&amp;",")))&gt;0)),IF(HM88="",TRUE,IF(input_program="",FALSE,SUMPRODUCT(--ISNUMBER(SEARCH(","&amp;TRIM(TEXTSPLIT(HM88,","))&amp;",",","&amp;SUBSTITUTE(input_program," ","")&amp;",")))=COUNTA(TEXTSPLIT(HM88,",")))))</f>
        <v/>
      </c>
      <c r="JO88" s="19">
        <f>AND(IF(HO88="",TRUE,IF(input_story_categories="",FALSE,SUMPRODUCT(--ISNUMBER(SEARCH(","&amp;TRIM(TEXTSPLIT(HO88,","))&amp;",",","&amp;SUBSTITUTE(input_story_categories," ","")&amp;",")))&gt;0)),IF(HQ88="",TRUE,IF(input_story_categories="",FALSE,SUMPRODUCT(--ISNUMBER(SEARCH(","&amp;TRIM(TEXTSPLIT(HQ88,","))&amp;",",","&amp;SUBSTITUTE(input_story_categories," ","")&amp;",")))=COUNTA(TEXTSPLIT(HQ88,",")))),IF(HS88="",TRUE,IF(input_story_categories="",TRUE,SUMPRODUCT(--ISNUMBER(SEARCH(","&amp;TRIM(TEXTSPLIT(HS88,","))&amp;",",","&amp;SUBSTITUTE(input_story_categories," ","")&amp;",")))=0)),IF(HU88="",TRUE,IF(input_story_categories="",FALSE,SUMPRODUCT(--ISNUMBER(SEARCH(","&amp;TRIM(TEXTSPLIT(HU88,","))&amp;",",","&amp;SUBSTITUTE(input_story_categories," ","")&amp;",")))&gt;0)),IF(HW88="",TRUE,IF(input_story_categories="",FALSE,SUMPRODUCT(--ISNUMBER(SEARCH(","&amp;TRIM(TEXTSPLIT(HW88,","))&amp;",",","&amp;SUBSTITUTE(input_story_categories," ","")&amp;",")))=COUNTA(TEXTSPLIT(HW88,",")))))</f>
        <v/>
      </c>
      <c r="JP88" s="19">
        <f>AND(IF(HY88="",TRUE,IF(input_story_type="",FALSE,SUMPRODUCT(--ISNUMBER(SEARCH(","&amp;TRIM(TEXTSPLIT(HY88,","))&amp;",",","&amp;SUBSTITUTE(input_story_type," ","")&amp;",")))&gt;0)),IF(IA88="",TRUE,IF(input_story_type="",FALSE,SUMPRODUCT(--ISNUMBER(SEARCH(","&amp;TRIM(TEXTSPLIT(IA88,","))&amp;",",","&amp;SUBSTITUTE(input_story_type," ","")&amp;",")))=COUNTA(TEXTSPLIT(IA88,",")))),IF(IC88="",TRUE,IF(input_story_type="",TRUE,SUMPRODUCT(--ISNUMBER(SEARCH(","&amp;TRIM(TEXTSPLIT(IC88,","))&amp;",",","&amp;SUBSTITUTE(input_story_type," ","")&amp;",")))=0)),IF(IE88="",TRUE,IF(input_story_type="",FALSE,SUMPRODUCT(--ISNUMBER(SEARCH(","&amp;TRIM(TEXTSPLIT(IE88,","))&amp;",",","&amp;SUBSTITUTE(input_story_type," ","")&amp;",")))&gt;0)),IF(IG88="",TRUE,IF(input_story_type="",FALSE,SUMPRODUCT(--ISNUMBER(SEARCH(","&amp;TRIM(TEXTSPLIT(IG88,","))&amp;",",","&amp;SUBSTITUTE(input_story_type," ","")&amp;",")))=COUNTA(TEXTSPLIT(IG88,",")))))</f>
        <v/>
      </c>
      <c r="JQ88" s="19">
        <f>AND(IF(II88="",TRUE,IF(input_topics="",FALSE,SUMPRODUCT(--ISNUMBER(SEARCH(","&amp;TRIM(TEXTSPLIT(II88,","))&amp;",",","&amp;SUBSTITUTE(input_topics," ","")&amp;",")))&gt;0)),IF(IK88="",TRUE,IF(input_topics="",FALSE,SUMPRODUCT(--ISNUMBER(SEARCH(","&amp;TRIM(TEXTSPLIT(IK88,","))&amp;",",","&amp;SUBSTITUTE(input_topics," ","")&amp;",")))=COUNTA(TEXTSPLIT(IK88,",")))),IF(IM88="",TRUE,IF(input_topics="",TRUE,SUMPRODUCT(--ISNUMBER(SEARCH(","&amp;TRIM(TEXTSPLIT(IM88,","))&amp;",",","&amp;SUBSTITUTE(input_topics," ","")&amp;",")))=0)),IF(IO88="",TRUE,IF(input_topics="",FALSE,SUMPRODUCT(--ISNUMBER(SEARCH(","&amp;TRIM(TEXTSPLIT(IO88,","))&amp;",",","&amp;SUBSTITUTE(input_topics," ","")&amp;",")))&gt;0)),IF(IQ88="",TRUE,IF(input_topics="",FALSE,SUMPRODUCT(--ISNUMBER(SEARCH(","&amp;TRIM(TEXTSPLIT(IQ88,","))&amp;",",","&amp;SUBSTITUTE(input_topics," ","")&amp;",")))=COUNTA(TEXTSPLIT(IQ88,",")))))</f>
        <v/>
      </c>
    </row>
    <row r="89">
      <c r="A89" s="24">
        <f>IF(NOT(IS89),"Excluded",IF(AND(IT89,IU89,IV89,IW89,IX89,IY89,IZ89,JA89,JB89,JC89,JD89,JE89,JF89,JG89,JH89,JI89,JJ89,JK89,JL89,JM89,JN89,JO89,JP89,JQ89),IF(I89&gt;0,"Eligible but limited","Will appear"),"Excluded"))</f>
        <v/>
      </c>
      <c r="B89" s="24" t="inlineStr">
        <is>
          <t>Community Profiles</t>
        </is>
      </c>
      <c r="C89" s="27" t="inlineStr">
        <is>
          <t>/programs/emba/your-yale-experience/community-profiles</t>
        </is>
      </c>
      <c r="D89" s="24" t="inlineStr">
        <is>
          <t>/programs/emba/your-yale-experience/community-profiles</t>
        </is>
      </c>
      <c r="E89" s="24" t="n">
        <v>1</v>
      </c>
      <c r="F89" s="24" t="inlineStr">
        <is>
          <t>profile</t>
        </is>
      </c>
      <c r="G89" s="24" t="inlineStr">
        <is>
          <t>profiles_grid</t>
        </is>
      </c>
      <c r="H89" s="24" t="inlineStr">
        <is>
          <t>embed_6</t>
        </is>
      </c>
      <c r="I89" s="24" t="n">
        <v>9</v>
      </c>
      <c r="J89" s="28" t="inlineStr">
        <is>
          <t>Explicit args</t>
        </is>
      </c>
      <c r="K89" s="24" t="inlineStr">
        <is>
          <t>Page placement</t>
        </is>
      </c>
      <c r="L89" s="24" t="inlineStr">
        <is>
          <t>Content type: profile; Excludes Profile Type: Ambassador (1552); Context uses Program: MBA for Executives (80); Limited to 9 item(s); Source: Explicit args</t>
        </is>
      </c>
      <c r="GY89" s="19" t="inlineStr">
        <is>
          <t>1552</t>
        </is>
      </c>
      <c r="GZ89" s="19" t="inlineStr">
        <is>
          <t>Ambassador (1552)</t>
        </is>
      </c>
      <c r="HK89" s="19" t="inlineStr">
        <is>
          <t>80</t>
        </is>
      </c>
      <c r="HL89" s="19" t="inlineStr">
        <is>
          <t>MBA for Executives (80)</t>
        </is>
      </c>
      <c r="IS89" s="19">
        <f>IF(input_content_type="",FALSE,ISNUMBER(SEARCH(","&amp;LOWER(input_content_type)&amp;",",","&amp;LOWER(SUBSTITUTE(F89," ",""))&amp;",")))</f>
        <v/>
      </c>
      <c r="IT89" s="19">
        <f>AND(IF(M89="",TRUE,IF(input_affiliations="",FALSE,SUMPRODUCT(--ISNUMBER(SEARCH(","&amp;TRIM(TEXTSPLIT(M89,","))&amp;",",","&amp;SUBSTITUTE(input_affiliations," ","")&amp;",")))&gt;0)),IF(O89="",TRUE,IF(input_affiliations="",FALSE,SUMPRODUCT(--ISNUMBER(SEARCH(","&amp;TRIM(TEXTSPLIT(O89,","))&amp;",",","&amp;SUBSTITUTE(input_affiliations," ","")&amp;",")))=COUNTA(TEXTSPLIT(O89,",")))),IF(Q89="",TRUE,IF(input_affiliations="",TRUE,SUMPRODUCT(--ISNUMBER(SEARCH(","&amp;TRIM(TEXTSPLIT(Q89,","))&amp;",",","&amp;SUBSTITUTE(input_affiliations," ","")&amp;",")))=0)),IF(S89="",TRUE,IF(input_affiliations="",FALSE,SUMPRODUCT(--ISNUMBER(SEARCH(","&amp;TRIM(TEXTSPLIT(S89,","))&amp;",",","&amp;SUBSTITUTE(input_affiliations," ","")&amp;",")))&gt;0)),IF(U89="",TRUE,IF(input_affiliations="",FALSE,SUMPRODUCT(--ISNUMBER(SEARCH(","&amp;TRIM(TEXTSPLIT(U89,","))&amp;",",","&amp;SUBSTITUTE(input_affiliations," ","")&amp;",")))=COUNTA(TEXTSPLIT(U89,",")))))</f>
        <v/>
      </c>
      <c r="IU89" s="19">
        <f>AND(IF(W89="",TRUE,IF(input_announcement_category="",FALSE,SUMPRODUCT(--ISNUMBER(SEARCH(","&amp;TRIM(TEXTSPLIT(W89,","))&amp;",",","&amp;SUBSTITUTE(input_announcement_category," ","")&amp;",")))&gt;0)),IF(Y89="",TRUE,IF(input_announcement_category="",FALSE,SUMPRODUCT(--ISNUMBER(SEARCH(","&amp;TRIM(TEXTSPLIT(Y89,","))&amp;",",","&amp;SUBSTITUTE(input_announcement_category," ","")&amp;",")))=COUNTA(TEXTSPLIT(Y89,",")))),IF(AA89="",TRUE,IF(input_announcement_category="",TRUE,SUMPRODUCT(--ISNUMBER(SEARCH(","&amp;TRIM(TEXTSPLIT(AA89,","))&amp;",",","&amp;SUBSTITUTE(input_announcement_category," ","")&amp;",")))=0)),IF(AC89="",TRUE,IF(input_announcement_category="",FALSE,SUMPRODUCT(--ISNUMBER(SEARCH(","&amp;TRIM(TEXTSPLIT(AC89,","))&amp;",",","&amp;SUBSTITUTE(input_announcement_category," ","")&amp;",")))&gt;0)),IF(AE89="",TRUE,IF(input_announcement_category="",FALSE,SUMPRODUCT(--ISNUMBER(SEARCH(","&amp;TRIM(TEXTSPLIT(AE89,","))&amp;",",","&amp;SUBSTITUTE(input_announcement_category," ","")&amp;",")))=COUNTA(TEXTSPLIT(AE89,",")))))</f>
        <v/>
      </c>
      <c r="IV89" s="19">
        <f>AND(IF(AG89="",TRUE,IF(input_area_of_focus="",FALSE,SUMPRODUCT(--ISNUMBER(SEARCH(","&amp;TRIM(TEXTSPLIT(AG89,","))&amp;",",","&amp;SUBSTITUTE(input_area_of_focus," ","")&amp;",")))&gt;0)),IF(AI89="",TRUE,IF(input_area_of_focus="",FALSE,SUMPRODUCT(--ISNUMBER(SEARCH(","&amp;TRIM(TEXTSPLIT(AI89,","))&amp;",",","&amp;SUBSTITUTE(input_area_of_focus," ","")&amp;",")))=COUNTA(TEXTSPLIT(AI89,",")))),IF(AK89="",TRUE,IF(input_area_of_focus="",TRUE,SUMPRODUCT(--ISNUMBER(SEARCH(","&amp;TRIM(TEXTSPLIT(AK89,","))&amp;",",","&amp;SUBSTITUTE(input_area_of_focus," ","")&amp;",")))=0)),IF(AM89="",TRUE,IF(input_area_of_focus="",FALSE,SUMPRODUCT(--ISNUMBER(SEARCH(","&amp;TRIM(TEXTSPLIT(AM89,","))&amp;",",","&amp;SUBSTITUTE(input_area_of_focus," ","")&amp;",")))&gt;0)),IF(AO89="",TRUE,IF(input_area_of_focus="",FALSE,SUMPRODUCT(--ISNUMBER(SEARCH(","&amp;TRIM(TEXTSPLIT(AO89,","))&amp;",",","&amp;SUBSTITUTE(input_area_of_focus," ","")&amp;",")))=COUNTA(TEXTSPLIT(AO89,",")))))</f>
        <v/>
      </c>
      <c r="IW89" s="19">
        <f>AND(IF(AQ89="",TRUE,IF(input_audience="",FALSE,SUMPRODUCT(--ISNUMBER(SEARCH(","&amp;TRIM(TEXTSPLIT(AQ89,","))&amp;",",","&amp;SUBSTITUTE(input_audience," ","")&amp;",")))&gt;0)),IF(AS89="",TRUE,IF(input_audience="",FALSE,SUMPRODUCT(--ISNUMBER(SEARCH(","&amp;TRIM(TEXTSPLIT(AS89,","))&amp;",",","&amp;SUBSTITUTE(input_audience," ","")&amp;",")))=COUNTA(TEXTSPLIT(AS89,",")))),IF(AU89="",TRUE,IF(input_audience="",TRUE,SUMPRODUCT(--ISNUMBER(SEARCH(","&amp;TRIM(TEXTSPLIT(AU89,","))&amp;",",","&amp;SUBSTITUTE(input_audience," ","")&amp;",")))=0)),IF(AW89="",TRUE,IF(input_audience="",FALSE,SUMPRODUCT(--ISNUMBER(SEARCH(","&amp;TRIM(TEXTSPLIT(AW89,","))&amp;",",","&amp;SUBSTITUTE(input_audience," ","")&amp;",")))&gt;0)),IF(AY89="",TRUE,IF(input_audience="",FALSE,SUMPRODUCT(--ISNUMBER(SEARCH(","&amp;TRIM(TEXTSPLIT(AY89,","))&amp;",",","&amp;SUBSTITUTE(input_audience," ","")&amp;",")))=COUNTA(TEXTSPLIT(AY89,",")))))</f>
        <v/>
      </c>
      <c r="IX89" s="19">
        <f>AND(IF(BA89="",TRUE,IF(input_challenge_opportunities="",FALSE,SUMPRODUCT(--ISNUMBER(SEARCH(","&amp;TRIM(TEXTSPLIT(BA89,","))&amp;",",","&amp;SUBSTITUTE(input_challenge_opportunities," ","")&amp;",")))&gt;0)),IF(BC89="",TRUE,IF(input_challenge_opportunities="",FALSE,SUMPRODUCT(--ISNUMBER(SEARCH(","&amp;TRIM(TEXTSPLIT(BC89,","))&amp;",",","&amp;SUBSTITUTE(input_challenge_opportunities," ","")&amp;",")))=COUNTA(TEXTSPLIT(BC89,",")))),IF(BE89="",TRUE,IF(input_challenge_opportunities="",TRUE,SUMPRODUCT(--ISNUMBER(SEARCH(","&amp;TRIM(TEXTSPLIT(BE89,","))&amp;",",","&amp;SUBSTITUTE(input_challenge_opportunities," ","")&amp;",")))=0)),IF(BG89="",TRUE,IF(input_challenge_opportunities="",FALSE,SUMPRODUCT(--ISNUMBER(SEARCH(","&amp;TRIM(TEXTSPLIT(BG89,","))&amp;",",","&amp;SUBSTITUTE(input_challenge_opportunities," ","")&amp;",")))&gt;0)),IF(BI89="",TRUE,IF(input_challenge_opportunities="",FALSE,SUMPRODUCT(--ISNUMBER(SEARCH(","&amp;TRIM(TEXTSPLIT(BI89,","))&amp;",",","&amp;SUBSTITUTE(input_challenge_opportunities," ","")&amp;",")))=COUNTA(TEXTSPLIT(BI89,",")))))</f>
        <v/>
      </c>
      <c r="IY89" s="19">
        <f>AND(IF(BK89="",TRUE,IF(input_context="",FALSE,SUMPRODUCT(--ISNUMBER(SEARCH(","&amp;TRIM(TEXTSPLIT(BK89,","))&amp;",",","&amp;SUBSTITUTE(input_context," ","")&amp;",")))&gt;0)),IF(BM89="",TRUE,IF(input_context="",FALSE,SUMPRODUCT(--ISNUMBER(SEARCH(","&amp;TRIM(TEXTSPLIT(BM89,","))&amp;",",","&amp;SUBSTITUTE(input_context," ","")&amp;",")))=COUNTA(TEXTSPLIT(BM89,",")))),IF(BO89="",TRUE,IF(input_context="",TRUE,SUMPRODUCT(--ISNUMBER(SEARCH(","&amp;TRIM(TEXTSPLIT(BO89,","))&amp;",",","&amp;SUBSTITUTE(input_context," ","")&amp;",")))=0)),IF(BQ89="",TRUE,IF(input_context="",FALSE,SUMPRODUCT(--ISNUMBER(SEARCH(","&amp;TRIM(TEXTSPLIT(BQ89,","))&amp;",",","&amp;SUBSTITUTE(input_context," ","")&amp;",")))&gt;0)),IF(BS89="",TRUE,IF(input_context="",FALSE,SUMPRODUCT(--ISNUMBER(SEARCH(","&amp;TRIM(TEXTSPLIT(BS89,","))&amp;",",","&amp;SUBSTITUTE(input_context," ","")&amp;",")))=COUNTA(TEXTSPLIT(BS89,",")))))</f>
        <v/>
      </c>
      <c r="IZ89" s="19">
        <f>AND(IF(BU89="",TRUE,IF(input_enews_announcement_type="",FALSE,SUMPRODUCT(--ISNUMBER(SEARCH(","&amp;TRIM(TEXTSPLIT(BU89,","))&amp;",",","&amp;SUBSTITUTE(input_enews_announcement_type," ","")&amp;",")))&gt;0)),IF(BW89="",TRUE,IF(input_enews_announcement_type="",FALSE,SUMPRODUCT(--ISNUMBER(SEARCH(","&amp;TRIM(TEXTSPLIT(BW89,","))&amp;",",","&amp;SUBSTITUTE(input_enews_announcement_type," ","")&amp;",")))=COUNTA(TEXTSPLIT(BW89,",")))),IF(BY89="",TRUE,IF(input_enews_announcement_type="",TRUE,SUMPRODUCT(--ISNUMBER(SEARCH(","&amp;TRIM(TEXTSPLIT(BY89,","))&amp;",",","&amp;SUBSTITUTE(input_enews_announcement_type," ","")&amp;",")))=0)),IF(CA89="",TRUE,IF(input_enews_announcement_type="",FALSE,SUMPRODUCT(--ISNUMBER(SEARCH(","&amp;TRIM(TEXTSPLIT(CA89,","))&amp;",",","&amp;SUBSTITUTE(input_enews_announcement_type," ","")&amp;",")))&gt;0)),IF(CC89="",TRUE,IF(input_enews_announcement_type="",FALSE,SUMPRODUCT(--ISNUMBER(SEARCH(","&amp;TRIM(TEXTSPLIT(CC89,","))&amp;",",","&amp;SUBSTITUTE(input_enews_announcement_type," ","")&amp;",")))=COUNTA(TEXTSPLIT(CC89,",")))))</f>
        <v/>
      </c>
      <c r="JA89" s="19">
        <f>AND(IF(CE89="",TRUE,IF(input_enews_audience="",FALSE,SUMPRODUCT(--ISNUMBER(SEARCH(","&amp;TRIM(TEXTSPLIT(CE89,","))&amp;",",","&amp;SUBSTITUTE(input_enews_audience," ","")&amp;",")))&gt;0)),IF(CG89="",TRUE,IF(input_enews_audience="",FALSE,SUMPRODUCT(--ISNUMBER(SEARCH(","&amp;TRIM(TEXTSPLIT(CG89,","))&amp;",",","&amp;SUBSTITUTE(input_enews_audience," ","")&amp;",")))=COUNTA(TEXTSPLIT(CG89,",")))),IF(CI89="",TRUE,IF(input_enews_audience="",TRUE,SUMPRODUCT(--ISNUMBER(SEARCH(","&amp;TRIM(TEXTSPLIT(CI89,","))&amp;",",","&amp;SUBSTITUTE(input_enews_audience," ","")&amp;",")))=0)),IF(CK89="",TRUE,IF(input_enews_audience="",FALSE,SUMPRODUCT(--ISNUMBER(SEARCH(","&amp;TRIM(TEXTSPLIT(CK89,","))&amp;",",","&amp;SUBSTITUTE(input_enews_audience," ","")&amp;",")))&gt;0)),IF(CM89="",TRUE,IF(input_enews_audience="",FALSE,SUMPRODUCT(--ISNUMBER(SEARCH(","&amp;TRIM(TEXTSPLIT(CM89,","))&amp;",",","&amp;SUBSTITUTE(input_enews_audience," ","")&amp;",")))=COUNTA(TEXTSPLIT(CM89,",")))))</f>
        <v/>
      </c>
      <c r="JB89" s="19">
        <f>AND(IF(CO89="",TRUE,IF(input_event_location="",FALSE,SUMPRODUCT(--ISNUMBER(SEARCH(","&amp;TRIM(TEXTSPLIT(CO89,","))&amp;",",","&amp;SUBSTITUTE(input_event_location," ","")&amp;",")))&gt;0)),IF(CQ89="",TRUE,IF(input_event_location="",FALSE,SUMPRODUCT(--ISNUMBER(SEARCH(","&amp;TRIM(TEXTSPLIT(CQ89,","))&amp;",",","&amp;SUBSTITUTE(input_event_location," ","")&amp;",")))=COUNTA(TEXTSPLIT(CQ89,",")))),IF(CS89="",TRUE,IF(input_event_location="",TRUE,SUMPRODUCT(--ISNUMBER(SEARCH(","&amp;TRIM(TEXTSPLIT(CS89,","))&amp;",",","&amp;SUBSTITUTE(input_event_location," ","")&amp;",")))=0)),IF(CU89="",TRUE,IF(input_event_location="",FALSE,SUMPRODUCT(--ISNUMBER(SEARCH(","&amp;TRIM(TEXTSPLIT(CU89,","))&amp;",",","&amp;SUBSTITUTE(input_event_location," ","")&amp;",")))&gt;0)),IF(CW89="",TRUE,IF(input_event_location="",FALSE,SUMPRODUCT(--ISNUMBER(SEARCH(","&amp;TRIM(TEXTSPLIT(CW89,","))&amp;",",","&amp;SUBSTITUTE(input_event_location," ","")&amp;",")))=COUNTA(TEXTSPLIT(CW89,",")))))</f>
        <v/>
      </c>
      <c r="JC89" s="19">
        <f>AND(IF(CY89="",TRUE,IF(input_event_type="",FALSE,SUMPRODUCT(--ISNUMBER(SEARCH(","&amp;TRIM(TEXTSPLIT(CY89,","))&amp;",",","&amp;SUBSTITUTE(input_event_type," ","")&amp;",")))&gt;0)),IF(DA89="",TRUE,IF(input_event_type="",FALSE,SUMPRODUCT(--ISNUMBER(SEARCH(","&amp;TRIM(TEXTSPLIT(DA89,","))&amp;",",","&amp;SUBSTITUTE(input_event_type," ","")&amp;",")))=COUNTA(TEXTSPLIT(DA89,",")))),IF(DC89="",TRUE,IF(input_event_type="",TRUE,SUMPRODUCT(--ISNUMBER(SEARCH(","&amp;TRIM(TEXTSPLIT(DC89,","))&amp;",",","&amp;SUBSTITUTE(input_event_type," ","")&amp;",")))=0)),IF(DE89="",TRUE,IF(input_event_type="",FALSE,SUMPRODUCT(--ISNUMBER(SEARCH(","&amp;TRIM(TEXTSPLIT(DE89,","))&amp;",",","&amp;SUBSTITUTE(input_event_type," ","")&amp;",")))&gt;0)),IF(DG89="",TRUE,IF(input_event_type="",FALSE,SUMPRODUCT(--ISNUMBER(SEARCH(","&amp;TRIM(TEXTSPLIT(DG89,","))&amp;",",","&amp;SUBSTITUTE(input_event_type," ","")&amp;",")))=COUNTA(TEXTSPLIT(DG89,",")))))</f>
        <v/>
      </c>
      <c r="JD89" s="19">
        <f>AND(IF(DI89="",TRUE,IF(input_executive_education_focus="",FALSE,SUMPRODUCT(--ISNUMBER(SEARCH(","&amp;TRIM(TEXTSPLIT(DI89,","))&amp;",",","&amp;SUBSTITUTE(input_executive_education_focus," ","")&amp;",")))&gt;0)),IF(DK89="",TRUE,IF(input_executive_education_focus="",FALSE,SUMPRODUCT(--ISNUMBER(SEARCH(","&amp;TRIM(TEXTSPLIT(DK89,","))&amp;",",","&amp;SUBSTITUTE(input_executive_education_focus," ","")&amp;",")))=COUNTA(TEXTSPLIT(DK89,",")))),IF(DM89="",TRUE,IF(input_executive_education_focus="",TRUE,SUMPRODUCT(--ISNUMBER(SEARCH(","&amp;TRIM(TEXTSPLIT(DM89,","))&amp;",",","&amp;SUBSTITUTE(input_executive_education_focus," ","")&amp;",")))=0)),IF(DO89="",TRUE,IF(input_executive_education_focus="",FALSE,SUMPRODUCT(--ISNUMBER(SEARCH(","&amp;TRIM(TEXTSPLIT(DO89,","))&amp;",",","&amp;SUBSTITUTE(input_executive_education_focus," ","")&amp;",")))&gt;0)),IF(DQ89="",TRUE,IF(input_executive_education_focus="",FALSE,SUMPRODUCT(--ISNUMBER(SEARCH(","&amp;TRIM(TEXTSPLIT(DQ89,","))&amp;",",","&amp;SUBSTITUTE(input_executive_education_focus," ","")&amp;",")))=COUNTA(TEXTSPLIT(DQ89,",")))))</f>
        <v/>
      </c>
      <c r="JE89" s="19">
        <f>AND(IF(DS89="",TRUE,IF(input_faculty_category="",FALSE,SUMPRODUCT(--ISNUMBER(SEARCH(","&amp;TRIM(TEXTSPLIT(DS89,","))&amp;",",","&amp;SUBSTITUTE(input_faculty_category," ","")&amp;",")))&gt;0)),IF(DU89="",TRUE,IF(input_faculty_category="",FALSE,SUMPRODUCT(--ISNUMBER(SEARCH(","&amp;TRIM(TEXTSPLIT(DU89,","))&amp;",",","&amp;SUBSTITUTE(input_faculty_category," ","")&amp;",")))=COUNTA(TEXTSPLIT(DU89,",")))),IF(DW89="",TRUE,IF(input_faculty_category="",TRUE,SUMPRODUCT(--ISNUMBER(SEARCH(","&amp;TRIM(TEXTSPLIT(DW89,","))&amp;",",","&amp;SUBSTITUTE(input_faculty_category," ","")&amp;",")))=0)),IF(DY89="",TRUE,IF(input_faculty_category="",FALSE,SUMPRODUCT(--ISNUMBER(SEARCH(","&amp;TRIM(TEXTSPLIT(DY89,","))&amp;",",","&amp;SUBSTITUTE(input_faculty_category," ","")&amp;",")))&gt;0)),IF(EA89="",TRUE,IF(input_faculty_category="",FALSE,SUMPRODUCT(--ISNUMBER(SEARCH(","&amp;TRIM(TEXTSPLIT(EA89,","))&amp;",",","&amp;SUBSTITUTE(input_faculty_category," ","")&amp;",")))=COUNTA(TEXTSPLIT(EA89,",")))))</f>
        <v/>
      </c>
      <c r="JF89" s="19">
        <f>AND(IF(EC89="",TRUE,IF(input_faculty_discipline="",FALSE,SUMPRODUCT(--ISNUMBER(SEARCH(","&amp;TRIM(TEXTSPLIT(EC89,","))&amp;",",","&amp;SUBSTITUTE(input_faculty_discipline," ","")&amp;",")))&gt;0)),IF(EE89="",TRUE,IF(input_faculty_discipline="",FALSE,SUMPRODUCT(--ISNUMBER(SEARCH(","&amp;TRIM(TEXTSPLIT(EE89,","))&amp;",",","&amp;SUBSTITUTE(input_faculty_discipline," ","")&amp;",")))=COUNTA(TEXTSPLIT(EE89,",")))),IF(EG89="",TRUE,IF(input_faculty_discipline="",TRUE,SUMPRODUCT(--ISNUMBER(SEARCH(","&amp;TRIM(TEXTSPLIT(EG89,","))&amp;",",","&amp;SUBSTITUTE(input_faculty_discipline," ","")&amp;",")))=0)),IF(EI89="",TRUE,IF(input_faculty_discipline="",FALSE,SUMPRODUCT(--ISNUMBER(SEARCH(","&amp;TRIM(TEXTSPLIT(EI89,","))&amp;",",","&amp;SUBSTITUTE(input_faculty_discipline," ","")&amp;",")))&gt;0)),IF(EK89="",TRUE,IF(input_faculty_discipline="",FALSE,SUMPRODUCT(--ISNUMBER(SEARCH(","&amp;TRIM(TEXTSPLIT(EK89,","))&amp;",",","&amp;SUBSTITUTE(input_faculty_discipline," ","")&amp;",")))=COUNTA(TEXTSPLIT(EK89,",")))))</f>
        <v/>
      </c>
      <c r="JG89" s="19">
        <f>AND(IF(EM89="",TRUE,IF(input_faculty_expertise="",FALSE,SUMPRODUCT(--ISNUMBER(SEARCH(","&amp;TRIM(TEXTSPLIT(EM89,","))&amp;",",","&amp;SUBSTITUTE(input_faculty_expertise," ","")&amp;",")))&gt;0)),IF(EO89="",TRUE,IF(input_faculty_expertise="",FALSE,SUMPRODUCT(--ISNUMBER(SEARCH(","&amp;TRIM(TEXTSPLIT(EO89,","))&amp;",",","&amp;SUBSTITUTE(input_faculty_expertise," ","")&amp;",")))=COUNTA(TEXTSPLIT(EO89,",")))),IF(EQ89="",TRUE,IF(input_faculty_expertise="",TRUE,SUMPRODUCT(--ISNUMBER(SEARCH(","&amp;TRIM(TEXTSPLIT(EQ89,","))&amp;",",","&amp;SUBSTITUTE(input_faculty_expertise," ","")&amp;",")))=0)),IF(ES89="",TRUE,IF(input_faculty_expertise="",FALSE,SUMPRODUCT(--ISNUMBER(SEARCH(","&amp;TRIM(TEXTSPLIT(ES89,","))&amp;",",","&amp;SUBSTITUTE(input_faculty_expertise," ","")&amp;",")))&gt;0)),IF(EU89="",TRUE,IF(input_faculty_expertise="",FALSE,SUMPRODUCT(--ISNUMBER(SEARCH(","&amp;TRIM(TEXTSPLIT(EU89,","))&amp;",",","&amp;SUBSTITUTE(input_faculty_expertise," ","")&amp;",")))=COUNTA(TEXTSPLIT(EU89,",")))))</f>
        <v/>
      </c>
      <c r="JH89" s="19">
        <f>AND(IF(EW89="",TRUE,IF(input_global_network_school="",FALSE,SUMPRODUCT(--ISNUMBER(SEARCH(","&amp;TRIM(TEXTSPLIT(EW89,","))&amp;",",","&amp;SUBSTITUTE(input_global_network_school," ","")&amp;",")))&gt;0)),IF(EY89="",TRUE,IF(input_global_network_school="",FALSE,SUMPRODUCT(--ISNUMBER(SEARCH(","&amp;TRIM(TEXTSPLIT(EY89,","))&amp;",",","&amp;SUBSTITUTE(input_global_network_school," ","")&amp;",")))=COUNTA(TEXTSPLIT(EY89,",")))),IF(FA89="",TRUE,IF(input_global_network_school="",TRUE,SUMPRODUCT(--ISNUMBER(SEARCH(","&amp;TRIM(TEXTSPLIT(FA89,","))&amp;",",","&amp;SUBSTITUTE(input_global_network_school," ","")&amp;",")))=0)),IF(FC89="",TRUE,IF(input_global_network_school="",FALSE,SUMPRODUCT(--ISNUMBER(SEARCH(","&amp;TRIM(TEXTSPLIT(FC89,","))&amp;",",","&amp;SUBSTITUTE(input_global_network_school," ","")&amp;",")))&gt;0)),IF(FE89="",TRUE,IF(input_global_network_school="",FALSE,SUMPRODUCT(--ISNUMBER(SEARCH(","&amp;TRIM(TEXTSPLIT(FE89,","))&amp;",",","&amp;SUBSTITUTE(input_global_network_school," ","")&amp;",")))=COUNTA(TEXTSPLIT(FE89,",")))))</f>
        <v/>
      </c>
      <c r="JI89" s="19">
        <f>AND(IF(FG89="",TRUE,IF(input_industry="",FALSE,SUMPRODUCT(--ISNUMBER(SEARCH(","&amp;TRIM(TEXTSPLIT(FG89,","))&amp;",",","&amp;SUBSTITUTE(input_industry," ","")&amp;",")))&gt;0)),IF(FI89="",TRUE,IF(input_industry="",FALSE,SUMPRODUCT(--ISNUMBER(SEARCH(","&amp;TRIM(TEXTSPLIT(FI89,","))&amp;",",","&amp;SUBSTITUTE(input_industry," ","")&amp;",")))=COUNTA(TEXTSPLIT(FI89,",")))),IF(FK89="",TRUE,IF(input_industry="",TRUE,SUMPRODUCT(--ISNUMBER(SEARCH(","&amp;TRIM(TEXTSPLIT(FK89,","))&amp;",",","&amp;SUBSTITUTE(input_industry," ","")&amp;",")))=0)),IF(FM89="",TRUE,IF(input_industry="",FALSE,SUMPRODUCT(--ISNUMBER(SEARCH(","&amp;TRIM(TEXTSPLIT(FM89,","))&amp;",",","&amp;SUBSTITUTE(input_industry," ","")&amp;",")))&gt;0)),IF(FO89="",TRUE,IF(input_industry="",FALSE,SUMPRODUCT(--ISNUMBER(SEARCH(","&amp;TRIM(TEXTSPLIT(FO89,","))&amp;",",","&amp;SUBSTITUTE(input_industry," ","")&amp;",")))=COUNTA(TEXTSPLIT(FO89,",")))))</f>
        <v/>
      </c>
      <c r="JJ89" s="19">
        <f>AND(IF(FQ89="",TRUE,IF(input_location="",FALSE,SUMPRODUCT(--ISNUMBER(SEARCH(","&amp;TRIM(TEXTSPLIT(FQ89,","))&amp;",",","&amp;SUBSTITUTE(input_location," ","")&amp;",")))&gt;0)),IF(FS89="",TRUE,IF(input_location="",FALSE,SUMPRODUCT(--ISNUMBER(SEARCH(","&amp;TRIM(TEXTSPLIT(FS89,","))&amp;",",","&amp;SUBSTITUTE(input_location," ","")&amp;",")))=COUNTA(TEXTSPLIT(FS89,",")))),IF(FU89="",TRUE,IF(input_location="",TRUE,SUMPRODUCT(--ISNUMBER(SEARCH(","&amp;TRIM(TEXTSPLIT(FU89,","))&amp;",",","&amp;SUBSTITUTE(input_location," ","")&amp;",")))=0)),IF(FW89="",TRUE,IF(input_location="",FALSE,SUMPRODUCT(--ISNUMBER(SEARCH(","&amp;TRIM(TEXTSPLIT(FW89,","))&amp;",",","&amp;SUBSTITUTE(input_location," ","")&amp;",")))&gt;0)),IF(FY89="",TRUE,IF(input_location="",FALSE,SUMPRODUCT(--ISNUMBER(SEARCH(","&amp;TRIM(TEXTSPLIT(FY89,","))&amp;",",","&amp;SUBSTITUTE(input_location," ","")&amp;",")))=COUNTA(TEXTSPLIT(FY89,",")))))</f>
        <v/>
      </c>
      <c r="JK89" s="19">
        <f>AND(IF(GA89="",TRUE,IF(input_modality="",FALSE,SUMPRODUCT(--ISNUMBER(SEARCH(","&amp;TRIM(TEXTSPLIT(GA89,","))&amp;",",","&amp;SUBSTITUTE(input_modality," ","")&amp;",")))&gt;0)),IF(GC89="",TRUE,IF(input_modality="",FALSE,SUMPRODUCT(--ISNUMBER(SEARCH(","&amp;TRIM(TEXTSPLIT(GC89,","))&amp;",",","&amp;SUBSTITUTE(input_modality," ","")&amp;",")))=COUNTA(TEXTSPLIT(GC89,",")))),IF(GE89="",TRUE,IF(input_modality="",TRUE,SUMPRODUCT(--ISNUMBER(SEARCH(","&amp;TRIM(TEXTSPLIT(GE89,","))&amp;",",","&amp;SUBSTITUTE(input_modality," ","")&amp;",")))=0)),IF(GG89="",TRUE,IF(input_modality="",FALSE,SUMPRODUCT(--ISNUMBER(SEARCH(","&amp;TRIM(TEXTSPLIT(GG89,","))&amp;",",","&amp;SUBSTITUTE(input_modality," ","")&amp;",")))&gt;0)),IF(GI89="",TRUE,IF(input_modality="",FALSE,SUMPRODUCT(--ISNUMBER(SEARCH(","&amp;TRIM(TEXTSPLIT(GI89,","))&amp;",",","&amp;SUBSTITUTE(input_modality," ","")&amp;",")))=COUNTA(TEXTSPLIT(GI89,",")))))</f>
        <v/>
      </c>
      <c r="JL89" s="19">
        <f>AND(IF(GK89="",TRUE,IF(input_organizer="",FALSE,SUMPRODUCT(--ISNUMBER(SEARCH(","&amp;TRIM(TEXTSPLIT(GK89,","))&amp;",",","&amp;SUBSTITUTE(input_organizer," ","")&amp;",")))&gt;0)),IF(GM89="",TRUE,IF(input_organizer="",FALSE,SUMPRODUCT(--ISNUMBER(SEARCH(","&amp;TRIM(TEXTSPLIT(GM89,","))&amp;",",","&amp;SUBSTITUTE(input_organizer," ","")&amp;",")))=COUNTA(TEXTSPLIT(GM89,",")))),IF(GO89="",TRUE,IF(input_organizer="",TRUE,SUMPRODUCT(--ISNUMBER(SEARCH(","&amp;TRIM(TEXTSPLIT(GO89,","))&amp;",",","&amp;SUBSTITUTE(input_organizer," ","")&amp;",")))=0)),IF(GQ89="",TRUE,IF(input_organizer="",FALSE,SUMPRODUCT(--ISNUMBER(SEARCH(","&amp;TRIM(TEXTSPLIT(GQ89,","))&amp;",",","&amp;SUBSTITUTE(input_organizer," ","")&amp;",")))&gt;0)),IF(GS89="",TRUE,IF(input_organizer="",FALSE,SUMPRODUCT(--ISNUMBER(SEARCH(","&amp;TRIM(TEXTSPLIT(GS89,","))&amp;",",","&amp;SUBSTITUTE(input_organizer," ","")&amp;",")))=COUNTA(TEXTSPLIT(GS89,",")))))</f>
        <v/>
      </c>
      <c r="JM89" s="19">
        <f>AND(IF(GU89="",TRUE,IF(input_profile_type="",FALSE,SUMPRODUCT(--ISNUMBER(SEARCH(","&amp;TRIM(TEXTSPLIT(GU89,","))&amp;",",","&amp;SUBSTITUTE(input_profile_type," ","")&amp;",")))&gt;0)),IF(GW89="",TRUE,IF(input_profile_type="",FALSE,SUMPRODUCT(--ISNUMBER(SEARCH(","&amp;TRIM(TEXTSPLIT(GW89,","))&amp;",",","&amp;SUBSTITUTE(input_profile_type," ","")&amp;",")))=COUNTA(TEXTSPLIT(GW89,",")))),IF(GY89="",TRUE,IF(input_profile_type="",TRUE,SUMPRODUCT(--ISNUMBER(SEARCH(","&amp;TRIM(TEXTSPLIT(GY89,","))&amp;",",","&amp;SUBSTITUTE(input_profile_type," ","")&amp;",")))=0)),IF(HA89="",TRUE,IF(input_profile_type="",FALSE,SUMPRODUCT(--ISNUMBER(SEARCH(","&amp;TRIM(TEXTSPLIT(HA89,","))&amp;",",","&amp;SUBSTITUTE(input_profile_type," ","")&amp;",")))&gt;0)),IF(HC89="",TRUE,IF(input_profile_type="",FALSE,SUMPRODUCT(--ISNUMBER(SEARCH(","&amp;TRIM(TEXTSPLIT(HC89,","))&amp;",",","&amp;SUBSTITUTE(input_profile_type," ","")&amp;",")))=COUNTA(TEXTSPLIT(HC89,",")))))</f>
        <v/>
      </c>
      <c r="JN89" s="19">
        <f>AND(IF(HE89="",TRUE,IF(input_program="",FALSE,SUMPRODUCT(--ISNUMBER(SEARCH(","&amp;TRIM(TEXTSPLIT(HE89,","))&amp;",",","&amp;SUBSTITUTE(input_program," ","")&amp;",")))&gt;0)),IF(HG89="",TRUE,IF(input_program="",FALSE,SUMPRODUCT(--ISNUMBER(SEARCH(","&amp;TRIM(TEXTSPLIT(HG89,","))&amp;",",","&amp;SUBSTITUTE(input_program," ","")&amp;",")))=COUNTA(TEXTSPLIT(HG89,",")))),IF(HI89="",TRUE,IF(input_program="",TRUE,SUMPRODUCT(--ISNUMBER(SEARCH(","&amp;TRIM(TEXTSPLIT(HI89,","))&amp;",",","&amp;SUBSTITUTE(input_program," ","")&amp;",")))=0)),IF(HK89="",TRUE,IF(input_program="",FALSE,SUMPRODUCT(--ISNUMBER(SEARCH(","&amp;TRIM(TEXTSPLIT(HK89,","))&amp;",",","&amp;SUBSTITUTE(input_program," ","")&amp;",")))&gt;0)),IF(HM89="",TRUE,IF(input_program="",FALSE,SUMPRODUCT(--ISNUMBER(SEARCH(","&amp;TRIM(TEXTSPLIT(HM89,","))&amp;",",","&amp;SUBSTITUTE(input_program," ","")&amp;",")))=COUNTA(TEXTSPLIT(HM89,",")))))</f>
        <v/>
      </c>
      <c r="JO89" s="19">
        <f>AND(IF(HO89="",TRUE,IF(input_story_categories="",FALSE,SUMPRODUCT(--ISNUMBER(SEARCH(","&amp;TRIM(TEXTSPLIT(HO89,","))&amp;",",","&amp;SUBSTITUTE(input_story_categories," ","")&amp;",")))&gt;0)),IF(HQ89="",TRUE,IF(input_story_categories="",FALSE,SUMPRODUCT(--ISNUMBER(SEARCH(","&amp;TRIM(TEXTSPLIT(HQ89,","))&amp;",",","&amp;SUBSTITUTE(input_story_categories," ","")&amp;",")))=COUNTA(TEXTSPLIT(HQ89,",")))),IF(HS89="",TRUE,IF(input_story_categories="",TRUE,SUMPRODUCT(--ISNUMBER(SEARCH(","&amp;TRIM(TEXTSPLIT(HS89,","))&amp;",",","&amp;SUBSTITUTE(input_story_categories," ","")&amp;",")))=0)),IF(HU89="",TRUE,IF(input_story_categories="",FALSE,SUMPRODUCT(--ISNUMBER(SEARCH(","&amp;TRIM(TEXTSPLIT(HU89,","))&amp;",",","&amp;SUBSTITUTE(input_story_categories," ","")&amp;",")))&gt;0)),IF(HW89="",TRUE,IF(input_story_categories="",FALSE,SUMPRODUCT(--ISNUMBER(SEARCH(","&amp;TRIM(TEXTSPLIT(HW89,","))&amp;",",","&amp;SUBSTITUTE(input_story_categories," ","")&amp;",")))=COUNTA(TEXTSPLIT(HW89,",")))))</f>
        <v/>
      </c>
      <c r="JP89" s="19">
        <f>AND(IF(HY89="",TRUE,IF(input_story_type="",FALSE,SUMPRODUCT(--ISNUMBER(SEARCH(","&amp;TRIM(TEXTSPLIT(HY89,","))&amp;",",","&amp;SUBSTITUTE(input_story_type," ","")&amp;",")))&gt;0)),IF(IA89="",TRUE,IF(input_story_type="",FALSE,SUMPRODUCT(--ISNUMBER(SEARCH(","&amp;TRIM(TEXTSPLIT(IA89,","))&amp;",",","&amp;SUBSTITUTE(input_story_type," ","")&amp;",")))=COUNTA(TEXTSPLIT(IA89,",")))),IF(IC89="",TRUE,IF(input_story_type="",TRUE,SUMPRODUCT(--ISNUMBER(SEARCH(","&amp;TRIM(TEXTSPLIT(IC89,","))&amp;",",","&amp;SUBSTITUTE(input_story_type," ","")&amp;",")))=0)),IF(IE89="",TRUE,IF(input_story_type="",FALSE,SUMPRODUCT(--ISNUMBER(SEARCH(","&amp;TRIM(TEXTSPLIT(IE89,","))&amp;",",","&amp;SUBSTITUTE(input_story_type," ","")&amp;",")))&gt;0)),IF(IG89="",TRUE,IF(input_story_type="",FALSE,SUMPRODUCT(--ISNUMBER(SEARCH(","&amp;TRIM(TEXTSPLIT(IG89,","))&amp;",",","&amp;SUBSTITUTE(input_story_type," ","")&amp;",")))=COUNTA(TEXTSPLIT(IG89,",")))))</f>
        <v/>
      </c>
      <c r="JQ89" s="19">
        <f>AND(IF(II89="",TRUE,IF(input_topics="",FALSE,SUMPRODUCT(--ISNUMBER(SEARCH(","&amp;TRIM(TEXTSPLIT(II89,","))&amp;",",","&amp;SUBSTITUTE(input_topics," ","")&amp;",")))&gt;0)),IF(IK89="",TRUE,IF(input_topics="",FALSE,SUMPRODUCT(--ISNUMBER(SEARCH(","&amp;TRIM(TEXTSPLIT(IK89,","))&amp;",",","&amp;SUBSTITUTE(input_topics," ","")&amp;",")))=COUNTA(TEXTSPLIT(IK89,",")))),IF(IM89="",TRUE,IF(input_topics="",TRUE,SUMPRODUCT(--ISNUMBER(SEARCH(","&amp;TRIM(TEXTSPLIT(IM89,","))&amp;",",","&amp;SUBSTITUTE(input_topics," ","")&amp;",")))=0)),IF(IO89="",TRUE,IF(input_topics="",FALSE,SUMPRODUCT(--ISNUMBER(SEARCH(","&amp;TRIM(TEXTSPLIT(IO89,","))&amp;",",","&amp;SUBSTITUTE(input_topics," ","")&amp;",")))&gt;0)),IF(IQ89="",TRUE,IF(input_topics="",FALSE,SUMPRODUCT(--ISNUMBER(SEARCH(","&amp;TRIM(TEXTSPLIT(IQ89,","))&amp;",",","&amp;SUBSTITUTE(input_topics," ","")&amp;",")))=COUNTA(TEXTSPLIT(IQ89,",")))))</f>
        <v/>
      </c>
    </row>
    <row r="90">
      <c r="A90" s="24">
        <f>IF(NOT(IS90),"Excluded",IF(AND(IT90,IU90,IV90,IW90,IX90,IY90,IZ90,JA90,JB90,JC90,JD90,JE90,JF90,JG90,JH90,JI90,JJ90,JK90,JL90,JM90,JN90,JO90,JP90,JQ90),IF(I90&gt;0,"Eligible but limited","Will appear"),"Excluded"))</f>
        <v/>
      </c>
      <c r="B90" s="24" t="inlineStr">
        <is>
          <t>Conferences &amp; Events</t>
        </is>
      </c>
      <c r="C90" s="27" t="inlineStr">
        <is>
          <t>/the-som-experience/life-at-yale-som/conferences-events</t>
        </is>
      </c>
      <c r="D90" s="24" t="inlineStr">
        <is>
          <t>/the-som-experience/life-at-yale-som/conferences-events</t>
        </is>
      </c>
      <c r="E90" s="24" t="n">
        <v>1</v>
      </c>
      <c r="F90" s="24" t="inlineStr">
        <is>
          <t>event</t>
        </is>
      </c>
      <c r="G90" s="24" t="inlineStr">
        <is>
          <t>event_list</t>
        </is>
      </c>
      <c r="H90" s="24" t="inlineStr">
        <is>
          <t>embed_no_filters</t>
        </is>
      </c>
      <c r="I90" s="24" t="n">
        <v>8</v>
      </c>
      <c r="J90" s="28" t="inlineStr">
        <is>
          <t>Explicit args</t>
        </is>
      </c>
      <c r="K90" s="24" t="inlineStr">
        <is>
          <t>Page placement</t>
        </is>
      </c>
      <c r="L90" s="24" t="inlineStr">
        <is>
          <t>Content type: event; Context uses Event Type: Conferences (330); Limited to 8 item(s); Source: Explicit args</t>
        </is>
      </c>
      <c r="DE90" s="19" t="inlineStr">
        <is>
          <t>330</t>
        </is>
      </c>
      <c r="DF90" s="19" t="inlineStr">
        <is>
          <t>Conferences (330)</t>
        </is>
      </c>
      <c r="IS90" s="19">
        <f>IF(input_content_type="",FALSE,ISNUMBER(SEARCH(","&amp;LOWER(input_content_type)&amp;",",","&amp;LOWER(SUBSTITUTE(F90," ",""))&amp;",")))</f>
        <v/>
      </c>
      <c r="IT90" s="19">
        <f>AND(IF(M90="",TRUE,IF(input_affiliations="",FALSE,SUMPRODUCT(--ISNUMBER(SEARCH(","&amp;TRIM(TEXTSPLIT(M90,","))&amp;",",","&amp;SUBSTITUTE(input_affiliations," ","")&amp;",")))&gt;0)),IF(O90="",TRUE,IF(input_affiliations="",FALSE,SUMPRODUCT(--ISNUMBER(SEARCH(","&amp;TRIM(TEXTSPLIT(O90,","))&amp;",",","&amp;SUBSTITUTE(input_affiliations," ","")&amp;",")))=COUNTA(TEXTSPLIT(O90,",")))),IF(Q90="",TRUE,IF(input_affiliations="",TRUE,SUMPRODUCT(--ISNUMBER(SEARCH(","&amp;TRIM(TEXTSPLIT(Q90,","))&amp;",",","&amp;SUBSTITUTE(input_affiliations," ","")&amp;",")))=0)),IF(S90="",TRUE,IF(input_affiliations="",FALSE,SUMPRODUCT(--ISNUMBER(SEARCH(","&amp;TRIM(TEXTSPLIT(S90,","))&amp;",",","&amp;SUBSTITUTE(input_affiliations," ","")&amp;",")))&gt;0)),IF(U90="",TRUE,IF(input_affiliations="",FALSE,SUMPRODUCT(--ISNUMBER(SEARCH(","&amp;TRIM(TEXTSPLIT(U90,","))&amp;",",","&amp;SUBSTITUTE(input_affiliations," ","")&amp;",")))=COUNTA(TEXTSPLIT(U90,",")))))</f>
        <v/>
      </c>
      <c r="IU90" s="19">
        <f>AND(IF(W90="",TRUE,IF(input_announcement_category="",FALSE,SUMPRODUCT(--ISNUMBER(SEARCH(","&amp;TRIM(TEXTSPLIT(W90,","))&amp;",",","&amp;SUBSTITUTE(input_announcement_category," ","")&amp;",")))&gt;0)),IF(Y90="",TRUE,IF(input_announcement_category="",FALSE,SUMPRODUCT(--ISNUMBER(SEARCH(","&amp;TRIM(TEXTSPLIT(Y90,","))&amp;",",","&amp;SUBSTITUTE(input_announcement_category," ","")&amp;",")))=COUNTA(TEXTSPLIT(Y90,",")))),IF(AA90="",TRUE,IF(input_announcement_category="",TRUE,SUMPRODUCT(--ISNUMBER(SEARCH(","&amp;TRIM(TEXTSPLIT(AA90,","))&amp;",",","&amp;SUBSTITUTE(input_announcement_category," ","")&amp;",")))=0)),IF(AC90="",TRUE,IF(input_announcement_category="",FALSE,SUMPRODUCT(--ISNUMBER(SEARCH(","&amp;TRIM(TEXTSPLIT(AC90,","))&amp;",",","&amp;SUBSTITUTE(input_announcement_category," ","")&amp;",")))&gt;0)),IF(AE90="",TRUE,IF(input_announcement_category="",FALSE,SUMPRODUCT(--ISNUMBER(SEARCH(","&amp;TRIM(TEXTSPLIT(AE90,","))&amp;",",","&amp;SUBSTITUTE(input_announcement_category," ","")&amp;",")))=COUNTA(TEXTSPLIT(AE90,",")))))</f>
        <v/>
      </c>
      <c r="IV90" s="19">
        <f>AND(IF(AG90="",TRUE,IF(input_area_of_focus="",FALSE,SUMPRODUCT(--ISNUMBER(SEARCH(","&amp;TRIM(TEXTSPLIT(AG90,","))&amp;",",","&amp;SUBSTITUTE(input_area_of_focus," ","")&amp;",")))&gt;0)),IF(AI90="",TRUE,IF(input_area_of_focus="",FALSE,SUMPRODUCT(--ISNUMBER(SEARCH(","&amp;TRIM(TEXTSPLIT(AI90,","))&amp;",",","&amp;SUBSTITUTE(input_area_of_focus," ","")&amp;",")))=COUNTA(TEXTSPLIT(AI90,",")))),IF(AK90="",TRUE,IF(input_area_of_focus="",TRUE,SUMPRODUCT(--ISNUMBER(SEARCH(","&amp;TRIM(TEXTSPLIT(AK90,","))&amp;",",","&amp;SUBSTITUTE(input_area_of_focus," ","")&amp;",")))=0)),IF(AM90="",TRUE,IF(input_area_of_focus="",FALSE,SUMPRODUCT(--ISNUMBER(SEARCH(","&amp;TRIM(TEXTSPLIT(AM90,","))&amp;",",","&amp;SUBSTITUTE(input_area_of_focus," ","")&amp;",")))&gt;0)),IF(AO90="",TRUE,IF(input_area_of_focus="",FALSE,SUMPRODUCT(--ISNUMBER(SEARCH(","&amp;TRIM(TEXTSPLIT(AO90,","))&amp;",",","&amp;SUBSTITUTE(input_area_of_focus," ","")&amp;",")))=COUNTA(TEXTSPLIT(AO90,",")))))</f>
        <v/>
      </c>
      <c r="IW90" s="19">
        <f>AND(IF(AQ90="",TRUE,IF(input_audience="",FALSE,SUMPRODUCT(--ISNUMBER(SEARCH(","&amp;TRIM(TEXTSPLIT(AQ90,","))&amp;",",","&amp;SUBSTITUTE(input_audience," ","")&amp;",")))&gt;0)),IF(AS90="",TRUE,IF(input_audience="",FALSE,SUMPRODUCT(--ISNUMBER(SEARCH(","&amp;TRIM(TEXTSPLIT(AS90,","))&amp;",",","&amp;SUBSTITUTE(input_audience," ","")&amp;",")))=COUNTA(TEXTSPLIT(AS90,",")))),IF(AU90="",TRUE,IF(input_audience="",TRUE,SUMPRODUCT(--ISNUMBER(SEARCH(","&amp;TRIM(TEXTSPLIT(AU90,","))&amp;",",","&amp;SUBSTITUTE(input_audience," ","")&amp;",")))=0)),IF(AW90="",TRUE,IF(input_audience="",FALSE,SUMPRODUCT(--ISNUMBER(SEARCH(","&amp;TRIM(TEXTSPLIT(AW90,","))&amp;",",","&amp;SUBSTITUTE(input_audience," ","")&amp;",")))&gt;0)),IF(AY90="",TRUE,IF(input_audience="",FALSE,SUMPRODUCT(--ISNUMBER(SEARCH(","&amp;TRIM(TEXTSPLIT(AY90,","))&amp;",",","&amp;SUBSTITUTE(input_audience," ","")&amp;",")))=COUNTA(TEXTSPLIT(AY90,",")))))</f>
        <v/>
      </c>
      <c r="IX90" s="19">
        <f>AND(IF(BA90="",TRUE,IF(input_challenge_opportunities="",FALSE,SUMPRODUCT(--ISNUMBER(SEARCH(","&amp;TRIM(TEXTSPLIT(BA90,","))&amp;",",","&amp;SUBSTITUTE(input_challenge_opportunities," ","")&amp;",")))&gt;0)),IF(BC90="",TRUE,IF(input_challenge_opportunities="",FALSE,SUMPRODUCT(--ISNUMBER(SEARCH(","&amp;TRIM(TEXTSPLIT(BC90,","))&amp;",",","&amp;SUBSTITUTE(input_challenge_opportunities," ","")&amp;",")))=COUNTA(TEXTSPLIT(BC90,",")))),IF(BE90="",TRUE,IF(input_challenge_opportunities="",TRUE,SUMPRODUCT(--ISNUMBER(SEARCH(","&amp;TRIM(TEXTSPLIT(BE90,","))&amp;",",","&amp;SUBSTITUTE(input_challenge_opportunities," ","")&amp;",")))=0)),IF(BG90="",TRUE,IF(input_challenge_opportunities="",FALSE,SUMPRODUCT(--ISNUMBER(SEARCH(","&amp;TRIM(TEXTSPLIT(BG90,","))&amp;",",","&amp;SUBSTITUTE(input_challenge_opportunities," ","")&amp;",")))&gt;0)),IF(BI90="",TRUE,IF(input_challenge_opportunities="",FALSE,SUMPRODUCT(--ISNUMBER(SEARCH(","&amp;TRIM(TEXTSPLIT(BI90,","))&amp;",",","&amp;SUBSTITUTE(input_challenge_opportunities," ","")&amp;",")))=COUNTA(TEXTSPLIT(BI90,",")))))</f>
        <v/>
      </c>
      <c r="IY90" s="19">
        <f>AND(IF(BK90="",TRUE,IF(input_context="",FALSE,SUMPRODUCT(--ISNUMBER(SEARCH(","&amp;TRIM(TEXTSPLIT(BK90,","))&amp;",",","&amp;SUBSTITUTE(input_context," ","")&amp;",")))&gt;0)),IF(BM90="",TRUE,IF(input_context="",FALSE,SUMPRODUCT(--ISNUMBER(SEARCH(","&amp;TRIM(TEXTSPLIT(BM90,","))&amp;",",","&amp;SUBSTITUTE(input_context," ","")&amp;",")))=COUNTA(TEXTSPLIT(BM90,",")))),IF(BO90="",TRUE,IF(input_context="",TRUE,SUMPRODUCT(--ISNUMBER(SEARCH(","&amp;TRIM(TEXTSPLIT(BO90,","))&amp;",",","&amp;SUBSTITUTE(input_context," ","")&amp;",")))=0)),IF(BQ90="",TRUE,IF(input_context="",FALSE,SUMPRODUCT(--ISNUMBER(SEARCH(","&amp;TRIM(TEXTSPLIT(BQ90,","))&amp;",",","&amp;SUBSTITUTE(input_context," ","")&amp;",")))&gt;0)),IF(BS90="",TRUE,IF(input_context="",FALSE,SUMPRODUCT(--ISNUMBER(SEARCH(","&amp;TRIM(TEXTSPLIT(BS90,","))&amp;",",","&amp;SUBSTITUTE(input_context," ","")&amp;",")))=COUNTA(TEXTSPLIT(BS90,",")))))</f>
        <v/>
      </c>
      <c r="IZ90" s="19">
        <f>AND(IF(BU90="",TRUE,IF(input_enews_announcement_type="",FALSE,SUMPRODUCT(--ISNUMBER(SEARCH(","&amp;TRIM(TEXTSPLIT(BU90,","))&amp;",",","&amp;SUBSTITUTE(input_enews_announcement_type," ","")&amp;",")))&gt;0)),IF(BW90="",TRUE,IF(input_enews_announcement_type="",FALSE,SUMPRODUCT(--ISNUMBER(SEARCH(","&amp;TRIM(TEXTSPLIT(BW90,","))&amp;",",","&amp;SUBSTITUTE(input_enews_announcement_type," ","")&amp;",")))=COUNTA(TEXTSPLIT(BW90,",")))),IF(BY90="",TRUE,IF(input_enews_announcement_type="",TRUE,SUMPRODUCT(--ISNUMBER(SEARCH(","&amp;TRIM(TEXTSPLIT(BY90,","))&amp;",",","&amp;SUBSTITUTE(input_enews_announcement_type," ","")&amp;",")))=0)),IF(CA90="",TRUE,IF(input_enews_announcement_type="",FALSE,SUMPRODUCT(--ISNUMBER(SEARCH(","&amp;TRIM(TEXTSPLIT(CA90,","))&amp;",",","&amp;SUBSTITUTE(input_enews_announcement_type," ","")&amp;",")))&gt;0)),IF(CC90="",TRUE,IF(input_enews_announcement_type="",FALSE,SUMPRODUCT(--ISNUMBER(SEARCH(","&amp;TRIM(TEXTSPLIT(CC90,","))&amp;",",","&amp;SUBSTITUTE(input_enews_announcement_type," ","")&amp;",")))=COUNTA(TEXTSPLIT(CC90,",")))))</f>
        <v/>
      </c>
      <c r="JA90" s="19">
        <f>AND(IF(CE90="",TRUE,IF(input_enews_audience="",FALSE,SUMPRODUCT(--ISNUMBER(SEARCH(","&amp;TRIM(TEXTSPLIT(CE90,","))&amp;",",","&amp;SUBSTITUTE(input_enews_audience," ","")&amp;",")))&gt;0)),IF(CG90="",TRUE,IF(input_enews_audience="",FALSE,SUMPRODUCT(--ISNUMBER(SEARCH(","&amp;TRIM(TEXTSPLIT(CG90,","))&amp;",",","&amp;SUBSTITUTE(input_enews_audience," ","")&amp;",")))=COUNTA(TEXTSPLIT(CG90,",")))),IF(CI90="",TRUE,IF(input_enews_audience="",TRUE,SUMPRODUCT(--ISNUMBER(SEARCH(","&amp;TRIM(TEXTSPLIT(CI90,","))&amp;",",","&amp;SUBSTITUTE(input_enews_audience," ","")&amp;",")))=0)),IF(CK90="",TRUE,IF(input_enews_audience="",FALSE,SUMPRODUCT(--ISNUMBER(SEARCH(","&amp;TRIM(TEXTSPLIT(CK90,","))&amp;",",","&amp;SUBSTITUTE(input_enews_audience," ","")&amp;",")))&gt;0)),IF(CM90="",TRUE,IF(input_enews_audience="",FALSE,SUMPRODUCT(--ISNUMBER(SEARCH(","&amp;TRIM(TEXTSPLIT(CM90,","))&amp;",",","&amp;SUBSTITUTE(input_enews_audience," ","")&amp;",")))=COUNTA(TEXTSPLIT(CM90,",")))))</f>
        <v/>
      </c>
      <c r="JB90" s="19">
        <f>AND(IF(CO90="",TRUE,IF(input_event_location="",FALSE,SUMPRODUCT(--ISNUMBER(SEARCH(","&amp;TRIM(TEXTSPLIT(CO90,","))&amp;",",","&amp;SUBSTITUTE(input_event_location," ","")&amp;",")))&gt;0)),IF(CQ90="",TRUE,IF(input_event_location="",FALSE,SUMPRODUCT(--ISNUMBER(SEARCH(","&amp;TRIM(TEXTSPLIT(CQ90,","))&amp;",",","&amp;SUBSTITUTE(input_event_location," ","")&amp;",")))=COUNTA(TEXTSPLIT(CQ90,",")))),IF(CS90="",TRUE,IF(input_event_location="",TRUE,SUMPRODUCT(--ISNUMBER(SEARCH(","&amp;TRIM(TEXTSPLIT(CS90,","))&amp;",",","&amp;SUBSTITUTE(input_event_location," ","")&amp;",")))=0)),IF(CU90="",TRUE,IF(input_event_location="",FALSE,SUMPRODUCT(--ISNUMBER(SEARCH(","&amp;TRIM(TEXTSPLIT(CU90,","))&amp;",",","&amp;SUBSTITUTE(input_event_location," ","")&amp;",")))&gt;0)),IF(CW90="",TRUE,IF(input_event_location="",FALSE,SUMPRODUCT(--ISNUMBER(SEARCH(","&amp;TRIM(TEXTSPLIT(CW90,","))&amp;",",","&amp;SUBSTITUTE(input_event_location," ","")&amp;",")))=COUNTA(TEXTSPLIT(CW90,",")))))</f>
        <v/>
      </c>
      <c r="JC90" s="19">
        <f>AND(IF(CY90="",TRUE,IF(input_event_type="",FALSE,SUMPRODUCT(--ISNUMBER(SEARCH(","&amp;TRIM(TEXTSPLIT(CY90,","))&amp;",",","&amp;SUBSTITUTE(input_event_type," ","")&amp;",")))&gt;0)),IF(DA90="",TRUE,IF(input_event_type="",FALSE,SUMPRODUCT(--ISNUMBER(SEARCH(","&amp;TRIM(TEXTSPLIT(DA90,","))&amp;",",","&amp;SUBSTITUTE(input_event_type," ","")&amp;",")))=COUNTA(TEXTSPLIT(DA90,",")))),IF(DC90="",TRUE,IF(input_event_type="",TRUE,SUMPRODUCT(--ISNUMBER(SEARCH(","&amp;TRIM(TEXTSPLIT(DC90,","))&amp;",",","&amp;SUBSTITUTE(input_event_type," ","")&amp;",")))=0)),IF(DE90="",TRUE,IF(input_event_type="",FALSE,SUMPRODUCT(--ISNUMBER(SEARCH(","&amp;TRIM(TEXTSPLIT(DE90,","))&amp;",",","&amp;SUBSTITUTE(input_event_type," ","")&amp;",")))&gt;0)),IF(DG90="",TRUE,IF(input_event_type="",FALSE,SUMPRODUCT(--ISNUMBER(SEARCH(","&amp;TRIM(TEXTSPLIT(DG90,","))&amp;",",","&amp;SUBSTITUTE(input_event_type," ","")&amp;",")))=COUNTA(TEXTSPLIT(DG90,",")))))</f>
        <v/>
      </c>
      <c r="JD90" s="19">
        <f>AND(IF(DI90="",TRUE,IF(input_executive_education_focus="",FALSE,SUMPRODUCT(--ISNUMBER(SEARCH(","&amp;TRIM(TEXTSPLIT(DI90,","))&amp;",",","&amp;SUBSTITUTE(input_executive_education_focus," ","")&amp;",")))&gt;0)),IF(DK90="",TRUE,IF(input_executive_education_focus="",FALSE,SUMPRODUCT(--ISNUMBER(SEARCH(","&amp;TRIM(TEXTSPLIT(DK90,","))&amp;",",","&amp;SUBSTITUTE(input_executive_education_focus," ","")&amp;",")))=COUNTA(TEXTSPLIT(DK90,",")))),IF(DM90="",TRUE,IF(input_executive_education_focus="",TRUE,SUMPRODUCT(--ISNUMBER(SEARCH(","&amp;TRIM(TEXTSPLIT(DM90,","))&amp;",",","&amp;SUBSTITUTE(input_executive_education_focus," ","")&amp;",")))=0)),IF(DO90="",TRUE,IF(input_executive_education_focus="",FALSE,SUMPRODUCT(--ISNUMBER(SEARCH(","&amp;TRIM(TEXTSPLIT(DO90,","))&amp;",",","&amp;SUBSTITUTE(input_executive_education_focus," ","")&amp;",")))&gt;0)),IF(DQ90="",TRUE,IF(input_executive_education_focus="",FALSE,SUMPRODUCT(--ISNUMBER(SEARCH(","&amp;TRIM(TEXTSPLIT(DQ90,","))&amp;",",","&amp;SUBSTITUTE(input_executive_education_focus," ","")&amp;",")))=COUNTA(TEXTSPLIT(DQ90,",")))))</f>
        <v/>
      </c>
      <c r="JE90" s="19">
        <f>AND(IF(DS90="",TRUE,IF(input_faculty_category="",FALSE,SUMPRODUCT(--ISNUMBER(SEARCH(","&amp;TRIM(TEXTSPLIT(DS90,","))&amp;",",","&amp;SUBSTITUTE(input_faculty_category," ","")&amp;",")))&gt;0)),IF(DU90="",TRUE,IF(input_faculty_category="",FALSE,SUMPRODUCT(--ISNUMBER(SEARCH(","&amp;TRIM(TEXTSPLIT(DU90,","))&amp;",",","&amp;SUBSTITUTE(input_faculty_category," ","")&amp;",")))=COUNTA(TEXTSPLIT(DU90,",")))),IF(DW90="",TRUE,IF(input_faculty_category="",TRUE,SUMPRODUCT(--ISNUMBER(SEARCH(","&amp;TRIM(TEXTSPLIT(DW90,","))&amp;",",","&amp;SUBSTITUTE(input_faculty_category," ","")&amp;",")))=0)),IF(DY90="",TRUE,IF(input_faculty_category="",FALSE,SUMPRODUCT(--ISNUMBER(SEARCH(","&amp;TRIM(TEXTSPLIT(DY90,","))&amp;",",","&amp;SUBSTITUTE(input_faculty_category," ","")&amp;",")))&gt;0)),IF(EA90="",TRUE,IF(input_faculty_category="",FALSE,SUMPRODUCT(--ISNUMBER(SEARCH(","&amp;TRIM(TEXTSPLIT(EA90,","))&amp;",",","&amp;SUBSTITUTE(input_faculty_category," ","")&amp;",")))=COUNTA(TEXTSPLIT(EA90,",")))))</f>
        <v/>
      </c>
      <c r="JF90" s="19">
        <f>AND(IF(EC90="",TRUE,IF(input_faculty_discipline="",FALSE,SUMPRODUCT(--ISNUMBER(SEARCH(","&amp;TRIM(TEXTSPLIT(EC90,","))&amp;",",","&amp;SUBSTITUTE(input_faculty_discipline," ","")&amp;",")))&gt;0)),IF(EE90="",TRUE,IF(input_faculty_discipline="",FALSE,SUMPRODUCT(--ISNUMBER(SEARCH(","&amp;TRIM(TEXTSPLIT(EE90,","))&amp;",",","&amp;SUBSTITUTE(input_faculty_discipline," ","")&amp;",")))=COUNTA(TEXTSPLIT(EE90,",")))),IF(EG90="",TRUE,IF(input_faculty_discipline="",TRUE,SUMPRODUCT(--ISNUMBER(SEARCH(","&amp;TRIM(TEXTSPLIT(EG90,","))&amp;",",","&amp;SUBSTITUTE(input_faculty_discipline," ","")&amp;",")))=0)),IF(EI90="",TRUE,IF(input_faculty_discipline="",FALSE,SUMPRODUCT(--ISNUMBER(SEARCH(","&amp;TRIM(TEXTSPLIT(EI90,","))&amp;",",","&amp;SUBSTITUTE(input_faculty_discipline," ","")&amp;",")))&gt;0)),IF(EK90="",TRUE,IF(input_faculty_discipline="",FALSE,SUMPRODUCT(--ISNUMBER(SEARCH(","&amp;TRIM(TEXTSPLIT(EK90,","))&amp;",",","&amp;SUBSTITUTE(input_faculty_discipline," ","")&amp;",")))=COUNTA(TEXTSPLIT(EK90,",")))))</f>
        <v/>
      </c>
      <c r="JG90" s="19">
        <f>AND(IF(EM90="",TRUE,IF(input_faculty_expertise="",FALSE,SUMPRODUCT(--ISNUMBER(SEARCH(","&amp;TRIM(TEXTSPLIT(EM90,","))&amp;",",","&amp;SUBSTITUTE(input_faculty_expertise," ","")&amp;",")))&gt;0)),IF(EO90="",TRUE,IF(input_faculty_expertise="",FALSE,SUMPRODUCT(--ISNUMBER(SEARCH(","&amp;TRIM(TEXTSPLIT(EO90,","))&amp;",",","&amp;SUBSTITUTE(input_faculty_expertise," ","")&amp;",")))=COUNTA(TEXTSPLIT(EO90,",")))),IF(EQ90="",TRUE,IF(input_faculty_expertise="",TRUE,SUMPRODUCT(--ISNUMBER(SEARCH(","&amp;TRIM(TEXTSPLIT(EQ90,","))&amp;",",","&amp;SUBSTITUTE(input_faculty_expertise," ","")&amp;",")))=0)),IF(ES90="",TRUE,IF(input_faculty_expertise="",FALSE,SUMPRODUCT(--ISNUMBER(SEARCH(","&amp;TRIM(TEXTSPLIT(ES90,","))&amp;",",","&amp;SUBSTITUTE(input_faculty_expertise," ","")&amp;",")))&gt;0)),IF(EU90="",TRUE,IF(input_faculty_expertise="",FALSE,SUMPRODUCT(--ISNUMBER(SEARCH(","&amp;TRIM(TEXTSPLIT(EU90,","))&amp;",",","&amp;SUBSTITUTE(input_faculty_expertise," ","")&amp;",")))=COUNTA(TEXTSPLIT(EU90,",")))))</f>
        <v/>
      </c>
      <c r="JH90" s="19">
        <f>AND(IF(EW90="",TRUE,IF(input_global_network_school="",FALSE,SUMPRODUCT(--ISNUMBER(SEARCH(","&amp;TRIM(TEXTSPLIT(EW90,","))&amp;",",","&amp;SUBSTITUTE(input_global_network_school," ","")&amp;",")))&gt;0)),IF(EY90="",TRUE,IF(input_global_network_school="",FALSE,SUMPRODUCT(--ISNUMBER(SEARCH(","&amp;TRIM(TEXTSPLIT(EY90,","))&amp;",",","&amp;SUBSTITUTE(input_global_network_school," ","")&amp;",")))=COUNTA(TEXTSPLIT(EY90,",")))),IF(FA90="",TRUE,IF(input_global_network_school="",TRUE,SUMPRODUCT(--ISNUMBER(SEARCH(","&amp;TRIM(TEXTSPLIT(FA90,","))&amp;",",","&amp;SUBSTITUTE(input_global_network_school," ","")&amp;",")))=0)),IF(FC90="",TRUE,IF(input_global_network_school="",FALSE,SUMPRODUCT(--ISNUMBER(SEARCH(","&amp;TRIM(TEXTSPLIT(FC90,","))&amp;",",","&amp;SUBSTITUTE(input_global_network_school," ","")&amp;",")))&gt;0)),IF(FE90="",TRUE,IF(input_global_network_school="",FALSE,SUMPRODUCT(--ISNUMBER(SEARCH(","&amp;TRIM(TEXTSPLIT(FE90,","))&amp;",",","&amp;SUBSTITUTE(input_global_network_school," ","")&amp;",")))=COUNTA(TEXTSPLIT(FE90,",")))))</f>
        <v/>
      </c>
      <c r="JI90" s="19">
        <f>AND(IF(FG90="",TRUE,IF(input_industry="",FALSE,SUMPRODUCT(--ISNUMBER(SEARCH(","&amp;TRIM(TEXTSPLIT(FG90,","))&amp;",",","&amp;SUBSTITUTE(input_industry," ","")&amp;",")))&gt;0)),IF(FI90="",TRUE,IF(input_industry="",FALSE,SUMPRODUCT(--ISNUMBER(SEARCH(","&amp;TRIM(TEXTSPLIT(FI90,","))&amp;",",","&amp;SUBSTITUTE(input_industry," ","")&amp;",")))=COUNTA(TEXTSPLIT(FI90,",")))),IF(FK90="",TRUE,IF(input_industry="",TRUE,SUMPRODUCT(--ISNUMBER(SEARCH(","&amp;TRIM(TEXTSPLIT(FK90,","))&amp;",",","&amp;SUBSTITUTE(input_industry," ","")&amp;",")))=0)),IF(FM90="",TRUE,IF(input_industry="",FALSE,SUMPRODUCT(--ISNUMBER(SEARCH(","&amp;TRIM(TEXTSPLIT(FM90,","))&amp;",",","&amp;SUBSTITUTE(input_industry," ","")&amp;",")))&gt;0)),IF(FO90="",TRUE,IF(input_industry="",FALSE,SUMPRODUCT(--ISNUMBER(SEARCH(","&amp;TRIM(TEXTSPLIT(FO90,","))&amp;",",","&amp;SUBSTITUTE(input_industry," ","")&amp;",")))=COUNTA(TEXTSPLIT(FO90,",")))))</f>
        <v/>
      </c>
      <c r="JJ90" s="19">
        <f>AND(IF(FQ90="",TRUE,IF(input_location="",FALSE,SUMPRODUCT(--ISNUMBER(SEARCH(","&amp;TRIM(TEXTSPLIT(FQ90,","))&amp;",",","&amp;SUBSTITUTE(input_location," ","")&amp;",")))&gt;0)),IF(FS90="",TRUE,IF(input_location="",FALSE,SUMPRODUCT(--ISNUMBER(SEARCH(","&amp;TRIM(TEXTSPLIT(FS90,","))&amp;",",","&amp;SUBSTITUTE(input_location," ","")&amp;",")))=COUNTA(TEXTSPLIT(FS90,",")))),IF(FU90="",TRUE,IF(input_location="",TRUE,SUMPRODUCT(--ISNUMBER(SEARCH(","&amp;TRIM(TEXTSPLIT(FU90,","))&amp;",",","&amp;SUBSTITUTE(input_location," ","")&amp;",")))=0)),IF(FW90="",TRUE,IF(input_location="",FALSE,SUMPRODUCT(--ISNUMBER(SEARCH(","&amp;TRIM(TEXTSPLIT(FW90,","))&amp;",",","&amp;SUBSTITUTE(input_location," ","")&amp;",")))&gt;0)),IF(FY90="",TRUE,IF(input_location="",FALSE,SUMPRODUCT(--ISNUMBER(SEARCH(","&amp;TRIM(TEXTSPLIT(FY90,","))&amp;",",","&amp;SUBSTITUTE(input_location," ","")&amp;",")))=COUNTA(TEXTSPLIT(FY90,",")))))</f>
        <v/>
      </c>
      <c r="JK90" s="19">
        <f>AND(IF(GA90="",TRUE,IF(input_modality="",FALSE,SUMPRODUCT(--ISNUMBER(SEARCH(","&amp;TRIM(TEXTSPLIT(GA90,","))&amp;",",","&amp;SUBSTITUTE(input_modality," ","")&amp;",")))&gt;0)),IF(GC90="",TRUE,IF(input_modality="",FALSE,SUMPRODUCT(--ISNUMBER(SEARCH(","&amp;TRIM(TEXTSPLIT(GC90,","))&amp;",",","&amp;SUBSTITUTE(input_modality," ","")&amp;",")))=COUNTA(TEXTSPLIT(GC90,",")))),IF(GE90="",TRUE,IF(input_modality="",TRUE,SUMPRODUCT(--ISNUMBER(SEARCH(","&amp;TRIM(TEXTSPLIT(GE90,","))&amp;",",","&amp;SUBSTITUTE(input_modality," ","")&amp;",")))=0)),IF(GG90="",TRUE,IF(input_modality="",FALSE,SUMPRODUCT(--ISNUMBER(SEARCH(","&amp;TRIM(TEXTSPLIT(GG90,","))&amp;",",","&amp;SUBSTITUTE(input_modality," ","")&amp;",")))&gt;0)),IF(GI90="",TRUE,IF(input_modality="",FALSE,SUMPRODUCT(--ISNUMBER(SEARCH(","&amp;TRIM(TEXTSPLIT(GI90,","))&amp;",",","&amp;SUBSTITUTE(input_modality," ","")&amp;",")))=COUNTA(TEXTSPLIT(GI90,",")))))</f>
        <v/>
      </c>
      <c r="JL90" s="19">
        <f>AND(IF(GK90="",TRUE,IF(input_organizer="",FALSE,SUMPRODUCT(--ISNUMBER(SEARCH(","&amp;TRIM(TEXTSPLIT(GK90,","))&amp;",",","&amp;SUBSTITUTE(input_organizer," ","")&amp;",")))&gt;0)),IF(GM90="",TRUE,IF(input_organizer="",FALSE,SUMPRODUCT(--ISNUMBER(SEARCH(","&amp;TRIM(TEXTSPLIT(GM90,","))&amp;",",","&amp;SUBSTITUTE(input_organizer," ","")&amp;",")))=COUNTA(TEXTSPLIT(GM90,",")))),IF(GO90="",TRUE,IF(input_organizer="",TRUE,SUMPRODUCT(--ISNUMBER(SEARCH(","&amp;TRIM(TEXTSPLIT(GO90,","))&amp;",",","&amp;SUBSTITUTE(input_organizer," ","")&amp;",")))=0)),IF(GQ90="",TRUE,IF(input_organizer="",FALSE,SUMPRODUCT(--ISNUMBER(SEARCH(","&amp;TRIM(TEXTSPLIT(GQ90,","))&amp;",",","&amp;SUBSTITUTE(input_organizer," ","")&amp;",")))&gt;0)),IF(GS90="",TRUE,IF(input_organizer="",FALSE,SUMPRODUCT(--ISNUMBER(SEARCH(","&amp;TRIM(TEXTSPLIT(GS90,","))&amp;",",","&amp;SUBSTITUTE(input_organizer," ","")&amp;",")))=COUNTA(TEXTSPLIT(GS90,",")))))</f>
        <v/>
      </c>
      <c r="JM90" s="19">
        <f>AND(IF(GU90="",TRUE,IF(input_profile_type="",FALSE,SUMPRODUCT(--ISNUMBER(SEARCH(","&amp;TRIM(TEXTSPLIT(GU90,","))&amp;",",","&amp;SUBSTITUTE(input_profile_type," ","")&amp;",")))&gt;0)),IF(GW90="",TRUE,IF(input_profile_type="",FALSE,SUMPRODUCT(--ISNUMBER(SEARCH(","&amp;TRIM(TEXTSPLIT(GW90,","))&amp;",",","&amp;SUBSTITUTE(input_profile_type," ","")&amp;",")))=COUNTA(TEXTSPLIT(GW90,",")))),IF(GY90="",TRUE,IF(input_profile_type="",TRUE,SUMPRODUCT(--ISNUMBER(SEARCH(","&amp;TRIM(TEXTSPLIT(GY90,","))&amp;",",","&amp;SUBSTITUTE(input_profile_type," ","")&amp;",")))=0)),IF(HA90="",TRUE,IF(input_profile_type="",FALSE,SUMPRODUCT(--ISNUMBER(SEARCH(","&amp;TRIM(TEXTSPLIT(HA90,","))&amp;",",","&amp;SUBSTITUTE(input_profile_type," ","")&amp;",")))&gt;0)),IF(HC90="",TRUE,IF(input_profile_type="",FALSE,SUMPRODUCT(--ISNUMBER(SEARCH(","&amp;TRIM(TEXTSPLIT(HC90,","))&amp;",",","&amp;SUBSTITUTE(input_profile_type," ","")&amp;",")))=COUNTA(TEXTSPLIT(HC90,",")))))</f>
        <v/>
      </c>
      <c r="JN90" s="19">
        <f>AND(IF(HE90="",TRUE,IF(input_program="",FALSE,SUMPRODUCT(--ISNUMBER(SEARCH(","&amp;TRIM(TEXTSPLIT(HE90,","))&amp;",",","&amp;SUBSTITUTE(input_program," ","")&amp;",")))&gt;0)),IF(HG90="",TRUE,IF(input_program="",FALSE,SUMPRODUCT(--ISNUMBER(SEARCH(","&amp;TRIM(TEXTSPLIT(HG90,","))&amp;",",","&amp;SUBSTITUTE(input_program," ","")&amp;",")))=COUNTA(TEXTSPLIT(HG90,",")))),IF(HI90="",TRUE,IF(input_program="",TRUE,SUMPRODUCT(--ISNUMBER(SEARCH(","&amp;TRIM(TEXTSPLIT(HI90,","))&amp;",",","&amp;SUBSTITUTE(input_program," ","")&amp;",")))=0)),IF(HK90="",TRUE,IF(input_program="",FALSE,SUMPRODUCT(--ISNUMBER(SEARCH(","&amp;TRIM(TEXTSPLIT(HK90,","))&amp;",",","&amp;SUBSTITUTE(input_program," ","")&amp;",")))&gt;0)),IF(HM90="",TRUE,IF(input_program="",FALSE,SUMPRODUCT(--ISNUMBER(SEARCH(","&amp;TRIM(TEXTSPLIT(HM90,","))&amp;",",","&amp;SUBSTITUTE(input_program," ","")&amp;",")))=COUNTA(TEXTSPLIT(HM90,",")))))</f>
        <v/>
      </c>
      <c r="JO90" s="19">
        <f>AND(IF(HO90="",TRUE,IF(input_story_categories="",FALSE,SUMPRODUCT(--ISNUMBER(SEARCH(","&amp;TRIM(TEXTSPLIT(HO90,","))&amp;",",","&amp;SUBSTITUTE(input_story_categories," ","")&amp;",")))&gt;0)),IF(HQ90="",TRUE,IF(input_story_categories="",FALSE,SUMPRODUCT(--ISNUMBER(SEARCH(","&amp;TRIM(TEXTSPLIT(HQ90,","))&amp;",",","&amp;SUBSTITUTE(input_story_categories," ","")&amp;",")))=COUNTA(TEXTSPLIT(HQ90,",")))),IF(HS90="",TRUE,IF(input_story_categories="",TRUE,SUMPRODUCT(--ISNUMBER(SEARCH(","&amp;TRIM(TEXTSPLIT(HS90,","))&amp;",",","&amp;SUBSTITUTE(input_story_categories," ","")&amp;",")))=0)),IF(HU90="",TRUE,IF(input_story_categories="",FALSE,SUMPRODUCT(--ISNUMBER(SEARCH(","&amp;TRIM(TEXTSPLIT(HU90,","))&amp;",",","&amp;SUBSTITUTE(input_story_categories," ","")&amp;",")))&gt;0)),IF(HW90="",TRUE,IF(input_story_categories="",FALSE,SUMPRODUCT(--ISNUMBER(SEARCH(","&amp;TRIM(TEXTSPLIT(HW90,","))&amp;",",","&amp;SUBSTITUTE(input_story_categories," ","")&amp;",")))=COUNTA(TEXTSPLIT(HW90,",")))))</f>
        <v/>
      </c>
      <c r="JP90" s="19">
        <f>AND(IF(HY90="",TRUE,IF(input_story_type="",FALSE,SUMPRODUCT(--ISNUMBER(SEARCH(","&amp;TRIM(TEXTSPLIT(HY90,","))&amp;",",","&amp;SUBSTITUTE(input_story_type," ","")&amp;",")))&gt;0)),IF(IA90="",TRUE,IF(input_story_type="",FALSE,SUMPRODUCT(--ISNUMBER(SEARCH(","&amp;TRIM(TEXTSPLIT(IA90,","))&amp;",",","&amp;SUBSTITUTE(input_story_type," ","")&amp;",")))=COUNTA(TEXTSPLIT(IA90,",")))),IF(IC90="",TRUE,IF(input_story_type="",TRUE,SUMPRODUCT(--ISNUMBER(SEARCH(","&amp;TRIM(TEXTSPLIT(IC90,","))&amp;",",","&amp;SUBSTITUTE(input_story_type," ","")&amp;",")))=0)),IF(IE90="",TRUE,IF(input_story_type="",FALSE,SUMPRODUCT(--ISNUMBER(SEARCH(","&amp;TRIM(TEXTSPLIT(IE90,","))&amp;",",","&amp;SUBSTITUTE(input_story_type," ","")&amp;",")))&gt;0)),IF(IG90="",TRUE,IF(input_story_type="",FALSE,SUMPRODUCT(--ISNUMBER(SEARCH(","&amp;TRIM(TEXTSPLIT(IG90,","))&amp;",",","&amp;SUBSTITUTE(input_story_type," ","")&amp;",")))=COUNTA(TEXTSPLIT(IG90,",")))))</f>
        <v/>
      </c>
      <c r="JQ90" s="19">
        <f>AND(IF(II90="",TRUE,IF(input_topics="",FALSE,SUMPRODUCT(--ISNUMBER(SEARCH(","&amp;TRIM(TEXTSPLIT(II90,","))&amp;",",","&amp;SUBSTITUTE(input_topics," ","")&amp;",")))&gt;0)),IF(IK90="",TRUE,IF(input_topics="",FALSE,SUMPRODUCT(--ISNUMBER(SEARCH(","&amp;TRIM(TEXTSPLIT(IK90,","))&amp;",",","&amp;SUBSTITUTE(input_topics," ","")&amp;",")))=COUNTA(TEXTSPLIT(IK90,",")))),IF(IM90="",TRUE,IF(input_topics="",TRUE,SUMPRODUCT(--ISNUMBER(SEARCH(","&amp;TRIM(TEXTSPLIT(IM90,","))&amp;",",","&amp;SUBSTITUTE(input_topics," ","")&amp;",")))=0)),IF(IO90="",TRUE,IF(input_topics="",FALSE,SUMPRODUCT(--ISNUMBER(SEARCH(","&amp;TRIM(TEXTSPLIT(IO90,","))&amp;",",","&amp;SUBSTITUTE(input_topics," ","")&amp;",")))&gt;0)),IF(IQ90="",TRUE,IF(input_topics="",FALSE,SUMPRODUCT(--ISNUMBER(SEARCH(","&amp;TRIM(TEXTSPLIT(IQ90,","))&amp;",",","&amp;SUBSTITUTE(input_topics," ","")&amp;",")))=COUNTA(TEXTSPLIT(IQ90,",")))))</f>
        <v/>
      </c>
    </row>
    <row r="91">
      <c r="A91" s="24">
        <f>IF(NOT(IS91),"Excluded",IF(AND(IT91,IU91,IV91,IW91,IX91,IY91,IZ91,JA91,JB91,JC91,JD91,JE91,JF91,JG91,JH91,JI91,JJ91,JK91,JL91,JM91,JN91,JO91,JP91,JQ91),IF(I91&gt;0,"Eligible but limited","Will appear"),"Excluded"))</f>
        <v/>
      </c>
      <c r="B91" s="24" t="inlineStr">
        <is>
          <t>Crafting a Curriculum</t>
        </is>
      </c>
      <c r="C91" s="27" t="inlineStr">
        <is>
          <t>/about/headlines/all-headlines/crafting-curriculum</t>
        </is>
      </c>
      <c r="D91" s="24" t="inlineStr">
        <is>
          <t>/about/headlines/all-headlines/crafting-curriculum</t>
        </is>
      </c>
      <c r="E91" s="24" t="n">
        <v>1</v>
      </c>
      <c r="F91" s="24" t="inlineStr">
        <is>
          <t>story</t>
        </is>
      </c>
      <c r="G91" s="24" t="inlineStr">
        <is>
          <t>stories_list</t>
        </is>
      </c>
      <c r="H91" s="24" t="inlineStr">
        <is>
          <t>embed_1</t>
        </is>
      </c>
      <c r="I91" s="24" t="n">
        <v>10</v>
      </c>
      <c r="J91" s="28" t="inlineStr">
        <is>
          <t>Explicit args</t>
        </is>
      </c>
      <c r="K91" s="24" t="inlineStr">
        <is>
          <t>Page placement</t>
        </is>
      </c>
      <c r="L91" s="24" t="inlineStr">
        <is>
          <t>Content type: story; Context uses Courses Context: Crafting a Curriculum (1771); Limited to 10 item(s); Source: Explicit args</t>
        </is>
      </c>
      <c r="BQ91" s="19" t="inlineStr">
        <is>
          <t>1771</t>
        </is>
      </c>
      <c r="BR91" s="19" t="inlineStr">
        <is>
          <t>Crafting a Curriculum (1771)</t>
        </is>
      </c>
      <c r="IS91" s="19">
        <f>IF(input_content_type="",FALSE,ISNUMBER(SEARCH(","&amp;LOWER(input_content_type)&amp;",",","&amp;LOWER(SUBSTITUTE(F91," ",""))&amp;",")))</f>
        <v/>
      </c>
      <c r="IT91" s="19">
        <f>AND(IF(M91="",TRUE,IF(input_affiliations="",FALSE,SUMPRODUCT(--ISNUMBER(SEARCH(","&amp;TRIM(TEXTSPLIT(M91,","))&amp;",",","&amp;SUBSTITUTE(input_affiliations," ","")&amp;",")))&gt;0)),IF(O91="",TRUE,IF(input_affiliations="",FALSE,SUMPRODUCT(--ISNUMBER(SEARCH(","&amp;TRIM(TEXTSPLIT(O91,","))&amp;",",","&amp;SUBSTITUTE(input_affiliations," ","")&amp;",")))=COUNTA(TEXTSPLIT(O91,",")))),IF(Q91="",TRUE,IF(input_affiliations="",TRUE,SUMPRODUCT(--ISNUMBER(SEARCH(","&amp;TRIM(TEXTSPLIT(Q91,","))&amp;",",","&amp;SUBSTITUTE(input_affiliations," ","")&amp;",")))=0)),IF(S91="",TRUE,IF(input_affiliations="",FALSE,SUMPRODUCT(--ISNUMBER(SEARCH(","&amp;TRIM(TEXTSPLIT(S91,","))&amp;",",","&amp;SUBSTITUTE(input_affiliations," ","")&amp;",")))&gt;0)),IF(U91="",TRUE,IF(input_affiliations="",FALSE,SUMPRODUCT(--ISNUMBER(SEARCH(","&amp;TRIM(TEXTSPLIT(U91,","))&amp;",",","&amp;SUBSTITUTE(input_affiliations," ","")&amp;",")))=COUNTA(TEXTSPLIT(U91,",")))))</f>
        <v/>
      </c>
      <c r="IU91" s="19">
        <f>AND(IF(W91="",TRUE,IF(input_announcement_category="",FALSE,SUMPRODUCT(--ISNUMBER(SEARCH(","&amp;TRIM(TEXTSPLIT(W91,","))&amp;",",","&amp;SUBSTITUTE(input_announcement_category," ","")&amp;",")))&gt;0)),IF(Y91="",TRUE,IF(input_announcement_category="",FALSE,SUMPRODUCT(--ISNUMBER(SEARCH(","&amp;TRIM(TEXTSPLIT(Y91,","))&amp;",",","&amp;SUBSTITUTE(input_announcement_category," ","")&amp;",")))=COUNTA(TEXTSPLIT(Y91,",")))),IF(AA91="",TRUE,IF(input_announcement_category="",TRUE,SUMPRODUCT(--ISNUMBER(SEARCH(","&amp;TRIM(TEXTSPLIT(AA91,","))&amp;",",","&amp;SUBSTITUTE(input_announcement_category," ","")&amp;",")))=0)),IF(AC91="",TRUE,IF(input_announcement_category="",FALSE,SUMPRODUCT(--ISNUMBER(SEARCH(","&amp;TRIM(TEXTSPLIT(AC91,","))&amp;",",","&amp;SUBSTITUTE(input_announcement_category," ","")&amp;",")))&gt;0)),IF(AE91="",TRUE,IF(input_announcement_category="",FALSE,SUMPRODUCT(--ISNUMBER(SEARCH(","&amp;TRIM(TEXTSPLIT(AE91,","))&amp;",",","&amp;SUBSTITUTE(input_announcement_category," ","")&amp;",")))=COUNTA(TEXTSPLIT(AE91,",")))))</f>
        <v/>
      </c>
      <c r="IV91" s="19">
        <f>AND(IF(AG91="",TRUE,IF(input_area_of_focus="",FALSE,SUMPRODUCT(--ISNUMBER(SEARCH(","&amp;TRIM(TEXTSPLIT(AG91,","))&amp;",",","&amp;SUBSTITUTE(input_area_of_focus," ","")&amp;",")))&gt;0)),IF(AI91="",TRUE,IF(input_area_of_focus="",FALSE,SUMPRODUCT(--ISNUMBER(SEARCH(","&amp;TRIM(TEXTSPLIT(AI91,","))&amp;",",","&amp;SUBSTITUTE(input_area_of_focus," ","")&amp;",")))=COUNTA(TEXTSPLIT(AI91,",")))),IF(AK91="",TRUE,IF(input_area_of_focus="",TRUE,SUMPRODUCT(--ISNUMBER(SEARCH(","&amp;TRIM(TEXTSPLIT(AK91,","))&amp;",",","&amp;SUBSTITUTE(input_area_of_focus," ","")&amp;",")))=0)),IF(AM91="",TRUE,IF(input_area_of_focus="",FALSE,SUMPRODUCT(--ISNUMBER(SEARCH(","&amp;TRIM(TEXTSPLIT(AM91,","))&amp;",",","&amp;SUBSTITUTE(input_area_of_focus," ","")&amp;",")))&gt;0)),IF(AO91="",TRUE,IF(input_area_of_focus="",FALSE,SUMPRODUCT(--ISNUMBER(SEARCH(","&amp;TRIM(TEXTSPLIT(AO91,","))&amp;",",","&amp;SUBSTITUTE(input_area_of_focus," ","")&amp;",")))=COUNTA(TEXTSPLIT(AO91,",")))))</f>
        <v/>
      </c>
      <c r="IW91" s="19">
        <f>AND(IF(AQ91="",TRUE,IF(input_audience="",FALSE,SUMPRODUCT(--ISNUMBER(SEARCH(","&amp;TRIM(TEXTSPLIT(AQ91,","))&amp;",",","&amp;SUBSTITUTE(input_audience," ","")&amp;",")))&gt;0)),IF(AS91="",TRUE,IF(input_audience="",FALSE,SUMPRODUCT(--ISNUMBER(SEARCH(","&amp;TRIM(TEXTSPLIT(AS91,","))&amp;",",","&amp;SUBSTITUTE(input_audience," ","")&amp;",")))=COUNTA(TEXTSPLIT(AS91,",")))),IF(AU91="",TRUE,IF(input_audience="",TRUE,SUMPRODUCT(--ISNUMBER(SEARCH(","&amp;TRIM(TEXTSPLIT(AU91,","))&amp;",",","&amp;SUBSTITUTE(input_audience," ","")&amp;",")))=0)),IF(AW91="",TRUE,IF(input_audience="",FALSE,SUMPRODUCT(--ISNUMBER(SEARCH(","&amp;TRIM(TEXTSPLIT(AW91,","))&amp;",",","&amp;SUBSTITUTE(input_audience," ","")&amp;",")))&gt;0)),IF(AY91="",TRUE,IF(input_audience="",FALSE,SUMPRODUCT(--ISNUMBER(SEARCH(","&amp;TRIM(TEXTSPLIT(AY91,","))&amp;",",","&amp;SUBSTITUTE(input_audience," ","")&amp;",")))=COUNTA(TEXTSPLIT(AY91,",")))))</f>
        <v/>
      </c>
      <c r="IX91" s="19">
        <f>AND(IF(BA91="",TRUE,IF(input_challenge_opportunities="",FALSE,SUMPRODUCT(--ISNUMBER(SEARCH(","&amp;TRIM(TEXTSPLIT(BA91,","))&amp;",",","&amp;SUBSTITUTE(input_challenge_opportunities," ","")&amp;",")))&gt;0)),IF(BC91="",TRUE,IF(input_challenge_opportunities="",FALSE,SUMPRODUCT(--ISNUMBER(SEARCH(","&amp;TRIM(TEXTSPLIT(BC91,","))&amp;",",","&amp;SUBSTITUTE(input_challenge_opportunities," ","")&amp;",")))=COUNTA(TEXTSPLIT(BC91,",")))),IF(BE91="",TRUE,IF(input_challenge_opportunities="",TRUE,SUMPRODUCT(--ISNUMBER(SEARCH(","&amp;TRIM(TEXTSPLIT(BE91,","))&amp;",",","&amp;SUBSTITUTE(input_challenge_opportunities," ","")&amp;",")))=0)),IF(BG91="",TRUE,IF(input_challenge_opportunities="",FALSE,SUMPRODUCT(--ISNUMBER(SEARCH(","&amp;TRIM(TEXTSPLIT(BG91,","))&amp;",",","&amp;SUBSTITUTE(input_challenge_opportunities," ","")&amp;",")))&gt;0)),IF(BI91="",TRUE,IF(input_challenge_opportunities="",FALSE,SUMPRODUCT(--ISNUMBER(SEARCH(","&amp;TRIM(TEXTSPLIT(BI91,","))&amp;",",","&amp;SUBSTITUTE(input_challenge_opportunities," ","")&amp;",")))=COUNTA(TEXTSPLIT(BI91,",")))))</f>
        <v/>
      </c>
      <c r="IY91" s="19">
        <f>AND(IF(BK91="",TRUE,IF(input_context="",FALSE,SUMPRODUCT(--ISNUMBER(SEARCH(","&amp;TRIM(TEXTSPLIT(BK91,","))&amp;",",","&amp;SUBSTITUTE(input_context," ","")&amp;",")))&gt;0)),IF(BM91="",TRUE,IF(input_context="",FALSE,SUMPRODUCT(--ISNUMBER(SEARCH(","&amp;TRIM(TEXTSPLIT(BM91,","))&amp;",",","&amp;SUBSTITUTE(input_context," ","")&amp;",")))=COUNTA(TEXTSPLIT(BM91,",")))),IF(BO91="",TRUE,IF(input_context="",TRUE,SUMPRODUCT(--ISNUMBER(SEARCH(","&amp;TRIM(TEXTSPLIT(BO91,","))&amp;",",","&amp;SUBSTITUTE(input_context," ","")&amp;",")))=0)),IF(BQ91="",TRUE,IF(input_context="",FALSE,SUMPRODUCT(--ISNUMBER(SEARCH(","&amp;TRIM(TEXTSPLIT(BQ91,","))&amp;",",","&amp;SUBSTITUTE(input_context," ","")&amp;",")))&gt;0)),IF(BS91="",TRUE,IF(input_context="",FALSE,SUMPRODUCT(--ISNUMBER(SEARCH(","&amp;TRIM(TEXTSPLIT(BS91,","))&amp;",",","&amp;SUBSTITUTE(input_context," ","")&amp;",")))=COUNTA(TEXTSPLIT(BS91,",")))))</f>
        <v/>
      </c>
      <c r="IZ91" s="19">
        <f>AND(IF(BU91="",TRUE,IF(input_enews_announcement_type="",FALSE,SUMPRODUCT(--ISNUMBER(SEARCH(","&amp;TRIM(TEXTSPLIT(BU91,","))&amp;",",","&amp;SUBSTITUTE(input_enews_announcement_type," ","")&amp;",")))&gt;0)),IF(BW91="",TRUE,IF(input_enews_announcement_type="",FALSE,SUMPRODUCT(--ISNUMBER(SEARCH(","&amp;TRIM(TEXTSPLIT(BW91,","))&amp;",",","&amp;SUBSTITUTE(input_enews_announcement_type," ","")&amp;",")))=COUNTA(TEXTSPLIT(BW91,",")))),IF(BY91="",TRUE,IF(input_enews_announcement_type="",TRUE,SUMPRODUCT(--ISNUMBER(SEARCH(","&amp;TRIM(TEXTSPLIT(BY91,","))&amp;",",","&amp;SUBSTITUTE(input_enews_announcement_type," ","")&amp;",")))=0)),IF(CA91="",TRUE,IF(input_enews_announcement_type="",FALSE,SUMPRODUCT(--ISNUMBER(SEARCH(","&amp;TRIM(TEXTSPLIT(CA91,","))&amp;",",","&amp;SUBSTITUTE(input_enews_announcement_type," ","")&amp;",")))&gt;0)),IF(CC91="",TRUE,IF(input_enews_announcement_type="",FALSE,SUMPRODUCT(--ISNUMBER(SEARCH(","&amp;TRIM(TEXTSPLIT(CC91,","))&amp;",",","&amp;SUBSTITUTE(input_enews_announcement_type," ","")&amp;",")))=COUNTA(TEXTSPLIT(CC91,",")))))</f>
        <v/>
      </c>
      <c r="JA91" s="19">
        <f>AND(IF(CE91="",TRUE,IF(input_enews_audience="",FALSE,SUMPRODUCT(--ISNUMBER(SEARCH(","&amp;TRIM(TEXTSPLIT(CE91,","))&amp;",",","&amp;SUBSTITUTE(input_enews_audience," ","")&amp;",")))&gt;0)),IF(CG91="",TRUE,IF(input_enews_audience="",FALSE,SUMPRODUCT(--ISNUMBER(SEARCH(","&amp;TRIM(TEXTSPLIT(CG91,","))&amp;",",","&amp;SUBSTITUTE(input_enews_audience," ","")&amp;",")))=COUNTA(TEXTSPLIT(CG91,",")))),IF(CI91="",TRUE,IF(input_enews_audience="",TRUE,SUMPRODUCT(--ISNUMBER(SEARCH(","&amp;TRIM(TEXTSPLIT(CI91,","))&amp;",",","&amp;SUBSTITUTE(input_enews_audience," ","")&amp;",")))=0)),IF(CK91="",TRUE,IF(input_enews_audience="",FALSE,SUMPRODUCT(--ISNUMBER(SEARCH(","&amp;TRIM(TEXTSPLIT(CK91,","))&amp;",",","&amp;SUBSTITUTE(input_enews_audience," ","")&amp;",")))&gt;0)),IF(CM91="",TRUE,IF(input_enews_audience="",FALSE,SUMPRODUCT(--ISNUMBER(SEARCH(","&amp;TRIM(TEXTSPLIT(CM91,","))&amp;",",","&amp;SUBSTITUTE(input_enews_audience," ","")&amp;",")))=COUNTA(TEXTSPLIT(CM91,",")))))</f>
        <v/>
      </c>
      <c r="JB91" s="19">
        <f>AND(IF(CO91="",TRUE,IF(input_event_location="",FALSE,SUMPRODUCT(--ISNUMBER(SEARCH(","&amp;TRIM(TEXTSPLIT(CO91,","))&amp;",",","&amp;SUBSTITUTE(input_event_location," ","")&amp;",")))&gt;0)),IF(CQ91="",TRUE,IF(input_event_location="",FALSE,SUMPRODUCT(--ISNUMBER(SEARCH(","&amp;TRIM(TEXTSPLIT(CQ91,","))&amp;",",","&amp;SUBSTITUTE(input_event_location," ","")&amp;",")))=COUNTA(TEXTSPLIT(CQ91,",")))),IF(CS91="",TRUE,IF(input_event_location="",TRUE,SUMPRODUCT(--ISNUMBER(SEARCH(","&amp;TRIM(TEXTSPLIT(CS91,","))&amp;",",","&amp;SUBSTITUTE(input_event_location," ","")&amp;",")))=0)),IF(CU91="",TRUE,IF(input_event_location="",FALSE,SUMPRODUCT(--ISNUMBER(SEARCH(","&amp;TRIM(TEXTSPLIT(CU91,","))&amp;",",","&amp;SUBSTITUTE(input_event_location," ","")&amp;",")))&gt;0)),IF(CW91="",TRUE,IF(input_event_location="",FALSE,SUMPRODUCT(--ISNUMBER(SEARCH(","&amp;TRIM(TEXTSPLIT(CW91,","))&amp;",",","&amp;SUBSTITUTE(input_event_location," ","")&amp;",")))=COUNTA(TEXTSPLIT(CW91,",")))))</f>
        <v/>
      </c>
      <c r="JC91" s="19">
        <f>AND(IF(CY91="",TRUE,IF(input_event_type="",FALSE,SUMPRODUCT(--ISNUMBER(SEARCH(","&amp;TRIM(TEXTSPLIT(CY91,","))&amp;",",","&amp;SUBSTITUTE(input_event_type," ","")&amp;",")))&gt;0)),IF(DA91="",TRUE,IF(input_event_type="",FALSE,SUMPRODUCT(--ISNUMBER(SEARCH(","&amp;TRIM(TEXTSPLIT(DA91,","))&amp;",",","&amp;SUBSTITUTE(input_event_type," ","")&amp;",")))=COUNTA(TEXTSPLIT(DA91,",")))),IF(DC91="",TRUE,IF(input_event_type="",TRUE,SUMPRODUCT(--ISNUMBER(SEARCH(","&amp;TRIM(TEXTSPLIT(DC91,","))&amp;",",","&amp;SUBSTITUTE(input_event_type," ","")&amp;",")))=0)),IF(DE91="",TRUE,IF(input_event_type="",FALSE,SUMPRODUCT(--ISNUMBER(SEARCH(","&amp;TRIM(TEXTSPLIT(DE91,","))&amp;",",","&amp;SUBSTITUTE(input_event_type," ","")&amp;",")))&gt;0)),IF(DG91="",TRUE,IF(input_event_type="",FALSE,SUMPRODUCT(--ISNUMBER(SEARCH(","&amp;TRIM(TEXTSPLIT(DG91,","))&amp;",",","&amp;SUBSTITUTE(input_event_type," ","")&amp;",")))=COUNTA(TEXTSPLIT(DG91,",")))))</f>
        <v/>
      </c>
      <c r="JD91" s="19">
        <f>AND(IF(DI91="",TRUE,IF(input_executive_education_focus="",FALSE,SUMPRODUCT(--ISNUMBER(SEARCH(","&amp;TRIM(TEXTSPLIT(DI91,","))&amp;",",","&amp;SUBSTITUTE(input_executive_education_focus," ","")&amp;",")))&gt;0)),IF(DK91="",TRUE,IF(input_executive_education_focus="",FALSE,SUMPRODUCT(--ISNUMBER(SEARCH(","&amp;TRIM(TEXTSPLIT(DK91,","))&amp;",",","&amp;SUBSTITUTE(input_executive_education_focus," ","")&amp;",")))=COUNTA(TEXTSPLIT(DK91,",")))),IF(DM91="",TRUE,IF(input_executive_education_focus="",TRUE,SUMPRODUCT(--ISNUMBER(SEARCH(","&amp;TRIM(TEXTSPLIT(DM91,","))&amp;",",","&amp;SUBSTITUTE(input_executive_education_focus," ","")&amp;",")))=0)),IF(DO91="",TRUE,IF(input_executive_education_focus="",FALSE,SUMPRODUCT(--ISNUMBER(SEARCH(","&amp;TRIM(TEXTSPLIT(DO91,","))&amp;",",","&amp;SUBSTITUTE(input_executive_education_focus," ","")&amp;",")))&gt;0)),IF(DQ91="",TRUE,IF(input_executive_education_focus="",FALSE,SUMPRODUCT(--ISNUMBER(SEARCH(","&amp;TRIM(TEXTSPLIT(DQ91,","))&amp;",",","&amp;SUBSTITUTE(input_executive_education_focus," ","")&amp;",")))=COUNTA(TEXTSPLIT(DQ91,",")))))</f>
        <v/>
      </c>
      <c r="JE91" s="19">
        <f>AND(IF(DS91="",TRUE,IF(input_faculty_category="",FALSE,SUMPRODUCT(--ISNUMBER(SEARCH(","&amp;TRIM(TEXTSPLIT(DS91,","))&amp;",",","&amp;SUBSTITUTE(input_faculty_category," ","")&amp;",")))&gt;0)),IF(DU91="",TRUE,IF(input_faculty_category="",FALSE,SUMPRODUCT(--ISNUMBER(SEARCH(","&amp;TRIM(TEXTSPLIT(DU91,","))&amp;",",","&amp;SUBSTITUTE(input_faculty_category," ","")&amp;",")))=COUNTA(TEXTSPLIT(DU91,",")))),IF(DW91="",TRUE,IF(input_faculty_category="",TRUE,SUMPRODUCT(--ISNUMBER(SEARCH(","&amp;TRIM(TEXTSPLIT(DW91,","))&amp;",",","&amp;SUBSTITUTE(input_faculty_category," ","")&amp;",")))=0)),IF(DY91="",TRUE,IF(input_faculty_category="",FALSE,SUMPRODUCT(--ISNUMBER(SEARCH(","&amp;TRIM(TEXTSPLIT(DY91,","))&amp;",",","&amp;SUBSTITUTE(input_faculty_category," ","")&amp;",")))&gt;0)),IF(EA91="",TRUE,IF(input_faculty_category="",FALSE,SUMPRODUCT(--ISNUMBER(SEARCH(","&amp;TRIM(TEXTSPLIT(EA91,","))&amp;",",","&amp;SUBSTITUTE(input_faculty_category," ","")&amp;",")))=COUNTA(TEXTSPLIT(EA91,",")))))</f>
        <v/>
      </c>
      <c r="JF91" s="19">
        <f>AND(IF(EC91="",TRUE,IF(input_faculty_discipline="",FALSE,SUMPRODUCT(--ISNUMBER(SEARCH(","&amp;TRIM(TEXTSPLIT(EC91,","))&amp;",",","&amp;SUBSTITUTE(input_faculty_discipline," ","")&amp;",")))&gt;0)),IF(EE91="",TRUE,IF(input_faculty_discipline="",FALSE,SUMPRODUCT(--ISNUMBER(SEARCH(","&amp;TRIM(TEXTSPLIT(EE91,","))&amp;",",","&amp;SUBSTITUTE(input_faculty_discipline," ","")&amp;",")))=COUNTA(TEXTSPLIT(EE91,",")))),IF(EG91="",TRUE,IF(input_faculty_discipline="",TRUE,SUMPRODUCT(--ISNUMBER(SEARCH(","&amp;TRIM(TEXTSPLIT(EG91,","))&amp;",",","&amp;SUBSTITUTE(input_faculty_discipline," ","")&amp;",")))=0)),IF(EI91="",TRUE,IF(input_faculty_discipline="",FALSE,SUMPRODUCT(--ISNUMBER(SEARCH(","&amp;TRIM(TEXTSPLIT(EI91,","))&amp;",",","&amp;SUBSTITUTE(input_faculty_discipline," ","")&amp;",")))&gt;0)),IF(EK91="",TRUE,IF(input_faculty_discipline="",FALSE,SUMPRODUCT(--ISNUMBER(SEARCH(","&amp;TRIM(TEXTSPLIT(EK91,","))&amp;",",","&amp;SUBSTITUTE(input_faculty_discipline," ","")&amp;",")))=COUNTA(TEXTSPLIT(EK91,",")))))</f>
        <v/>
      </c>
      <c r="JG91" s="19">
        <f>AND(IF(EM91="",TRUE,IF(input_faculty_expertise="",FALSE,SUMPRODUCT(--ISNUMBER(SEARCH(","&amp;TRIM(TEXTSPLIT(EM91,","))&amp;",",","&amp;SUBSTITUTE(input_faculty_expertise," ","")&amp;",")))&gt;0)),IF(EO91="",TRUE,IF(input_faculty_expertise="",FALSE,SUMPRODUCT(--ISNUMBER(SEARCH(","&amp;TRIM(TEXTSPLIT(EO91,","))&amp;",",","&amp;SUBSTITUTE(input_faculty_expertise," ","")&amp;",")))=COUNTA(TEXTSPLIT(EO91,",")))),IF(EQ91="",TRUE,IF(input_faculty_expertise="",TRUE,SUMPRODUCT(--ISNUMBER(SEARCH(","&amp;TRIM(TEXTSPLIT(EQ91,","))&amp;",",","&amp;SUBSTITUTE(input_faculty_expertise," ","")&amp;",")))=0)),IF(ES91="",TRUE,IF(input_faculty_expertise="",FALSE,SUMPRODUCT(--ISNUMBER(SEARCH(","&amp;TRIM(TEXTSPLIT(ES91,","))&amp;",",","&amp;SUBSTITUTE(input_faculty_expertise," ","")&amp;",")))&gt;0)),IF(EU91="",TRUE,IF(input_faculty_expertise="",FALSE,SUMPRODUCT(--ISNUMBER(SEARCH(","&amp;TRIM(TEXTSPLIT(EU91,","))&amp;",",","&amp;SUBSTITUTE(input_faculty_expertise," ","")&amp;",")))=COUNTA(TEXTSPLIT(EU91,",")))))</f>
        <v/>
      </c>
      <c r="JH91" s="19">
        <f>AND(IF(EW91="",TRUE,IF(input_global_network_school="",FALSE,SUMPRODUCT(--ISNUMBER(SEARCH(","&amp;TRIM(TEXTSPLIT(EW91,","))&amp;",",","&amp;SUBSTITUTE(input_global_network_school," ","")&amp;",")))&gt;0)),IF(EY91="",TRUE,IF(input_global_network_school="",FALSE,SUMPRODUCT(--ISNUMBER(SEARCH(","&amp;TRIM(TEXTSPLIT(EY91,","))&amp;",",","&amp;SUBSTITUTE(input_global_network_school," ","")&amp;",")))=COUNTA(TEXTSPLIT(EY91,",")))),IF(FA91="",TRUE,IF(input_global_network_school="",TRUE,SUMPRODUCT(--ISNUMBER(SEARCH(","&amp;TRIM(TEXTSPLIT(FA91,","))&amp;",",","&amp;SUBSTITUTE(input_global_network_school," ","")&amp;",")))=0)),IF(FC91="",TRUE,IF(input_global_network_school="",FALSE,SUMPRODUCT(--ISNUMBER(SEARCH(","&amp;TRIM(TEXTSPLIT(FC91,","))&amp;",",","&amp;SUBSTITUTE(input_global_network_school," ","")&amp;",")))&gt;0)),IF(FE91="",TRUE,IF(input_global_network_school="",FALSE,SUMPRODUCT(--ISNUMBER(SEARCH(","&amp;TRIM(TEXTSPLIT(FE91,","))&amp;",",","&amp;SUBSTITUTE(input_global_network_school," ","")&amp;",")))=COUNTA(TEXTSPLIT(FE91,",")))))</f>
        <v/>
      </c>
      <c r="JI91" s="19">
        <f>AND(IF(FG91="",TRUE,IF(input_industry="",FALSE,SUMPRODUCT(--ISNUMBER(SEARCH(","&amp;TRIM(TEXTSPLIT(FG91,","))&amp;",",","&amp;SUBSTITUTE(input_industry," ","")&amp;",")))&gt;0)),IF(FI91="",TRUE,IF(input_industry="",FALSE,SUMPRODUCT(--ISNUMBER(SEARCH(","&amp;TRIM(TEXTSPLIT(FI91,","))&amp;",",","&amp;SUBSTITUTE(input_industry," ","")&amp;",")))=COUNTA(TEXTSPLIT(FI91,",")))),IF(FK91="",TRUE,IF(input_industry="",TRUE,SUMPRODUCT(--ISNUMBER(SEARCH(","&amp;TRIM(TEXTSPLIT(FK91,","))&amp;",",","&amp;SUBSTITUTE(input_industry," ","")&amp;",")))=0)),IF(FM91="",TRUE,IF(input_industry="",FALSE,SUMPRODUCT(--ISNUMBER(SEARCH(","&amp;TRIM(TEXTSPLIT(FM91,","))&amp;",",","&amp;SUBSTITUTE(input_industry," ","")&amp;",")))&gt;0)),IF(FO91="",TRUE,IF(input_industry="",FALSE,SUMPRODUCT(--ISNUMBER(SEARCH(","&amp;TRIM(TEXTSPLIT(FO91,","))&amp;",",","&amp;SUBSTITUTE(input_industry," ","")&amp;",")))=COUNTA(TEXTSPLIT(FO91,",")))))</f>
        <v/>
      </c>
      <c r="JJ91" s="19">
        <f>AND(IF(FQ91="",TRUE,IF(input_location="",FALSE,SUMPRODUCT(--ISNUMBER(SEARCH(","&amp;TRIM(TEXTSPLIT(FQ91,","))&amp;",",","&amp;SUBSTITUTE(input_location," ","")&amp;",")))&gt;0)),IF(FS91="",TRUE,IF(input_location="",FALSE,SUMPRODUCT(--ISNUMBER(SEARCH(","&amp;TRIM(TEXTSPLIT(FS91,","))&amp;",",","&amp;SUBSTITUTE(input_location," ","")&amp;",")))=COUNTA(TEXTSPLIT(FS91,",")))),IF(FU91="",TRUE,IF(input_location="",TRUE,SUMPRODUCT(--ISNUMBER(SEARCH(","&amp;TRIM(TEXTSPLIT(FU91,","))&amp;",",","&amp;SUBSTITUTE(input_location," ","")&amp;",")))=0)),IF(FW91="",TRUE,IF(input_location="",FALSE,SUMPRODUCT(--ISNUMBER(SEARCH(","&amp;TRIM(TEXTSPLIT(FW91,","))&amp;",",","&amp;SUBSTITUTE(input_location," ","")&amp;",")))&gt;0)),IF(FY91="",TRUE,IF(input_location="",FALSE,SUMPRODUCT(--ISNUMBER(SEARCH(","&amp;TRIM(TEXTSPLIT(FY91,","))&amp;",",","&amp;SUBSTITUTE(input_location," ","")&amp;",")))=COUNTA(TEXTSPLIT(FY91,",")))))</f>
        <v/>
      </c>
      <c r="JK91" s="19">
        <f>AND(IF(GA91="",TRUE,IF(input_modality="",FALSE,SUMPRODUCT(--ISNUMBER(SEARCH(","&amp;TRIM(TEXTSPLIT(GA91,","))&amp;",",","&amp;SUBSTITUTE(input_modality," ","")&amp;",")))&gt;0)),IF(GC91="",TRUE,IF(input_modality="",FALSE,SUMPRODUCT(--ISNUMBER(SEARCH(","&amp;TRIM(TEXTSPLIT(GC91,","))&amp;",",","&amp;SUBSTITUTE(input_modality," ","")&amp;",")))=COUNTA(TEXTSPLIT(GC91,",")))),IF(GE91="",TRUE,IF(input_modality="",TRUE,SUMPRODUCT(--ISNUMBER(SEARCH(","&amp;TRIM(TEXTSPLIT(GE91,","))&amp;",",","&amp;SUBSTITUTE(input_modality," ","")&amp;",")))=0)),IF(GG91="",TRUE,IF(input_modality="",FALSE,SUMPRODUCT(--ISNUMBER(SEARCH(","&amp;TRIM(TEXTSPLIT(GG91,","))&amp;",",","&amp;SUBSTITUTE(input_modality," ","")&amp;",")))&gt;0)),IF(GI91="",TRUE,IF(input_modality="",FALSE,SUMPRODUCT(--ISNUMBER(SEARCH(","&amp;TRIM(TEXTSPLIT(GI91,","))&amp;",",","&amp;SUBSTITUTE(input_modality," ","")&amp;",")))=COUNTA(TEXTSPLIT(GI91,",")))))</f>
        <v/>
      </c>
      <c r="JL91" s="19">
        <f>AND(IF(GK91="",TRUE,IF(input_organizer="",FALSE,SUMPRODUCT(--ISNUMBER(SEARCH(","&amp;TRIM(TEXTSPLIT(GK91,","))&amp;",",","&amp;SUBSTITUTE(input_organizer," ","")&amp;",")))&gt;0)),IF(GM91="",TRUE,IF(input_organizer="",FALSE,SUMPRODUCT(--ISNUMBER(SEARCH(","&amp;TRIM(TEXTSPLIT(GM91,","))&amp;",",","&amp;SUBSTITUTE(input_organizer," ","")&amp;",")))=COUNTA(TEXTSPLIT(GM91,",")))),IF(GO91="",TRUE,IF(input_organizer="",TRUE,SUMPRODUCT(--ISNUMBER(SEARCH(","&amp;TRIM(TEXTSPLIT(GO91,","))&amp;",",","&amp;SUBSTITUTE(input_organizer," ","")&amp;",")))=0)),IF(GQ91="",TRUE,IF(input_organizer="",FALSE,SUMPRODUCT(--ISNUMBER(SEARCH(","&amp;TRIM(TEXTSPLIT(GQ91,","))&amp;",",","&amp;SUBSTITUTE(input_organizer," ","")&amp;",")))&gt;0)),IF(GS91="",TRUE,IF(input_organizer="",FALSE,SUMPRODUCT(--ISNUMBER(SEARCH(","&amp;TRIM(TEXTSPLIT(GS91,","))&amp;",",","&amp;SUBSTITUTE(input_organizer," ","")&amp;",")))=COUNTA(TEXTSPLIT(GS91,",")))))</f>
        <v/>
      </c>
      <c r="JM91" s="19">
        <f>AND(IF(GU91="",TRUE,IF(input_profile_type="",FALSE,SUMPRODUCT(--ISNUMBER(SEARCH(","&amp;TRIM(TEXTSPLIT(GU91,","))&amp;",",","&amp;SUBSTITUTE(input_profile_type," ","")&amp;",")))&gt;0)),IF(GW91="",TRUE,IF(input_profile_type="",FALSE,SUMPRODUCT(--ISNUMBER(SEARCH(","&amp;TRIM(TEXTSPLIT(GW91,","))&amp;",",","&amp;SUBSTITUTE(input_profile_type," ","")&amp;",")))=COUNTA(TEXTSPLIT(GW91,",")))),IF(GY91="",TRUE,IF(input_profile_type="",TRUE,SUMPRODUCT(--ISNUMBER(SEARCH(","&amp;TRIM(TEXTSPLIT(GY91,","))&amp;",",","&amp;SUBSTITUTE(input_profile_type," ","")&amp;",")))=0)),IF(HA91="",TRUE,IF(input_profile_type="",FALSE,SUMPRODUCT(--ISNUMBER(SEARCH(","&amp;TRIM(TEXTSPLIT(HA91,","))&amp;",",","&amp;SUBSTITUTE(input_profile_type," ","")&amp;",")))&gt;0)),IF(HC91="",TRUE,IF(input_profile_type="",FALSE,SUMPRODUCT(--ISNUMBER(SEARCH(","&amp;TRIM(TEXTSPLIT(HC91,","))&amp;",",","&amp;SUBSTITUTE(input_profile_type," ","")&amp;",")))=COUNTA(TEXTSPLIT(HC91,",")))))</f>
        <v/>
      </c>
      <c r="JN91" s="19">
        <f>AND(IF(HE91="",TRUE,IF(input_program="",FALSE,SUMPRODUCT(--ISNUMBER(SEARCH(","&amp;TRIM(TEXTSPLIT(HE91,","))&amp;",",","&amp;SUBSTITUTE(input_program," ","")&amp;",")))&gt;0)),IF(HG91="",TRUE,IF(input_program="",FALSE,SUMPRODUCT(--ISNUMBER(SEARCH(","&amp;TRIM(TEXTSPLIT(HG91,","))&amp;",",","&amp;SUBSTITUTE(input_program," ","")&amp;",")))=COUNTA(TEXTSPLIT(HG91,",")))),IF(HI91="",TRUE,IF(input_program="",TRUE,SUMPRODUCT(--ISNUMBER(SEARCH(","&amp;TRIM(TEXTSPLIT(HI91,","))&amp;",",","&amp;SUBSTITUTE(input_program," ","")&amp;",")))=0)),IF(HK91="",TRUE,IF(input_program="",FALSE,SUMPRODUCT(--ISNUMBER(SEARCH(","&amp;TRIM(TEXTSPLIT(HK91,","))&amp;",",","&amp;SUBSTITUTE(input_program," ","")&amp;",")))&gt;0)),IF(HM91="",TRUE,IF(input_program="",FALSE,SUMPRODUCT(--ISNUMBER(SEARCH(","&amp;TRIM(TEXTSPLIT(HM91,","))&amp;",",","&amp;SUBSTITUTE(input_program," ","")&amp;",")))=COUNTA(TEXTSPLIT(HM91,",")))))</f>
        <v/>
      </c>
      <c r="JO91" s="19">
        <f>AND(IF(HO91="",TRUE,IF(input_story_categories="",FALSE,SUMPRODUCT(--ISNUMBER(SEARCH(","&amp;TRIM(TEXTSPLIT(HO91,","))&amp;",",","&amp;SUBSTITUTE(input_story_categories," ","")&amp;",")))&gt;0)),IF(HQ91="",TRUE,IF(input_story_categories="",FALSE,SUMPRODUCT(--ISNUMBER(SEARCH(","&amp;TRIM(TEXTSPLIT(HQ91,","))&amp;",",","&amp;SUBSTITUTE(input_story_categories," ","")&amp;",")))=COUNTA(TEXTSPLIT(HQ91,",")))),IF(HS91="",TRUE,IF(input_story_categories="",TRUE,SUMPRODUCT(--ISNUMBER(SEARCH(","&amp;TRIM(TEXTSPLIT(HS91,","))&amp;",",","&amp;SUBSTITUTE(input_story_categories," ","")&amp;",")))=0)),IF(HU91="",TRUE,IF(input_story_categories="",FALSE,SUMPRODUCT(--ISNUMBER(SEARCH(","&amp;TRIM(TEXTSPLIT(HU91,","))&amp;",",","&amp;SUBSTITUTE(input_story_categories," ","")&amp;",")))&gt;0)),IF(HW91="",TRUE,IF(input_story_categories="",FALSE,SUMPRODUCT(--ISNUMBER(SEARCH(","&amp;TRIM(TEXTSPLIT(HW91,","))&amp;",",","&amp;SUBSTITUTE(input_story_categories," ","")&amp;",")))=COUNTA(TEXTSPLIT(HW91,",")))))</f>
        <v/>
      </c>
      <c r="JP91" s="19">
        <f>AND(IF(HY91="",TRUE,IF(input_story_type="",FALSE,SUMPRODUCT(--ISNUMBER(SEARCH(","&amp;TRIM(TEXTSPLIT(HY91,","))&amp;",",","&amp;SUBSTITUTE(input_story_type," ","")&amp;",")))&gt;0)),IF(IA91="",TRUE,IF(input_story_type="",FALSE,SUMPRODUCT(--ISNUMBER(SEARCH(","&amp;TRIM(TEXTSPLIT(IA91,","))&amp;",",","&amp;SUBSTITUTE(input_story_type," ","")&amp;",")))=COUNTA(TEXTSPLIT(IA91,",")))),IF(IC91="",TRUE,IF(input_story_type="",TRUE,SUMPRODUCT(--ISNUMBER(SEARCH(","&amp;TRIM(TEXTSPLIT(IC91,","))&amp;",",","&amp;SUBSTITUTE(input_story_type," ","")&amp;",")))=0)),IF(IE91="",TRUE,IF(input_story_type="",FALSE,SUMPRODUCT(--ISNUMBER(SEARCH(","&amp;TRIM(TEXTSPLIT(IE91,","))&amp;",",","&amp;SUBSTITUTE(input_story_type," ","")&amp;",")))&gt;0)),IF(IG91="",TRUE,IF(input_story_type="",FALSE,SUMPRODUCT(--ISNUMBER(SEARCH(","&amp;TRIM(TEXTSPLIT(IG91,","))&amp;",",","&amp;SUBSTITUTE(input_story_type," ","")&amp;",")))=COUNTA(TEXTSPLIT(IG91,",")))))</f>
        <v/>
      </c>
      <c r="JQ91" s="19">
        <f>AND(IF(II91="",TRUE,IF(input_topics="",FALSE,SUMPRODUCT(--ISNUMBER(SEARCH(","&amp;TRIM(TEXTSPLIT(II91,","))&amp;",",","&amp;SUBSTITUTE(input_topics," ","")&amp;",")))&gt;0)),IF(IK91="",TRUE,IF(input_topics="",FALSE,SUMPRODUCT(--ISNUMBER(SEARCH(","&amp;TRIM(TEXTSPLIT(IK91,","))&amp;",",","&amp;SUBSTITUTE(input_topics," ","")&amp;",")))=COUNTA(TEXTSPLIT(IK91,",")))),IF(IM91="",TRUE,IF(input_topics="",TRUE,SUMPRODUCT(--ISNUMBER(SEARCH(","&amp;TRIM(TEXTSPLIT(IM91,","))&amp;",",","&amp;SUBSTITUTE(input_topics," ","")&amp;",")))=0)),IF(IO91="",TRUE,IF(input_topics="",FALSE,SUMPRODUCT(--ISNUMBER(SEARCH(","&amp;TRIM(TEXTSPLIT(IO91,","))&amp;",",","&amp;SUBSTITUTE(input_topics," ","")&amp;",")))&gt;0)),IF(IQ91="",TRUE,IF(input_topics="",FALSE,SUMPRODUCT(--ISNUMBER(SEARCH(","&amp;TRIM(TEXTSPLIT(IQ91,","))&amp;",",","&amp;SUBSTITUTE(input_topics," ","")&amp;",")))=COUNTA(TEXTSPLIT(IQ91,",")))))</f>
        <v/>
      </c>
    </row>
    <row r="92">
      <c r="A92" s="24">
        <f>IF(NOT(IS92),"Excluded",IF(AND(IT92,IU92,IV92,IW92,IX92,IY92,IZ92,JA92,JB92,JC92,JD92,JE92,JF92,JG92,JH92,JI92,JJ92,JK92,JL92,JM92,JN92,JO92,JP92,JQ92),IF(I92&gt;0,"Eligible but limited","Will appear"),"Excluded"))</f>
        <v/>
      </c>
      <c r="B92" s="24" t="inlineStr">
        <is>
          <t>Daily Systemic Risk Blog</t>
        </is>
      </c>
      <c r="C92" s="27" t="inlineStr">
        <is>
          <t>/centers/program-on-financial-stability/systemic-risk-blog</t>
        </is>
      </c>
      <c r="D92" s="24" t="inlineStr">
        <is>
          <t>/centers/program-on-financial-stability/systemic-risk-blog</t>
        </is>
      </c>
      <c r="E92" s="24" t="n">
        <v>1</v>
      </c>
      <c r="F92" s="24" t="inlineStr">
        <is>
          <t>story</t>
        </is>
      </c>
      <c r="G92" s="24" t="inlineStr">
        <is>
          <t>stories_list</t>
        </is>
      </c>
      <c r="H92" s="24" t="inlineStr">
        <is>
          <t>embed_blog</t>
        </is>
      </c>
      <c r="I92" s="24" t="n">
        <v>10</v>
      </c>
      <c r="J92" s="28" t="inlineStr">
        <is>
          <t>Explicit args</t>
        </is>
      </c>
      <c r="K92" s="24" t="inlineStr">
        <is>
          <t>Page placement</t>
        </is>
      </c>
      <c r="L92" s="24" t="inlineStr">
        <is>
          <t>Content type: story; Context uses Courses Context: Program on Financial Stability (955); Needs any Story Type: Blog (974); Limited to 10 item(s); Source: Explicit args</t>
        </is>
      </c>
      <c r="BQ92" s="19" t="inlineStr">
        <is>
          <t>955</t>
        </is>
      </c>
      <c r="BR92" s="19" t="inlineStr">
        <is>
          <t>Program on Financial Stability (955)</t>
        </is>
      </c>
      <c r="HY92" s="19" t="inlineStr">
        <is>
          <t>974</t>
        </is>
      </c>
      <c r="HZ92" s="19" t="inlineStr">
        <is>
          <t>Blog (974)</t>
        </is>
      </c>
      <c r="IS92" s="19">
        <f>IF(input_content_type="",FALSE,ISNUMBER(SEARCH(","&amp;LOWER(input_content_type)&amp;",",","&amp;LOWER(SUBSTITUTE(F92," ",""))&amp;",")))</f>
        <v/>
      </c>
      <c r="IT92" s="19">
        <f>AND(IF(M92="",TRUE,IF(input_affiliations="",FALSE,SUMPRODUCT(--ISNUMBER(SEARCH(","&amp;TRIM(TEXTSPLIT(M92,","))&amp;",",","&amp;SUBSTITUTE(input_affiliations," ","")&amp;",")))&gt;0)),IF(O92="",TRUE,IF(input_affiliations="",FALSE,SUMPRODUCT(--ISNUMBER(SEARCH(","&amp;TRIM(TEXTSPLIT(O92,","))&amp;",",","&amp;SUBSTITUTE(input_affiliations," ","")&amp;",")))=COUNTA(TEXTSPLIT(O92,",")))),IF(Q92="",TRUE,IF(input_affiliations="",TRUE,SUMPRODUCT(--ISNUMBER(SEARCH(","&amp;TRIM(TEXTSPLIT(Q92,","))&amp;",",","&amp;SUBSTITUTE(input_affiliations," ","")&amp;",")))=0)),IF(S92="",TRUE,IF(input_affiliations="",FALSE,SUMPRODUCT(--ISNUMBER(SEARCH(","&amp;TRIM(TEXTSPLIT(S92,","))&amp;",",","&amp;SUBSTITUTE(input_affiliations," ","")&amp;",")))&gt;0)),IF(U92="",TRUE,IF(input_affiliations="",FALSE,SUMPRODUCT(--ISNUMBER(SEARCH(","&amp;TRIM(TEXTSPLIT(U92,","))&amp;",",","&amp;SUBSTITUTE(input_affiliations," ","")&amp;",")))=COUNTA(TEXTSPLIT(U92,",")))))</f>
        <v/>
      </c>
      <c r="IU92" s="19">
        <f>AND(IF(W92="",TRUE,IF(input_announcement_category="",FALSE,SUMPRODUCT(--ISNUMBER(SEARCH(","&amp;TRIM(TEXTSPLIT(W92,","))&amp;",",","&amp;SUBSTITUTE(input_announcement_category," ","")&amp;",")))&gt;0)),IF(Y92="",TRUE,IF(input_announcement_category="",FALSE,SUMPRODUCT(--ISNUMBER(SEARCH(","&amp;TRIM(TEXTSPLIT(Y92,","))&amp;",",","&amp;SUBSTITUTE(input_announcement_category," ","")&amp;",")))=COUNTA(TEXTSPLIT(Y92,",")))),IF(AA92="",TRUE,IF(input_announcement_category="",TRUE,SUMPRODUCT(--ISNUMBER(SEARCH(","&amp;TRIM(TEXTSPLIT(AA92,","))&amp;",",","&amp;SUBSTITUTE(input_announcement_category," ","")&amp;",")))=0)),IF(AC92="",TRUE,IF(input_announcement_category="",FALSE,SUMPRODUCT(--ISNUMBER(SEARCH(","&amp;TRIM(TEXTSPLIT(AC92,","))&amp;",",","&amp;SUBSTITUTE(input_announcement_category," ","")&amp;",")))&gt;0)),IF(AE92="",TRUE,IF(input_announcement_category="",FALSE,SUMPRODUCT(--ISNUMBER(SEARCH(","&amp;TRIM(TEXTSPLIT(AE92,","))&amp;",",","&amp;SUBSTITUTE(input_announcement_category," ","")&amp;",")))=COUNTA(TEXTSPLIT(AE92,",")))))</f>
        <v/>
      </c>
      <c r="IV92" s="19">
        <f>AND(IF(AG92="",TRUE,IF(input_area_of_focus="",FALSE,SUMPRODUCT(--ISNUMBER(SEARCH(","&amp;TRIM(TEXTSPLIT(AG92,","))&amp;",",","&amp;SUBSTITUTE(input_area_of_focus," ","")&amp;",")))&gt;0)),IF(AI92="",TRUE,IF(input_area_of_focus="",FALSE,SUMPRODUCT(--ISNUMBER(SEARCH(","&amp;TRIM(TEXTSPLIT(AI92,","))&amp;",",","&amp;SUBSTITUTE(input_area_of_focus," ","")&amp;",")))=COUNTA(TEXTSPLIT(AI92,",")))),IF(AK92="",TRUE,IF(input_area_of_focus="",TRUE,SUMPRODUCT(--ISNUMBER(SEARCH(","&amp;TRIM(TEXTSPLIT(AK92,","))&amp;",",","&amp;SUBSTITUTE(input_area_of_focus," ","")&amp;",")))=0)),IF(AM92="",TRUE,IF(input_area_of_focus="",FALSE,SUMPRODUCT(--ISNUMBER(SEARCH(","&amp;TRIM(TEXTSPLIT(AM92,","))&amp;",",","&amp;SUBSTITUTE(input_area_of_focus," ","")&amp;",")))&gt;0)),IF(AO92="",TRUE,IF(input_area_of_focus="",FALSE,SUMPRODUCT(--ISNUMBER(SEARCH(","&amp;TRIM(TEXTSPLIT(AO92,","))&amp;",",","&amp;SUBSTITUTE(input_area_of_focus," ","")&amp;",")))=COUNTA(TEXTSPLIT(AO92,",")))))</f>
        <v/>
      </c>
      <c r="IW92" s="19">
        <f>AND(IF(AQ92="",TRUE,IF(input_audience="",FALSE,SUMPRODUCT(--ISNUMBER(SEARCH(","&amp;TRIM(TEXTSPLIT(AQ92,","))&amp;",",","&amp;SUBSTITUTE(input_audience," ","")&amp;",")))&gt;0)),IF(AS92="",TRUE,IF(input_audience="",FALSE,SUMPRODUCT(--ISNUMBER(SEARCH(","&amp;TRIM(TEXTSPLIT(AS92,","))&amp;",",","&amp;SUBSTITUTE(input_audience," ","")&amp;",")))=COUNTA(TEXTSPLIT(AS92,",")))),IF(AU92="",TRUE,IF(input_audience="",TRUE,SUMPRODUCT(--ISNUMBER(SEARCH(","&amp;TRIM(TEXTSPLIT(AU92,","))&amp;",",","&amp;SUBSTITUTE(input_audience," ","")&amp;",")))=0)),IF(AW92="",TRUE,IF(input_audience="",FALSE,SUMPRODUCT(--ISNUMBER(SEARCH(","&amp;TRIM(TEXTSPLIT(AW92,","))&amp;",",","&amp;SUBSTITUTE(input_audience," ","")&amp;",")))&gt;0)),IF(AY92="",TRUE,IF(input_audience="",FALSE,SUMPRODUCT(--ISNUMBER(SEARCH(","&amp;TRIM(TEXTSPLIT(AY92,","))&amp;",",","&amp;SUBSTITUTE(input_audience," ","")&amp;",")))=COUNTA(TEXTSPLIT(AY92,",")))))</f>
        <v/>
      </c>
      <c r="IX92" s="19">
        <f>AND(IF(BA92="",TRUE,IF(input_challenge_opportunities="",FALSE,SUMPRODUCT(--ISNUMBER(SEARCH(","&amp;TRIM(TEXTSPLIT(BA92,","))&amp;",",","&amp;SUBSTITUTE(input_challenge_opportunities," ","")&amp;",")))&gt;0)),IF(BC92="",TRUE,IF(input_challenge_opportunities="",FALSE,SUMPRODUCT(--ISNUMBER(SEARCH(","&amp;TRIM(TEXTSPLIT(BC92,","))&amp;",",","&amp;SUBSTITUTE(input_challenge_opportunities," ","")&amp;",")))=COUNTA(TEXTSPLIT(BC92,",")))),IF(BE92="",TRUE,IF(input_challenge_opportunities="",TRUE,SUMPRODUCT(--ISNUMBER(SEARCH(","&amp;TRIM(TEXTSPLIT(BE92,","))&amp;",",","&amp;SUBSTITUTE(input_challenge_opportunities," ","")&amp;",")))=0)),IF(BG92="",TRUE,IF(input_challenge_opportunities="",FALSE,SUMPRODUCT(--ISNUMBER(SEARCH(","&amp;TRIM(TEXTSPLIT(BG92,","))&amp;",",","&amp;SUBSTITUTE(input_challenge_opportunities," ","")&amp;",")))&gt;0)),IF(BI92="",TRUE,IF(input_challenge_opportunities="",FALSE,SUMPRODUCT(--ISNUMBER(SEARCH(","&amp;TRIM(TEXTSPLIT(BI92,","))&amp;",",","&amp;SUBSTITUTE(input_challenge_opportunities," ","")&amp;",")))=COUNTA(TEXTSPLIT(BI92,",")))))</f>
        <v/>
      </c>
      <c r="IY92" s="19">
        <f>AND(IF(BK92="",TRUE,IF(input_context="",FALSE,SUMPRODUCT(--ISNUMBER(SEARCH(","&amp;TRIM(TEXTSPLIT(BK92,","))&amp;",",","&amp;SUBSTITUTE(input_context," ","")&amp;",")))&gt;0)),IF(BM92="",TRUE,IF(input_context="",FALSE,SUMPRODUCT(--ISNUMBER(SEARCH(","&amp;TRIM(TEXTSPLIT(BM92,","))&amp;",",","&amp;SUBSTITUTE(input_context," ","")&amp;",")))=COUNTA(TEXTSPLIT(BM92,",")))),IF(BO92="",TRUE,IF(input_context="",TRUE,SUMPRODUCT(--ISNUMBER(SEARCH(","&amp;TRIM(TEXTSPLIT(BO92,","))&amp;",",","&amp;SUBSTITUTE(input_context," ","")&amp;",")))=0)),IF(BQ92="",TRUE,IF(input_context="",FALSE,SUMPRODUCT(--ISNUMBER(SEARCH(","&amp;TRIM(TEXTSPLIT(BQ92,","))&amp;",",","&amp;SUBSTITUTE(input_context," ","")&amp;",")))&gt;0)),IF(BS92="",TRUE,IF(input_context="",FALSE,SUMPRODUCT(--ISNUMBER(SEARCH(","&amp;TRIM(TEXTSPLIT(BS92,","))&amp;",",","&amp;SUBSTITUTE(input_context," ","")&amp;",")))=COUNTA(TEXTSPLIT(BS92,",")))))</f>
        <v/>
      </c>
      <c r="IZ92" s="19">
        <f>AND(IF(BU92="",TRUE,IF(input_enews_announcement_type="",FALSE,SUMPRODUCT(--ISNUMBER(SEARCH(","&amp;TRIM(TEXTSPLIT(BU92,","))&amp;",",","&amp;SUBSTITUTE(input_enews_announcement_type," ","")&amp;",")))&gt;0)),IF(BW92="",TRUE,IF(input_enews_announcement_type="",FALSE,SUMPRODUCT(--ISNUMBER(SEARCH(","&amp;TRIM(TEXTSPLIT(BW92,","))&amp;",",","&amp;SUBSTITUTE(input_enews_announcement_type," ","")&amp;",")))=COUNTA(TEXTSPLIT(BW92,",")))),IF(BY92="",TRUE,IF(input_enews_announcement_type="",TRUE,SUMPRODUCT(--ISNUMBER(SEARCH(","&amp;TRIM(TEXTSPLIT(BY92,","))&amp;",",","&amp;SUBSTITUTE(input_enews_announcement_type," ","")&amp;",")))=0)),IF(CA92="",TRUE,IF(input_enews_announcement_type="",FALSE,SUMPRODUCT(--ISNUMBER(SEARCH(","&amp;TRIM(TEXTSPLIT(CA92,","))&amp;",",","&amp;SUBSTITUTE(input_enews_announcement_type," ","")&amp;",")))&gt;0)),IF(CC92="",TRUE,IF(input_enews_announcement_type="",FALSE,SUMPRODUCT(--ISNUMBER(SEARCH(","&amp;TRIM(TEXTSPLIT(CC92,","))&amp;",",","&amp;SUBSTITUTE(input_enews_announcement_type," ","")&amp;",")))=COUNTA(TEXTSPLIT(CC92,",")))))</f>
        <v/>
      </c>
      <c r="JA92" s="19">
        <f>AND(IF(CE92="",TRUE,IF(input_enews_audience="",FALSE,SUMPRODUCT(--ISNUMBER(SEARCH(","&amp;TRIM(TEXTSPLIT(CE92,","))&amp;",",","&amp;SUBSTITUTE(input_enews_audience," ","")&amp;",")))&gt;0)),IF(CG92="",TRUE,IF(input_enews_audience="",FALSE,SUMPRODUCT(--ISNUMBER(SEARCH(","&amp;TRIM(TEXTSPLIT(CG92,","))&amp;",",","&amp;SUBSTITUTE(input_enews_audience," ","")&amp;",")))=COUNTA(TEXTSPLIT(CG92,",")))),IF(CI92="",TRUE,IF(input_enews_audience="",TRUE,SUMPRODUCT(--ISNUMBER(SEARCH(","&amp;TRIM(TEXTSPLIT(CI92,","))&amp;",",","&amp;SUBSTITUTE(input_enews_audience," ","")&amp;",")))=0)),IF(CK92="",TRUE,IF(input_enews_audience="",FALSE,SUMPRODUCT(--ISNUMBER(SEARCH(","&amp;TRIM(TEXTSPLIT(CK92,","))&amp;",",","&amp;SUBSTITUTE(input_enews_audience," ","")&amp;",")))&gt;0)),IF(CM92="",TRUE,IF(input_enews_audience="",FALSE,SUMPRODUCT(--ISNUMBER(SEARCH(","&amp;TRIM(TEXTSPLIT(CM92,","))&amp;",",","&amp;SUBSTITUTE(input_enews_audience," ","")&amp;",")))=COUNTA(TEXTSPLIT(CM92,",")))))</f>
        <v/>
      </c>
      <c r="JB92" s="19">
        <f>AND(IF(CO92="",TRUE,IF(input_event_location="",FALSE,SUMPRODUCT(--ISNUMBER(SEARCH(","&amp;TRIM(TEXTSPLIT(CO92,","))&amp;",",","&amp;SUBSTITUTE(input_event_location," ","")&amp;",")))&gt;0)),IF(CQ92="",TRUE,IF(input_event_location="",FALSE,SUMPRODUCT(--ISNUMBER(SEARCH(","&amp;TRIM(TEXTSPLIT(CQ92,","))&amp;",",","&amp;SUBSTITUTE(input_event_location," ","")&amp;",")))=COUNTA(TEXTSPLIT(CQ92,",")))),IF(CS92="",TRUE,IF(input_event_location="",TRUE,SUMPRODUCT(--ISNUMBER(SEARCH(","&amp;TRIM(TEXTSPLIT(CS92,","))&amp;",",","&amp;SUBSTITUTE(input_event_location," ","")&amp;",")))=0)),IF(CU92="",TRUE,IF(input_event_location="",FALSE,SUMPRODUCT(--ISNUMBER(SEARCH(","&amp;TRIM(TEXTSPLIT(CU92,","))&amp;",",","&amp;SUBSTITUTE(input_event_location," ","")&amp;",")))&gt;0)),IF(CW92="",TRUE,IF(input_event_location="",FALSE,SUMPRODUCT(--ISNUMBER(SEARCH(","&amp;TRIM(TEXTSPLIT(CW92,","))&amp;",",","&amp;SUBSTITUTE(input_event_location," ","")&amp;",")))=COUNTA(TEXTSPLIT(CW92,",")))))</f>
        <v/>
      </c>
      <c r="JC92" s="19">
        <f>AND(IF(CY92="",TRUE,IF(input_event_type="",FALSE,SUMPRODUCT(--ISNUMBER(SEARCH(","&amp;TRIM(TEXTSPLIT(CY92,","))&amp;",",","&amp;SUBSTITUTE(input_event_type," ","")&amp;",")))&gt;0)),IF(DA92="",TRUE,IF(input_event_type="",FALSE,SUMPRODUCT(--ISNUMBER(SEARCH(","&amp;TRIM(TEXTSPLIT(DA92,","))&amp;",",","&amp;SUBSTITUTE(input_event_type," ","")&amp;",")))=COUNTA(TEXTSPLIT(DA92,",")))),IF(DC92="",TRUE,IF(input_event_type="",TRUE,SUMPRODUCT(--ISNUMBER(SEARCH(","&amp;TRIM(TEXTSPLIT(DC92,","))&amp;",",","&amp;SUBSTITUTE(input_event_type," ","")&amp;",")))=0)),IF(DE92="",TRUE,IF(input_event_type="",FALSE,SUMPRODUCT(--ISNUMBER(SEARCH(","&amp;TRIM(TEXTSPLIT(DE92,","))&amp;",",","&amp;SUBSTITUTE(input_event_type," ","")&amp;",")))&gt;0)),IF(DG92="",TRUE,IF(input_event_type="",FALSE,SUMPRODUCT(--ISNUMBER(SEARCH(","&amp;TRIM(TEXTSPLIT(DG92,","))&amp;",",","&amp;SUBSTITUTE(input_event_type," ","")&amp;",")))=COUNTA(TEXTSPLIT(DG92,",")))))</f>
        <v/>
      </c>
      <c r="JD92" s="19">
        <f>AND(IF(DI92="",TRUE,IF(input_executive_education_focus="",FALSE,SUMPRODUCT(--ISNUMBER(SEARCH(","&amp;TRIM(TEXTSPLIT(DI92,","))&amp;",",","&amp;SUBSTITUTE(input_executive_education_focus," ","")&amp;",")))&gt;0)),IF(DK92="",TRUE,IF(input_executive_education_focus="",FALSE,SUMPRODUCT(--ISNUMBER(SEARCH(","&amp;TRIM(TEXTSPLIT(DK92,","))&amp;",",","&amp;SUBSTITUTE(input_executive_education_focus," ","")&amp;",")))=COUNTA(TEXTSPLIT(DK92,",")))),IF(DM92="",TRUE,IF(input_executive_education_focus="",TRUE,SUMPRODUCT(--ISNUMBER(SEARCH(","&amp;TRIM(TEXTSPLIT(DM92,","))&amp;",",","&amp;SUBSTITUTE(input_executive_education_focus," ","")&amp;",")))=0)),IF(DO92="",TRUE,IF(input_executive_education_focus="",FALSE,SUMPRODUCT(--ISNUMBER(SEARCH(","&amp;TRIM(TEXTSPLIT(DO92,","))&amp;",",","&amp;SUBSTITUTE(input_executive_education_focus," ","")&amp;",")))&gt;0)),IF(DQ92="",TRUE,IF(input_executive_education_focus="",FALSE,SUMPRODUCT(--ISNUMBER(SEARCH(","&amp;TRIM(TEXTSPLIT(DQ92,","))&amp;",",","&amp;SUBSTITUTE(input_executive_education_focus," ","")&amp;",")))=COUNTA(TEXTSPLIT(DQ92,",")))))</f>
        <v/>
      </c>
      <c r="JE92" s="19">
        <f>AND(IF(DS92="",TRUE,IF(input_faculty_category="",FALSE,SUMPRODUCT(--ISNUMBER(SEARCH(","&amp;TRIM(TEXTSPLIT(DS92,","))&amp;",",","&amp;SUBSTITUTE(input_faculty_category," ","")&amp;",")))&gt;0)),IF(DU92="",TRUE,IF(input_faculty_category="",FALSE,SUMPRODUCT(--ISNUMBER(SEARCH(","&amp;TRIM(TEXTSPLIT(DU92,","))&amp;",",","&amp;SUBSTITUTE(input_faculty_category," ","")&amp;",")))=COUNTA(TEXTSPLIT(DU92,",")))),IF(DW92="",TRUE,IF(input_faculty_category="",TRUE,SUMPRODUCT(--ISNUMBER(SEARCH(","&amp;TRIM(TEXTSPLIT(DW92,","))&amp;",",","&amp;SUBSTITUTE(input_faculty_category," ","")&amp;",")))=0)),IF(DY92="",TRUE,IF(input_faculty_category="",FALSE,SUMPRODUCT(--ISNUMBER(SEARCH(","&amp;TRIM(TEXTSPLIT(DY92,","))&amp;",",","&amp;SUBSTITUTE(input_faculty_category," ","")&amp;",")))&gt;0)),IF(EA92="",TRUE,IF(input_faculty_category="",FALSE,SUMPRODUCT(--ISNUMBER(SEARCH(","&amp;TRIM(TEXTSPLIT(EA92,","))&amp;",",","&amp;SUBSTITUTE(input_faculty_category," ","")&amp;",")))=COUNTA(TEXTSPLIT(EA92,",")))))</f>
        <v/>
      </c>
      <c r="JF92" s="19">
        <f>AND(IF(EC92="",TRUE,IF(input_faculty_discipline="",FALSE,SUMPRODUCT(--ISNUMBER(SEARCH(","&amp;TRIM(TEXTSPLIT(EC92,","))&amp;",",","&amp;SUBSTITUTE(input_faculty_discipline," ","")&amp;",")))&gt;0)),IF(EE92="",TRUE,IF(input_faculty_discipline="",FALSE,SUMPRODUCT(--ISNUMBER(SEARCH(","&amp;TRIM(TEXTSPLIT(EE92,","))&amp;",",","&amp;SUBSTITUTE(input_faculty_discipline," ","")&amp;",")))=COUNTA(TEXTSPLIT(EE92,",")))),IF(EG92="",TRUE,IF(input_faculty_discipline="",TRUE,SUMPRODUCT(--ISNUMBER(SEARCH(","&amp;TRIM(TEXTSPLIT(EG92,","))&amp;",",","&amp;SUBSTITUTE(input_faculty_discipline," ","")&amp;",")))=0)),IF(EI92="",TRUE,IF(input_faculty_discipline="",FALSE,SUMPRODUCT(--ISNUMBER(SEARCH(","&amp;TRIM(TEXTSPLIT(EI92,","))&amp;",",","&amp;SUBSTITUTE(input_faculty_discipline," ","")&amp;",")))&gt;0)),IF(EK92="",TRUE,IF(input_faculty_discipline="",FALSE,SUMPRODUCT(--ISNUMBER(SEARCH(","&amp;TRIM(TEXTSPLIT(EK92,","))&amp;",",","&amp;SUBSTITUTE(input_faculty_discipline," ","")&amp;",")))=COUNTA(TEXTSPLIT(EK92,",")))))</f>
        <v/>
      </c>
      <c r="JG92" s="19">
        <f>AND(IF(EM92="",TRUE,IF(input_faculty_expertise="",FALSE,SUMPRODUCT(--ISNUMBER(SEARCH(","&amp;TRIM(TEXTSPLIT(EM92,","))&amp;",",","&amp;SUBSTITUTE(input_faculty_expertise," ","")&amp;",")))&gt;0)),IF(EO92="",TRUE,IF(input_faculty_expertise="",FALSE,SUMPRODUCT(--ISNUMBER(SEARCH(","&amp;TRIM(TEXTSPLIT(EO92,","))&amp;",",","&amp;SUBSTITUTE(input_faculty_expertise," ","")&amp;",")))=COUNTA(TEXTSPLIT(EO92,",")))),IF(EQ92="",TRUE,IF(input_faculty_expertise="",TRUE,SUMPRODUCT(--ISNUMBER(SEARCH(","&amp;TRIM(TEXTSPLIT(EQ92,","))&amp;",",","&amp;SUBSTITUTE(input_faculty_expertise," ","")&amp;",")))=0)),IF(ES92="",TRUE,IF(input_faculty_expertise="",FALSE,SUMPRODUCT(--ISNUMBER(SEARCH(","&amp;TRIM(TEXTSPLIT(ES92,","))&amp;",",","&amp;SUBSTITUTE(input_faculty_expertise," ","")&amp;",")))&gt;0)),IF(EU92="",TRUE,IF(input_faculty_expertise="",FALSE,SUMPRODUCT(--ISNUMBER(SEARCH(","&amp;TRIM(TEXTSPLIT(EU92,","))&amp;",",","&amp;SUBSTITUTE(input_faculty_expertise," ","")&amp;",")))=COUNTA(TEXTSPLIT(EU92,",")))))</f>
        <v/>
      </c>
      <c r="JH92" s="19">
        <f>AND(IF(EW92="",TRUE,IF(input_global_network_school="",FALSE,SUMPRODUCT(--ISNUMBER(SEARCH(","&amp;TRIM(TEXTSPLIT(EW92,","))&amp;",",","&amp;SUBSTITUTE(input_global_network_school," ","")&amp;",")))&gt;0)),IF(EY92="",TRUE,IF(input_global_network_school="",FALSE,SUMPRODUCT(--ISNUMBER(SEARCH(","&amp;TRIM(TEXTSPLIT(EY92,","))&amp;",",","&amp;SUBSTITUTE(input_global_network_school," ","")&amp;",")))=COUNTA(TEXTSPLIT(EY92,",")))),IF(FA92="",TRUE,IF(input_global_network_school="",TRUE,SUMPRODUCT(--ISNUMBER(SEARCH(","&amp;TRIM(TEXTSPLIT(FA92,","))&amp;",",","&amp;SUBSTITUTE(input_global_network_school," ","")&amp;",")))=0)),IF(FC92="",TRUE,IF(input_global_network_school="",FALSE,SUMPRODUCT(--ISNUMBER(SEARCH(","&amp;TRIM(TEXTSPLIT(FC92,","))&amp;",",","&amp;SUBSTITUTE(input_global_network_school," ","")&amp;",")))&gt;0)),IF(FE92="",TRUE,IF(input_global_network_school="",FALSE,SUMPRODUCT(--ISNUMBER(SEARCH(","&amp;TRIM(TEXTSPLIT(FE92,","))&amp;",",","&amp;SUBSTITUTE(input_global_network_school," ","")&amp;",")))=COUNTA(TEXTSPLIT(FE92,",")))))</f>
        <v/>
      </c>
      <c r="JI92" s="19">
        <f>AND(IF(FG92="",TRUE,IF(input_industry="",FALSE,SUMPRODUCT(--ISNUMBER(SEARCH(","&amp;TRIM(TEXTSPLIT(FG92,","))&amp;",",","&amp;SUBSTITUTE(input_industry," ","")&amp;",")))&gt;0)),IF(FI92="",TRUE,IF(input_industry="",FALSE,SUMPRODUCT(--ISNUMBER(SEARCH(","&amp;TRIM(TEXTSPLIT(FI92,","))&amp;",",","&amp;SUBSTITUTE(input_industry," ","")&amp;",")))=COUNTA(TEXTSPLIT(FI92,",")))),IF(FK92="",TRUE,IF(input_industry="",TRUE,SUMPRODUCT(--ISNUMBER(SEARCH(","&amp;TRIM(TEXTSPLIT(FK92,","))&amp;",",","&amp;SUBSTITUTE(input_industry," ","")&amp;",")))=0)),IF(FM92="",TRUE,IF(input_industry="",FALSE,SUMPRODUCT(--ISNUMBER(SEARCH(","&amp;TRIM(TEXTSPLIT(FM92,","))&amp;",",","&amp;SUBSTITUTE(input_industry," ","")&amp;",")))&gt;0)),IF(FO92="",TRUE,IF(input_industry="",FALSE,SUMPRODUCT(--ISNUMBER(SEARCH(","&amp;TRIM(TEXTSPLIT(FO92,","))&amp;",",","&amp;SUBSTITUTE(input_industry," ","")&amp;",")))=COUNTA(TEXTSPLIT(FO92,",")))))</f>
        <v/>
      </c>
      <c r="JJ92" s="19">
        <f>AND(IF(FQ92="",TRUE,IF(input_location="",FALSE,SUMPRODUCT(--ISNUMBER(SEARCH(","&amp;TRIM(TEXTSPLIT(FQ92,","))&amp;",",","&amp;SUBSTITUTE(input_location," ","")&amp;",")))&gt;0)),IF(FS92="",TRUE,IF(input_location="",FALSE,SUMPRODUCT(--ISNUMBER(SEARCH(","&amp;TRIM(TEXTSPLIT(FS92,","))&amp;",",","&amp;SUBSTITUTE(input_location," ","")&amp;",")))=COUNTA(TEXTSPLIT(FS92,",")))),IF(FU92="",TRUE,IF(input_location="",TRUE,SUMPRODUCT(--ISNUMBER(SEARCH(","&amp;TRIM(TEXTSPLIT(FU92,","))&amp;",",","&amp;SUBSTITUTE(input_location," ","")&amp;",")))=0)),IF(FW92="",TRUE,IF(input_location="",FALSE,SUMPRODUCT(--ISNUMBER(SEARCH(","&amp;TRIM(TEXTSPLIT(FW92,","))&amp;",",","&amp;SUBSTITUTE(input_location," ","")&amp;",")))&gt;0)),IF(FY92="",TRUE,IF(input_location="",FALSE,SUMPRODUCT(--ISNUMBER(SEARCH(","&amp;TRIM(TEXTSPLIT(FY92,","))&amp;",",","&amp;SUBSTITUTE(input_location," ","")&amp;",")))=COUNTA(TEXTSPLIT(FY92,",")))))</f>
        <v/>
      </c>
      <c r="JK92" s="19">
        <f>AND(IF(GA92="",TRUE,IF(input_modality="",FALSE,SUMPRODUCT(--ISNUMBER(SEARCH(","&amp;TRIM(TEXTSPLIT(GA92,","))&amp;",",","&amp;SUBSTITUTE(input_modality," ","")&amp;",")))&gt;0)),IF(GC92="",TRUE,IF(input_modality="",FALSE,SUMPRODUCT(--ISNUMBER(SEARCH(","&amp;TRIM(TEXTSPLIT(GC92,","))&amp;",",","&amp;SUBSTITUTE(input_modality," ","")&amp;",")))=COUNTA(TEXTSPLIT(GC92,",")))),IF(GE92="",TRUE,IF(input_modality="",TRUE,SUMPRODUCT(--ISNUMBER(SEARCH(","&amp;TRIM(TEXTSPLIT(GE92,","))&amp;",",","&amp;SUBSTITUTE(input_modality," ","")&amp;",")))=0)),IF(GG92="",TRUE,IF(input_modality="",FALSE,SUMPRODUCT(--ISNUMBER(SEARCH(","&amp;TRIM(TEXTSPLIT(GG92,","))&amp;",",","&amp;SUBSTITUTE(input_modality," ","")&amp;",")))&gt;0)),IF(GI92="",TRUE,IF(input_modality="",FALSE,SUMPRODUCT(--ISNUMBER(SEARCH(","&amp;TRIM(TEXTSPLIT(GI92,","))&amp;",",","&amp;SUBSTITUTE(input_modality," ","")&amp;",")))=COUNTA(TEXTSPLIT(GI92,",")))))</f>
        <v/>
      </c>
      <c r="JL92" s="19">
        <f>AND(IF(GK92="",TRUE,IF(input_organizer="",FALSE,SUMPRODUCT(--ISNUMBER(SEARCH(","&amp;TRIM(TEXTSPLIT(GK92,","))&amp;",",","&amp;SUBSTITUTE(input_organizer," ","")&amp;",")))&gt;0)),IF(GM92="",TRUE,IF(input_organizer="",FALSE,SUMPRODUCT(--ISNUMBER(SEARCH(","&amp;TRIM(TEXTSPLIT(GM92,","))&amp;",",","&amp;SUBSTITUTE(input_organizer," ","")&amp;",")))=COUNTA(TEXTSPLIT(GM92,",")))),IF(GO92="",TRUE,IF(input_organizer="",TRUE,SUMPRODUCT(--ISNUMBER(SEARCH(","&amp;TRIM(TEXTSPLIT(GO92,","))&amp;",",","&amp;SUBSTITUTE(input_organizer," ","")&amp;",")))=0)),IF(GQ92="",TRUE,IF(input_organizer="",FALSE,SUMPRODUCT(--ISNUMBER(SEARCH(","&amp;TRIM(TEXTSPLIT(GQ92,","))&amp;",",","&amp;SUBSTITUTE(input_organizer," ","")&amp;",")))&gt;0)),IF(GS92="",TRUE,IF(input_organizer="",FALSE,SUMPRODUCT(--ISNUMBER(SEARCH(","&amp;TRIM(TEXTSPLIT(GS92,","))&amp;",",","&amp;SUBSTITUTE(input_organizer," ","")&amp;",")))=COUNTA(TEXTSPLIT(GS92,",")))))</f>
        <v/>
      </c>
      <c r="JM92" s="19">
        <f>AND(IF(GU92="",TRUE,IF(input_profile_type="",FALSE,SUMPRODUCT(--ISNUMBER(SEARCH(","&amp;TRIM(TEXTSPLIT(GU92,","))&amp;",",","&amp;SUBSTITUTE(input_profile_type," ","")&amp;",")))&gt;0)),IF(GW92="",TRUE,IF(input_profile_type="",FALSE,SUMPRODUCT(--ISNUMBER(SEARCH(","&amp;TRIM(TEXTSPLIT(GW92,","))&amp;",",","&amp;SUBSTITUTE(input_profile_type," ","")&amp;",")))=COUNTA(TEXTSPLIT(GW92,",")))),IF(GY92="",TRUE,IF(input_profile_type="",TRUE,SUMPRODUCT(--ISNUMBER(SEARCH(","&amp;TRIM(TEXTSPLIT(GY92,","))&amp;",",","&amp;SUBSTITUTE(input_profile_type," ","")&amp;",")))=0)),IF(HA92="",TRUE,IF(input_profile_type="",FALSE,SUMPRODUCT(--ISNUMBER(SEARCH(","&amp;TRIM(TEXTSPLIT(HA92,","))&amp;",",","&amp;SUBSTITUTE(input_profile_type," ","")&amp;",")))&gt;0)),IF(HC92="",TRUE,IF(input_profile_type="",FALSE,SUMPRODUCT(--ISNUMBER(SEARCH(","&amp;TRIM(TEXTSPLIT(HC92,","))&amp;",",","&amp;SUBSTITUTE(input_profile_type," ","")&amp;",")))=COUNTA(TEXTSPLIT(HC92,",")))))</f>
        <v/>
      </c>
      <c r="JN92" s="19">
        <f>AND(IF(HE92="",TRUE,IF(input_program="",FALSE,SUMPRODUCT(--ISNUMBER(SEARCH(","&amp;TRIM(TEXTSPLIT(HE92,","))&amp;",",","&amp;SUBSTITUTE(input_program," ","")&amp;",")))&gt;0)),IF(HG92="",TRUE,IF(input_program="",FALSE,SUMPRODUCT(--ISNUMBER(SEARCH(","&amp;TRIM(TEXTSPLIT(HG92,","))&amp;",",","&amp;SUBSTITUTE(input_program," ","")&amp;",")))=COUNTA(TEXTSPLIT(HG92,",")))),IF(HI92="",TRUE,IF(input_program="",TRUE,SUMPRODUCT(--ISNUMBER(SEARCH(","&amp;TRIM(TEXTSPLIT(HI92,","))&amp;",",","&amp;SUBSTITUTE(input_program," ","")&amp;",")))=0)),IF(HK92="",TRUE,IF(input_program="",FALSE,SUMPRODUCT(--ISNUMBER(SEARCH(","&amp;TRIM(TEXTSPLIT(HK92,","))&amp;",",","&amp;SUBSTITUTE(input_program," ","")&amp;",")))&gt;0)),IF(HM92="",TRUE,IF(input_program="",FALSE,SUMPRODUCT(--ISNUMBER(SEARCH(","&amp;TRIM(TEXTSPLIT(HM92,","))&amp;",",","&amp;SUBSTITUTE(input_program," ","")&amp;",")))=COUNTA(TEXTSPLIT(HM92,",")))))</f>
        <v/>
      </c>
      <c r="JO92" s="19">
        <f>AND(IF(HO92="",TRUE,IF(input_story_categories="",FALSE,SUMPRODUCT(--ISNUMBER(SEARCH(","&amp;TRIM(TEXTSPLIT(HO92,","))&amp;",",","&amp;SUBSTITUTE(input_story_categories," ","")&amp;",")))&gt;0)),IF(HQ92="",TRUE,IF(input_story_categories="",FALSE,SUMPRODUCT(--ISNUMBER(SEARCH(","&amp;TRIM(TEXTSPLIT(HQ92,","))&amp;",",","&amp;SUBSTITUTE(input_story_categories," ","")&amp;",")))=COUNTA(TEXTSPLIT(HQ92,",")))),IF(HS92="",TRUE,IF(input_story_categories="",TRUE,SUMPRODUCT(--ISNUMBER(SEARCH(","&amp;TRIM(TEXTSPLIT(HS92,","))&amp;",",","&amp;SUBSTITUTE(input_story_categories," ","")&amp;",")))=0)),IF(HU92="",TRUE,IF(input_story_categories="",FALSE,SUMPRODUCT(--ISNUMBER(SEARCH(","&amp;TRIM(TEXTSPLIT(HU92,","))&amp;",",","&amp;SUBSTITUTE(input_story_categories," ","")&amp;",")))&gt;0)),IF(HW92="",TRUE,IF(input_story_categories="",FALSE,SUMPRODUCT(--ISNUMBER(SEARCH(","&amp;TRIM(TEXTSPLIT(HW92,","))&amp;",",","&amp;SUBSTITUTE(input_story_categories," ","")&amp;",")))=COUNTA(TEXTSPLIT(HW92,",")))))</f>
        <v/>
      </c>
      <c r="JP92" s="19">
        <f>AND(IF(HY92="",TRUE,IF(input_story_type="",FALSE,SUMPRODUCT(--ISNUMBER(SEARCH(","&amp;TRIM(TEXTSPLIT(HY92,","))&amp;",",","&amp;SUBSTITUTE(input_story_type," ","")&amp;",")))&gt;0)),IF(IA92="",TRUE,IF(input_story_type="",FALSE,SUMPRODUCT(--ISNUMBER(SEARCH(","&amp;TRIM(TEXTSPLIT(IA92,","))&amp;",",","&amp;SUBSTITUTE(input_story_type," ","")&amp;",")))=COUNTA(TEXTSPLIT(IA92,",")))),IF(IC92="",TRUE,IF(input_story_type="",TRUE,SUMPRODUCT(--ISNUMBER(SEARCH(","&amp;TRIM(TEXTSPLIT(IC92,","))&amp;",",","&amp;SUBSTITUTE(input_story_type," ","")&amp;",")))=0)),IF(IE92="",TRUE,IF(input_story_type="",FALSE,SUMPRODUCT(--ISNUMBER(SEARCH(","&amp;TRIM(TEXTSPLIT(IE92,","))&amp;",",","&amp;SUBSTITUTE(input_story_type," ","")&amp;",")))&gt;0)),IF(IG92="",TRUE,IF(input_story_type="",FALSE,SUMPRODUCT(--ISNUMBER(SEARCH(","&amp;TRIM(TEXTSPLIT(IG92,","))&amp;",",","&amp;SUBSTITUTE(input_story_type," ","")&amp;",")))=COUNTA(TEXTSPLIT(IG92,",")))))</f>
        <v/>
      </c>
      <c r="JQ92" s="19">
        <f>AND(IF(II92="",TRUE,IF(input_topics="",FALSE,SUMPRODUCT(--ISNUMBER(SEARCH(","&amp;TRIM(TEXTSPLIT(II92,","))&amp;",",","&amp;SUBSTITUTE(input_topics," ","")&amp;",")))&gt;0)),IF(IK92="",TRUE,IF(input_topics="",FALSE,SUMPRODUCT(--ISNUMBER(SEARCH(","&amp;TRIM(TEXTSPLIT(IK92,","))&amp;",",","&amp;SUBSTITUTE(input_topics," ","")&amp;",")))=COUNTA(TEXTSPLIT(IK92,",")))),IF(IM92="",TRUE,IF(input_topics="",TRUE,SUMPRODUCT(--ISNUMBER(SEARCH(","&amp;TRIM(TEXTSPLIT(IM92,","))&amp;",",","&amp;SUBSTITUTE(input_topics," ","")&amp;",")))=0)),IF(IO92="",TRUE,IF(input_topics="",FALSE,SUMPRODUCT(--ISNUMBER(SEARCH(","&amp;TRIM(TEXTSPLIT(IO92,","))&amp;",",","&amp;SUBSTITUTE(input_topics," ","")&amp;",")))&gt;0)),IF(IQ92="",TRUE,IF(input_topics="",FALSE,SUMPRODUCT(--ISNUMBER(SEARCH(","&amp;TRIM(TEXTSPLIT(IQ92,","))&amp;",",","&amp;SUBSTITUTE(input_topics," ","")&amp;",")))=COUNTA(TEXTSPLIT(IQ92,",")))))</f>
        <v/>
      </c>
    </row>
    <row r="93">
      <c r="A93" s="24">
        <f>IF(NOT(IS93),"Excluded",IF(AND(IT93,IU93,IV93,IW93,IX93,IY93,IZ93,JA93,JB93,JC93,JD93,JE93,JF93,JG93,JH93,JI93,JJ93,JK93,JL93,JM93,JN93,JO93,JP93,JQ93),IF(I93&gt;0,"Eligible but limited","Will appear"),"Excluded"))</f>
        <v/>
      </c>
      <c r="B93" s="24" t="inlineStr">
        <is>
          <t>Embed</t>
        </is>
      </c>
      <c r="C93" s="27" t="inlineStr">
        <is>
          <t>/podcasts/career-conversations</t>
        </is>
      </c>
      <c r="D93" s="24" t="inlineStr">
        <is>
          <t>/podcasts/career-conversations</t>
        </is>
      </c>
      <c r="E93" s="24" t="n">
        <v>1</v>
      </c>
      <c r="F93" s="24" t="inlineStr">
        <is>
          <t>podcast</t>
        </is>
      </c>
      <c r="G93" s="24" t="inlineStr">
        <is>
          <t>podcast_list</t>
        </is>
      </c>
      <c r="H93" s="24" t="inlineStr">
        <is>
          <t>embed_list</t>
        </is>
      </c>
      <c r="I93" s="24" t="n">
        <v>10</v>
      </c>
      <c r="J93" s="28" t="inlineStr">
        <is>
          <t>Explicit args</t>
        </is>
      </c>
      <c r="K93" s="24" t="inlineStr">
        <is>
          <t>Page placement</t>
        </is>
      </c>
      <c r="L93" s="24" t="inlineStr">
        <is>
          <t>Content type: podcast; Limited to 10 item(s); Source: Explicit args</t>
        </is>
      </c>
      <c r="IS93" s="19">
        <f>IF(input_content_type="",FALSE,ISNUMBER(SEARCH(","&amp;LOWER(input_content_type)&amp;",",","&amp;LOWER(SUBSTITUTE(F93," ",""))&amp;",")))</f>
        <v/>
      </c>
      <c r="IT93" s="19">
        <f>AND(IF(M93="",TRUE,IF(input_affiliations="",FALSE,SUMPRODUCT(--ISNUMBER(SEARCH(","&amp;TRIM(TEXTSPLIT(M93,","))&amp;",",","&amp;SUBSTITUTE(input_affiliations," ","")&amp;",")))&gt;0)),IF(O93="",TRUE,IF(input_affiliations="",FALSE,SUMPRODUCT(--ISNUMBER(SEARCH(","&amp;TRIM(TEXTSPLIT(O93,","))&amp;",",","&amp;SUBSTITUTE(input_affiliations," ","")&amp;",")))=COUNTA(TEXTSPLIT(O93,",")))),IF(Q93="",TRUE,IF(input_affiliations="",TRUE,SUMPRODUCT(--ISNUMBER(SEARCH(","&amp;TRIM(TEXTSPLIT(Q93,","))&amp;",",","&amp;SUBSTITUTE(input_affiliations," ","")&amp;",")))=0)),IF(S93="",TRUE,IF(input_affiliations="",FALSE,SUMPRODUCT(--ISNUMBER(SEARCH(","&amp;TRIM(TEXTSPLIT(S93,","))&amp;",",","&amp;SUBSTITUTE(input_affiliations," ","")&amp;",")))&gt;0)),IF(U93="",TRUE,IF(input_affiliations="",FALSE,SUMPRODUCT(--ISNUMBER(SEARCH(","&amp;TRIM(TEXTSPLIT(U93,","))&amp;",",","&amp;SUBSTITUTE(input_affiliations," ","")&amp;",")))=COUNTA(TEXTSPLIT(U93,",")))))</f>
        <v/>
      </c>
      <c r="IU93" s="19">
        <f>AND(IF(W93="",TRUE,IF(input_announcement_category="",FALSE,SUMPRODUCT(--ISNUMBER(SEARCH(","&amp;TRIM(TEXTSPLIT(W93,","))&amp;",",","&amp;SUBSTITUTE(input_announcement_category," ","")&amp;",")))&gt;0)),IF(Y93="",TRUE,IF(input_announcement_category="",FALSE,SUMPRODUCT(--ISNUMBER(SEARCH(","&amp;TRIM(TEXTSPLIT(Y93,","))&amp;",",","&amp;SUBSTITUTE(input_announcement_category," ","")&amp;",")))=COUNTA(TEXTSPLIT(Y93,",")))),IF(AA93="",TRUE,IF(input_announcement_category="",TRUE,SUMPRODUCT(--ISNUMBER(SEARCH(","&amp;TRIM(TEXTSPLIT(AA93,","))&amp;",",","&amp;SUBSTITUTE(input_announcement_category," ","")&amp;",")))=0)),IF(AC93="",TRUE,IF(input_announcement_category="",FALSE,SUMPRODUCT(--ISNUMBER(SEARCH(","&amp;TRIM(TEXTSPLIT(AC93,","))&amp;",",","&amp;SUBSTITUTE(input_announcement_category," ","")&amp;",")))&gt;0)),IF(AE93="",TRUE,IF(input_announcement_category="",FALSE,SUMPRODUCT(--ISNUMBER(SEARCH(","&amp;TRIM(TEXTSPLIT(AE93,","))&amp;",",","&amp;SUBSTITUTE(input_announcement_category," ","")&amp;",")))=COUNTA(TEXTSPLIT(AE93,",")))))</f>
        <v/>
      </c>
      <c r="IV93" s="19">
        <f>AND(IF(AG93="",TRUE,IF(input_area_of_focus="",FALSE,SUMPRODUCT(--ISNUMBER(SEARCH(","&amp;TRIM(TEXTSPLIT(AG93,","))&amp;",",","&amp;SUBSTITUTE(input_area_of_focus," ","")&amp;",")))&gt;0)),IF(AI93="",TRUE,IF(input_area_of_focus="",FALSE,SUMPRODUCT(--ISNUMBER(SEARCH(","&amp;TRIM(TEXTSPLIT(AI93,","))&amp;",",","&amp;SUBSTITUTE(input_area_of_focus," ","")&amp;",")))=COUNTA(TEXTSPLIT(AI93,",")))),IF(AK93="",TRUE,IF(input_area_of_focus="",TRUE,SUMPRODUCT(--ISNUMBER(SEARCH(","&amp;TRIM(TEXTSPLIT(AK93,","))&amp;",",","&amp;SUBSTITUTE(input_area_of_focus," ","")&amp;",")))=0)),IF(AM93="",TRUE,IF(input_area_of_focus="",FALSE,SUMPRODUCT(--ISNUMBER(SEARCH(","&amp;TRIM(TEXTSPLIT(AM93,","))&amp;",",","&amp;SUBSTITUTE(input_area_of_focus," ","")&amp;",")))&gt;0)),IF(AO93="",TRUE,IF(input_area_of_focus="",FALSE,SUMPRODUCT(--ISNUMBER(SEARCH(","&amp;TRIM(TEXTSPLIT(AO93,","))&amp;",",","&amp;SUBSTITUTE(input_area_of_focus," ","")&amp;",")))=COUNTA(TEXTSPLIT(AO93,",")))))</f>
        <v/>
      </c>
      <c r="IW93" s="19">
        <f>AND(IF(AQ93="",TRUE,IF(input_audience="",FALSE,SUMPRODUCT(--ISNUMBER(SEARCH(","&amp;TRIM(TEXTSPLIT(AQ93,","))&amp;",",","&amp;SUBSTITUTE(input_audience," ","")&amp;",")))&gt;0)),IF(AS93="",TRUE,IF(input_audience="",FALSE,SUMPRODUCT(--ISNUMBER(SEARCH(","&amp;TRIM(TEXTSPLIT(AS93,","))&amp;",",","&amp;SUBSTITUTE(input_audience," ","")&amp;",")))=COUNTA(TEXTSPLIT(AS93,",")))),IF(AU93="",TRUE,IF(input_audience="",TRUE,SUMPRODUCT(--ISNUMBER(SEARCH(","&amp;TRIM(TEXTSPLIT(AU93,","))&amp;",",","&amp;SUBSTITUTE(input_audience," ","")&amp;",")))=0)),IF(AW93="",TRUE,IF(input_audience="",FALSE,SUMPRODUCT(--ISNUMBER(SEARCH(","&amp;TRIM(TEXTSPLIT(AW93,","))&amp;",",","&amp;SUBSTITUTE(input_audience," ","")&amp;",")))&gt;0)),IF(AY93="",TRUE,IF(input_audience="",FALSE,SUMPRODUCT(--ISNUMBER(SEARCH(","&amp;TRIM(TEXTSPLIT(AY93,","))&amp;",",","&amp;SUBSTITUTE(input_audience," ","")&amp;",")))=COUNTA(TEXTSPLIT(AY93,",")))))</f>
        <v/>
      </c>
      <c r="IX93" s="19">
        <f>AND(IF(BA93="",TRUE,IF(input_challenge_opportunities="",FALSE,SUMPRODUCT(--ISNUMBER(SEARCH(","&amp;TRIM(TEXTSPLIT(BA93,","))&amp;",",","&amp;SUBSTITUTE(input_challenge_opportunities," ","")&amp;",")))&gt;0)),IF(BC93="",TRUE,IF(input_challenge_opportunities="",FALSE,SUMPRODUCT(--ISNUMBER(SEARCH(","&amp;TRIM(TEXTSPLIT(BC93,","))&amp;",",","&amp;SUBSTITUTE(input_challenge_opportunities," ","")&amp;",")))=COUNTA(TEXTSPLIT(BC93,",")))),IF(BE93="",TRUE,IF(input_challenge_opportunities="",TRUE,SUMPRODUCT(--ISNUMBER(SEARCH(","&amp;TRIM(TEXTSPLIT(BE93,","))&amp;",",","&amp;SUBSTITUTE(input_challenge_opportunities," ","")&amp;",")))=0)),IF(BG93="",TRUE,IF(input_challenge_opportunities="",FALSE,SUMPRODUCT(--ISNUMBER(SEARCH(","&amp;TRIM(TEXTSPLIT(BG93,","))&amp;",",","&amp;SUBSTITUTE(input_challenge_opportunities," ","")&amp;",")))&gt;0)),IF(BI93="",TRUE,IF(input_challenge_opportunities="",FALSE,SUMPRODUCT(--ISNUMBER(SEARCH(","&amp;TRIM(TEXTSPLIT(BI93,","))&amp;",",","&amp;SUBSTITUTE(input_challenge_opportunities," ","")&amp;",")))=COUNTA(TEXTSPLIT(BI93,",")))))</f>
        <v/>
      </c>
      <c r="IY93" s="19">
        <f>AND(IF(BK93="",TRUE,IF(input_context="",FALSE,SUMPRODUCT(--ISNUMBER(SEARCH(","&amp;TRIM(TEXTSPLIT(BK93,","))&amp;",",","&amp;SUBSTITUTE(input_context," ","")&amp;",")))&gt;0)),IF(BM93="",TRUE,IF(input_context="",FALSE,SUMPRODUCT(--ISNUMBER(SEARCH(","&amp;TRIM(TEXTSPLIT(BM93,","))&amp;",",","&amp;SUBSTITUTE(input_context," ","")&amp;",")))=COUNTA(TEXTSPLIT(BM93,",")))),IF(BO93="",TRUE,IF(input_context="",TRUE,SUMPRODUCT(--ISNUMBER(SEARCH(","&amp;TRIM(TEXTSPLIT(BO93,","))&amp;",",","&amp;SUBSTITUTE(input_context," ","")&amp;",")))=0)),IF(BQ93="",TRUE,IF(input_context="",FALSE,SUMPRODUCT(--ISNUMBER(SEARCH(","&amp;TRIM(TEXTSPLIT(BQ93,","))&amp;",",","&amp;SUBSTITUTE(input_context," ","")&amp;",")))&gt;0)),IF(BS93="",TRUE,IF(input_context="",FALSE,SUMPRODUCT(--ISNUMBER(SEARCH(","&amp;TRIM(TEXTSPLIT(BS93,","))&amp;",",","&amp;SUBSTITUTE(input_context," ","")&amp;",")))=COUNTA(TEXTSPLIT(BS93,",")))))</f>
        <v/>
      </c>
      <c r="IZ93" s="19">
        <f>AND(IF(BU93="",TRUE,IF(input_enews_announcement_type="",FALSE,SUMPRODUCT(--ISNUMBER(SEARCH(","&amp;TRIM(TEXTSPLIT(BU93,","))&amp;",",","&amp;SUBSTITUTE(input_enews_announcement_type," ","")&amp;",")))&gt;0)),IF(BW93="",TRUE,IF(input_enews_announcement_type="",FALSE,SUMPRODUCT(--ISNUMBER(SEARCH(","&amp;TRIM(TEXTSPLIT(BW93,","))&amp;",",","&amp;SUBSTITUTE(input_enews_announcement_type," ","")&amp;",")))=COUNTA(TEXTSPLIT(BW93,",")))),IF(BY93="",TRUE,IF(input_enews_announcement_type="",TRUE,SUMPRODUCT(--ISNUMBER(SEARCH(","&amp;TRIM(TEXTSPLIT(BY93,","))&amp;",",","&amp;SUBSTITUTE(input_enews_announcement_type," ","")&amp;",")))=0)),IF(CA93="",TRUE,IF(input_enews_announcement_type="",FALSE,SUMPRODUCT(--ISNUMBER(SEARCH(","&amp;TRIM(TEXTSPLIT(CA93,","))&amp;",",","&amp;SUBSTITUTE(input_enews_announcement_type," ","")&amp;",")))&gt;0)),IF(CC93="",TRUE,IF(input_enews_announcement_type="",FALSE,SUMPRODUCT(--ISNUMBER(SEARCH(","&amp;TRIM(TEXTSPLIT(CC93,","))&amp;",",","&amp;SUBSTITUTE(input_enews_announcement_type," ","")&amp;",")))=COUNTA(TEXTSPLIT(CC93,",")))))</f>
        <v/>
      </c>
      <c r="JA93" s="19">
        <f>AND(IF(CE93="",TRUE,IF(input_enews_audience="",FALSE,SUMPRODUCT(--ISNUMBER(SEARCH(","&amp;TRIM(TEXTSPLIT(CE93,","))&amp;",",","&amp;SUBSTITUTE(input_enews_audience," ","")&amp;",")))&gt;0)),IF(CG93="",TRUE,IF(input_enews_audience="",FALSE,SUMPRODUCT(--ISNUMBER(SEARCH(","&amp;TRIM(TEXTSPLIT(CG93,","))&amp;",",","&amp;SUBSTITUTE(input_enews_audience," ","")&amp;",")))=COUNTA(TEXTSPLIT(CG93,",")))),IF(CI93="",TRUE,IF(input_enews_audience="",TRUE,SUMPRODUCT(--ISNUMBER(SEARCH(","&amp;TRIM(TEXTSPLIT(CI93,","))&amp;",",","&amp;SUBSTITUTE(input_enews_audience," ","")&amp;",")))=0)),IF(CK93="",TRUE,IF(input_enews_audience="",FALSE,SUMPRODUCT(--ISNUMBER(SEARCH(","&amp;TRIM(TEXTSPLIT(CK93,","))&amp;",",","&amp;SUBSTITUTE(input_enews_audience," ","")&amp;",")))&gt;0)),IF(CM93="",TRUE,IF(input_enews_audience="",FALSE,SUMPRODUCT(--ISNUMBER(SEARCH(","&amp;TRIM(TEXTSPLIT(CM93,","))&amp;",",","&amp;SUBSTITUTE(input_enews_audience," ","")&amp;",")))=COUNTA(TEXTSPLIT(CM93,",")))))</f>
        <v/>
      </c>
      <c r="JB93" s="19">
        <f>AND(IF(CO93="",TRUE,IF(input_event_location="",FALSE,SUMPRODUCT(--ISNUMBER(SEARCH(","&amp;TRIM(TEXTSPLIT(CO93,","))&amp;",",","&amp;SUBSTITUTE(input_event_location," ","")&amp;",")))&gt;0)),IF(CQ93="",TRUE,IF(input_event_location="",FALSE,SUMPRODUCT(--ISNUMBER(SEARCH(","&amp;TRIM(TEXTSPLIT(CQ93,","))&amp;",",","&amp;SUBSTITUTE(input_event_location," ","")&amp;",")))=COUNTA(TEXTSPLIT(CQ93,",")))),IF(CS93="",TRUE,IF(input_event_location="",TRUE,SUMPRODUCT(--ISNUMBER(SEARCH(","&amp;TRIM(TEXTSPLIT(CS93,","))&amp;",",","&amp;SUBSTITUTE(input_event_location," ","")&amp;",")))=0)),IF(CU93="",TRUE,IF(input_event_location="",FALSE,SUMPRODUCT(--ISNUMBER(SEARCH(","&amp;TRIM(TEXTSPLIT(CU93,","))&amp;",",","&amp;SUBSTITUTE(input_event_location," ","")&amp;",")))&gt;0)),IF(CW93="",TRUE,IF(input_event_location="",FALSE,SUMPRODUCT(--ISNUMBER(SEARCH(","&amp;TRIM(TEXTSPLIT(CW93,","))&amp;",",","&amp;SUBSTITUTE(input_event_location," ","")&amp;",")))=COUNTA(TEXTSPLIT(CW93,",")))))</f>
        <v/>
      </c>
      <c r="JC93" s="19">
        <f>AND(IF(CY93="",TRUE,IF(input_event_type="",FALSE,SUMPRODUCT(--ISNUMBER(SEARCH(","&amp;TRIM(TEXTSPLIT(CY93,","))&amp;",",","&amp;SUBSTITUTE(input_event_type," ","")&amp;",")))&gt;0)),IF(DA93="",TRUE,IF(input_event_type="",FALSE,SUMPRODUCT(--ISNUMBER(SEARCH(","&amp;TRIM(TEXTSPLIT(DA93,","))&amp;",",","&amp;SUBSTITUTE(input_event_type," ","")&amp;",")))=COUNTA(TEXTSPLIT(DA93,",")))),IF(DC93="",TRUE,IF(input_event_type="",TRUE,SUMPRODUCT(--ISNUMBER(SEARCH(","&amp;TRIM(TEXTSPLIT(DC93,","))&amp;",",","&amp;SUBSTITUTE(input_event_type," ","")&amp;",")))=0)),IF(DE93="",TRUE,IF(input_event_type="",FALSE,SUMPRODUCT(--ISNUMBER(SEARCH(","&amp;TRIM(TEXTSPLIT(DE93,","))&amp;",",","&amp;SUBSTITUTE(input_event_type," ","")&amp;",")))&gt;0)),IF(DG93="",TRUE,IF(input_event_type="",FALSE,SUMPRODUCT(--ISNUMBER(SEARCH(","&amp;TRIM(TEXTSPLIT(DG93,","))&amp;",",","&amp;SUBSTITUTE(input_event_type," ","")&amp;",")))=COUNTA(TEXTSPLIT(DG93,",")))))</f>
        <v/>
      </c>
      <c r="JD93" s="19">
        <f>AND(IF(DI93="",TRUE,IF(input_executive_education_focus="",FALSE,SUMPRODUCT(--ISNUMBER(SEARCH(","&amp;TRIM(TEXTSPLIT(DI93,","))&amp;",",","&amp;SUBSTITUTE(input_executive_education_focus," ","")&amp;",")))&gt;0)),IF(DK93="",TRUE,IF(input_executive_education_focus="",FALSE,SUMPRODUCT(--ISNUMBER(SEARCH(","&amp;TRIM(TEXTSPLIT(DK93,","))&amp;",",","&amp;SUBSTITUTE(input_executive_education_focus," ","")&amp;",")))=COUNTA(TEXTSPLIT(DK93,",")))),IF(DM93="",TRUE,IF(input_executive_education_focus="",TRUE,SUMPRODUCT(--ISNUMBER(SEARCH(","&amp;TRIM(TEXTSPLIT(DM93,","))&amp;",",","&amp;SUBSTITUTE(input_executive_education_focus," ","")&amp;",")))=0)),IF(DO93="",TRUE,IF(input_executive_education_focus="",FALSE,SUMPRODUCT(--ISNUMBER(SEARCH(","&amp;TRIM(TEXTSPLIT(DO93,","))&amp;",",","&amp;SUBSTITUTE(input_executive_education_focus," ","")&amp;",")))&gt;0)),IF(DQ93="",TRUE,IF(input_executive_education_focus="",FALSE,SUMPRODUCT(--ISNUMBER(SEARCH(","&amp;TRIM(TEXTSPLIT(DQ93,","))&amp;",",","&amp;SUBSTITUTE(input_executive_education_focus," ","")&amp;",")))=COUNTA(TEXTSPLIT(DQ93,",")))))</f>
        <v/>
      </c>
      <c r="JE93" s="19">
        <f>AND(IF(DS93="",TRUE,IF(input_faculty_category="",FALSE,SUMPRODUCT(--ISNUMBER(SEARCH(","&amp;TRIM(TEXTSPLIT(DS93,","))&amp;",",","&amp;SUBSTITUTE(input_faculty_category," ","")&amp;",")))&gt;0)),IF(DU93="",TRUE,IF(input_faculty_category="",FALSE,SUMPRODUCT(--ISNUMBER(SEARCH(","&amp;TRIM(TEXTSPLIT(DU93,","))&amp;",",","&amp;SUBSTITUTE(input_faculty_category," ","")&amp;",")))=COUNTA(TEXTSPLIT(DU93,",")))),IF(DW93="",TRUE,IF(input_faculty_category="",TRUE,SUMPRODUCT(--ISNUMBER(SEARCH(","&amp;TRIM(TEXTSPLIT(DW93,","))&amp;",",","&amp;SUBSTITUTE(input_faculty_category," ","")&amp;",")))=0)),IF(DY93="",TRUE,IF(input_faculty_category="",FALSE,SUMPRODUCT(--ISNUMBER(SEARCH(","&amp;TRIM(TEXTSPLIT(DY93,","))&amp;",",","&amp;SUBSTITUTE(input_faculty_category," ","")&amp;",")))&gt;0)),IF(EA93="",TRUE,IF(input_faculty_category="",FALSE,SUMPRODUCT(--ISNUMBER(SEARCH(","&amp;TRIM(TEXTSPLIT(EA93,","))&amp;",",","&amp;SUBSTITUTE(input_faculty_category," ","")&amp;",")))=COUNTA(TEXTSPLIT(EA93,",")))))</f>
        <v/>
      </c>
      <c r="JF93" s="19">
        <f>AND(IF(EC93="",TRUE,IF(input_faculty_discipline="",FALSE,SUMPRODUCT(--ISNUMBER(SEARCH(","&amp;TRIM(TEXTSPLIT(EC93,","))&amp;",",","&amp;SUBSTITUTE(input_faculty_discipline," ","")&amp;",")))&gt;0)),IF(EE93="",TRUE,IF(input_faculty_discipline="",FALSE,SUMPRODUCT(--ISNUMBER(SEARCH(","&amp;TRIM(TEXTSPLIT(EE93,","))&amp;",",","&amp;SUBSTITUTE(input_faculty_discipline," ","")&amp;",")))=COUNTA(TEXTSPLIT(EE93,",")))),IF(EG93="",TRUE,IF(input_faculty_discipline="",TRUE,SUMPRODUCT(--ISNUMBER(SEARCH(","&amp;TRIM(TEXTSPLIT(EG93,","))&amp;",",","&amp;SUBSTITUTE(input_faculty_discipline," ","")&amp;",")))=0)),IF(EI93="",TRUE,IF(input_faculty_discipline="",FALSE,SUMPRODUCT(--ISNUMBER(SEARCH(","&amp;TRIM(TEXTSPLIT(EI93,","))&amp;",",","&amp;SUBSTITUTE(input_faculty_discipline," ","")&amp;",")))&gt;0)),IF(EK93="",TRUE,IF(input_faculty_discipline="",FALSE,SUMPRODUCT(--ISNUMBER(SEARCH(","&amp;TRIM(TEXTSPLIT(EK93,","))&amp;",",","&amp;SUBSTITUTE(input_faculty_discipline," ","")&amp;",")))=COUNTA(TEXTSPLIT(EK93,",")))))</f>
        <v/>
      </c>
      <c r="JG93" s="19">
        <f>AND(IF(EM93="",TRUE,IF(input_faculty_expertise="",FALSE,SUMPRODUCT(--ISNUMBER(SEARCH(","&amp;TRIM(TEXTSPLIT(EM93,","))&amp;",",","&amp;SUBSTITUTE(input_faculty_expertise," ","")&amp;",")))&gt;0)),IF(EO93="",TRUE,IF(input_faculty_expertise="",FALSE,SUMPRODUCT(--ISNUMBER(SEARCH(","&amp;TRIM(TEXTSPLIT(EO93,","))&amp;",",","&amp;SUBSTITUTE(input_faculty_expertise," ","")&amp;",")))=COUNTA(TEXTSPLIT(EO93,",")))),IF(EQ93="",TRUE,IF(input_faculty_expertise="",TRUE,SUMPRODUCT(--ISNUMBER(SEARCH(","&amp;TRIM(TEXTSPLIT(EQ93,","))&amp;",",","&amp;SUBSTITUTE(input_faculty_expertise," ","")&amp;",")))=0)),IF(ES93="",TRUE,IF(input_faculty_expertise="",FALSE,SUMPRODUCT(--ISNUMBER(SEARCH(","&amp;TRIM(TEXTSPLIT(ES93,","))&amp;",",","&amp;SUBSTITUTE(input_faculty_expertise," ","")&amp;",")))&gt;0)),IF(EU93="",TRUE,IF(input_faculty_expertise="",FALSE,SUMPRODUCT(--ISNUMBER(SEARCH(","&amp;TRIM(TEXTSPLIT(EU93,","))&amp;",",","&amp;SUBSTITUTE(input_faculty_expertise," ","")&amp;",")))=COUNTA(TEXTSPLIT(EU93,",")))))</f>
        <v/>
      </c>
      <c r="JH93" s="19">
        <f>AND(IF(EW93="",TRUE,IF(input_global_network_school="",FALSE,SUMPRODUCT(--ISNUMBER(SEARCH(","&amp;TRIM(TEXTSPLIT(EW93,","))&amp;",",","&amp;SUBSTITUTE(input_global_network_school," ","")&amp;",")))&gt;0)),IF(EY93="",TRUE,IF(input_global_network_school="",FALSE,SUMPRODUCT(--ISNUMBER(SEARCH(","&amp;TRIM(TEXTSPLIT(EY93,","))&amp;",",","&amp;SUBSTITUTE(input_global_network_school," ","")&amp;",")))=COUNTA(TEXTSPLIT(EY93,",")))),IF(FA93="",TRUE,IF(input_global_network_school="",TRUE,SUMPRODUCT(--ISNUMBER(SEARCH(","&amp;TRIM(TEXTSPLIT(FA93,","))&amp;",",","&amp;SUBSTITUTE(input_global_network_school," ","")&amp;",")))=0)),IF(FC93="",TRUE,IF(input_global_network_school="",FALSE,SUMPRODUCT(--ISNUMBER(SEARCH(","&amp;TRIM(TEXTSPLIT(FC93,","))&amp;",",","&amp;SUBSTITUTE(input_global_network_school," ","")&amp;",")))&gt;0)),IF(FE93="",TRUE,IF(input_global_network_school="",FALSE,SUMPRODUCT(--ISNUMBER(SEARCH(","&amp;TRIM(TEXTSPLIT(FE93,","))&amp;",",","&amp;SUBSTITUTE(input_global_network_school," ","")&amp;",")))=COUNTA(TEXTSPLIT(FE93,",")))))</f>
        <v/>
      </c>
      <c r="JI93" s="19">
        <f>AND(IF(FG93="",TRUE,IF(input_industry="",FALSE,SUMPRODUCT(--ISNUMBER(SEARCH(","&amp;TRIM(TEXTSPLIT(FG93,","))&amp;",",","&amp;SUBSTITUTE(input_industry," ","")&amp;",")))&gt;0)),IF(FI93="",TRUE,IF(input_industry="",FALSE,SUMPRODUCT(--ISNUMBER(SEARCH(","&amp;TRIM(TEXTSPLIT(FI93,","))&amp;",",","&amp;SUBSTITUTE(input_industry," ","")&amp;",")))=COUNTA(TEXTSPLIT(FI93,",")))),IF(FK93="",TRUE,IF(input_industry="",TRUE,SUMPRODUCT(--ISNUMBER(SEARCH(","&amp;TRIM(TEXTSPLIT(FK93,","))&amp;",",","&amp;SUBSTITUTE(input_industry," ","")&amp;",")))=0)),IF(FM93="",TRUE,IF(input_industry="",FALSE,SUMPRODUCT(--ISNUMBER(SEARCH(","&amp;TRIM(TEXTSPLIT(FM93,","))&amp;",",","&amp;SUBSTITUTE(input_industry," ","")&amp;",")))&gt;0)),IF(FO93="",TRUE,IF(input_industry="",FALSE,SUMPRODUCT(--ISNUMBER(SEARCH(","&amp;TRIM(TEXTSPLIT(FO93,","))&amp;",",","&amp;SUBSTITUTE(input_industry," ","")&amp;",")))=COUNTA(TEXTSPLIT(FO93,",")))))</f>
        <v/>
      </c>
      <c r="JJ93" s="19">
        <f>AND(IF(FQ93="",TRUE,IF(input_location="",FALSE,SUMPRODUCT(--ISNUMBER(SEARCH(","&amp;TRIM(TEXTSPLIT(FQ93,","))&amp;",",","&amp;SUBSTITUTE(input_location," ","")&amp;",")))&gt;0)),IF(FS93="",TRUE,IF(input_location="",FALSE,SUMPRODUCT(--ISNUMBER(SEARCH(","&amp;TRIM(TEXTSPLIT(FS93,","))&amp;",",","&amp;SUBSTITUTE(input_location," ","")&amp;",")))=COUNTA(TEXTSPLIT(FS93,",")))),IF(FU93="",TRUE,IF(input_location="",TRUE,SUMPRODUCT(--ISNUMBER(SEARCH(","&amp;TRIM(TEXTSPLIT(FU93,","))&amp;",",","&amp;SUBSTITUTE(input_location," ","")&amp;",")))=0)),IF(FW93="",TRUE,IF(input_location="",FALSE,SUMPRODUCT(--ISNUMBER(SEARCH(","&amp;TRIM(TEXTSPLIT(FW93,","))&amp;",",","&amp;SUBSTITUTE(input_location," ","")&amp;",")))&gt;0)),IF(FY93="",TRUE,IF(input_location="",FALSE,SUMPRODUCT(--ISNUMBER(SEARCH(","&amp;TRIM(TEXTSPLIT(FY93,","))&amp;",",","&amp;SUBSTITUTE(input_location," ","")&amp;",")))=COUNTA(TEXTSPLIT(FY93,",")))))</f>
        <v/>
      </c>
      <c r="JK93" s="19">
        <f>AND(IF(GA93="",TRUE,IF(input_modality="",FALSE,SUMPRODUCT(--ISNUMBER(SEARCH(","&amp;TRIM(TEXTSPLIT(GA93,","))&amp;",",","&amp;SUBSTITUTE(input_modality," ","")&amp;",")))&gt;0)),IF(GC93="",TRUE,IF(input_modality="",FALSE,SUMPRODUCT(--ISNUMBER(SEARCH(","&amp;TRIM(TEXTSPLIT(GC93,","))&amp;",",","&amp;SUBSTITUTE(input_modality," ","")&amp;",")))=COUNTA(TEXTSPLIT(GC93,",")))),IF(GE93="",TRUE,IF(input_modality="",TRUE,SUMPRODUCT(--ISNUMBER(SEARCH(","&amp;TRIM(TEXTSPLIT(GE93,","))&amp;",",","&amp;SUBSTITUTE(input_modality," ","")&amp;",")))=0)),IF(GG93="",TRUE,IF(input_modality="",FALSE,SUMPRODUCT(--ISNUMBER(SEARCH(","&amp;TRIM(TEXTSPLIT(GG93,","))&amp;",",","&amp;SUBSTITUTE(input_modality," ","")&amp;",")))&gt;0)),IF(GI93="",TRUE,IF(input_modality="",FALSE,SUMPRODUCT(--ISNUMBER(SEARCH(","&amp;TRIM(TEXTSPLIT(GI93,","))&amp;",",","&amp;SUBSTITUTE(input_modality," ","")&amp;",")))=COUNTA(TEXTSPLIT(GI93,",")))))</f>
        <v/>
      </c>
      <c r="JL93" s="19">
        <f>AND(IF(GK93="",TRUE,IF(input_organizer="",FALSE,SUMPRODUCT(--ISNUMBER(SEARCH(","&amp;TRIM(TEXTSPLIT(GK93,","))&amp;",",","&amp;SUBSTITUTE(input_organizer," ","")&amp;",")))&gt;0)),IF(GM93="",TRUE,IF(input_organizer="",FALSE,SUMPRODUCT(--ISNUMBER(SEARCH(","&amp;TRIM(TEXTSPLIT(GM93,","))&amp;",",","&amp;SUBSTITUTE(input_organizer," ","")&amp;",")))=COUNTA(TEXTSPLIT(GM93,",")))),IF(GO93="",TRUE,IF(input_organizer="",TRUE,SUMPRODUCT(--ISNUMBER(SEARCH(","&amp;TRIM(TEXTSPLIT(GO93,","))&amp;",",","&amp;SUBSTITUTE(input_organizer," ","")&amp;",")))=0)),IF(GQ93="",TRUE,IF(input_organizer="",FALSE,SUMPRODUCT(--ISNUMBER(SEARCH(","&amp;TRIM(TEXTSPLIT(GQ93,","))&amp;",",","&amp;SUBSTITUTE(input_organizer," ","")&amp;",")))&gt;0)),IF(GS93="",TRUE,IF(input_organizer="",FALSE,SUMPRODUCT(--ISNUMBER(SEARCH(","&amp;TRIM(TEXTSPLIT(GS93,","))&amp;",",","&amp;SUBSTITUTE(input_organizer," ","")&amp;",")))=COUNTA(TEXTSPLIT(GS93,",")))))</f>
        <v/>
      </c>
      <c r="JM93" s="19">
        <f>AND(IF(GU93="",TRUE,IF(input_profile_type="",FALSE,SUMPRODUCT(--ISNUMBER(SEARCH(","&amp;TRIM(TEXTSPLIT(GU93,","))&amp;",",","&amp;SUBSTITUTE(input_profile_type," ","")&amp;",")))&gt;0)),IF(GW93="",TRUE,IF(input_profile_type="",FALSE,SUMPRODUCT(--ISNUMBER(SEARCH(","&amp;TRIM(TEXTSPLIT(GW93,","))&amp;",",","&amp;SUBSTITUTE(input_profile_type," ","")&amp;",")))=COUNTA(TEXTSPLIT(GW93,",")))),IF(GY93="",TRUE,IF(input_profile_type="",TRUE,SUMPRODUCT(--ISNUMBER(SEARCH(","&amp;TRIM(TEXTSPLIT(GY93,","))&amp;",",","&amp;SUBSTITUTE(input_profile_type," ","")&amp;",")))=0)),IF(HA93="",TRUE,IF(input_profile_type="",FALSE,SUMPRODUCT(--ISNUMBER(SEARCH(","&amp;TRIM(TEXTSPLIT(HA93,","))&amp;",",","&amp;SUBSTITUTE(input_profile_type," ","")&amp;",")))&gt;0)),IF(HC93="",TRUE,IF(input_profile_type="",FALSE,SUMPRODUCT(--ISNUMBER(SEARCH(","&amp;TRIM(TEXTSPLIT(HC93,","))&amp;",",","&amp;SUBSTITUTE(input_profile_type," ","")&amp;",")))=COUNTA(TEXTSPLIT(HC93,",")))))</f>
        <v/>
      </c>
      <c r="JN93" s="19">
        <f>AND(IF(HE93="",TRUE,IF(input_program="",FALSE,SUMPRODUCT(--ISNUMBER(SEARCH(","&amp;TRIM(TEXTSPLIT(HE93,","))&amp;",",","&amp;SUBSTITUTE(input_program," ","")&amp;",")))&gt;0)),IF(HG93="",TRUE,IF(input_program="",FALSE,SUMPRODUCT(--ISNUMBER(SEARCH(","&amp;TRIM(TEXTSPLIT(HG93,","))&amp;",",","&amp;SUBSTITUTE(input_program," ","")&amp;",")))=COUNTA(TEXTSPLIT(HG93,",")))),IF(HI93="",TRUE,IF(input_program="",TRUE,SUMPRODUCT(--ISNUMBER(SEARCH(","&amp;TRIM(TEXTSPLIT(HI93,","))&amp;",",","&amp;SUBSTITUTE(input_program," ","")&amp;",")))=0)),IF(HK93="",TRUE,IF(input_program="",FALSE,SUMPRODUCT(--ISNUMBER(SEARCH(","&amp;TRIM(TEXTSPLIT(HK93,","))&amp;",",","&amp;SUBSTITUTE(input_program," ","")&amp;",")))&gt;0)),IF(HM93="",TRUE,IF(input_program="",FALSE,SUMPRODUCT(--ISNUMBER(SEARCH(","&amp;TRIM(TEXTSPLIT(HM93,","))&amp;",",","&amp;SUBSTITUTE(input_program," ","")&amp;",")))=COUNTA(TEXTSPLIT(HM93,",")))))</f>
        <v/>
      </c>
      <c r="JO93" s="19">
        <f>AND(IF(HO93="",TRUE,IF(input_story_categories="",FALSE,SUMPRODUCT(--ISNUMBER(SEARCH(","&amp;TRIM(TEXTSPLIT(HO93,","))&amp;",",","&amp;SUBSTITUTE(input_story_categories," ","")&amp;",")))&gt;0)),IF(HQ93="",TRUE,IF(input_story_categories="",FALSE,SUMPRODUCT(--ISNUMBER(SEARCH(","&amp;TRIM(TEXTSPLIT(HQ93,","))&amp;",",","&amp;SUBSTITUTE(input_story_categories," ","")&amp;",")))=COUNTA(TEXTSPLIT(HQ93,",")))),IF(HS93="",TRUE,IF(input_story_categories="",TRUE,SUMPRODUCT(--ISNUMBER(SEARCH(","&amp;TRIM(TEXTSPLIT(HS93,","))&amp;",",","&amp;SUBSTITUTE(input_story_categories," ","")&amp;",")))=0)),IF(HU93="",TRUE,IF(input_story_categories="",FALSE,SUMPRODUCT(--ISNUMBER(SEARCH(","&amp;TRIM(TEXTSPLIT(HU93,","))&amp;",",","&amp;SUBSTITUTE(input_story_categories," ","")&amp;",")))&gt;0)),IF(HW93="",TRUE,IF(input_story_categories="",FALSE,SUMPRODUCT(--ISNUMBER(SEARCH(","&amp;TRIM(TEXTSPLIT(HW93,","))&amp;",",","&amp;SUBSTITUTE(input_story_categories," ","")&amp;",")))=COUNTA(TEXTSPLIT(HW93,",")))))</f>
        <v/>
      </c>
      <c r="JP93" s="19">
        <f>AND(IF(HY93="",TRUE,IF(input_story_type="",FALSE,SUMPRODUCT(--ISNUMBER(SEARCH(","&amp;TRIM(TEXTSPLIT(HY93,","))&amp;",",","&amp;SUBSTITUTE(input_story_type," ","")&amp;",")))&gt;0)),IF(IA93="",TRUE,IF(input_story_type="",FALSE,SUMPRODUCT(--ISNUMBER(SEARCH(","&amp;TRIM(TEXTSPLIT(IA93,","))&amp;",",","&amp;SUBSTITUTE(input_story_type," ","")&amp;",")))=COUNTA(TEXTSPLIT(IA93,",")))),IF(IC93="",TRUE,IF(input_story_type="",TRUE,SUMPRODUCT(--ISNUMBER(SEARCH(","&amp;TRIM(TEXTSPLIT(IC93,","))&amp;",",","&amp;SUBSTITUTE(input_story_type," ","")&amp;",")))=0)),IF(IE93="",TRUE,IF(input_story_type="",FALSE,SUMPRODUCT(--ISNUMBER(SEARCH(","&amp;TRIM(TEXTSPLIT(IE93,","))&amp;",",","&amp;SUBSTITUTE(input_story_type," ","")&amp;",")))&gt;0)),IF(IG93="",TRUE,IF(input_story_type="",FALSE,SUMPRODUCT(--ISNUMBER(SEARCH(","&amp;TRIM(TEXTSPLIT(IG93,","))&amp;",",","&amp;SUBSTITUTE(input_story_type," ","")&amp;",")))=COUNTA(TEXTSPLIT(IG93,",")))))</f>
        <v/>
      </c>
      <c r="JQ93" s="19">
        <f>AND(IF(II93="",TRUE,IF(input_topics="",FALSE,SUMPRODUCT(--ISNUMBER(SEARCH(","&amp;TRIM(TEXTSPLIT(II93,","))&amp;",",","&amp;SUBSTITUTE(input_topics," ","")&amp;",")))&gt;0)),IF(IK93="",TRUE,IF(input_topics="",FALSE,SUMPRODUCT(--ISNUMBER(SEARCH(","&amp;TRIM(TEXTSPLIT(IK93,","))&amp;",",","&amp;SUBSTITUTE(input_topics," ","")&amp;",")))=COUNTA(TEXTSPLIT(IK93,",")))),IF(IM93="",TRUE,IF(input_topics="",TRUE,SUMPRODUCT(--ISNUMBER(SEARCH(","&amp;TRIM(TEXTSPLIT(IM93,","))&amp;",",","&amp;SUBSTITUTE(input_topics," ","")&amp;",")))=0)),IF(IO93="",TRUE,IF(input_topics="",FALSE,SUMPRODUCT(--ISNUMBER(SEARCH(","&amp;TRIM(TEXTSPLIT(IO93,","))&amp;",",","&amp;SUBSTITUTE(input_topics," ","")&amp;",")))&gt;0)),IF(IQ93="",TRUE,IF(input_topics="",FALSE,SUMPRODUCT(--ISNUMBER(SEARCH(","&amp;TRIM(TEXTSPLIT(IQ93,","))&amp;",",","&amp;SUBSTITUTE(input_topics," ","")&amp;",")))=COUNTA(TEXTSPLIT(IQ93,",")))))</f>
        <v/>
      </c>
    </row>
    <row r="94">
      <c r="A94" s="24">
        <f>IF(NOT(IS94),"Excluded",IF(AND(IT94,IU94,IV94,IW94,IX94,IY94,IZ94,JA94,JB94,JC94,JD94,JE94,JF94,JG94,JH94,JI94,JJ94,JK94,JL94,JM94,JN94,JO94,JP94,JQ94),IF(I94&gt;0,"Eligible but limited","Will appear"),"Excluded"))</f>
        <v/>
      </c>
      <c r="B94" s="24" t="inlineStr">
        <is>
          <t>Embed</t>
        </is>
      </c>
      <c r="C94" s="27" t="inlineStr">
        <is>
          <t>/podcasts/cityscope-podcast</t>
        </is>
      </c>
      <c r="D94" s="24" t="inlineStr">
        <is>
          <t>/podcasts/cityscope-podcast</t>
        </is>
      </c>
      <c r="E94" s="24" t="n">
        <v>1</v>
      </c>
      <c r="F94" s="24" t="inlineStr">
        <is>
          <t>podcast</t>
        </is>
      </c>
      <c r="G94" s="24" t="inlineStr">
        <is>
          <t>podcast_list</t>
        </is>
      </c>
      <c r="H94" s="24" t="inlineStr">
        <is>
          <t>embed_list</t>
        </is>
      </c>
      <c r="I94" s="24" t="n">
        <v>10</v>
      </c>
      <c r="J94" s="28" t="inlineStr">
        <is>
          <t>Explicit args</t>
        </is>
      </c>
      <c r="K94" s="24" t="inlineStr">
        <is>
          <t>Page placement</t>
        </is>
      </c>
      <c r="L94" s="24" t="inlineStr">
        <is>
          <t>Content type: podcast; Limited to 10 item(s); Source: Explicit args</t>
        </is>
      </c>
      <c r="IS94" s="19">
        <f>IF(input_content_type="",FALSE,ISNUMBER(SEARCH(","&amp;LOWER(input_content_type)&amp;",",","&amp;LOWER(SUBSTITUTE(F94," ",""))&amp;",")))</f>
        <v/>
      </c>
      <c r="IT94" s="19">
        <f>AND(IF(M94="",TRUE,IF(input_affiliations="",FALSE,SUMPRODUCT(--ISNUMBER(SEARCH(","&amp;TRIM(TEXTSPLIT(M94,","))&amp;",",","&amp;SUBSTITUTE(input_affiliations," ","")&amp;",")))&gt;0)),IF(O94="",TRUE,IF(input_affiliations="",FALSE,SUMPRODUCT(--ISNUMBER(SEARCH(","&amp;TRIM(TEXTSPLIT(O94,","))&amp;",",","&amp;SUBSTITUTE(input_affiliations," ","")&amp;",")))=COUNTA(TEXTSPLIT(O94,",")))),IF(Q94="",TRUE,IF(input_affiliations="",TRUE,SUMPRODUCT(--ISNUMBER(SEARCH(","&amp;TRIM(TEXTSPLIT(Q94,","))&amp;",",","&amp;SUBSTITUTE(input_affiliations," ","")&amp;",")))=0)),IF(S94="",TRUE,IF(input_affiliations="",FALSE,SUMPRODUCT(--ISNUMBER(SEARCH(","&amp;TRIM(TEXTSPLIT(S94,","))&amp;",",","&amp;SUBSTITUTE(input_affiliations," ","")&amp;",")))&gt;0)),IF(U94="",TRUE,IF(input_affiliations="",FALSE,SUMPRODUCT(--ISNUMBER(SEARCH(","&amp;TRIM(TEXTSPLIT(U94,","))&amp;",",","&amp;SUBSTITUTE(input_affiliations," ","")&amp;",")))=COUNTA(TEXTSPLIT(U94,",")))))</f>
        <v/>
      </c>
      <c r="IU94" s="19">
        <f>AND(IF(W94="",TRUE,IF(input_announcement_category="",FALSE,SUMPRODUCT(--ISNUMBER(SEARCH(","&amp;TRIM(TEXTSPLIT(W94,","))&amp;",",","&amp;SUBSTITUTE(input_announcement_category," ","")&amp;",")))&gt;0)),IF(Y94="",TRUE,IF(input_announcement_category="",FALSE,SUMPRODUCT(--ISNUMBER(SEARCH(","&amp;TRIM(TEXTSPLIT(Y94,","))&amp;",",","&amp;SUBSTITUTE(input_announcement_category," ","")&amp;",")))=COUNTA(TEXTSPLIT(Y94,",")))),IF(AA94="",TRUE,IF(input_announcement_category="",TRUE,SUMPRODUCT(--ISNUMBER(SEARCH(","&amp;TRIM(TEXTSPLIT(AA94,","))&amp;",",","&amp;SUBSTITUTE(input_announcement_category," ","")&amp;",")))=0)),IF(AC94="",TRUE,IF(input_announcement_category="",FALSE,SUMPRODUCT(--ISNUMBER(SEARCH(","&amp;TRIM(TEXTSPLIT(AC94,","))&amp;",",","&amp;SUBSTITUTE(input_announcement_category," ","")&amp;",")))&gt;0)),IF(AE94="",TRUE,IF(input_announcement_category="",FALSE,SUMPRODUCT(--ISNUMBER(SEARCH(","&amp;TRIM(TEXTSPLIT(AE94,","))&amp;",",","&amp;SUBSTITUTE(input_announcement_category," ","")&amp;",")))=COUNTA(TEXTSPLIT(AE94,",")))))</f>
        <v/>
      </c>
      <c r="IV94" s="19">
        <f>AND(IF(AG94="",TRUE,IF(input_area_of_focus="",FALSE,SUMPRODUCT(--ISNUMBER(SEARCH(","&amp;TRIM(TEXTSPLIT(AG94,","))&amp;",",","&amp;SUBSTITUTE(input_area_of_focus," ","")&amp;",")))&gt;0)),IF(AI94="",TRUE,IF(input_area_of_focus="",FALSE,SUMPRODUCT(--ISNUMBER(SEARCH(","&amp;TRIM(TEXTSPLIT(AI94,","))&amp;",",","&amp;SUBSTITUTE(input_area_of_focus," ","")&amp;",")))=COUNTA(TEXTSPLIT(AI94,",")))),IF(AK94="",TRUE,IF(input_area_of_focus="",TRUE,SUMPRODUCT(--ISNUMBER(SEARCH(","&amp;TRIM(TEXTSPLIT(AK94,","))&amp;",",","&amp;SUBSTITUTE(input_area_of_focus," ","")&amp;",")))=0)),IF(AM94="",TRUE,IF(input_area_of_focus="",FALSE,SUMPRODUCT(--ISNUMBER(SEARCH(","&amp;TRIM(TEXTSPLIT(AM94,","))&amp;",",","&amp;SUBSTITUTE(input_area_of_focus," ","")&amp;",")))&gt;0)),IF(AO94="",TRUE,IF(input_area_of_focus="",FALSE,SUMPRODUCT(--ISNUMBER(SEARCH(","&amp;TRIM(TEXTSPLIT(AO94,","))&amp;",",","&amp;SUBSTITUTE(input_area_of_focus," ","")&amp;",")))=COUNTA(TEXTSPLIT(AO94,",")))))</f>
        <v/>
      </c>
      <c r="IW94" s="19">
        <f>AND(IF(AQ94="",TRUE,IF(input_audience="",FALSE,SUMPRODUCT(--ISNUMBER(SEARCH(","&amp;TRIM(TEXTSPLIT(AQ94,","))&amp;",",","&amp;SUBSTITUTE(input_audience," ","")&amp;",")))&gt;0)),IF(AS94="",TRUE,IF(input_audience="",FALSE,SUMPRODUCT(--ISNUMBER(SEARCH(","&amp;TRIM(TEXTSPLIT(AS94,","))&amp;",",","&amp;SUBSTITUTE(input_audience," ","")&amp;",")))=COUNTA(TEXTSPLIT(AS94,",")))),IF(AU94="",TRUE,IF(input_audience="",TRUE,SUMPRODUCT(--ISNUMBER(SEARCH(","&amp;TRIM(TEXTSPLIT(AU94,","))&amp;",",","&amp;SUBSTITUTE(input_audience," ","")&amp;",")))=0)),IF(AW94="",TRUE,IF(input_audience="",FALSE,SUMPRODUCT(--ISNUMBER(SEARCH(","&amp;TRIM(TEXTSPLIT(AW94,","))&amp;",",","&amp;SUBSTITUTE(input_audience," ","")&amp;",")))&gt;0)),IF(AY94="",TRUE,IF(input_audience="",FALSE,SUMPRODUCT(--ISNUMBER(SEARCH(","&amp;TRIM(TEXTSPLIT(AY94,","))&amp;",",","&amp;SUBSTITUTE(input_audience," ","")&amp;",")))=COUNTA(TEXTSPLIT(AY94,",")))))</f>
        <v/>
      </c>
      <c r="IX94" s="19">
        <f>AND(IF(BA94="",TRUE,IF(input_challenge_opportunities="",FALSE,SUMPRODUCT(--ISNUMBER(SEARCH(","&amp;TRIM(TEXTSPLIT(BA94,","))&amp;",",","&amp;SUBSTITUTE(input_challenge_opportunities," ","")&amp;",")))&gt;0)),IF(BC94="",TRUE,IF(input_challenge_opportunities="",FALSE,SUMPRODUCT(--ISNUMBER(SEARCH(","&amp;TRIM(TEXTSPLIT(BC94,","))&amp;",",","&amp;SUBSTITUTE(input_challenge_opportunities," ","")&amp;",")))=COUNTA(TEXTSPLIT(BC94,",")))),IF(BE94="",TRUE,IF(input_challenge_opportunities="",TRUE,SUMPRODUCT(--ISNUMBER(SEARCH(","&amp;TRIM(TEXTSPLIT(BE94,","))&amp;",",","&amp;SUBSTITUTE(input_challenge_opportunities," ","")&amp;",")))=0)),IF(BG94="",TRUE,IF(input_challenge_opportunities="",FALSE,SUMPRODUCT(--ISNUMBER(SEARCH(","&amp;TRIM(TEXTSPLIT(BG94,","))&amp;",",","&amp;SUBSTITUTE(input_challenge_opportunities," ","")&amp;",")))&gt;0)),IF(BI94="",TRUE,IF(input_challenge_opportunities="",FALSE,SUMPRODUCT(--ISNUMBER(SEARCH(","&amp;TRIM(TEXTSPLIT(BI94,","))&amp;",",","&amp;SUBSTITUTE(input_challenge_opportunities," ","")&amp;",")))=COUNTA(TEXTSPLIT(BI94,",")))))</f>
        <v/>
      </c>
      <c r="IY94" s="19">
        <f>AND(IF(BK94="",TRUE,IF(input_context="",FALSE,SUMPRODUCT(--ISNUMBER(SEARCH(","&amp;TRIM(TEXTSPLIT(BK94,","))&amp;",",","&amp;SUBSTITUTE(input_context," ","")&amp;",")))&gt;0)),IF(BM94="",TRUE,IF(input_context="",FALSE,SUMPRODUCT(--ISNUMBER(SEARCH(","&amp;TRIM(TEXTSPLIT(BM94,","))&amp;",",","&amp;SUBSTITUTE(input_context," ","")&amp;",")))=COUNTA(TEXTSPLIT(BM94,",")))),IF(BO94="",TRUE,IF(input_context="",TRUE,SUMPRODUCT(--ISNUMBER(SEARCH(","&amp;TRIM(TEXTSPLIT(BO94,","))&amp;",",","&amp;SUBSTITUTE(input_context," ","")&amp;",")))=0)),IF(BQ94="",TRUE,IF(input_context="",FALSE,SUMPRODUCT(--ISNUMBER(SEARCH(","&amp;TRIM(TEXTSPLIT(BQ94,","))&amp;",",","&amp;SUBSTITUTE(input_context," ","")&amp;",")))&gt;0)),IF(BS94="",TRUE,IF(input_context="",FALSE,SUMPRODUCT(--ISNUMBER(SEARCH(","&amp;TRIM(TEXTSPLIT(BS94,","))&amp;",",","&amp;SUBSTITUTE(input_context," ","")&amp;",")))=COUNTA(TEXTSPLIT(BS94,",")))))</f>
        <v/>
      </c>
      <c r="IZ94" s="19">
        <f>AND(IF(BU94="",TRUE,IF(input_enews_announcement_type="",FALSE,SUMPRODUCT(--ISNUMBER(SEARCH(","&amp;TRIM(TEXTSPLIT(BU94,","))&amp;",",","&amp;SUBSTITUTE(input_enews_announcement_type," ","")&amp;",")))&gt;0)),IF(BW94="",TRUE,IF(input_enews_announcement_type="",FALSE,SUMPRODUCT(--ISNUMBER(SEARCH(","&amp;TRIM(TEXTSPLIT(BW94,","))&amp;",",","&amp;SUBSTITUTE(input_enews_announcement_type," ","")&amp;",")))=COUNTA(TEXTSPLIT(BW94,",")))),IF(BY94="",TRUE,IF(input_enews_announcement_type="",TRUE,SUMPRODUCT(--ISNUMBER(SEARCH(","&amp;TRIM(TEXTSPLIT(BY94,","))&amp;",",","&amp;SUBSTITUTE(input_enews_announcement_type," ","")&amp;",")))=0)),IF(CA94="",TRUE,IF(input_enews_announcement_type="",FALSE,SUMPRODUCT(--ISNUMBER(SEARCH(","&amp;TRIM(TEXTSPLIT(CA94,","))&amp;",",","&amp;SUBSTITUTE(input_enews_announcement_type," ","")&amp;",")))&gt;0)),IF(CC94="",TRUE,IF(input_enews_announcement_type="",FALSE,SUMPRODUCT(--ISNUMBER(SEARCH(","&amp;TRIM(TEXTSPLIT(CC94,","))&amp;",",","&amp;SUBSTITUTE(input_enews_announcement_type," ","")&amp;",")))=COUNTA(TEXTSPLIT(CC94,",")))))</f>
        <v/>
      </c>
      <c r="JA94" s="19">
        <f>AND(IF(CE94="",TRUE,IF(input_enews_audience="",FALSE,SUMPRODUCT(--ISNUMBER(SEARCH(","&amp;TRIM(TEXTSPLIT(CE94,","))&amp;",",","&amp;SUBSTITUTE(input_enews_audience," ","")&amp;",")))&gt;0)),IF(CG94="",TRUE,IF(input_enews_audience="",FALSE,SUMPRODUCT(--ISNUMBER(SEARCH(","&amp;TRIM(TEXTSPLIT(CG94,","))&amp;",",","&amp;SUBSTITUTE(input_enews_audience," ","")&amp;",")))=COUNTA(TEXTSPLIT(CG94,",")))),IF(CI94="",TRUE,IF(input_enews_audience="",TRUE,SUMPRODUCT(--ISNUMBER(SEARCH(","&amp;TRIM(TEXTSPLIT(CI94,","))&amp;",",","&amp;SUBSTITUTE(input_enews_audience," ","")&amp;",")))=0)),IF(CK94="",TRUE,IF(input_enews_audience="",FALSE,SUMPRODUCT(--ISNUMBER(SEARCH(","&amp;TRIM(TEXTSPLIT(CK94,","))&amp;",",","&amp;SUBSTITUTE(input_enews_audience," ","")&amp;",")))&gt;0)),IF(CM94="",TRUE,IF(input_enews_audience="",FALSE,SUMPRODUCT(--ISNUMBER(SEARCH(","&amp;TRIM(TEXTSPLIT(CM94,","))&amp;",",","&amp;SUBSTITUTE(input_enews_audience," ","")&amp;",")))=COUNTA(TEXTSPLIT(CM94,",")))))</f>
        <v/>
      </c>
      <c r="JB94" s="19">
        <f>AND(IF(CO94="",TRUE,IF(input_event_location="",FALSE,SUMPRODUCT(--ISNUMBER(SEARCH(","&amp;TRIM(TEXTSPLIT(CO94,","))&amp;",",","&amp;SUBSTITUTE(input_event_location," ","")&amp;",")))&gt;0)),IF(CQ94="",TRUE,IF(input_event_location="",FALSE,SUMPRODUCT(--ISNUMBER(SEARCH(","&amp;TRIM(TEXTSPLIT(CQ94,","))&amp;",",","&amp;SUBSTITUTE(input_event_location," ","")&amp;",")))=COUNTA(TEXTSPLIT(CQ94,",")))),IF(CS94="",TRUE,IF(input_event_location="",TRUE,SUMPRODUCT(--ISNUMBER(SEARCH(","&amp;TRIM(TEXTSPLIT(CS94,","))&amp;",",","&amp;SUBSTITUTE(input_event_location," ","")&amp;",")))=0)),IF(CU94="",TRUE,IF(input_event_location="",FALSE,SUMPRODUCT(--ISNUMBER(SEARCH(","&amp;TRIM(TEXTSPLIT(CU94,","))&amp;",",","&amp;SUBSTITUTE(input_event_location," ","")&amp;",")))&gt;0)),IF(CW94="",TRUE,IF(input_event_location="",FALSE,SUMPRODUCT(--ISNUMBER(SEARCH(","&amp;TRIM(TEXTSPLIT(CW94,","))&amp;",",","&amp;SUBSTITUTE(input_event_location," ","")&amp;",")))=COUNTA(TEXTSPLIT(CW94,",")))))</f>
        <v/>
      </c>
      <c r="JC94" s="19">
        <f>AND(IF(CY94="",TRUE,IF(input_event_type="",FALSE,SUMPRODUCT(--ISNUMBER(SEARCH(","&amp;TRIM(TEXTSPLIT(CY94,","))&amp;",",","&amp;SUBSTITUTE(input_event_type," ","")&amp;",")))&gt;0)),IF(DA94="",TRUE,IF(input_event_type="",FALSE,SUMPRODUCT(--ISNUMBER(SEARCH(","&amp;TRIM(TEXTSPLIT(DA94,","))&amp;",",","&amp;SUBSTITUTE(input_event_type," ","")&amp;",")))=COUNTA(TEXTSPLIT(DA94,",")))),IF(DC94="",TRUE,IF(input_event_type="",TRUE,SUMPRODUCT(--ISNUMBER(SEARCH(","&amp;TRIM(TEXTSPLIT(DC94,","))&amp;",",","&amp;SUBSTITUTE(input_event_type," ","")&amp;",")))=0)),IF(DE94="",TRUE,IF(input_event_type="",FALSE,SUMPRODUCT(--ISNUMBER(SEARCH(","&amp;TRIM(TEXTSPLIT(DE94,","))&amp;",",","&amp;SUBSTITUTE(input_event_type," ","")&amp;",")))&gt;0)),IF(DG94="",TRUE,IF(input_event_type="",FALSE,SUMPRODUCT(--ISNUMBER(SEARCH(","&amp;TRIM(TEXTSPLIT(DG94,","))&amp;",",","&amp;SUBSTITUTE(input_event_type," ","")&amp;",")))=COUNTA(TEXTSPLIT(DG94,",")))))</f>
        <v/>
      </c>
      <c r="JD94" s="19">
        <f>AND(IF(DI94="",TRUE,IF(input_executive_education_focus="",FALSE,SUMPRODUCT(--ISNUMBER(SEARCH(","&amp;TRIM(TEXTSPLIT(DI94,","))&amp;",",","&amp;SUBSTITUTE(input_executive_education_focus," ","")&amp;",")))&gt;0)),IF(DK94="",TRUE,IF(input_executive_education_focus="",FALSE,SUMPRODUCT(--ISNUMBER(SEARCH(","&amp;TRIM(TEXTSPLIT(DK94,","))&amp;",",","&amp;SUBSTITUTE(input_executive_education_focus," ","")&amp;",")))=COUNTA(TEXTSPLIT(DK94,",")))),IF(DM94="",TRUE,IF(input_executive_education_focus="",TRUE,SUMPRODUCT(--ISNUMBER(SEARCH(","&amp;TRIM(TEXTSPLIT(DM94,","))&amp;",",","&amp;SUBSTITUTE(input_executive_education_focus," ","")&amp;",")))=0)),IF(DO94="",TRUE,IF(input_executive_education_focus="",FALSE,SUMPRODUCT(--ISNUMBER(SEARCH(","&amp;TRIM(TEXTSPLIT(DO94,","))&amp;",",","&amp;SUBSTITUTE(input_executive_education_focus," ","")&amp;",")))&gt;0)),IF(DQ94="",TRUE,IF(input_executive_education_focus="",FALSE,SUMPRODUCT(--ISNUMBER(SEARCH(","&amp;TRIM(TEXTSPLIT(DQ94,","))&amp;",",","&amp;SUBSTITUTE(input_executive_education_focus," ","")&amp;",")))=COUNTA(TEXTSPLIT(DQ94,",")))))</f>
        <v/>
      </c>
      <c r="JE94" s="19">
        <f>AND(IF(DS94="",TRUE,IF(input_faculty_category="",FALSE,SUMPRODUCT(--ISNUMBER(SEARCH(","&amp;TRIM(TEXTSPLIT(DS94,","))&amp;",",","&amp;SUBSTITUTE(input_faculty_category," ","")&amp;",")))&gt;0)),IF(DU94="",TRUE,IF(input_faculty_category="",FALSE,SUMPRODUCT(--ISNUMBER(SEARCH(","&amp;TRIM(TEXTSPLIT(DU94,","))&amp;",",","&amp;SUBSTITUTE(input_faculty_category," ","")&amp;",")))=COUNTA(TEXTSPLIT(DU94,",")))),IF(DW94="",TRUE,IF(input_faculty_category="",TRUE,SUMPRODUCT(--ISNUMBER(SEARCH(","&amp;TRIM(TEXTSPLIT(DW94,","))&amp;",",","&amp;SUBSTITUTE(input_faculty_category," ","")&amp;",")))=0)),IF(DY94="",TRUE,IF(input_faculty_category="",FALSE,SUMPRODUCT(--ISNUMBER(SEARCH(","&amp;TRIM(TEXTSPLIT(DY94,","))&amp;",",","&amp;SUBSTITUTE(input_faculty_category," ","")&amp;",")))&gt;0)),IF(EA94="",TRUE,IF(input_faculty_category="",FALSE,SUMPRODUCT(--ISNUMBER(SEARCH(","&amp;TRIM(TEXTSPLIT(EA94,","))&amp;",",","&amp;SUBSTITUTE(input_faculty_category," ","")&amp;",")))=COUNTA(TEXTSPLIT(EA94,",")))))</f>
        <v/>
      </c>
      <c r="JF94" s="19">
        <f>AND(IF(EC94="",TRUE,IF(input_faculty_discipline="",FALSE,SUMPRODUCT(--ISNUMBER(SEARCH(","&amp;TRIM(TEXTSPLIT(EC94,","))&amp;",",","&amp;SUBSTITUTE(input_faculty_discipline," ","")&amp;",")))&gt;0)),IF(EE94="",TRUE,IF(input_faculty_discipline="",FALSE,SUMPRODUCT(--ISNUMBER(SEARCH(","&amp;TRIM(TEXTSPLIT(EE94,","))&amp;",",","&amp;SUBSTITUTE(input_faculty_discipline," ","")&amp;",")))=COUNTA(TEXTSPLIT(EE94,",")))),IF(EG94="",TRUE,IF(input_faculty_discipline="",TRUE,SUMPRODUCT(--ISNUMBER(SEARCH(","&amp;TRIM(TEXTSPLIT(EG94,","))&amp;",",","&amp;SUBSTITUTE(input_faculty_discipline," ","")&amp;",")))=0)),IF(EI94="",TRUE,IF(input_faculty_discipline="",FALSE,SUMPRODUCT(--ISNUMBER(SEARCH(","&amp;TRIM(TEXTSPLIT(EI94,","))&amp;",",","&amp;SUBSTITUTE(input_faculty_discipline," ","")&amp;",")))&gt;0)),IF(EK94="",TRUE,IF(input_faculty_discipline="",FALSE,SUMPRODUCT(--ISNUMBER(SEARCH(","&amp;TRIM(TEXTSPLIT(EK94,","))&amp;",",","&amp;SUBSTITUTE(input_faculty_discipline," ","")&amp;",")))=COUNTA(TEXTSPLIT(EK94,",")))))</f>
        <v/>
      </c>
      <c r="JG94" s="19">
        <f>AND(IF(EM94="",TRUE,IF(input_faculty_expertise="",FALSE,SUMPRODUCT(--ISNUMBER(SEARCH(","&amp;TRIM(TEXTSPLIT(EM94,","))&amp;",",","&amp;SUBSTITUTE(input_faculty_expertise," ","")&amp;",")))&gt;0)),IF(EO94="",TRUE,IF(input_faculty_expertise="",FALSE,SUMPRODUCT(--ISNUMBER(SEARCH(","&amp;TRIM(TEXTSPLIT(EO94,","))&amp;",",","&amp;SUBSTITUTE(input_faculty_expertise," ","")&amp;",")))=COUNTA(TEXTSPLIT(EO94,",")))),IF(EQ94="",TRUE,IF(input_faculty_expertise="",TRUE,SUMPRODUCT(--ISNUMBER(SEARCH(","&amp;TRIM(TEXTSPLIT(EQ94,","))&amp;",",","&amp;SUBSTITUTE(input_faculty_expertise," ","")&amp;",")))=0)),IF(ES94="",TRUE,IF(input_faculty_expertise="",FALSE,SUMPRODUCT(--ISNUMBER(SEARCH(","&amp;TRIM(TEXTSPLIT(ES94,","))&amp;",",","&amp;SUBSTITUTE(input_faculty_expertise," ","")&amp;",")))&gt;0)),IF(EU94="",TRUE,IF(input_faculty_expertise="",FALSE,SUMPRODUCT(--ISNUMBER(SEARCH(","&amp;TRIM(TEXTSPLIT(EU94,","))&amp;",",","&amp;SUBSTITUTE(input_faculty_expertise," ","")&amp;",")))=COUNTA(TEXTSPLIT(EU94,",")))))</f>
        <v/>
      </c>
      <c r="JH94" s="19">
        <f>AND(IF(EW94="",TRUE,IF(input_global_network_school="",FALSE,SUMPRODUCT(--ISNUMBER(SEARCH(","&amp;TRIM(TEXTSPLIT(EW94,","))&amp;",",","&amp;SUBSTITUTE(input_global_network_school," ","")&amp;",")))&gt;0)),IF(EY94="",TRUE,IF(input_global_network_school="",FALSE,SUMPRODUCT(--ISNUMBER(SEARCH(","&amp;TRIM(TEXTSPLIT(EY94,","))&amp;",",","&amp;SUBSTITUTE(input_global_network_school," ","")&amp;",")))=COUNTA(TEXTSPLIT(EY94,",")))),IF(FA94="",TRUE,IF(input_global_network_school="",TRUE,SUMPRODUCT(--ISNUMBER(SEARCH(","&amp;TRIM(TEXTSPLIT(FA94,","))&amp;",",","&amp;SUBSTITUTE(input_global_network_school," ","")&amp;",")))=0)),IF(FC94="",TRUE,IF(input_global_network_school="",FALSE,SUMPRODUCT(--ISNUMBER(SEARCH(","&amp;TRIM(TEXTSPLIT(FC94,","))&amp;",",","&amp;SUBSTITUTE(input_global_network_school," ","")&amp;",")))&gt;0)),IF(FE94="",TRUE,IF(input_global_network_school="",FALSE,SUMPRODUCT(--ISNUMBER(SEARCH(","&amp;TRIM(TEXTSPLIT(FE94,","))&amp;",",","&amp;SUBSTITUTE(input_global_network_school," ","")&amp;",")))=COUNTA(TEXTSPLIT(FE94,",")))))</f>
        <v/>
      </c>
      <c r="JI94" s="19">
        <f>AND(IF(FG94="",TRUE,IF(input_industry="",FALSE,SUMPRODUCT(--ISNUMBER(SEARCH(","&amp;TRIM(TEXTSPLIT(FG94,","))&amp;",",","&amp;SUBSTITUTE(input_industry," ","")&amp;",")))&gt;0)),IF(FI94="",TRUE,IF(input_industry="",FALSE,SUMPRODUCT(--ISNUMBER(SEARCH(","&amp;TRIM(TEXTSPLIT(FI94,","))&amp;",",","&amp;SUBSTITUTE(input_industry," ","")&amp;",")))=COUNTA(TEXTSPLIT(FI94,",")))),IF(FK94="",TRUE,IF(input_industry="",TRUE,SUMPRODUCT(--ISNUMBER(SEARCH(","&amp;TRIM(TEXTSPLIT(FK94,","))&amp;",",","&amp;SUBSTITUTE(input_industry," ","")&amp;",")))=0)),IF(FM94="",TRUE,IF(input_industry="",FALSE,SUMPRODUCT(--ISNUMBER(SEARCH(","&amp;TRIM(TEXTSPLIT(FM94,","))&amp;",",","&amp;SUBSTITUTE(input_industry," ","")&amp;",")))&gt;0)),IF(FO94="",TRUE,IF(input_industry="",FALSE,SUMPRODUCT(--ISNUMBER(SEARCH(","&amp;TRIM(TEXTSPLIT(FO94,","))&amp;",",","&amp;SUBSTITUTE(input_industry," ","")&amp;",")))=COUNTA(TEXTSPLIT(FO94,",")))))</f>
        <v/>
      </c>
      <c r="JJ94" s="19">
        <f>AND(IF(FQ94="",TRUE,IF(input_location="",FALSE,SUMPRODUCT(--ISNUMBER(SEARCH(","&amp;TRIM(TEXTSPLIT(FQ94,","))&amp;",",","&amp;SUBSTITUTE(input_location," ","")&amp;",")))&gt;0)),IF(FS94="",TRUE,IF(input_location="",FALSE,SUMPRODUCT(--ISNUMBER(SEARCH(","&amp;TRIM(TEXTSPLIT(FS94,","))&amp;",",","&amp;SUBSTITUTE(input_location," ","")&amp;",")))=COUNTA(TEXTSPLIT(FS94,",")))),IF(FU94="",TRUE,IF(input_location="",TRUE,SUMPRODUCT(--ISNUMBER(SEARCH(","&amp;TRIM(TEXTSPLIT(FU94,","))&amp;",",","&amp;SUBSTITUTE(input_location," ","")&amp;",")))=0)),IF(FW94="",TRUE,IF(input_location="",FALSE,SUMPRODUCT(--ISNUMBER(SEARCH(","&amp;TRIM(TEXTSPLIT(FW94,","))&amp;",",","&amp;SUBSTITUTE(input_location," ","")&amp;",")))&gt;0)),IF(FY94="",TRUE,IF(input_location="",FALSE,SUMPRODUCT(--ISNUMBER(SEARCH(","&amp;TRIM(TEXTSPLIT(FY94,","))&amp;",",","&amp;SUBSTITUTE(input_location," ","")&amp;",")))=COUNTA(TEXTSPLIT(FY94,",")))))</f>
        <v/>
      </c>
      <c r="JK94" s="19">
        <f>AND(IF(GA94="",TRUE,IF(input_modality="",FALSE,SUMPRODUCT(--ISNUMBER(SEARCH(","&amp;TRIM(TEXTSPLIT(GA94,","))&amp;",",","&amp;SUBSTITUTE(input_modality," ","")&amp;",")))&gt;0)),IF(GC94="",TRUE,IF(input_modality="",FALSE,SUMPRODUCT(--ISNUMBER(SEARCH(","&amp;TRIM(TEXTSPLIT(GC94,","))&amp;",",","&amp;SUBSTITUTE(input_modality," ","")&amp;",")))=COUNTA(TEXTSPLIT(GC94,",")))),IF(GE94="",TRUE,IF(input_modality="",TRUE,SUMPRODUCT(--ISNUMBER(SEARCH(","&amp;TRIM(TEXTSPLIT(GE94,","))&amp;",",","&amp;SUBSTITUTE(input_modality," ","")&amp;",")))=0)),IF(GG94="",TRUE,IF(input_modality="",FALSE,SUMPRODUCT(--ISNUMBER(SEARCH(","&amp;TRIM(TEXTSPLIT(GG94,","))&amp;",",","&amp;SUBSTITUTE(input_modality," ","")&amp;",")))&gt;0)),IF(GI94="",TRUE,IF(input_modality="",FALSE,SUMPRODUCT(--ISNUMBER(SEARCH(","&amp;TRIM(TEXTSPLIT(GI94,","))&amp;",",","&amp;SUBSTITUTE(input_modality," ","")&amp;",")))=COUNTA(TEXTSPLIT(GI94,",")))))</f>
        <v/>
      </c>
      <c r="JL94" s="19">
        <f>AND(IF(GK94="",TRUE,IF(input_organizer="",FALSE,SUMPRODUCT(--ISNUMBER(SEARCH(","&amp;TRIM(TEXTSPLIT(GK94,","))&amp;",",","&amp;SUBSTITUTE(input_organizer," ","")&amp;",")))&gt;0)),IF(GM94="",TRUE,IF(input_organizer="",FALSE,SUMPRODUCT(--ISNUMBER(SEARCH(","&amp;TRIM(TEXTSPLIT(GM94,","))&amp;",",","&amp;SUBSTITUTE(input_organizer," ","")&amp;",")))=COUNTA(TEXTSPLIT(GM94,",")))),IF(GO94="",TRUE,IF(input_organizer="",TRUE,SUMPRODUCT(--ISNUMBER(SEARCH(","&amp;TRIM(TEXTSPLIT(GO94,","))&amp;",",","&amp;SUBSTITUTE(input_organizer," ","")&amp;",")))=0)),IF(GQ94="",TRUE,IF(input_organizer="",FALSE,SUMPRODUCT(--ISNUMBER(SEARCH(","&amp;TRIM(TEXTSPLIT(GQ94,","))&amp;",",","&amp;SUBSTITUTE(input_organizer," ","")&amp;",")))&gt;0)),IF(GS94="",TRUE,IF(input_organizer="",FALSE,SUMPRODUCT(--ISNUMBER(SEARCH(","&amp;TRIM(TEXTSPLIT(GS94,","))&amp;",",","&amp;SUBSTITUTE(input_organizer," ","")&amp;",")))=COUNTA(TEXTSPLIT(GS94,",")))))</f>
        <v/>
      </c>
      <c r="JM94" s="19">
        <f>AND(IF(GU94="",TRUE,IF(input_profile_type="",FALSE,SUMPRODUCT(--ISNUMBER(SEARCH(","&amp;TRIM(TEXTSPLIT(GU94,","))&amp;",",","&amp;SUBSTITUTE(input_profile_type," ","")&amp;",")))&gt;0)),IF(GW94="",TRUE,IF(input_profile_type="",FALSE,SUMPRODUCT(--ISNUMBER(SEARCH(","&amp;TRIM(TEXTSPLIT(GW94,","))&amp;",",","&amp;SUBSTITUTE(input_profile_type," ","")&amp;",")))=COUNTA(TEXTSPLIT(GW94,",")))),IF(GY94="",TRUE,IF(input_profile_type="",TRUE,SUMPRODUCT(--ISNUMBER(SEARCH(","&amp;TRIM(TEXTSPLIT(GY94,","))&amp;",",","&amp;SUBSTITUTE(input_profile_type," ","")&amp;",")))=0)),IF(HA94="",TRUE,IF(input_profile_type="",FALSE,SUMPRODUCT(--ISNUMBER(SEARCH(","&amp;TRIM(TEXTSPLIT(HA94,","))&amp;",",","&amp;SUBSTITUTE(input_profile_type," ","")&amp;",")))&gt;0)),IF(HC94="",TRUE,IF(input_profile_type="",FALSE,SUMPRODUCT(--ISNUMBER(SEARCH(","&amp;TRIM(TEXTSPLIT(HC94,","))&amp;",",","&amp;SUBSTITUTE(input_profile_type," ","")&amp;",")))=COUNTA(TEXTSPLIT(HC94,",")))))</f>
        <v/>
      </c>
      <c r="JN94" s="19">
        <f>AND(IF(HE94="",TRUE,IF(input_program="",FALSE,SUMPRODUCT(--ISNUMBER(SEARCH(","&amp;TRIM(TEXTSPLIT(HE94,","))&amp;",",","&amp;SUBSTITUTE(input_program," ","")&amp;",")))&gt;0)),IF(HG94="",TRUE,IF(input_program="",FALSE,SUMPRODUCT(--ISNUMBER(SEARCH(","&amp;TRIM(TEXTSPLIT(HG94,","))&amp;",",","&amp;SUBSTITUTE(input_program," ","")&amp;",")))=COUNTA(TEXTSPLIT(HG94,",")))),IF(HI94="",TRUE,IF(input_program="",TRUE,SUMPRODUCT(--ISNUMBER(SEARCH(","&amp;TRIM(TEXTSPLIT(HI94,","))&amp;",",","&amp;SUBSTITUTE(input_program," ","")&amp;",")))=0)),IF(HK94="",TRUE,IF(input_program="",FALSE,SUMPRODUCT(--ISNUMBER(SEARCH(","&amp;TRIM(TEXTSPLIT(HK94,","))&amp;",",","&amp;SUBSTITUTE(input_program," ","")&amp;",")))&gt;0)),IF(HM94="",TRUE,IF(input_program="",FALSE,SUMPRODUCT(--ISNUMBER(SEARCH(","&amp;TRIM(TEXTSPLIT(HM94,","))&amp;",",","&amp;SUBSTITUTE(input_program," ","")&amp;",")))=COUNTA(TEXTSPLIT(HM94,",")))))</f>
        <v/>
      </c>
      <c r="JO94" s="19">
        <f>AND(IF(HO94="",TRUE,IF(input_story_categories="",FALSE,SUMPRODUCT(--ISNUMBER(SEARCH(","&amp;TRIM(TEXTSPLIT(HO94,","))&amp;",",","&amp;SUBSTITUTE(input_story_categories," ","")&amp;",")))&gt;0)),IF(HQ94="",TRUE,IF(input_story_categories="",FALSE,SUMPRODUCT(--ISNUMBER(SEARCH(","&amp;TRIM(TEXTSPLIT(HQ94,","))&amp;",",","&amp;SUBSTITUTE(input_story_categories," ","")&amp;",")))=COUNTA(TEXTSPLIT(HQ94,",")))),IF(HS94="",TRUE,IF(input_story_categories="",TRUE,SUMPRODUCT(--ISNUMBER(SEARCH(","&amp;TRIM(TEXTSPLIT(HS94,","))&amp;",",","&amp;SUBSTITUTE(input_story_categories," ","")&amp;",")))=0)),IF(HU94="",TRUE,IF(input_story_categories="",FALSE,SUMPRODUCT(--ISNUMBER(SEARCH(","&amp;TRIM(TEXTSPLIT(HU94,","))&amp;",",","&amp;SUBSTITUTE(input_story_categories," ","")&amp;",")))&gt;0)),IF(HW94="",TRUE,IF(input_story_categories="",FALSE,SUMPRODUCT(--ISNUMBER(SEARCH(","&amp;TRIM(TEXTSPLIT(HW94,","))&amp;",",","&amp;SUBSTITUTE(input_story_categories," ","")&amp;",")))=COUNTA(TEXTSPLIT(HW94,",")))))</f>
        <v/>
      </c>
      <c r="JP94" s="19">
        <f>AND(IF(HY94="",TRUE,IF(input_story_type="",FALSE,SUMPRODUCT(--ISNUMBER(SEARCH(","&amp;TRIM(TEXTSPLIT(HY94,","))&amp;",",","&amp;SUBSTITUTE(input_story_type," ","")&amp;",")))&gt;0)),IF(IA94="",TRUE,IF(input_story_type="",FALSE,SUMPRODUCT(--ISNUMBER(SEARCH(","&amp;TRIM(TEXTSPLIT(IA94,","))&amp;",",","&amp;SUBSTITUTE(input_story_type," ","")&amp;",")))=COUNTA(TEXTSPLIT(IA94,",")))),IF(IC94="",TRUE,IF(input_story_type="",TRUE,SUMPRODUCT(--ISNUMBER(SEARCH(","&amp;TRIM(TEXTSPLIT(IC94,","))&amp;",",","&amp;SUBSTITUTE(input_story_type," ","")&amp;",")))=0)),IF(IE94="",TRUE,IF(input_story_type="",FALSE,SUMPRODUCT(--ISNUMBER(SEARCH(","&amp;TRIM(TEXTSPLIT(IE94,","))&amp;",",","&amp;SUBSTITUTE(input_story_type," ","")&amp;",")))&gt;0)),IF(IG94="",TRUE,IF(input_story_type="",FALSE,SUMPRODUCT(--ISNUMBER(SEARCH(","&amp;TRIM(TEXTSPLIT(IG94,","))&amp;",",","&amp;SUBSTITUTE(input_story_type," ","")&amp;",")))=COUNTA(TEXTSPLIT(IG94,",")))))</f>
        <v/>
      </c>
      <c r="JQ94" s="19">
        <f>AND(IF(II94="",TRUE,IF(input_topics="",FALSE,SUMPRODUCT(--ISNUMBER(SEARCH(","&amp;TRIM(TEXTSPLIT(II94,","))&amp;",",","&amp;SUBSTITUTE(input_topics," ","")&amp;",")))&gt;0)),IF(IK94="",TRUE,IF(input_topics="",FALSE,SUMPRODUCT(--ISNUMBER(SEARCH(","&amp;TRIM(TEXTSPLIT(IK94,","))&amp;",",","&amp;SUBSTITUTE(input_topics," ","")&amp;",")))=COUNTA(TEXTSPLIT(IK94,",")))),IF(IM94="",TRUE,IF(input_topics="",TRUE,SUMPRODUCT(--ISNUMBER(SEARCH(","&amp;TRIM(TEXTSPLIT(IM94,","))&amp;",",","&amp;SUBSTITUTE(input_topics," ","")&amp;",")))=0)),IF(IO94="",TRUE,IF(input_topics="",FALSE,SUMPRODUCT(--ISNUMBER(SEARCH(","&amp;TRIM(TEXTSPLIT(IO94,","))&amp;",",","&amp;SUBSTITUTE(input_topics," ","")&amp;",")))&gt;0)),IF(IQ94="",TRUE,IF(input_topics="",FALSE,SUMPRODUCT(--ISNUMBER(SEARCH(","&amp;TRIM(TEXTSPLIT(IQ94,","))&amp;",",","&amp;SUBSTITUTE(input_topics," ","")&amp;",")))=COUNTA(TEXTSPLIT(IQ94,",")))))</f>
        <v/>
      </c>
    </row>
    <row r="95">
      <c r="A95" s="24">
        <f>IF(NOT(IS95),"Excluded",IF(AND(IT95,IU95,IV95,IW95,IX95,IY95,IZ95,JA95,JB95,JC95,JD95,JE95,JF95,JG95,JH95,JI95,JJ95,JK95,JL95,JM95,JN95,JO95,JP95,JQ95),IF(I95&gt;0,"Eligible but limited","Will appear"),"Excluded"))</f>
        <v/>
      </c>
      <c r="B95" s="24" t="inlineStr">
        <is>
          <t>Embed</t>
        </is>
      </c>
      <c r="C95" s="27" t="inlineStr">
        <is>
          <t>/podcasts/impact-innovation</t>
        </is>
      </c>
      <c r="D95" s="24" t="inlineStr">
        <is>
          <t>/podcasts/impact-innovation</t>
        </is>
      </c>
      <c r="E95" s="24" t="n">
        <v>1</v>
      </c>
      <c r="F95" s="24" t="inlineStr">
        <is>
          <t>podcast</t>
        </is>
      </c>
      <c r="G95" s="24" t="inlineStr">
        <is>
          <t>podcast_list</t>
        </is>
      </c>
      <c r="H95" s="24" t="inlineStr">
        <is>
          <t>embed_list</t>
        </is>
      </c>
      <c r="I95" s="24" t="n">
        <v>10</v>
      </c>
      <c r="J95" s="28" t="inlineStr">
        <is>
          <t>Explicit args</t>
        </is>
      </c>
      <c r="K95" s="24" t="inlineStr">
        <is>
          <t>Page placement</t>
        </is>
      </c>
      <c r="L95" s="24" t="inlineStr">
        <is>
          <t>Content type: podcast; Limited to 10 item(s); Source: Explicit args</t>
        </is>
      </c>
      <c r="IS95" s="19">
        <f>IF(input_content_type="",FALSE,ISNUMBER(SEARCH(","&amp;LOWER(input_content_type)&amp;",",","&amp;LOWER(SUBSTITUTE(F95," ",""))&amp;",")))</f>
        <v/>
      </c>
      <c r="IT95" s="19">
        <f>AND(IF(M95="",TRUE,IF(input_affiliations="",FALSE,SUMPRODUCT(--ISNUMBER(SEARCH(","&amp;TRIM(TEXTSPLIT(M95,","))&amp;",",","&amp;SUBSTITUTE(input_affiliations," ","")&amp;",")))&gt;0)),IF(O95="",TRUE,IF(input_affiliations="",FALSE,SUMPRODUCT(--ISNUMBER(SEARCH(","&amp;TRIM(TEXTSPLIT(O95,","))&amp;",",","&amp;SUBSTITUTE(input_affiliations," ","")&amp;",")))=COUNTA(TEXTSPLIT(O95,",")))),IF(Q95="",TRUE,IF(input_affiliations="",TRUE,SUMPRODUCT(--ISNUMBER(SEARCH(","&amp;TRIM(TEXTSPLIT(Q95,","))&amp;",",","&amp;SUBSTITUTE(input_affiliations," ","")&amp;",")))=0)),IF(S95="",TRUE,IF(input_affiliations="",FALSE,SUMPRODUCT(--ISNUMBER(SEARCH(","&amp;TRIM(TEXTSPLIT(S95,","))&amp;",",","&amp;SUBSTITUTE(input_affiliations," ","")&amp;",")))&gt;0)),IF(U95="",TRUE,IF(input_affiliations="",FALSE,SUMPRODUCT(--ISNUMBER(SEARCH(","&amp;TRIM(TEXTSPLIT(U95,","))&amp;",",","&amp;SUBSTITUTE(input_affiliations," ","")&amp;",")))=COUNTA(TEXTSPLIT(U95,",")))))</f>
        <v/>
      </c>
      <c r="IU95" s="19">
        <f>AND(IF(W95="",TRUE,IF(input_announcement_category="",FALSE,SUMPRODUCT(--ISNUMBER(SEARCH(","&amp;TRIM(TEXTSPLIT(W95,","))&amp;",",","&amp;SUBSTITUTE(input_announcement_category," ","")&amp;",")))&gt;0)),IF(Y95="",TRUE,IF(input_announcement_category="",FALSE,SUMPRODUCT(--ISNUMBER(SEARCH(","&amp;TRIM(TEXTSPLIT(Y95,","))&amp;",",","&amp;SUBSTITUTE(input_announcement_category," ","")&amp;",")))=COUNTA(TEXTSPLIT(Y95,",")))),IF(AA95="",TRUE,IF(input_announcement_category="",TRUE,SUMPRODUCT(--ISNUMBER(SEARCH(","&amp;TRIM(TEXTSPLIT(AA95,","))&amp;",",","&amp;SUBSTITUTE(input_announcement_category," ","")&amp;",")))=0)),IF(AC95="",TRUE,IF(input_announcement_category="",FALSE,SUMPRODUCT(--ISNUMBER(SEARCH(","&amp;TRIM(TEXTSPLIT(AC95,","))&amp;",",","&amp;SUBSTITUTE(input_announcement_category," ","")&amp;",")))&gt;0)),IF(AE95="",TRUE,IF(input_announcement_category="",FALSE,SUMPRODUCT(--ISNUMBER(SEARCH(","&amp;TRIM(TEXTSPLIT(AE95,","))&amp;",",","&amp;SUBSTITUTE(input_announcement_category," ","")&amp;",")))=COUNTA(TEXTSPLIT(AE95,",")))))</f>
        <v/>
      </c>
      <c r="IV95" s="19">
        <f>AND(IF(AG95="",TRUE,IF(input_area_of_focus="",FALSE,SUMPRODUCT(--ISNUMBER(SEARCH(","&amp;TRIM(TEXTSPLIT(AG95,","))&amp;",",","&amp;SUBSTITUTE(input_area_of_focus," ","")&amp;",")))&gt;0)),IF(AI95="",TRUE,IF(input_area_of_focus="",FALSE,SUMPRODUCT(--ISNUMBER(SEARCH(","&amp;TRIM(TEXTSPLIT(AI95,","))&amp;",",","&amp;SUBSTITUTE(input_area_of_focus," ","")&amp;",")))=COUNTA(TEXTSPLIT(AI95,",")))),IF(AK95="",TRUE,IF(input_area_of_focus="",TRUE,SUMPRODUCT(--ISNUMBER(SEARCH(","&amp;TRIM(TEXTSPLIT(AK95,","))&amp;",",","&amp;SUBSTITUTE(input_area_of_focus," ","")&amp;",")))=0)),IF(AM95="",TRUE,IF(input_area_of_focus="",FALSE,SUMPRODUCT(--ISNUMBER(SEARCH(","&amp;TRIM(TEXTSPLIT(AM95,","))&amp;",",","&amp;SUBSTITUTE(input_area_of_focus," ","")&amp;",")))&gt;0)),IF(AO95="",TRUE,IF(input_area_of_focus="",FALSE,SUMPRODUCT(--ISNUMBER(SEARCH(","&amp;TRIM(TEXTSPLIT(AO95,","))&amp;",",","&amp;SUBSTITUTE(input_area_of_focus," ","")&amp;",")))=COUNTA(TEXTSPLIT(AO95,",")))))</f>
        <v/>
      </c>
      <c r="IW95" s="19">
        <f>AND(IF(AQ95="",TRUE,IF(input_audience="",FALSE,SUMPRODUCT(--ISNUMBER(SEARCH(","&amp;TRIM(TEXTSPLIT(AQ95,","))&amp;",",","&amp;SUBSTITUTE(input_audience," ","")&amp;",")))&gt;0)),IF(AS95="",TRUE,IF(input_audience="",FALSE,SUMPRODUCT(--ISNUMBER(SEARCH(","&amp;TRIM(TEXTSPLIT(AS95,","))&amp;",",","&amp;SUBSTITUTE(input_audience," ","")&amp;",")))=COUNTA(TEXTSPLIT(AS95,",")))),IF(AU95="",TRUE,IF(input_audience="",TRUE,SUMPRODUCT(--ISNUMBER(SEARCH(","&amp;TRIM(TEXTSPLIT(AU95,","))&amp;",",","&amp;SUBSTITUTE(input_audience," ","")&amp;",")))=0)),IF(AW95="",TRUE,IF(input_audience="",FALSE,SUMPRODUCT(--ISNUMBER(SEARCH(","&amp;TRIM(TEXTSPLIT(AW95,","))&amp;",",","&amp;SUBSTITUTE(input_audience," ","")&amp;",")))&gt;0)),IF(AY95="",TRUE,IF(input_audience="",FALSE,SUMPRODUCT(--ISNUMBER(SEARCH(","&amp;TRIM(TEXTSPLIT(AY95,","))&amp;",",","&amp;SUBSTITUTE(input_audience," ","")&amp;",")))=COUNTA(TEXTSPLIT(AY95,",")))))</f>
        <v/>
      </c>
      <c r="IX95" s="19">
        <f>AND(IF(BA95="",TRUE,IF(input_challenge_opportunities="",FALSE,SUMPRODUCT(--ISNUMBER(SEARCH(","&amp;TRIM(TEXTSPLIT(BA95,","))&amp;",",","&amp;SUBSTITUTE(input_challenge_opportunities," ","")&amp;",")))&gt;0)),IF(BC95="",TRUE,IF(input_challenge_opportunities="",FALSE,SUMPRODUCT(--ISNUMBER(SEARCH(","&amp;TRIM(TEXTSPLIT(BC95,","))&amp;",",","&amp;SUBSTITUTE(input_challenge_opportunities," ","")&amp;",")))=COUNTA(TEXTSPLIT(BC95,",")))),IF(BE95="",TRUE,IF(input_challenge_opportunities="",TRUE,SUMPRODUCT(--ISNUMBER(SEARCH(","&amp;TRIM(TEXTSPLIT(BE95,","))&amp;",",","&amp;SUBSTITUTE(input_challenge_opportunities," ","")&amp;",")))=0)),IF(BG95="",TRUE,IF(input_challenge_opportunities="",FALSE,SUMPRODUCT(--ISNUMBER(SEARCH(","&amp;TRIM(TEXTSPLIT(BG95,","))&amp;",",","&amp;SUBSTITUTE(input_challenge_opportunities," ","")&amp;",")))&gt;0)),IF(BI95="",TRUE,IF(input_challenge_opportunities="",FALSE,SUMPRODUCT(--ISNUMBER(SEARCH(","&amp;TRIM(TEXTSPLIT(BI95,","))&amp;",",","&amp;SUBSTITUTE(input_challenge_opportunities," ","")&amp;",")))=COUNTA(TEXTSPLIT(BI95,",")))))</f>
        <v/>
      </c>
      <c r="IY95" s="19">
        <f>AND(IF(BK95="",TRUE,IF(input_context="",FALSE,SUMPRODUCT(--ISNUMBER(SEARCH(","&amp;TRIM(TEXTSPLIT(BK95,","))&amp;",",","&amp;SUBSTITUTE(input_context," ","")&amp;",")))&gt;0)),IF(BM95="",TRUE,IF(input_context="",FALSE,SUMPRODUCT(--ISNUMBER(SEARCH(","&amp;TRIM(TEXTSPLIT(BM95,","))&amp;",",","&amp;SUBSTITUTE(input_context," ","")&amp;",")))=COUNTA(TEXTSPLIT(BM95,",")))),IF(BO95="",TRUE,IF(input_context="",TRUE,SUMPRODUCT(--ISNUMBER(SEARCH(","&amp;TRIM(TEXTSPLIT(BO95,","))&amp;",",","&amp;SUBSTITUTE(input_context," ","")&amp;",")))=0)),IF(BQ95="",TRUE,IF(input_context="",FALSE,SUMPRODUCT(--ISNUMBER(SEARCH(","&amp;TRIM(TEXTSPLIT(BQ95,","))&amp;",",","&amp;SUBSTITUTE(input_context," ","")&amp;",")))&gt;0)),IF(BS95="",TRUE,IF(input_context="",FALSE,SUMPRODUCT(--ISNUMBER(SEARCH(","&amp;TRIM(TEXTSPLIT(BS95,","))&amp;",",","&amp;SUBSTITUTE(input_context," ","")&amp;",")))=COUNTA(TEXTSPLIT(BS95,",")))))</f>
        <v/>
      </c>
      <c r="IZ95" s="19">
        <f>AND(IF(BU95="",TRUE,IF(input_enews_announcement_type="",FALSE,SUMPRODUCT(--ISNUMBER(SEARCH(","&amp;TRIM(TEXTSPLIT(BU95,","))&amp;",",","&amp;SUBSTITUTE(input_enews_announcement_type," ","")&amp;",")))&gt;0)),IF(BW95="",TRUE,IF(input_enews_announcement_type="",FALSE,SUMPRODUCT(--ISNUMBER(SEARCH(","&amp;TRIM(TEXTSPLIT(BW95,","))&amp;",",","&amp;SUBSTITUTE(input_enews_announcement_type," ","")&amp;",")))=COUNTA(TEXTSPLIT(BW95,",")))),IF(BY95="",TRUE,IF(input_enews_announcement_type="",TRUE,SUMPRODUCT(--ISNUMBER(SEARCH(","&amp;TRIM(TEXTSPLIT(BY95,","))&amp;",",","&amp;SUBSTITUTE(input_enews_announcement_type," ","")&amp;",")))=0)),IF(CA95="",TRUE,IF(input_enews_announcement_type="",FALSE,SUMPRODUCT(--ISNUMBER(SEARCH(","&amp;TRIM(TEXTSPLIT(CA95,","))&amp;",",","&amp;SUBSTITUTE(input_enews_announcement_type," ","")&amp;",")))&gt;0)),IF(CC95="",TRUE,IF(input_enews_announcement_type="",FALSE,SUMPRODUCT(--ISNUMBER(SEARCH(","&amp;TRIM(TEXTSPLIT(CC95,","))&amp;",",","&amp;SUBSTITUTE(input_enews_announcement_type," ","")&amp;",")))=COUNTA(TEXTSPLIT(CC95,",")))))</f>
        <v/>
      </c>
      <c r="JA95" s="19">
        <f>AND(IF(CE95="",TRUE,IF(input_enews_audience="",FALSE,SUMPRODUCT(--ISNUMBER(SEARCH(","&amp;TRIM(TEXTSPLIT(CE95,","))&amp;",",","&amp;SUBSTITUTE(input_enews_audience," ","")&amp;",")))&gt;0)),IF(CG95="",TRUE,IF(input_enews_audience="",FALSE,SUMPRODUCT(--ISNUMBER(SEARCH(","&amp;TRIM(TEXTSPLIT(CG95,","))&amp;",",","&amp;SUBSTITUTE(input_enews_audience," ","")&amp;",")))=COUNTA(TEXTSPLIT(CG95,",")))),IF(CI95="",TRUE,IF(input_enews_audience="",TRUE,SUMPRODUCT(--ISNUMBER(SEARCH(","&amp;TRIM(TEXTSPLIT(CI95,","))&amp;",",","&amp;SUBSTITUTE(input_enews_audience," ","")&amp;",")))=0)),IF(CK95="",TRUE,IF(input_enews_audience="",FALSE,SUMPRODUCT(--ISNUMBER(SEARCH(","&amp;TRIM(TEXTSPLIT(CK95,","))&amp;",",","&amp;SUBSTITUTE(input_enews_audience," ","")&amp;",")))&gt;0)),IF(CM95="",TRUE,IF(input_enews_audience="",FALSE,SUMPRODUCT(--ISNUMBER(SEARCH(","&amp;TRIM(TEXTSPLIT(CM95,","))&amp;",",","&amp;SUBSTITUTE(input_enews_audience," ","")&amp;",")))=COUNTA(TEXTSPLIT(CM95,",")))))</f>
        <v/>
      </c>
      <c r="JB95" s="19">
        <f>AND(IF(CO95="",TRUE,IF(input_event_location="",FALSE,SUMPRODUCT(--ISNUMBER(SEARCH(","&amp;TRIM(TEXTSPLIT(CO95,","))&amp;",",","&amp;SUBSTITUTE(input_event_location," ","")&amp;",")))&gt;0)),IF(CQ95="",TRUE,IF(input_event_location="",FALSE,SUMPRODUCT(--ISNUMBER(SEARCH(","&amp;TRIM(TEXTSPLIT(CQ95,","))&amp;",",","&amp;SUBSTITUTE(input_event_location," ","")&amp;",")))=COUNTA(TEXTSPLIT(CQ95,",")))),IF(CS95="",TRUE,IF(input_event_location="",TRUE,SUMPRODUCT(--ISNUMBER(SEARCH(","&amp;TRIM(TEXTSPLIT(CS95,","))&amp;",",","&amp;SUBSTITUTE(input_event_location," ","")&amp;",")))=0)),IF(CU95="",TRUE,IF(input_event_location="",FALSE,SUMPRODUCT(--ISNUMBER(SEARCH(","&amp;TRIM(TEXTSPLIT(CU95,","))&amp;",",","&amp;SUBSTITUTE(input_event_location," ","")&amp;",")))&gt;0)),IF(CW95="",TRUE,IF(input_event_location="",FALSE,SUMPRODUCT(--ISNUMBER(SEARCH(","&amp;TRIM(TEXTSPLIT(CW95,","))&amp;",",","&amp;SUBSTITUTE(input_event_location," ","")&amp;",")))=COUNTA(TEXTSPLIT(CW95,",")))))</f>
        <v/>
      </c>
      <c r="JC95" s="19">
        <f>AND(IF(CY95="",TRUE,IF(input_event_type="",FALSE,SUMPRODUCT(--ISNUMBER(SEARCH(","&amp;TRIM(TEXTSPLIT(CY95,","))&amp;",",","&amp;SUBSTITUTE(input_event_type," ","")&amp;",")))&gt;0)),IF(DA95="",TRUE,IF(input_event_type="",FALSE,SUMPRODUCT(--ISNUMBER(SEARCH(","&amp;TRIM(TEXTSPLIT(DA95,","))&amp;",",","&amp;SUBSTITUTE(input_event_type," ","")&amp;",")))=COUNTA(TEXTSPLIT(DA95,",")))),IF(DC95="",TRUE,IF(input_event_type="",TRUE,SUMPRODUCT(--ISNUMBER(SEARCH(","&amp;TRIM(TEXTSPLIT(DC95,","))&amp;",",","&amp;SUBSTITUTE(input_event_type," ","")&amp;",")))=0)),IF(DE95="",TRUE,IF(input_event_type="",FALSE,SUMPRODUCT(--ISNUMBER(SEARCH(","&amp;TRIM(TEXTSPLIT(DE95,","))&amp;",",","&amp;SUBSTITUTE(input_event_type," ","")&amp;",")))&gt;0)),IF(DG95="",TRUE,IF(input_event_type="",FALSE,SUMPRODUCT(--ISNUMBER(SEARCH(","&amp;TRIM(TEXTSPLIT(DG95,","))&amp;",",","&amp;SUBSTITUTE(input_event_type," ","")&amp;",")))=COUNTA(TEXTSPLIT(DG95,",")))))</f>
        <v/>
      </c>
      <c r="JD95" s="19">
        <f>AND(IF(DI95="",TRUE,IF(input_executive_education_focus="",FALSE,SUMPRODUCT(--ISNUMBER(SEARCH(","&amp;TRIM(TEXTSPLIT(DI95,","))&amp;",",","&amp;SUBSTITUTE(input_executive_education_focus," ","")&amp;",")))&gt;0)),IF(DK95="",TRUE,IF(input_executive_education_focus="",FALSE,SUMPRODUCT(--ISNUMBER(SEARCH(","&amp;TRIM(TEXTSPLIT(DK95,","))&amp;",",","&amp;SUBSTITUTE(input_executive_education_focus," ","")&amp;",")))=COUNTA(TEXTSPLIT(DK95,",")))),IF(DM95="",TRUE,IF(input_executive_education_focus="",TRUE,SUMPRODUCT(--ISNUMBER(SEARCH(","&amp;TRIM(TEXTSPLIT(DM95,","))&amp;",",","&amp;SUBSTITUTE(input_executive_education_focus," ","")&amp;",")))=0)),IF(DO95="",TRUE,IF(input_executive_education_focus="",FALSE,SUMPRODUCT(--ISNUMBER(SEARCH(","&amp;TRIM(TEXTSPLIT(DO95,","))&amp;",",","&amp;SUBSTITUTE(input_executive_education_focus," ","")&amp;",")))&gt;0)),IF(DQ95="",TRUE,IF(input_executive_education_focus="",FALSE,SUMPRODUCT(--ISNUMBER(SEARCH(","&amp;TRIM(TEXTSPLIT(DQ95,","))&amp;",",","&amp;SUBSTITUTE(input_executive_education_focus," ","")&amp;",")))=COUNTA(TEXTSPLIT(DQ95,",")))))</f>
        <v/>
      </c>
      <c r="JE95" s="19">
        <f>AND(IF(DS95="",TRUE,IF(input_faculty_category="",FALSE,SUMPRODUCT(--ISNUMBER(SEARCH(","&amp;TRIM(TEXTSPLIT(DS95,","))&amp;",",","&amp;SUBSTITUTE(input_faculty_category," ","")&amp;",")))&gt;0)),IF(DU95="",TRUE,IF(input_faculty_category="",FALSE,SUMPRODUCT(--ISNUMBER(SEARCH(","&amp;TRIM(TEXTSPLIT(DU95,","))&amp;",",","&amp;SUBSTITUTE(input_faculty_category," ","")&amp;",")))=COUNTA(TEXTSPLIT(DU95,",")))),IF(DW95="",TRUE,IF(input_faculty_category="",TRUE,SUMPRODUCT(--ISNUMBER(SEARCH(","&amp;TRIM(TEXTSPLIT(DW95,","))&amp;",",","&amp;SUBSTITUTE(input_faculty_category," ","")&amp;",")))=0)),IF(DY95="",TRUE,IF(input_faculty_category="",FALSE,SUMPRODUCT(--ISNUMBER(SEARCH(","&amp;TRIM(TEXTSPLIT(DY95,","))&amp;",",","&amp;SUBSTITUTE(input_faculty_category," ","")&amp;",")))&gt;0)),IF(EA95="",TRUE,IF(input_faculty_category="",FALSE,SUMPRODUCT(--ISNUMBER(SEARCH(","&amp;TRIM(TEXTSPLIT(EA95,","))&amp;",",","&amp;SUBSTITUTE(input_faculty_category," ","")&amp;",")))=COUNTA(TEXTSPLIT(EA95,",")))))</f>
        <v/>
      </c>
      <c r="JF95" s="19">
        <f>AND(IF(EC95="",TRUE,IF(input_faculty_discipline="",FALSE,SUMPRODUCT(--ISNUMBER(SEARCH(","&amp;TRIM(TEXTSPLIT(EC95,","))&amp;",",","&amp;SUBSTITUTE(input_faculty_discipline," ","")&amp;",")))&gt;0)),IF(EE95="",TRUE,IF(input_faculty_discipline="",FALSE,SUMPRODUCT(--ISNUMBER(SEARCH(","&amp;TRIM(TEXTSPLIT(EE95,","))&amp;",",","&amp;SUBSTITUTE(input_faculty_discipline," ","")&amp;",")))=COUNTA(TEXTSPLIT(EE95,",")))),IF(EG95="",TRUE,IF(input_faculty_discipline="",TRUE,SUMPRODUCT(--ISNUMBER(SEARCH(","&amp;TRIM(TEXTSPLIT(EG95,","))&amp;",",","&amp;SUBSTITUTE(input_faculty_discipline," ","")&amp;",")))=0)),IF(EI95="",TRUE,IF(input_faculty_discipline="",FALSE,SUMPRODUCT(--ISNUMBER(SEARCH(","&amp;TRIM(TEXTSPLIT(EI95,","))&amp;",",","&amp;SUBSTITUTE(input_faculty_discipline," ","")&amp;",")))&gt;0)),IF(EK95="",TRUE,IF(input_faculty_discipline="",FALSE,SUMPRODUCT(--ISNUMBER(SEARCH(","&amp;TRIM(TEXTSPLIT(EK95,","))&amp;",",","&amp;SUBSTITUTE(input_faculty_discipline," ","")&amp;",")))=COUNTA(TEXTSPLIT(EK95,",")))))</f>
        <v/>
      </c>
      <c r="JG95" s="19">
        <f>AND(IF(EM95="",TRUE,IF(input_faculty_expertise="",FALSE,SUMPRODUCT(--ISNUMBER(SEARCH(","&amp;TRIM(TEXTSPLIT(EM95,","))&amp;",",","&amp;SUBSTITUTE(input_faculty_expertise," ","")&amp;",")))&gt;0)),IF(EO95="",TRUE,IF(input_faculty_expertise="",FALSE,SUMPRODUCT(--ISNUMBER(SEARCH(","&amp;TRIM(TEXTSPLIT(EO95,","))&amp;",",","&amp;SUBSTITUTE(input_faculty_expertise," ","")&amp;",")))=COUNTA(TEXTSPLIT(EO95,",")))),IF(EQ95="",TRUE,IF(input_faculty_expertise="",TRUE,SUMPRODUCT(--ISNUMBER(SEARCH(","&amp;TRIM(TEXTSPLIT(EQ95,","))&amp;",",","&amp;SUBSTITUTE(input_faculty_expertise," ","")&amp;",")))=0)),IF(ES95="",TRUE,IF(input_faculty_expertise="",FALSE,SUMPRODUCT(--ISNUMBER(SEARCH(","&amp;TRIM(TEXTSPLIT(ES95,","))&amp;",",","&amp;SUBSTITUTE(input_faculty_expertise," ","")&amp;",")))&gt;0)),IF(EU95="",TRUE,IF(input_faculty_expertise="",FALSE,SUMPRODUCT(--ISNUMBER(SEARCH(","&amp;TRIM(TEXTSPLIT(EU95,","))&amp;",",","&amp;SUBSTITUTE(input_faculty_expertise," ","")&amp;",")))=COUNTA(TEXTSPLIT(EU95,",")))))</f>
        <v/>
      </c>
      <c r="JH95" s="19">
        <f>AND(IF(EW95="",TRUE,IF(input_global_network_school="",FALSE,SUMPRODUCT(--ISNUMBER(SEARCH(","&amp;TRIM(TEXTSPLIT(EW95,","))&amp;",",","&amp;SUBSTITUTE(input_global_network_school," ","")&amp;",")))&gt;0)),IF(EY95="",TRUE,IF(input_global_network_school="",FALSE,SUMPRODUCT(--ISNUMBER(SEARCH(","&amp;TRIM(TEXTSPLIT(EY95,","))&amp;",",","&amp;SUBSTITUTE(input_global_network_school," ","")&amp;",")))=COUNTA(TEXTSPLIT(EY95,",")))),IF(FA95="",TRUE,IF(input_global_network_school="",TRUE,SUMPRODUCT(--ISNUMBER(SEARCH(","&amp;TRIM(TEXTSPLIT(FA95,","))&amp;",",","&amp;SUBSTITUTE(input_global_network_school," ","")&amp;",")))=0)),IF(FC95="",TRUE,IF(input_global_network_school="",FALSE,SUMPRODUCT(--ISNUMBER(SEARCH(","&amp;TRIM(TEXTSPLIT(FC95,","))&amp;",",","&amp;SUBSTITUTE(input_global_network_school," ","")&amp;",")))&gt;0)),IF(FE95="",TRUE,IF(input_global_network_school="",FALSE,SUMPRODUCT(--ISNUMBER(SEARCH(","&amp;TRIM(TEXTSPLIT(FE95,","))&amp;",",","&amp;SUBSTITUTE(input_global_network_school," ","")&amp;",")))=COUNTA(TEXTSPLIT(FE95,",")))))</f>
        <v/>
      </c>
      <c r="JI95" s="19">
        <f>AND(IF(FG95="",TRUE,IF(input_industry="",FALSE,SUMPRODUCT(--ISNUMBER(SEARCH(","&amp;TRIM(TEXTSPLIT(FG95,","))&amp;",",","&amp;SUBSTITUTE(input_industry," ","")&amp;",")))&gt;0)),IF(FI95="",TRUE,IF(input_industry="",FALSE,SUMPRODUCT(--ISNUMBER(SEARCH(","&amp;TRIM(TEXTSPLIT(FI95,","))&amp;",",","&amp;SUBSTITUTE(input_industry," ","")&amp;",")))=COUNTA(TEXTSPLIT(FI95,",")))),IF(FK95="",TRUE,IF(input_industry="",TRUE,SUMPRODUCT(--ISNUMBER(SEARCH(","&amp;TRIM(TEXTSPLIT(FK95,","))&amp;",",","&amp;SUBSTITUTE(input_industry," ","")&amp;",")))=0)),IF(FM95="",TRUE,IF(input_industry="",FALSE,SUMPRODUCT(--ISNUMBER(SEARCH(","&amp;TRIM(TEXTSPLIT(FM95,","))&amp;",",","&amp;SUBSTITUTE(input_industry," ","")&amp;",")))&gt;0)),IF(FO95="",TRUE,IF(input_industry="",FALSE,SUMPRODUCT(--ISNUMBER(SEARCH(","&amp;TRIM(TEXTSPLIT(FO95,","))&amp;",",","&amp;SUBSTITUTE(input_industry," ","")&amp;",")))=COUNTA(TEXTSPLIT(FO95,",")))))</f>
        <v/>
      </c>
      <c r="JJ95" s="19">
        <f>AND(IF(FQ95="",TRUE,IF(input_location="",FALSE,SUMPRODUCT(--ISNUMBER(SEARCH(","&amp;TRIM(TEXTSPLIT(FQ95,","))&amp;",",","&amp;SUBSTITUTE(input_location," ","")&amp;",")))&gt;0)),IF(FS95="",TRUE,IF(input_location="",FALSE,SUMPRODUCT(--ISNUMBER(SEARCH(","&amp;TRIM(TEXTSPLIT(FS95,","))&amp;",",","&amp;SUBSTITUTE(input_location," ","")&amp;",")))=COUNTA(TEXTSPLIT(FS95,",")))),IF(FU95="",TRUE,IF(input_location="",TRUE,SUMPRODUCT(--ISNUMBER(SEARCH(","&amp;TRIM(TEXTSPLIT(FU95,","))&amp;",",","&amp;SUBSTITUTE(input_location," ","")&amp;",")))=0)),IF(FW95="",TRUE,IF(input_location="",FALSE,SUMPRODUCT(--ISNUMBER(SEARCH(","&amp;TRIM(TEXTSPLIT(FW95,","))&amp;",",","&amp;SUBSTITUTE(input_location," ","")&amp;",")))&gt;0)),IF(FY95="",TRUE,IF(input_location="",FALSE,SUMPRODUCT(--ISNUMBER(SEARCH(","&amp;TRIM(TEXTSPLIT(FY95,","))&amp;",",","&amp;SUBSTITUTE(input_location," ","")&amp;",")))=COUNTA(TEXTSPLIT(FY95,",")))))</f>
        <v/>
      </c>
      <c r="JK95" s="19">
        <f>AND(IF(GA95="",TRUE,IF(input_modality="",FALSE,SUMPRODUCT(--ISNUMBER(SEARCH(","&amp;TRIM(TEXTSPLIT(GA95,","))&amp;",",","&amp;SUBSTITUTE(input_modality," ","")&amp;",")))&gt;0)),IF(GC95="",TRUE,IF(input_modality="",FALSE,SUMPRODUCT(--ISNUMBER(SEARCH(","&amp;TRIM(TEXTSPLIT(GC95,","))&amp;",",","&amp;SUBSTITUTE(input_modality," ","")&amp;",")))=COUNTA(TEXTSPLIT(GC95,",")))),IF(GE95="",TRUE,IF(input_modality="",TRUE,SUMPRODUCT(--ISNUMBER(SEARCH(","&amp;TRIM(TEXTSPLIT(GE95,","))&amp;",",","&amp;SUBSTITUTE(input_modality," ","")&amp;",")))=0)),IF(GG95="",TRUE,IF(input_modality="",FALSE,SUMPRODUCT(--ISNUMBER(SEARCH(","&amp;TRIM(TEXTSPLIT(GG95,","))&amp;",",","&amp;SUBSTITUTE(input_modality," ","")&amp;",")))&gt;0)),IF(GI95="",TRUE,IF(input_modality="",FALSE,SUMPRODUCT(--ISNUMBER(SEARCH(","&amp;TRIM(TEXTSPLIT(GI95,","))&amp;",",","&amp;SUBSTITUTE(input_modality," ","")&amp;",")))=COUNTA(TEXTSPLIT(GI95,",")))))</f>
        <v/>
      </c>
      <c r="JL95" s="19">
        <f>AND(IF(GK95="",TRUE,IF(input_organizer="",FALSE,SUMPRODUCT(--ISNUMBER(SEARCH(","&amp;TRIM(TEXTSPLIT(GK95,","))&amp;",",","&amp;SUBSTITUTE(input_organizer," ","")&amp;",")))&gt;0)),IF(GM95="",TRUE,IF(input_organizer="",FALSE,SUMPRODUCT(--ISNUMBER(SEARCH(","&amp;TRIM(TEXTSPLIT(GM95,","))&amp;",",","&amp;SUBSTITUTE(input_organizer," ","")&amp;",")))=COUNTA(TEXTSPLIT(GM95,",")))),IF(GO95="",TRUE,IF(input_organizer="",TRUE,SUMPRODUCT(--ISNUMBER(SEARCH(","&amp;TRIM(TEXTSPLIT(GO95,","))&amp;",",","&amp;SUBSTITUTE(input_organizer," ","")&amp;",")))=0)),IF(GQ95="",TRUE,IF(input_organizer="",FALSE,SUMPRODUCT(--ISNUMBER(SEARCH(","&amp;TRIM(TEXTSPLIT(GQ95,","))&amp;",",","&amp;SUBSTITUTE(input_organizer," ","")&amp;",")))&gt;0)),IF(GS95="",TRUE,IF(input_organizer="",FALSE,SUMPRODUCT(--ISNUMBER(SEARCH(","&amp;TRIM(TEXTSPLIT(GS95,","))&amp;",",","&amp;SUBSTITUTE(input_organizer," ","")&amp;",")))=COUNTA(TEXTSPLIT(GS95,",")))))</f>
        <v/>
      </c>
      <c r="JM95" s="19">
        <f>AND(IF(GU95="",TRUE,IF(input_profile_type="",FALSE,SUMPRODUCT(--ISNUMBER(SEARCH(","&amp;TRIM(TEXTSPLIT(GU95,","))&amp;",",","&amp;SUBSTITUTE(input_profile_type," ","")&amp;",")))&gt;0)),IF(GW95="",TRUE,IF(input_profile_type="",FALSE,SUMPRODUCT(--ISNUMBER(SEARCH(","&amp;TRIM(TEXTSPLIT(GW95,","))&amp;",",","&amp;SUBSTITUTE(input_profile_type," ","")&amp;",")))=COUNTA(TEXTSPLIT(GW95,",")))),IF(GY95="",TRUE,IF(input_profile_type="",TRUE,SUMPRODUCT(--ISNUMBER(SEARCH(","&amp;TRIM(TEXTSPLIT(GY95,","))&amp;",",","&amp;SUBSTITUTE(input_profile_type," ","")&amp;",")))=0)),IF(HA95="",TRUE,IF(input_profile_type="",FALSE,SUMPRODUCT(--ISNUMBER(SEARCH(","&amp;TRIM(TEXTSPLIT(HA95,","))&amp;",",","&amp;SUBSTITUTE(input_profile_type," ","")&amp;",")))&gt;0)),IF(HC95="",TRUE,IF(input_profile_type="",FALSE,SUMPRODUCT(--ISNUMBER(SEARCH(","&amp;TRIM(TEXTSPLIT(HC95,","))&amp;",",","&amp;SUBSTITUTE(input_profile_type," ","")&amp;",")))=COUNTA(TEXTSPLIT(HC95,",")))))</f>
        <v/>
      </c>
      <c r="JN95" s="19">
        <f>AND(IF(HE95="",TRUE,IF(input_program="",FALSE,SUMPRODUCT(--ISNUMBER(SEARCH(","&amp;TRIM(TEXTSPLIT(HE95,","))&amp;",",","&amp;SUBSTITUTE(input_program," ","")&amp;",")))&gt;0)),IF(HG95="",TRUE,IF(input_program="",FALSE,SUMPRODUCT(--ISNUMBER(SEARCH(","&amp;TRIM(TEXTSPLIT(HG95,","))&amp;",",","&amp;SUBSTITUTE(input_program," ","")&amp;",")))=COUNTA(TEXTSPLIT(HG95,",")))),IF(HI95="",TRUE,IF(input_program="",TRUE,SUMPRODUCT(--ISNUMBER(SEARCH(","&amp;TRIM(TEXTSPLIT(HI95,","))&amp;",",","&amp;SUBSTITUTE(input_program," ","")&amp;",")))=0)),IF(HK95="",TRUE,IF(input_program="",FALSE,SUMPRODUCT(--ISNUMBER(SEARCH(","&amp;TRIM(TEXTSPLIT(HK95,","))&amp;",",","&amp;SUBSTITUTE(input_program," ","")&amp;",")))&gt;0)),IF(HM95="",TRUE,IF(input_program="",FALSE,SUMPRODUCT(--ISNUMBER(SEARCH(","&amp;TRIM(TEXTSPLIT(HM95,","))&amp;",",","&amp;SUBSTITUTE(input_program," ","")&amp;",")))=COUNTA(TEXTSPLIT(HM95,",")))))</f>
        <v/>
      </c>
      <c r="JO95" s="19">
        <f>AND(IF(HO95="",TRUE,IF(input_story_categories="",FALSE,SUMPRODUCT(--ISNUMBER(SEARCH(","&amp;TRIM(TEXTSPLIT(HO95,","))&amp;",",","&amp;SUBSTITUTE(input_story_categories," ","")&amp;",")))&gt;0)),IF(HQ95="",TRUE,IF(input_story_categories="",FALSE,SUMPRODUCT(--ISNUMBER(SEARCH(","&amp;TRIM(TEXTSPLIT(HQ95,","))&amp;",",","&amp;SUBSTITUTE(input_story_categories," ","")&amp;",")))=COUNTA(TEXTSPLIT(HQ95,",")))),IF(HS95="",TRUE,IF(input_story_categories="",TRUE,SUMPRODUCT(--ISNUMBER(SEARCH(","&amp;TRIM(TEXTSPLIT(HS95,","))&amp;",",","&amp;SUBSTITUTE(input_story_categories," ","")&amp;",")))=0)),IF(HU95="",TRUE,IF(input_story_categories="",FALSE,SUMPRODUCT(--ISNUMBER(SEARCH(","&amp;TRIM(TEXTSPLIT(HU95,","))&amp;",",","&amp;SUBSTITUTE(input_story_categories," ","")&amp;",")))&gt;0)),IF(HW95="",TRUE,IF(input_story_categories="",FALSE,SUMPRODUCT(--ISNUMBER(SEARCH(","&amp;TRIM(TEXTSPLIT(HW95,","))&amp;",",","&amp;SUBSTITUTE(input_story_categories," ","")&amp;",")))=COUNTA(TEXTSPLIT(HW95,",")))))</f>
        <v/>
      </c>
      <c r="JP95" s="19">
        <f>AND(IF(HY95="",TRUE,IF(input_story_type="",FALSE,SUMPRODUCT(--ISNUMBER(SEARCH(","&amp;TRIM(TEXTSPLIT(HY95,","))&amp;",",","&amp;SUBSTITUTE(input_story_type," ","")&amp;",")))&gt;0)),IF(IA95="",TRUE,IF(input_story_type="",FALSE,SUMPRODUCT(--ISNUMBER(SEARCH(","&amp;TRIM(TEXTSPLIT(IA95,","))&amp;",",","&amp;SUBSTITUTE(input_story_type," ","")&amp;",")))=COUNTA(TEXTSPLIT(IA95,",")))),IF(IC95="",TRUE,IF(input_story_type="",TRUE,SUMPRODUCT(--ISNUMBER(SEARCH(","&amp;TRIM(TEXTSPLIT(IC95,","))&amp;",",","&amp;SUBSTITUTE(input_story_type," ","")&amp;",")))=0)),IF(IE95="",TRUE,IF(input_story_type="",FALSE,SUMPRODUCT(--ISNUMBER(SEARCH(","&amp;TRIM(TEXTSPLIT(IE95,","))&amp;",",","&amp;SUBSTITUTE(input_story_type," ","")&amp;",")))&gt;0)),IF(IG95="",TRUE,IF(input_story_type="",FALSE,SUMPRODUCT(--ISNUMBER(SEARCH(","&amp;TRIM(TEXTSPLIT(IG95,","))&amp;",",","&amp;SUBSTITUTE(input_story_type," ","")&amp;",")))=COUNTA(TEXTSPLIT(IG95,",")))))</f>
        <v/>
      </c>
      <c r="JQ95" s="19">
        <f>AND(IF(II95="",TRUE,IF(input_topics="",FALSE,SUMPRODUCT(--ISNUMBER(SEARCH(","&amp;TRIM(TEXTSPLIT(II95,","))&amp;",",","&amp;SUBSTITUTE(input_topics," ","")&amp;",")))&gt;0)),IF(IK95="",TRUE,IF(input_topics="",FALSE,SUMPRODUCT(--ISNUMBER(SEARCH(","&amp;TRIM(TEXTSPLIT(IK95,","))&amp;",",","&amp;SUBSTITUTE(input_topics," ","")&amp;",")))=COUNTA(TEXTSPLIT(IK95,",")))),IF(IM95="",TRUE,IF(input_topics="",TRUE,SUMPRODUCT(--ISNUMBER(SEARCH(","&amp;TRIM(TEXTSPLIT(IM95,","))&amp;",",","&amp;SUBSTITUTE(input_topics," ","")&amp;",")))=0)),IF(IO95="",TRUE,IF(input_topics="",FALSE,SUMPRODUCT(--ISNUMBER(SEARCH(","&amp;TRIM(TEXTSPLIT(IO95,","))&amp;",",","&amp;SUBSTITUTE(input_topics," ","")&amp;",")))&gt;0)),IF(IQ95="",TRUE,IF(input_topics="",FALSE,SUMPRODUCT(--ISNUMBER(SEARCH(","&amp;TRIM(TEXTSPLIT(IQ95,","))&amp;",",","&amp;SUBSTITUTE(input_topics," ","")&amp;",")))=COUNTA(TEXTSPLIT(IQ95,",")))))</f>
        <v/>
      </c>
    </row>
    <row r="96">
      <c r="A96" s="24">
        <f>IF(NOT(IS96),"Excluded",IF(AND(IT96,IU96,IV96,IW96,IX96,IY96,IZ96,JA96,JB96,JC96,JD96,JE96,JF96,JG96,JH96,JI96,JJ96,JK96,JL96,JM96,JN96,JO96,JP96,JQ96),IF(I96&gt;0,"Eligible but limited","Will appear"),"Excluded"))</f>
        <v/>
      </c>
      <c r="B96" s="24" t="inlineStr">
        <is>
          <t>Embed</t>
        </is>
      </c>
      <c r="C96" s="27" t="inlineStr">
        <is>
          <t>/programs</t>
        </is>
      </c>
      <c r="D96" s="24" t="inlineStr">
        <is>
          <t>/programs</t>
        </is>
      </c>
      <c r="E96" s="24" t="n">
        <v>1</v>
      </c>
      <c r="F96" s="24" t="inlineStr">
        <is>
          <t>program</t>
        </is>
      </c>
      <c r="G96" s="24" t="inlineStr">
        <is>
          <t>programs_grid</t>
        </is>
      </c>
      <c r="H96" s="24" t="inlineStr">
        <is>
          <t>embed_1</t>
        </is>
      </c>
      <c r="I96" s="24" t="n"/>
      <c r="J96" s="24" t="inlineStr">
        <is>
          <t>View/config rules</t>
        </is>
      </c>
      <c r="K96" s="24" t="inlineStr">
        <is>
          <t>Page placement</t>
        </is>
      </c>
      <c r="L96" s="24" t="inlineStr">
        <is>
          <t>Content type: program; Source: View/config rules</t>
        </is>
      </c>
      <c r="IS96" s="19">
        <f>IF(input_content_type="",FALSE,ISNUMBER(SEARCH(","&amp;LOWER(input_content_type)&amp;",",","&amp;LOWER(SUBSTITUTE(F96," ",""))&amp;",")))</f>
        <v/>
      </c>
      <c r="IT96" s="19">
        <f>AND(IF(M96="",TRUE,IF(input_affiliations="",FALSE,SUMPRODUCT(--ISNUMBER(SEARCH(","&amp;TRIM(TEXTSPLIT(M96,","))&amp;",",","&amp;SUBSTITUTE(input_affiliations," ","")&amp;",")))&gt;0)),IF(O96="",TRUE,IF(input_affiliations="",FALSE,SUMPRODUCT(--ISNUMBER(SEARCH(","&amp;TRIM(TEXTSPLIT(O96,","))&amp;",",","&amp;SUBSTITUTE(input_affiliations," ","")&amp;",")))=COUNTA(TEXTSPLIT(O96,",")))),IF(Q96="",TRUE,IF(input_affiliations="",TRUE,SUMPRODUCT(--ISNUMBER(SEARCH(","&amp;TRIM(TEXTSPLIT(Q96,","))&amp;",",","&amp;SUBSTITUTE(input_affiliations," ","")&amp;",")))=0)),IF(S96="",TRUE,IF(input_affiliations="",FALSE,SUMPRODUCT(--ISNUMBER(SEARCH(","&amp;TRIM(TEXTSPLIT(S96,","))&amp;",",","&amp;SUBSTITUTE(input_affiliations," ","")&amp;",")))&gt;0)),IF(U96="",TRUE,IF(input_affiliations="",FALSE,SUMPRODUCT(--ISNUMBER(SEARCH(","&amp;TRIM(TEXTSPLIT(U96,","))&amp;",",","&amp;SUBSTITUTE(input_affiliations," ","")&amp;",")))=COUNTA(TEXTSPLIT(U96,",")))))</f>
        <v/>
      </c>
      <c r="IU96" s="19">
        <f>AND(IF(W96="",TRUE,IF(input_announcement_category="",FALSE,SUMPRODUCT(--ISNUMBER(SEARCH(","&amp;TRIM(TEXTSPLIT(W96,","))&amp;",",","&amp;SUBSTITUTE(input_announcement_category," ","")&amp;",")))&gt;0)),IF(Y96="",TRUE,IF(input_announcement_category="",FALSE,SUMPRODUCT(--ISNUMBER(SEARCH(","&amp;TRIM(TEXTSPLIT(Y96,","))&amp;",",","&amp;SUBSTITUTE(input_announcement_category," ","")&amp;",")))=COUNTA(TEXTSPLIT(Y96,",")))),IF(AA96="",TRUE,IF(input_announcement_category="",TRUE,SUMPRODUCT(--ISNUMBER(SEARCH(","&amp;TRIM(TEXTSPLIT(AA96,","))&amp;",",","&amp;SUBSTITUTE(input_announcement_category," ","")&amp;",")))=0)),IF(AC96="",TRUE,IF(input_announcement_category="",FALSE,SUMPRODUCT(--ISNUMBER(SEARCH(","&amp;TRIM(TEXTSPLIT(AC96,","))&amp;",",","&amp;SUBSTITUTE(input_announcement_category," ","")&amp;",")))&gt;0)),IF(AE96="",TRUE,IF(input_announcement_category="",FALSE,SUMPRODUCT(--ISNUMBER(SEARCH(","&amp;TRIM(TEXTSPLIT(AE96,","))&amp;",",","&amp;SUBSTITUTE(input_announcement_category," ","")&amp;",")))=COUNTA(TEXTSPLIT(AE96,",")))))</f>
        <v/>
      </c>
      <c r="IV96" s="19">
        <f>AND(IF(AG96="",TRUE,IF(input_area_of_focus="",FALSE,SUMPRODUCT(--ISNUMBER(SEARCH(","&amp;TRIM(TEXTSPLIT(AG96,","))&amp;",",","&amp;SUBSTITUTE(input_area_of_focus," ","")&amp;",")))&gt;0)),IF(AI96="",TRUE,IF(input_area_of_focus="",FALSE,SUMPRODUCT(--ISNUMBER(SEARCH(","&amp;TRIM(TEXTSPLIT(AI96,","))&amp;",",","&amp;SUBSTITUTE(input_area_of_focus," ","")&amp;",")))=COUNTA(TEXTSPLIT(AI96,",")))),IF(AK96="",TRUE,IF(input_area_of_focus="",TRUE,SUMPRODUCT(--ISNUMBER(SEARCH(","&amp;TRIM(TEXTSPLIT(AK96,","))&amp;",",","&amp;SUBSTITUTE(input_area_of_focus," ","")&amp;",")))=0)),IF(AM96="",TRUE,IF(input_area_of_focus="",FALSE,SUMPRODUCT(--ISNUMBER(SEARCH(","&amp;TRIM(TEXTSPLIT(AM96,","))&amp;",",","&amp;SUBSTITUTE(input_area_of_focus," ","")&amp;",")))&gt;0)),IF(AO96="",TRUE,IF(input_area_of_focus="",FALSE,SUMPRODUCT(--ISNUMBER(SEARCH(","&amp;TRIM(TEXTSPLIT(AO96,","))&amp;",",","&amp;SUBSTITUTE(input_area_of_focus," ","")&amp;",")))=COUNTA(TEXTSPLIT(AO96,",")))))</f>
        <v/>
      </c>
      <c r="IW96" s="19">
        <f>AND(IF(AQ96="",TRUE,IF(input_audience="",FALSE,SUMPRODUCT(--ISNUMBER(SEARCH(","&amp;TRIM(TEXTSPLIT(AQ96,","))&amp;",",","&amp;SUBSTITUTE(input_audience," ","")&amp;",")))&gt;0)),IF(AS96="",TRUE,IF(input_audience="",FALSE,SUMPRODUCT(--ISNUMBER(SEARCH(","&amp;TRIM(TEXTSPLIT(AS96,","))&amp;",",","&amp;SUBSTITUTE(input_audience," ","")&amp;",")))=COUNTA(TEXTSPLIT(AS96,",")))),IF(AU96="",TRUE,IF(input_audience="",TRUE,SUMPRODUCT(--ISNUMBER(SEARCH(","&amp;TRIM(TEXTSPLIT(AU96,","))&amp;",",","&amp;SUBSTITUTE(input_audience," ","")&amp;",")))=0)),IF(AW96="",TRUE,IF(input_audience="",FALSE,SUMPRODUCT(--ISNUMBER(SEARCH(","&amp;TRIM(TEXTSPLIT(AW96,","))&amp;",",","&amp;SUBSTITUTE(input_audience," ","")&amp;",")))&gt;0)),IF(AY96="",TRUE,IF(input_audience="",FALSE,SUMPRODUCT(--ISNUMBER(SEARCH(","&amp;TRIM(TEXTSPLIT(AY96,","))&amp;",",","&amp;SUBSTITUTE(input_audience," ","")&amp;",")))=COUNTA(TEXTSPLIT(AY96,",")))))</f>
        <v/>
      </c>
      <c r="IX96" s="19">
        <f>AND(IF(BA96="",TRUE,IF(input_challenge_opportunities="",FALSE,SUMPRODUCT(--ISNUMBER(SEARCH(","&amp;TRIM(TEXTSPLIT(BA96,","))&amp;",",","&amp;SUBSTITUTE(input_challenge_opportunities," ","")&amp;",")))&gt;0)),IF(BC96="",TRUE,IF(input_challenge_opportunities="",FALSE,SUMPRODUCT(--ISNUMBER(SEARCH(","&amp;TRIM(TEXTSPLIT(BC96,","))&amp;",",","&amp;SUBSTITUTE(input_challenge_opportunities," ","")&amp;",")))=COUNTA(TEXTSPLIT(BC96,",")))),IF(BE96="",TRUE,IF(input_challenge_opportunities="",TRUE,SUMPRODUCT(--ISNUMBER(SEARCH(","&amp;TRIM(TEXTSPLIT(BE96,","))&amp;",",","&amp;SUBSTITUTE(input_challenge_opportunities," ","")&amp;",")))=0)),IF(BG96="",TRUE,IF(input_challenge_opportunities="",FALSE,SUMPRODUCT(--ISNUMBER(SEARCH(","&amp;TRIM(TEXTSPLIT(BG96,","))&amp;",",","&amp;SUBSTITUTE(input_challenge_opportunities," ","")&amp;",")))&gt;0)),IF(BI96="",TRUE,IF(input_challenge_opportunities="",FALSE,SUMPRODUCT(--ISNUMBER(SEARCH(","&amp;TRIM(TEXTSPLIT(BI96,","))&amp;",",","&amp;SUBSTITUTE(input_challenge_opportunities," ","")&amp;",")))=COUNTA(TEXTSPLIT(BI96,",")))))</f>
        <v/>
      </c>
      <c r="IY96" s="19">
        <f>AND(IF(BK96="",TRUE,IF(input_context="",FALSE,SUMPRODUCT(--ISNUMBER(SEARCH(","&amp;TRIM(TEXTSPLIT(BK96,","))&amp;",",","&amp;SUBSTITUTE(input_context," ","")&amp;",")))&gt;0)),IF(BM96="",TRUE,IF(input_context="",FALSE,SUMPRODUCT(--ISNUMBER(SEARCH(","&amp;TRIM(TEXTSPLIT(BM96,","))&amp;",",","&amp;SUBSTITUTE(input_context," ","")&amp;",")))=COUNTA(TEXTSPLIT(BM96,",")))),IF(BO96="",TRUE,IF(input_context="",TRUE,SUMPRODUCT(--ISNUMBER(SEARCH(","&amp;TRIM(TEXTSPLIT(BO96,","))&amp;",",","&amp;SUBSTITUTE(input_context," ","")&amp;",")))=0)),IF(BQ96="",TRUE,IF(input_context="",FALSE,SUMPRODUCT(--ISNUMBER(SEARCH(","&amp;TRIM(TEXTSPLIT(BQ96,","))&amp;",",","&amp;SUBSTITUTE(input_context," ","")&amp;",")))&gt;0)),IF(BS96="",TRUE,IF(input_context="",FALSE,SUMPRODUCT(--ISNUMBER(SEARCH(","&amp;TRIM(TEXTSPLIT(BS96,","))&amp;",",","&amp;SUBSTITUTE(input_context," ","")&amp;",")))=COUNTA(TEXTSPLIT(BS96,",")))))</f>
        <v/>
      </c>
      <c r="IZ96" s="19">
        <f>AND(IF(BU96="",TRUE,IF(input_enews_announcement_type="",FALSE,SUMPRODUCT(--ISNUMBER(SEARCH(","&amp;TRIM(TEXTSPLIT(BU96,","))&amp;",",","&amp;SUBSTITUTE(input_enews_announcement_type," ","")&amp;",")))&gt;0)),IF(BW96="",TRUE,IF(input_enews_announcement_type="",FALSE,SUMPRODUCT(--ISNUMBER(SEARCH(","&amp;TRIM(TEXTSPLIT(BW96,","))&amp;",",","&amp;SUBSTITUTE(input_enews_announcement_type," ","")&amp;",")))=COUNTA(TEXTSPLIT(BW96,",")))),IF(BY96="",TRUE,IF(input_enews_announcement_type="",TRUE,SUMPRODUCT(--ISNUMBER(SEARCH(","&amp;TRIM(TEXTSPLIT(BY96,","))&amp;",",","&amp;SUBSTITUTE(input_enews_announcement_type," ","")&amp;",")))=0)),IF(CA96="",TRUE,IF(input_enews_announcement_type="",FALSE,SUMPRODUCT(--ISNUMBER(SEARCH(","&amp;TRIM(TEXTSPLIT(CA96,","))&amp;",",","&amp;SUBSTITUTE(input_enews_announcement_type," ","")&amp;",")))&gt;0)),IF(CC96="",TRUE,IF(input_enews_announcement_type="",FALSE,SUMPRODUCT(--ISNUMBER(SEARCH(","&amp;TRIM(TEXTSPLIT(CC96,","))&amp;",",","&amp;SUBSTITUTE(input_enews_announcement_type," ","")&amp;",")))=COUNTA(TEXTSPLIT(CC96,",")))))</f>
        <v/>
      </c>
      <c r="JA96" s="19">
        <f>AND(IF(CE96="",TRUE,IF(input_enews_audience="",FALSE,SUMPRODUCT(--ISNUMBER(SEARCH(","&amp;TRIM(TEXTSPLIT(CE96,","))&amp;",",","&amp;SUBSTITUTE(input_enews_audience," ","")&amp;",")))&gt;0)),IF(CG96="",TRUE,IF(input_enews_audience="",FALSE,SUMPRODUCT(--ISNUMBER(SEARCH(","&amp;TRIM(TEXTSPLIT(CG96,","))&amp;",",","&amp;SUBSTITUTE(input_enews_audience," ","")&amp;",")))=COUNTA(TEXTSPLIT(CG96,",")))),IF(CI96="",TRUE,IF(input_enews_audience="",TRUE,SUMPRODUCT(--ISNUMBER(SEARCH(","&amp;TRIM(TEXTSPLIT(CI96,","))&amp;",",","&amp;SUBSTITUTE(input_enews_audience," ","")&amp;",")))=0)),IF(CK96="",TRUE,IF(input_enews_audience="",FALSE,SUMPRODUCT(--ISNUMBER(SEARCH(","&amp;TRIM(TEXTSPLIT(CK96,","))&amp;",",","&amp;SUBSTITUTE(input_enews_audience," ","")&amp;",")))&gt;0)),IF(CM96="",TRUE,IF(input_enews_audience="",FALSE,SUMPRODUCT(--ISNUMBER(SEARCH(","&amp;TRIM(TEXTSPLIT(CM96,","))&amp;",",","&amp;SUBSTITUTE(input_enews_audience," ","")&amp;",")))=COUNTA(TEXTSPLIT(CM96,",")))))</f>
        <v/>
      </c>
      <c r="JB96" s="19">
        <f>AND(IF(CO96="",TRUE,IF(input_event_location="",FALSE,SUMPRODUCT(--ISNUMBER(SEARCH(","&amp;TRIM(TEXTSPLIT(CO96,","))&amp;",",","&amp;SUBSTITUTE(input_event_location," ","")&amp;",")))&gt;0)),IF(CQ96="",TRUE,IF(input_event_location="",FALSE,SUMPRODUCT(--ISNUMBER(SEARCH(","&amp;TRIM(TEXTSPLIT(CQ96,","))&amp;",",","&amp;SUBSTITUTE(input_event_location," ","")&amp;",")))=COUNTA(TEXTSPLIT(CQ96,",")))),IF(CS96="",TRUE,IF(input_event_location="",TRUE,SUMPRODUCT(--ISNUMBER(SEARCH(","&amp;TRIM(TEXTSPLIT(CS96,","))&amp;",",","&amp;SUBSTITUTE(input_event_location," ","")&amp;",")))=0)),IF(CU96="",TRUE,IF(input_event_location="",FALSE,SUMPRODUCT(--ISNUMBER(SEARCH(","&amp;TRIM(TEXTSPLIT(CU96,","))&amp;",",","&amp;SUBSTITUTE(input_event_location," ","")&amp;",")))&gt;0)),IF(CW96="",TRUE,IF(input_event_location="",FALSE,SUMPRODUCT(--ISNUMBER(SEARCH(","&amp;TRIM(TEXTSPLIT(CW96,","))&amp;",",","&amp;SUBSTITUTE(input_event_location," ","")&amp;",")))=COUNTA(TEXTSPLIT(CW96,",")))))</f>
        <v/>
      </c>
      <c r="JC96" s="19">
        <f>AND(IF(CY96="",TRUE,IF(input_event_type="",FALSE,SUMPRODUCT(--ISNUMBER(SEARCH(","&amp;TRIM(TEXTSPLIT(CY96,","))&amp;",",","&amp;SUBSTITUTE(input_event_type," ","")&amp;",")))&gt;0)),IF(DA96="",TRUE,IF(input_event_type="",FALSE,SUMPRODUCT(--ISNUMBER(SEARCH(","&amp;TRIM(TEXTSPLIT(DA96,","))&amp;",",","&amp;SUBSTITUTE(input_event_type," ","")&amp;",")))=COUNTA(TEXTSPLIT(DA96,",")))),IF(DC96="",TRUE,IF(input_event_type="",TRUE,SUMPRODUCT(--ISNUMBER(SEARCH(","&amp;TRIM(TEXTSPLIT(DC96,","))&amp;",",","&amp;SUBSTITUTE(input_event_type," ","")&amp;",")))=0)),IF(DE96="",TRUE,IF(input_event_type="",FALSE,SUMPRODUCT(--ISNUMBER(SEARCH(","&amp;TRIM(TEXTSPLIT(DE96,","))&amp;",",","&amp;SUBSTITUTE(input_event_type," ","")&amp;",")))&gt;0)),IF(DG96="",TRUE,IF(input_event_type="",FALSE,SUMPRODUCT(--ISNUMBER(SEARCH(","&amp;TRIM(TEXTSPLIT(DG96,","))&amp;",",","&amp;SUBSTITUTE(input_event_type," ","")&amp;",")))=COUNTA(TEXTSPLIT(DG96,",")))))</f>
        <v/>
      </c>
      <c r="JD96" s="19">
        <f>AND(IF(DI96="",TRUE,IF(input_executive_education_focus="",FALSE,SUMPRODUCT(--ISNUMBER(SEARCH(","&amp;TRIM(TEXTSPLIT(DI96,","))&amp;",",","&amp;SUBSTITUTE(input_executive_education_focus," ","")&amp;",")))&gt;0)),IF(DK96="",TRUE,IF(input_executive_education_focus="",FALSE,SUMPRODUCT(--ISNUMBER(SEARCH(","&amp;TRIM(TEXTSPLIT(DK96,","))&amp;",",","&amp;SUBSTITUTE(input_executive_education_focus," ","")&amp;",")))=COUNTA(TEXTSPLIT(DK96,",")))),IF(DM96="",TRUE,IF(input_executive_education_focus="",TRUE,SUMPRODUCT(--ISNUMBER(SEARCH(","&amp;TRIM(TEXTSPLIT(DM96,","))&amp;",",","&amp;SUBSTITUTE(input_executive_education_focus," ","")&amp;",")))=0)),IF(DO96="",TRUE,IF(input_executive_education_focus="",FALSE,SUMPRODUCT(--ISNUMBER(SEARCH(","&amp;TRIM(TEXTSPLIT(DO96,","))&amp;",",","&amp;SUBSTITUTE(input_executive_education_focus," ","")&amp;",")))&gt;0)),IF(DQ96="",TRUE,IF(input_executive_education_focus="",FALSE,SUMPRODUCT(--ISNUMBER(SEARCH(","&amp;TRIM(TEXTSPLIT(DQ96,","))&amp;",",","&amp;SUBSTITUTE(input_executive_education_focus," ","")&amp;",")))=COUNTA(TEXTSPLIT(DQ96,",")))))</f>
        <v/>
      </c>
      <c r="JE96" s="19">
        <f>AND(IF(DS96="",TRUE,IF(input_faculty_category="",FALSE,SUMPRODUCT(--ISNUMBER(SEARCH(","&amp;TRIM(TEXTSPLIT(DS96,","))&amp;",",","&amp;SUBSTITUTE(input_faculty_category," ","")&amp;",")))&gt;0)),IF(DU96="",TRUE,IF(input_faculty_category="",FALSE,SUMPRODUCT(--ISNUMBER(SEARCH(","&amp;TRIM(TEXTSPLIT(DU96,","))&amp;",",","&amp;SUBSTITUTE(input_faculty_category," ","")&amp;",")))=COUNTA(TEXTSPLIT(DU96,",")))),IF(DW96="",TRUE,IF(input_faculty_category="",TRUE,SUMPRODUCT(--ISNUMBER(SEARCH(","&amp;TRIM(TEXTSPLIT(DW96,","))&amp;",",","&amp;SUBSTITUTE(input_faculty_category," ","")&amp;",")))=0)),IF(DY96="",TRUE,IF(input_faculty_category="",FALSE,SUMPRODUCT(--ISNUMBER(SEARCH(","&amp;TRIM(TEXTSPLIT(DY96,","))&amp;",",","&amp;SUBSTITUTE(input_faculty_category," ","")&amp;",")))&gt;0)),IF(EA96="",TRUE,IF(input_faculty_category="",FALSE,SUMPRODUCT(--ISNUMBER(SEARCH(","&amp;TRIM(TEXTSPLIT(EA96,","))&amp;",",","&amp;SUBSTITUTE(input_faculty_category," ","")&amp;",")))=COUNTA(TEXTSPLIT(EA96,",")))))</f>
        <v/>
      </c>
      <c r="JF96" s="19">
        <f>AND(IF(EC96="",TRUE,IF(input_faculty_discipline="",FALSE,SUMPRODUCT(--ISNUMBER(SEARCH(","&amp;TRIM(TEXTSPLIT(EC96,","))&amp;",",","&amp;SUBSTITUTE(input_faculty_discipline," ","")&amp;",")))&gt;0)),IF(EE96="",TRUE,IF(input_faculty_discipline="",FALSE,SUMPRODUCT(--ISNUMBER(SEARCH(","&amp;TRIM(TEXTSPLIT(EE96,","))&amp;",",","&amp;SUBSTITUTE(input_faculty_discipline," ","")&amp;",")))=COUNTA(TEXTSPLIT(EE96,",")))),IF(EG96="",TRUE,IF(input_faculty_discipline="",TRUE,SUMPRODUCT(--ISNUMBER(SEARCH(","&amp;TRIM(TEXTSPLIT(EG96,","))&amp;",",","&amp;SUBSTITUTE(input_faculty_discipline," ","")&amp;",")))=0)),IF(EI96="",TRUE,IF(input_faculty_discipline="",FALSE,SUMPRODUCT(--ISNUMBER(SEARCH(","&amp;TRIM(TEXTSPLIT(EI96,","))&amp;",",","&amp;SUBSTITUTE(input_faculty_discipline," ","")&amp;",")))&gt;0)),IF(EK96="",TRUE,IF(input_faculty_discipline="",FALSE,SUMPRODUCT(--ISNUMBER(SEARCH(","&amp;TRIM(TEXTSPLIT(EK96,","))&amp;",",","&amp;SUBSTITUTE(input_faculty_discipline," ","")&amp;",")))=COUNTA(TEXTSPLIT(EK96,",")))))</f>
        <v/>
      </c>
      <c r="JG96" s="19">
        <f>AND(IF(EM96="",TRUE,IF(input_faculty_expertise="",FALSE,SUMPRODUCT(--ISNUMBER(SEARCH(","&amp;TRIM(TEXTSPLIT(EM96,","))&amp;",",","&amp;SUBSTITUTE(input_faculty_expertise," ","")&amp;",")))&gt;0)),IF(EO96="",TRUE,IF(input_faculty_expertise="",FALSE,SUMPRODUCT(--ISNUMBER(SEARCH(","&amp;TRIM(TEXTSPLIT(EO96,","))&amp;",",","&amp;SUBSTITUTE(input_faculty_expertise," ","")&amp;",")))=COUNTA(TEXTSPLIT(EO96,",")))),IF(EQ96="",TRUE,IF(input_faculty_expertise="",TRUE,SUMPRODUCT(--ISNUMBER(SEARCH(","&amp;TRIM(TEXTSPLIT(EQ96,","))&amp;",",","&amp;SUBSTITUTE(input_faculty_expertise," ","")&amp;",")))=0)),IF(ES96="",TRUE,IF(input_faculty_expertise="",FALSE,SUMPRODUCT(--ISNUMBER(SEARCH(","&amp;TRIM(TEXTSPLIT(ES96,","))&amp;",",","&amp;SUBSTITUTE(input_faculty_expertise," ","")&amp;",")))&gt;0)),IF(EU96="",TRUE,IF(input_faculty_expertise="",FALSE,SUMPRODUCT(--ISNUMBER(SEARCH(","&amp;TRIM(TEXTSPLIT(EU96,","))&amp;",",","&amp;SUBSTITUTE(input_faculty_expertise," ","")&amp;",")))=COUNTA(TEXTSPLIT(EU96,",")))))</f>
        <v/>
      </c>
      <c r="JH96" s="19">
        <f>AND(IF(EW96="",TRUE,IF(input_global_network_school="",FALSE,SUMPRODUCT(--ISNUMBER(SEARCH(","&amp;TRIM(TEXTSPLIT(EW96,","))&amp;",",","&amp;SUBSTITUTE(input_global_network_school," ","")&amp;",")))&gt;0)),IF(EY96="",TRUE,IF(input_global_network_school="",FALSE,SUMPRODUCT(--ISNUMBER(SEARCH(","&amp;TRIM(TEXTSPLIT(EY96,","))&amp;",",","&amp;SUBSTITUTE(input_global_network_school," ","")&amp;",")))=COUNTA(TEXTSPLIT(EY96,",")))),IF(FA96="",TRUE,IF(input_global_network_school="",TRUE,SUMPRODUCT(--ISNUMBER(SEARCH(","&amp;TRIM(TEXTSPLIT(FA96,","))&amp;",",","&amp;SUBSTITUTE(input_global_network_school," ","")&amp;",")))=0)),IF(FC96="",TRUE,IF(input_global_network_school="",FALSE,SUMPRODUCT(--ISNUMBER(SEARCH(","&amp;TRIM(TEXTSPLIT(FC96,","))&amp;",",","&amp;SUBSTITUTE(input_global_network_school," ","")&amp;",")))&gt;0)),IF(FE96="",TRUE,IF(input_global_network_school="",FALSE,SUMPRODUCT(--ISNUMBER(SEARCH(","&amp;TRIM(TEXTSPLIT(FE96,","))&amp;",",","&amp;SUBSTITUTE(input_global_network_school," ","")&amp;",")))=COUNTA(TEXTSPLIT(FE96,",")))))</f>
        <v/>
      </c>
      <c r="JI96" s="19">
        <f>AND(IF(FG96="",TRUE,IF(input_industry="",FALSE,SUMPRODUCT(--ISNUMBER(SEARCH(","&amp;TRIM(TEXTSPLIT(FG96,","))&amp;",",","&amp;SUBSTITUTE(input_industry," ","")&amp;",")))&gt;0)),IF(FI96="",TRUE,IF(input_industry="",FALSE,SUMPRODUCT(--ISNUMBER(SEARCH(","&amp;TRIM(TEXTSPLIT(FI96,","))&amp;",",","&amp;SUBSTITUTE(input_industry," ","")&amp;",")))=COUNTA(TEXTSPLIT(FI96,",")))),IF(FK96="",TRUE,IF(input_industry="",TRUE,SUMPRODUCT(--ISNUMBER(SEARCH(","&amp;TRIM(TEXTSPLIT(FK96,","))&amp;",",","&amp;SUBSTITUTE(input_industry," ","")&amp;",")))=0)),IF(FM96="",TRUE,IF(input_industry="",FALSE,SUMPRODUCT(--ISNUMBER(SEARCH(","&amp;TRIM(TEXTSPLIT(FM96,","))&amp;",",","&amp;SUBSTITUTE(input_industry," ","")&amp;",")))&gt;0)),IF(FO96="",TRUE,IF(input_industry="",FALSE,SUMPRODUCT(--ISNUMBER(SEARCH(","&amp;TRIM(TEXTSPLIT(FO96,","))&amp;",",","&amp;SUBSTITUTE(input_industry," ","")&amp;",")))=COUNTA(TEXTSPLIT(FO96,",")))))</f>
        <v/>
      </c>
      <c r="JJ96" s="19">
        <f>AND(IF(FQ96="",TRUE,IF(input_location="",FALSE,SUMPRODUCT(--ISNUMBER(SEARCH(","&amp;TRIM(TEXTSPLIT(FQ96,","))&amp;",",","&amp;SUBSTITUTE(input_location," ","")&amp;",")))&gt;0)),IF(FS96="",TRUE,IF(input_location="",FALSE,SUMPRODUCT(--ISNUMBER(SEARCH(","&amp;TRIM(TEXTSPLIT(FS96,","))&amp;",",","&amp;SUBSTITUTE(input_location," ","")&amp;",")))=COUNTA(TEXTSPLIT(FS96,",")))),IF(FU96="",TRUE,IF(input_location="",TRUE,SUMPRODUCT(--ISNUMBER(SEARCH(","&amp;TRIM(TEXTSPLIT(FU96,","))&amp;",",","&amp;SUBSTITUTE(input_location," ","")&amp;",")))=0)),IF(FW96="",TRUE,IF(input_location="",FALSE,SUMPRODUCT(--ISNUMBER(SEARCH(","&amp;TRIM(TEXTSPLIT(FW96,","))&amp;",",","&amp;SUBSTITUTE(input_location," ","")&amp;",")))&gt;0)),IF(FY96="",TRUE,IF(input_location="",FALSE,SUMPRODUCT(--ISNUMBER(SEARCH(","&amp;TRIM(TEXTSPLIT(FY96,","))&amp;",",","&amp;SUBSTITUTE(input_location," ","")&amp;",")))=COUNTA(TEXTSPLIT(FY96,",")))))</f>
        <v/>
      </c>
      <c r="JK96" s="19">
        <f>AND(IF(GA96="",TRUE,IF(input_modality="",FALSE,SUMPRODUCT(--ISNUMBER(SEARCH(","&amp;TRIM(TEXTSPLIT(GA96,","))&amp;",",","&amp;SUBSTITUTE(input_modality," ","")&amp;",")))&gt;0)),IF(GC96="",TRUE,IF(input_modality="",FALSE,SUMPRODUCT(--ISNUMBER(SEARCH(","&amp;TRIM(TEXTSPLIT(GC96,","))&amp;",",","&amp;SUBSTITUTE(input_modality," ","")&amp;",")))=COUNTA(TEXTSPLIT(GC96,",")))),IF(GE96="",TRUE,IF(input_modality="",TRUE,SUMPRODUCT(--ISNUMBER(SEARCH(","&amp;TRIM(TEXTSPLIT(GE96,","))&amp;",",","&amp;SUBSTITUTE(input_modality," ","")&amp;",")))=0)),IF(GG96="",TRUE,IF(input_modality="",FALSE,SUMPRODUCT(--ISNUMBER(SEARCH(","&amp;TRIM(TEXTSPLIT(GG96,","))&amp;",",","&amp;SUBSTITUTE(input_modality," ","")&amp;",")))&gt;0)),IF(GI96="",TRUE,IF(input_modality="",FALSE,SUMPRODUCT(--ISNUMBER(SEARCH(","&amp;TRIM(TEXTSPLIT(GI96,","))&amp;",",","&amp;SUBSTITUTE(input_modality," ","")&amp;",")))=COUNTA(TEXTSPLIT(GI96,",")))))</f>
        <v/>
      </c>
      <c r="JL96" s="19">
        <f>AND(IF(GK96="",TRUE,IF(input_organizer="",FALSE,SUMPRODUCT(--ISNUMBER(SEARCH(","&amp;TRIM(TEXTSPLIT(GK96,","))&amp;",",","&amp;SUBSTITUTE(input_organizer," ","")&amp;",")))&gt;0)),IF(GM96="",TRUE,IF(input_organizer="",FALSE,SUMPRODUCT(--ISNUMBER(SEARCH(","&amp;TRIM(TEXTSPLIT(GM96,","))&amp;",",","&amp;SUBSTITUTE(input_organizer," ","")&amp;",")))=COUNTA(TEXTSPLIT(GM96,",")))),IF(GO96="",TRUE,IF(input_organizer="",TRUE,SUMPRODUCT(--ISNUMBER(SEARCH(","&amp;TRIM(TEXTSPLIT(GO96,","))&amp;",",","&amp;SUBSTITUTE(input_organizer," ","")&amp;",")))=0)),IF(GQ96="",TRUE,IF(input_organizer="",FALSE,SUMPRODUCT(--ISNUMBER(SEARCH(","&amp;TRIM(TEXTSPLIT(GQ96,","))&amp;",",","&amp;SUBSTITUTE(input_organizer," ","")&amp;",")))&gt;0)),IF(GS96="",TRUE,IF(input_organizer="",FALSE,SUMPRODUCT(--ISNUMBER(SEARCH(","&amp;TRIM(TEXTSPLIT(GS96,","))&amp;",",","&amp;SUBSTITUTE(input_organizer," ","")&amp;",")))=COUNTA(TEXTSPLIT(GS96,",")))))</f>
        <v/>
      </c>
      <c r="JM96" s="19">
        <f>AND(IF(GU96="",TRUE,IF(input_profile_type="",FALSE,SUMPRODUCT(--ISNUMBER(SEARCH(","&amp;TRIM(TEXTSPLIT(GU96,","))&amp;",",","&amp;SUBSTITUTE(input_profile_type," ","")&amp;",")))&gt;0)),IF(GW96="",TRUE,IF(input_profile_type="",FALSE,SUMPRODUCT(--ISNUMBER(SEARCH(","&amp;TRIM(TEXTSPLIT(GW96,","))&amp;",",","&amp;SUBSTITUTE(input_profile_type," ","")&amp;",")))=COUNTA(TEXTSPLIT(GW96,",")))),IF(GY96="",TRUE,IF(input_profile_type="",TRUE,SUMPRODUCT(--ISNUMBER(SEARCH(","&amp;TRIM(TEXTSPLIT(GY96,","))&amp;",",","&amp;SUBSTITUTE(input_profile_type," ","")&amp;",")))=0)),IF(HA96="",TRUE,IF(input_profile_type="",FALSE,SUMPRODUCT(--ISNUMBER(SEARCH(","&amp;TRIM(TEXTSPLIT(HA96,","))&amp;",",","&amp;SUBSTITUTE(input_profile_type," ","")&amp;",")))&gt;0)),IF(HC96="",TRUE,IF(input_profile_type="",FALSE,SUMPRODUCT(--ISNUMBER(SEARCH(","&amp;TRIM(TEXTSPLIT(HC96,","))&amp;",",","&amp;SUBSTITUTE(input_profile_type," ","")&amp;",")))=COUNTA(TEXTSPLIT(HC96,",")))))</f>
        <v/>
      </c>
      <c r="JN96" s="19">
        <f>AND(IF(HE96="",TRUE,IF(input_program="",FALSE,SUMPRODUCT(--ISNUMBER(SEARCH(","&amp;TRIM(TEXTSPLIT(HE96,","))&amp;",",","&amp;SUBSTITUTE(input_program," ","")&amp;",")))&gt;0)),IF(HG96="",TRUE,IF(input_program="",FALSE,SUMPRODUCT(--ISNUMBER(SEARCH(","&amp;TRIM(TEXTSPLIT(HG96,","))&amp;",",","&amp;SUBSTITUTE(input_program," ","")&amp;",")))=COUNTA(TEXTSPLIT(HG96,",")))),IF(HI96="",TRUE,IF(input_program="",TRUE,SUMPRODUCT(--ISNUMBER(SEARCH(","&amp;TRIM(TEXTSPLIT(HI96,","))&amp;",",","&amp;SUBSTITUTE(input_program," ","")&amp;",")))=0)),IF(HK96="",TRUE,IF(input_program="",FALSE,SUMPRODUCT(--ISNUMBER(SEARCH(","&amp;TRIM(TEXTSPLIT(HK96,","))&amp;",",","&amp;SUBSTITUTE(input_program," ","")&amp;",")))&gt;0)),IF(HM96="",TRUE,IF(input_program="",FALSE,SUMPRODUCT(--ISNUMBER(SEARCH(","&amp;TRIM(TEXTSPLIT(HM96,","))&amp;",",","&amp;SUBSTITUTE(input_program," ","")&amp;",")))=COUNTA(TEXTSPLIT(HM96,",")))))</f>
        <v/>
      </c>
      <c r="JO96" s="19">
        <f>AND(IF(HO96="",TRUE,IF(input_story_categories="",FALSE,SUMPRODUCT(--ISNUMBER(SEARCH(","&amp;TRIM(TEXTSPLIT(HO96,","))&amp;",",","&amp;SUBSTITUTE(input_story_categories," ","")&amp;",")))&gt;0)),IF(HQ96="",TRUE,IF(input_story_categories="",FALSE,SUMPRODUCT(--ISNUMBER(SEARCH(","&amp;TRIM(TEXTSPLIT(HQ96,","))&amp;",",","&amp;SUBSTITUTE(input_story_categories," ","")&amp;",")))=COUNTA(TEXTSPLIT(HQ96,",")))),IF(HS96="",TRUE,IF(input_story_categories="",TRUE,SUMPRODUCT(--ISNUMBER(SEARCH(","&amp;TRIM(TEXTSPLIT(HS96,","))&amp;",",","&amp;SUBSTITUTE(input_story_categories," ","")&amp;",")))=0)),IF(HU96="",TRUE,IF(input_story_categories="",FALSE,SUMPRODUCT(--ISNUMBER(SEARCH(","&amp;TRIM(TEXTSPLIT(HU96,","))&amp;",",","&amp;SUBSTITUTE(input_story_categories," ","")&amp;",")))&gt;0)),IF(HW96="",TRUE,IF(input_story_categories="",FALSE,SUMPRODUCT(--ISNUMBER(SEARCH(","&amp;TRIM(TEXTSPLIT(HW96,","))&amp;",",","&amp;SUBSTITUTE(input_story_categories," ","")&amp;",")))=COUNTA(TEXTSPLIT(HW96,",")))))</f>
        <v/>
      </c>
      <c r="JP96" s="19">
        <f>AND(IF(HY96="",TRUE,IF(input_story_type="",FALSE,SUMPRODUCT(--ISNUMBER(SEARCH(","&amp;TRIM(TEXTSPLIT(HY96,","))&amp;",",","&amp;SUBSTITUTE(input_story_type," ","")&amp;",")))&gt;0)),IF(IA96="",TRUE,IF(input_story_type="",FALSE,SUMPRODUCT(--ISNUMBER(SEARCH(","&amp;TRIM(TEXTSPLIT(IA96,","))&amp;",",","&amp;SUBSTITUTE(input_story_type," ","")&amp;",")))=COUNTA(TEXTSPLIT(IA96,",")))),IF(IC96="",TRUE,IF(input_story_type="",TRUE,SUMPRODUCT(--ISNUMBER(SEARCH(","&amp;TRIM(TEXTSPLIT(IC96,","))&amp;",",","&amp;SUBSTITUTE(input_story_type," ","")&amp;",")))=0)),IF(IE96="",TRUE,IF(input_story_type="",FALSE,SUMPRODUCT(--ISNUMBER(SEARCH(","&amp;TRIM(TEXTSPLIT(IE96,","))&amp;",",","&amp;SUBSTITUTE(input_story_type," ","")&amp;",")))&gt;0)),IF(IG96="",TRUE,IF(input_story_type="",FALSE,SUMPRODUCT(--ISNUMBER(SEARCH(","&amp;TRIM(TEXTSPLIT(IG96,","))&amp;",",","&amp;SUBSTITUTE(input_story_type," ","")&amp;",")))=COUNTA(TEXTSPLIT(IG96,",")))))</f>
        <v/>
      </c>
      <c r="JQ96" s="19">
        <f>AND(IF(II96="",TRUE,IF(input_topics="",FALSE,SUMPRODUCT(--ISNUMBER(SEARCH(","&amp;TRIM(TEXTSPLIT(II96,","))&amp;",",","&amp;SUBSTITUTE(input_topics," ","")&amp;",")))&gt;0)),IF(IK96="",TRUE,IF(input_topics="",FALSE,SUMPRODUCT(--ISNUMBER(SEARCH(","&amp;TRIM(TEXTSPLIT(IK96,","))&amp;",",","&amp;SUBSTITUTE(input_topics," ","")&amp;",")))=COUNTA(TEXTSPLIT(IK96,",")))),IF(IM96="",TRUE,IF(input_topics="",TRUE,SUMPRODUCT(--ISNUMBER(SEARCH(","&amp;TRIM(TEXTSPLIT(IM96,","))&amp;",",","&amp;SUBSTITUTE(input_topics," ","")&amp;",")))=0)),IF(IO96="",TRUE,IF(input_topics="",FALSE,SUMPRODUCT(--ISNUMBER(SEARCH(","&amp;TRIM(TEXTSPLIT(IO96,","))&amp;",",","&amp;SUBSTITUTE(input_topics," ","")&amp;",")))&gt;0)),IF(IQ96="",TRUE,IF(input_topics="",FALSE,SUMPRODUCT(--ISNUMBER(SEARCH(","&amp;TRIM(TEXTSPLIT(IQ96,","))&amp;",",","&amp;SUBSTITUTE(input_topics," ","")&amp;",")))=COUNTA(TEXTSPLIT(IQ96,",")))))</f>
        <v/>
      </c>
    </row>
    <row r="97">
      <c r="A97" s="24">
        <f>IF(NOT(IS97),"Excluded",IF(AND(IT97,IU97,IV97,IW97,IX97,IY97,IZ97,JA97,JB97,JC97,JD97,JE97,JF97,JG97,JH97,JI97,JJ97,JK97,JL97,JM97,JN97,JO97,JP97,JQ97),IF(I97&gt;0,"Eligible but limited","Will appear"),"Excluded"))</f>
        <v/>
      </c>
      <c r="B97" s="24" t="inlineStr">
        <is>
          <t>Embed List Reverse</t>
        </is>
      </c>
      <c r="C97" s="27" t="inlineStr">
        <is>
          <t>/podcasts/mam-admissions-unplugged</t>
        </is>
      </c>
      <c r="D97" s="24" t="inlineStr">
        <is>
          <t>/podcasts/mam-admissions-unplugged</t>
        </is>
      </c>
      <c r="E97" s="24" t="n">
        <v>1</v>
      </c>
      <c r="F97" s="24" t="inlineStr">
        <is>
          <t>podcast</t>
        </is>
      </c>
      <c r="G97" s="24" t="inlineStr">
        <is>
          <t>podcast_list</t>
        </is>
      </c>
      <c r="H97" s="24" t="inlineStr">
        <is>
          <t>embed_list_reverse</t>
        </is>
      </c>
      <c r="I97" s="24" t="n">
        <v>10</v>
      </c>
      <c r="J97" s="28" t="inlineStr">
        <is>
          <t>Explicit args</t>
        </is>
      </c>
      <c r="K97" s="24" t="inlineStr">
        <is>
          <t>Page placement</t>
        </is>
      </c>
      <c r="L97" s="24" t="inlineStr">
        <is>
          <t>Content type: podcast; Limited to 10 item(s); Source: Explicit args</t>
        </is>
      </c>
      <c r="IS97" s="19">
        <f>IF(input_content_type="",FALSE,ISNUMBER(SEARCH(","&amp;LOWER(input_content_type)&amp;",",","&amp;LOWER(SUBSTITUTE(F97," ",""))&amp;",")))</f>
        <v/>
      </c>
      <c r="IT97" s="19">
        <f>AND(IF(M97="",TRUE,IF(input_affiliations="",FALSE,SUMPRODUCT(--ISNUMBER(SEARCH(","&amp;TRIM(TEXTSPLIT(M97,","))&amp;",",","&amp;SUBSTITUTE(input_affiliations," ","")&amp;",")))&gt;0)),IF(O97="",TRUE,IF(input_affiliations="",FALSE,SUMPRODUCT(--ISNUMBER(SEARCH(","&amp;TRIM(TEXTSPLIT(O97,","))&amp;",",","&amp;SUBSTITUTE(input_affiliations," ","")&amp;",")))=COUNTA(TEXTSPLIT(O97,",")))),IF(Q97="",TRUE,IF(input_affiliations="",TRUE,SUMPRODUCT(--ISNUMBER(SEARCH(","&amp;TRIM(TEXTSPLIT(Q97,","))&amp;",",","&amp;SUBSTITUTE(input_affiliations," ","")&amp;",")))=0)),IF(S97="",TRUE,IF(input_affiliations="",FALSE,SUMPRODUCT(--ISNUMBER(SEARCH(","&amp;TRIM(TEXTSPLIT(S97,","))&amp;",",","&amp;SUBSTITUTE(input_affiliations," ","")&amp;",")))&gt;0)),IF(U97="",TRUE,IF(input_affiliations="",FALSE,SUMPRODUCT(--ISNUMBER(SEARCH(","&amp;TRIM(TEXTSPLIT(U97,","))&amp;",",","&amp;SUBSTITUTE(input_affiliations," ","")&amp;",")))=COUNTA(TEXTSPLIT(U97,",")))))</f>
        <v/>
      </c>
      <c r="IU97" s="19">
        <f>AND(IF(W97="",TRUE,IF(input_announcement_category="",FALSE,SUMPRODUCT(--ISNUMBER(SEARCH(","&amp;TRIM(TEXTSPLIT(W97,","))&amp;",",","&amp;SUBSTITUTE(input_announcement_category," ","")&amp;",")))&gt;0)),IF(Y97="",TRUE,IF(input_announcement_category="",FALSE,SUMPRODUCT(--ISNUMBER(SEARCH(","&amp;TRIM(TEXTSPLIT(Y97,","))&amp;",",","&amp;SUBSTITUTE(input_announcement_category," ","")&amp;",")))=COUNTA(TEXTSPLIT(Y97,",")))),IF(AA97="",TRUE,IF(input_announcement_category="",TRUE,SUMPRODUCT(--ISNUMBER(SEARCH(","&amp;TRIM(TEXTSPLIT(AA97,","))&amp;",",","&amp;SUBSTITUTE(input_announcement_category," ","")&amp;",")))=0)),IF(AC97="",TRUE,IF(input_announcement_category="",FALSE,SUMPRODUCT(--ISNUMBER(SEARCH(","&amp;TRIM(TEXTSPLIT(AC97,","))&amp;",",","&amp;SUBSTITUTE(input_announcement_category," ","")&amp;",")))&gt;0)),IF(AE97="",TRUE,IF(input_announcement_category="",FALSE,SUMPRODUCT(--ISNUMBER(SEARCH(","&amp;TRIM(TEXTSPLIT(AE97,","))&amp;",",","&amp;SUBSTITUTE(input_announcement_category," ","")&amp;",")))=COUNTA(TEXTSPLIT(AE97,",")))))</f>
        <v/>
      </c>
      <c r="IV97" s="19">
        <f>AND(IF(AG97="",TRUE,IF(input_area_of_focus="",FALSE,SUMPRODUCT(--ISNUMBER(SEARCH(","&amp;TRIM(TEXTSPLIT(AG97,","))&amp;",",","&amp;SUBSTITUTE(input_area_of_focus," ","")&amp;",")))&gt;0)),IF(AI97="",TRUE,IF(input_area_of_focus="",FALSE,SUMPRODUCT(--ISNUMBER(SEARCH(","&amp;TRIM(TEXTSPLIT(AI97,","))&amp;",",","&amp;SUBSTITUTE(input_area_of_focus," ","")&amp;",")))=COUNTA(TEXTSPLIT(AI97,",")))),IF(AK97="",TRUE,IF(input_area_of_focus="",TRUE,SUMPRODUCT(--ISNUMBER(SEARCH(","&amp;TRIM(TEXTSPLIT(AK97,","))&amp;",",","&amp;SUBSTITUTE(input_area_of_focus," ","")&amp;",")))=0)),IF(AM97="",TRUE,IF(input_area_of_focus="",FALSE,SUMPRODUCT(--ISNUMBER(SEARCH(","&amp;TRIM(TEXTSPLIT(AM97,","))&amp;",",","&amp;SUBSTITUTE(input_area_of_focus," ","")&amp;",")))&gt;0)),IF(AO97="",TRUE,IF(input_area_of_focus="",FALSE,SUMPRODUCT(--ISNUMBER(SEARCH(","&amp;TRIM(TEXTSPLIT(AO97,","))&amp;",",","&amp;SUBSTITUTE(input_area_of_focus," ","")&amp;",")))=COUNTA(TEXTSPLIT(AO97,",")))))</f>
        <v/>
      </c>
      <c r="IW97" s="19">
        <f>AND(IF(AQ97="",TRUE,IF(input_audience="",FALSE,SUMPRODUCT(--ISNUMBER(SEARCH(","&amp;TRIM(TEXTSPLIT(AQ97,","))&amp;",",","&amp;SUBSTITUTE(input_audience," ","")&amp;",")))&gt;0)),IF(AS97="",TRUE,IF(input_audience="",FALSE,SUMPRODUCT(--ISNUMBER(SEARCH(","&amp;TRIM(TEXTSPLIT(AS97,","))&amp;",",","&amp;SUBSTITUTE(input_audience," ","")&amp;",")))=COUNTA(TEXTSPLIT(AS97,",")))),IF(AU97="",TRUE,IF(input_audience="",TRUE,SUMPRODUCT(--ISNUMBER(SEARCH(","&amp;TRIM(TEXTSPLIT(AU97,","))&amp;",",","&amp;SUBSTITUTE(input_audience," ","")&amp;",")))=0)),IF(AW97="",TRUE,IF(input_audience="",FALSE,SUMPRODUCT(--ISNUMBER(SEARCH(","&amp;TRIM(TEXTSPLIT(AW97,","))&amp;",",","&amp;SUBSTITUTE(input_audience," ","")&amp;",")))&gt;0)),IF(AY97="",TRUE,IF(input_audience="",FALSE,SUMPRODUCT(--ISNUMBER(SEARCH(","&amp;TRIM(TEXTSPLIT(AY97,","))&amp;",",","&amp;SUBSTITUTE(input_audience," ","")&amp;",")))=COUNTA(TEXTSPLIT(AY97,",")))))</f>
        <v/>
      </c>
      <c r="IX97" s="19">
        <f>AND(IF(BA97="",TRUE,IF(input_challenge_opportunities="",FALSE,SUMPRODUCT(--ISNUMBER(SEARCH(","&amp;TRIM(TEXTSPLIT(BA97,","))&amp;",",","&amp;SUBSTITUTE(input_challenge_opportunities," ","")&amp;",")))&gt;0)),IF(BC97="",TRUE,IF(input_challenge_opportunities="",FALSE,SUMPRODUCT(--ISNUMBER(SEARCH(","&amp;TRIM(TEXTSPLIT(BC97,","))&amp;",",","&amp;SUBSTITUTE(input_challenge_opportunities," ","")&amp;",")))=COUNTA(TEXTSPLIT(BC97,",")))),IF(BE97="",TRUE,IF(input_challenge_opportunities="",TRUE,SUMPRODUCT(--ISNUMBER(SEARCH(","&amp;TRIM(TEXTSPLIT(BE97,","))&amp;",",","&amp;SUBSTITUTE(input_challenge_opportunities," ","")&amp;",")))=0)),IF(BG97="",TRUE,IF(input_challenge_opportunities="",FALSE,SUMPRODUCT(--ISNUMBER(SEARCH(","&amp;TRIM(TEXTSPLIT(BG97,","))&amp;",",","&amp;SUBSTITUTE(input_challenge_opportunities," ","")&amp;",")))&gt;0)),IF(BI97="",TRUE,IF(input_challenge_opportunities="",FALSE,SUMPRODUCT(--ISNUMBER(SEARCH(","&amp;TRIM(TEXTSPLIT(BI97,","))&amp;",",","&amp;SUBSTITUTE(input_challenge_opportunities," ","")&amp;",")))=COUNTA(TEXTSPLIT(BI97,",")))))</f>
        <v/>
      </c>
      <c r="IY97" s="19">
        <f>AND(IF(BK97="",TRUE,IF(input_context="",FALSE,SUMPRODUCT(--ISNUMBER(SEARCH(","&amp;TRIM(TEXTSPLIT(BK97,","))&amp;",",","&amp;SUBSTITUTE(input_context," ","")&amp;",")))&gt;0)),IF(BM97="",TRUE,IF(input_context="",FALSE,SUMPRODUCT(--ISNUMBER(SEARCH(","&amp;TRIM(TEXTSPLIT(BM97,","))&amp;",",","&amp;SUBSTITUTE(input_context," ","")&amp;",")))=COUNTA(TEXTSPLIT(BM97,",")))),IF(BO97="",TRUE,IF(input_context="",TRUE,SUMPRODUCT(--ISNUMBER(SEARCH(","&amp;TRIM(TEXTSPLIT(BO97,","))&amp;",",","&amp;SUBSTITUTE(input_context," ","")&amp;",")))=0)),IF(BQ97="",TRUE,IF(input_context="",FALSE,SUMPRODUCT(--ISNUMBER(SEARCH(","&amp;TRIM(TEXTSPLIT(BQ97,","))&amp;",",","&amp;SUBSTITUTE(input_context," ","")&amp;",")))&gt;0)),IF(BS97="",TRUE,IF(input_context="",FALSE,SUMPRODUCT(--ISNUMBER(SEARCH(","&amp;TRIM(TEXTSPLIT(BS97,","))&amp;",",","&amp;SUBSTITUTE(input_context," ","")&amp;",")))=COUNTA(TEXTSPLIT(BS97,",")))))</f>
        <v/>
      </c>
      <c r="IZ97" s="19">
        <f>AND(IF(BU97="",TRUE,IF(input_enews_announcement_type="",FALSE,SUMPRODUCT(--ISNUMBER(SEARCH(","&amp;TRIM(TEXTSPLIT(BU97,","))&amp;",",","&amp;SUBSTITUTE(input_enews_announcement_type," ","")&amp;",")))&gt;0)),IF(BW97="",TRUE,IF(input_enews_announcement_type="",FALSE,SUMPRODUCT(--ISNUMBER(SEARCH(","&amp;TRIM(TEXTSPLIT(BW97,","))&amp;",",","&amp;SUBSTITUTE(input_enews_announcement_type," ","")&amp;",")))=COUNTA(TEXTSPLIT(BW97,",")))),IF(BY97="",TRUE,IF(input_enews_announcement_type="",TRUE,SUMPRODUCT(--ISNUMBER(SEARCH(","&amp;TRIM(TEXTSPLIT(BY97,","))&amp;",",","&amp;SUBSTITUTE(input_enews_announcement_type," ","")&amp;",")))=0)),IF(CA97="",TRUE,IF(input_enews_announcement_type="",FALSE,SUMPRODUCT(--ISNUMBER(SEARCH(","&amp;TRIM(TEXTSPLIT(CA97,","))&amp;",",","&amp;SUBSTITUTE(input_enews_announcement_type," ","")&amp;",")))&gt;0)),IF(CC97="",TRUE,IF(input_enews_announcement_type="",FALSE,SUMPRODUCT(--ISNUMBER(SEARCH(","&amp;TRIM(TEXTSPLIT(CC97,","))&amp;",",","&amp;SUBSTITUTE(input_enews_announcement_type," ","")&amp;",")))=COUNTA(TEXTSPLIT(CC97,",")))))</f>
        <v/>
      </c>
      <c r="JA97" s="19">
        <f>AND(IF(CE97="",TRUE,IF(input_enews_audience="",FALSE,SUMPRODUCT(--ISNUMBER(SEARCH(","&amp;TRIM(TEXTSPLIT(CE97,","))&amp;",",","&amp;SUBSTITUTE(input_enews_audience," ","")&amp;",")))&gt;0)),IF(CG97="",TRUE,IF(input_enews_audience="",FALSE,SUMPRODUCT(--ISNUMBER(SEARCH(","&amp;TRIM(TEXTSPLIT(CG97,","))&amp;",",","&amp;SUBSTITUTE(input_enews_audience," ","")&amp;",")))=COUNTA(TEXTSPLIT(CG97,",")))),IF(CI97="",TRUE,IF(input_enews_audience="",TRUE,SUMPRODUCT(--ISNUMBER(SEARCH(","&amp;TRIM(TEXTSPLIT(CI97,","))&amp;",",","&amp;SUBSTITUTE(input_enews_audience," ","")&amp;",")))=0)),IF(CK97="",TRUE,IF(input_enews_audience="",FALSE,SUMPRODUCT(--ISNUMBER(SEARCH(","&amp;TRIM(TEXTSPLIT(CK97,","))&amp;",",","&amp;SUBSTITUTE(input_enews_audience," ","")&amp;",")))&gt;0)),IF(CM97="",TRUE,IF(input_enews_audience="",FALSE,SUMPRODUCT(--ISNUMBER(SEARCH(","&amp;TRIM(TEXTSPLIT(CM97,","))&amp;",",","&amp;SUBSTITUTE(input_enews_audience," ","")&amp;",")))=COUNTA(TEXTSPLIT(CM97,",")))))</f>
        <v/>
      </c>
      <c r="JB97" s="19">
        <f>AND(IF(CO97="",TRUE,IF(input_event_location="",FALSE,SUMPRODUCT(--ISNUMBER(SEARCH(","&amp;TRIM(TEXTSPLIT(CO97,","))&amp;",",","&amp;SUBSTITUTE(input_event_location," ","")&amp;",")))&gt;0)),IF(CQ97="",TRUE,IF(input_event_location="",FALSE,SUMPRODUCT(--ISNUMBER(SEARCH(","&amp;TRIM(TEXTSPLIT(CQ97,","))&amp;",",","&amp;SUBSTITUTE(input_event_location," ","")&amp;",")))=COUNTA(TEXTSPLIT(CQ97,",")))),IF(CS97="",TRUE,IF(input_event_location="",TRUE,SUMPRODUCT(--ISNUMBER(SEARCH(","&amp;TRIM(TEXTSPLIT(CS97,","))&amp;",",","&amp;SUBSTITUTE(input_event_location," ","")&amp;",")))=0)),IF(CU97="",TRUE,IF(input_event_location="",FALSE,SUMPRODUCT(--ISNUMBER(SEARCH(","&amp;TRIM(TEXTSPLIT(CU97,","))&amp;",",","&amp;SUBSTITUTE(input_event_location," ","")&amp;",")))&gt;0)),IF(CW97="",TRUE,IF(input_event_location="",FALSE,SUMPRODUCT(--ISNUMBER(SEARCH(","&amp;TRIM(TEXTSPLIT(CW97,","))&amp;",",","&amp;SUBSTITUTE(input_event_location," ","")&amp;",")))=COUNTA(TEXTSPLIT(CW97,",")))))</f>
        <v/>
      </c>
      <c r="JC97" s="19">
        <f>AND(IF(CY97="",TRUE,IF(input_event_type="",FALSE,SUMPRODUCT(--ISNUMBER(SEARCH(","&amp;TRIM(TEXTSPLIT(CY97,","))&amp;",",","&amp;SUBSTITUTE(input_event_type," ","")&amp;",")))&gt;0)),IF(DA97="",TRUE,IF(input_event_type="",FALSE,SUMPRODUCT(--ISNUMBER(SEARCH(","&amp;TRIM(TEXTSPLIT(DA97,","))&amp;",",","&amp;SUBSTITUTE(input_event_type," ","")&amp;",")))=COUNTA(TEXTSPLIT(DA97,",")))),IF(DC97="",TRUE,IF(input_event_type="",TRUE,SUMPRODUCT(--ISNUMBER(SEARCH(","&amp;TRIM(TEXTSPLIT(DC97,","))&amp;",",","&amp;SUBSTITUTE(input_event_type," ","")&amp;",")))=0)),IF(DE97="",TRUE,IF(input_event_type="",FALSE,SUMPRODUCT(--ISNUMBER(SEARCH(","&amp;TRIM(TEXTSPLIT(DE97,","))&amp;",",","&amp;SUBSTITUTE(input_event_type," ","")&amp;",")))&gt;0)),IF(DG97="",TRUE,IF(input_event_type="",FALSE,SUMPRODUCT(--ISNUMBER(SEARCH(","&amp;TRIM(TEXTSPLIT(DG97,","))&amp;",",","&amp;SUBSTITUTE(input_event_type," ","")&amp;",")))=COUNTA(TEXTSPLIT(DG97,",")))))</f>
        <v/>
      </c>
      <c r="JD97" s="19">
        <f>AND(IF(DI97="",TRUE,IF(input_executive_education_focus="",FALSE,SUMPRODUCT(--ISNUMBER(SEARCH(","&amp;TRIM(TEXTSPLIT(DI97,","))&amp;",",","&amp;SUBSTITUTE(input_executive_education_focus," ","")&amp;",")))&gt;0)),IF(DK97="",TRUE,IF(input_executive_education_focus="",FALSE,SUMPRODUCT(--ISNUMBER(SEARCH(","&amp;TRIM(TEXTSPLIT(DK97,","))&amp;",",","&amp;SUBSTITUTE(input_executive_education_focus," ","")&amp;",")))=COUNTA(TEXTSPLIT(DK97,",")))),IF(DM97="",TRUE,IF(input_executive_education_focus="",TRUE,SUMPRODUCT(--ISNUMBER(SEARCH(","&amp;TRIM(TEXTSPLIT(DM97,","))&amp;",",","&amp;SUBSTITUTE(input_executive_education_focus," ","")&amp;",")))=0)),IF(DO97="",TRUE,IF(input_executive_education_focus="",FALSE,SUMPRODUCT(--ISNUMBER(SEARCH(","&amp;TRIM(TEXTSPLIT(DO97,","))&amp;",",","&amp;SUBSTITUTE(input_executive_education_focus," ","")&amp;",")))&gt;0)),IF(DQ97="",TRUE,IF(input_executive_education_focus="",FALSE,SUMPRODUCT(--ISNUMBER(SEARCH(","&amp;TRIM(TEXTSPLIT(DQ97,","))&amp;",",","&amp;SUBSTITUTE(input_executive_education_focus," ","")&amp;",")))=COUNTA(TEXTSPLIT(DQ97,",")))))</f>
        <v/>
      </c>
      <c r="JE97" s="19">
        <f>AND(IF(DS97="",TRUE,IF(input_faculty_category="",FALSE,SUMPRODUCT(--ISNUMBER(SEARCH(","&amp;TRIM(TEXTSPLIT(DS97,","))&amp;",",","&amp;SUBSTITUTE(input_faculty_category," ","")&amp;",")))&gt;0)),IF(DU97="",TRUE,IF(input_faculty_category="",FALSE,SUMPRODUCT(--ISNUMBER(SEARCH(","&amp;TRIM(TEXTSPLIT(DU97,","))&amp;",",","&amp;SUBSTITUTE(input_faculty_category," ","")&amp;",")))=COUNTA(TEXTSPLIT(DU97,",")))),IF(DW97="",TRUE,IF(input_faculty_category="",TRUE,SUMPRODUCT(--ISNUMBER(SEARCH(","&amp;TRIM(TEXTSPLIT(DW97,","))&amp;",",","&amp;SUBSTITUTE(input_faculty_category," ","")&amp;",")))=0)),IF(DY97="",TRUE,IF(input_faculty_category="",FALSE,SUMPRODUCT(--ISNUMBER(SEARCH(","&amp;TRIM(TEXTSPLIT(DY97,","))&amp;",",","&amp;SUBSTITUTE(input_faculty_category," ","")&amp;",")))&gt;0)),IF(EA97="",TRUE,IF(input_faculty_category="",FALSE,SUMPRODUCT(--ISNUMBER(SEARCH(","&amp;TRIM(TEXTSPLIT(EA97,","))&amp;",",","&amp;SUBSTITUTE(input_faculty_category," ","")&amp;",")))=COUNTA(TEXTSPLIT(EA97,",")))))</f>
        <v/>
      </c>
      <c r="JF97" s="19">
        <f>AND(IF(EC97="",TRUE,IF(input_faculty_discipline="",FALSE,SUMPRODUCT(--ISNUMBER(SEARCH(","&amp;TRIM(TEXTSPLIT(EC97,","))&amp;",",","&amp;SUBSTITUTE(input_faculty_discipline," ","")&amp;",")))&gt;0)),IF(EE97="",TRUE,IF(input_faculty_discipline="",FALSE,SUMPRODUCT(--ISNUMBER(SEARCH(","&amp;TRIM(TEXTSPLIT(EE97,","))&amp;",",","&amp;SUBSTITUTE(input_faculty_discipline," ","")&amp;",")))=COUNTA(TEXTSPLIT(EE97,",")))),IF(EG97="",TRUE,IF(input_faculty_discipline="",TRUE,SUMPRODUCT(--ISNUMBER(SEARCH(","&amp;TRIM(TEXTSPLIT(EG97,","))&amp;",",","&amp;SUBSTITUTE(input_faculty_discipline," ","")&amp;",")))=0)),IF(EI97="",TRUE,IF(input_faculty_discipline="",FALSE,SUMPRODUCT(--ISNUMBER(SEARCH(","&amp;TRIM(TEXTSPLIT(EI97,","))&amp;",",","&amp;SUBSTITUTE(input_faculty_discipline," ","")&amp;",")))&gt;0)),IF(EK97="",TRUE,IF(input_faculty_discipline="",FALSE,SUMPRODUCT(--ISNUMBER(SEARCH(","&amp;TRIM(TEXTSPLIT(EK97,","))&amp;",",","&amp;SUBSTITUTE(input_faculty_discipline," ","")&amp;",")))=COUNTA(TEXTSPLIT(EK97,",")))))</f>
        <v/>
      </c>
      <c r="JG97" s="19">
        <f>AND(IF(EM97="",TRUE,IF(input_faculty_expertise="",FALSE,SUMPRODUCT(--ISNUMBER(SEARCH(","&amp;TRIM(TEXTSPLIT(EM97,","))&amp;",",","&amp;SUBSTITUTE(input_faculty_expertise," ","")&amp;",")))&gt;0)),IF(EO97="",TRUE,IF(input_faculty_expertise="",FALSE,SUMPRODUCT(--ISNUMBER(SEARCH(","&amp;TRIM(TEXTSPLIT(EO97,","))&amp;",",","&amp;SUBSTITUTE(input_faculty_expertise," ","")&amp;",")))=COUNTA(TEXTSPLIT(EO97,",")))),IF(EQ97="",TRUE,IF(input_faculty_expertise="",TRUE,SUMPRODUCT(--ISNUMBER(SEARCH(","&amp;TRIM(TEXTSPLIT(EQ97,","))&amp;",",","&amp;SUBSTITUTE(input_faculty_expertise," ","")&amp;",")))=0)),IF(ES97="",TRUE,IF(input_faculty_expertise="",FALSE,SUMPRODUCT(--ISNUMBER(SEARCH(","&amp;TRIM(TEXTSPLIT(ES97,","))&amp;",",","&amp;SUBSTITUTE(input_faculty_expertise," ","")&amp;",")))&gt;0)),IF(EU97="",TRUE,IF(input_faculty_expertise="",FALSE,SUMPRODUCT(--ISNUMBER(SEARCH(","&amp;TRIM(TEXTSPLIT(EU97,","))&amp;",",","&amp;SUBSTITUTE(input_faculty_expertise," ","")&amp;",")))=COUNTA(TEXTSPLIT(EU97,",")))))</f>
        <v/>
      </c>
      <c r="JH97" s="19">
        <f>AND(IF(EW97="",TRUE,IF(input_global_network_school="",FALSE,SUMPRODUCT(--ISNUMBER(SEARCH(","&amp;TRIM(TEXTSPLIT(EW97,","))&amp;",",","&amp;SUBSTITUTE(input_global_network_school," ","")&amp;",")))&gt;0)),IF(EY97="",TRUE,IF(input_global_network_school="",FALSE,SUMPRODUCT(--ISNUMBER(SEARCH(","&amp;TRIM(TEXTSPLIT(EY97,","))&amp;",",","&amp;SUBSTITUTE(input_global_network_school," ","")&amp;",")))=COUNTA(TEXTSPLIT(EY97,",")))),IF(FA97="",TRUE,IF(input_global_network_school="",TRUE,SUMPRODUCT(--ISNUMBER(SEARCH(","&amp;TRIM(TEXTSPLIT(FA97,","))&amp;",",","&amp;SUBSTITUTE(input_global_network_school," ","")&amp;",")))=0)),IF(FC97="",TRUE,IF(input_global_network_school="",FALSE,SUMPRODUCT(--ISNUMBER(SEARCH(","&amp;TRIM(TEXTSPLIT(FC97,","))&amp;",",","&amp;SUBSTITUTE(input_global_network_school," ","")&amp;",")))&gt;0)),IF(FE97="",TRUE,IF(input_global_network_school="",FALSE,SUMPRODUCT(--ISNUMBER(SEARCH(","&amp;TRIM(TEXTSPLIT(FE97,","))&amp;",",","&amp;SUBSTITUTE(input_global_network_school," ","")&amp;",")))=COUNTA(TEXTSPLIT(FE97,",")))))</f>
        <v/>
      </c>
      <c r="JI97" s="19">
        <f>AND(IF(FG97="",TRUE,IF(input_industry="",FALSE,SUMPRODUCT(--ISNUMBER(SEARCH(","&amp;TRIM(TEXTSPLIT(FG97,","))&amp;",",","&amp;SUBSTITUTE(input_industry," ","")&amp;",")))&gt;0)),IF(FI97="",TRUE,IF(input_industry="",FALSE,SUMPRODUCT(--ISNUMBER(SEARCH(","&amp;TRIM(TEXTSPLIT(FI97,","))&amp;",",","&amp;SUBSTITUTE(input_industry," ","")&amp;",")))=COUNTA(TEXTSPLIT(FI97,",")))),IF(FK97="",TRUE,IF(input_industry="",TRUE,SUMPRODUCT(--ISNUMBER(SEARCH(","&amp;TRIM(TEXTSPLIT(FK97,","))&amp;",",","&amp;SUBSTITUTE(input_industry," ","")&amp;",")))=0)),IF(FM97="",TRUE,IF(input_industry="",FALSE,SUMPRODUCT(--ISNUMBER(SEARCH(","&amp;TRIM(TEXTSPLIT(FM97,","))&amp;",",","&amp;SUBSTITUTE(input_industry," ","")&amp;",")))&gt;0)),IF(FO97="",TRUE,IF(input_industry="",FALSE,SUMPRODUCT(--ISNUMBER(SEARCH(","&amp;TRIM(TEXTSPLIT(FO97,","))&amp;",",","&amp;SUBSTITUTE(input_industry," ","")&amp;",")))=COUNTA(TEXTSPLIT(FO97,",")))))</f>
        <v/>
      </c>
      <c r="JJ97" s="19">
        <f>AND(IF(FQ97="",TRUE,IF(input_location="",FALSE,SUMPRODUCT(--ISNUMBER(SEARCH(","&amp;TRIM(TEXTSPLIT(FQ97,","))&amp;",",","&amp;SUBSTITUTE(input_location," ","")&amp;",")))&gt;0)),IF(FS97="",TRUE,IF(input_location="",FALSE,SUMPRODUCT(--ISNUMBER(SEARCH(","&amp;TRIM(TEXTSPLIT(FS97,","))&amp;",",","&amp;SUBSTITUTE(input_location," ","")&amp;",")))=COUNTA(TEXTSPLIT(FS97,",")))),IF(FU97="",TRUE,IF(input_location="",TRUE,SUMPRODUCT(--ISNUMBER(SEARCH(","&amp;TRIM(TEXTSPLIT(FU97,","))&amp;",",","&amp;SUBSTITUTE(input_location," ","")&amp;",")))=0)),IF(FW97="",TRUE,IF(input_location="",FALSE,SUMPRODUCT(--ISNUMBER(SEARCH(","&amp;TRIM(TEXTSPLIT(FW97,","))&amp;",",","&amp;SUBSTITUTE(input_location," ","")&amp;",")))&gt;0)),IF(FY97="",TRUE,IF(input_location="",FALSE,SUMPRODUCT(--ISNUMBER(SEARCH(","&amp;TRIM(TEXTSPLIT(FY97,","))&amp;",",","&amp;SUBSTITUTE(input_location," ","")&amp;",")))=COUNTA(TEXTSPLIT(FY97,",")))))</f>
        <v/>
      </c>
      <c r="JK97" s="19">
        <f>AND(IF(GA97="",TRUE,IF(input_modality="",FALSE,SUMPRODUCT(--ISNUMBER(SEARCH(","&amp;TRIM(TEXTSPLIT(GA97,","))&amp;",",","&amp;SUBSTITUTE(input_modality," ","")&amp;",")))&gt;0)),IF(GC97="",TRUE,IF(input_modality="",FALSE,SUMPRODUCT(--ISNUMBER(SEARCH(","&amp;TRIM(TEXTSPLIT(GC97,","))&amp;",",","&amp;SUBSTITUTE(input_modality," ","")&amp;",")))=COUNTA(TEXTSPLIT(GC97,",")))),IF(GE97="",TRUE,IF(input_modality="",TRUE,SUMPRODUCT(--ISNUMBER(SEARCH(","&amp;TRIM(TEXTSPLIT(GE97,","))&amp;",",","&amp;SUBSTITUTE(input_modality," ","")&amp;",")))=0)),IF(GG97="",TRUE,IF(input_modality="",FALSE,SUMPRODUCT(--ISNUMBER(SEARCH(","&amp;TRIM(TEXTSPLIT(GG97,","))&amp;",",","&amp;SUBSTITUTE(input_modality," ","")&amp;",")))&gt;0)),IF(GI97="",TRUE,IF(input_modality="",FALSE,SUMPRODUCT(--ISNUMBER(SEARCH(","&amp;TRIM(TEXTSPLIT(GI97,","))&amp;",",","&amp;SUBSTITUTE(input_modality," ","")&amp;",")))=COUNTA(TEXTSPLIT(GI97,",")))))</f>
        <v/>
      </c>
      <c r="JL97" s="19">
        <f>AND(IF(GK97="",TRUE,IF(input_organizer="",FALSE,SUMPRODUCT(--ISNUMBER(SEARCH(","&amp;TRIM(TEXTSPLIT(GK97,","))&amp;",",","&amp;SUBSTITUTE(input_organizer," ","")&amp;",")))&gt;0)),IF(GM97="",TRUE,IF(input_organizer="",FALSE,SUMPRODUCT(--ISNUMBER(SEARCH(","&amp;TRIM(TEXTSPLIT(GM97,","))&amp;",",","&amp;SUBSTITUTE(input_organizer," ","")&amp;",")))=COUNTA(TEXTSPLIT(GM97,",")))),IF(GO97="",TRUE,IF(input_organizer="",TRUE,SUMPRODUCT(--ISNUMBER(SEARCH(","&amp;TRIM(TEXTSPLIT(GO97,","))&amp;",",","&amp;SUBSTITUTE(input_organizer," ","")&amp;",")))=0)),IF(GQ97="",TRUE,IF(input_organizer="",FALSE,SUMPRODUCT(--ISNUMBER(SEARCH(","&amp;TRIM(TEXTSPLIT(GQ97,","))&amp;",",","&amp;SUBSTITUTE(input_organizer," ","")&amp;",")))&gt;0)),IF(GS97="",TRUE,IF(input_organizer="",FALSE,SUMPRODUCT(--ISNUMBER(SEARCH(","&amp;TRIM(TEXTSPLIT(GS97,","))&amp;",",","&amp;SUBSTITUTE(input_organizer," ","")&amp;",")))=COUNTA(TEXTSPLIT(GS97,",")))))</f>
        <v/>
      </c>
      <c r="JM97" s="19">
        <f>AND(IF(GU97="",TRUE,IF(input_profile_type="",FALSE,SUMPRODUCT(--ISNUMBER(SEARCH(","&amp;TRIM(TEXTSPLIT(GU97,","))&amp;",",","&amp;SUBSTITUTE(input_profile_type," ","")&amp;",")))&gt;0)),IF(GW97="",TRUE,IF(input_profile_type="",FALSE,SUMPRODUCT(--ISNUMBER(SEARCH(","&amp;TRIM(TEXTSPLIT(GW97,","))&amp;",",","&amp;SUBSTITUTE(input_profile_type," ","")&amp;",")))=COUNTA(TEXTSPLIT(GW97,",")))),IF(GY97="",TRUE,IF(input_profile_type="",TRUE,SUMPRODUCT(--ISNUMBER(SEARCH(","&amp;TRIM(TEXTSPLIT(GY97,","))&amp;",",","&amp;SUBSTITUTE(input_profile_type," ","")&amp;",")))=0)),IF(HA97="",TRUE,IF(input_profile_type="",FALSE,SUMPRODUCT(--ISNUMBER(SEARCH(","&amp;TRIM(TEXTSPLIT(HA97,","))&amp;",",","&amp;SUBSTITUTE(input_profile_type," ","")&amp;",")))&gt;0)),IF(HC97="",TRUE,IF(input_profile_type="",FALSE,SUMPRODUCT(--ISNUMBER(SEARCH(","&amp;TRIM(TEXTSPLIT(HC97,","))&amp;",",","&amp;SUBSTITUTE(input_profile_type," ","")&amp;",")))=COUNTA(TEXTSPLIT(HC97,",")))))</f>
        <v/>
      </c>
      <c r="JN97" s="19">
        <f>AND(IF(HE97="",TRUE,IF(input_program="",FALSE,SUMPRODUCT(--ISNUMBER(SEARCH(","&amp;TRIM(TEXTSPLIT(HE97,","))&amp;",",","&amp;SUBSTITUTE(input_program," ","")&amp;",")))&gt;0)),IF(HG97="",TRUE,IF(input_program="",FALSE,SUMPRODUCT(--ISNUMBER(SEARCH(","&amp;TRIM(TEXTSPLIT(HG97,","))&amp;",",","&amp;SUBSTITUTE(input_program," ","")&amp;",")))=COUNTA(TEXTSPLIT(HG97,",")))),IF(HI97="",TRUE,IF(input_program="",TRUE,SUMPRODUCT(--ISNUMBER(SEARCH(","&amp;TRIM(TEXTSPLIT(HI97,","))&amp;",",","&amp;SUBSTITUTE(input_program," ","")&amp;",")))=0)),IF(HK97="",TRUE,IF(input_program="",FALSE,SUMPRODUCT(--ISNUMBER(SEARCH(","&amp;TRIM(TEXTSPLIT(HK97,","))&amp;",",","&amp;SUBSTITUTE(input_program," ","")&amp;",")))&gt;0)),IF(HM97="",TRUE,IF(input_program="",FALSE,SUMPRODUCT(--ISNUMBER(SEARCH(","&amp;TRIM(TEXTSPLIT(HM97,","))&amp;",",","&amp;SUBSTITUTE(input_program," ","")&amp;",")))=COUNTA(TEXTSPLIT(HM97,",")))))</f>
        <v/>
      </c>
      <c r="JO97" s="19">
        <f>AND(IF(HO97="",TRUE,IF(input_story_categories="",FALSE,SUMPRODUCT(--ISNUMBER(SEARCH(","&amp;TRIM(TEXTSPLIT(HO97,","))&amp;",",","&amp;SUBSTITUTE(input_story_categories," ","")&amp;",")))&gt;0)),IF(HQ97="",TRUE,IF(input_story_categories="",FALSE,SUMPRODUCT(--ISNUMBER(SEARCH(","&amp;TRIM(TEXTSPLIT(HQ97,","))&amp;",",","&amp;SUBSTITUTE(input_story_categories," ","")&amp;",")))=COUNTA(TEXTSPLIT(HQ97,",")))),IF(HS97="",TRUE,IF(input_story_categories="",TRUE,SUMPRODUCT(--ISNUMBER(SEARCH(","&amp;TRIM(TEXTSPLIT(HS97,","))&amp;",",","&amp;SUBSTITUTE(input_story_categories," ","")&amp;",")))=0)),IF(HU97="",TRUE,IF(input_story_categories="",FALSE,SUMPRODUCT(--ISNUMBER(SEARCH(","&amp;TRIM(TEXTSPLIT(HU97,","))&amp;",",","&amp;SUBSTITUTE(input_story_categories," ","")&amp;",")))&gt;0)),IF(HW97="",TRUE,IF(input_story_categories="",FALSE,SUMPRODUCT(--ISNUMBER(SEARCH(","&amp;TRIM(TEXTSPLIT(HW97,","))&amp;",",","&amp;SUBSTITUTE(input_story_categories," ","")&amp;",")))=COUNTA(TEXTSPLIT(HW97,",")))))</f>
        <v/>
      </c>
      <c r="JP97" s="19">
        <f>AND(IF(HY97="",TRUE,IF(input_story_type="",FALSE,SUMPRODUCT(--ISNUMBER(SEARCH(","&amp;TRIM(TEXTSPLIT(HY97,","))&amp;",",","&amp;SUBSTITUTE(input_story_type," ","")&amp;",")))&gt;0)),IF(IA97="",TRUE,IF(input_story_type="",FALSE,SUMPRODUCT(--ISNUMBER(SEARCH(","&amp;TRIM(TEXTSPLIT(IA97,","))&amp;",",","&amp;SUBSTITUTE(input_story_type," ","")&amp;",")))=COUNTA(TEXTSPLIT(IA97,",")))),IF(IC97="",TRUE,IF(input_story_type="",TRUE,SUMPRODUCT(--ISNUMBER(SEARCH(","&amp;TRIM(TEXTSPLIT(IC97,","))&amp;",",","&amp;SUBSTITUTE(input_story_type," ","")&amp;",")))=0)),IF(IE97="",TRUE,IF(input_story_type="",FALSE,SUMPRODUCT(--ISNUMBER(SEARCH(","&amp;TRIM(TEXTSPLIT(IE97,","))&amp;",",","&amp;SUBSTITUTE(input_story_type," ","")&amp;",")))&gt;0)),IF(IG97="",TRUE,IF(input_story_type="",FALSE,SUMPRODUCT(--ISNUMBER(SEARCH(","&amp;TRIM(TEXTSPLIT(IG97,","))&amp;",",","&amp;SUBSTITUTE(input_story_type," ","")&amp;",")))=COUNTA(TEXTSPLIT(IG97,",")))))</f>
        <v/>
      </c>
      <c r="JQ97" s="19">
        <f>AND(IF(II97="",TRUE,IF(input_topics="",FALSE,SUMPRODUCT(--ISNUMBER(SEARCH(","&amp;TRIM(TEXTSPLIT(II97,","))&amp;",",","&amp;SUBSTITUTE(input_topics," ","")&amp;",")))&gt;0)),IF(IK97="",TRUE,IF(input_topics="",FALSE,SUMPRODUCT(--ISNUMBER(SEARCH(","&amp;TRIM(TEXTSPLIT(IK97,","))&amp;",",","&amp;SUBSTITUTE(input_topics," ","")&amp;",")))=COUNTA(TEXTSPLIT(IK97,",")))),IF(IM97="",TRUE,IF(input_topics="",TRUE,SUMPRODUCT(--ISNUMBER(SEARCH(","&amp;TRIM(TEXTSPLIT(IM97,","))&amp;",",","&amp;SUBSTITUTE(input_topics," ","")&amp;",")))=0)),IF(IO97="",TRUE,IF(input_topics="",FALSE,SUMPRODUCT(--ISNUMBER(SEARCH(","&amp;TRIM(TEXTSPLIT(IO97,","))&amp;",",","&amp;SUBSTITUTE(input_topics," ","")&amp;",")))&gt;0)),IF(IQ97="",TRUE,IF(input_topics="",FALSE,SUMPRODUCT(--ISNUMBER(SEARCH(","&amp;TRIM(TEXTSPLIT(IQ97,","))&amp;",",","&amp;SUBSTITUTE(input_topics," ","")&amp;",")))=COUNTA(TEXTSPLIT(IQ97,",")))))</f>
        <v/>
      </c>
    </row>
    <row r="98">
      <c r="A98" s="24">
        <f>IF(NOT(IS98),"Excluded",IF(AND(IT98,IU98,IV98,IW98,IX98,IY98,IZ98,JA98,JB98,JC98,JD98,JE98,JF98,JG98,JH98,JI98,JJ98,JK98,JL98,JM98,JN98,JO98,JP98,JQ98),IF(I98&gt;0,"Eligible but limited","Will appear"),"Excluded"))</f>
        <v/>
      </c>
      <c r="B98" s="24" t="inlineStr">
        <is>
          <t>Entrepreneurship News</t>
        </is>
      </c>
      <c r="C98" s="27" t="inlineStr">
        <is>
          <t>/centers/program-entrepreneurship/entrepreneurship-news-events/entrepreneurship-news</t>
        </is>
      </c>
      <c r="D98" s="24" t="inlineStr">
        <is>
          <t>/centers/program-entrepreneurship/entrepreneurship-news-events/entrepreneurship-news</t>
        </is>
      </c>
      <c r="E98" s="24" t="n">
        <v>1</v>
      </c>
      <c r="F98" s="24" t="inlineStr">
        <is>
          <t>story</t>
        </is>
      </c>
      <c r="G98" s="24" t="inlineStr">
        <is>
          <t>stories_list</t>
        </is>
      </c>
      <c r="H98" s="24" t="inlineStr">
        <is>
          <t>embed_1</t>
        </is>
      </c>
      <c r="I98" s="24" t="n">
        <v>10</v>
      </c>
      <c r="J98" s="28" t="inlineStr">
        <is>
          <t>Explicit args</t>
        </is>
      </c>
      <c r="K98" s="24" t="inlineStr">
        <is>
          <t>Page placement</t>
        </is>
      </c>
      <c r="L98" s="24" t="inlineStr">
        <is>
          <t>Content type: story; Context uses Courses Context: Program on Entrepreneurship (934); Limited to 10 item(s); Source: Explicit args</t>
        </is>
      </c>
      <c r="BQ98" s="19" t="inlineStr">
        <is>
          <t>934</t>
        </is>
      </c>
      <c r="BR98" s="19" t="inlineStr">
        <is>
          <t>Program on Entrepreneurship (934)</t>
        </is>
      </c>
      <c r="IS98" s="19">
        <f>IF(input_content_type="",FALSE,ISNUMBER(SEARCH(","&amp;LOWER(input_content_type)&amp;",",","&amp;LOWER(SUBSTITUTE(F98," ",""))&amp;",")))</f>
        <v/>
      </c>
      <c r="IT98" s="19">
        <f>AND(IF(M98="",TRUE,IF(input_affiliations="",FALSE,SUMPRODUCT(--ISNUMBER(SEARCH(","&amp;TRIM(TEXTSPLIT(M98,","))&amp;",",","&amp;SUBSTITUTE(input_affiliations," ","")&amp;",")))&gt;0)),IF(O98="",TRUE,IF(input_affiliations="",FALSE,SUMPRODUCT(--ISNUMBER(SEARCH(","&amp;TRIM(TEXTSPLIT(O98,","))&amp;",",","&amp;SUBSTITUTE(input_affiliations," ","")&amp;",")))=COUNTA(TEXTSPLIT(O98,",")))),IF(Q98="",TRUE,IF(input_affiliations="",TRUE,SUMPRODUCT(--ISNUMBER(SEARCH(","&amp;TRIM(TEXTSPLIT(Q98,","))&amp;",",","&amp;SUBSTITUTE(input_affiliations," ","")&amp;",")))=0)),IF(S98="",TRUE,IF(input_affiliations="",FALSE,SUMPRODUCT(--ISNUMBER(SEARCH(","&amp;TRIM(TEXTSPLIT(S98,","))&amp;",",","&amp;SUBSTITUTE(input_affiliations," ","")&amp;",")))&gt;0)),IF(U98="",TRUE,IF(input_affiliations="",FALSE,SUMPRODUCT(--ISNUMBER(SEARCH(","&amp;TRIM(TEXTSPLIT(U98,","))&amp;",",","&amp;SUBSTITUTE(input_affiliations," ","")&amp;",")))=COUNTA(TEXTSPLIT(U98,",")))))</f>
        <v/>
      </c>
      <c r="IU98" s="19">
        <f>AND(IF(W98="",TRUE,IF(input_announcement_category="",FALSE,SUMPRODUCT(--ISNUMBER(SEARCH(","&amp;TRIM(TEXTSPLIT(W98,","))&amp;",",","&amp;SUBSTITUTE(input_announcement_category," ","")&amp;",")))&gt;0)),IF(Y98="",TRUE,IF(input_announcement_category="",FALSE,SUMPRODUCT(--ISNUMBER(SEARCH(","&amp;TRIM(TEXTSPLIT(Y98,","))&amp;",",","&amp;SUBSTITUTE(input_announcement_category," ","")&amp;",")))=COUNTA(TEXTSPLIT(Y98,",")))),IF(AA98="",TRUE,IF(input_announcement_category="",TRUE,SUMPRODUCT(--ISNUMBER(SEARCH(","&amp;TRIM(TEXTSPLIT(AA98,","))&amp;",",","&amp;SUBSTITUTE(input_announcement_category," ","")&amp;",")))=0)),IF(AC98="",TRUE,IF(input_announcement_category="",FALSE,SUMPRODUCT(--ISNUMBER(SEARCH(","&amp;TRIM(TEXTSPLIT(AC98,","))&amp;",",","&amp;SUBSTITUTE(input_announcement_category," ","")&amp;",")))&gt;0)),IF(AE98="",TRUE,IF(input_announcement_category="",FALSE,SUMPRODUCT(--ISNUMBER(SEARCH(","&amp;TRIM(TEXTSPLIT(AE98,","))&amp;",",","&amp;SUBSTITUTE(input_announcement_category," ","")&amp;",")))=COUNTA(TEXTSPLIT(AE98,",")))))</f>
        <v/>
      </c>
      <c r="IV98" s="19">
        <f>AND(IF(AG98="",TRUE,IF(input_area_of_focus="",FALSE,SUMPRODUCT(--ISNUMBER(SEARCH(","&amp;TRIM(TEXTSPLIT(AG98,","))&amp;",",","&amp;SUBSTITUTE(input_area_of_focus," ","")&amp;",")))&gt;0)),IF(AI98="",TRUE,IF(input_area_of_focus="",FALSE,SUMPRODUCT(--ISNUMBER(SEARCH(","&amp;TRIM(TEXTSPLIT(AI98,","))&amp;",",","&amp;SUBSTITUTE(input_area_of_focus," ","")&amp;",")))=COUNTA(TEXTSPLIT(AI98,",")))),IF(AK98="",TRUE,IF(input_area_of_focus="",TRUE,SUMPRODUCT(--ISNUMBER(SEARCH(","&amp;TRIM(TEXTSPLIT(AK98,","))&amp;",",","&amp;SUBSTITUTE(input_area_of_focus," ","")&amp;",")))=0)),IF(AM98="",TRUE,IF(input_area_of_focus="",FALSE,SUMPRODUCT(--ISNUMBER(SEARCH(","&amp;TRIM(TEXTSPLIT(AM98,","))&amp;",",","&amp;SUBSTITUTE(input_area_of_focus," ","")&amp;",")))&gt;0)),IF(AO98="",TRUE,IF(input_area_of_focus="",FALSE,SUMPRODUCT(--ISNUMBER(SEARCH(","&amp;TRIM(TEXTSPLIT(AO98,","))&amp;",",","&amp;SUBSTITUTE(input_area_of_focus," ","")&amp;",")))=COUNTA(TEXTSPLIT(AO98,",")))))</f>
        <v/>
      </c>
      <c r="IW98" s="19">
        <f>AND(IF(AQ98="",TRUE,IF(input_audience="",FALSE,SUMPRODUCT(--ISNUMBER(SEARCH(","&amp;TRIM(TEXTSPLIT(AQ98,","))&amp;",",","&amp;SUBSTITUTE(input_audience," ","")&amp;",")))&gt;0)),IF(AS98="",TRUE,IF(input_audience="",FALSE,SUMPRODUCT(--ISNUMBER(SEARCH(","&amp;TRIM(TEXTSPLIT(AS98,","))&amp;",",","&amp;SUBSTITUTE(input_audience," ","")&amp;",")))=COUNTA(TEXTSPLIT(AS98,",")))),IF(AU98="",TRUE,IF(input_audience="",TRUE,SUMPRODUCT(--ISNUMBER(SEARCH(","&amp;TRIM(TEXTSPLIT(AU98,","))&amp;",",","&amp;SUBSTITUTE(input_audience," ","")&amp;",")))=0)),IF(AW98="",TRUE,IF(input_audience="",FALSE,SUMPRODUCT(--ISNUMBER(SEARCH(","&amp;TRIM(TEXTSPLIT(AW98,","))&amp;",",","&amp;SUBSTITUTE(input_audience," ","")&amp;",")))&gt;0)),IF(AY98="",TRUE,IF(input_audience="",FALSE,SUMPRODUCT(--ISNUMBER(SEARCH(","&amp;TRIM(TEXTSPLIT(AY98,","))&amp;",",","&amp;SUBSTITUTE(input_audience," ","")&amp;",")))=COUNTA(TEXTSPLIT(AY98,",")))))</f>
        <v/>
      </c>
      <c r="IX98" s="19">
        <f>AND(IF(BA98="",TRUE,IF(input_challenge_opportunities="",FALSE,SUMPRODUCT(--ISNUMBER(SEARCH(","&amp;TRIM(TEXTSPLIT(BA98,","))&amp;",",","&amp;SUBSTITUTE(input_challenge_opportunities," ","")&amp;",")))&gt;0)),IF(BC98="",TRUE,IF(input_challenge_opportunities="",FALSE,SUMPRODUCT(--ISNUMBER(SEARCH(","&amp;TRIM(TEXTSPLIT(BC98,","))&amp;",",","&amp;SUBSTITUTE(input_challenge_opportunities," ","")&amp;",")))=COUNTA(TEXTSPLIT(BC98,",")))),IF(BE98="",TRUE,IF(input_challenge_opportunities="",TRUE,SUMPRODUCT(--ISNUMBER(SEARCH(","&amp;TRIM(TEXTSPLIT(BE98,","))&amp;",",","&amp;SUBSTITUTE(input_challenge_opportunities," ","")&amp;",")))=0)),IF(BG98="",TRUE,IF(input_challenge_opportunities="",FALSE,SUMPRODUCT(--ISNUMBER(SEARCH(","&amp;TRIM(TEXTSPLIT(BG98,","))&amp;",",","&amp;SUBSTITUTE(input_challenge_opportunities," ","")&amp;",")))&gt;0)),IF(BI98="",TRUE,IF(input_challenge_opportunities="",FALSE,SUMPRODUCT(--ISNUMBER(SEARCH(","&amp;TRIM(TEXTSPLIT(BI98,","))&amp;",",","&amp;SUBSTITUTE(input_challenge_opportunities," ","")&amp;",")))=COUNTA(TEXTSPLIT(BI98,",")))))</f>
        <v/>
      </c>
      <c r="IY98" s="19">
        <f>AND(IF(BK98="",TRUE,IF(input_context="",FALSE,SUMPRODUCT(--ISNUMBER(SEARCH(","&amp;TRIM(TEXTSPLIT(BK98,","))&amp;",",","&amp;SUBSTITUTE(input_context," ","")&amp;",")))&gt;0)),IF(BM98="",TRUE,IF(input_context="",FALSE,SUMPRODUCT(--ISNUMBER(SEARCH(","&amp;TRIM(TEXTSPLIT(BM98,","))&amp;",",","&amp;SUBSTITUTE(input_context," ","")&amp;",")))=COUNTA(TEXTSPLIT(BM98,",")))),IF(BO98="",TRUE,IF(input_context="",TRUE,SUMPRODUCT(--ISNUMBER(SEARCH(","&amp;TRIM(TEXTSPLIT(BO98,","))&amp;",",","&amp;SUBSTITUTE(input_context," ","")&amp;",")))=0)),IF(BQ98="",TRUE,IF(input_context="",FALSE,SUMPRODUCT(--ISNUMBER(SEARCH(","&amp;TRIM(TEXTSPLIT(BQ98,","))&amp;",",","&amp;SUBSTITUTE(input_context," ","")&amp;",")))&gt;0)),IF(BS98="",TRUE,IF(input_context="",FALSE,SUMPRODUCT(--ISNUMBER(SEARCH(","&amp;TRIM(TEXTSPLIT(BS98,","))&amp;",",","&amp;SUBSTITUTE(input_context," ","")&amp;",")))=COUNTA(TEXTSPLIT(BS98,",")))))</f>
        <v/>
      </c>
      <c r="IZ98" s="19">
        <f>AND(IF(BU98="",TRUE,IF(input_enews_announcement_type="",FALSE,SUMPRODUCT(--ISNUMBER(SEARCH(","&amp;TRIM(TEXTSPLIT(BU98,","))&amp;",",","&amp;SUBSTITUTE(input_enews_announcement_type," ","")&amp;",")))&gt;0)),IF(BW98="",TRUE,IF(input_enews_announcement_type="",FALSE,SUMPRODUCT(--ISNUMBER(SEARCH(","&amp;TRIM(TEXTSPLIT(BW98,","))&amp;",",","&amp;SUBSTITUTE(input_enews_announcement_type," ","")&amp;",")))=COUNTA(TEXTSPLIT(BW98,",")))),IF(BY98="",TRUE,IF(input_enews_announcement_type="",TRUE,SUMPRODUCT(--ISNUMBER(SEARCH(","&amp;TRIM(TEXTSPLIT(BY98,","))&amp;",",","&amp;SUBSTITUTE(input_enews_announcement_type," ","")&amp;",")))=0)),IF(CA98="",TRUE,IF(input_enews_announcement_type="",FALSE,SUMPRODUCT(--ISNUMBER(SEARCH(","&amp;TRIM(TEXTSPLIT(CA98,","))&amp;",",","&amp;SUBSTITUTE(input_enews_announcement_type," ","")&amp;",")))&gt;0)),IF(CC98="",TRUE,IF(input_enews_announcement_type="",FALSE,SUMPRODUCT(--ISNUMBER(SEARCH(","&amp;TRIM(TEXTSPLIT(CC98,","))&amp;",",","&amp;SUBSTITUTE(input_enews_announcement_type," ","")&amp;",")))=COUNTA(TEXTSPLIT(CC98,",")))))</f>
        <v/>
      </c>
      <c r="JA98" s="19">
        <f>AND(IF(CE98="",TRUE,IF(input_enews_audience="",FALSE,SUMPRODUCT(--ISNUMBER(SEARCH(","&amp;TRIM(TEXTSPLIT(CE98,","))&amp;",",","&amp;SUBSTITUTE(input_enews_audience," ","")&amp;",")))&gt;0)),IF(CG98="",TRUE,IF(input_enews_audience="",FALSE,SUMPRODUCT(--ISNUMBER(SEARCH(","&amp;TRIM(TEXTSPLIT(CG98,","))&amp;",",","&amp;SUBSTITUTE(input_enews_audience," ","")&amp;",")))=COUNTA(TEXTSPLIT(CG98,",")))),IF(CI98="",TRUE,IF(input_enews_audience="",TRUE,SUMPRODUCT(--ISNUMBER(SEARCH(","&amp;TRIM(TEXTSPLIT(CI98,","))&amp;",",","&amp;SUBSTITUTE(input_enews_audience," ","")&amp;",")))=0)),IF(CK98="",TRUE,IF(input_enews_audience="",FALSE,SUMPRODUCT(--ISNUMBER(SEARCH(","&amp;TRIM(TEXTSPLIT(CK98,","))&amp;",",","&amp;SUBSTITUTE(input_enews_audience," ","")&amp;",")))&gt;0)),IF(CM98="",TRUE,IF(input_enews_audience="",FALSE,SUMPRODUCT(--ISNUMBER(SEARCH(","&amp;TRIM(TEXTSPLIT(CM98,","))&amp;",",","&amp;SUBSTITUTE(input_enews_audience," ","")&amp;",")))=COUNTA(TEXTSPLIT(CM98,",")))))</f>
        <v/>
      </c>
      <c r="JB98" s="19">
        <f>AND(IF(CO98="",TRUE,IF(input_event_location="",FALSE,SUMPRODUCT(--ISNUMBER(SEARCH(","&amp;TRIM(TEXTSPLIT(CO98,","))&amp;",",","&amp;SUBSTITUTE(input_event_location," ","")&amp;",")))&gt;0)),IF(CQ98="",TRUE,IF(input_event_location="",FALSE,SUMPRODUCT(--ISNUMBER(SEARCH(","&amp;TRIM(TEXTSPLIT(CQ98,","))&amp;",",","&amp;SUBSTITUTE(input_event_location," ","")&amp;",")))=COUNTA(TEXTSPLIT(CQ98,",")))),IF(CS98="",TRUE,IF(input_event_location="",TRUE,SUMPRODUCT(--ISNUMBER(SEARCH(","&amp;TRIM(TEXTSPLIT(CS98,","))&amp;",",","&amp;SUBSTITUTE(input_event_location," ","")&amp;",")))=0)),IF(CU98="",TRUE,IF(input_event_location="",FALSE,SUMPRODUCT(--ISNUMBER(SEARCH(","&amp;TRIM(TEXTSPLIT(CU98,","))&amp;",",","&amp;SUBSTITUTE(input_event_location," ","")&amp;",")))&gt;0)),IF(CW98="",TRUE,IF(input_event_location="",FALSE,SUMPRODUCT(--ISNUMBER(SEARCH(","&amp;TRIM(TEXTSPLIT(CW98,","))&amp;",",","&amp;SUBSTITUTE(input_event_location," ","")&amp;",")))=COUNTA(TEXTSPLIT(CW98,",")))))</f>
        <v/>
      </c>
      <c r="JC98" s="19">
        <f>AND(IF(CY98="",TRUE,IF(input_event_type="",FALSE,SUMPRODUCT(--ISNUMBER(SEARCH(","&amp;TRIM(TEXTSPLIT(CY98,","))&amp;",",","&amp;SUBSTITUTE(input_event_type," ","")&amp;",")))&gt;0)),IF(DA98="",TRUE,IF(input_event_type="",FALSE,SUMPRODUCT(--ISNUMBER(SEARCH(","&amp;TRIM(TEXTSPLIT(DA98,","))&amp;",",","&amp;SUBSTITUTE(input_event_type," ","")&amp;",")))=COUNTA(TEXTSPLIT(DA98,",")))),IF(DC98="",TRUE,IF(input_event_type="",TRUE,SUMPRODUCT(--ISNUMBER(SEARCH(","&amp;TRIM(TEXTSPLIT(DC98,","))&amp;",",","&amp;SUBSTITUTE(input_event_type," ","")&amp;",")))=0)),IF(DE98="",TRUE,IF(input_event_type="",FALSE,SUMPRODUCT(--ISNUMBER(SEARCH(","&amp;TRIM(TEXTSPLIT(DE98,","))&amp;",",","&amp;SUBSTITUTE(input_event_type," ","")&amp;",")))&gt;0)),IF(DG98="",TRUE,IF(input_event_type="",FALSE,SUMPRODUCT(--ISNUMBER(SEARCH(","&amp;TRIM(TEXTSPLIT(DG98,","))&amp;",",","&amp;SUBSTITUTE(input_event_type," ","")&amp;",")))=COUNTA(TEXTSPLIT(DG98,",")))))</f>
        <v/>
      </c>
      <c r="JD98" s="19">
        <f>AND(IF(DI98="",TRUE,IF(input_executive_education_focus="",FALSE,SUMPRODUCT(--ISNUMBER(SEARCH(","&amp;TRIM(TEXTSPLIT(DI98,","))&amp;",",","&amp;SUBSTITUTE(input_executive_education_focus," ","")&amp;",")))&gt;0)),IF(DK98="",TRUE,IF(input_executive_education_focus="",FALSE,SUMPRODUCT(--ISNUMBER(SEARCH(","&amp;TRIM(TEXTSPLIT(DK98,","))&amp;",",","&amp;SUBSTITUTE(input_executive_education_focus," ","")&amp;",")))=COUNTA(TEXTSPLIT(DK98,",")))),IF(DM98="",TRUE,IF(input_executive_education_focus="",TRUE,SUMPRODUCT(--ISNUMBER(SEARCH(","&amp;TRIM(TEXTSPLIT(DM98,","))&amp;",",","&amp;SUBSTITUTE(input_executive_education_focus," ","")&amp;",")))=0)),IF(DO98="",TRUE,IF(input_executive_education_focus="",FALSE,SUMPRODUCT(--ISNUMBER(SEARCH(","&amp;TRIM(TEXTSPLIT(DO98,","))&amp;",",","&amp;SUBSTITUTE(input_executive_education_focus," ","")&amp;",")))&gt;0)),IF(DQ98="",TRUE,IF(input_executive_education_focus="",FALSE,SUMPRODUCT(--ISNUMBER(SEARCH(","&amp;TRIM(TEXTSPLIT(DQ98,","))&amp;",",","&amp;SUBSTITUTE(input_executive_education_focus," ","")&amp;",")))=COUNTA(TEXTSPLIT(DQ98,",")))))</f>
        <v/>
      </c>
      <c r="JE98" s="19">
        <f>AND(IF(DS98="",TRUE,IF(input_faculty_category="",FALSE,SUMPRODUCT(--ISNUMBER(SEARCH(","&amp;TRIM(TEXTSPLIT(DS98,","))&amp;",",","&amp;SUBSTITUTE(input_faculty_category," ","")&amp;",")))&gt;0)),IF(DU98="",TRUE,IF(input_faculty_category="",FALSE,SUMPRODUCT(--ISNUMBER(SEARCH(","&amp;TRIM(TEXTSPLIT(DU98,","))&amp;",",","&amp;SUBSTITUTE(input_faculty_category," ","")&amp;",")))=COUNTA(TEXTSPLIT(DU98,",")))),IF(DW98="",TRUE,IF(input_faculty_category="",TRUE,SUMPRODUCT(--ISNUMBER(SEARCH(","&amp;TRIM(TEXTSPLIT(DW98,","))&amp;",",","&amp;SUBSTITUTE(input_faculty_category," ","")&amp;",")))=0)),IF(DY98="",TRUE,IF(input_faculty_category="",FALSE,SUMPRODUCT(--ISNUMBER(SEARCH(","&amp;TRIM(TEXTSPLIT(DY98,","))&amp;",",","&amp;SUBSTITUTE(input_faculty_category," ","")&amp;",")))&gt;0)),IF(EA98="",TRUE,IF(input_faculty_category="",FALSE,SUMPRODUCT(--ISNUMBER(SEARCH(","&amp;TRIM(TEXTSPLIT(EA98,","))&amp;",",","&amp;SUBSTITUTE(input_faculty_category," ","")&amp;",")))=COUNTA(TEXTSPLIT(EA98,",")))))</f>
        <v/>
      </c>
      <c r="JF98" s="19">
        <f>AND(IF(EC98="",TRUE,IF(input_faculty_discipline="",FALSE,SUMPRODUCT(--ISNUMBER(SEARCH(","&amp;TRIM(TEXTSPLIT(EC98,","))&amp;",",","&amp;SUBSTITUTE(input_faculty_discipline," ","")&amp;",")))&gt;0)),IF(EE98="",TRUE,IF(input_faculty_discipline="",FALSE,SUMPRODUCT(--ISNUMBER(SEARCH(","&amp;TRIM(TEXTSPLIT(EE98,","))&amp;",",","&amp;SUBSTITUTE(input_faculty_discipline," ","")&amp;",")))=COUNTA(TEXTSPLIT(EE98,",")))),IF(EG98="",TRUE,IF(input_faculty_discipline="",TRUE,SUMPRODUCT(--ISNUMBER(SEARCH(","&amp;TRIM(TEXTSPLIT(EG98,","))&amp;",",","&amp;SUBSTITUTE(input_faculty_discipline," ","")&amp;",")))=0)),IF(EI98="",TRUE,IF(input_faculty_discipline="",FALSE,SUMPRODUCT(--ISNUMBER(SEARCH(","&amp;TRIM(TEXTSPLIT(EI98,","))&amp;",",","&amp;SUBSTITUTE(input_faculty_discipline," ","")&amp;",")))&gt;0)),IF(EK98="",TRUE,IF(input_faculty_discipline="",FALSE,SUMPRODUCT(--ISNUMBER(SEARCH(","&amp;TRIM(TEXTSPLIT(EK98,","))&amp;",",","&amp;SUBSTITUTE(input_faculty_discipline," ","")&amp;",")))=COUNTA(TEXTSPLIT(EK98,",")))))</f>
        <v/>
      </c>
      <c r="JG98" s="19">
        <f>AND(IF(EM98="",TRUE,IF(input_faculty_expertise="",FALSE,SUMPRODUCT(--ISNUMBER(SEARCH(","&amp;TRIM(TEXTSPLIT(EM98,","))&amp;",",","&amp;SUBSTITUTE(input_faculty_expertise," ","")&amp;",")))&gt;0)),IF(EO98="",TRUE,IF(input_faculty_expertise="",FALSE,SUMPRODUCT(--ISNUMBER(SEARCH(","&amp;TRIM(TEXTSPLIT(EO98,","))&amp;",",","&amp;SUBSTITUTE(input_faculty_expertise," ","")&amp;",")))=COUNTA(TEXTSPLIT(EO98,",")))),IF(EQ98="",TRUE,IF(input_faculty_expertise="",TRUE,SUMPRODUCT(--ISNUMBER(SEARCH(","&amp;TRIM(TEXTSPLIT(EQ98,","))&amp;",",","&amp;SUBSTITUTE(input_faculty_expertise," ","")&amp;",")))=0)),IF(ES98="",TRUE,IF(input_faculty_expertise="",FALSE,SUMPRODUCT(--ISNUMBER(SEARCH(","&amp;TRIM(TEXTSPLIT(ES98,","))&amp;",",","&amp;SUBSTITUTE(input_faculty_expertise," ","")&amp;",")))&gt;0)),IF(EU98="",TRUE,IF(input_faculty_expertise="",FALSE,SUMPRODUCT(--ISNUMBER(SEARCH(","&amp;TRIM(TEXTSPLIT(EU98,","))&amp;",",","&amp;SUBSTITUTE(input_faculty_expertise," ","")&amp;",")))=COUNTA(TEXTSPLIT(EU98,",")))))</f>
        <v/>
      </c>
      <c r="JH98" s="19">
        <f>AND(IF(EW98="",TRUE,IF(input_global_network_school="",FALSE,SUMPRODUCT(--ISNUMBER(SEARCH(","&amp;TRIM(TEXTSPLIT(EW98,","))&amp;",",","&amp;SUBSTITUTE(input_global_network_school," ","")&amp;",")))&gt;0)),IF(EY98="",TRUE,IF(input_global_network_school="",FALSE,SUMPRODUCT(--ISNUMBER(SEARCH(","&amp;TRIM(TEXTSPLIT(EY98,","))&amp;",",","&amp;SUBSTITUTE(input_global_network_school," ","")&amp;",")))=COUNTA(TEXTSPLIT(EY98,",")))),IF(FA98="",TRUE,IF(input_global_network_school="",TRUE,SUMPRODUCT(--ISNUMBER(SEARCH(","&amp;TRIM(TEXTSPLIT(FA98,","))&amp;",",","&amp;SUBSTITUTE(input_global_network_school," ","")&amp;",")))=0)),IF(FC98="",TRUE,IF(input_global_network_school="",FALSE,SUMPRODUCT(--ISNUMBER(SEARCH(","&amp;TRIM(TEXTSPLIT(FC98,","))&amp;",",","&amp;SUBSTITUTE(input_global_network_school," ","")&amp;",")))&gt;0)),IF(FE98="",TRUE,IF(input_global_network_school="",FALSE,SUMPRODUCT(--ISNUMBER(SEARCH(","&amp;TRIM(TEXTSPLIT(FE98,","))&amp;",",","&amp;SUBSTITUTE(input_global_network_school," ","")&amp;",")))=COUNTA(TEXTSPLIT(FE98,",")))))</f>
        <v/>
      </c>
      <c r="JI98" s="19">
        <f>AND(IF(FG98="",TRUE,IF(input_industry="",FALSE,SUMPRODUCT(--ISNUMBER(SEARCH(","&amp;TRIM(TEXTSPLIT(FG98,","))&amp;",",","&amp;SUBSTITUTE(input_industry," ","")&amp;",")))&gt;0)),IF(FI98="",TRUE,IF(input_industry="",FALSE,SUMPRODUCT(--ISNUMBER(SEARCH(","&amp;TRIM(TEXTSPLIT(FI98,","))&amp;",",","&amp;SUBSTITUTE(input_industry," ","")&amp;",")))=COUNTA(TEXTSPLIT(FI98,",")))),IF(FK98="",TRUE,IF(input_industry="",TRUE,SUMPRODUCT(--ISNUMBER(SEARCH(","&amp;TRIM(TEXTSPLIT(FK98,","))&amp;",",","&amp;SUBSTITUTE(input_industry," ","")&amp;",")))=0)),IF(FM98="",TRUE,IF(input_industry="",FALSE,SUMPRODUCT(--ISNUMBER(SEARCH(","&amp;TRIM(TEXTSPLIT(FM98,","))&amp;",",","&amp;SUBSTITUTE(input_industry," ","")&amp;",")))&gt;0)),IF(FO98="",TRUE,IF(input_industry="",FALSE,SUMPRODUCT(--ISNUMBER(SEARCH(","&amp;TRIM(TEXTSPLIT(FO98,","))&amp;",",","&amp;SUBSTITUTE(input_industry," ","")&amp;",")))=COUNTA(TEXTSPLIT(FO98,",")))))</f>
        <v/>
      </c>
      <c r="JJ98" s="19">
        <f>AND(IF(FQ98="",TRUE,IF(input_location="",FALSE,SUMPRODUCT(--ISNUMBER(SEARCH(","&amp;TRIM(TEXTSPLIT(FQ98,","))&amp;",",","&amp;SUBSTITUTE(input_location," ","")&amp;",")))&gt;0)),IF(FS98="",TRUE,IF(input_location="",FALSE,SUMPRODUCT(--ISNUMBER(SEARCH(","&amp;TRIM(TEXTSPLIT(FS98,","))&amp;",",","&amp;SUBSTITUTE(input_location," ","")&amp;",")))=COUNTA(TEXTSPLIT(FS98,",")))),IF(FU98="",TRUE,IF(input_location="",TRUE,SUMPRODUCT(--ISNUMBER(SEARCH(","&amp;TRIM(TEXTSPLIT(FU98,","))&amp;",",","&amp;SUBSTITUTE(input_location," ","")&amp;",")))=0)),IF(FW98="",TRUE,IF(input_location="",FALSE,SUMPRODUCT(--ISNUMBER(SEARCH(","&amp;TRIM(TEXTSPLIT(FW98,","))&amp;",",","&amp;SUBSTITUTE(input_location," ","")&amp;",")))&gt;0)),IF(FY98="",TRUE,IF(input_location="",FALSE,SUMPRODUCT(--ISNUMBER(SEARCH(","&amp;TRIM(TEXTSPLIT(FY98,","))&amp;",",","&amp;SUBSTITUTE(input_location," ","")&amp;",")))=COUNTA(TEXTSPLIT(FY98,",")))))</f>
        <v/>
      </c>
      <c r="JK98" s="19">
        <f>AND(IF(GA98="",TRUE,IF(input_modality="",FALSE,SUMPRODUCT(--ISNUMBER(SEARCH(","&amp;TRIM(TEXTSPLIT(GA98,","))&amp;",",","&amp;SUBSTITUTE(input_modality," ","")&amp;",")))&gt;0)),IF(GC98="",TRUE,IF(input_modality="",FALSE,SUMPRODUCT(--ISNUMBER(SEARCH(","&amp;TRIM(TEXTSPLIT(GC98,","))&amp;",",","&amp;SUBSTITUTE(input_modality," ","")&amp;",")))=COUNTA(TEXTSPLIT(GC98,",")))),IF(GE98="",TRUE,IF(input_modality="",TRUE,SUMPRODUCT(--ISNUMBER(SEARCH(","&amp;TRIM(TEXTSPLIT(GE98,","))&amp;",",","&amp;SUBSTITUTE(input_modality," ","")&amp;",")))=0)),IF(GG98="",TRUE,IF(input_modality="",FALSE,SUMPRODUCT(--ISNUMBER(SEARCH(","&amp;TRIM(TEXTSPLIT(GG98,","))&amp;",",","&amp;SUBSTITUTE(input_modality," ","")&amp;",")))&gt;0)),IF(GI98="",TRUE,IF(input_modality="",FALSE,SUMPRODUCT(--ISNUMBER(SEARCH(","&amp;TRIM(TEXTSPLIT(GI98,","))&amp;",",","&amp;SUBSTITUTE(input_modality," ","")&amp;",")))=COUNTA(TEXTSPLIT(GI98,",")))))</f>
        <v/>
      </c>
      <c r="JL98" s="19">
        <f>AND(IF(GK98="",TRUE,IF(input_organizer="",FALSE,SUMPRODUCT(--ISNUMBER(SEARCH(","&amp;TRIM(TEXTSPLIT(GK98,","))&amp;",",","&amp;SUBSTITUTE(input_organizer," ","")&amp;",")))&gt;0)),IF(GM98="",TRUE,IF(input_organizer="",FALSE,SUMPRODUCT(--ISNUMBER(SEARCH(","&amp;TRIM(TEXTSPLIT(GM98,","))&amp;",",","&amp;SUBSTITUTE(input_organizer," ","")&amp;",")))=COUNTA(TEXTSPLIT(GM98,",")))),IF(GO98="",TRUE,IF(input_organizer="",TRUE,SUMPRODUCT(--ISNUMBER(SEARCH(","&amp;TRIM(TEXTSPLIT(GO98,","))&amp;",",","&amp;SUBSTITUTE(input_organizer," ","")&amp;",")))=0)),IF(GQ98="",TRUE,IF(input_organizer="",FALSE,SUMPRODUCT(--ISNUMBER(SEARCH(","&amp;TRIM(TEXTSPLIT(GQ98,","))&amp;",",","&amp;SUBSTITUTE(input_organizer," ","")&amp;",")))&gt;0)),IF(GS98="",TRUE,IF(input_organizer="",FALSE,SUMPRODUCT(--ISNUMBER(SEARCH(","&amp;TRIM(TEXTSPLIT(GS98,","))&amp;",",","&amp;SUBSTITUTE(input_organizer," ","")&amp;",")))=COUNTA(TEXTSPLIT(GS98,",")))))</f>
        <v/>
      </c>
      <c r="JM98" s="19">
        <f>AND(IF(GU98="",TRUE,IF(input_profile_type="",FALSE,SUMPRODUCT(--ISNUMBER(SEARCH(","&amp;TRIM(TEXTSPLIT(GU98,","))&amp;",",","&amp;SUBSTITUTE(input_profile_type," ","")&amp;",")))&gt;0)),IF(GW98="",TRUE,IF(input_profile_type="",FALSE,SUMPRODUCT(--ISNUMBER(SEARCH(","&amp;TRIM(TEXTSPLIT(GW98,","))&amp;",",","&amp;SUBSTITUTE(input_profile_type," ","")&amp;",")))=COUNTA(TEXTSPLIT(GW98,",")))),IF(GY98="",TRUE,IF(input_profile_type="",TRUE,SUMPRODUCT(--ISNUMBER(SEARCH(","&amp;TRIM(TEXTSPLIT(GY98,","))&amp;",",","&amp;SUBSTITUTE(input_profile_type," ","")&amp;",")))=0)),IF(HA98="",TRUE,IF(input_profile_type="",FALSE,SUMPRODUCT(--ISNUMBER(SEARCH(","&amp;TRIM(TEXTSPLIT(HA98,","))&amp;",",","&amp;SUBSTITUTE(input_profile_type," ","")&amp;",")))&gt;0)),IF(HC98="",TRUE,IF(input_profile_type="",FALSE,SUMPRODUCT(--ISNUMBER(SEARCH(","&amp;TRIM(TEXTSPLIT(HC98,","))&amp;",",","&amp;SUBSTITUTE(input_profile_type," ","")&amp;",")))=COUNTA(TEXTSPLIT(HC98,",")))))</f>
        <v/>
      </c>
      <c r="JN98" s="19">
        <f>AND(IF(HE98="",TRUE,IF(input_program="",FALSE,SUMPRODUCT(--ISNUMBER(SEARCH(","&amp;TRIM(TEXTSPLIT(HE98,","))&amp;",",","&amp;SUBSTITUTE(input_program," ","")&amp;",")))&gt;0)),IF(HG98="",TRUE,IF(input_program="",FALSE,SUMPRODUCT(--ISNUMBER(SEARCH(","&amp;TRIM(TEXTSPLIT(HG98,","))&amp;",",","&amp;SUBSTITUTE(input_program," ","")&amp;",")))=COUNTA(TEXTSPLIT(HG98,",")))),IF(HI98="",TRUE,IF(input_program="",TRUE,SUMPRODUCT(--ISNUMBER(SEARCH(","&amp;TRIM(TEXTSPLIT(HI98,","))&amp;",",","&amp;SUBSTITUTE(input_program," ","")&amp;",")))=0)),IF(HK98="",TRUE,IF(input_program="",FALSE,SUMPRODUCT(--ISNUMBER(SEARCH(","&amp;TRIM(TEXTSPLIT(HK98,","))&amp;",",","&amp;SUBSTITUTE(input_program," ","")&amp;",")))&gt;0)),IF(HM98="",TRUE,IF(input_program="",FALSE,SUMPRODUCT(--ISNUMBER(SEARCH(","&amp;TRIM(TEXTSPLIT(HM98,","))&amp;",",","&amp;SUBSTITUTE(input_program," ","")&amp;",")))=COUNTA(TEXTSPLIT(HM98,",")))))</f>
        <v/>
      </c>
      <c r="JO98" s="19">
        <f>AND(IF(HO98="",TRUE,IF(input_story_categories="",FALSE,SUMPRODUCT(--ISNUMBER(SEARCH(","&amp;TRIM(TEXTSPLIT(HO98,","))&amp;",",","&amp;SUBSTITUTE(input_story_categories," ","")&amp;",")))&gt;0)),IF(HQ98="",TRUE,IF(input_story_categories="",FALSE,SUMPRODUCT(--ISNUMBER(SEARCH(","&amp;TRIM(TEXTSPLIT(HQ98,","))&amp;",",","&amp;SUBSTITUTE(input_story_categories," ","")&amp;",")))=COUNTA(TEXTSPLIT(HQ98,",")))),IF(HS98="",TRUE,IF(input_story_categories="",TRUE,SUMPRODUCT(--ISNUMBER(SEARCH(","&amp;TRIM(TEXTSPLIT(HS98,","))&amp;",",","&amp;SUBSTITUTE(input_story_categories," ","")&amp;",")))=0)),IF(HU98="",TRUE,IF(input_story_categories="",FALSE,SUMPRODUCT(--ISNUMBER(SEARCH(","&amp;TRIM(TEXTSPLIT(HU98,","))&amp;",",","&amp;SUBSTITUTE(input_story_categories," ","")&amp;",")))&gt;0)),IF(HW98="",TRUE,IF(input_story_categories="",FALSE,SUMPRODUCT(--ISNUMBER(SEARCH(","&amp;TRIM(TEXTSPLIT(HW98,","))&amp;",",","&amp;SUBSTITUTE(input_story_categories," ","")&amp;",")))=COUNTA(TEXTSPLIT(HW98,",")))))</f>
        <v/>
      </c>
      <c r="JP98" s="19">
        <f>AND(IF(HY98="",TRUE,IF(input_story_type="",FALSE,SUMPRODUCT(--ISNUMBER(SEARCH(","&amp;TRIM(TEXTSPLIT(HY98,","))&amp;",",","&amp;SUBSTITUTE(input_story_type," ","")&amp;",")))&gt;0)),IF(IA98="",TRUE,IF(input_story_type="",FALSE,SUMPRODUCT(--ISNUMBER(SEARCH(","&amp;TRIM(TEXTSPLIT(IA98,","))&amp;",",","&amp;SUBSTITUTE(input_story_type," ","")&amp;",")))=COUNTA(TEXTSPLIT(IA98,",")))),IF(IC98="",TRUE,IF(input_story_type="",TRUE,SUMPRODUCT(--ISNUMBER(SEARCH(","&amp;TRIM(TEXTSPLIT(IC98,","))&amp;",",","&amp;SUBSTITUTE(input_story_type," ","")&amp;",")))=0)),IF(IE98="",TRUE,IF(input_story_type="",FALSE,SUMPRODUCT(--ISNUMBER(SEARCH(","&amp;TRIM(TEXTSPLIT(IE98,","))&amp;",",","&amp;SUBSTITUTE(input_story_type," ","")&amp;",")))&gt;0)),IF(IG98="",TRUE,IF(input_story_type="",FALSE,SUMPRODUCT(--ISNUMBER(SEARCH(","&amp;TRIM(TEXTSPLIT(IG98,","))&amp;",",","&amp;SUBSTITUTE(input_story_type," ","")&amp;",")))=COUNTA(TEXTSPLIT(IG98,",")))))</f>
        <v/>
      </c>
      <c r="JQ98" s="19">
        <f>AND(IF(II98="",TRUE,IF(input_topics="",FALSE,SUMPRODUCT(--ISNUMBER(SEARCH(","&amp;TRIM(TEXTSPLIT(II98,","))&amp;",",","&amp;SUBSTITUTE(input_topics," ","")&amp;",")))&gt;0)),IF(IK98="",TRUE,IF(input_topics="",FALSE,SUMPRODUCT(--ISNUMBER(SEARCH(","&amp;TRIM(TEXTSPLIT(IK98,","))&amp;",",","&amp;SUBSTITUTE(input_topics," ","")&amp;",")))=COUNTA(TEXTSPLIT(IK98,",")))),IF(IM98="",TRUE,IF(input_topics="",TRUE,SUMPRODUCT(--ISNUMBER(SEARCH(","&amp;TRIM(TEXTSPLIT(IM98,","))&amp;",",","&amp;SUBSTITUTE(input_topics," ","")&amp;",")))=0)),IF(IO98="",TRUE,IF(input_topics="",FALSE,SUMPRODUCT(--ISNUMBER(SEARCH(","&amp;TRIM(TEXTSPLIT(IO98,","))&amp;",",","&amp;SUBSTITUTE(input_topics," ","")&amp;",")))&gt;0)),IF(IQ98="",TRUE,IF(input_topics="",FALSE,SUMPRODUCT(--ISNUMBER(SEARCH(","&amp;TRIM(TEXTSPLIT(IQ98,","))&amp;",",","&amp;SUBSTITUTE(input_topics," ","")&amp;",")))=COUNTA(TEXTSPLIT(IQ98,",")))))</f>
        <v/>
      </c>
    </row>
    <row r="99">
      <c r="A99" s="24">
        <f>IF(NOT(IS99),"Excluded",IF(AND(IT99,IU99,IV99,IW99,IX99,IY99,IZ99,JA99,JB99,JC99,JD99,JE99,JF99,JG99,JH99,JI99,JJ99,JK99,JL99,JM99,JN99,JO99,JP99,JQ99),IF(I99&gt;0,"Eligible but limited","Will appear"),"Excluded"))</f>
        <v/>
      </c>
      <c r="B99" s="24" t="inlineStr">
        <is>
          <t>Event Dispatch</t>
        </is>
      </c>
      <c r="C99" s="27" t="inlineStr">
        <is>
          <t>/about/headlines/all-headlines/event-dispatch</t>
        </is>
      </c>
      <c r="D99" s="24" t="inlineStr">
        <is>
          <t>/about/headlines/all-headlines/event-dispatch</t>
        </is>
      </c>
      <c r="E99" s="24" t="n">
        <v>1</v>
      </c>
      <c r="F99" s="24" t="inlineStr">
        <is>
          <t>story</t>
        </is>
      </c>
      <c r="G99" s="24" t="inlineStr">
        <is>
          <t>stories_list</t>
        </is>
      </c>
      <c r="H99" s="24" t="inlineStr">
        <is>
          <t>embed_1</t>
        </is>
      </c>
      <c r="I99" s="24" t="n">
        <v>10</v>
      </c>
      <c r="J99" s="28" t="inlineStr">
        <is>
          <t>Explicit args</t>
        </is>
      </c>
      <c r="K99" s="24" t="inlineStr">
        <is>
          <t>Page placement</t>
        </is>
      </c>
      <c r="L99" s="24" t="inlineStr">
        <is>
          <t>Content type: story; Context uses Courses Context: Event Dispatch (1772); Limited to 10 item(s); Source: Explicit args</t>
        </is>
      </c>
      <c r="BQ99" s="19" t="inlineStr">
        <is>
          <t>1772</t>
        </is>
      </c>
      <c r="BR99" s="19" t="inlineStr">
        <is>
          <t>Event Dispatch (1772)</t>
        </is>
      </c>
      <c r="IS99" s="19">
        <f>IF(input_content_type="",FALSE,ISNUMBER(SEARCH(","&amp;LOWER(input_content_type)&amp;",",","&amp;LOWER(SUBSTITUTE(F99," ",""))&amp;",")))</f>
        <v/>
      </c>
      <c r="IT99" s="19">
        <f>AND(IF(M99="",TRUE,IF(input_affiliations="",FALSE,SUMPRODUCT(--ISNUMBER(SEARCH(","&amp;TRIM(TEXTSPLIT(M99,","))&amp;",",","&amp;SUBSTITUTE(input_affiliations," ","")&amp;",")))&gt;0)),IF(O99="",TRUE,IF(input_affiliations="",FALSE,SUMPRODUCT(--ISNUMBER(SEARCH(","&amp;TRIM(TEXTSPLIT(O99,","))&amp;",",","&amp;SUBSTITUTE(input_affiliations," ","")&amp;",")))=COUNTA(TEXTSPLIT(O99,",")))),IF(Q99="",TRUE,IF(input_affiliations="",TRUE,SUMPRODUCT(--ISNUMBER(SEARCH(","&amp;TRIM(TEXTSPLIT(Q99,","))&amp;",",","&amp;SUBSTITUTE(input_affiliations," ","")&amp;",")))=0)),IF(S99="",TRUE,IF(input_affiliations="",FALSE,SUMPRODUCT(--ISNUMBER(SEARCH(","&amp;TRIM(TEXTSPLIT(S99,","))&amp;",",","&amp;SUBSTITUTE(input_affiliations," ","")&amp;",")))&gt;0)),IF(U99="",TRUE,IF(input_affiliations="",FALSE,SUMPRODUCT(--ISNUMBER(SEARCH(","&amp;TRIM(TEXTSPLIT(U99,","))&amp;",",","&amp;SUBSTITUTE(input_affiliations," ","")&amp;",")))=COUNTA(TEXTSPLIT(U99,",")))))</f>
        <v/>
      </c>
      <c r="IU99" s="19">
        <f>AND(IF(W99="",TRUE,IF(input_announcement_category="",FALSE,SUMPRODUCT(--ISNUMBER(SEARCH(","&amp;TRIM(TEXTSPLIT(W99,","))&amp;",",","&amp;SUBSTITUTE(input_announcement_category," ","")&amp;",")))&gt;0)),IF(Y99="",TRUE,IF(input_announcement_category="",FALSE,SUMPRODUCT(--ISNUMBER(SEARCH(","&amp;TRIM(TEXTSPLIT(Y99,","))&amp;",",","&amp;SUBSTITUTE(input_announcement_category," ","")&amp;",")))=COUNTA(TEXTSPLIT(Y99,",")))),IF(AA99="",TRUE,IF(input_announcement_category="",TRUE,SUMPRODUCT(--ISNUMBER(SEARCH(","&amp;TRIM(TEXTSPLIT(AA99,","))&amp;",",","&amp;SUBSTITUTE(input_announcement_category," ","")&amp;",")))=0)),IF(AC99="",TRUE,IF(input_announcement_category="",FALSE,SUMPRODUCT(--ISNUMBER(SEARCH(","&amp;TRIM(TEXTSPLIT(AC99,","))&amp;",",","&amp;SUBSTITUTE(input_announcement_category," ","")&amp;",")))&gt;0)),IF(AE99="",TRUE,IF(input_announcement_category="",FALSE,SUMPRODUCT(--ISNUMBER(SEARCH(","&amp;TRIM(TEXTSPLIT(AE99,","))&amp;",",","&amp;SUBSTITUTE(input_announcement_category," ","")&amp;",")))=COUNTA(TEXTSPLIT(AE99,",")))))</f>
        <v/>
      </c>
      <c r="IV99" s="19">
        <f>AND(IF(AG99="",TRUE,IF(input_area_of_focus="",FALSE,SUMPRODUCT(--ISNUMBER(SEARCH(","&amp;TRIM(TEXTSPLIT(AG99,","))&amp;",",","&amp;SUBSTITUTE(input_area_of_focus," ","")&amp;",")))&gt;0)),IF(AI99="",TRUE,IF(input_area_of_focus="",FALSE,SUMPRODUCT(--ISNUMBER(SEARCH(","&amp;TRIM(TEXTSPLIT(AI99,","))&amp;",",","&amp;SUBSTITUTE(input_area_of_focus," ","")&amp;",")))=COUNTA(TEXTSPLIT(AI99,",")))),IF(AK99="",TRUE,IF(input_area_of_focus="",TRUE,SUMPRODUCT(--ISNUMBER(SEARCH(","&amp;TRIM(TEXTSPLIT(AK99,","))&amp;",",","&amp;SUBSTITUTE(input_area_of_focus," ","")&amp;",")))=0)),IF(AM99="",TRUE,IF(input_area_of_focus="",FALSE,SUMPRODUCT(--ISNUMBER(SEARCH(","&amp;TRIM(TEXTSPLIT(AM99,","))&amp;",",","&amp;SUBSTITUTE(input_area_of_focus," ","")&amp;",")))&gt;0)),IF(AO99="",TRUE,IF(input_area_of_focus="",FALSE,SUMPRODUCT(--ISNUMBER(SEARCH(","&amp;TRIM(TEXTSPLIT(AO99,","))&amp;",",","&amp;SUBSTITUTE(input_area_of_focus," ","")&amp;",")))=COUNTA(TEXTSPLIT(AO99,",")))))</f>
        <v/>
      </c>
      <c r="IW99" s="19">
        <f>AND(IF(AQ99="",TRUE,IF(input_audience="",FALSE,SUMPRODUCT(--ISNUMBER(SEARCH(","&amp;TRIM(TEXTSPLIT(AQ99,","))&amp;",",","&amp;SUBSTITUTE(input_audience," ","")&amp;",")))&gt;0)),IF(AS99="",TRUE,IF(input_audience="",FALSE,SUMPRODUCT(--ISNUMBER(SEARCH(","&amp;TRIM(TEXTSPLIT(AS99,","))&amp;",",","&amp;SUBSTITUTE(input_audience," ","")&amp;",")))=COUNTA(TEXTSPLIT(AS99,",")))),IF(AU99="",TRUE,IF(input_audience="",TRUE,SUMPRODUCT(--ISNUMBER(SEARCH(","&amp;TRIM(TEXTSPLIT(AU99,","))&amp;",",","&amp;SUBSTITUTE(input_audience," ","")&amp;",")))=0)),IF(AW99="",TRUE,IF(input_audience="",FALSE,SUMPRODUCT(--ISNUMBER(SEARCH(","&amp;TRIM(TEXTSPLIT(AW99,","))&amp;",",","&amp;SUBSTITUTE(input_audience," ","")&amp;",")))&gt;0)),IF(AY99="",TRUE,IF(input_audience="",FALSE,SUMPRODUCT(--ISNUMBER(SEARCH(","&amp;TRIM(TEXTSPLIT(AY99,","))&amp;",",","&amp;SUBSTITUTE(input_audience," ","")&amp;",")))=COUNTA(TEXTSPLIT(AY99,",")))))</f>
        <v/>
      </c>
      <c r="IX99" s="19">
        <f>AND(IF(BA99="",TRUE,IF(input_challenge_opportunities="",FALSE,SUMPRODUCT(--ISNUMBER(SEARCH(","&amp;TRIM(TEXTSPLIT(BA99,","))&amp;",",","&amp;SUBSTITUTE(input_challenge_opportunities," ","")&amp;",")))&gt;0)),IF(BC99="",TRUE,IF(input_challenge_opportunities="",FALSE,SUMPRODUCT(--ISNUMBER(SEARCH(","&amp;TRIM(TEXTSPLIT(BC99,","))&amp;",",","&amp;SUBSTITUTE(input_challenge_opportunities," ","")&amp;",")))=COUNTA(TEXTSPLIT(BC99,",")))),IF(BE99="",TRUE,IF(input_challenge_opportunities="",TRUE,SUMPRODUCT(--ISNUMBER(SEARCH(","&amp;TRIM(TEXTSPLIT(BE99,","))&amp;",",","&amp;SUBSTITUTE(input_challenge_opportunities," ","")&amp;",")))=0)),IF(BG99="",TRUE,IF(input_challenge_opportunities="",FALSE,SUMPRODUCT(--ISNUMBER(SEARCH(","&amp;TRIM(TEXTSPLIT(BG99,","))&amp;",",","&amp;SUBSTITUTE(input_challenge_opportunities," ","")&amp;",")))&gt;0)),IF(BI99="",TRUE,IF(input_challenge_opportunities="",FALSE,SUMPRODUCT(--ISNUMBER(SEARCH(","&amp;TRIM(TEXTSPLIT(BI99,","))&amp;",",","&amp;SUBSTITUTE(input_challenge_opportunities," ","")&amp;",")))=COUNTA(TEXTSPLIT(BI99,",")))))</f>
        <v/>
      </c>
      <c r="IY99" s="19">
        <f>AND(IF(BK99="",TRUE,IF(input_context="",FALSE,SUMPRODUCT(--ISNUMBER(SEARCH(","&amp;TRIM(TEXTSPLIT(BK99,","))&amp;",",","&amp;SUBSTITUTE(input_context," ","")&amp;",")))&gt;0)),IF(BM99="",TRUE,IF(input_context="",FALSE,SUMPRODUCT(--ISNUMBER(SEARCH(","&amp;TRIM(TEXTSPLIT(BM99,","))&amp;",",","&amp;SUBSTITUTE(input_context," ","")&amp;",")))=COUNTA(TEXTSPLIT(BM99,",")))),IF(BO99="",TRUE,IF(input_context="",TRUE,SUMPRODUCT(--ISNUMBER(SEARCH(","&amp;TRIM(TEXTSPLIT(BO99,","))&amp;",",","&amp;SUBSTITUTE(input_context," ","")&amp;",")))=0)),IF(BQ99="",TRUE,IF(input_context="",FALSE,SUMPRODUCT(--ISNUMBER(SEARCH(","&amp;TRIM(TEXTSPLIT(BQ99,","))&amp;",",","&amp;SUBSTITUTE(input_context," ","")&amp;",")))&gt;0)),IF(BS99="",TRUE,IF(input_context="",FALSE,SUMPRODUCT(--ISNUMBER(SEARCH(","&amp;TRIM(TEXTSPLIT(BS99,","))&amp;",",","&amp;SUBSTITUTE(input_context," ","")&amp;",")))=COUNTA(TEXTSPLIT(BS99,",")))))</f>
        <v/>
      </c>
      <c r="IZ99" s="19">
        <f>AND(IF(BU99="",TRUE,IF(input_enews_announcement_type="",FALSE,SUMPRODUCT(--ISNUMBER(SEARCH(","&amp;TRIM(TEXTSPLIT(BU99,","))&amp;",",","&amp;SUBSTITUTE(input_enews_announcement_type," ","")&amp;",")))&gt;0)),IF(BW99="",TRUE,IF(input_enews_announcement_type="",FALSE,SUMPRODUCT(--ISNUMBER(SEARCH(","&amp;TRIM(TEXTSPLIT(BW99,","))&amp;",",","&amp;SUBSTITUTE(input_enews_announcement_type," ","")&amp;",")))=COUNTA(TEXTSPLIT(BW99,",")))),IF(BY99="",TRUE,IF(input_enews_announcement_type="",TRUE,SUMPRODUCT(--ISNUMBER(SEARCH(","&amp;TRIM(TEXTSPLIT(BY99,","))&amp;",",","&amp;SUBSTITUTE(input_enews_announcement_type," ","")&amp;",")))=0)),IF(CA99="",TRUE,IF(input_enews_announcement_type="",FALSE,SUMPRODUCT(--ISNUMBER(SEARCH(","&amp;TRIM(TEXTSPLIT(CA99,","))&amp;",",","&amp;SUBSTITUTE(input_enews_announcement_type," ","")&amp;",")))&gt;0)),IF(CC99="",TRUE,IF(input_enews_announcement_type="",FALSE,SUMPRODUCT(--ISNUMBER(SEARCH(","&amp;TRIM(TEXTSPLIT(CC99,","))&amp;",",","&amp;SUBSTITUTE(input_enews_announcement_type," ","")&amp;",")))=COUNTA(TEXTSPLIT(CC99,",")))))</f>
        <v/>
      </c>
      <c r="JA99" s="19">
        <f>AND(IF(CE99="",TRUE,IF(input_enews_audience="",FALSE,SUMPRODUCT(--ISNUMBER(SEARCH(","&amp;TRIM(TEXTSPLIT(CE99,","))&amp;",",","&amp;SUBSTITUTE(input_enews_audience," ","")&amp;",")))&gt;0)),IF(CG99="",TRUE,IF(input_enews_audience="",FALSE,SUMPRODUCT(--ISNUMBER(SEARCH(","&amp;TRIM(TEXTSPLIT(CG99,","))&amp;",",","&amp;SUBSTITUTE(input_enews_audience," ","")&amp;",")))=COUNTA(TEXTSPLIT(CG99,",")))),IF(CI99="",TRUE,IF(input_enews_audience="",TRUE,SUMPRODUCT(--ISNUMBER(SEARCH(","&amp;TRIM(TEXTSPLIT(CI99,","))&amp;",",","&amp;SUBSTITUTE(input_enews_audience," ","")&amp;",")))=0)),IF(CK99="",TRUE,IF(input_enews_audience="",FALSE,SUMPRODUCT(--ISNUMBER(SEARCH(","&amp;TRIM(TEXTSPLIT(CK99,","))&amp;",",","&amp;SUBSTITUTE(input_enews_audience," ","")&amp;",")))&gt;0)),IF(CM99="",TRUE,IF(input_enews_audience="",FALSE,SUMPRODUCT(--ISNUMBER(SEARCH(","&amp;TRIM(TEXTSPLIT(CM99,","))&amp;",",","&amp;SUBSTITUTE(input_enews_audience," ","")&amp;",")))=COUNTA(TEXTSPLIT(CM99,",")))))</f>
        <v/>
      </c>
      <c r="JB99" s="19">
        <f>AND(IF(CO99="",TRUE,IF(input_event_location="",FALSE,SUMPRODUCT(--ISNUMBER(SEARCH(","&amp;TRIM(TEXTSPLIT(CO99,","))&amp;",",","&amp;SUBSTITUTE(input_event_location," ","")&amp;",")))&gt;0)),IF(CQ99="",TRUE,IF(input_event_location="",FALSE,SUMPRODUCT(--ISNUMBER(SEARCH(","&amp;TRIM(TEXTSPLIT(CQ99,","))&amp;",",","&amp;SUBSTITUTE(input_event_location," ","")&amp;",")))=COUNTA(TEXTSPLIT(CQ99,",")))),IF(CS99="",TRUE,IF(input_event_location="",TRUE,SUMPRODUCT(--ISNUMBER(SEARCH(","&amp;TRIM(TEXTSPLIT(CS99,","))&amp;",",","&amp;SUBSTITUTE(input_event_location," ","")&amp;",")))=0)),IF(CU99="",TRUE,IF(input_event_location="",FALSE,SUMPRODUCT(--ISNUMBER(SEARCH(","&amp;TRIM(TEXTSPLIT(CU99,","))&amp;",",","&amp;SUBSTITUTE(input_event_location," ","")&amp;",")))&gt;0)),IF(CW99="",TRUE,IF(input_event_location="",FALSE,SUMPRODUCT(--ISNUMBER(SEARCH(","&amp;TRIM(TEXTSPLIT(CW99,","))&amp;",",","&amp;SUBSTITUTE(input_event_location," ","")&amp;",")))=COUNTA(TEXTSPLIT(CW99,",")))))</f>
        <v/>
      </c>
      <c r="JC99" s="19">
        <f>AND(IF(CY99="",TRUE,IF(input_event_type="",FALSE,SUMPRODUCT(--ISNUMBER(SEARCH(","&amp;TRIM(TEXTSPLIT(CY99,","))&amp;",",","&amp;SUBSTITUTE(input_event_type," ","")&amp;",")))&gt;0)),IF(DA99="",TRUE,IF(input_event_type="",FALSE,SUMPRODUCT(--ISNUMBER(SEARCH(","&amp;TRIM(TEXTSPLIT(DA99,","))&amp;",",","&amp;SUBSTITUTE(input_event_type," ","")&amp;",")))=COUNTA(TEXTSPLIT(DA99,",")))),IF(DC99="",TRUE,IF(input_event_type="",TRUE,SUMPRODUCT(--ISNUMBER(SEARCH(","&amp;TRIM(TEXTSPLIT(DC99,","))&amp;",",","&amp;SUBSTITUTE(input_event_type," ","")&amp;",")))=0)),IF(DE99="",TRUE,IF(input_event_type="",FALSE,SUMPRODUCT(--ISNUMBER(SEARCH(","&amp;TRIM(TEXTSPLIT(DE99,","))&amp;",",","&amp;SUBSTITUTE(input_event_type," ","")&amp;",")))&gt;0)),IF(DG99="",TRUE,IF(input_event_type="",FALSE,SUMPRODUCT(--ISNUMBER(SEARCH(","&amp;TRIM(TEXTSPLIT(DG99,","))&amp;",",","&amp;SUBSTITUTE(input_event_type," ","")&amp;",")))=COUNTA(TEXTSPLIT(DG99,",")))))</f>
        <v/>
      </c>
      <c r="JD99" s="19">
        <f>AND(IF(DI99="",TRUE,IF(input_executive_education_focus="",FALSE,SUMPRODUCT(--ISNUMBER(SEARCH(","&amp;TRIM(TEXTSPLIT(DI99,","))&amp;",",","&amp;SUBSTITUTE(input_executive_education_focus," ","")&amp;",")))&gt;0)),IF(DK99="",TRUE,IF(input_executive_education_focus="",FALSE,SUMPRODUCT(--ISNUMBER(SEARCH(","&amp;TRIM(TEXTSPLIT(DK99,","))&amp;",",","&amp;SUBSTITUTE(input_executive_education_focus," ","")&amp;",")))=COUNTA(TEXTSPLIT(DK99,",")))),IF(DM99="",TRUE,IF(input_executive_education_focus="",TRUE,SUMPRODUCT(--ISNUMBER(SEARCH(","&amp;TRIM(TEXTSPLIT(DM99,","))&amp;",",","&amp;SUBSTITUTE(input_executive_education_focus," ","")&amp;",")))=0)),IF(DO99="",TRUE,IF(input_executive_education_focus="",FALSE,SUMPRODUCT(--ISNUMBER(SEARCH(","&amp;TRIM(TEXTSPLIT(DO99,","))&amp;",",","&amp;SUBSTITUTE(input_executive_education_focus," ","")&amp;",")))&gt;0)),IF(DQ99="",TRUE,IF(input_executive_education_focus="",FALSE,SUMPRODUCT(--ISNUMBER(SEARCH(","&amp;TRIM(TEXTSPLIT(DQ99,","))&amp;",",","&amp;SUBSTITUTE(input_executive_education_focus," ","")&amp;",")))=COUNTA(TEXTSPLIT(DQ99,",")))))</f>
        <v/>
      </c>
      <c r="JE99" s="19">
        <f>AND(IF(DS99="",TRUE,IF(input_faculty_category="",FALSE,SUMPRODUCT(--ISNUMBER(SEARCH(","&amp;TRIM(TEXTSPLIT(DS99,","))&amp;",",","&amp;SUBSTITUTE(input_faculty_category," ","")&amp;",")))&gt;0)),IF(DU99="",TRUE,IF(input_faculty_category="",FALSE,SUMPRODUCT(--ISNUMBER(SEARCH(","&amp;TRIM(TEXTSPLIT(DU99,","))&amp;",",","&amp;SUBSTITUTE(input_faculty_category," ","")&amp;",")))=COUNTA(TEXTSPLIT(DU99,",")))),IF(DW99="",TRUE,IF(input_faculty_category="",TRUE,SUMPRODUCT(--ISNUMBER(SEARCH(","&amp;TRIM(TEXTSPLIT(DW99,","))&amp;",",","&amp;SUBSTITUTE(input_faculty_category," ","")&amp;",")))=0)),IF(DY99="",TRUE,IF(input_faculty_category="",FALSE,SUMPRODUCT(--ISNUMBER(SEARCH(","&amp;TRIM(TEXTSPLIT(DY99,","))&amp;",",","&amp;SUBSTITUTE(input_faculty_category," ","")&amp;",")))&gt;0)),IF(EA99="",TRUE,IF(input_faculty_category="",FALSE,SUMPRODUCT(--ISNUMBER(SEARCH(","&amp;TRIM(TEXTSPLIT(EA99,","))&amp;",",","&amp;SUBSTITUTE(input_faculty_category," ","")&amp;",")))=COUNTA(TEXTSPLIT(EA99,",")))))</f>
        <v/>
      </c>
      <c r="JF99" s="19">
        <f>AND(IF(EC99="",TRUE,IF(input_faculty_discipline="",FALSE,SUMPRODUCT(--ISNUMBER(SEARCH(","&amp;TRIM(TEXTSPLIT(EC99,","))&amp;",",","&amp;SUBSTITUTE(input_faculty_discipline," ","")&amp;",")))&gt;0)),IF(EE99="",TRUE,IF(input_faculty_discipline="",FALSE,SUMPRODUCT(--ISNUMBER(SEARCH(","&amp;TRIM(TEXTSPLIT(EE99,","))&amp;",",","&amp;SUBSTITUTE(input_faculty_discipline," ","")&amp;",")))=COUNTA(TEXTSPLIT(EE99,",")))),IF(EG99="",TRUE,IF(input_faculty_discipline="",TRUE,SUMPRODUCT(--ISNUMBER(SEARCH(","&amp;TRIM(TEXTSPLIT(EG99,","))&amp;",",","&amp;SUBSTITUTE(input_faculty_discipline," ","")&amp;",")))=0)),IF(EI99="",TRUE,IF(input_faculty_discipline="",FALSE,SUMPRODUCT(--ISNUMBER(SEARCH(","&amp;TRIM(TEXTSPLIT(EI99,","))&amp;",",","&amp;SUBSTITUTE(input_faculty_discipline," ","")&amp;",")))&gt;0)),IF(EK99="",TRUE,IF(input_faculty_discipline="",FALSE,SUMPRODUCT(--ISNUMBER(SEARCH(","&amp;TRIM(TEXTSPLIT(EK99,","))&amp;",",","&amp;SUBSTITUTE(input_faculty_discipline," ","")&amp;",")))=COUNTA(TEXTSPLIT(EK99,",")))))</f>
        <v/>
      </c>
      <c r="JG99" s="19">
        <f>AND(IF(EM99="",TRUE,IF(input_faculty_expertise="",FALSE,SUMPRODUCT(--ISNUMBER(SEARCH(","&amp;TRIM(TEXTSPLIT(EM99,","))&amp;",",","&amp;SUBSTITUTE(input_faculty_expertise," ","")&amp;",")))&gt;0)),IF(EO99="",TRUE,IF(input_faculty_expertise="",FALSE,SUMPRODUCT(--ISNUMBER(SEARCH(","&amp;TRIM(TEXTSPLIT(EO99,","))&amp;",",","&amp;SUBSTITUTE(input_faculty_expertise," ","")&amp;",")))=COUNTA(TEXTSPLIT(EO99,",")))),IF(EQ99="",TRUE,IF(input_faculty_expertise="",TRUE,SUMPRODUCT(--ISNUMBER(SEARCH(","&amp;TRIM(TEXTSPLIT(EQ99,","))&amp;",",","&amp;SUBSTITUTE(input_faculty_expertise," ","")&amp;",")))=0)),IF(ES99="",TRUE,IF(input_faculty_expertise="",FALSE,SUMPRODUCT(--ISNUMBER(SEARCH(","&amp;TRIM(TEXTSPLIT(ES99,","))&amp;",",","&amp;SUBSTITUTE(input_faculty_expertise," ","")&amp;",")))&gt;0)),IF(EU99="",TRUE,IF(input_faculty_expertise="",FALSE,SUMPRODUCT(--ISNUMBER(SEARCH(","&amp;TRIM(TEXTSPLIT(EU99,","))&amp;",",","&amp;SUBSTITUTE(input_faculty_expertise," ","")&amp;",")))=COUNTA(TEXTSPLIT(EU99,",")))))</f>
        <v/>
      </c>
      <c r="JH99" s="19">
        <f>AND(IF(EW99="",TRUE,IF(input_global_network_school="",FALSE,SUMPRODUCT(--ISNUMBER(SEARCH(","&amp;TRIM(TEXTSPLIT(EW99,","))&amp;",",","&amp;SUBSTITUTE(input_global_network_school," ","")&amp;",")))&gt;0)),IF(EY99="",TRUE,IF(input_global_network_school="",FALSE,SUMPRODUCT(--ISNUMBER(SEARCH(","&amp;TRIM(TEXTSPLIT(EY99,","))&amp;",",","&amp;SUBSTITUTE(input_global_network_school," ","")&amp;",")))=COUNTA(TEXTSPLIT(EY99,",")))),IF(FA99="",TRUE,IF(input_global_network_school="",TRUE,SUMPRODUCT(--ISNUMBER(SEARCH(","&amp;TRIM(TEXTSPLIT(FA99,","))&amp;",",","&amp;SUBSTITUTE(input_global_network_school," ","")&amp;",")))=0)),IF(FC99="",TRUE,IF(input_global_network_school="",FALSE,SUMPRODUCT(--ISNUMBER(SEARCH(","&amp;TRIM(TEXTSPLIT(FC99,","))&amp;",",","&amp;SUBSTITUTE(input_global_network_school," ","")&amp;",")))&gt;0)),IF(FE99="",TRUE,IF(input_global_network_school="",FALSE,SUMPRODUCT(--ISNUMBER(SEARCH(","&amp;TRIM(TEXTSPLIT(FE99,","))&amp;",",","&amp;SUBSTITUTE(input_global_network_school," ","")&amp;",")))=COUNTA(TEXTSPLIT(FE99,",")))))</f>
        <v/>
      </c>
      <c r="JI99" s="19">
        <f>AND(IF(FG99="",TRUE,IF(input_industry="",FALSE,SUMPRODUCT(--ISNUMBER(SEARCH(","&amp;TRIM(TEXTSPLIT(FG99,","))&amp;",",","&amp;SUBSTITUTE(input_industry," ","")&amp;",")))&gt;0)),IF(FI99="",TRUE,IF(input_industry="",FALSE,SUMPRODUCT(--ISNUMBER(SEARCH(","&amp;TRIM(TEXTSPLIT(FI99,","))&amp;",",","&amp;SUBSTITUTE(input_industry," ","")&amp;",")))=COUNTA(TEXTSPLIT(FI99,",")))),IF(FK99="",TRUE,IF(input_industry="",TRUE,SUMPRODUCT(--ISNUMBER(SEARCH(","&amp;TRIM(TEXTSPLIT(FK99,","))&amp;",",","&amp;SUBSTITUTE(input_industry," ","")&amp;",")))=0)),IF(FM99="",TRUE,IF(input_industry="",FALSE,SUMPRODUCT(--ISNUMBER(SEARCH(","&amp;TRIM(TEXTSPLIT(FM99,","))&amp;",",","&amp;SUBSTITUTE(input_industry," ","")&amp;",")))&gt;0)),IF(FO99="",TRUE,IF(input_industry="",FALSE,SUMPRODUCT(--ISNUMBER(SEARCH(","&amp;TRIM(TEXTSPLIT(FO99,","))&amp;",",","&amp;SUBSTITUTE(input_industry," ","")&amp;",")))=COUNTA(TEXTSPLIT(FO99,",")))))</f>
        <v/>
      </c>
      <c r="JJ99" s="19">
        <f>AND(IF(FQ99="",TRUE,IF(input_location="",FALSE,SUMPRODUCT(--ISNUMBER(SEARCH(","&amp;TRIM(TEXTSPLIT(FQ99,","))&amp;",",","&amp;SUBSTITUTE(input_location," ","")&amp;",")))&gt;0)),IF(FS99="",TRUE,IF(input_location="",FALSE,SUMPRODUCT(--ISNUMBER(SEARCH(","&amp;TRIM(TEXTSPLIT(FS99,","))&amp;",",","&amp;SUBSTITUTE(input_location," ","")&amp;",")))=COUNTA(TEXTSPLIT(FS99,",")))),IF(FU99="",TRUE,IF(input_location="",TRUE,SUMPRODUCT(--ISNUMBER(SEARCH(","&amp;TRIM(TEXTSPLIT(FU99,","))&amp;",",","&amp;SUBSTITUTE(input_location," ","")&amp;",")))=0)),IF(FW99="",TRUE,IF(input_location="",FALSE,SUMPRODUCT(--ISNUMBER(SEARCH(","&amp;TRIM(TEXTSPLIT(FW99,","))&amp;",",","&amp;SUBSTITUTE(input_location," ","")&amp;",")))&gt;0)),IF(FY99="",TRUE,IF(input_location="",FALSE,SUMPRODUCT(--ISNUMBER(SEARCH(","&amp;TRIM(TEXTSPLIT(FY99,","))&amp;",",","&amp;SUBSTITUTE(input_location," ","")&amp;",")))=COUNTA(TEXTSPLIT(FY99,",")))))</f>
        <v/>
      </c>
      <c r="JK99" s="19">
        <f>AND(IF(GA99="",TRUE,IF(input_modality="",FALSE,SUMPRODUCT(--ISNUMBER(SEARCH(","&amp;TRIM(TEXTSPLIT(GA99,","))&amp;",",","&amp;SUBSTITUTE(input_modality," ","")&amp;",")))&gt;0)),IF(GC99="",TRUE,IF(input_modality="",FALSE,SUMPRODUCT(--ISNUMBER(SEARCH(","&amp;TRIM(TEXTSPLIT(GC99,","))&amp;",",","&amp;SUBSTITUTE(input_modality," ","")&amp;",")))=COUNTA(TEXTSPLIT(GC99,",")))),IF(GE99="",TRUE,IF(input_modality="",TRUE,SUMPRODUCT(--ISNUMBER(SEARCH(","&amp;TRIM(TEXTSPLIT(GE99,","))&amp;",",","&amp;SUBSTITUTE(input_modality," ","")&amp;",")))=0)),IF(GG99="",TRUE,IF(input_modality="",FALSE,SUMPRODUCT(--ISNUMBER(SEARCH(","&amp;TRIM(TEXTSPLIT(GG99,","))&amp;",",","&amp;SUBSTITUTE(input_modality," ","")&amp;",")))&gt;0)),IF(GI99="",TRUE,IF(input_modality="",FALSE,SUMPRODUCT(--ISNUMBER(SEARCH(","&amp;TRIM(TEXTSPLIT(GI99,","))&amp;",",","&amp;SUBSTITUTE(input_modality," ","")&amp;",")))=COUNTA(TEXTSPLIT(GI99,",")))))</f>
        <v/>
      </c>
      <c r="JL99" s="19">
        <f>AND(IF(GK99="",TRUE,IF(input_organizer="",FALSE,SUMPRODUCT(--ISNUMBER(SEARCH(","&amp;TRIM(TEXTSPLIT(GK99,","))&amp;",",","&amp;SUBSTITUTE(input_organizer," ","")&amp;",")))&gt;0)),IF(GM99="",TRUE,IF(input_organizer="",FALSE,SUMPRODUCT(--ISNUMBER(SEARCH(","&amp;TRIM(TEXTSPLIT(GM99,","))&amp;",",","&amp;SUBSTITUTE(input_organizer," ","")&amp;",")))=COUNTA(TEXTSPLIT(GM99,",")))),IF(GO99="",TRUE,IF(input_organizer="",TRUE,SUMPRODUCT(--ISNUMBER(SEARCH(","&amp;TRIM(TEXTSPLIT(GO99,","))&amp;",",","&amp;SUBSTITUTE(input_organizer," ","")&amp;",")))=0)),IF(GQ99="",TRUE,IF(input_organizer="",FALSE,SUMPRODUCT(--ISNUMBER(SEARCH(","&amp;TRIM(TEXTSPLIT(GQ99,","))&amp;",",","&amp;SUBSTITUTE(input_organizer," ","")&amp;",")))&gt;0)),IF(GS99="",TRUE,IF(input_organizer="",FALSE,SUMPRODUCT(--ISNUMBER(SEARCH(","&amp;TRIM(TEXTSPLIT(GS99,","))&amp;",",","&amp;SUBSTITUTE(input_organizer," ","")&amp;",")))=COUNTA(TEXTSPLIT(GS99,",")))))</f>
        <v/>
      </c>
      <c r="JM99" s="19">
        <f>AND(IF(GU99="",TRUE,IF(input_profile_type="",FALSE,SUMPRODUCT(--ISNUMBER(SEARCH(","&amp;TRIM(TEXTSPLIT(GU99,","))&amp;",",","&amp;SUBSTITUTE(input_profile_type," ","")&amp;",")))&gt;0)),IF(GW99="",TRUE,IF(input_profile_type="",FALSE,SUMPRODUCT(--ISNUMBER(SEARCH(","&amp;TRIM(TEXTSPLIT(GW99,","))&amp;",",","&amp;SUBSTITUTE(input_profile_type," ","")&amp;",")))=COUNTA(TEXTSPLIT(GW99,",")))),IF(GY99="",TRUE,IF(input_profile_type="",TRUE,SUMPRODUCT(--ISNUMBER(SEARCH(","&amp;TRIM(TEXTSPLIT(GY99,","))&amp;",",","&amp;SUBSTITUTE(input_profile_type," ","")&amp;",")))=0)),IF(HA99="",TRUE,IF(input_profile_type="",FALSE,SUMPRODUCT(--ISNUMBER(SEARCH(","&amp;TRIM(TEXTSPLIT(HA99,","))&amp;",",","&amp;SUBSTITUTE(input_profile_type," ","")&amp;",")))&gt;0)),IF(HC99="",TRUE,IF(input_profile_type="",FALSE,SUMPRODUCT(--ISNUMBER(SEARCH(","&amp;TRIM(TEXTSPLIT(HC99,","))&amp;",",","&amp;SUBSTITUTE(input_profile_type," ","")&amp;",")))=COUNTA(TEXTSPLIT(HC99,",")))))</f>
        <v/>
      </c>
      <c r="JN99" s="19">
        <f>AND(IF(HE99="",TRUE,IF(input_program="",FALSE,SUMPRODUCT(--ISNUMBER(SEARCH(","&amp;TRIM(TEXTSPLIT(HE99,","))&amp;",",","&amp;SUBSTITUTE(input_program," ","")&amp;",")))&gt;0)),IF(HG99="",TRUE,IF(input_program="",FALSE,SUMPRODUCT(--ISNUMBER(SEARCH(","&amp;TRIM(TEXTSPLIT(HG99,","))&amp;",",","&amp;SUBSTITUTE(input_program," ","")&amp;",")))=COUNTA(TEXTSPLIT(HG99,",")))),IF(HI99="",TRUE,IF(input_program="",TRUE,SUMPRODUCT(--ISNUMBER(SEARCH(","&amp;TRIM(TEXTSPLIT(HI99,","))&amp;",",","&amp;SUBSTITUTE(input_program," ","")&amp;",")))=0)),IF(HK99="",TRUE,IF(input_program="",FALSE,SUMPRODUCT(--ISNUMBER(SEARCH(","&amp;TRIM(TEXTSPLIT(HK99,","))&amp;",",","&amp;SUBSTITUTE(input_program," ","")&amp;",")))&gt;0)),IF(HM99="",TRUE,IF(input_program="",FALSE,SUMPRODUCT(--ISNUMBER(SEARCH(","&amp;TRIM(TEXTSPLIT(HM99,","))&amp;",",","&amp;SUBSTITUTE(input_program," ","")&amp;",")))=COUNTA(TEXTSPLIT(HM99,",")))))</f>
        <v/>
      </c>
      <c r="JO99" s="19">
        <f>AND(IF(HO99="",TRUE,IF(input_story_categories="",FALSE,SUMPRODUCT(--ISNUMBER(SEARCH(","&amp;TRIM(TEXTSPLIT(HO99,","))&amp;",",","&amp;SUBSTITUTE(input_story_categories," ","")&amp;",")))&gt;0)),IF(HQ99="",TRUE,IF(input_story_categories="",FALSE,SUMPRODUCT(--ISNUMBER(SEARCH(","&amp;TRIM(TEXTSPLIT(HQ99,","))&amp;",",","&amp;SUBSTITUTE(input_story_categories," ","")&amp;",")))=COUNTA(TEXTSPLIT(HQ99,",")))),IF(HS99="",TRUE,IF(input_story_categories="",TRUE,SUMPRODUCT(--ISNUMBER(SEARCH(","&amp;TRIM(TEXTSPLIT(HS99,","))&amp;",",","&amp;SUBSTITUTE(input_story_categories," ","")&amp;",")))=0)),IF(HU99="",TRUE,IF(input_story_categories="",FALSE,SUMPRODUCT(--ISNUMBER(SEARCH(","&amp;TRIM(TEXTSPLIT(HU99,","))&amp;",",","&amp;SUBSTITUTE(input_story_categories," ","")&amp;",")))&gt;0)),IF(HW99="",TRUE,IF(input_story_categories="",FALSE,SUMPRODUCT(--ISNUMBER(SEARCH(","&amp;TRIM(TEXTSPLIT(HW99,","))&amp;",",","&amp;SUBSTITUTE(input_story_categories," ","")&amp;",")))=COUNTA(TEXTSPLIT(HW99,",")))))</f>
        <v/>
      </c>
      <c r="JP99" s="19">
        <f>AND(IF(HY99="",TRUE,IF(input_story_type="",FALSE,SUMPRODUCT(--ISNUMBER(SEARCH(","&amp;TRIM(TEXTSPLIT(HY99,","))&amp;",",","&amp;SUBSTITUTE(input_story_type," ","")&amp;",")))&gt;0)),IF(IA99="",TRUE,IF(input_story_type="",FALSE,SUMPRODUCT(--ISNUMBER(SEARCH(","&amp;TRIM(TEXTSPLIT(IA99,","))&amp;",",","&amp;SUBSTITUTE(input_story_type," ","")&amp;",")))=COUNTA(TEXTSPLIT(IA99,",")))),IF(IC99="",TRUE,IF(input_story_type="",TRUE,SUMPRODUCT(--ISNUMBER(SEARCH(","&amp;TRIM(TEXTSPLIT(IC99,","))&amp;",",","&amp;SUBSTITUTE(input_story_type," ","")&amp;",")))=0)),IF(IE99="",TRUE,IF(input_story_type="",FALSE,SUMPRODUCT(--ISNUMBER(SEARCH(","&amp;TRIM(TEXTSPLIT(IE99,","))&amp;",",","&amp;SUBSTITUTE(input_story_type," ","")&amp;",")))&gt;0)),IF(IG99="",TRUE,IF(input_story_type="",FALSE,SUMPRODUCT(--ISNUMBER(SEARCH(","&amp;TRIM(TEXTSPLIT(IG99,","))&amp;",",","&amp;SUBSTITUTE(input_story_type," ","")&amp;",")))=COUNTA(TEXTSPLIT(IG99,",")))))</f>
        <v/>
      </c>
      <c r="JQ99" s="19">
        <f>AND(IF(II99="",TRUE,IF(input_topics="",FALSE,SUMPRODUCT(--ISNUMBER(SEARCH(","&amp;TRIM(TEXTSPLIT(II99,","))&amp;",",","&amp;SUBSTITUTE(input_topics," ","")&amp;",")))&gt;0)),IF(IK99="",TRUE,IF(input_topics="",FALSE,SUMPRODUCT(--ISNUMBER(SEARCH(","&amp;TRIM(TEXTSPLIT(IK99,","))&amp;",",","&amp;SUBSTITUTE(input_topics," ","")&amp;",")))=COUNTA(TEXTSPLIT(IK99,",")))),IF(IM99="",TRUE,IF(input_topics="",TRUE,SUMPRODUCT(--ISNUMBER(SEARCH(","&amp;TRIM(TEXTSPLIT(IM99,","))&amp;",",","&amp;SUBSTITUTE(input_topics," ","")&amp;",")))=0)),IF(IO99="",TRUE,IF(input_topics="",FALSE,SUMPRODUCT(--ISNUMBER(SEARCH(","&amp;TRIM(TEXTSPLIT(IO99,","))&amp;",",","&amp;SUBSTITUTE(input_topics," ","")&amp;",")))&gt;0)),IF(IQ99="",TRUE,IF(input_topics="",FALSE,SUMPRODUCT(--ISNUMBER(SEARCH(","&amp;TRIM(TEXTSPLIT(IQ99,","))&amp;",",","&amp;SUBSTITUTE(input_topics," ","")&amp;",")))=COUNTA(TEXTSPLIT(IQ99,",")))))</f>
        <v/>
      </c>
    </row>
    <row r="100">
      <c r="A100" s="24">
        <f>IF(NOT(IS100),"Excluded",IF(AND(IT100,IU100,IV100,IW100,IX100,IY100,IZ100,JA100,JB100,JC100,JD100,JE100,JF100,JG100,JH100,JI100,JJ100,JK100,JL100,JM100,JN100,JO100,JP100,JQ100),IF(I100&gt;0,"Eligible but limited","Will appear"),"Excluded"))</f>
        <v/>
      </c>
      <c r="B100" s="24" t="inlineStr">
        <is>
          <t>Events</t>
        </is>
      </c>
      <c r="C100" s="27" t="inlineStr">
        <is>
          <t>/about/events</t>
        </is>
      </c>
      <c r="D100" s="24" t="inlineStr">
        <is>
          <t>/about/events</t>
        </is>
      </c>
      <c r="E100" s="24" t="n">
        <v>1</v>
      </c>
      <c r="F100" s="24" t="inlineStr">
        <is>
          <t>event</t>
        </is>
      </c>
      <c r="G100" s="24" t="inlineStr">
        <is>
          <t>event_list</t>
        </is>
      </c>
      <c r="H100" s="24" t="inlineStr">
        <is>
          <t>embed_with_filters</t>
        </is>
      </c>
      <c r="I100" s="24" t="n">
        <v>8</v>
      </c>
      <c r="J100" s="28" t="inlineStr">
        <is>
          <t>Explicit args</t>
        </is>
      </c>
      <c r="K100" s="24" t="inlineStr">
        <is>
          <t>Page placement</t>
        </is>
      </c>
      <c r="L100" s="24" t="inlineStr">
        <is>
          <t>Content type: event; Limited to 8 item(s); Source: Explicit args</t>
        </is>
      </c>
      <c r="IS100" s="19">
        <f>IF(input_content_type="",FALSE,ISNUMBER(SEARCH(","&amp;LOWER(input_content_type)&amp;",",","&amp;LOWER(SUBSTITUTE(F100," ",""))&amp;",")))</f>
        <v/>
      </c>
      <c r="IT100" s="19">
        <f>AND(IF(M100="",TRUE,IF(input_affiliations="",FALSE,SUMPRODUCT(--ISNUMBER(SEARCH(","&amp;TRIM(TEXTSPLIT(M100,","))&amp;",",","&amp;SUBSTITUTE(input_affiliations," ","")&amp;",")))&gt;0)),IF(O100="",TRUE,IF(input_affiliations="",FALSE,SUMPRODUCT(--ISNUMBER(SEARCH(","&amp;TRIM(TEXTSPLIT(O100,","))&amp;",",","&amp;SUBSTITUTE(input_affiliations," ","")&amp;",")))=COUNTA(TEXTSPLIT(O100,",")))),IF(Q100="",TRUE,IF(input_affiliations="",TRUE,SUMPRODUCT(--ISNUMBER(SEARCH(","&amp;TRIM(TEXTSPLIT(Q100,","))&amp;",",","&amp;SUBSTITUTE(input_affiliations," ","")&amp;",")))=0)),IF(S100="",TRUE,IF(input_affiliations="",FALSE,SUMPRODUCT(--ISNUMBER(SEARCH(","&amp;TRIM(TEXTSPLIT(S100,","))&amp;",",","&amp;SUBSTITUTE(input_affiliations," ","")&amp;",")))&gt;0)),IF(U100="",TRUE,IF(input_affiliations="",FALSE,SUMPRODUCT(--ISNUMBER(SEARCH(","&amp;TRIM(TEXTSPLIT(U100,","))&amp;",",","&amp;SUBSTITUTE(input_affiliations," ","")&amp;",")))=COUNTA(TEXTSPLIT(U100,",")))))</f>
        <v/>
      </c>
      <c r="IU100" s="19">
        <f>AND(IF(W100="",TRUE,IF(input_announcement_category="",FALSE,SUMPRODUCT(--ISNUMBER(SEARCH(","&amp;TRIM(TEXTSPLIT(W100,","))&amp;",",","&amp;SUBSTITUTE(input_announcement_category," ","")&amp;",")))&gt;0)),IF(Y100="",TRUE,IF(input_announcement_category="",FALSE,SUMPRODUCT(--ISNUMBER(SEARCH(","&amp;TRIM(TEXTSPLIT(Y100,","))&amp;",",","&amp;SUBSTITUTE(input_announcement_category," ","")&amp;",")))=COUNTA(TEXTSPLIT(Y100,",")))),IF(AA100="",TRUE,IF(input_announcement_category="",TRUE,SUMPRODUCT(--ISNUMBER(SEARCH(","&amp;TRIM(TEXTSPLIT(AA100,","))&amp;",",","&amp;SUBSTITUTE(input_announcement_category," ","")&amp;",")))=0)),IF(AC100="",TRUE,IF(input_announcement_category="",FALSE,SUMPRODUCT(--ISNUMBER(SEARCH(","&amp;TRIM(TEXTSPLIT(AC100,","))&amp;",",","&amp;SUBSTITUTE(input_announcement_category," ","")&amp;",")))&gt;0)),IF(AE100="",TRUE,IF(input_announcement_category="",FALSE,SUMPRODUCT(--ISNUMBER(SEARCH(","&amp;TRIM(TEXTSPLIT(AE100,","))&amp;",",","&amp;SUBSTITUTE(input_announcement_category," ","")&amp;",")))=COUNTA(TEXTSPLIT(AE100,",")))))</f>
        <v/>
      </c>
      <c r="IV100" s="19">
        <f>AND(IF(AG100="",TRUE,IF(input_area_of_focus="",FALSE,SUMPRODUCT(--ISNUMBER(SEARCH(","&amp;TRIM(TEXTSPLIT(AG100,","))&amp;",",","&amp;SUBSTITUTE(input_area_of_focus," ","")&amp;",")))&gt;0)),IF(AI100="",TRUE,IF(input_area_of_focus="",FALSE,SUMPRODUCT(--ISNUMBER(SEARCH(","&amp;TRIM(TEXTSPLIT(AI100,","))&amp;",",","&amp;SUBSTITUTE(input_area_of_focus," ","")&amp;",")))=COUNTA(TEXTSPLIT(AI100,",")))),IF(AK100="",TRUE,IF(input_area_of_focus="",TRUE,SUMPRODUCT(--ISNUMBER(SEARCH(","&amp;TRIM(TEXTSPLIT(AK100,","))&amp;",",","&amp;SUBSTITUTE(input_area_of_focus," ","")&amp;",")))=0)),IF(AM100="",TRUE,IF(input_area_of_focus="",FALSE,SUMPRODUCT(--ISNUMBER(SEARCH(","&amp;TRIM(TEXTSPLIT(AM100,","))&amp;",",","&amp;SUBSTITUTE(input_area_of_focus," ","")&amp;",")))&gt;0)),IF(AO100="",TRUE,IF(input_area_of_focus="",FALSE,SUMPRODUCT(--ISNUMBER(SEARCH(","&amp;TRIM(TEXTSPLIT(AO100,","))&amp;",",","&amp;SUBSTITUTE(input_area_of_focus," ","")&amp;",")))=COUNTA(TEXTSPLIT(AO100,",")))))</f>
        <v/>
      </c>
      <c r="IW100" s="19">
        <f>AND(IF(AQ100="",TRUE,IF(input_audience="",FALSE,SUMPRODUCT(--ISNUMBER(SEARCH(","&amp;TRIM(TEXTSPLIT(AQ100,","))&amp;",",","&amp;SUBSTITUTE(input_audience," ","")&amp;",")))&gt;0)),IF(AS100="",TRUE,IF(input_audience="",FALSE,SUMPRODUCT(--ISNUMBER(SEARCH(","&amp;TRIM(TEXTSPLIT(AS100,","))&amp;",",","&amp;SUBSTITUTE(input_audience," ","")&amp;",")))=COUNTA(TEXTSPLIT(AS100,",")))),IF(AU100="",TRUE,IF(input_audience="",TRUE,SUMPRODUCT(--ISNUMBER(SEARCH(","&amp;TRIM(TEXTSPLIT(AU100,","))&amp;",",","&amp;SUBSTITUTE(input_audience," ","")&amp;",")))=0)),IF(AW100="",TRUE,IF(input_audience="",FALSE,SUMPRODUCT(--ISNUMBER(SEARCH(","&amp;TRIM(TEXTSPLIT(AW100,","))&amp;",",","&amp;SUBSTITUTE(input_audience," ","")&amp;",")))&gt;0)),IF(AY100="",TRUE,IF(input_audience="",FALSE,SUMPRODUCT(--ISNUMBER(SEARCH(","&amp;TRIM(TEXTSPLIT(AY100,","))&amp;",",","&amp;SUBSTITUTE(input_audience," ","")&amp;",")))=COUNTA(TEXTSPLIT(AY100,",")))))</f>
        <v/>
      </c>
      <c r="IX100" s="19">
        <f>AND(IF(BA100="",TRUE,IF(input_challenge_opportunities="",FALSE,SUMPRODUCT(--ISNUMBER(SEARCH(","&amp;TRIM(TEXTSPLIT(BA100,","))&amp;",",","&amp;SUBSTITUTE(input_challenge_opportunities," ","")&amp;",")))&gt;0)),IF(BC100="",TRUE,IF(input_challenge_opportunities="",FALSE,SUMPRODUCT(--ISNUMBER(SEARCH(","&amp;TRIM(TEXTSPLIT(BC100,","))&amp;",",","&amp;SUBSTITUTE(input_challenge_opportunities," ","")&amp;",")))=COUNTA(TEXTSPLIT(BC100,",")))),IF(BE100="",TRUE,IF(input_challenge_opportunities="",TRUE,SUMPRODUCT(--ISNUMBER(SEARCH(","&amp;TRIM(TEXTSPLIT(BE100,","))&amp;",",","&amp;SUBSTITUTE(input_challenge_opportunities," ","")&amp;",")))=0)),IF(BG100="",TRUE,IF(input_challenge_opportunities="",FALSE,SUMPRODUCT(--ISNUMBER(SEARCH(","&amp;TRIM(TEXTSPLIT(BG100,","))&amp;",",","&amp;SUBSTITUTE(input_challenge_opportunities," ","")&amp;",")))&gt;0)),IF(BI100="",TRUE,IF(input_challenge_opportunities="",FALSE,SUMPRODUCT(--ISNUMBER(SEARCH(","&amp;TRIM(TEXTSPLIT(BI100,","))&amp;",",","&amp;SUBSTITUTE(input_challenge_opportunities," ","")&amp;",")))=COUNTA(TEXTSPLIT(BI100,",")))))</f>
        <v/>
      </c>
      <c r="IY100" s="19">
        <f>AND(IF(BK100="",TRUE,IF(input_context="",FALSE,SUMPRODUCT(--ISNUMBER(SEARCH(","&amp;TRIM(TEXTSPLIT(BK100,","))&amp;",",","&amp;SUBSTITUTE(input_context," ","")&amp;",")))&gt;0)),IF(BM100="",TRUE,IF(input_context="",FALSE,SUMPRODUCT(--ISNUMBER(SEARCH(","&amp;TRIM(TEXTSPLIT(BM100,","))&amp;",",","&amp;SUBSTITUTE(input_context," ","")&amp;",")))=COUNTA(TEXTSPLIT(BM100,",")))),IF(BO100="",TRUE,IF(input_context="",TRUE,SUMPRODUCT(--ISNUMBER(SEARCH(","&amp;TRIM(TEXTSPLIT(BO100,","))&amp;",",","&amp;SUBSTITUTE(input_context," ","")&amp;",")))=0)),IF(BQ100="",TRUE,IF(input_context="",FALSE,SUMPRODUCT(--ISNUMBER(SEARCH(","&amp;TRIM(TEXTSPLIT(BQ100,","))&amp;",",","&amp;SUBSTITUTE(input_context," ","")&amp;",")))&gt;0)),IF(BS100="",TRUE,IF(input_context="",FALSE,SUMPRODUCT(--ISNUMBER(SEARCH(","&amp;TRIM(TEXTSPLIT(BS100,","))&amp;",",","&amp;SUBSTITUTE(input_context," ","")&amp;",")))=COUNTA(TEXTSPLIT(BS100,",")))))</f>
        <v/>
      </c>
      <c r="IZ100" s="19">
        <f>AND(IF(BU100="",TRUE,IF(input_enews_announcement_type="",FALSE,SUMPRODUCT(--ISNUMBER(SEARCH(","&amp;TRIM(TEXTSPLIT(BU100,","))&amp;",",","&amp;SUBSTITUTE(input_enews_announcement_type," ","")&amp;",")))&gt;0)),IF(BW100="",TRUE,IF(input_enews_announcement_type="",FALSE,SUMPRODUCT(--ISNUMBER(SEARCH(","&amp;TRIM(TEXTSPLIT(BW100,","))&amp;",",","&amp;SUBSTITUTE(input_enews_announcement_type," ","")&amp;",")))=COUNTA(TEXTSPLIT(BW100,",")))),IF(BY100="",TRUE,IF(input_enews_announcement_type="",TRUE,SUMPRODUCT(--ISNUMBER(SEARCH(","&amp;TRIM(TEXTSPLIT(BY100,","))&amp;",",","&amp;SUBSTITUTE(input_enews_announcement_type," ","")&amp;",")))=0)),IF(CA100="",TRUE,IF(input_enews_announcement_type="",FALSE,SUMPRODUCT(--ISNUMBER(SEARCH(","&amp;TRIM(TEXTSPLIT(CA100,","))&amp;",",","&amp;SUBSTITUTE(input_enews_announcement_type," ","")&amp;",")))&gt;0)),IF(CC100="",TRUE,IF(input_enews_announcement_type="",FALSE,SUMPRODUCT(--ISNUMBER(SEARCH(","&amp;TRIM(TEXTSPLIT(CC100,","))&amp;",",","&amp;SUBSTITUTE(input_enews_announcement_type," ","")&amp;",")))=COUNTA(TEXTSPLIT(CC100,",")))))</f>
        <v/>
      </c>
      <c r="JA100" s="19">
        <f>AND(IF(CE100="",TRUE,IF(input_enews_audience="",FALSE,SUMPRODUCT(--ISNUMBER(SEARCH(","&amp;TRIM(TEXTSPLIT(CE100,","))&amp;",",","&amp;SUBSTITUTE(input_enews_audience," ","")&amp;",")))&gt;0)),IF(CG100="",TRUE,IF(input_enews_audience="",FALSE,SUMPRODUCT(--ISNUMBER(SEARCH(","&amp;TRIM(TEXTSPLIT(CG100,","))&amp;",",","&amp;SUBSTITUTE(input_enews_audience," ","")&amp;",")))=COUNTA(TEXTSPLIT(CG100,",")))),IF(CI100="",TRUE,IF(input_enews_audience="",TRUE,SUMPRODUCT(--ISNUMBER(SEARCH(","&amp;TRIM(TEXTSPLIT(CI100,","))&amp;",",","&amp;SUBSTITUTE(input_enews_audience," ","")&amp;",")))=0)),IF(CK100="",TRUE,IF(input_enews_audience="",FALSE,SUMPRODUCT(--ISNUMBER(SEARCH(","&amp;TRIM(TEXTSPLIT(CK100,","))&amp;",",","&amp;SUBSTITUTE(input_enews_audience," ","")&amp;",")))&gt;0)),IF(CM100="",TRUE,IF(input_enews_audience="",FALSE,SUMPRODUCT(--ISNUMBER(SEARCH(","&amp;TRIM(TEXTSPLIT(CM100,","))&amp;",",","&amp;SUBSTITUTE(input_enews_audience," ","")&amp;",")))=COUNTA(TEXTSPLIT(CM100,",")))))</f>
        <v/>
      </c>
      <c r="JB100" s="19">
        <f>AND(IF(CO100="",TRUE,IF(input_event_location="",FALSE,SUMPRODUCT(--ISNUMBER(SEARCH(","&amp;TRIM(TEXTSPLIT(CO100,","))&amp;",",","&amp;SUBSTITUTE(input_event_location," ","")&amp;",")))&gt;0)),IF(CQ100="",TRUE,IF(input_event_location="",FALSE,SUMPRODUCT(--ISNUMBER(SEARCH(","&amp;TRIM(TEXTSPLIT(CQ100,","))&amp;",",","&amp;SUBSTITUTE(input_event_location," ","")&amp;",")))=COUNTA(TEXTSPLIT(CQ100,",")))),IF(CS100="",TRUE,IF(input_event_location="",TRUE,SUMPRODUCT(--ISNUMBER(SEARCH(","&amp;TRIM(TEXTSPLIT(CS100,","))&amp;",",","&amp;SUBSTITUTE(input_event_location," ","")&amp;",")))=0)),IF(CU100="",TRUE,IF(input_event_location="",FALSE,SUMPRODUCT(--ISNUMBER(SEARCH(","&amp;TRIM(TEXTSPLIT(CU100,","))&amp;",",","&amp;SUBSTITUTE(input_event_location," ","")&amp;",")))&gt;0)),IF(CW100="",TRUE,IF(input_event_location="",FALSE,SUMPRODUCT(--ISNUMBER(SEARCH(","&amp;TRIM(TEXTSPLIT(CW100,","))&amp;",",","&amp;SUBSTITUTE(input_event_location," ","")&amp;",")))=COUNTA(TEXTSPLIT(CW100,",")))))</f>
        <v/>
      </c>
      <c r="JC100" s="19">
        <f>AND(IF(CY100="",TRUE,IF(input_event_type="",FALSE,SUMPRODUCT(--ISNUMBER(SEARCH(","&amp;TRIM(TEXTSPLIT(CY100,","))&amp;",",","&amp;SUBSTITUTE(input_event_type," ","")&amp;",")))&gt;0)),IF(DA100="",TRUE,IF(input_event_type="",FALSE,SUMPRODUCT(--ISNUMBER(SEARCH(","&amp;TRIM(TEXTSPLIT(DA100,","))&amp;",",","&amp;SUBSTITUTE(input_event_type," ","")&amp;",")))=COUNTA(TEXTSPLIT(DA100,",")))),IF(DC100="",TRUE,IF(input_event_type="",TRUE,SUMPRODUCT(--ISNUMBER(SEARCH(","&amp;TRIM(TEXTSPLIT(DC100,","))&amp;",",","&amp;SUBSTITUTE(input_event_type," ","")&amp;",")))=0)),IF(DE100="",TRUE,IF(input_event_type="",FALSE,SUMPRODUCT(--ISNUMBER(SEARCH(","&amp;TRIM(TEXTSPLIT(DE100,","))&amp;",",","&amp;SUBSTITUTE(input_event_type," ","")&amp;",")))&gt;0)),IF(DG100="",TRUE,IF(input_event_type="",FALSE,SUMPRODUCT(--ISNUMBER(SEARCH(","&amp;TRIM(TEXTSPLIT(DG100,","))&amp;",",","&amp;SUBSTITUTE(input_event_type," ","")&amp;",")))=COUNTA(TEXTSPLIT(DG100,",")))))</f>
        <v/>
      </c>
      <c r="JD100" s="19">
        <f>AND(IF(DI100="",TRUE,IF(input_executive_education_focus="",FALSE,SUMPRODUCT(--ISNUMBER(SEARCH(","&amp;TRIM(TEXTSPLIT(DI100,","))&amp;",",","&amp;SUBSTITUTE(input_executive_education_focus," ","")&amp;",")))&gt;0)),IF(DK100="",TRUE,IF(input_executive_education_focus="",FALSE,SUMPRODUCT(--ISNUMBER(SEARCH(","&amp;TRIM(TEXTSPLIT(DK100,","))&amp;",",","&amp;SUBSTITUTE(input_executive_education_focus," ","")&amp;",")))=COUNTA(TEXTSPLIT(DK100,",")))),IF(DM100="",TRUE,IF(input_executive_education_focus="",TRUE,SUMPRODUCT(--ISNUMBER(SEARCH(","&amp;TRIM(TEXTSPLIT(DM100,","))&amp;",",","&amp;SUBSTITUTE(input_executive_education_focus," ","")&amp;",")))=0)),IF(DO100="",TRUE,IF(input_executive_education_focus="",FALSE,SUMPRODUCT(--ISNUMBER(SEARCH(","&amp;TRIM(TEXTSPLIT(DO100,","))&amp;",",","&amp;SUBSTITUTE(input_executive_education_focus," ","")&amp;",")))&gt;0)),IF(DQ100="",TRUE,IF(input_executive_education_focus="",FALSE,SUMPRODUCT(--ISNUMBER(SEARCH(","&amp;TRIM(TEXTSPLIT(DQ100,","))&amp;",",","&amp;SUBSTITUTE(input_executive_education_focus," ","")&amp;",")))=COUNTA(TEXTSPLIT(DQ100,",")))))</f>
        <v/>
      </c>
      <c r="JE100" s="19">
        <f>AND(IF(DS100="",TRUE,IF(input_faculty_category="",FALSE,SUMPRODUCT(--ISNUMBER(SEARCH(","&amp;TRIM(TEXTSPLIT(DS100,","))&amp;",",","&amp;SUBSTITUTE(input_faculty_category," ","")&amp;",")))&gt;0)),IF(DU100="",TRUE,IF(input_faculty_category="",FALSE,SUMPRODUCT(--ISNUMBER(SEARCH(","&amp;TRIM(TEXTSPLIT(DU100,","))&amp;",",","&amp;SUBSTITUTE(input_faculty_category," ","")&amp;",")))=COUNTA(TEXTSPLIT(DU100,",")))),IF(DW100="",TRUE,IF(input_faculty_category="",TRUE,SUMPRODUCT(--ISNUMBER(SEARCH(","&amp;TRIM(TEXTSPLIT(DW100,","))&amp;",",","&amp;SUBSTITUTE(input_faculty_category," ","")&amp;",")))=0)),IF(DY100="",TRUE,IF(input_faculty_category="",FALSE,SUMPRODUCT(--ISNUMBER(SEARCH(","&amp;TRIM(TEXTSPLIT(DY100,","))&amp;",",","&amp;SUBSTITUTE(input_faculty_category," ","")&amp;",")))&gt;0)),IF(EA100="",TRUE,IF(input_faculty_category="",FALSE,SUMPRODUCT(--ISNUMBER(SEARCH(","&amp;TRIM(TEXTSPLIT(EA100,","))&amp;",",","&amp;SUBSTITUTE(input_faculty_category," ","")&amp;",")))=COUNTA(TEXTSPLIT(EA100,",")))))</f>
        <v/>
      </c>
      <c r="JF100" s="19">
        <f>AND(IF(EC100="",TRUE,IF(input_faculty_discipline="",FALSE,SUMPRODUCT(--ISNUMBER(SEARCH(","&amp;TRIM(TEXTSPLIT(EC100,","))&amp;",",","&amp;SUBSTITUTE(input_faculty_discipline," ","")&amp;",")))&gt;0)),IF(EE100="",TRUE,IF(input_faculty_discipline="",FALSE,SUMPRODUCT(--ISNUMBER(SEARCH(","&amp;TRIM(TEXTSPLIT(EE100,","))&amp;",",","&amp;SUBSTITUTE(input_faculty_discipline," ","")&amp;",")))=COUNTA(TEXTSPLIT(EE100,",")))),IF(EG100="",TRUE,IF(input_faculty_discipline="",TRUE,SUMPRODUCT(--ISNUMBER(SEARCH(","&amp;TRIM(TEXTSPLIT(EG100,","))&amp;",",","&amp;SUBSTITUTE(input_faculty_discipline," ","")&amp;",")))=0)),IF(EI100="",TRUE,IF(input_faculty_discipline="",FALSE,SUMPRODUCT(--ISNUMBER(SEARCH(","&amp;TRIM(TEXTSPLIT(EI100,","))&amp;",",","&amp;SUBSTITUTE(input_faculty_discipline," ","")&amp;",")))&gt;0)),IF(EK100="",TRUE,IF(input_faculty_discipline="",FALSE,SUMPRODUCT(--ISNUMBER(SEARCH(","&amp;TRIM(TEXTSPLIT(EK100,","))&amp;",",","&amp;SUBSTITUTE(input_faculty_discipline," ","")&amp;",")))=COUNTA(TEXTSPLIT(EK100,",")))))</f>
        <v/>
      </c>
      <c r="JG100" s="19">
        <f>AND(IF(EM100="",TRUE,IF(input_faculty_expertise="",FALSE,SUMPRODUCT(--ISNUMBER(SEARCH(","&amp;TRIM(TEXTSPLIT(EM100,","))&amp;",",","&amp;SUBSTITUTE(input_faculty_expertise," ","")&amp;",")))&gt;0)),IF(EO100="",TRUE,IF(input_faculty_expertise="",FALSE,SUMPRODUCT(--ISNUMBER(SEARCH(","&amp;TRIM(TEXTSPLIT(EO100,","))&amp;",",","&amp;SUBSTITUTE(input_faculty_expertise," ","")&amp;",")))=COUNTA(TEXTSPLIT(EO100,",")))),IF(EQ100="",TRUE,IF(input_faculty_expertise="",TRUE,SUMPRODUCT(--ISNUMBER(SEARCH(","&amp;TRIM(TEXTSPLIT(EQ100,","))&amp;",",","&amp;SUBSTITUTE(input_faculty_expertise," ","")&amp;",")))=0)),IF(ES100="",TRUE,IF(input_faculty_expertise="",FALSE,SUMPRODUCT(--ISNUMBER(SEARCH(","&amp;TRIM(TEXTSPLIT(ES100,","))&amp;",",","&amp;SUBSTITUTE(input_faculty_expertise," ","")&amp;",")))&gt;0)),IF(EU100="",TRUE,IF(input_faculty_expertise="",FALSE,SUMPRODUCT(--ISNUMBER(SEARCH(","&amp;TRIM(TEXTSPLIT(EU100,","))&amp;",",","&amp;SUBSTITUTE(input_faculty_expertise," ","")&amp;",")))=COUNTA(TEXTSPLIT(EU100,",")))))</f>
        <v/>
      </c>
      <c r="JH100" s="19">
        <f>AND(IF(EW100="",TRUE,IF(input_global_network_school="",FALSE,SUMPRODUCT(--ISNUMBER(SEARCH(","&amp;TRIM(TEXTSPLIT(EW100,","))&amp;",",","&amp;SUBSTITUTE(input_global_network_school," ","")&amp;",")))&gt;0)),IF(EY100="",TRUE,IF(input_global_network_school="",FALSE,SUMPRODUCT(--ISNUMBER(SEARCH(","&amp;TRIM(TEXTSPLIT(EY100,","))&amp;",",","&amp;SUBSTITUTE(input_global_network_school," ","")&amp;",")))=COUNTA(TEXTSPLIT(EY100,",")))),IF(FA100="",TRUE,IF(input_global_network_school="",TRUE,SUMPRODUCT(--ISNUMBER(SEARCH(","&amp;TRIM(TEXTSPLIT(FA100,","))&amp;",",","&amp;SUBSTITUTE(input_global_network_school," ","")&amp;",")))=0)),IF(FC100="",TRUE,IF(input_global_network_school="",FALSE,SUMPRODUCT(--ISNUMBER(SEARCH(","&amp;TRIM(TEXTSPLIT(FC100,","))&amp;",",","&amp;SUBSTITUTE(input_global_network_school," ","")&amp;",")))&gt;0)),IF(FE100="",TRUE,IF(input_global_network_school="",FALSE,SUMPRODUCT(--ISNUMBER(SEARCH(","&amp;TRIM(TEXTSPLIT(FE100,","))&amp;",",","&amp;SUBSTITUTE(input_global_network_school," ","")&amp;",")))=COUNTA(TEXTSPLIT(FE100,",")))))</f>
        <v/>
      </c>
      <c r="JI100" s="19">
        <f>AND(IF(FG100="",TRUE,IF(input_industry="",FALSE,SUMPRODUCT(--ISNUMBER(SEARCH(","&amp;TRIM(TEXTSPLIT(FG100,","))&amp;",",","&amp;SUBSTITUTE(input_industry," ","")&amp;",")))&gt;0)),IF(FI100="",TRUE,IF(input_industry="",FALSE,SUMPRODUCT(--ISNUMBER(SEARCH(","&amp;TRIM(TEXTSPLIT(FI100,","))&amp;",",","&amp;SUBSTITUTE(input_industry," ","")&amp;",")))=COUNTA(TEXTSPLIT(FI100,",")))),IF(FK100="",TRUE,IF(input_industry="",TRUE,SUMPRODUCT(--ISNUMBER(SEARCH(","&amp;TRIM(TEXTSPLIT(FK100,","))&amp;",",","&amp;SUBSTITUTE(input_industry," ","")&amp;",")))=0)),IF(FM100="",TRUE,IF(input_industry="",FALSE,SUMPRODUCT(--ISNUMBER(SEARCH(","&amp;TRIM(TEXTSPLIT(FM100,","))&amp;",",","&amp;SUBSTITUTE(input_industry," ","")&amp;",")))&gt;0)),IF(FO100="",TRUE,IF(input_industry="",FALSE,SUMPRODUCT(--ISNUMBER(SEARCH(","&amp;TRIM(TEXTSPLIT(FO100,","))&amp;",",","&amp;SUBSTITUTE(input_industry," ","")&amp;",")))=COUNTA(TEXTSPLIT(FO100,",")))))</f>
        <v/>
      </c>
      <c r="JJ100" s="19">
        <f>AND(IF(FQ100="",TRUE,IF(input_location="",FALSE,SUMPRODUCT(--ISNUMBER(SEARCH(","&amp;TRIM(TEXTSPLIT(FQ100,","))&amp;",",","&amp;SUBSTITUTE(input_location," ","")&amp;",")))&gt;0)),IF(FS100="",TRUE,IF(input_location="",FALSE,SUMPRODUCT(--ISNUMBER(SEARCH(","&amp;TRIM(TEXTSPLIT(FS100,","))&amp;",",","&amp;SUBSTITUTE(input_location," ","")&amp;",")))=COUNTA(TEXTSPLIT(FS100,",")))),IF(FU100="",TRUE,IF(input_location="",TRUE,SUMPRODUCT(--ISNUMBER(SEARCH(","&amp;TRIM(TEXTSPLIT(FU100,","))&amp;",",","&amp;SUBSTITUTE(input_location," ","")&amp;",")))=0)),IF(FW100="",TRUE,IF(input_location="",FALSE,SUMPRODUCT(--ISNUMBER(SEARCH(","&amp;TRIM(TEXTSPLIT(FW100,","))&amp;",",","&amp;SUBSTITUTE(input_location," ","")&amp;",")))&gt;0)),IF(FY100="",TRUE,IF(input_location="",FALSE,SUMPRODUCT(--ISNUMBER(SEARCH(","&amp;TRIM(TEXTSPLIT(FY100,","))&amp;",",","&amp;SUBSTITUTE(input_location," ","")&amp;",")))=COUNTA(TEXTSPLIT(FY100,",")))))</f>
        <v/>
      </c>
      <c r="JK100" s="19">
        <f>AND(IF(GA100="",TRUE,IF(input_modality="",FALSE,SUMPRODUCT(--ISNUMBER(SEARCH(","&amp;TRIM(TEXTSPLIT(GA100,","))&amp;",",","&amp;SUBSTITUTE(input_modality," ","")&amp;",")))&gt;0)),IF(GC100="",TRUE,IF(input_modality="",FALSE,SUMPRODUCT(--ISNUMBER(SEARCH(","&amp;TRIM(TEXTSPLIT(GC100,","))&amp;",",","&amp;SUBSTITUTE(input_modality," ","")&amp;",")))=COUNTA(TEXTSPLIT(GC100,",")))),IF(GE100="",TRUE,IF(input_modality="",TRUE,SUMPRODUCT(--ISNUMBER(SEARCH(","&amp;TRIM(TEXTSPLIT(GE100,","))&amp;",",","&amp;SUBSTITUTE(input_modality," ","")&amp;",")))=0)),IF(GG100="",TRUE,IF(input_modality="",FALSE,SUMPRODUCT(--ISNUMBER(SEARCH(","&amp;TRIM(TEXTSPLIT(GG100,","))&amp;",",","&amp;SUBSTITUTE(input_modality," ","")&amp;",")))&gt;0)),IF(GI100="",TRUE,IF(input_modality="",FALSE,SUMPRODUCT(--ISNUMBER(SEARCH(","&amp;TRIM(TEXTSPLIT(GI100,","))&amp;",",","&amp;SUBSTITUTE(input_modality," ","")&amp;",")))=COUNTA(TEXTSPLIT(GI100,",")))))</f>
        <v/>
      </c>
      <c r="JL100" s="19">
        <f>AND(IF(GK100="",TRUE,IF(input_organizer="",FALSE,SUMPRODUCT(--ISNUMBER(SEARCH(","&amp;TRIM(TEXTSPLIT(GK100,","))&amp;",",","&amp;SUBSTITUTE(input_organizer," ","")&amp;",")))&gt;0)),IF(GM100="",TRUE,IF(input_organizer="",FALSE,SUMPRODUCT(--ISNUMBER(SEARCH(","&amp;TRIM(TEXTSPLIT(GM100,","))&amp;",",","&amp;SUBSTITUTE(input_organizer," ","")&amp;",")))=COUNTA(TEXTSPLIT(GM100,",")))),IF(GO100="",TRUE,IF(input_organizer="",TRUE,SUMPRODUCT(--ISNUMBER(SEARCH(","&amp;TRIM(TEXTSPLIT(GO100,","))&amp;",",","&amp;SUBSTITUTE(input_organizer," ","")&amp;",")))=0)),IF(GQ100="",TRUE,IF(input_organizer="",FALSE,SUMPRODUCT(--ISNUMBER(SEARCH(","&amp;TRIM(TEXTSPLIT(GQ100,","))&amp;",",","&amp;SUBSTITUTE(input_organizer," ","")&amp;",")))&gt;0)),IF(GS100="",TRUE,IF(input_organizer="",FALSE,SUMPRODUCT(--ISNUMBER(SEARCH(","&amp;TRIM(TEXTSPLIT(GS100,","))&amp;",",","&amp;SUBSTITUTE(input_organizer," ","")&amp;",")))=COUNTA(TEXTSPLIT(GS100,",")))))</f>
        <v/>
      </c>
      <c r="JM100" s="19">
        <f>AND(IF(GU100="",TRUE,IF(input_profile_type="",FALSE,SUMPRODUCT(--ISNUMBER(SEARCH(","&amp;TRIM(TEXTSPLIT(GU100,","))&amp;",",","&amp;SUBSTITUTE(input_profile_type," ","")&amp;",")))&gt;0)),IF(GW100="",TRUE,IF(input_profile_type="",FALSE,SUMPRODUCT(--ISNUMBER(SEARCH(","&amp;TRIM(TEXTSPLIT(GW100,","))&amp;",",","&amp;SUBSTITUTE(input_profile_type," ","")&amp;",")))=COUNTA(TEXTSPLIT(GW100,",")))),IF(GY100="",TRUE,IF(input_profile_type="",TRUE,SUMPRODUCT(--ISNUMBER(SEARCH(","&amp;TRIM(TEXTSPLIT(GY100,","))&amp;",",","&amp;SUBSTITUTE(input_profile_type," ","")&amp;",")))=0)),IF(HA100="",TRUE,IF(input_profile_type="",FALSE,SUMPRODUCT(--ISNUMBER(SEARCH(","&amp;TRIM(TEXTSPLIT(HA100,","))&amp;",",","&amp;SUBSTITUTE(input_profile_type," ","")&amp;",")))&gt;0)),IF(HC100="",TRUE,IF(input_profile_type="",FALSE,SUMPRODUCT(--ISNUMBER(SEARCH(","&amp;TRIM(TEXTSPLIT(HC100,","))&amp;",",","&amp;SUBSTITUTE(input_profile_type," ","")&amp;",")))=COUNTA(TEXTSPLIT(HC100,",")))))</f>
        <v/>
      </c>
      <c r="JN100" s="19">
        <f>AND(IF(HE100="",TRUE,IF(input_program="",FALSE,SUMPRODUCT(--ISNUMBER(SEARCH(","&amp;TRIM(TEXTSPLIT(HE100,","))&amp;",",","&amp;SUBSTITUTE(input_program," ","")&amp;",")))&gt;0)),IF(HG100="",TRUE,IF(input_program="",FALSE,SUMPRODUCT(--ISNUMBER(SEARCH(","&amp;TRIM(TEXTSPLIT(HG100,","))&amp;",",","&amp;SUBSTITUTE(input_program," ","")&amp;",")))=COUNTA(TEXTSPLIT(HG100,",")))),IF(HI100="",TRUE,IF(input_program="",TRUE,SUMPRODUCT(--ISNUMBER(SEARCH(","&amp;TRIM(TEXTSPLIT(HI100,","))&amp;",",","&amp;SUBSTITUTE(input_program," ","")&amp;",")))=0)),IF(HK100="",TRUE,IF(input_program="",FALSE,SUMPRODUCT(--ISNUMBER(SEARCH(","&amp;TRIM(TEXTSPLIT(HK100,","))&amp;",",","&amp;SUBSTITUTE(input_program," ","")&amp;",")))&gt;0)),IF(HM100="",TRUE,IF(input_program="",FALSE,SUMPRODUCT(--ISNUMBER(SEARCH(","&amp;TRIM(TEXTSPLIT(HM100,","))&amp;",",","&amp;SUBSTITUTE(input_program," ","")&amp;",")))=COUNTA(TEXTSPLIT(HM100,",")))))</f>
        <v/>
      </c>
      <c r="JO100" s="19">
        <f>AND(IF(HO100="",TRUE,IF(input_story_categories="",FALSE,SUMPRODUCT(--ISNUMBER(SEARCH(","&amp;TRIM(TEXTSPLIT(HO100,","))&amp;",",","&amp;SUBSTITUTE(input_story_categories," ","")&amp;",")))&gt;0)),IF(HQ100="",TRUE,IF(input_story_categories="",FALSE,SUMPRODUCT(--ISNUMBER(SEARCH(","&amp;TRIM(TEXTSPLIT(HQ100,","))&amp;",",","&amp;SUBSTITUTE(input_story_categories," ","")&amp;",")))=COUNTA(TEXTSPLIT(HQ100,",")))),IF(HS100="",TRUE,IF(input_story_categories="",TRUE,SUMPRODUCT(--ISNUMBER(SEARCH(","&amp;TRIM(TEXTSPLIT(HS100,","))&amp;",",","&amp;SUBSTITUTE(input_story_categories," ","")&amp;",")))=0)),IF(HU100="",TRUE,IF(input_story_categories="",FALSE,SUMPRODUCT(--ISNUMBER(SEARCH(","&amp;TRIM(TEXTSPLIT(HU100,","))&amp;",",","&amp;SUBSTITUTE(input_story_categories," ","")&amp;",")))&gt;0)),IF(HW100="",TRUE,IF(input_story_categories="",FALSE,SUMPRODUCT(--ISNUMBER(SEARCH(","&amp;TRIM(TEXTSPLIT(HW100,","))&amp;",",","&amp;SUBSTITUTE(input_story_categories," ","")&amp;",")))=COUNTA(TEXTSPLIT(HW100,",")))))</f>
        <v/>
      </c>
      <c r="JP100" s="19">
        <f>AND(IF(HY100="",TRUE,IF(input_story_type="",FALSE,SUMPRODUCT(--ISNUMBER(SEARCH(","&amp;TRIM(TEXTSPLIT(HY100,","))&amp;",",","&amp;SUBSTITUTE(input_story_type," ","")&amp;",")))&gt;0)),IF(IA100="",TRUE,IF(input_story_type="",FALSE,SUMPRODUCT(--ISNUMBER(SEARCH(","&amp;TRIM(TEXTSPLIT(IA100,","))&amp;",",","&amp;SUBSTITUTE(input_story_type," ","")&amp;",")))=COUNTA(TEXTSPLIT(IA100,",")))),IF(IC100="",TRUE,IF(input_story_type="",TRUE,SUMPRODUCT(--ISNUMBER(SEARCH(","&amp;TRIM(TEXTSPLIT(IC100,","))&amp;",",","&amp;SUBSTITUTE(input_story_type," ","")&amp;",")))=0)),IF(IE100="",TRUE,IF(input_story_type="",FALSE,SUMPRODUCT(--ISNUMBER(SEARCH(","&amp;TRIM(TEXTSPLIT(IE100,","))&amp;",",","&amp;SUBSTITUTE(input_story_type," ","")&amp;",")))&gt;0)),IF(IG100="",TRUE,IF(input_story_type="",FALSE,SUMPRODUCT(--ISNUMBER(SEARCH(","&amp;TRIM(TEXTSPLIT(IG100,","))&amp;",",","&amp;SUBSTITUTE(input_story_type," ","")&amp;",")))=COUNTA(TEXTSPLIT(IG100,",")))))</f>
        <v/>
      </c>
      <c r="JQ100" s="19">
        <f>AND(IF(II100="",TRUE,IF(input_topics="",FALSE,SUMPRODUCT(--ISNUMBER(SEARCH(","&amp;TRIM(TEXTSPLIT(II100,","))&amp;",",","&amp;SUBSTITUTE(input_topics," ","")&amp;",")))&gt;0)),IF(IK100="",TRUE,IF(input_topics="",FALSE,SUMPRODUCT(--ISNUMBER(SEARCH(","&amp;TRIM(TEXTSPLIT(IK100,","))&amp;",",","&amp;SUBSTITUTE(input_topics," ","")&amp;",")))=COUNTA(TEXTSPLIT(IK100,",")))),IF(IM100="",TRUE,IF(input_topics="",TRUE,SUMPRODUCT(--ISNUMBER(SEARCH(","&amp;TRIM(TEXTSPLIT(IM100,","))&amp;",",","&amp;SUBSTITUTE(input_topics," ","")&amp;",")))=0)),IF(IO100="",TRUE,IF(input_topics="",FALSE,SUMPRODUCT(--ISNUMBER(SEARCH(","&amp;TRIM(TEXTSPLIT(IO100,","))&amp;",",","&amp;SUBSTITUTE(input_topics," ","")&amp;",")))&gt;0)),IF(IQ100="",TRUE,IF(input_topics="",FALSE,SUMPRODUCT(--ISNUMBER(SEARCH(","&amp;TRIM(TEXTSPLIT(IQ100,","))&amp;",",","&amp;SUBSTITUTE(input_topics," ","")&amp;",")))=COUNTA(TEXTSPLIT(IQ100,",")))))</f>
        <v/>
      </c>
    </row>
    <row r="101">
      <c r="A101" s="24">
        <f>IF(NOT(IS101),"Excluded",IF(AND(IT101,IU101,IV101,IW101,IX101,IY101,IZ101,JA101,JB101,JC101,JD101,JE101,JF101,JG101,JH101,JI101,JJ101,JK101,JL101,JM101,JN101,JO101,JP101,JQ101),IF(I101&gt;0,"Eligible but limited","Will appear"),"Excluded"))</f>
        <v/>
      </c>
      <c r="B101" s="24" t="inlineStr">
        <is>
          <t>Events</t>
        </is>
      </c>
      <c r="C101" s="27" t="inlineStr">
        <is>
          <t>/alumni</t>
        </is>
      </c>
      <c r="D101" s="24" t="inlineStr">
        <is>
          <t>/alumni</t>
        </is>
      </c>
      <c r="E101" s="24" t="n">
        <v>1</v>
      </c>
      <c r="F101" s="24" t="inlineStr">
        <is>
          <t>event</t>
        </is>
      </c>
      <c r="G101" s="24" t="inlineStr">
        <is>
          <t>event_teaser_list</t>
        </is>
      </c>
      <c r="H101" s="24" t="inlineStr">
        <is>
          <t>embed_1</t>
        </is>
      </c>
      <c r="I101" s="24" t="n">
        <v>3</v>
      </c>
      <c r="J101" s="29" t="inlineStr">
        <is>
          <t>Section inferred</t>
        </is>
      </c>
      <c r="K101" s="24" t="inlineStr">
        <is>
          <t>Page placement</t>
        </is>
      </c>
      <c r="L101" s="24" t="inlineStr">
        <is>
          <t>Content type: event; Context uses Courses Context: Alumni (1142); Limited to 3 item(s); Source: Section inferred</t>
        </is>
      </c>
      <c r="BQ101" s="19" t="inlineStr">
        <is>
          <t>1142</t>
        </is>
      </c>
      <c r="BR101" s="19" t="inlineStr">
        <is>
          <t>Alumni (1142)</t>
        </is>
      </c>
      <c r="IS101" s="19">
        <f>IF(input_content_type="",FALSE,ISNUMBER(SEARCH(","&amp;LOWER(input_content_type)&amp;",",","&amp;LOWER(SUBSTITUTE(F101," ",""))&amp;",")))</f>
        <v/>
      </c>
      <c r="IT101" s="19">
        <f>AND(IF(M101="",TRUE,IF(input_affiliations="",FALSE,SUMPRODUCT(--ISNUMBER(SEARCH(","&amp;TRIM(TEXTSPLIT(M101,","))&amp;",",","&amp;SUBSTITUTE(input_affiliations," ","")&amp;",")))&gt;0)),IF(O101="",TRUE,IF(input_affiliations="",FALSE,SUMPRODUCT(--ISNUMBER(SEARCH(","&amp;TRIM(TEXTSPLIT(O101,","))&amp;",",","&amp;SUBSTITUTE(input_affiliations," ","")&amp;",")))=COUNTA(TEXTSPLIT(O101,",")))),IF(Q101="",TRUE,IF(input_affiliations="",TRUE,SUMPRODUCT(--ISNUMBER(SEARCH(","&amp;TRIM(TEXTSPLIT(Q101,","))&amp;",",","&amp;SUBSTITUTE(input_affiliations," ","")&amp;",")))=0)),IF(S101="",TRUE,IF(input_affiliations="",FALSE,SUMPRODUCT(--ISNUMBER(SEARCH(","&amp;TRIM(TEXTSPLIT(S101,","))&amp;",",","&amp;SUBSTITUTE(input_affiliations," ","")&amp;",")))&gt;0)),IF(U101="",TRUE,IF(input_affiliations="",FALSE,SUMPRODUCT(--ISNUMBER(SEARCH(","&amp;TRIM(TEXTSPLIT(U101,","))&amp;",",","&amp;SUBSTITUTE(input_affiliations," ","")&amp;",")))=COUNTA(TEXTSPLIT(U101,",")))))</f>
        <v/>
      </c>
      <c r="IU101" s="19">
        <f>AND(IF(W101="",TRUE,IF(input_announcement_category="",FALSE,SUMPRODUCT(--ISNUMBER(SEARCH(","&amp;TRIM(TEXTSPLIT(W101,","))&amp;",",","&amp;SUBSTITUTE(input_announcement_category," ","")&amp;",")))&gt;0)),IF(Y101="",TRUE,IF(input_announcement_category="",FALSE,SUMPRODUCT(--ISNUMBER(SEARCH(","&amp;TRIM(TEXTSPLIT(Y101,","))&amp;",",","&amp;SUBSTITUTE(input_announcement_category," ","")&amp;",")))=COUNTA(TEXTSPLIT(Y101,",")))),IF(AA101="",TRUE,IF(input_announcement_category="",TRUE,SUMPRODUCT(--ISNUMBER(SEARCH(","&amp;TRIM(TEXTSPLIT(AA101,","))&amp;",",","&amp;SUBSTITUTE(input_announcement_category," ","")&amp;",")))=0)),IF(AC101="",TRUE,IF(input_announcement_category="",FALSE,SUMPRODUCT(--ISNUMBER(SEARCH(","&amp;TRIM(TEXTSPLIT(AC101,","))&amp;",",","&amp;SUBSTITUTE(input_announcement_category," ","")&amp;",")))&gt;0)),IF(AE101="",TRUE,IF(input_announcement_category="",FALSE,SUMPRODUCT(--ISNUMBER(SEARCH(","&amp;TRIM(TEXTSPLIT(AE101,","))&amp;",",","&amp;SUBSTITUTE(input_announcement_category," ","")&amp;",")))=COUNTA(TEXTSPLIT(AE101,",")))))</f>
        <v/>
      </c>
      <c r="IV101" s="19">
        <f>AND(IF(AG101="",TRUE,IF(input_area_of_focus="",FALSE,SUMPRODUCT(--ISNUMBER(SEARCH(","&amp;TRIM(TEXTSPLIT(AG101,","))&amp;",",","&amp;SUBSTITUTE(input_area_of_focus," ","")&amp;",")))&gt;0)),IF(AI101="",TRUE,IF(input_area_of_focus="",FALSE,SUMPRODUCT(--ISNUMBER(SEARCH(","&amp;TRIM(TEXTSPLIT(AI101,","))&amp;",",","&amp;SUBSTITUTE(input_area_of_focus," ","")&amp;",")))=COUNTA(TEXTSPLIT(AI101,",")))),IF(AK101="",TRUE,IF(input_area_of_focus="",TRUE,SUMPRODUCT(--ISNUMBER(SEARCH(","&amp;TRIM(TEXTSPLIT(AK101,","))&amp;",",","&amp;SUBSTITUTE(input_area_of_focus," ","")&amp;",")))=0)),IF(AM101="",TRUE,IF(input_area_of_focus="",FALSE,SUMPRODUCT(--ISNUMBER(SEARCH(","&amp;TRIM(TEXTSPLIT(AM101,","))&amp;",",","&amp;SUBSTITUTE(input_area_of_focus," ","")&amp;",")))&gt;0)),IF(AO101="",TRUE,IF(input_area_of_focus="",FALSE,SUMPRODUCT(--ISNUMBER(SEARCH(","&amp;TRIM(TEXTSPLIT(AO101,","))&amp;",",","&amp;SUBSTITUTE(input_area_of_focus," ","")&amp;",")))=COUNTA(TEXTSPLIT(AO101,",")))))</f>
        <v/>
      </c>
      <c r="IW101" s="19">
        <f>AND(IF(AQ101="",TRUE,IF(input_audience="",FALSE,SUMPRODUCT(--ISNUMBER(SEARCH(","&amp;TRIM(TEXTSPLIT(AQ101,","))&amp;",",","&amp;SUBSTITUTE(input_audience," ","")&amp;",")))&gt;0)),IF(AS101="",TRUE,IF(input_audience="",FALSE,SUMPRODUCT(--ISNUMBER(SEARCH(","&amp;TRIM(TEXTSPLIT(AS101,","))&amp;",",","&amp;SUBSTITUTE(input_audience," ","")&amp;",")))=COUNTA(TEXTSPLIT(AS101,",")))),IF(AU101="",TRUE,IF(input_audience="",TRUE,SUMPRODUCT(--ISNUMBER(SEARCH(","&amp;TRIM(TEXTSPLIT(AU101,","))&amp;",",","&amp;SUBSTITUTE(input_audience," ","")&amp;",")))=0)),IF(AW101="",TRUE,IF(input_audience="",FALSE,SUMPRODUCT(--ISNUMBER(SEARCH(","&amp;TRIM(TEXTSPLIT(AW101,","))&amp;",",","&amp;SUBSTITUTE(input_audience," ","")&amp;",")))&gt;0)),IF(AY101="",TRUE,IF(input_audience="",FALSE,SUMPRODUCT(--ISNUMBER(SEARCH(","&amp;TRIM(TEXTSPLIT(AY101,","))&amp;",",","&amp;SUBSTITUTE(input_audience," ","")&amp;",")))=COUNTA(TEXTSPLIT(AY101,",")))))</f>
        <v/>
      </c>
      <c r="IX101" s="19">
        <f>AND(IF(BA101="",TRUE,IF(input_challenge_opportunities="",FALSE,SUMPRODUCT(--ISNUMBER(SEARCH(","&amp;TRIM(TEXTSPLIT(BA101,","))&amp;",",","&amp;SUBSTITUTE(input_challenge_opportunities," ","")&amp;",")))&gt;0)),IF(BC101="",TRUE,IF(input_challenge_opportunities="",FALSE,SUMPRODUCT(--ISNUMBER(SEARCH(","&amp;TRIM(TEXTSPLIT(BC101,","))&amp;",",","&amp;SUBSTITUTE(input_challenge_opportunities," ","")&amp;",")))=COUNTA(TEXTSPLIT(BC101,",")))),IF(BE101="",TRUE,IF(input_challenge_opportunities="",TRUE,SUMPRODUCT(--ISNUMBER(SEARCH(","&amp;TRIM(TEXTSPLIT(BE101,","))&amp;",",","&amp;SUBSTITUTE(input_challenge_opportunities," ","")&amp;",")))=0)),IF(BG101="",TRUE,IF(input_challenge_opportunities="",FALSE,SUMPRODUCT(--ISNUMBER(SEARCH(","&amp;TRIM(TEXTSPLIT(BG101,","))&amp;",",","&amp;SUBSTITUTE(input_challenge_opportunities," ","")&amp;",")))&gt;0)),IF(BI101="",TRUE,IF(input_challenge_opportunities="",FALSE,SUMPRODUCT(--ISNUMBER(SEARCH(","&amp;TRIM(TEXTSPLIT(BI101,","))&amp;",",","&amp;SUBSTITUTE(input_challenge_opportunities," ","")&amp;",")))=COUNTA(TEXTSPLIT(BI101,",")))))</f>
        <v/>
      </c>
      <c r="IY101" s="19">
        <f>AND(IF(BK101="",TRUE,IF(input_context="",FALSE,SUMPRODUCT(--ISNUMBER(SEARCH(","&amp;TRIM(TEXTSPLIT(BK101,","))&amp;",",","&amp;SUBSTITUTE(input_context," ","")&amp;",")))&gt;0)),IF(BM101="",TRUE,IF(input_context="",FALSE,SUMPRODUCT(--ISNUMBER(SEARCH(","&amp;TRIM(TEXTSPLIT(BM101,","))&amp;",",","&amp;SUBSTITUTE(input_context," ","")&amp;",")))=COUNTA(TEXTSPLIT(BM101,",")))),IF(BO101="",TRUE,IF(input_context="",TRUE,SUMPRODUCT(--ISNUMBER(SEARCH(","&amp;TRIM(TEXTSPLIT(BO101,","))&amp;",",","&amp;SUBSTITUTE(input_context," ","")&amp;",")))=0)),IF(BQ101="",TRUE,IF(input_context="",FALSE,SUMPRODUCT(--ISNUMBER(SEARCH(","&amp;TRIM(TEXTSPLIT(BQ101,","))&amp;",",","&amp;SUBSTITUTE(input_context," ","")&amp;",")))&gt;0)),IF(BS101="",TRUE,IF(input_context="",FALSE,SUMPRODUCT(--ISNUMBER(SEARCH(","&amp;TRIM(TEXTSPLIT(BS101,","))&amp;",",","&amp;SUBSTITUTE(input_context," ","")&amp;",")))=COUNTA(TEXTSPLIT(BS101,",")))))</f>
        <v/>
      </c>
      <c r="IZ101" s="19">
        <f>AND(IF(BU101="",TRUE,IF(input_enews_announcement_type="",FALSE,SUMPRODUCT(--ISNUMBER(SEARCH(","&amp;TRIM(TEXTSPLIT(BU101,","))&amp;",",","&amp;SUBSTITUTE(input_enews_announcement_type," ","")&amp;",")))&gt;0)),IF(BW101="",TRUE,IF(input_enews_announcement_type="",FALSE,SUMPRODUCT(--ISNUMBER(SEARCH(","&amp;TRIM(TEXTSPLIT(BW101,","))&amp;",",","&amp;SUBSTITUTE(input_enews_announcement_type," ","")&amp;",")))=COUNTA(TEXTSPLIT(BW101,",")))),IF(BY101="",TRUE,IF(input_enews_announcement_type="",TRUE,SUMPRODUCT(--ISNUMBER(SEARCH(","&amp;TRIM(TEXTSPLIT(BY101,","))&amp;",",","&amp;SUBSTITUTE(input_enews_announcement_type," ","")&amp;",")))=0)),IF(CA101="",TRUE,IF(input_enews_announcement_type="",FALSE,SUMPRODUCT(--ISNUMBER(SEARCH(","&amp;TRIM(TEXTSPLIT(CA101,","))&amp;",",","&amp;SUBSTITUTE(input_enews_announcement_type," ","")&amp;",")))&gt;0)),IF(CC101="",TRUE,IF(input_enews_announcement_type="",FALSE,SUMPRODUCT(--ISNUMBER(SEARCH(","&amp;TRIM(TEXTSPLIT(CC101,","))&amp;",",","&amp;SUBSTITUTE(input_enews_announcement_type," ","")&amp;",")))=COUNTA(TEXTSPLIT(CC101,",")))))</f>
        <v/>
      </c>
      <c r="JA101" s="19">
        <f>AND(IF(CE101="",TRUE,IF(input_enews_audience="",FALSE,SUMPRODUCT(--ISNUMBER(SEARCH(","&amp;TRIM(TEXTSPLIT(CE101,","))&amp;",",","&amp;SUBSTITUTE(input_enews_audience," ","")&amp;",")))&gt;0)),IF(CG101="",TRUE,IF(input_enews_audience="",FALSE,SUMPRODUCT(--ISNUMBER(SEARCH(","&amp;TRIM(TEXTSPLIT(CG101,","))&amp;",",","&amp;SUBSTITUTE(input_enews_audience," ","")&amp;",")))=COUNTA(TEXTSPLIT(CG101,",")))),IF(CI101="",TRUE,IF(input_enews_audience="",TRUE,SUMPRODUCT(--ISNUMBER(SEARCH(","&amp;TRIM(TEXTSPLIT(CI101,","))&amp;",",","&amp;SUBSTITUTE(input_enews_audience," ","")&amp;",")))=0)),IF(CK101="",TRUE,IF(input_enews_audience="",FALSE,SUMPRODUCT(--ISNUMBER(SEARCH(","&amp;TRIM(TEXTSPLIT(CK101,","))&amp;",",","&amp;SUBSTITUTE(input_enews_audience," ","")&amp;",")))&gt;0)),IF(CM101="",TRUE,IF(input_enews_audience="",FALSE,SUMPRODUCT(--ISNUMBER(SEARCH(","&amp;TRIM(TEXTSPLIT(CM101,","))&amp;",",","&amp;SUBSTITUTE(input_enews_audience," ","")&amp;",")))=COUNTA(TEXTSPLIT(CM101,",")))))</f>
        <v/>
      </c>
      <c r="JB101" s="19">
        <f>AND(IF(CO101="",TRUE,IF(input_event_location="",FALSE,SUMPRODUCT(--ISNUMBER(SEARCH(","&amp;TRIM(TEXTSPLIT(CO101,","))&amp;",",","&amp;SUBSTITUTE(input_event_location," ","")&amp;",")))&gt;0)),IF(CQ101="",TRUE,IF(input_event_location="",FALSE,SUMPRODUCT(--ISNUMBER(SEARCH(","&amp;TRIM(TEXTSPLIT(CQ101,","))&amp;",",","&amp;SUBSTITUTE(input_event_location," ","")&amp;",")))=COUNTA(TEXTSPLIT(CQ101,",")))),IF(CS101="",TRUE,IF(input_event_location="",TRUE,SUMPRODUCT(--ISNUMBER(SEARCH(","&amp;TRIM(TEXTSPLIT(CS101,","))&amp;",",","&amp;SUBSTITUTE(input_event_location," ","")&amp;",")))=0)),IF(CU101="",TRUE,IF(input_event_location="",FALSE,SUMPRODUCT(--ISNUMBER(SEARCH(","&amp;TRIM(TEXTSPLIT(CU101,","))&amp;",",","&amp;SUBSTITUTE(input_event_location," ","")&amp;",")))&gt;0)),IF(CW101="",TRUE,IF(input_event_location="",FALSE,SUMPRODUCT(--ISNUMBER(SEARCH(","&amp;TRIM(TEXTSPLIT(CW101,","))&amp;",",","&amp;SUBSTITUTE(input_event_location," ","")&amp;",")))=COUNTA(TEXTSPLIT(CW101,",")))))</f>
        <v/>
      </c>
      <c r="JC101" s="19">
        <f>AND(IF(CY101="",TRUE,IF(input_event_type="",FALSE,SUMPRODUCT(--ISNUMBER(SEARCH(","&amp;TRIM(TEXTSPLIT(CY101,","))&amp;",",","&amp;SUBSTITUTE(input_event_type," ","")&amp;",")))&gt;0)),IF(DA101="",TRUE,IF(input_event_type="",FALSE,SUMPRODUCT(--ISNUMBER(SEARCH(","&amp;TRIM(TEXTSPLIT(DA101,","))&amp;",",","&amp;SUBSTITUTE(input_event_type," ","")&amp;",")))=COUNTA(TEXTSPLIT(DA101,",")))),IF(DC101="",TRUE,IF(input_event_type="",TRUE,SUMPRODUCT(--ISNUMBER(SEARCH(","&amp;TRIM(TEXTSPLIT(DC101,","))&amp;",",","&amp;SUBSTITUTE(input_event_type," ","")&amp;",")))=0)),IF(DE101="",TRUE,IF(input_event_type="",FALSE,SUMPRODUCT(--ISNUMBER(SEARCH(","&amp;TRIM(TEXTSPLIT(DE101,","))&amp;",",","&amp;SUBSTITUTE(input_event_type," ","")&amp;",")))&gt;0)),IF(DG101="",TRUE,IF(input_event_type="",FALSE,SUMPRODUCT(--ISNUMBER(SEARCH(","&amp;TRIM(TEXTSPLIT(DG101,","))&amp;",",","&amp;SUBSTITUTE(input_event_type," ","")&amp;",")))=COUNTA(TEXTSPLIT(DG101,",")))))</f>
        <v/>
      </c>
      <c r="JD101" s="19">
        <f>AND(IF(DI101="",TRUE,IF(input_executive_education_focus="",FALSE,SUMPRODUCT(--ISNUMBER(SEARCH(","&amp;TRIM(TEXTSPLIT(DI101,","))&amp;",",","&amp;SUBSTITUTE(input_executive_education_focus," ","")&amp;",")))&gt;0)),IF(DK101="",TRUE,IF(input_executive_education_focus="",FALSE,SUMPRODUCT(--ISNUMBER(SEARCH(","&amp;TRIM(TEXTSPLIT(DK101,","))&amp;",",","&amp;SUBSTITUTE(input_executive_education_focus," ","")&amp;",")))=COUNTA(TEXTSPLIT(DK101,",")))),IF(DM101="",TRUE,IF(input_executive_education_focus="",TRUE,SUMPRODUCT(--ISNUMBER(SEARCH(","&amp;TRIM(TEXTSPLIT(DM101,","))&amp;",",","&amp;SUBSTITUTE(input_executive_education_focus," ","")&amp;",")))=0)),IF(DO101="",TRUE,IF(input_executive_education_focus="",FALSE,SUMPRODUCT(--ISNUMBER(SEARCH(","&amp;TRIM(TEXTSPLIT(DO101,","))&amp;",",","&amp;SUBSTITUTE(input_executive_education_focus," ","")&amp;",")))&gt;0)),IF(DQ101="",TRUE,IF(input_executive_education_focus="",FALSE,SUMPRODUCT(--ISNUMBER(SEARCH(","&amp;TRIM(TEXTSPLIT(DQ101,","))&amp;",",","&amp;SUBSTITUTE(input_executive_education_focus," ","")&amp;",")))=COUNTA(TEXTSPLIT(DQ101,",")))))</f>
        <v/>
      </c>
      <c r="JE101" s="19">
        <f>AND(IF(DS101="",TRUE,IF(input_faculty_category="",FALSE,SUMPRODUCT(--ISNUMBER(SEARCH(","&amp;TRIM(TEXTSPLIT(DS101,","))&amp;",",","&amp;SUBSTITUTE(input_faculty_category," ","")&amp;",")))&gt;0)),IF(DU101="",TRUE,IF(input_faculty_category="",FALSE,SUMPRODUCT(--ISNUMBER(SEARCH(","&amp;TRIM(TEXTSPLIT(DU101,","))&amp;",",","&amp;SUBSTITUTE(input_faculty_category," ","")&amp;",")))=COUNTA(TEXTSPLIT(DU101,",")))),IF(DW101="",TRUE,IF(input_faculty_category="",TRUE,SUMPRODUCT(--ISNUMBER(SEARCH(","&amp;TRIM(TEXTSPLIT(DW101,","))&amp;",",","&amp;SUBSTITUTE(input_faculty_category," ","")&amp;",")))=0)),IF(DY101="",TRUE,IF(input_faculty_category="",FALSE,SUMPRODUCT(--ISNUMBER(SEARCH(","&amp;TRIM(TEXTSPLIT(DY101,","))&amp;",",","&amp;SUBSTITUTE(input_faculty_category," ","")&amp;",")))&gt;0)),IF(EA101="",TRUE,IF(input_faculty_category="",FALSE,SUMPRODUCT(--ISNUMBER(SEARCH(","&amp;TRIM(TEXTSPLIT(EA101,","))&amp;",",","&amp;SUBSTITUTE(input_faculty_category," ","")&amp;",")))=COUNTA(TEXTSPLIT(EA101,",")))))</f>
        <v/>
      </c>
      <c r="JF101" s="19">
        <f>AND(IF(EC101="",TRUE,IF(input_faculty_discipline="",FALSE,SUMPRODUCT(--ISNUMBER(SEARCH(","&amp;TRIM(TEXTSPLIT(EC101,","))&amp;",",","&amp;SUBSTITUTE(input_faculty_discipline," ","")&amp;",")))&gt;0)),IF(EE101="",TRUE,IF(input_faculty_discipline="",FALSE,SUMPRODUCT(--ISNUMBER(SEARCH(","&amp;TRIM(TEXTSPLIT(EE101,","))&amp;",",","&amp;SUBSTITUTE(input_faculty_discipline," ","")&amp;",")))=COUNTA(TEXTSPLIT(EE101,",")))),IF(EG101="",TRUE,IF(input_faculty_discipline="",TRUE,SUMPRODUCT(--ISNUMBER(SEARCH(","&amp;TRIM(TEXTSPLIT(EG101,","))&amp;",",","&amp;SUBSTITUTE(input_faculty_discipline," ","")&amp;",")))=0)),IF(EI101="",TRUE,IF(input_faculty_discipline="",FALSE,SUMPRODUCT(--ISNUMBER(SEARCH(","&amp;TRIM(TEXTSPLIT(EI101,","))&amp;",",","&amp;SUBSTITUTE(input_faculty_discipline," ","")&amp;",")))&gt;0)),IF(EK101="",TRUE,IF(input_faculty_discipline="",FALSE,SUMPRODUCT(--ISNUMBER(SEARCH(","&amp;TRIM(TEXTSPLIT(EK101,","))&amp;",",","&amp;SUBSTITUTE(input_faculty_discipline," ","")&amp;",")))=COUNTA(TEXTSPLIT(EK101,",")))))</f>
        <v/>
      </c>
      <c r="JG101" s="19">
        <f>AND(IF(EM101="",TRUE,IF(input_faculty_expertise="",FALSE,SUMPRODUCT(--ISNUMBER(SEARCH(","&amp;TRIM(TEXTSPLIT(EM101,","))&amp;",",","&amp;SUBSTITUTE(input_faculty_expertise," ","")&amp;",")))&gt;0)),IF(EO101="",TRUE,IF(input_faculty_expertise="",FALSE,SUMPRODUCT(--ISNUMBER(SEARCH(","&amp;TRIM(TEXTSPLIT(EO101,","))&amp;",",","&amp;SUBSTITUTE(input_faculty_expertise," ","")&amp;",")))=COUNTA(TEXTSPLIT(EO101,",")))),IF(EQ101="",TRUE,IF(input_faculty_expertise="",TRUE,SUMPRODUCT(--ISNUMBER(SEARCH(","&amp;TRIM(TEXTSPLIT(EQ101,","))&amp;",",","&amp;SUBSTITUTE(input_faculty_expertise," ","")&amp;",")))=0)),IF(ES101="",TRUE,IF(input_faculty_expertise="",FALSE,SUMPRODUCT(--ISNUMBER(SEARCH(","&amp;TRIM(TEXTSPLIT(ES101,","))&amp;",",","&amp;SUBSTITUTE(input_faculty_expertise," ","")&amp;",")))&gt;0)),IF(EU101="",TRUE,IF(input_faculty_expertise="",FALSE,SUMPRODUCT(--ISNUMBER(SEARCH(","&amp;TRIM(TEXTSPLIT(EU101,","))&amp;",",","&amp;SUBSTITUTE(input_faculty_expertise," ","")&amp;",")))=COUNTA(TEXTSPLIT(EU101,",")))))</f>
        <v/>
      </c>
      <c r="JH101" s="19">
        <f>AND(IF(EW101="",TRUE,IF(input_global_network_school="",FALSE,SUMPRODUCT(--ISNUMBER(SEARCH(","&amp;TRIM(TEXTSPLIT(EW101,","))&amp;",",","&amp;SUBSTITUTE(input_global_network_school," ","")&amp;",")))&gt;0)),IF(EY101="",TRUE,IF(input_global_network_school="",FALSE,SUMPRODUCT(--ISNUMBER(SEARCH(","&amp;TRIM(TEXTSPLIT(EY101,","))&amp;",",","&amp;SUBSTITUTE(input_global_network_school," ","")&amp;",")))=COUNTA(TEXTSPLIT(EY101,",")))),IF(FA101="",TRUE,IF(input_global_network_school="",TRUE,SUMPRODUCT(--ISNUMBER(SEARCH(","&amp;TRIM(TEXTSPLIT(FA101,","))&amp;",",","&amp;SUBSTITUTE(input_global_network_school," ","")&amp;",")))=0)),IF(FC101="",TRUE,IF(input_global_network_school="",FALSE,SUMPRODUCT(--ISNUMBER(SEARCH(","&amp;TRIM(TEXTSPLIT(FC101,","))&amp;",",","&amp;SUBSTITUTE(input_global_network_school," ","")&amp;",")))&gt;0)),IF(FE101="",TRUE,IF(input_global_network_school="",FALSE,SUMPRODUCT(--ISNUMBER(SEARCH(","&amp;TRIM(TEXTSPLIT(FE101,","))&amp;",",","&amp;SUBSTITUTE(input_global_network_school," ","")&amp;",")))=COUNTA(TEXTSPLIT(FE101,",")))))</f>
        <v/>
      </c>
      <c r="JI101" s="19">
        <f>AND(IF(FG101="",TRUE,IF(input_industry="",FALSE,SUMPRODUCT(--ISNUMBER(SEARCH(","&amp;TRIM(TEXTSPLIT(FG101,","))&amp;",",","&amp;SUBSTITUTE(input_industry," ","")&amp;",")))&gt;0)),IF(FI101="",TRUE,IF(input_industry="",FALSE,SUMPRODUCT(--ISNUMBER(SEARCH(","&amp;TRIM(TEXTSPLIT(FI101,","))&amp;",",","&amp;SUBSTITUTE(input_industry," ","")&amp;",")))=COUNTA(TEXTSPLIT(FI101,",")))),IF(FK101="",TRUE,IF(input_industry="",TRUE,SUMPRODUCT(--ISNUMBER(SEARCH(","&amp;TRIM(TEXTSPLIT(FK101,","))&amp;",",","&amp;SUBSTITUTE(input_industry," ","")&amp;",")))=0)),IF(FM101="",TRUE,IF(input_industry="",FALSE,SUMPRODUCT(--ISNUMBER(SEARCH(","&amp;TRIM(TEXTSPLIT(FM101,","))&amp;",",","&amp;SUBSTITUTE(input_industry," ","")&amp;",")))&gt;0)),IF(FO101="",TRUE,IF(input_industry="",FALSE,SUMPRODUCT(--ISNUMBER(SEARCH(","&amp;TRIM(TEXTSPLIT(FO101,","))&amp;",",","&amp;SUBSTITUTE(input_industry," ","")&amp;",")))=COUNTA(TEXTSPLIT(FO101,",")))))</f>
        <v/>
      </c>
      <c r="JJ101" s="19">
        <f>AND(IF(FQ101="",TRUE,IF(input_location="",FALSE,SUMPRODUCT(--ISNUMBER(SEARCH(","&amp;TRIM(TEXTSPLIT(FQ101,","))&amp;",",","&amp;SUBSTITUTE(input_location," ","")&amp;",")))&gt;0)),IF(FS101="",TRUE,IF(input_location="",FALSE,SUMPRODUCT(--ISNUMBER(SEARCH(","&amp;TRIM(TEXTSPLIT(FS101,","))&amp;",",","&amp;SUBSTITUTE(input_location," ","")&amp;",")))=COUNTA(TEXTSPLIT(FS101,",")))),IF(FU101="",TRUE,IF(input_location="",TRUE,SUMPRODUCT(--ISNUMBER(SEARCH(","&amp;TRIM(TEXTSPLIT(FU101,","))&amp;",",","&amp;SUBSTITUTE(input_location," ","")&amp;",")))=0)),IF(FW101="",TRUE,IF(input_location="",FALSE,SUMPRODUCT(--ISNUMBER(SEARCH(","&amp;TRIM(TEXTSPLIT(FW101,","))&amp;",",","&amp;SUBSTITUTE(input_location," ","")&amp;",")))&gt;0)),IF(FY101="",TRUE,IF(input_location="",FALSE,SUMPRODUCT(--ISNUMBER(SEARCH(","&amp;TRIM(TEXTSPLIT(FY101,","))&amp;",",","&amp;SUBSTITUTE(input_location," ","")&amp;",")))=COUNTA(TEXTSPLIT(FY101,",")))))</f>
        <v/>
      </c>
      <c r="JK101" s="19">
        <f>AND(IF(GA101="",TRUE,IF(input_modality="",FALSE,SUMPRODUCT(--ISNUMBER(SEARCH(","&amp;TRIM(TEXTSPLIT(GA101,","))&amp;",",","&amp;SUBSTITUTE(input_modality," ","")&amp;",")))&gt;0)),IF(GC101="",TRUE,IF(input_modality="",FALSE,SUMPRODUCT(--ISNUMBER(SEARCH(","&amp;TRIM(TEXTSPLIT(GC101,","))&amp;",",","&amp;SUBSTITUTE(input_modality," ","")&amp;",")))=COUNTA(TEXTSPLIT(GC101,",")))),IF(GE101="",TRUE,IF(input_modality="",TRUE,SUMPRODUCT(--ISNUMBER(SEARCH(","&amp;TRIM(TEXTSPLIT(GE101,","))&amp;",",","&amp;SUBSTITUTE(input_modality," ","")&amp;",")))=0)),IF(GG101="",TRUE,IF(input_modality="",FALSE,SUMPRODUCT(--ISNUMBER(SEARCH(","&amp;TRIM(TEXTSPLIT(GG101,","))&amp;",",","&amp;SUBSTITUTE(input_modality," ","")&amp;",")))&gt;0)),IF(GI101="",TRUE,IF(input_modality="",FALSE,SUMPRODUCT(--ISNUMBER(SEARCH(","&amp;TRIM(TEXTSPLIT(GI101,","))&amp;",",","&amp;SUBSTITUTE(input_modality," ","")&amp;",")))=COUNTA(TEXTSPLIT(GI101,",")))))</f>
        <v/>
      </c>
      <c r="JL101" s="19">
        <f>AND(IF(GK101="",TRUE,IF(input_organizer="",FALSE,SUMPRODUCT(--ISNUMBER(SEARCH(","&amp;TRIM(TEXTSPLIT(GK101,","))&amp;",",","&amp;SUBSTITUTE(input_organizer," ","")&amp;",")))&gt;0)),IF(GM101="",TRUE,IF(input_organizer="",FALSE,SUMPRODUCT(--ISNUMBER(SEARCH(","&amp;TRIM(TEXTSPLIT(GM101,","))&amp;",",","&amp;SUBSTITUTE(input_organizer," ","")&amp;",")))=COUNTA(TEXTSPLIT(GM101,",")))),IF(GO101="",TRUE,IF(input_organizer="",TRUE,SUMPRODUCT(--ISNUMBER(SEARCH(","&amp;TRIM(TEXTSPLIT(GO101,","))&amp;",",","&amp;SUBSTITUTE(input_organizer," ","")&amp;",")))=0)),IF(GQ101="",TRUE,IF(input_organizer="",FALSE,SUMPRODUCT(--ISNUMBER(SEARCH(","&amp;TRIM(TEXTSPLIT(GQ101,","))&amp;",",","&amp;SUBSTITUTE(input_organizer," ","")&amp;",")))&gt;0)),IF(GS101="",TRUE,IF(input_organizer="",FALSE,SUMPRODUCT(--ISNUMBER(SEARCH(","&amp;TRIM(TEXTSPLIT(GS101,","))&amp;",",","&amp;SUBSTITUTE(input_organizer," ","")&amp;",")))=COUNTA(TEXTSPLIT(GS101,",")))))</f>
        <v/>
      </c>
      <c r="JM101" s="19">
        <f>AND(IF(GU101="",TRUE,IF(input_profile_type="",FALSE,SUMPRODUCT(--ISNUMBER(SEARCH(","&amp;TRIM(TEXTSPLIT(GU101,","))&amp;",",","&amp;SUBSTITUTE(input_profile_type," ","")&amp;",")))&gt;0)),IF(GW101="",TRUE,IF(input_profile_type="",FALSE,SUMPRODUCT(--ISNUMBER(SEARCH(","&amp;TRIM(TEXTSPLIT(GW101,","))&amp;",",","&amp;SUBSTITUTE(input_profile_type," ","")&amp;",")))=COUNTA(TEXTSPLIT(GW101,",")))),IF(GY101="",TRUE,IF(input_profile_type="",TRUE,SUMPRODUCT(--ISNUMBER(SEARCH(","&amp;TRIM(TEXTSPLIT(GY101,","))&amp;",",","&amp;SUBSTITUTE(input_profile_type," ","")&amp;",")))=0)),IF(HA101="",TRUE,IF(input_profile_type="",FALSE,SUMPRODUCT(--ISNUMBER(SEARCH(","&amp;TRIM(TEXTSPLIT(HA101,","))&amp;",",","&amp;SUBSTITUTE(input_profile_type," ","")&amp;",")))&gt;0)),IF(HC101="",TRUE,IF(input_profile_type="",FALSE,SUMPRODUCT(--ISNUMBER(SEARCH(","&amp;TRIM(TEXTSPLIT(HC101,","))&amp;",",","&amp;SUBSTITUTE(input_profile_type," ","")&amp;",")))=COUNTA(TEXTSPLIT(HC101,",")))))</f>
        <v/>
      </c>
      <c r="JN101" s="19">
        <f>AND(IF(HE101="",TRUE,IF(input_program="",FALSE,SUMPRODUCT(--ISNUMBER(SEARCH(","&amp;TRIM(TEXTSPLIT(HE101,","))&amp;",",","&amp;SUBSTITUTE(input_program," ","")&amp;",")))&gt;0)),IF(HG101="",TRUE,IF(input_program="",FALSE,SUMPRODUCT(--ISNUMBER(SEARCH(","&amp;TRIM(TEXTSPLIT(HG101,","))&amp;",",","&amp;SUBSTITUTE(input_program," ","")&amp;",")))=COUNTA(TEXTSPLIT(HG101,",")))),IF(HI101="",TRUE,IF(input_program="",TRUE,SUMPRODUCT(--ISNUMBER(SEARCH(","&amp;TRIM(TEXTSPLIT(HI101,","))&amp;",",","&amp;SUBSTITUTE(input_program," ","")&amp;",")))=0)),IF(HK101="",TRUE,IF(input_program="",FALSE,SUMPRODUCT(--ISNUMBER(SEARCH(","&amp;TRIM(TEXTSPLIT(HK101,","))&amp;",",","&amp;SUBSTITUTE(input_program," ","")&amp;",")))&gt;0)),IF(HM101="",TRUE,IF(input_program="",FALSE,SUMPRODUCT(--ISNUMBER(SEARCH(","&amp;TRIM(TEXTSPLIT(HM101,","))&amp;",",","&amp;SUBSTITUTE(input_program," ","")&amp;",")))=COUNTA(TEXTSPLIT(HM101,",")))))</f>
        <v/>
      </c>
      <c r="JO101" s="19">
        <f>AND(IF(HO101="",TRUE,IF(input_story_categories="",FALSE,SUMPRODUCT(--ISNUMBER(SEARCH(","&amp;TRIM(TEXTSPLIT(HO101,","))&amp;",",","&amp;SUBSTITUTE(input_story_categories," ","")&amp;",")))&gt;0)),IF(HQ101="",TRUE,IF(input_story_categories="",FALSE,SUMPRODUCT(--ISNUMBER(SEARCH(","&amp;TRIM(TEXTSPLIT(HQ101,","))&amp;",",","&amp;SUBSTITUTE(input_story_categories," ","")&amp;",")))=COUNTA(TEXTSPLIT(HQ101,",")))),IF(HS101="",TRUE,IF(input_story_categories="",TRUE,SUMPRODUCT(--ISNUMBER(SEARCH(","&amp;TRIM(TEXTSPLIT(HS101,","))&amp;",",","&amp;SUBSTITUTE(input_story_categories," ","")&amp;",")))=0)),IF(HU101="",TRUE,IF(input_story_categories="",FALSE,SUMPRODUCT(--ISNUMBER(SEARCH(","&amp;TRIM(TEXTSPLIT(HU101,","))&amp;",",","&amp;SUBSTITUTE(input_story_categories," ","")&amp;",")))&gt;0)),IF(HW101="",TRUE,IF(input_story_categories="",FALSE,SUMPRODUCT(--ISNUMBER(SEARCH(","&amp;TRIM(TEXTSPLIT(HW101,","))&amp;",",","&amp;SUBSTITUTE(input_story_categories," ","")&amp;",")))=COUNTA(TEXTSPLIT(HW101,",")))))</f>
        <v/>
      </c>
      <c r="JP101" s="19">
        <f>AND(IF(HY101="",TRUE,IF(input_story_type="",FALSE,SUMPRODUCT(--ISNUMBER(SEARCH(","&amp;TRIM(TEXTSPLIT(HY101,","))&amp;",",","&amp;SUBSTITUTE(input_story_type," ","")&amp;",")))&gt;0)),IF(IA101="",TRUE,IF(input_story_type="",FALSE,SUMPRODUCT(--ISNUMBER(SEARCH(","&amp;TRIM(TEXTSPLIT(IA101,","))&amp;",",","&amp;SUBSTITUTE(input_story_type," ","")&amp;",")))=COUNTA(TEXTSPLIT(IA101,",")))),IF(IC101="",TRUE,IF(input_story_type="",TRUE,SUMPRODUCT(--ISNUMBER(SEARCH(","&amp;TRIM(TEXTSPLIT(IC101,","))&amp;",",","&amp;SUBSTITUTE(input_story_type," ","")&amp;",")))=0)),IF(IE101="",TRUE,IF(input_story_type="",FALSE,SUMPRODUCT(--ISNUMBER(SEARCH(","&amp;TRIM(TEXTSPLIT(IE101,","))&amp;",",","&amp;SUBSTITUTE(input_story_type," ","")&amp;",")))&gt;0)),IF(IG101="",TRUE,IF(input_story_type="",FALSE,SUMPRODUCT(--ISNUMBER(SEARCH(","&amp;TRIM(TEXTSPLIT(IG101,","))&amp;",",","&amp;SUBSTITUTE(input_story_type," ","")&amp;",")))=COUNTA(TEXTSPLIT(IG101,",")))))</f>
        <v/>
      </c>
      <c r="JQ101" s="19">
        <f>AND(IF(II101="",TRUE,IF(input_topics="",FALSE,SUMPRODUCT(--ISNUMBER(SEARCH(","&amp;TRIM(TEXTSPLIT(II101,","))&amp;",",","&amp;SUBSTITUTE(input_topics," ","")&amp;",")))&gt;0)),IF(IK101="",TRUE,IF(input_topics="",FALSE,SUMPRODUCT(--ISNUMBER(SEARCH(","&amp;TRIM(TEXTSPLIT(IK101,","))&amp;",",","&amp;SUBSTITUTE(input_topics," ","")&amp;",")))=COUNTA(TEXTSPLIT(IK101,",")))),IF(IM101="",TRUE,IF(input_topics="",TRUE,SUMPRODUCT(--ISNUMBER(SEARCH(","&amp;TRIM(TEXTSPLIT(IM101,","))&amp;",",","&amp;SUBSTITUTE(input_topics," ","")&amp;",")))=0)),IF(IO101="",TRUE,IF(input_topics="",FALSE,SUMPRODUCT(--ISNUMBER(SEARCH(","&amp;TRIM(TEXTSPLIT(IO101,","))&amp;",",","&amp;SUBSTITUTE(input_topics," ","")&amp;",")))&gt;0)),IF(IQ101="",TRUE,IF(input_topics="",FALSE,SUMPRODUCT(--ISNUMBER(SEARCH(","&amp;TRIM(TEXTSPLIT(IQ101,","))&amp;",",","&amp;SUBSTITUTE(input_topics," ","")&amp;",")))=COUNTA(TEXTSPLIT(IQ101,",")))))</f>
        <v/>
      </c>
    </row>
    <row r="102">
      <c r="A102" s="24">
        <f>IF(NOT(IS102),"Excluded",IF(AND(IT102,IU102,IV102,IW102,IX102,IY102,IZ102,JA102,JB102,JC102,JD102,JE102,JF102,JG102,JH102,JI102,JJ102,JK102,JL102,JM102,JN102,JO102,JP102,JQ102),IF(I102&gt;0,"Eligible but limited","Will appear"),"Excluded"))</f>
        <v/>
      </c>
      <c r="B102" s="24" t="inlineStr">
        <is>
          <t>Events</t>
        </is>
      </c>
      <c r="C102" s="27" t="inlineStr">
        <is>
          <t>/centers/china-india-insights-program/events</t>
        </is>
      </c>
      <c r="D102" s="24" t="inlineStr">
        <is>
          <t>/centers/china-india-insights-program/events</t>
        </is>
      </c>
      <c r="E102" s="24" t="n">
        <v>1</v>
      </c>
      <c r="F102" s="24" t="inlineStr">
        <is>
          <t>event</t>
        </is>
      </c>
      <c r="G102" s="24" t="inlineStr">
        <is>
          <t>event_list</t>
        </is>
      </c>
      <c r="H102" s="24" t="inlineStr">
        <is>
          <t>embed_no_filters</t>
        </is>
      </c>
      <c r="I102" s="24" t="n">
        <v>8</v>
      </c>
      <c r="J102" s="28" t="inlineStr">
        <is>
          <t>Explicit args</t>
        </is>
      </c>
      <c r="K102" s="24" t="inlineStr">
        <is>
          <t>Page placement</t>
        </is>
      </c>
      <c r="L102" s="24" t="inlineStr">
        <is>
          <t>Content type: event; Context uses Courses Context: China India Insights Program (988); Limited to 8 item(s); Source: Explicit args</t>
        </is>
      </c>
      <c r="BQ102" s="19" t="inlineStr">
        <is>
          <t>988</t>
        </is>
      </c>
      <c r="BR102" s="19" t="inlineStr">
        <is>
          <t>China India Insights Program (988)</t>
        </is>
      </c>
      <c r="IS102" s="19">
        <f>IF(input_content_type="",FALSE,ISNUMBER(SEARCH(","&amp;LOWER(input_content_type)&amp;",",","&amp;LOWER(SUBSTITUTE(F102," ",""))&amp;",")))</f>
        <v/>
      </c>
      <c r="IT102" s="19">
        <f>AND(IF(M102="",TRUE,IF(input_affiliations="",FALSE,SUMPRODUCT(--ISNUMBER(SEARCH(","&amp;TRIM(TEXTSPLIT(M102,","))&amp;",",","&amp;SUBSTITUTE(input_affiliations," ","")&amp;",")))&gt;0)),IF(O102="",TRUE,IF(input_affiliations="",FALSE,SUMPRODUCT(--ISNUMBER(SEARCH(","&amp;TRIM(TEXTSPLIT(O102,","))&amp;",",","&amp;SUBSTITUTE(input_affiliations," ","")&amp;",")))=COUNTA(TEXTSPLIT(O102,",")))),IF(Q102="",TRUE,IF(input_affiliations="",TRUE,SUMPRODUCT(--ISNUMBER(SEARCH(","&amp;TRIM(TEXTSPLIT(Q102,","))&amp;",",","&amp;SUBSTITUTE(input_affiliations," ","")&amp;",")))=0)),IF(S102="",TRUE,IF(input_affiliations="",FALSE,SUMPRODUCT(--ISNUMBER(SEARCH(","&amp;TRIM(TEXTSPLIT(S102,","))&amp;",",","&amp;SUBSTITUTE(input_affiliations," ","")&amp;",")))&gt;0)),IF(U102="",TRUE,IF(input_affiliations="",FALSE,SUMPRODUCT(--ISNUMBER(SEARCH(","&amp;TRIM(TEXTSPLIT(U102,","))&amp;",",","&amp;SUBSTITUTE(input_affiliations," ","")&amp;",")))=COUNTA(TEXTSPLIT(U102,",")))))</f>
        <v/>
      </c>
      <c r="IU102" s="19">
        <f>AND(IF(W102="",TRUE,IF(input_announcement_category="",FALSE,SUMPRODUCT(--ISNUMBER(SEARCH(","&amp;TRIM(TEXTSPLIT(W102,","))&amp;",",","&amp;SUBSTITUTE(input_announcement_category," ","")&amp;",")))&gt;0)),IF(Y102="",TRUE,IF(input_announcement_category="",FALSE,SUMPRODUCT(--ISNUMBER(SEARCH(","&amp;TRIM(TEXTSPLIT(Y102,","))&amp;",",","&amp;SUBSTITUTE(input_announcement_category," ","")&amp;",")))=COUNTA(TEXTSPLIT(Y102,",")))),IF(AA102="",TRUE,IF(input_announcement_category="",TRUE,SUMPRODUCT(--ISNUMBER(SEARCH(","&amp;TRIM(TEXTSPLIT(AA102,","))&amp;",",","&amp;SUBSTITUTE(input_announcement_category," ","")&amp;",")))=0)),IF(AC102="",TRUE,IF(input_announcement_category="",FALSE,SUMPRODUCT(--ISNUMBER(SEARCH(","&amp;TRIM(TEXTSPLIT(AC102,","))&amp;",",","&amp;SUBSTITUTE(input_announcement_category," ","")&amp;",")))&gt;0)),IF(AE102="",TRUE,IF(input_announcement_category="",FALSE,SUMPRODUCT(--ISNUMBER(SEARCH(","&amp;TRIM(TEXTSPLIT(AE102,","))&amp;",",","&amp;SUBSTITUTE(input_announcement_category," ","")&amp;",")))=COUNTA(TEXTSPLIT(AE102,",")))))</f>
        <v/>
      </c>
      <c r="IV102" s="19">
        <f>AND(IF(AG102="",TRUE,IF(input_area_of_focus="",FALSE,SUMPRODUCT(--ISNUMBER(SEARCH(","&amp;TRIM(TEXTSPLIT(AG102,","))&amp;",",","&amp;SUBSTITUTE(input_area_of_focus," ","")&amp;",")))&gt;0)),IF(AI102="",TRUE,IF(input_area_of_focus="",FALSE,SUMPRODUCT(--ISNUMBER(SEARCH(","&amp;TRIM(TEXTSPLIT(AI102,","))&amp;",",","&amp;SUBSTITUTE(input_area_of_focus," ","")&amp;",")))=COUNTA(TEXTSPLIT(AI102,",")))),IF(AK102="",TRUE,IF(input_area_of_focus="",TRUE,SUMPRODUCT(--ISNUMBER(SEARCH(","&amp;TRIM(TEXTSPLIT(AK102,","))&amp;",",","&amp;SUBSTITUTE(input_area_of_focus," ","")&amp;",")))=0)),IF(AM102="",TRUE,IF(input_area_of_focus="",FALSE,SUMPRODUCT(--ISNUMBER(SEARCH(","&amp;TRIM(TEXTSPLIT(AM102,","))&amp;",",","&amp;SUBSTITUTE(input_area_of_focus," ","")&amp;",")))&gt;0)),IF(AO102="",TRUE,IF(input_area_of_focus="",FALSE,SUMPRODUCT(--ISNUMBER(SEARCH(","&amp;TRIM(TEXTSPLIT(AO102,","))&amp;",",","&amp;SUBSTITUTE(input_area_of_focus," ","")&amp;",")))=COUNTA(TEXTSPLIT(AO102,",")))))</f>
        <v/>
      </c>
      <c r="IW102" s="19">
        <f>AND(IF(AQ102="",TRUE,IF(input_audience="",FALSE,SUMPRODUCT(--ISNUMBER(SEARCH(","&amp;TRIM(TEXTSPLIT(AQ102,","))&amp;",",","&amp;SUBSTITUTE(input_audience," ","")&amp;",")))&gt;0)),IF(AS102="",TRUE,IF(input_audience="",FALSE,SUMPRODUCT(--ISNUMBER(SEARCH(","&amp;TRIM(TEXTSPLIT(AS102,","))&amp;",",","&amp;SUBSTITUTE(input_audience," ","")&amp;",")))=COUNTA(TEXTSPLIT(AS102,",")))),IF(AU102="",TRUE,IF(input_audience="",TRUE,SUMPRODUCT(--ISNUMBER(SEARCH(","&amp;TRIM(TEXTSPLIT(AU102,","))&amp;",",","&amp;SUBSTITUTE(input_audience," ","")&amp;",")))=0)),IF(AW102="",TRUE,IF(input_audience="",FALSE,SUMPRODUCT(--ISNUMBER(SEARCH(","&amp;TRIM(TEXTSPLIT(AW102,","))&amp;",",","&amp;SUBSTITUTE(input_audience," ","")&amp;",")))&gt;0)),IF(AY102="",TRUE,IF(input_audience="",FALSE,SUMPRODUCT(--ISNUMBER(SEARCH(","&amp;TRIM(TEXTSPLIT(AY102,","))&amp;",",","&amp;SUBSTITUTE(input_audience," ","")&amp;",")))=COUNTA(TEXTSPLIT(AY102,",")))))</f>
        <v/>
      </c>
      <c r="IX102" s="19">
        <f>AND(IF(BA102="",TRUE,IF(input_challenge_opportunities="",FALSE,SUMPRODUCT(--ISNUMBER(SEARCH(","&amp;TRIM(TEXTSPLIT(BA102,","))&amp;",",","&amp;SUBSTITUTE(input_challenge_opportunities," ","")&amp;",")))&gt;0)),IF(BC102="",TRUE,IF(input_challenge_opportunities="",FALSE,SUMPRODUCT(--ISNUMBER(SEARCH(","&amp;TRIM(TEXTSPLIT(BC102,","))&amp;",",","&amp;SUBSTITUTE(input_challenge_opportunities," ","")&amp;",")))=COUNTA(TEXTSPLIT(BC102,",")))),IF(BE102="",TRUE,IF(input_challenge_opportunities="",TRUE,SUMPRODUCT(--ISNUMBER(SEARCH(","&amp;TRIM(TEXTSPLIT(BE102,","))&amp;",",","&amp;SUBSTITUTE(input_challenge_opportunities," ","")&amp;",")))=0)),IF(BG102="",TRUE,IF(input_challenge_opportunities="",FALSE,SUMPRODUCT(--ISNUMBER(SEARCH(","&amp;TRIM(TEXTSPLIT(BG102,","))&amp;",",","&amp;SUBSTITUTE(input_challenge_opportunities," ","")&amp;",")))&gt;0)),IF(BI102="",TRUE,IF(input_challenge_opportunities="",FALSE,SUMPRODUCT(--ISNUMBER(SEARCH(","&amp;TRIM(TEXTSPLIT(BI102,","))&amp;",",","&amp;SUBSTITUTE(input_challenge_opportunities," ","")&amp;",")))=COUNTA(TEXTSPLIT(BI102,",")))))</f>
        <v/>
      </c>
      <c r="IY102" s="19">
        <f>AND(IF(BK102="",TRUE,IF(input_context="",FALSE,SUMPRODUCT(--ISNUMBER(SEARCH(","&amp;TRIM(TEXTSPLIT(BK102,","))&amp;",",","&amp;SUBSTITUTE(input_context," ","")&amp;",")))&gt;0)),IF(BM102="",TRUE,IF(input_context="",FALSE,SUMPRODUCT(--ISNUMBER(SEARCH(","&amp;TRIM(TEXTSPLIT(BM102,","))&amp;",",","&amp;SUBSTITUTE(input_context," ","")&amp;",")))=COUNTA(TEXTSPLIT(BM102,",")))),IF(BO102="",TRUE,IF(input_context="",TRUE,SUMPRODUCT(--ISNUMBER(SEARCH(","&amp;TRIM(TEXTSPLIT(BO102,","))&amp;",",","&amp;SUBSTITUTE(input_context," ","")&amp;",")))=0)),IF(BQ102="",TRUE,IF(input_context="",FALSE,SUMPRODUCT(--ISNUMBER(SEARCH(","&amp;TRIM(TEXTSPLIT(BQ102,","))&amp;",",","&amp;SUBSTITUTE(input_context," ","")&amp;",")))&gt;0)),IF(BS102="",TRUE,IF(input_context="",FALSE,SUMPRODUCT(--ISNUMBER(SEARCH(","&amp;TRIM(TEXTSPLIT(BS102,","))&amp;",",","&amp;SUBSTITUTE(input_context," ","")&amp;",")))=COUNTA(TEXTSPLIT(BS102,",")))))</f>
        <v/>
      </c>
      <c r="IZ102" s="19">
        <f>AND(IF(BU102="",TRUE,IF(input_enews_announcement_type="",FALSE,SUMPRODUCT(--ISNUMBER(SEARCH(","&amp;TRIM(TEXTSPLIT(BU102,","))&amp;",",","&amp;SUBSTITUTE(input_enews_announcement_type," ","")&amp;",")))&gt;0)),IF(BW102="",TRUE,IF(input_enews_announcement_type="",FALSE,SUMPRODUCT(--ISNUMBER(SEARCH(","&amp;TRIM(TEXTSPLIT(BW102,","))&amp;",",","&amp;SUBSTITUTE(input_enews_announcement_type," ","")&amp;",")))=COUNTA(TEXTSPLIT(BW102,",")))),IF(BY102="",TRUE,IF(input_enews_announcement_type="",TRUE,SUMPRODUCT(--ISNUMBER(SEARCH(","&amp;TRIM(TEXTSPLIT(BY102,","))&amp;",",","&amp;SUBSTITUTE(input_enews_announcement_type," ","")&amp;",")))=0)),IF(CA102="",TRUE,IF(input_enews_announcement_type="",FALSE,SUMPRODUCT(--ISNUMBER(SEARCH(","&amp;TRIM(TEXTSPLIT(CA102,","))&amp;",",","&amp;SUBSTITUTE(input_enews_announcement_type," ","")&amp;",")))&gt;0)),IF(CC102="",TRUE,IF(input_enews_announcement_type="",FALSE,SUMPRODUCT(--ISNUMBER(SEARCH(","&amp;TRIM(TEXTSPLIT(CC102,","))&amp;",",","&amp;SUBSTITUTE(input_enews_announcement_type," ","")&amp;",")))=COUNTA(TEXTSPLIT(CC102,",")))))</f>
        <v/>
      </c>
      <c r="JA102" s="19">
        <f>AND(IF(CE102="",TRUE,IF(input_enews_audience="",FALSE,SUMPRODUCT(--ISNUMBER(SEARCH(","&amp;TRIM(TEXTSPLIT(CE102,","))&amp;",",","&amp;SUBSTITUTE(input_enews_audience," ","")&amp;",")))&gt;0)),IF(CG102="",TRUE,IF(input_enews_audience="",FALSE,SUMPRODUCT(--ISNUMBER(SEARCH(","&amp;TRIM(TEXTSPLIT(CG102,","))&amp;",",","&amp;SUBSTITUTE(input_enews_audience," ","")&amp;",")))=COUNTA(TEXTSPLIT(CG102,",")))),IF(CI102="",TRUE,IF(input_enews_audience="",TRUE,SUMPRODUCT(--ISNUMBER(SEARCH(","&amp;TRIM(TEXTSPLIT(CI102,","))&amp;",",","&amp;SUBSTITUTE(input_enews_audience," ","")&amp;",")))=0)),IF(CK102="",TRUE,IF(input_enews_audience="",FALSE,SUMPRODUCT(--ISNUMBER(SEARCH(","&amp;TRIM(TEXTSPLIT(CK102,","))&amp;",",","&amp;SUBSTITUTE(input_enews_audience," ","")&amp;",")))&gt;0)),IF(CM102="",TRUE,IF(input_enews_audience="",FALSE,SUMPRODUCT(--ISNUMBER(SEARCH(","&amp;TRIM(TEXTSPLIT(CM102,","))&amp;",",","&amp;SUBSTITUTE(input_enews_audience," ","")&amp;",")))=COUNTA(TEXTSPLIT(CM102,",")))))</f>
        <v/>
      </c>
      <c r="JB102" s="19">
        <f>AND(IF(CO102="",TRUE,IF(input_event_location="",FALSE,SUMPRODUCT(--ISNUMBER(SEARCH(","&amp;TRIM(TEXTSPLIT(CO102,","))&amp;",",","&amp;SUBSTITUTE(input_event_location," ","")&amp;",")))&gt;0)),IF(CQ102="",TRUE,IF(input_event_location="",FALSE,SUMPRODUCT(--ISNUMBER(SEARCH(","&amp;TRIM(TEXTSPLIT(CQ102,","))&amp;",",","&amp;SUBSTITUTE(input_event_location," ","")&amp;",")))=COUNTA(TEXTSPLIT(CQ102,",")))),IF(CS102="",TRUE,IF(input_event_location="",TRUE,SUMPRODUCT(--ISNUMBER(SEARCH(","&amp;TRIM(TEXTSPLIT(CS102,","))&amp;",",","&amp;SUBSTITUTE(input_event_location," ","")&amp;",")))=0)),IF(CU102="",TRUE,IF(input_event_location="",FALSE,SUMPRODUCT(--ISNUMBER(SEARCH(","&amp;TRIM(TEXTSPLIT(CU102,","))&amp;",",","&amp;SUBSTITUTE(input_event_location," ","")&amp;",")))&gt;0)),IF(CW102="",TRUE,IF(input_event_location="",FALSE,SUMPRODUCT(--ISNUMBER(SEARCH(","&amp;TRIM(TEXTSPLIT(CW102,","))&amp;",",","&amp;SUBSTITUTE(input_event_location," ","")&amp;",")))=COUNTA(TEXTSPLIT(CW102,",")))))</f>
        <v/>
      </c>
      <c r="JC102" s="19">
        <f>AND(IF(CY102="",TRUE,IF(input_event_type="",FALSE,SUMPRODUCT(--ISNUMBER(SEARCH(","&amp;TRIM(TEXTSPLIT(CY102,","))&amp;",",","&amp;SUBSTITUTE(input_event_type," ","")&amp;",")))&gt;0)),IF(DA102="",TRUE,IF(input_event_type="",FALSE,SUMPRODUCT(--ISNUMBER(SEARCH(","&amp;TRIM(TEXTSPLIT(DA102,","))&amp;",",","&amp;SUBSTITUTE(input_event_type," ","")&amp;",")))=COUNTA(TEXTSPLIT(DA102,",")))),IF(DC102="",TRUE,IF(input_event_type="",TRUE,SUMPRODUCT(--ISNUMBER(SEARCH(","&amp;TRIM(TEXTSPLIT(DC102,","))&amp;",",","&amp;SUBSTITUTE(input_event_type," ","")&amp;",")))=0)),IF(DE102="",TRUE,IF(input_event_type="",FALSE,SUMPRODUCT(--ISNUMBER(SEARCH(","&amp;TRIM(TEXTSPLIT(DE102,","))&amp;",",","&amp;SUBSTITUTE(input_event_type," ","")&amp;",")))&gt;0)),IF(DG102="",TRUE,IF(input_event_type="",FALSE,SUMPRODUCT(--ISNUMBER(SEARCH(","&amp;TRIM(TEXTSPLIT(DG102,","))&amp;",",","&amp;SUBSTITUTE(input_event_type," ","")&amp;",")))=COUNTA(TEXTSPLIT(DG102,",")))))</f>
        <v/>
      </c>
      <c r="JD102" s="19">
        <f>AND(IF(DI102="",TRUE,IF(input_executive_education_focus="",FALSE,SUMPRODUCT(--ISNUMBER(SEARCH(","&amp;TRIM(TEXTSPLIT(DI102,","))&amp;",",","&amp;SUBSTITUTE(input_executive_education_focus," ","")&amp;",")))&gt;0)),IF(DK102="",TRUE,IF(input_executive_education_focus="",FALSE,SUMPRODUCT(--ISNUMBER(SEARCH(","&amp;TRIM(TEXTSPLIT(DK102,","))&amp;",",","&amp;SUBSTITUTE(input_executive_education_focus," ","")&amp;",")))=COUNTA(TEXTSPLIT(DK102,",")))),IF(DM102="",TRUE,IF(input_executive_education_focus="",TRUE,SUMPRODUCT(--ISNUMBER(SEARCH(","&amp;TRIM(TEXTSPLIT(DM102,","))&amp;",",","&amp;SUBSTITUTE(input_executive_education_focus," ","")&amp;",")))=0)),IF(DO102="",TRUE,IF(input_executive_education_focus="",FALSE,SUMPRODUCT(--ISNUMBER(SEARCH(","&amp;TRIM(TEXTSPLIT(DO102,","))&amp;",",","&amp;SUBSTITUTE(input_executive_education_focus," ","")&amp;",")))&gt;0)),IF(DQ102="",TRUE,IF(input_executive_education_focus="",FALSE,SUMPRODUCT(--ISNUMBER(SEARCH(","&amp;TRIM(TEXTSPLIT(DQ102,","))&amp;",",","&amp;SUBSTITUTE(input_executive_education_focus," ","")&amp;",")))=COUNTA(TEXTSPLIT(DQ102,",")))))</f>
        <v/>
      </c>
      <c r="JE102" s="19">
        <f>AND(IF(DS102="",TRUE,IF(input_faculty_category="",FALSE,SUMPRODUCT(--ISNUMBER(SEARCH(","&amp;TRIM(TEXTSPLIT(DS102,","))&amp;",",","&amp;SUBSTITUTE(input_faculty_category," ","")&amp;",")))&gt;0)),IF(DU102="",TRUE,IF(input_faculty_category="",FALSE,SUMPRODUCT(--ISNUMBER(SEARCH(","&amp;TRIM(TEXTSPLIT(DU102,","))&amp;",",","&amp;SUBSTITUTE(input_faculty_category," ","")&amp;",")))=COUNTA(TEXTSPLIT(DU102,",")))),IF(DW102="",TRUE,IF(input_faculty_category="",TRUE,SUMPRODUCT(--ISNUMBER(SEARCH(","&amp;TRIM(TEXTSPLIT(DW102,","))&amp;",",","&amp;SUBSTITUTE(input_faculty_category," ","")&amp;",")))=0)),IF(DY102="",TRUE,IF(input_faculty_category="",FALSE,SUMPRODUCT(--ISNUMBER(SEARCH(","&amp;TRIM(TEXTSPLIT(DY102,","))&amp;",",","&amp;SUBSTITUTE(input_faculty_category," ","")&amp;",")))&gt;0)),IF(EA102="",TRUE,IF(input_faculty_category="",FALSE,SUMPRODUCT(--ISNUMBER(SEARCH(","&amp;TRIM(TEXTSPLIT(EA102,","))&amp;",",","&amp;SUBSTITUTE(input_faculty_category," ","")&amp;",")))=COUNTA(TEXTSPLIT(EA102,",")))))</f>
        <v/>
      </c>
      <c r="JF102" s="19">
        <f>AND(IF(EC102="",TRUE,IF(input_faculty_discipline="",FALSE,SUMPRODUCT(--ISNUMBER(SEARCH(","&amp;TRIM(TEXTSPLIT(EC102,","))&amp;",",","&amp;SUBSTITUTE(input_faculty_discipline," ","")&amp;",")))&gt;0)),IF(EE102="",TRUE,IF(input_faculty_discipline="",FALSE,SUMPRODUCT(--ISNUMBER(SEARCH(","&amp;TRIM(TEXTSPLIT(EE102,","))&amp;",",","&amp;SUBSTITUTE(input_faculty_discipline," ","")&amp;",")))=COUNTA(TEXTSPLIT(EE102,",")))),IF(EG102="",TRUE,IF(input_faculty_discipline="",TRUE,SUMPRODUCT(--ISNUMBER(SEARCH(","&amp;TRIM(TEXTSPLIT(EG102,","))&amp;",",","&amp;SUBSTITUTE(input_faculty_discipline," ","")&amp;",")))=0)),IF(EI102="",TRUE,IF(input_faculty_discipline="",FALSE,SUMPRODUCT(--ISNUMBER(SEARCH(","&amp;TRIM(TEXTSPLIT(EI102,","))&amp;",",","&amp;SUBSTITUTE(input_faculty_discipline," ","")&amp;",")))&gt;0)),IF(EK102="",TRUE,IF(input_faculty_discipline="",FALSE,SUMPRODUCT(--ISNUMBER(SEARCH(","&amp;TRIM(TEXTSPLIT(EK102,","))&amp;",",","&amp;SUBSTITUTE(input_faculty_discipline," ","")&amp;",")))=COUNTA(TEXTSPLIT(EK102,",")))))</f>
        <v/>
      </c>
      <c r="JG102" s="19">
        <f>AND(IF(EM102="",TRUE,IF(input_faculty_expertise="",FALSE,SUMPRODUCT(--ISNUMBER(SEARCH(","&amp;TRIM(TEXTSPLIT(EM102,","))&amp;",",","&amp;SUBSTITUTE(input_faculty_expertise," ","")&amp;",")))&gt;0)),IF(EO102="",TRUE,IF(input_faculty_expertise="",FALSE,SUMPRODUCT(--ISNUMBER(SEARCH(","&amp;TRIM(TEXTSPLIT(EO102,","))&amp;",",","&amp;SUBSTITUTE(input_faculty_expertise," ","")&amp;",")))=COUNTA(TEXTSPLIT(EO102,",")))),IF(EQ102="",TRUE,IF(input_faculty_expertise="",TRUE,SUMPRODUCT(--ISNUMBER(SEARCH(","&amp;TRIM(TEXTSPLIT(EQ102,","))&amp;",",","&amp;SUBSTITUTE(input_faculty_expertise," ","")&amp;",")))=0)),IF(ES102="",TRUE,IF(input_faculty_expertise="",FALSE,SUMPRODUCT(--ISNUMBER(SEARCH(","&amp;TRIM(TEXTSPLIT(ES102,","))&amp;",",","&amp;SUBSTITUTE(input_faculty_expertise," ","")&amp;",")))&gt;0)),IF(EU102="",TRUE,IF(input_faculty_expertise="",FALSE,SUMPRODUCT(--ISNUMBER(SEARCH(","&amp;TRIM(TEXTSPLIT(EU102,","))&amp;",",","&amp;SUBSTITUTE(input_faculty_expertise," ","")&amp;",")))=COUNTA(TEXTSPLIT(EU102,",")))))</f>
        <v/>
      </c>
      <c r="JH102" s="19">
        <f>AND(IF(EW102="",TRUE,IF(input_global_network_school="",FALSE,SUMPRODUCT(--ISNUMBER(SEARCH(","&amp;TRIM(TEXTSPLIT(EW102,","))&amp;",",","&amp;SUBSTITUTE(input_global_network_school," ","")&amp;",")))&gt;0)),IF(EY102="",TRUE,IF(input_global_network_school="",FALSE,SUMPRODUCT(--ISNUMBER(SEARCH(","&amp;TRIM(TEXTSPLIT(EY102,","))&amp;",",","&amp;SUBSTITUTE(input_global_network_school," ","")&amp;",")))=COUNTA(TEXTSPLIT(EY102,",")))),IF(FA102="",TRUE,IF(input_global_network_school="",TRUE,SUMPRODUCT(--ISNUMBER(SEARCH(","&amp;TRIM(TEXTSPLIT(FA102,","))&amp;",",","&amp;SUBSTITUTE(input_global_network_school," ","")&amp;",")))=0)),IF(FC102="",TRUE,IF(input_global_network_school="",FALSE,SUMPRODUCT(--ISNUMBER(SEARCH(","&amp;TRIM(TEXTSPLIT(FC102,","))&amp;",",","&amp;SUBSTITUTE(input_global_network_school," ","")&amp;",")))&gt;0)),IF(FE102="",TRUE,IF(input_global_network_school="",FALSE,SUMPRODUCT(--ISNUMBER(SEARCH(","&amp;TRIM(TEXTSPLIT(FE102,","))&amp;",",","&amp;SUBSTITUTE(input_global_network_school," ","")&amp;",")))=COUNTA(TEXTSPLIT(FE102,",")))))</f>
        <v/>
      </c>
      <c r="JI102" s="19">
        <f>AND(IF(FG102="",TRUE,IF(input_industry="",FALSE,SUMPRODUCT(--ISNUMBER(SEARCH(","&amp;TRIM(TEXTSPLIT(FG102,","))&amp;",",","&amp;SUBSTITUTE(input_industry," ","")&amp;",")))&gt;0)),IF(FI102="",TRUE,IF(input_industry="",FALSE,SUMPRODUCT(--ISNUMBER(SEARCH(","&amp;TRIM(TEXTSPLIT(FI102,","))&amp;",",","&amp;SUBSTITUTE(input_industry," ","")&amp;",")))=COUNTA(TEXTSPLIT(FI102,",")))),IF(FK102="",TRUE,IF(input_industry="",TRUE,SUMPRODUCT(--ISNUMBER(SEARCH(","&amp;TRIM(TEXTSPLIT(FK102,","))&amp;",",","&amp;SUBSTITUTE(input_industry," ","")&amp;",")))=0)),IF(FM102="",TRUE,IF(input_industry="",FALSE,SUMPRODUCT(--ISNUMBER(SEARCH(","&amp;TRIM(TEXTSPLIT(FM102,","))&amp;",",","&amp;SUBSTITUTE(input_industry," ","")&amp;",")))&gt;0)),IF(FO102="",TRUE,IF(input_industry="",FALSE,SUMPRODUCT(--ISNUMBER(SEARCH(","&amp;TRIM(TEXTSPLIT(FO102,","))&amp;",",","&amp;SUBSTITUTE(input_industry," ","")&amp;",")))=COUNTA(TEXTSPLIT(FO102,",")))))</f>
        <v/>
      </c>
      <c r="JJ102" s="19">
        <f>AND(IF(FQ102="",TRUE,IF(input_location="",FALSE,SUMPRODUCT(--ISNUMBER(SEARCH(","&amp;TRIM(TEXTSPLIT(FQ102,","))&amp;",",","&amp;SUBSTITUTE(input_location," ","")&amp;",")))&gt;0)),IF(FS102="",TRUE,IF(input_location="",FALSE,SUMPRODUCT(--ISNUMBER(SEARCH(","&amp;TRIM(TEXTSPLIT(FS102,","))&amp;",",","&amp;SUBSTITUTE(input_location," ","")&amp;",")))=COUNTA(TEXTSPLIT(FS102,",")))),IF(FU102="",TRUE,IF(input_location="",TRUE,SUMPRODUCT(--ISNUMBER(SEARCH(","&amp;TRIM(TEXTSPLIT(FU102,","))&amp;",",","&amp;SUBSTITUTE(input_location," ","")&amp;",")))=0)),IF(FW102="",TRUE,IF(input_location="",FALSE,SUMPRODUCT(--ISNUMBER(SEARCH(","&amp;TRIM(TEXTSPLIT(FW102,","))&amp;",",","&amp;SUBSTITUTE(input_location," ","")&amp;",")))&gt;0)),IF(FY102="",TRUE,IF(input_location="",FALSE,SUMPRODUCT(--ISNUMBER(SEARCH(","&amp;TRIM(TEXTSPLIT(FY102,","))&amp;",",","&amp;SUBSTITUTE(input_location," ","")&amp;",")))=COUNTA(TEXTSPLIT(FY102,",")))))</f>
        <v/>
      </c>
      <c r="JK102" s="19">
        <f>AND(IF(GA102="",TRUE,IF(input_modality="",FALSE,SUMPRODUCT(--ISNUMBER(SEARCH(","&amp;TRIM(TEXTSPLIT(GA102,","))&amp;",",","&amp;SUBSTITUTE(input_modality," ","")&amp;",")))&gt;0)),IF(GC102="",TRUE,IF(input_modality="",FALSE,SUMPRODUCT(--ISNUMBER(SEARCH(","&amp;TRIM(TEXTSPLIT(GC102,","))&amp;",",","&amp;SUBSTITUTE(input_modality," ","")&amp;",")))=COUNTA(TEXTSPLIT(GC102,",")))),IF(GE102="",TRUE,IF(input_modality="",TRUE,SUMPRODUCT(--ISNUMBER(SEARCH(","&amp;TRIM(TEXTSPLIT(GE102,","))&amp;",",","&amp;SUBSTITUTE(input_modality," ","")&amp;",")))=0)),IF(GG102="",TRUE,IF(input_modality="",FALSE,SUMPRODUCT(--ISNUMBER(SEARCH(","&amp;TRIM(TEXTSPLIT(GG102,","))&amp;",",","&amp;SUBSTITUTE(input_modality," ","")&amp;",")))&gt;0)),IF(GI102="",TRUE,IF(input_modality="",FALSE,SUMPRODUCT(--ISNUMBER(SEARCH(","&amp;TRIM(TEXTSPLIT(GI102,","))&amp;",",","&amp;SUBSTITUTE(input_modality," ","")&amp;",")))=COUNTA(TEXTSPLIT(GI102,",")))))</f>
        <v/>
      </c>
      <c r="JL102" s="19">
        <f>AND(IF(GK102="",TRUE,IF(input_organizer="",FALSE,SUMPRODUCT(--ISNUMBER(SEARCH(","&amp;TRIM(TEXTSPLIT(GK102,","))&amp;",",","&amp;SUBSTITUTE(input_organizer," ","")&amp;",")))&gt;0)),IF(GM102="",TRUE,IF(input_organizer="",FALSE,SUMPRODUCT(--ISNUMBER(SEARCH(","&amp;TRIM(TEXTSPLIT(GM102,","))&amp;",",","&amp;SUBSTITUTE(input_organizer," ","")&amp;",")))=COUNTA(TEXTSPLIT(GM102,",")))),IF(GO102="",TRUE,IF(input_organizer="",TRUE,SUMPRODUCT(--ISNUMBER(SEARCH(","&amp;TRIM(TEXTSPLIT(GO102,","))&amp;",",","&amp;SUBSTITUTE(input_organizer," ","")&amp;",")))=0)),IF(GQ102="",TRUE,IF(input_organizer="",FALSE,SUMPRODUCT(--ISNUMBER(SEARCH(","&amp;TRIM(TEXTSPLIT(GQ102,","))&amp;",",","&amp;SUBSTITUTE(input_organizer," ","")&amp;",")))&gt;0)),IF(GS102="",TRUE,IF(input_organizer="",FALSE,SUMPRODUCT(--ISNUMBER(SEARCH(","&amp;TRIM(TEXTSPLIT(GS102,","))&amp;",",","&amp;SUBSTITUTE(input_organizer," ","")&amp;",")))=COUNTA(TEXTSPLIT(GS102,",")))))</f>
        <v/>
      </c>
      <c r="JM102" s="19">
        <f>AND(IF(GU102="",TRUE,IF(input_profile_type="",FALSE,SUMPRODUCT(--ISNUMBER(SEARCH(","&amp;TRIM(TEXTSPLIT(GU102,","))&amp;",",","&amp;SUBSTITUTE(input_profile_type," ","")&amp;",")))&gt;0)),IF(GW102="",TRUE,IF(input_profile_type="",FALSE,SUMPRODUCT(--ISNUMBER(SEARCH(","&amp;TRIM(TEXTSPLIT(GW102,","))&amp;",",","&amp;SUBSTITUTE(input_profile_type," ","")&amp;",")))=COUNTA(TEXTSPLIT(GW102,",")))),IF(GY102="",TRUE,IF(input_profile_type="",TRUE,SUMPRODUCT(--ISNUMBER(SEARCH(","&amp;TRIM(TEXTSPLIT(GY102,","))&amp;",",","&amp;SUBSTITUTE(input_profile_type," ","")&amp;",")))=0)),IF(HA102="",TRUE,IF(input_profile_type="",FALSE,SUMPRODUCT(--ISNUMBER(SEARCH(","&amp;TRIM(TEXTSPLIT(HA102,","))&amp;",",","&amp;SUBSTITUTE(input_profile_type," ","")&amp;",")))&gt;0)),IF(HC102="",TRUE,IF(input_profile_type="",FALSE,SUMPRODUCT(--ISNUMBER(SEARCH(","&amp;TRIM(TEXTSPLIT(HC102,","))&amp;",",","&amp;SUBSTITUTE(input_profile_type," ","")&amp;",")))=COUNTA(TEXTSPLIT(HC102,",")))))</f>
        <v/>
      </c>
      <c r="JN102" s="19">
        <f>AND(IF(HE102="",TRUE,IF(input_program="",FALSE,SUMPRODUCT(--ISNUMBER(SEARCH(","&amp;TRIM(TEXTSPLIT(HE102,","))&amp;",",","&amp;SUBSTITUTE(input_program," ","")&amp;",")))&gt;0)),IF(HG102="",TRUE,IF(input_program="",FALSE,SUMPRODUCT(--ISNUMBER(SEARCH(","&amp;TRIM(TEXTSPLIT(HG102,","))&amp;",",","&amp;SUBSTITUTE(input_program," ","")&amp;",")))=COUNTA(TEXTSPLIT(HG102,",")))),IF(HI102="",TRUE,IF(input_program="",TRUE,SUMPRODUCT(--ISNUMBER(SEARCH(","&amp;TRIM(TEXTSPLIT(HI102,","))&amp;",",","&amp;SUBSTITUTE(input_program," ","")&amp;",")))=0)),IF(HK102="",TRUE,IF(input_program="",FALSE,SUMPRODUCT(--ISNUMBER(SEARCH(","&amp;TRIM(TEXTSPLIT(HK102,","))&amp;",",","&amp;SUBSTITUTE(input_program," ","")&amp;",")))&gt;0)),IF(HM102="",TRUE,IF(input_program="",FALSE,SUMPRODUCT(--ISNUMBER(SEARCH(","&amp;TRIM(TEXTSPLIT(HM102,","))&amp;",",","&amp;SUBSTITUTE(input_program," ","")&amp;",")))=COUNTA(TEXTSPLIT(HM102,",")))))</f>
        <v/>
      </c>
      <c r="JO102" s="19">
        <f>AND(IF(HO102="",TRUE,IF(input_story_categories="",FALSE,SUMPRODUCT(--ISNUMBER(SEARCH(","&amp;TRIM(TEXTSPLIT(HO102,","))&amp;",",","&amp;SUBSTITUTE(input_story_categories," ","")&amp;",")))&gt;0)),IF(HQ102="",TRUE,IF(input_story_categories="",FALSE,SUMPRODUCT(--ISNUMBER(SEARCH(","&amp;TRIM(TEXTSPLIT(HQ102,","))&amp;",",","&amp;SUBSTITUTE(input_story_categories," ","")&amp;",")))=COUNTA(TEXTSPLIT(HQ102,",")))),IF(HS102="",TRUE,IF(input_story_categories="",TRUE,SUMPRODUCT(--ISNUMBER(SEARCH(","&amp;TRIM(TEXTSPLIT(HS102,","))&amp;",",","&amp;SUBSTITUTE(input_story_categories," ","")&amp;",")))=0)),IF(HU102="",TRUE,IF(input_story_categories="",FALSE,SUMPRODUCT(--ISNUMBER(SEARCH(","&amp;TRIM(TEXTSPLIT(HU102,","))&amp;",",","&amp;SUBSTITUTE(input_story_categories," ","")&amp;",")))&gt;0)),IF(HW102="",TRUE,IF(input_story_categories="",FALSE,SUMPRODUCT(--ISNUMBER(SEARCH(","&amp;TRIM(TEXTSPLIT(HW102,","))&amp;",",","&amp;SUBSTITUTE(input_story_categories," ","")&amp;",")))=COUNTA(TEXTSPLIT(HW102,",")))))</f>
        <v/>
      </c>
      <c r="JP102" s="19">
        <f>AND(IF(HY102="",TRUE,IF(input_story_type="",FALSE,SUMPRODUCT(--ISNUMBER(SEARCH(","&amp;TRIM(TEXTSPLIT(HY102,","))&amp;",",","&amp;SUBSTITUTE(input_story_type," ","")&amp;",")))&gt;0)),IF(IA102="",TRUE,IF(input_story_type="",FALSE,SUMPRODUCT(--ISNUMBER(SEARCH(","&amp;TRIM(TEXTSPLIT(IA102,","))&amp;",",","&amp;SUBSTITUTE(input_story_type," ","")&amp;",")))=COUNTA(TEXTSPLIT(IA102,",")))),IF(IC102="",TRUE,IF(input_story_type="",TRUE,SUMPRODUCT(--ISNUMBER(SEARCH(","&amp;TRIM(TEXTSPLIT(IC102,","))&amp;",",","&amp;SUBSTITUTE(input_story_type," ","")&amp;",")))=0)),IF(IE102="",TRUE,IF(input_story_type="",FALSE,SUMPRODUCT(--ISNUMBER(SEARCH(","&amp;TRIM(TEXTSPLIT(IE102,","))&amp;",",","&amp;SUBSTITUTE(input_story_type," ","")&amp;",")))&gt;0)),IF(IG102="",TRUE,IF(input_story_type="",FALSE,SUMPRODUCT(--ISNUMBER(SEARCH(","&amp;TRIM(TEXTSPLIT(IG102,","))&amp;",",","&amp;SUBSTITUTE(input_story_type," ","")&amp;",")))=COUNTA(TEXTSPLIT(IG102,",")))))</f>
        <v/>
      </c>
      <c r="JQ102" s="19">
        <f>AND(IF(II102="",TRUE,IF(input_topics="",FALSE,SUMPRODUCT(--ISNUMBER(SEARCH(","&amp;TRIM(TEXTSPLIT(II102,","))&amp;",",","&amp;SUBSTITUTE(input_topics," ","")&amp;",")))&gt;0)),IF(IK102="",TRUE,IF(input_topics="",FALSE,SUMPRODUCT(--ISNUMBER(SEARCH(","&amp;TRIM(TEXTSPLIT(IK102,","))&amp;",",","&amp;SUBSTITUTE(input_topics," ","")&amp;",")))=COUNTA(TEXTSPLIT(IK102,",")))),IF(IM102="",TRUE,IF(input_topics="",TRUE,SUMPRODUCT(--ISNUMBER(SEARCH(","&amp;TRIM(TEXTSPLIT(IM102,","))&amp;",",","&amp;SUBSTITUTE(input_topics," ","")&amp;",")))=0)),IF(IO102="",TRUE,IF(input_topics="",FALSE,SUMPRODUCT(--ISNUMBER(SEARCH(","&amp;TRIM(TEXTSPLIT(IO102,","))&amp;",",","&amp;SUBSTITUTE(input_topics," ","")&amp;",")))&gt;0)),IF(IQ102="",TRUE,IF(input_topics="",FALSE,SUMPRODUCT(--ISNUMBER(SEARCH(","&amp;TRIM(TEXTSPLIT(IQ102,","))&amp;",",","&amp;SUBSTITUTE(input_topics," ","")&amp;",")))=COUNTA(TEXTSPLIT(IQ102,",")))))</f>
        <v/>
      </c>
    </row>
    <row r="103">
      <c r="A103" s="24">
        <f>IF(NOT(IS103),"Excluded",IF(AND(IT103,IU103,IV103,IW103,IX103,IY103,IZ103,JA103,JB103,JC103,JD103,JE103,JF103,JG103,JH103,JI103,JJ103,JK103,JL103,JM103,JN103,JO103,JP103,JQ103),IF(I103&gt;0,"Eligible but limited","Will appear"),"Excluded"))</f>
        <v/>
      </c>
      <c r="B103" s="24" t="inlineStr">
        <is>
          <t>Events</t>
        </is>
      </c>
      <c r="C103" s="27" t="inlineStr">
        <is>
          <t>/centers/international-center-for-finance/events</t>
        </is>
      </c>
      <c r="D103" s="24" t="inlineStr">
        <is>
          <t>/centers/international-center-for-finance/events</t>
        </is>
      </c>
      <c r="E103" s="24" t="n">
        <v>1</v>
      </c>
      <c r="F103" s="24" t="inlineStr">
        <is>
          <t>event</t>
        </is>
      </c>
      <c r="G103" s="24" t="inlineStr">
        <is>
          <t>event_list</t>
        </is>
      </c>
      <c r="H103" s="24" t="inlineStr">
        <is>
          <t>embed_no_filters</t>
        </is>
      </c>
      <c r="I103" s="24" t="n">
        <v>8</v>
      </c>
      <c r="J103" s="28" t="inlineStr">
        <is>
          <t>Explicit args</t>
        </is>
      </c>
      <c r="K103" s="24" t="inlineStr">
        <is>
          <t>Page placement</t>
        </is>
      </c>
      <c r="L103" s="24" t="inlineStr">
        <is>
          <t>Content type: event; Context uses Courses Context: International Center for Finance (931); Limited to 8 item(s); Source: Explicit args</t>
        </is>
      </c>
      <c r="BQ103" s="19" t="inlineStr">
        <is>
          <t>931</t>
        </is>
      </c>
      <c r="BR103" s="19" t="inlineStr">
        <is>
          <t>International Center for Finance (931)</t>
        </is>
      </c>
      <c r="IS103" s="19">
        <f>IF(input_content_type="",FALSE,ISNUMBER(SEARCH(","&amp;LOWER(input_content_type)&amp;",",","&amp;LOWER(SUBSTITUTE(F103," ",""))&amp;",")))</f>
        <v/>
      </c>
      <c r="IT103" s="19">
        <f>AND(IF(M103="",TRUE,IF(input_affiliations="",FALSE,SUMPRODUCT(--ISNUMBER(SEARCH(","&amp;TRIM(TEXTSPLIT(M103,","))&amp;",",","&amp;SUBSTITUTE(input_affiliations," ","")&amp;",")))&gt;0)),IF(O103="",TRUE,IF(input_affiliations="",FALSE,SUMPRODUCT(--ISNUMBER(SEARCH(","&amp;TRIM(TEXTSPLIT(O103,","))&amp;",",","&amp;SUBSTITUTE(input_affiliations," ","")&amp;",")))=COUNTA(TEXTSPLIT(O103,",")))),IF(Q103="",TRUE,IF(input_affiliations="",TRUE,SUMPRODUCT(--ISNUMBER(SEARCH(","&amp;TRIM(TEXTSPLIT(Q103,","))&amp;",",","&amp;SUBSTITUTE(input_affiliations," ","")&amp;",")))=0)),IF(S103="",TRUE,IF(input_affiliations="",FALSE,SUMPRODUCT(--ISNUMBER(SEARCH(","&amp;TRIM(TEXTSPLIT(S103,","))&amp;",",","&amp;SUBSTITUTE(input_affiliations," ","")&amp;",")))&gt;0)),IF(U103="",TRUE,IF(input_affiliations="",FALSE,SUMPRODUCT(--ISNUMBER(SEARCH(","&amp;TRIM(TEXTSPLIT(U103,","))&amp;",",","&amp;SUBSTITUTE(input_affiliations," ","")&amp;",")))=COUNTA(TEXTSPLIT(U103,",")))))</f>
        <v/>
      </c>
      <c r="IU103" s="19">
        <f>AND(IF(W103="",TRUE,IF(input_announcement_category="",FALSE,SUMPRODUCT(--ISNUMBER(SEARCH(","&amp;TRIM(TEXTSPLIT(W103,","))&amp;",",","&amp;SUBSTITUTE(input_announcement_category," ","")&amp;",")))&gt;0)),IF(Y103="",TRUE,IF(input_announcement_category="",FALSE,SUMPRODUCT(--ISNUMBER(SEARCH(","&amp;TRIM(TEXTSPLIT(Y103,","))&amp;",",","&amp;SUBSTITUTE(input_announcement_category," ","")&amp;",")))=COUNTA(TEXTSPLIT(Y103,",")))),IF(AA103="",TRUE,IF(input_announcement_category="",TRUE,SUMPRODUCT(--ISNUMBER(SEARCH(","&amp;TRIM(TEXTSPLIT(AA103,","))&amp;",",","&amp;SUBSTITUTE(input_announcement_category," ","")&amp;",")))=0)),IF(AC103="",TRUE,IF(input_announcement_category="",FALSE,SUMPRODUCT(--ISNUMBER(SEARCH(","&amp;TRIM(TEXTSPLIT(AC103,","))&amp;",",","&amp;SUBSTITUTE(input_announcement_category," ","")&amp;",")))&gt;0)),IF(AE103="",TRUE,IF(input_announcement_category="",FALSE,SUMPRODUCT(--ISNUMBER(SEARCH(","&amp;TRIM(TEXTSPLIT(AE103,","))&amp;",",","&amp;SUBSTITUTE(input_announcement_category," ","")&amp;",")))=COUNTA(TEXTSPLIT(AE103,",")))))</f>
        <v/>
      </c>
      <c r="IV103" s="19">
        <f>AND(IF(AG103="",TRUE,IF(input_area_of_focus="",FALSE,SUMPRODUCT(--ISNUMBER(SEARCH(","&amp;TRIM(TEXTSPLIT(AG103,","))&amp;",",","&amp;SUBSTITUTE(input_area_of_focus," ","")&amp;",")))&gt;0)),IF(AI103="",TRUE,IF(input_area_of_focus="",FALSE,SUMPRODUCT(--ISNUMBER(SEARCH(","&amp;TRIM(TEXTSPLIT(AI103,","))&amp;",",","&amp;SUBSTITUTE(input_area_of_focus," ","")&amp;",")))=COUNTA(TEXTSPLIT(AI103,",")))),IF(AK103="",TRUE,IF(input_area_of_focus="",TRUE,SUMPRODUCT(--ISNUMBER(SEARCH(","&amp;TRIM(TEXTSPLIT(AK103,","))&amp;",",","&amp;SUBSTITUTE(input_area_of_focus," ","")&amp;",")))=0)),IF(AM103="",TRUE,IF(input_area_of_focus="",FALSE,SUMPRODUCT(--ISNUMBER(SEARCH(","&amp;TRIM(TEXTSPLIT(AM103,","))&amp;",",","&amp;SUBSTITUTE(input_area_of_focus," ","")&amp;",")))&gt;0)),IF(AO103="",TRUE,IF(input_area_of_focus="",FALSE,SUMPRODUCT(--ISNUMBER(SEARCH(","&amp;TRIM(TEXTSPLIT(AO103,","))&amp;",",","&amp;SUBSTITUTE(input_area_of_focus," ","")&amp;",")))=COUNTA(TEXTSPLIT(AO103,",")))))</f>
        <v/>
      </c>
      <c r="IW103" s="19">
        <f>AND(IF(AQ103="",TRUE,IF(input_audience="",FALSE,SUMPRODUCT(--ISNUMBER(SEARCH(","&amp;TRIM(TEXTSPLIT(AQ103,","))&amp;",",","&amp;SUBSTITUTE(input_audience," ","")&amp;",")))&gt;0)),IF(AS103="",TRUE,IF(input_audience="",FALSE,SUMPRODUCT(--ISNUMBER(SEARCH(","&amp;TRIM(TEXTSPLIT(AS103,","))&amp;",",","&amp;SUBSTITUTE(input_audience," ","")&amp;",")))=COUNTA(TEXTSPLIT(AS103,",")))),IF(AU103="",TRUE,IF(input_audience="",TRUE,SUMPRODUCT(--ISNUMBER(SEARCH(","&amp;TRIM(TEXTSPLIT(AU103,","))&amp;",",","&amp;SUBSTITUTE(input_audience," ","")&amp;",")))=0)),IF(AW103="",TRUE,IF(input_audience="",FALSE,SUMPRODUCT(--ISNUMBER(SEARCH(","&amp;TRIM(TEXTSPLIT(AW103,","))&amp;",",","&amp;SUBSTITUTE(input_audience," ","")&amp;",")))&gt;0)),IF(AY103="",TRUE,IF(input_audience="",FALSE,SUMPRODUCT(--ISNUMBER(SEARCH(","&amp;TRIM(TEXTSPLIT(AY103,","))&amp;",",","&amp;SUBSTITUTE(input_audience," ","")&amp;",")))=COUNTA(TEXTSPLIT(AY103,",")))))</f>
        <v/>
      </c>
      <c r="IX103" s="19">
        <f>AND(IF(BA103="",TRUE,IF(input_challenge_opportunities="",FALSE,SUMPRODUCT(--ISNUMBER(SEARCH(","&amp;TRIM(TEXTSPLIT(BA103,","))&amp;",",","&amp;SUBSTITUTE(input_challenge_opportunities," ","")&amp;",")))&gt;0)),IF(BC103="",TRUE,IF(input_challenge_opportunities="",FALSE,SUMPRODUCT(--ISNUMBER(SEARCH(","&amp;TRIM(TEXTSPLIT(BC103,","))&amp;",",","&amp;SUBSTITUTE(input_challenge_opportunities," ","")&amp;",")))=COUNTA(TEXTSPLIT(BC103,",")))),IF(BE103="",TRUE,IF(input_challenge_opportunities="",TRUE,SUMPRODUCT(--ISNUMBER(SEARCH(","&amp;TRIM(TEXTSPLIT(BE103,","))&amp;",",","&amp;SUBSTITUTE(input_challenge_opportunities," ","")&amp;",")))=0)),IF(BG103="",TRUE,IF(input_challenge_opportunities="",FALSE,SUMPRODUCT(--ISNUMBER(SEARCH(","&amp;TRIM(TEXTSPLIT(BG103,","))&amp;",",","&amp;SUBSTITUTE(input_challenge_opportunities," ","")&amp;",")))&gt;0)),IF(BI103="",TRUE,IF(input_challenge_opportunities="",FALSE,SUMPRODUCT(--ISNUMBER(SEARCH(","&amp;TRIM(TEXTSPLIT(BI103,","))&amp;",",","&amp;SUBSTITUTE(input_challenge_opportunities," ","")&amp;",")))=COUNTA(TEXTSPLIT(BI103,",")))))</f>
        <v/>
      </c>
      <c r="IY103" s="19">
        <f>AND(IF(BK103="",TRUE,IF(input_context="",FALSE,SUMPRODUCT(--ISNUMBER(SEARCH(","&amp;TRIM(TEXTSPLIT(BK103,","))&amp;",",","&amp;SUBSTITUTE(input_context," ","")&amp;",")))&gt;0)),IF(BM103="",TRUE,IF(input_context="",FALSE,SUMPRODUCT(--ISNUMBER(SEARCH(","&amp;TRIM(TEXTSPLIT(BM103,","))&amp;",",","&amp;SUBSTITUTE(input_context," ","")&amp;",")))=COUNTA(TEXTSPLIT(BM103,",")))),IF(BO103="",TRUE,IF(input_context="",TRUE,SUMPRODUCT(--ISNUMBER(SEARCH(","&amp;TRIM(TEXTSPLIT(BO103,","))&amp;",",","&amp;SUBSTITUTE(input_context," ","")&amp;",")))=0)),IF(BQ103="",TRUE,IF(input_context="",FALSE,SUMPRODUCT(--ISNUMBER(SEARCH(","&amp;TRIM(TEXTSPLIT(BQ103,","))&amp;",",","&amp;SUBSTITUTE(input_context," ","")&amp;",")))&gt;0)),IF(BS103="",TRUE,IF(input_context="",FALSE,SUMPRODUCT(--ISNUMBER(SEARCH(","&amp;TRIM(TEXTSPLIT(BS103,","))&amp;",",","&amp;SUBSTITUTE(input_context," ","")&amp;",")))=COUNTA(TEXTSPLIT(BS103,",")))))</f>
        <v/>
      </c>
      <c r="IZ103" s="19">
        <f>AND(IF(BU103="",TRUE,IF(input_enews_announcement_type="",FALSE,SUMPRODUCT(--ISNUMBER(SEARCH(","&amp;TRIM(TEXTSPLIT(BU103,","))&amp;",",","&amp;SUBSTITUTE(input_enews_announcement_type," ","")&amp;",")))&gt;0)),IF(BW103="",TRUE,IF(input_enews_announcement_type="",FALSE,SUMPRODUCT(--ISNUMBER(SEARCH(","&amp;TRIM(TEXTSPLIT(BW103,","))&amp;",",","&amp;SUBSTITUTE(input_enews_announcement_type," ","")&amp;",")))=COUNTA(TEXTSPLIT(BW103,",")))),IF(BY103="",TRUE,IF(input_enews_announcement_type="",TRUE,SUMPRODUCT(--ISNUMBER(SEARCH(","&amp;TRIM(TEXTSPLIT(BY103,","))&amp;",",","&amp;SUBSTITUTE(input_enews_announcement_type," ","")&amp;",")))=0)),IF(CA103="",TRUE,IF(input_enews_announcement_type="",FALSE,SUMPRODUCT(--ISNUMBER(SEARCH(","&amp;TRIM(TEXTSPLIT(CA103,","))&amp;",",","&amp;SUBSTITUTE(input_enews_announcement_type," ","")&amp;",")))&gt;0)),IF(CC103="",TRUE,IF(input_enews_announcement_type="",FALSE,SUMPRODUCT(--ISNUMBER(SEARCH(","&amp;TRIM(TEXTSPLIT(CC103,","))&amp;",",","&amp;SUBSTITUTE(input_enews_announcement_type," ","")&amp;",")))=COUNTA(TEXTSPLIT(CC103,",")))))</f>
        <v/>
      </c>
      <c r="JA103" s="19">
        <f>AND(IF(CE103="",TRUE,IF(input_enews_audience="",FALSE,SUMPRODUCT(--ISNUMBER(SEARCH(","&amp;TRIM(TEXTSPLIT(CE103,","))&amp;",",","&amp;SUBSTITUTE(input_enews_audience," ","")&amp;",")))&gt;0)),IF(CG103="",TRUE,IF(input_enews_audience="",FALSE,SUMPRODUCT(--ISNUMBER(SEARCH(","&amp;TRIM(TEXTSPLIT(CG103,","))&amp;",",","&amp;SUBSTITUTE(input_enews_audience," ","")&amp;",")))=COUNTA(TEXTSPLIT(CG103,",")))),IF(CI103="",TRUE,IF(input_enews_audience="",TRUE,SUMPRODUCT(--ISNUMBER(SEARCH(","&amp;TRIM(TEXTSPLIT(CI103,","))&amp;",",","&amp;SUBSTITUTE(input_enews_audience," ","")&amp;",")))=0)),IF(CK103="",TRUE,IF(input_enews_audience="",FALSE,SUMPRODUCT(--ISNUMBER(SEARCH(","&amp;TRIM(TEXTSPLIT(CK103,","))&amp;",",","&amp;SUBSTITUTE(input_enews_audience," ","")&amp;",")))&gt;0)),IF(CM103="",TRUE,IF(input_enews_audience="",FALSE,SUMPRODUCT(--ISNUMBER(SEARCH(","&amp;TRIM(TEXTSPLIT(CM103,","))&amp;",",","&amp;SUBSTITUTE(input_enews_audience," ","")&amp;",")))=COUNTA(TEXTSPLIT(CM103,",")))))</f>
        <v/>
      </c>
      <c r="JB103" s="19">
        <f>AND(IF(CO103="",TRUE,IF(input_event_location="",FALSE,SUMPRODUCT(--ISNUMBER(SEARCH(","&amp;TRIM(TEXTSPLIT(CO103,","))&amp;",",","&amp;SUBSTITUTE(input_event_location," ","")&amp;",")))&gt;0)),IF(CQ103="",TRUE,IF(input_event_location="",FALSE,SUMPRODUCT(--ISNUMBER(SEARCH(","&amp;TRIM(TEXTSPLIT(CQ103,","))&amp;",",","&amp;SUBSTITUTE(input_event_location," ","")&amp;",")))=COUNTA(TEXTSPLIT(CQ103,",")))),IF(CS103="",TRUE,IF(input_event_location="",TRUE,SUMPRODUCT(--ISNUMBER(SEARCH(","&amp;TRIM(TEXTSPLIT(CS103,","))&amp;",",","&amp;SUBSTITUTE(input_event_location," ","")&amp;",")))=0)),IF(CU103="",TRUE,IF(input_event_location="",FALSE,SUMPRODUCT(--ISNUMBER(SEARCH(","&amp;TRIM(TEXTSPLIT(CU103,","))&amp;",",","&amp;SUBSTITUTE(input_event_location," ","")&amp;",")))&gt;0)),IF(CW103="",TRUE,IF(input_event_location="",FALSE,SUMPRODUCT(--ISNUMBER(SEARCH(","&amp;TRIM(TEXTSPLIT(CW103,","))&amp;",",","&amp;SUBSTITUTE(input_event_location," ","")&amp;",")))=COUNTA(TEXTSPLIT(CW103,",")))))</f>
        <v/>
      </c>
      <c r="JC103" s="19">
        <f>AND(IF(CY103="",TRUE,IF(input_event_type="",FALSE,SUMPRODUCT(--ISNUMBER(SEARCH(","&amp;TRIM(TEXTSPLIT(CY103,","))&amp;",",","&amp;SUBSTITUTE(input_event_type," ","")&amp;",")))&gt;0)),IF(DA103="",TRUE,IF(input_event_type="",FALSE,SUMPRODUCT(--ISNUMBER(SEARCH(","&amp;TRIM(TEXTSPLIT(DA103,","))&amp;",",","&amp;SUBSTITUTE(input_event_type," ","")&amp;",")))=COUNTA(TEXTSPLIT(DA103,",")))),IF(DC103="",TRUE,IF(input_event_type="",TRUE,SUMPRODUCT(--ISNUMBER(SEARCH(","&amp;TRIM(TEXTSPLIT(DC103,","))&amp;",",","&amp;SUBSTITUTE(input_event_type," ","")&amp;",")))=0)),IF(DE103="",TRUE,IF(input_event_type="",FALSE,SUMPRODUCT(--ISNUMBER(SEARCH(","&amp;TRIM(TEXTSPLIT(DE103,","))&amp;",",","&amp;SUBSTITUTE(input_event_type," ","")&amp;",")))&gt;0)),IF(DG103="",TRUE,IF(input_event_type="",FALSE,SUMPRODUCT(--ISNUMBER(SEARCH(","&amp;TRIM(TEXTSPLIT(DG103,","))&amp;",",","&amp;SUBSTITUTE(input_event_type," ","")&amp;",")))=COUNTA(TEXTSPLIT(DG103,",")))))</f>
        <v/>
      </c>
      <c r="JD103" s="19">
        <f>AND(IF(DI103="",TRUE,IF(input_executive_education_focus="",FALSE,SUMPRODUCT(--ISNUMBER(SEARCH(","&amp;TRIM(TEXTSPLIT(DI103,","))&amp;",",","&amp;SUBSTITUTE(input_executive_education_focus," ","")&amp;",")))&gt;0)),IF(DK103="",TRUE,IF(input_executive_education_focus="",FALSE,SUMPRODUCT(--ISNUMBER(SEARCH(","&amp;TRIM(TEXTSPLIT(DK103,","))&amp;",",","&amp;SUBSTITUTE(input_executive_education_focus," ","")&amp;",")))=COUNTA(TEXTSPLIT(DK103,",")))),IF(DM103="",TRUE,IF(input_executive_education_focus="",TRUE,SUMPRODUCT(--ISNUMBER(SEARCH(","&amp;TRIM(TEXTSPLIT(DM103,","))&amp;",",","&amp;SUBSTITUTE(input_executive_education_focus," ","")&amp;",")))=0)),IF(DO103="",TRUE,IF(input_executive_education_focus="",FALSE,SUMPRODUCT(--ISNUMBER(SEARCH(","&amp;TRIM(TEXTSPLIT(DO103,","))&amp;",",","&amp;SUBSTITUTE(input_executive_education_focus," ","")&amp;",")))&gt;0)),IF(DQ103="",TRUE,IF(input_executive_education_focus="",FALSE,SUMPRODUCT(--ISNUMBER(SEARCH(","&amp;TRIM(TEXTSPLIT(DQ103,","))&amp;",",","&amp;SUBSTITUTE(input_executive_education_focus," ","")&amp;",")))=COUNTA(TEXTSPLIT(DQ103,",")))))</f>
        <v/>
      </c>
      <c r="JE103" s="19">
        <f>AND(IF(DS103="",TRUE,IF(input_faculty_category="",FALSE,SUMPRODUCT(--ISNUMBER(SEARCH(","&amp;TRIM(TEXTSPLIT(DS103,","))&amp;",",","&amp;SUBSTITUTE(input_faculty_category," ","")&amp;",")))&gt;0)),IF(DU103="",TRUE,IF(input_faculty_category="",FALSE,SUMPRODUCT(--ISNUMBER(SEARCH(","&amp;TRIM(TEXTSPLIT(DU103,","))&amp;",",","&amp;SUBSTITUTE(input_faculty_category," ","")&amp;",")))=COUNTA(TEXTSPLIT(DU103,",")))),IF(DW103="",TRUE,IF(input_faculty_category="",TRUE,SUMPRODUCT(--ISNUMBER(SEARCH(","&amp;TRIM(TEXTSPLIT(DW103,","))&amp;",",","&amp;SUBSTITUTE(input_faculty_category," ","")&amp;",")))=0)),IF(DY103="",TRUE,IF(input_faculty_category="",FALSE,SUMPRODUCT(--ISNUMBER(SEARCH(","&amp;TRIM(TEXTSPLIT(DY103,","))&amp;",",","&amp;SUBSTITUTE(input_faculty_category," ","")&amp;",")))&gt;0)),IF(EA103="",TRUE,IF(input_faculty_category="",FALSE,SUMPRODUCT(--ISNUMBER(SEARCH(","&amp;TRIM(TEXTSPLIT(EA103,","))&amp;",",","&amp;SUBSTITUTE(input_faculty_category," ","")&amp;",")))=COUNTA(TEXTSPLIT(EA103,",")))))</f>
        <v/>
      </c>
      <c r="JF103" s="19">
        <f>AND(IF(EC103="",TRUE,IF(input_faculty_discipline="",FALSE,SUMPRODUCT(--ISNUMBER(SEARCH(","&amp;TRIM(TEXTSPLIT(EC103,","))&amp;",",","&amp;SUBSTITUTE(input_faculty_discipline," ","")&amp;",")))&gt;0)),IF(EE103="",TRUE,IF(input_faculty_discipline="",FALSE,SUMPRODUCT(--ISNUMBER(SEARCH(","&amp;TRIM(TEXTSPLIT(EE103,","))&amp;",",","&amp;SUBSTITUTE(input_faculty_discipline," ","")&amp;",")))=COUNTA(TEXTSPLIT(EE103,",")))),IF(EG103="",TRUE,IF(input_faculty_discipline="",TRUE,SUMPRODUCT(--ISNUMBER(SEARCH(","&amp;TRIM(TEXTSPLIT(EG103,","))&amp;",",","&amp;SUBSTITUTE(input_faculty_discipline," ","")&amp;",")))=0)),IF(EI103="",TRUE,IF(input_faculty_discipline="",FALSE,SUMPRODUCT(--ISNUMBER(SEARCH(","&amp;TRIM(TEXTSPLIT(EI103,","))&amp;",",","&amp;SUBSTITUTE(input_faculty_discipline," ","")&amp;",")))&gt;0)),IF(EK103="",TRUE,IF(input_faculty_discipline="",FALSE,SUMPRODUCT(--ISNUMBER(SEARCH(","&amp;TRIM(TEXTSPLIT(EK103,","))&amp;",",","&amp;SUBSTITUTE(input_faculty_discipline," ","")&amp;",")))=COUNTA(TEXTSPLIT(EK103,",")))))</f>
        <v/>
      </c>
      <c r="JG103" s="19">
        <f>AND(IF(EM103="",TRUE,IF(input_faculty_expertise="",FALSE,SUMPRODUCT(--ISNUMBER(SEARCH(","&amp;TRIM(TEXTSPLIT(EM103,","))&amp;",",","&amp;SUBSTITUTE(input_faculty_expertise," ","")&amp;",")))&gt;0)),IF(EO103="",TRUE,IF(input_faculty_expertise="",FALSE,SUMPRODUCT(--ISNUMBER(SEARCH(","&amp;TRIM(TEXTSPLIT(EO103,","))&amp;",",","&amp;SUBSTITUTE(input_faculty_expertise," ","")&amp;",")))=COUNTA(TEXTSPLIT(EO103,",")))),IF(EQ103="",TRUE,IF(input_faculty_expertise="",TRUE,SUMPRODUCT(--ISNUMBER(SEARCH(","&amp;TRIM(TEXTSPLIT(EQ103,","))&amp;",",","&amp;SUBSTITUTE(input_faculty_expertise," ","")&amp;",")))=0)),IF(ES103="",TRUE,IF(input_faculty_expertise="",FALSE,SUMPRODUCT(--ISNUMBER(SEARCH(","&amp;TRIM(TEXTSPLIT(ES103,","))&amp;",",","&amp;SUBSTITUTE(input_faculty_expertise," ","")&amp;",")))&gt;0)),IF(EU103="",TRUE,IF(input_faculty_expertise="",FALSE,SUMPRODUCT(--ISNUMBER(SEARCH(","&amp;TRIM(TEXTSPLIT(EU103,","))&amp;",",","&amp;SUBSTITUTE(input_faculty_expertise," ","")&amp;",")))=COUNTA(TEXTSPLIT(EU103,",")))))</f>
        <v/>
      </c>
      <c r="JH103" s="19">
        <f>AND(IF(EW103="",TRUE,IF(input_global_network_school="",FALSE,SUMPRODUCT(--ISNUMBER(SEARCH(","&amp;TRIM(TEXTSPLIT(EW103,","))&amp;",",","&amp;SUBSTITUTE(input_global_network_school," ","")&amp;",")))&gt;0)),IF(EY103="",TRUE,IF(input_global_network_school="",FALSE,SUMPRODUCT(--ISNUMBER(SEARCH(","&amp;TRIM(TEXTSPLIT(EY103,","))&amp;",",","&amp;SUBSTITUTE(input_global_network_school," ","")&amp;",")))=COUNTA(TEXTSPLIT(EY103,",")))),IF(FA103="",TRUE,IF(input_global_network_school="",TRUE,SUMPRODUCT(--ISNUMBER(SEARCH(","&amp;TRIM(TEXTSPLIT(FA103,","))&amp;",",","&amp;SUBSTITUTE(input_global_network_school," ","")&amp;",")))=0)),IF(FC103="",TRUE,IF(input_global_network_school="",FALSE,SUMPRODUCT(--ISNUMBER(SEARCH(","&amp;TRIM(TEXTSPLIT(FC103,","))&amp;",",","&amp;SUBSTITUTE(input_global_network_school," ","")&amp;",")))&gt;0)),IF(FE103="",TRUE,IF(input_global_network_school="",FALSE,SUMPRODUCT(--ISNUMBER(SEARCH(","&amp;TRIM(TEXTSPLIT(FE103,","))&amp;",",","&amp;SUBSTITUTE(input_global_network_school," ","")&amp;",")))=COUNTA(TEXTSPLIT(FE103,",")))))</f>
        <v/>
      </c>
      <c r="JI103" s="19">
        <f>AND(IF(FG103="",TRUE,IF(input_industry="",FALSE,SUMPRODUCT(--ISNUMBER(SEARCH(","&amp;TRIM(TEXTSPLIT(FG103,","))&amp;",",","&amp;SUBSTITUTE(input_industry," ","")&amp;",")))&gt;0)),IF(FI103="",TRUE,IF(input_industry="",FALSE,SUMPRODUCT(--ISNUMBER(SEARCH(","&amp;TRIM(TEXTSPLIT(FI103,","))&amp;",",","&amp;SUBSTITUTE(input_industry," ","")&amp;",")))=COUNTA(TEXTSPLIT(FI103,",")))),IF(FK103="",TRUE,IF(input_industry="",TRUE,SUMPRODUCT(--ISNUMBER(SEARCH(","&amp;TRIM(TEXTSPLIT(FK103,","))&amp;",",","&amp;SUBSTITUTE(input_industry," ","")&amp;",")))=0)),IF(FM103="",TRUE,IF(input_industry="",FALSE,SUMPRODUCT(--ISNUMBER(SEARCH(","&amp;TRIM(TEXTSPLIT(FM103,","))&amp;",",","&amp;SUBSTITUTE(input_industry," ","")&amp;",")))&gt;0)),IF(FO103="",TRUE,IF(input_industry="",FALSE,SUMPRODUCT(--ISNUMBER(SEARCH(","&amp;TRIM(TEXTSPLIT(FO103,","))&amp;",",","&amp;SUBSTITUTE(input_industry," ","")&amp;",")))=COUNTA(TEXTSPLIT(FO103,",")))))</f>
        <v/>
      </c>
      <c r="JJ103" s="19">
        <f>AND(IF(FQ103="",TRUE,IF(input_location="",FALSE,SUMPRODUCT(--ISNUMBER(SEARCH(","&amp;TRIM(TEXTSPLIT(FQ103,","))&amp;",",","&amp;SUBSTITUTE(input_location," ","")&amp;",")))&gt;0)),IF(FS103="",TRUE,IF(input_location="",FALSE,SUMPRODUCT(--ISNUMBER(SEARCH(","&amp;TRIM(TEXTSPLIT(FS103,","))&amp;",",","&amp;SUBSTITUTE(input_location," ","")&amp;",")))=COUNTA(TEXTSPLIT(FS103,",")))),IF(FU103="",TRUE,IF(input_location="",TRUE,SUMPRODUCT(--ISNUMBER(SEARCH(","&amp;TRIM(TEXTSPLIT(FU103,","))&amp;",",","&amp;SUBSTITUTE(input_location," ","")&amp;",")))=0)),IF(FW103="",TRUE,IF(input_location="",FALSE,SUMPRODUCT(--ISNUMBER(SEARCH(","&amp;TRIM(TEXTSPLIT(FW103,","))&amp;",",","&amp;SUBSTITUTE(input_location," ","")&amp;",")))&gt;0)),IF(FY103="",TRUE,IF(input_location="",FALSE,SUMPRODUCT(--ISNUMBER(SEARCH(","&amp;TRIM(TEXTSPLIT(FY103,","))&amp;",",","&amp;SUBSTITUTE(input_location," ","")&amp;",")))=COUNTA(TEXTSPLIT(FY103,",")))))</f>
        <v/>
      </c>
      <c r="JK103" s="19">
        <f>AND(IF(GA103="",TRUE,IF(input_modality="",FALSE,SUMPRODUCT(--ISNUMBER(SEARCH(","&amp;TRIM(TEXTSPLIT(GA103,","))&amp;",",","&amp;SUBSTITUTE(input_modality," ","")&amp;",")))&gt;0)),IF(GC103="",TRUE,IF(input_modality="",FALSE,SUMPRODUCT(--ISNUMBER(SEARCH(","&amp;TRIM(TEXTSPLIT(GC103,","))&amp;",",","&amp;SUBSTITUTE(input_modality," ","")&amp;",")))=COUNTA(TEXTSPLIT(GC103,",")))),IF(GE103="",TRUE,IF(input_modality="",TRUE,SUMPRODUCT(--ISNUMBER(SEARCH(","&amp;TRIM(TEXTSPLIT(GE103,","))&amp;",",","&amp;SUBSTITUTE(input_modality," ","")&amp;",")))=0)),IF(GG103="",TRUE,IF(input_modality="",FALSE,SUMPRODUCT(--ISNUMBER(SEARCH(","&amp;TRIM(TEXTSPLIT(GG103,","))&amp;",",","&amp;SUBSTITUTE(input_modality," ","")&amp;",")))&gt;0)),IF(GI103="",TRUE,IF(input_modality="",FALSE,SUMPRODUCT(--ISNUMBER(SEARCH(","&amp;TRIM(TEXTSPLIT(GI103,","))&amp;",",","&amp;SUBSTITUTE(input_modality," ","")&amp;",")))=COUNTA(TEXTSPLIT(GI103,",")))))</f>
        <v/>
      </c>
      <c r="JL103" s="19">
        <f>AND(IF(GK103="",TRUE,IF(input_organizer="",FALSE,SUMPRODUCT(--ISNUMBER(SEARCH(","&amp;TRIM(TEXTSPLIT(GK103,","))&amp;",",","&amp;SUBSTITUTE(input_organizer," ","")&amp;",")))&gt;0)),IF(GM103="",TRUE,IF(input_organizer="",FALSE,SUMPRODUCT(--ISNUMBER(SEARCH(","&amp;TRIM(TEXTSPLIT(GM103,","))&amp;",",","&amp;SUBSTITUTE(input_organizer," ","")&amp;",")))=COUNTA(TEXTSPLIT(GM103,",")))),IF(GO103="",TRUE,IF(input_organizer="",TRUE,SUMPRODUCT(--ISNUMBER(SEARCH(","&amp;TRIM(TEXTSPLIT(GO103,","))&amp;",",","&amp;SUBSTITUTE(input_organizer," ","")&amp;",")))=0)),IF(GQ103="",TRUE,IF(input_organizer="",FALSE,SUMPRODUCT(--ISNUMBER(SEARCH(","&amp;TRIM(TEXTSPLIT(GQ103,","))&amp;",",","&amp;SUBSTITUTE(input_organizer," ","")&amp;",")))&gt;0)),IF(GS103="",TRUE,IF(input_organizer="",FALSE,SUMPRODUCT(--ISNUMBER(SEARCH(","&amp;TRIM(TEXTSPLIT(GS103,","))&amp;",",","&amp;SUBSTITUTE(input_organizer," ","")&amp;",")))=COUNTA(TEXTSPLIT(GS103,",")))))</f>
        <v/>
      </c>
      <c r="JM103" s="19">
        <f>AND(IF(GU103="",TRUE,IF(input_profile_type="",FALSE,SUMPRODUCT(--ISNUMBER(SEARCH(","&amp;TRIM(TEXTSPLIT(GU103,","))&amp;",",","&amp;SUBSTITUTE(input_profile_type," ","")&amp;",")))&gt;0)),IF(GW103="",TRUE,IF(input_profile_type="",FALSE,SUMPRODUCT(--ISNUMBER(SEARCH(","&amp;TRIM(TEXTSPLIT(GW103,","))&amp;",",","&amp;SUBSTITUTE(input_profile_type," ","")&amp;",")))=COUNTA(TEXTSPLIT(GW103,",")))),IF(GY103="",TRUE,IF(input_profile_type="",TRUE,SUMPRODUCT(--ISNUMBER(SEARCH(","&amp;TRIM(TEXTSPLIT(GY103,","))&amp;",",","&amp;SUBSTITUTE(input_profile_type," ","")&amp;",")))=0)),IF(HA103="",TRUE,IF(input_profile_type="",FALSE,SUMPRODUCT(--ISNUMBER(SEARCH(","&amp;TRIM(TEXTSPLIT(HA103,","))&amp;",",","&amp;SUBSTITUTE(input_profile_type," ","")&amp;",")))&gt;0)),IF(HC103="",TRUE,IF(input_profile_type="",FALSE,SUMPRODUCT(--ISNUMBER(SEARCH(","&amp;TRIM(TEXTSPLIT(HC103,","))&amp;",",","&amp;SUBSTITUTE(input_profile_type," ","")&amp;",")))=COUNTA(TEXTSPLIT(HC103,",")))))</f>
        <v/>
      </c>
      <c r="JN103" s="19">
        <f>AND(IF(HE103="",TRUE,IF(input_program="",FALSE,SUMPRODUCT(--ISNUMBER(SEARCH(","&amp;TRIM(TEXTSPLIT(HE103,","))&amp;",",","&amp;SUBSTITUTE(input_program," ","")&amp;",")))&gt;0)),IF(HG103="",TRUE,IF(input_program="",FALSE,SUMPRODUCT(--ISNUMBER(SEARCH(","&amp;TRIM(TEXTSPLIT(HG103,","))&amp;",",","&amp;SUBSTITUTE(input_program," ","")&amp;",")))=COUNTA(TEXTSPLIT(HG103,",")))),IF(HI103="",TRUE,IF(input_program="",TRUE,SUMPRODUCT(--ISNUMBER(SEARCH(","&amp;TRIM(TEXTSPLIT(HI103,","))&amp;",",","&amp;SUBSTITUTE(input_program," ","")&amp;",")))=0)),IF(HK103="",TRUE,IF(input_program="",FALSE,SUMPRODUCT(--ISNUMBER(SEARCH(","&amp;TRIM(TEXTSPLIT(HK103,","))&amp;",",","&amp;SUBSTITUTE(input_program," ","")&amp;",")))&gt;0)),IF(HM103="",TRUE,IF(input_program="",FALSE,SUMPRODUCT(--ISNUMBER(SEARCH(","&amp;TRIM(TEXTSPLIT(HM103,","))&amp;",",","&amp;SUBSTITUTE(input_program," ","")&amp;",")))=COUNTA(TEXTSPLIT(HM103,",")))))</f>
        <v/>
      </c>
      <c r="JO103" s="19">
        <f>AND(IF(HO103="",TRUE,IF(input_story_categories="",FALSE,SUMPRODUCT(--ISNUMBER(SEARCH(","&amp;TRIM(TEXTSPLIT(HO103,","))&amp;",",","&amp;SUBSTITUTE(input_story_categories," ","")&amp;",")))&gt;0)),IF(HQ103="",TRUE,IF(input_story_categories="",FALSE,SUMPRODUCT(--ISNUMBER(SEARCH(","&amp;TRIM(TEXTSPLIT(HQ103,","))&amp;",",","&amp;SUBSTITUTE(input_story_categories," ","")&amp;",")))=COUNTA(TEXTSPLIT(HQ103,",")))),IF(HS103="",TRUE,IF(input_story_categories="",TRUE,SUMPRODUCT(--ISNUMBER(SEARCH(","&amp;TRIM(TEXTSPLIT(HS103,","))&amp;",",","&amp;SUBSTITUTE(input_story_categories," ","")&amp;",")))=0)),IF(HU103="",TRUE,IF(input_story_categories="",FALSE,SUMPRODUCT(--ISNUMBER(SEARCH(","&amp;TRIM(TEXTSPLIT(HU103,","))&amp;",",","&amp;SUBSTITUTE(input_story_categories," ","")&amp;",")))&gt;0)),IF(HW103="",TRUE,IF(input_story_categories="",FALSE,SUMPRODUCT(--ISNUMBER(SEARCH(","&amp;TRIM(TEXTSPLIT(HW103,","))&amp;",",","&amp;SUBSTITUTE(input_story_categories," ","")&amp;",")))=COUNTA(TEXTSPLIT(HW103,",")))))</f>
        <v/>
      </c>
      <c r="JP103" s="19">
        <f>AND(IF(HY103="",TRUE,IF(input_story_type="",FALSE,SUMPRODUCT(--ISNUMBER(SEARCH(","&amp;TRIM(TEXTSPLIT(HY103,","))&amp;",",","&amp;SUBSTITUTE(input_story_type," ","")&amp;",")))&gt;0)),IF(IA103="",TRUE,IF(input_story_type="",FALSE,SUMPRODUCT(--ISNUMBER(SEARCH(","&amp;TRIM(TEXTSPLIT(IA103,","))&amp;",",","&amp;SUBSTITUTE(input_story_type," ","")&amp;",")))=COUNTA(TEXTSPLIT(IA103,",")))),IF(IC103="",TRUE,IF(input_story_type="",TRUE,SUMPRODUCT(--ISNUMBER(SEARCH(","&amp;TRIM(TEXTSPLIT(IC103,","))&amp;",",","&amp;SUBSTITUTE(input_story_type," ","")&amp;",")))=0)),IF(IE103="",TRUE,IF(input_story_type="",FALSE,SUMPRODUCT(--ISNUMBER(SEARCH(","&amp;TRIM(TEXTSPLIT(IE103,","))&amp;",",","&amp;SUBSTITUTE(input_story_type," ","")&amp;",")))&gt;0)),IF(IG103="",TRUE,IF(input_story_type="",FALSE,SUMPRODUCT(--ISNUMBER(SEARCH(","&amp;TRIM(TEXTSPLIT(IG103,","))&amp;",",","&amp;SUBSTITUTE(input_story_type," ","")&amp;",")))=COUNTA(TEXTSPLIT(IG103,",")))))</f>
        <v/>
      </c>
      <c r="JQ103" s="19">
        <f>AND(IF(II103="",TRUE,IF(input_topics="",FALSE,SUMPRODUCT(--ISNUMBER(SEARCH(","&amp;TRIM(TEXTSPLIT(II103,","))&amp;",",","&amp;SUBSTITUTE(input_topics," ","")&amp;",")))&gt;0)),IF(IK103="",TRUE,IF(input_topics="",FALSE,SUMPRODUCT(--ISNUMBER(SEARCH(","&amp;TRIM(TEXTSPLIT(IK103,","))&amp;",",","&amp;SUBSTITUTE(input_topics," ","")&amp;",")))=COUNTA(TEXTSPLIT(IK103,",")))),IF(IM103="",TRUE,IF(input_topics="",TRUE,SUMPRODUCT(--ISNUMBER(SEARCH(","&amp;TRIM(TEXTSPLIT(IM103,","))&amp;",",","&amp;SUBSTITUTE(input_topics," ","")&amp;",")))=0)),IF(IO103="",TRUE,IF(input_topics="",FALSE,SUMPRODUCT(--ISNUMBER(SEARCH(","&amp;TRIM(TEXTSPLIT(IO103,","))&amp;",",","&amp;SUBSTITUTE(input_topics," ","")&amp;",")))&gt;0)),IF(IQ103="",TRUE,IF(input_topics="",FALSE,SUMPRODUCT(--ISNUMBER(SEARCH(","&amp;TRIM(TEXTSPLIT(IQ103,","))&amp;",",","&amp;SUBSTITUTE(input_topics," ","")&amp;",")))=COUNTA(TEXTSPLIT(IQ103,",")))))</f>
        <v/>
      </c>
    </row>
    <row r="104">
      <c r="A104" s="24">
        <f>IF(NOT(IS104),"Excluded",IF(AND(IT104,IU104,IV104,IW104,IX104,IY104,IZ104,JA104,JB104,JC104,JD104,JE104,JF104,JG104,JH104,JI104,JJ104,JK104,JL104,JM104,JN104,JO104,JP104,JQ104),IF(I104&gt;0,"Eligible but limited","Will appear"),"Excluded"))</f>
        <v/>
      </c>
      <c r="B104" s="24" t="inlineStr">
        <is>
          <t>Events</t>
        </is>
      </c>
      <c r="C104" s="27" t="inlineStr">
        <is>
          <t>/programs/emba</t>
        </is>
      </c>
      <c r="D104" s="24" t="inlineStr">
        <is>
          <t>/programs/emba</t>
        </is>
      </c>
      <c r="E104" s="24" t="n">
        <v>1</v>
      </c>
      <c r="F104" s="24" t="inlineStr">
        <is>
          <t>event</t>
        </is>
      </c>
      <c r="G104" s="24" t="inlineStr">
        <is>
          <t>event_teaser_list</t>
        </is>
      </c>
      <c r="H104" s="24" t="inlineStr">
        <is>
          <t>embed_1</t>
        </is>
      </c>
      <c r="I104" s="24" t="n">
        <v>3</v>
      </c>
      <c r="J104" s="29" t="inlineStr">
        <is>
          <t>Section inferred</t>
        </is>
      </c>
      <c r="K104" s="24" t="inlineStr">
        <is>
          <t>Page placement</t>
        </is>
      </c>
      <c r="L104" s="24" t="inlineStr">
        <is>
          <t>Content type: event; Context uses Courses Context: MBA For Executives (928); Limited to 3 item(s); Source: Section inferred</t>
        </is>
      </c>
      <c r="BQ104" s="19" t="inlineStr">
        <is>
          <t>928</t>
        </is>
      </c>
      <c r="BR104" s="19" t="inlineStr">
        <is>
          <t>MBA For Executives (928)</t>
        </is>
      </c>
      <c r="IS104" s="19">
        <f>IF(input_content_type="",FALSE,ISNUMBER(SEARCH(","&amp;LOWER(input_content_type)&amp;",",","&amp;LOWER(SUBSTITUTE(F104," ",""))&amp;",")))</f>
        <v/>
      </c>
      <c r="IT104" s="19">
        <f>AND(IF(M104="",TRUE,IF(input_affiliations="",FALSE,SUMPRODUCT(--ISNUMBER(SEARCH(","&amp;TRIM(TEXTSPLIT(M104,","))&amp;",",","&amp;SUBSTITUTE(input_affiliations," ","")&amp;",")))&gt;0)),IF(O104="",TRUE,IF(input_affiliations="",FALSE,SUMPRODUCT(--ISNUMBER(SEARCH(","&amp;TRIM(TEXTSPLIT(O104,","))&amp;",",","&amp;SUBSTITUTE(input_affiliations," ","")&amp;",")))=COUNTA(TEXTSPLIT(O104,",")))),IF(Q104="",TRUE,IF(input_affiliations="",TRUE,SUMPRODUCT(--ISNUMBER(SEARCH(","&amp;TRIM(TEXTSPLIT(Q104,","))&amp;",",","&amp;SUBSTITUTE(input_affiliations," ","")&amp;",")))=0)),IF(S104="",TRUE,IF(input_affiliations="",FALSE,SUMPRODUCT(--ISNUMBER(SEARCH(","&amp;TRIM(TEXTSPLIT(S104,","))&amp;",",","&amp;SUBSTITUTE(input_affiliations," ","")&amp;",")))&gt;0)),IF(U104="",TRUE,IF(input_affiliations="",FALSE,SUMPRODUCT(--ISNUMBER(SEARCH(","&amp;TRIM(TEXTSPLIT(U104,","))&amp;",",","&amp;SUBSTITUTE(input_affiliations," ","")&amp;",")))=COUNTA(TEXTSPLIT(U104,",")))))</f>
        <v/>
      </c>
      <c r="IU104" s="19">
        <f>AND(IF(W104="",TRUE,IF(input_announcement_category="",FALSE,SUMPRODUCT(--ISNUMBER(SEARCH(","&amp;TRIM(TEXTSPLIT(W104,","))&amp;",",","&amp;SUBSTITUTE(input_announcement_category," ","")&amp;",")))&gt;0)),IF(Y104="",TRUE,IF(input_announcement_category="",FALSE,SUMPRODUCT(--ISNUMBER(SEARCH(","&amp;TRIM(TEXTSPLIT(Y104,","))&amp;",",","&amp;SUBSTITUTE(input_announcement_category," ","")&amp;",")))=COUNTA(TEXTSPLIT(Y104,",")))),IF(AA104="",TRUE,IF(input_announcement_category="",TRUE,SUMPRODUCT(--ISNUMBER(SEARCH(","&amp;TRIM(TEXTSPLIT(AA104,","))&amp;",",","&amp;SUBSTITUTE(input_announcement_category," ","")&amp;",")))=0)),IF(AC104="",TRUE,IF(input_announcement_category="",FALSE,SUMPRODUCT(--ISNUMBER(SEARCH(","&amp;TRIM(TEXTSPLIT(AC104,","))&amp;",",","&amp;SUBSTITUTE(input_announcement_category," ","")&amp;",")))&gt;0)),IF(AE104="",TRUE,IF(input_announcement_category="",FALSE,SUMPRODUCT(--ISNUMBER(SEARCH(","&amp;TRIM(TEXTSPLIT(AE104,","))&amp;",",","&amp;SUBSTITUTE(input_announcement_category," ","")&amp;",")))=COUNTA(TEXTSPLIT(AE104,",")))))</f>
        <v/>
      </c>
      <c r="IV104" s="19">
        <f>AND(IF(AG104="",TRUE,IF(input_area_of_focus="",FALSE,SUMPRODUCT(--ISNUMBER(SEARCH(","&amp;TRIM(TEXTSPLIT(AG104,","))&amp;",",","&amp;SUBSTITUTE(input_area_of_focus," ","")&amp;",")))&gt;0)),IF(AI104="",TRUE,IF(input_area_of_focus="",FALSE,SUMPRODUCT(--ISNUMBER(SEARCH(","&amp;TRIM(TEXTSPLIT(AI104,","))&amp;",",","&amp;SUBSTITUTE(input_area_of_focus," ","")&amp;",")))=COUNTA(TEXTSPLIT(AI104,",")))),IF(AK104="",TRUE,IF(input_area_of_focus="",TRUE,SUMPRODUCT(--ISNUMBER(SEARCH(","&amp;TRIM(TEXTSPLIT(AK104,","))&amp;",",","&amp;SUBSTITUTE(input_area_of_focus," ","")&amp;",")))=0)),IF(AM104="",TRUE,IF(input_area_of_focus="",FALSE,SUMPRODUCT(--ISNUMBER(SEARCH(","&amp;TRIM(TEXTSPLIT(AM104,","))&amp;",",","&amp;SUBSTITUTE(input_area_of_focus," ","")&amp;",")))&gt;0)),IF(AO104="",TRUE,IF(input_area_of_focus="",FALSE,SUMPRODUCT(--ISNUMBER(SEARCH(","&amp;TRIM(TEXTSPLIT(AO104,","))&amp;",",","&amp;SUBSTITUTE(input_area_of_focus," ","")&amp;",")))=COUNTA(TEXTSPLIT(AO104,",")))))</f>
        <v/>
      </c>
      <c r="IW104" s="19">
        <f>AND(IF(AQ104="",TRUE,IF(input_audience="",FALSE,SUMPRODUCT(--ISNUMBER(SEARCH(","&amp;TRIM(TEXTSPLIT(AQ104,","))&amp;",",","&amp;SUBSTITUTE(input_audience," ","")&amp;",")))&gt;0)),IF(AS104="",TRUE,IF(input_audience="",FALSE,SUMPRODUCT(--ISNUMBER(SEARCH(","&amp;TRIM(TEXTSPLIT(AS104,","))&amp;",",","&amp;SUBSTITUTE(input_audience," ","")&amp;",")))=COUNTA(TEXTSPLIT(AS104,",")))),IF(AU104="",TRUE,IF(input_audience="",TRUE,SUMPRODUCT(--ISNUMBER(SEARCH(","&amp;TRIM(TEXTSPLIT(AU104,","))&amp;",",","&amp;SUBSTITUTE(input_audience," ","")&amp;",")))=0)),IF(AW104="",TRUE,IF(input_audience="",FALSE,SUMPRODUCT(--ISNUMBER(SEARCH(","&amp;TRIM(TEXTSPLIT(AW104,","))&amp;",",","&amp;SUBSTITUTE(input_audience," ","")&amp;",")))&gt;0)),IF(AY104="",TRUE,IF(input_audience="",FALSE,SUMPRODUCT(--ISNUMBER(SEARCH(","&amp;TRIM(TEXTSPLIT(AY104,","))&amp;",",","&amp;SUBSTITUTE(input_audience," ","")&amp;",")))=COUNTA(TEXTSPLIT(AY104,",")))))</f>
        <v/>
      </c>
      <c r="IX104" s="19">
        <f>AND(IF(BA104="",TRUE,IF(input_challenge_opportunities="",FALSE,SUMPRODUCT(--ISNUMBER(SEARCH(","&amp;TRIM(TEXTSPLIT(BA104,","))&amp;",",","&amp;SUBSTITUTE(input_challenge_opportunities," ","")&amp;",")))&gt;0)),IF(BC104="",TRUE,IF(input_challenge_opportunities="",FALSE,SUMPRODUCT(--ISNUMBER(SEARCH(","&amp;TRIM(TEXTSPLIT(BC104,","))&amp;",",","&amp;SUBSTITUTE(input_challenge_opportunities," ","")&amp;",")))=COUNTA(TEXTSPLIT(BC104,",")))),IF(BE104="",TRUE,IF(input_challenge_opportunities="",TRUE,SUMPRODUCT(--ISNUMBER(SEARCH(","&amp;TRIM(TEXTSPLIT(BE104,","))&amp;",",","&amp;SUBSTITUTE(input_challenge_opportunities," ","")&amp;",")))=0)),IF(BG104="",TRUE,IF(input_challenge_opportunities="",FALSE,SUMPRODUCT(--ISNUMBER(SEARCH(","&amp;TRIM(TEXTSPLIT(BG104,","))&amp;",",","&amp;SUBSTITUTE(input_challenge_opportunities," ","")&amp;",")))&gt;0)),IF(BI104="",TRUE,IF(input_challenge_opportunities="",FALSE,SUMPRODUCT(--ISNUMBER(SEARCH(","&amp;TRIM(TEXTSPLIT(BI104,","))&amp;",",","&amp;SUBSTITUTE(input_challenge_opportunities," ","")&amp;",")))=COUNTA(TEXTSPLIT(BI104,",")))))</f>
        <v/>
      </c>
      <c r="IY104" s="19">
        <f>AND(IF(BK104="",TRUE,IF(input_context="",FALSE,SUMPRODUCT(--ISNUMBER(SEARCH(","&amp;TRIM(TEXTSPLIT(BK104,","))&amp;",",","&amp;SUBSTITUTE(input_context," ","")&amp;",")))&gt;0)),IF(BM104="",TRUE,IF(input_context="",FALSE,SUMPRODUCT(--ISNUMBER(SEARCH(","&amp;TRIM(TEXTSPLIT(BM104,","))&amp;",",","&amp;SUBSTITUTE(input_context," ","")&amp;",")))=COUNTA(TEXTSPLIT(BM104,",")))),IF(BO104="",TRUE,IF(input_context="",TRUE,SUMPRODUCT(--ISNUMBER(SEARCH(","&amp;TRIM(TEXTSPLIT(BO104,","))&amp;",",","&amp;SUBSTITUTE(input_context," ","")&amp;",")))=0)),IF(BQ104="",TRUE,IF(input_context="",FALSE,SUMPRODUCT(--ISNUMBER(SEARCH(","&amp;TRIM(TEXTSPLIT(BQ104,","))&amp;",",","&amp;SUBSTITUTE(input_context," ","")&amp;",")))&gt;0)),IF(BS104="",TRUE,IF(input_context="",FALSE,SUMPRODUCT(--ISNUMBER(SEARCH(","&amp;TRIM(TEXTSPLIT(BS104,","))&amp;",",","&amp;SUBSTITUTE(input_context," ","")&amp;",")))=COUNTA(TEXTSPLIT(BS104,",")))))</f>
        <v/>
      </c>
      <c r="IZ104" s="19">
        <f>AND(IF(BU104="",TRUE,IF(input_enews_announcement_type="",FALSE,SUMPRODUCT(--ISNUMBER(SEARCH(","&amp;TRIM(TEXTSPLIT(BU104,","))&amp;",",","&amp;SUBSTITUTE(input_enews_announcement_type," ","")&amp;",")))&gt;0)),IF(BW104="",TRUE,IF(input_enews_announcement_type="",FALSE,SUMPRODUCT(--ISNUMBER(SEARCH(","&amp;TRIM(TEXTSPLIT(BW104,","))&amp;",",","&amp;SUBSTITUTE(input_enews_announcement_type," ","")&amp;",")))=COUNTA(TEXTSPLIT(BW104,",")))),IF(BY104="",TRUE,IF(input_enews_announcement_type="",TRUE,SUMPRODUCT(--ISNUMBER(SEARCH(","&amp;TRIM(TEXTSPLIT(BY104,","))&amp;",",","&amp;SUBSTITUTE(input_enews_announcement_type," ","")&amp;",")))=0)),IF(CA104="",TRUE,IF(input_enews_announcement_type="",FALSE,SUMPRODUCT(--ISNUMBER(SEARCH(","&amp;TRIM(TEXTSPLIT(CA104,","))&amp;",",","&amp;SUBSTITUTE(input_enews_announcement_type," ","")&amp;",")))&gt;0)),IF(CC104="",TRUE,IF(input_enews_announcement_type="",FALSE,SUMPRODUCT(--ISNUMBER(SEARCH(","&amp;TRIM(TEXTSPLIT(CC104,","))&amp;",",","&amp;SUBSTITUTE(input_enews_announcement_type," ","")&amp;",")))=COUNTA(TEXTSPLIT(CC104,",")))))</f>
        <v/>
      </c>
      <c r="JA104" s="19">
        <f>AND(IF(CE104="",TRUE,IF(input_enews_audience="",FALSE,SUMPRODUCT(--ISNUMBER(SEARCH(","&amp;TRIM(TEXTSPLIT(CE104,","))&amp;",",","&amp;SUBSTITUTE(input_enews_audience," ","")&amp;",")))&gt;0)),IF(CG104="",TRUE,IF(input_enews_audience="",FALSE,SUMPRODUCT(--ISNUMBER(SEARCH(","&amp;TRIM(TEXTSPLIT(CG104,","))&amp;",",","&amp;SUBSTITUTE(input_enews_audience," ","")&amp;",")))=COUNTA(TEXTSPLIT(CG104,",")))),IF(CI104="",TRUE,IF(input_enews_audience="",TRUE,SUMPRODUCT(--ISNUMBER(SEARCH(","&amp;TRIM(TEXTSPLIT(CI104,","))&amp;",",","&amp;SUBSTITUTE(input_enews_audience," ","")&amp;",")))=0)),IF(CK104="",TRUE,IF(input_enews_audience="",FALSE,SUMPRODUCT(--ISNUMBER(SEARCH(","&amp;TRIM(TEXTSPLIT(CK104,","))&amp;",",","&amp;SUBSTITUTE(input_enews_audience," ","")&amp;",")))&gt;0)),IF(CM104="",TRUE,IF(input_enews_audience="",FALSE,SUMPRODUCT(--ISNUMBER(SEARCH(","&amp;TRIM(TEXTSPLIT(CM104,","))&amp;",",","&amp;SUBSTITUTE(input_enews_audience," ","")&amp;",")))=COUNTA(TEXTSPLIT(CM104,",")))))</f>
        <v/>
      </c>
      <c r="JB104" s="19">
        <f>AND(IF(CO104="",TRUE,IF(input_event_location="",FALSE,SUMPRODUCT(--ISNUMBER(SEARCH(","&amp;TRIM(TEXTSPLIT(CO104,","))&amp;",",","&amp;SUBSTITUTE(input_event_location," ","")&amp;",")))&gt;0)),IF(CQ104="",TRUE,IF(input_event_location="",FALSE,SUMPRODUCT(--ISNUMBER(SEARCH(","&amp;TRIM(TEXTSPLIT(CQ104,","))&amp;",",","&amp;SUBSTITUTE(input_event_location," ","")&amp;",")))=COUNTA(TEXTSPLIT(CQ104,",")))),IF(CS104="",TRUE,IF(input_event_location="",TRUE,SUMPRODUCT(--ISNUMBER(SEARCH(","&amp;TRIM(TEXTSPLIT(CS104,","))&amp;",",","&amp;SUBSTITUTE(input_event_location," ","")&amp;",")))=0)),IF(CU104="",TRUE,IF(input_event_location="",FALSE,SUMPRODUCT(--ISNUMBER(SEARCH(","&amp;TRIM(TEXTSPLIT(CU104,","))&amp;",",","&amp;SUBSTITUTE(input_event_location," ","")&amp;",")))&gt;0)),IF(CW104="",TRUE,IF(input_event_location="",FALSE,SUMPRODUCT(--ISNUMBER(SEARCH(","&amp;TRIM(TEXTSPLIT(CW104,","))&amp;",",","&amp;SUBSTITUTE(input_event_location," ","")&amp;",")))=COUNTA(TEXTSPLIT(CW104,",")))))</f>
        <v/>
      </c>
      <c r="JC104" s="19">
        <f>AND(IF(CY104="",TRUE,IF(input_event_type="",FALSE,SUMPRODUCT(--ISNUMBER(SEARCH(","&amp;TRIM(TEXTSPLIT(CY104,","))&amp;",",","&amp;SUBSTITUTE(input_event_type," ","")&amp;",")))&gt;0)),IF(DA104="",TRUE,IF(input_event_type="",FALSE,SUMPRODUCT(--ISNUMBER(SEARCH(","&amp;TRIM(TEXTSPLIT(DA104,","))&amp;",",","&amp;SUBSTITUTE(input_event_type," ","")&amp;",")))=COUNTA(TEXTSPLIT(DA104,",")))),IF(DC104="",TRUE,IF(input_event_type="",TRUE,SUMPRODUCT(--ISNUMBER(SEARCH(","&amp;TRIM(TEXTSPLIT(DC104,","))&amp;",",","&amp;SUBSTITUTE(input_event_type," ","")&amp;",")))=0)),IF(DE104="",TRUE,IF(input_event_type="",FALSE,SUMPRODUCT(--ISNUMBER(SEARCH(","&amp;TRIM(TEXTSPLIT(DE104,","))&amp;",",","&amp;SUBSTITUTE(input_event_type," ","")&amp;",")))&gt;0)),IF(DG104="",TRUE,IF(input_event_type="",FALSE,SUMPRODUCT(--ISNUMBER(SEARCH(","&amp;TRIM(TEXTSPLIT(DG104,","))&amp;",",","&amp;SUBSTITUTE(input_event_type," ","")&amp;",")))=COUNTA(TEXTSPLIT(DG104,",")))))</f>
        <v/>
      </c>
      <c r="JD104" s="19">
        <f>AND(IF(DI104="",TRUE,IF(input_executive_education_focus="",FALSE,SUMPRODUCT(--ISNUMBER(SEARCH(","&amp;TRIM(TEXTSPLIT(DI104,","))&amp;",",","&amp;SUBSTITUTE(input_executive_education_focus," ","")&amp;",")))&gt;0)),IF(DK104="",TRUE,IF(input_executive_education_focus="",FALSE,SUMPRODUCT(--ISNUMBER(SEARCH(","&amp;TRIM(TEXTSPLIT(DK104,","))&amp;",",","&amp;SUBSTITUTE(input_executive_education_focus," ","")&amp;",")))=COUNTA(TEXTSPLIT(DK104,",")))),IF(DM104="",TRUE,IF(input_executive_education_focus="",TRUE,SUMPRODUCT(--ISNUMBER(SEARCH(","&amp;TRIM(TEXTSPLIT(DM104,","))&amp;",",","&amp;SUBSTITUTE(input_executive_education_focus," ","")&amp;",")))=0)),IF(DO104="",TRUE,IF(input_executive_education_focus="",FALSE,SUMPRODUCT(--ISNUMBER(SEARCH(","&amp;TRIM(TEXTSPLIT(DO104,","))&amp;",",","&amp;SUBSTITUTE(input_executive_education_focus," ","")&amp;",")))&gt;0)),IF(DQ104="",TRUE,IF(input_executive_education_focus="",FALSE,SUMPRODUCT(--ISNUMBER(SEARCH(","&amp;TRIM(TEXTSPLIT(DQ104,","))&amp;",",","&amp;SUBSTITUTE(input_executive_education_focus," ","")&amp;",")))=COUNTA(TEXTSPLIT(DQ104,",")))))</f>
        <v/>
      </c>
      <c r="JE104" s="19">
        <f>AND(IF(DS104="",TRUE,IF(input_faculty_category="",FALSE,SUMPRODUCT(--ISNUMBER(SEARCH(","&amp;TRIM(TEXTSPLIT(DS104,","))&amp;",",","&amp;SUBSTITUTE(input_faculty_category," ","")&amp;",")))&gt;0)),IF(DU104="",TRUE,IF(input_faculty_category="",FALSE,SUMPRODUCT(--ISNUMBER(SEARCH(","&amp;TRIM(TEXTSPLIT(DU104,","))&amp;",",","&amp;SUBSTITUTE(input_faculty_category," ","")&amp;",")))=COUNTA(TEXTSPLIT(DU104,",")))),IF(DW104="",TRUE,IF(input_faculty_category="",TRUE,SUMPRODUCT(--ISNUMBER(SEARCH(","&amp;TRIM(TEXTSPLIT(DW104,","))&amp;",",","&amp;SUBSTITUTE(input_faculty_category," ","")&amp;",")))=0)),IF(DY104="",TRUE,IF(input_faculty_category="",FALSE,SUMPRODUCT(--ISNUMBER(SEARCH(","&amp;TRIM(TEXTSPLIT(DY104,","))&amp;",",","&amp;SUBSTITUTE(input_faculty_category," ","")&amp;",")))&gt;0)),IF(EA104="",TRUE,IF(input_faculty_category="",FALSE,SUMPRODUCT(--ISNUMBER(SEARCH(","&amp;TRIM(TEXTSPLIT(EA104,","))&amp;",",","&amp;SUBSTITUTE(input_faculty_category," ","")&amp;",")))=COUNTA(TEXTSPLIT(EA104,",")))))</f>
        <v/>
      </c>
      <c r="JF104" s="19">
        <f>AND(IF(EC104="",TRUE,IF(input_faculty_discipline="",FALSE,SUMPRODUCT(--ISNUMBER(SEARCH(","&amp;TRIM(TEXTSPLIT(EC104,","))&amp;",",","&amp;SUBSTITUTE(input_faculty_discipline," ","")&amp;",")))&gt;0)),IF(EE104="",TRUE,IF(input_faculty_discipline="",FALSE,SUMPRODUCT(--ISNUMBER(SEARCH(","&amp;TRIM(TEXTSPLIT(EE104,","))&amp;",",","&amp;SUBSTITUTE(input_faculty_discipline," ","")&amp;",")))=COUNTA(TEXTSPLIT(EE104,",")))),IF(EG104="",TRUE,IF(input_faculty_discipline="",TRUE,SUMPRODUCT(--ISNUMBER(SEARCH(","&amp;TRIM(TEXTSPLIT(EG104,","))&amp;",",","&amp;SUBSTITUTE(input_faculty_discipline," ","")&amp;",")))=0)),IF(EI104="",TRUE,IF(input_faculty_discipline="",FALSE,SUMPRODUCT(--ISNUMBER(SEARCH(","&amp;TRIM(TEXTSPLIT(EI104,","))&amp;",",","&amp;SUBSTITUTE(input_faculty_discipline," ","")&amp;",")))&gt;0)),IF(EK104="",TRUE,IF(input_faculty_discipline="",FALSE,SUMPRODUCT(--ISNUMBER(SEARCH(","&amp;TRIM(TEXTSPLIT(EK104,","))&amp;",",","&amp;SUBSTITUTE(input_faculty_discipline," ","")&amp;",")))=COUNTA(TEXTSPLIT(EK104,",")))))</f>
        <v/>
      </c>
      <c r="JG104" s="19">
        <f>AND(IF(EM104="",TRUE,IF(input_faculty_expertise="",FALSE,SUMPRODUCT(--ISNUMBER(SEARCH(","&amp;TRIM(TEXTSPLIT(EM104,","))&amp;",",","&amp;SUBSTITUTE(input_faculty_expertise," ","")&amp;",")))&gt;0)),IF(EO104="",TRUE,IF(input_faculty_expertise="",FALSE,SUMPRODUCT(--ISNUMBER(SEARCH(","&amp;TRIM(TEXTSPLIT(EO104,","))&amp;",",","&amp;SUBSTITUTE(input_faculty_expertise," ","")&amp;",")))=COUNTA(TEXTSPLIT(EO104,",")))),IF(EQ104="",TRUE,IF(input_faculty_expertise="",TRUE,SUMPRODUCT(--ISNUMBER(SEARCH(","&amp;TRIM(TEXTSPLIT(EQ104,","))&amp;",",","&amp;SUBSTITUTE(input_faculty_expertise," ","")&amp;",")))=0)),IF(ES104="",TRUE,IF(input_faculty_expertise="",FALSE,SUMPRODUCT(--ISNUMBER(SEARCH(","&amp;TRIM(TEXTSPLIT(ES104,","))&amp;",",","&amp;SUBSTITUTE(input_faculty_expertise," ","")&amp;",")))&gt;0)),IF(EU104="",TRUE,IF(input_faculty_expertise="",FALSE,SUMPRODUCT(--ISNUMBER(SEARCH(","&amp;TRIM(TEXTSPLIT(EU104,","))&amp;",",","&amp;SUBSTITUTE(input_faculty_expertise," ","")&amp;",")))=COUNTA(TEXTSPLIT(EU104,",")))))</f>
        <v/>
      </c>
      <c r="JH104" s="19">
        <f>AND(IF(EW104="",TRUE,IF(input_global_network_school="",FALSE,SUMPRODUCT(--ISNUMBER(SEARCH(","&amp;TRIM(TEXTSPLIT(EW104,","))&amp;",",","&amp;SUBSTITUTE(input_global_network_school," ","")&amp;",")))&gt;0)),IF(EY104="",TRUE,IF(input_global_network_school="",FALSE,SUMPRODUCT(--ISNUMBER(SEARCH(","&amp;TRIM(TEXTSPLIT(EY104,","))&amp;",",","&amp;SUBSTITUTE(input_global_network_school," ","")&amp;",")))=COUNTA(TEXTSPLIT(EY104,",")))),IF(FA104="",TRUE,IF(input_global_network_school="",TRUE,SUMPRODUCT(--ISNUMBER(SEARCH(","&amp;TRIM(TEXTSPLIT(FA104,","))&amp;",",","&amp;SUBSTITUTE(input_global_network_school," ","")&amp;",")))=0)),IF(FC104="",TRUE,IF(input_global_network_school="",FALSE,SUMPRODUCT(--ISNUMBER(SEARCH(","&amp;TRIM(TEXTSPLIT(FC104,","))&amp;",",","&amp;SUBSTITUTE(input_global_network_school," ","")&amp;",")))&gt;0)),IF(FE104="",TRUE,IF(input_global_network_school="",FALSE,SUMPRODUCT(--ISNUMBER(SEARCH(","&amp;TRIM(TEXTSPLIT(FE104,","))&amp;",",","&amp;SUBSTITUTE(input_global_network_school," ","")&amp;",")))=COUNTA(TEXTSPLIT(FE104,",")))))</f>
        <v/>
      </c>
      <c r="JI104" s="19">
        <f>AND(IF(FG104="",TRUE,IF(input_industry="",FALSE,SUMPRODUCT(--ISNUMBER(SEARCH(","&amp;TRIM(TEXTSPLIT(FG104,","))&amp;",",","&amp;SUBSTITUTE(input_industry," ","")&amp;",")))&gt;0)),IF(FI104="",TRUE,IF(input_industry="",FALSE,SUMPRODUCT(--ISNUMBER(SEARCH(","&amp;TRIM(TEXTSPLIT(FI104,","))&amp;",",","&amp;SUBSTITUTE(input_industry," ","")&amp;",")))=COUNTA(TEXTSPLIT(FI104,",")))),IF(FK104="",TRUE,IF(input_industry="",TRUE,SUMPRODUCT(--ISNUMBER(SEARCH(","&amp;TRIM(TEXTSPLIT(FK104,","))&amp;",",","&amp;SUBSTITUTE(input_industry," ","")&amp;",")))=0)),IF(FM104="",TRUE,IF(input_industry="",FALSE,SUMPRODUCT(--ISNUMBER(SEARCH(","&amp;TRIM(TEXTSPLIT(FM104,","))&amp;",",","&amp;SUBSTITUTE(input_industry," ","")&amp;",")))&gt;0)),IF(FO104="",TRUE,IF(input_industry="",FALSE,SUMPRODUCT(--ISNUMBER(SEARCH(","&amp;TRIM(TEXTSPLIT(FO104,","))&amp;",",","&amp;SUBSTITUTE(input_industry," ","")&amp;",")))=COUNTA(TEXTSPLIT(FO104,",")))))</f>
        <v/>
      </c>
      <c r="JJ104" s="19">
        <f>AND(IF(FQ104="",TRUE,IF(input_location="",FALSE,SUMPRODUCT(--ISNUMBER(SEARCH(","&amp;TRIM(TEXTSPLIT(FQ104,","))&amp;",",","&amp;SUBSTITUTE(input_location," ","")&amp;",")))&gt;0)),IF(FS104="",TRUE,IF(input_location="",FALSE,SUMPRODUCT(--ISNUMBER(SEARCH(","&amp;TRIM(TEXTSPLIT(FS104,","))&amp;",",","&amp;SUBSTITUTE(input_location," ","")&amp;",")))=COUNTA(TEXTSPLIT(FS104,",")))),IF(FU104="",TRUE,IF(input_location="",TRUE,SUMPRODUCT(--ISNUMBER(SEARCH(","&amp;TRIM(TEXTSPLIT(FU104,","))&amp;",",","&amp;SUBSTITUTE(input_location," ","")&amp;",")))=0)),IF(FW104="",TRUE,IF(input_location="",FALSE,SUMPRODUCT(--ISNUMBER(SEARCH(","&amp;TRIM(TEXTSPLIT(FW104,","))&amp;",",","&amp;SUBSTITUTE(input_location," ","")&amp;",")))&gt;0)),IF(FY104="",TRUE,IF(input_location="",FALSE,SUMPRODUCT(--ISNUMBER(SEARCH(","&amp;TRIM(TEXTSPLIT(FY104,","))&amp;",",","&amp;SUBSTITUTE(input_location," ","")&amp;",")))=COUNTA(TEXTSPLIT(FY104,",")))))</f>
        <v/>
      </c>
      <c r="JK104" s="19">
        <f>AND(IF(GA104="",TRUE,IF(input_modality="",FALSE,SUMPRODUCT(--ISNUMBER(SEARCH(","&amp;TRIM(TEXTSPLIT(GA104,","))&amp;",",","&amp;SUBSTITUTE(input_modality," ","")&amp;",")))&gt;0)),IF(GC104="",TRUE,IF(input_modality="",FALSE,SUMPRODUCT(--ISNUMBER(SEARCH(","&amp;TRIM(TEXTSPLIT(GC104,","))&amp;",",","&amp;SUBSTITUTE(input_modality," ","")&amp;",")))=COUNTA(TEXTSPLIT(GC104,",")))),IF(GE104="",TRUE,IF(input_modality="",TRUE,SUMPRODUCT(--ISNUMBER(SEARCH(","&amp;TRIM(TEXTSPLIT(GE104,","))&amp;",",","&amp;SUBSTITUTE(input_modality," ","")&amp;",")))=0)),IF(GG104="",TRUE,IF(input_modality="",FALSE,SUMPRODUCT(--ISNUMBER(SEARCH(","&amp;TRIM(TEXTSPLIT(GG104,","))&amp;",",","&amp;SUBSTITUTE(input_modality," ","")&amp;",")))&gt;0)),IF(GI104="",TRUE,IF(input_modality="",FALSE,SUMPRODUCT(--ISNUMBER(SEARCH(","&amp;TRIM(TEXTSPLIT(GI104,","))&amp;",",","&amp;SUBSTITUTE(input_modality," ","")&amp;",")))=COUNTA(TEXTSPLIT(GI104,",")))))</f>
        <v/>
      </c>
      <c r="JL104" s="19">
        <f>AND(IF(GK104="",TRUE,IF(input_organizer="",FALSE,SUMPRODUCT(--ISNUMBER(SEARCH(","&amp;TRIM(TEXTSPLIT(GK104,","))&amp;",",","&amp;SUBSTITUTE(input_organizer," ","")&amp;",")))&gt;0)),IF(GM104="",TRUE,IF(input_organizer="",FALSE,SUMPRODUCT(--ISNUMBER(SEARCH(","&amp;TRIM(TEXTSPLIT(GM104,","))&amp;",",","&amp;SUBSTITUTE(input_organizer," ","")&amp;",")))=COUNTA(TEXTSPLIT(GM104,",")))),IF(GO104="",TRUE,IF(input_organizer="",TRUE,SUMPRODUCT(--ISNUMBER(SEARCH(","&amp;TRIM(TEXTSPLIT(GO104,","))&amp;",",","&amp;SUBSTITUTE(input_organizer," ","")&amp;",")))=0)),IF(GQ104="",TRUE,IF(input_organizer="",FALSE,SUMPRODUCT(--ISNUMBER(SEARCH(","&amp;TRIM(TEXTSPLIT(GQ104,","))&amp;",",","&amp;SUBSTITUTE(input_organizer," ","")&amp;",")))&gt;0)),IF(GS104="",TRUE,IF(input_organizer="",FALSE,SUMPRODUCT(--ISNUMBER(SEARCH(","&amp;TRIM(TEXTSPLIT(GS104,","))&amp;",",","&amp;SUBSTITUTE(input_organizer," ","")&amp;",")))=COUNTA(TEXTSPLIT(GS104,",")))))</f>
        <v/>
      </c>
      <c r="JM104" s="19">
        <f>AND(IF(GU104="",TRUE,IF(input_profile_type="",FALSE,SUMPRODUCT(--ISNUMBER(SEARCH(","&amp;TRIM(TEXTSPLIT(GU104,","))&amp;",",","&amp;SUBSTITUTE(input_profile_type," ","")&amp;",")))&gt;0)),IF(GW104="",TRUE,IF(input_profile_type="",FALSE,SUMPRODUCT(--ISNUMBER(SEARCH(","&amp;TRIM(TEXTSPLIT(GW104,","))&amp;",",","&amp;SUBSTITUTE(input_profile_type," ","")&amp;",")))=COUNTA(TEXTSPLIT(GW104,",")))),IF(GY104="",TRUE,IF(input_profile_type="",TRUE,SUMPRODUCT(--ISNUMBER(SEARCH(","&amp;TRIM(TEXTSPLIT(GY104,","))&amp;",",","&amp;SUBSTITUTE(input_profile_type," ","")&amp;",")))=0)),IF(HA104="",TRUE,IF(input_profile_type="",FALSE,SUMPRODUCT(--ISNUMBER(SEARCH(","&amp;TRIM(TEXTSPLIT(HA104,","))&amp;",",","&amp;SUBSTITUTE(input_profile_type," ","")&amp;",")))&gt;0)),IF(HC104="",TRUE,IF(input_profile_type="",FALSE,SUMPRODUCT(--ISNUMBER(SEARCH(","&amp;TRIM(TEXTSPLIT(HC104,","))&amp;",",","&amp;SUBSTITUTE(input_profile_type," ","")&amp;",")))=COUNTA(TEXTSPLIT(HC104,",")))))</f>
        <v/>
      </c>
      <c r="JN104" s="19">
        <f>AND(IF(HE104="",TRUE,IF(input_program="",FALSE,SUMPRODUCT(--ISNUMBER(SEARCH(","&amp;TRIM(TEXTSPLIT(HE104,","))&amp;",",","&amp;SUBSTITUTE(input_program," ","")&amp;",")))&gt;0)),IF(HG104="",TRUE,IF(input_program="",FALSE,SUMPRODUCT(--ISNUMBER(SEARCH(","&amp;TRIM(TEXTSPLIT(HG104,","))&amp;",",","&amp;SUBSTITUTE(input_program," ","")&amp;",")))=COUNTA(TEXTSPLIT(HG104,",")))),IF(HI104="",TRUE,IF(input_program="",TRUE,SUMPRODUCT(--ISNUMBER(SEARCH(","&amp;TRIM(TEXTSPLIT(HI104,","))&amp;",",","&amp;SUBSTITUTE(input_program," ","")&amp;",")))=0)),IF(HK104="",TRUE,IF(input_program="",FALSE,SUMPRODUCT(--ISNUMBER(SEARCH(","&amp;TRIM(TEXTSPLIT(HK104,","))&amp;",",","&amp;SUBSTITUTE(input_program," ","")&amp;",")))&gt;0)),IF(HM104="",TRUE,IF(input_program="",FALSE,SUMPRODUCT(--ISNUMBER(SEARCH(","&amp;TRIM(TEXTSPLIT(HM104,","))&amp;",",","&amp;SUBSTITUTE(input_program," ","")&amp;",")))=COUNTA(TEXTSPLIT(HM104,",")))))</f>
        <v/>
      </c>
      <c r="JO104" s="19">
        <f>AND(IF(HO104="",TRUE,IF(input_story_categories="",FALSE,SUMPRODUCT(--ISNUMBER(SEARCH(","&amp;TRIM(TEXTSPLIT(HO104,","))&amp;",",","&amp;SUBSTITUTE(input_story_categories," ","")&amp;",")))&gt;0)),IF(HQ104="",TRUE,IF(input_story_categories="",FALSE,SUMPRODUCT(--ISNUMBER(SEARCH(","&amp;TRIM(TEXTSPLIT(HQ104,","))&amp;",",","&amp;SUBSTITUTE(input_story_categories," ","")&amp;",")))=COUNTA(TEXTSPLIT(HQ104,",")))),IF(HS104="",TRUE,IF(input_story_categories="",TRUE,SUMPRODUCT(--ISNUMBER(SEARCH(","&amp;TRIM(TEXTSPLIT(HS104,","))&amp;",",","&amp;SUBSTITUTE(input_story_categories," ","")&amp;",")))=0)),IF(HU104="",TRUE,IF(input_story_categories="",FALSE,SUMPRODUCT(--ISNUMBER(SEARCH(","&amp;TRIM(TEXTSPLIT(HU104,","))&amp;",",","&amp;SUBSTITUTE(input_story_categories," ","")&amp;",")))&gt;0)),IF(HW104="",TRUE,IF(input_story_categories="",FALSE,SUMPRODUCT(--ISNUMBER(SEARCH(","&amp;TRIM(TEXTSPLIT(HW104,","))&amp;",",","&amp;SUBSTITUTE(input_story_categories," ","")&amp;",")))=COUNTA(TEXTSPLIT(HW104,",")))))</f>
        <v/>
      </c>
      <c r="JP104" s="19">
        <f>AND(IF(HY104="",TRUE,IF(input_story_type="",FALSE,SUMPRODUCT(--ISNUMBER(SEARCH(","&amp;TRIM(TEXTSPLIT(HY104,","))&amp;",",","&amp;SUBSTITUTE(input_story_type," ","")&amp;",")))&gt;0)),IF(IA104="",TRUE,IF(input_story_type="",FALSE,SUMPRODUCT(--ISNUMBER(SEARCH(","&amp;TRIM(TEXTSPLIT(IA104,","))&amp;",",","&amp;SUBSTITUTE(input_story_type," ","")&amp;",")))=COUNTA(TEXTSPLIT(IA104,",")))),IF(IC104="",TRUE,IF(input_story_type="",TRUE,SUMPRODUCT(--ISNUMBER(SEARCH(","&amp;TRIM(TEXTSPLIT(IC104,","))&amp;",",","&amp;SUBSTITUTE(input_story_type," ","")&amp;",")))=0)),IF(IE104="",TRUE,IF(input_story_type="",FALSE,SUMPRODUCT(--ISNUMBER(SEARCH(","&amp;TRIM(TEXTSPLIT(IE104,","))&amp;",",","&amp;SUBSTITUTE(input_story_type," ","")&amp;",")))&gt;0)),IF(IG104="",TRUE,IF(input_story_type="",FALSE,SUMPRODUCT(--ISNUMBER(SEARCH(","&amp;TRIM(TEXTSPLIT(IG104,","))&amp;",",","&amp;SUBSTITUTE(input_story_type," ","")&amp;",")))=COUNTA(TEXTSPLIT(IG104,",")))))</f>
        <v/>
      </c>
      <c r="JQ104" s="19">
        <f>AND(IF(II104="",TRUE,IF(input_topics="",FALSE,SUMPRODUCT(--ISNUMBER(SEARCH(","&amp;TRIM(TEXTSPLIT(II104,","))&amp;",",","&amp;SUBSTITUTE(input_topics," ","")&amp;",")))&gt;0)),IF(IK104="",TRUE,IF(input_topics="",FALSE,SUMPRODUCT(--ISNUMBER(SEARCH(","&amp;TRIM(TEXTSPLIT(IK104,","))&amp;",",","&amp;SUBSTITUTE(input_topics," ","")&amp;",")))=COUNTA(TEXTSPLIT(IK104,",")))),IF(IM104="",TRUE,IF(input_topics="",TRUE,SUMPRODUCT(--ISNUMBER(SEARCH(","&amp;TRIM(TEXTSPLIT(IM104,","))&amp;",",","&amp;SUBSTITUTE(input_topics," ","")&amp;",")))=0)),IF(IO104="",TRUE,IF(input_topics="",FALSE,SUMPRODUCT(--ISNUMBER(SEARCH(","&amp;TRIM(TEXTSPLIT(IO104,","))&amp;",",","&amp;SUBSTITUTE(input_topics," ","")&amp;",")))&gt;0)),IF(IQ104="",TRUE,IF(input_topics="",FALSE,SUMPRODUCT(--ISNUMBER(SEARCH(","&amp;TRIM(TEXTSPLIT(IQ104,","))&amp;",",","&amp;SUBSTITUTE(input_topics," ","")&amp;",")))=COUNTA(TEXTSPLIT(IQ104,",")))))</f>
        <v/>
      </c>
    </row>
    <row r="105">
      <c r="A105" s="24">
        <f>IF(NOT(IS105),"Excluded",IF(AND(IT105,IU105,IV105,IW105,IX105,IY105,IZ105,JA105,JB105,JC105,JD105,JE105,JF105,JG105,JH105,JI105,JJ105,JK105,JL105,JM105,JN105,JO105,JP105,JQ105),IF(I105&gt;0,"Eligible but limited","Will appear"),"Excluded"))</f>
        <v/>
      </c>
      <c r="B105" s="24" t="inlineStr">
        <is>
          <t>Events</t>
        </is>
      </c>
      <c r="C105" s="27" t="inlineStr">
        <is>
          <t>/programs/emba/admissions</t>
        </is>
      </c>
      <c r="D105" s="24" t="inlineStr">
        <is>
          <t>/programs/emba/admissions</t>
        </is>
      </c>
      <c r="E105" s="24" t="n">
        <v>1</v>
      </c>
      <c r="F105" s="24" t="inlineStr">
        <is>
          <t>event</t>
        </is>
      </c>
      <c r="G105" s="24" t="inlineStr">
        <is>
          <t>event_teaser_list</t>
        </is>
      </c>
      <c r="H105" s="24" t="inlineStr">
        <is>
          <t>embed_1</t>
        </is>
      </c>
      <c r="I105" s="24" t="n">
        <v>3</v>
      </c>
      <c r="J105" s="29" t="inlineStr">
        <is>
          <t>Section inferred</t>
        </is>
      </c>
      <c r="K105" s="24" t="inlineStr">
        <is>
          <t>Page placement</t>
        </is>
      </c>
      <c r="L105" s="24" t="inlineStr">
        <is>
          <t>Content type: event; Context uses Courses Context: MBA For Executives (928); Limited to 3 item(s); Source: Section inferred</t>
        </is>
      </c>
      <c r="BQ105" s="19" t="inlineStr">
        <is>
          <t>928</t>
        </is>
      </c>
      <c r="BR105" s="19" t="inlineStr">
        <is>
          <t>MBA For Executives (928)</t>
        </is>
      </c>
      <c r="IS105" s="19">
        <f>IF(input_content_type="",FALSE,ISNUMBER(SEARCH(","&amp;LOWER(input_content_type)&amp;",",","&amp;LOWER(SUBSTITUTE(F105," ",""))&amp;",")))</f>
        <v/>
      </c>
      <c r="IT105" s="19">
        <f>AND(IF(M105="",TRUE,IF(input_affiliations="",FALSE,SUMPRODUCT(--ISNUMBER(SEARCH(","&amp;TRIM(TEXTSPLIT(M105,","))&amp;",",","&amp;SUBSTITUTE(input_affiliations," ","")&amp;",")))&gt;0)),IF(O105="",TRUE,IF(input_affiliations="",FALSE,SUMPRODUCT(--ISNUMBER(SEARCH(","&amp;TRIM(TEXTSPLIT(O105,","))&amp;",",","&amp;SUBSTITUTE(input_affiliations," ","")&amp;",")))=COUNTA(TEXTSPLIT(O105,",")))),IF(Q105="",TRUE,IF(input_affiliations="",TRUE,SUMPRODUCT(--ISNUMBER(SEARCH(","&amp;TRIM(TEXTSPLIT(Q105,","))&amp;",",","&amp;SUBSTITUTE(input_affiliations," ","")&amp;",")))=0)),IF(S105="",TRUE,IF(input_affiliations="",FALSE,SUMPRODUCT(--ISNUMBER(SEARCH(","&amp;TRIM(TEXTSPLIT(S105,","))&amp;",",","&amp;SUBSTITUTE(input_affiliations," ","")&amp;",")))&gt;0)),IF(U105="",TRUE,IF(input_affiliations="",FALSE,SUMPRODUCT(--ISNUMBER(SEARCH(","&amp;TRIM(TEXTSPLIT(U105,","))&amp;",",","&amp;SUBSTITUTE(input_affiliations," ","")&amp;",")))=COUNTA(TEXTSPLIT(U105,",")))))</f>
        <v/>
      </c>
      <c r="IU105" s="19">
        <f>AND(IF(W105="",TRUE,IF(input_announcement_category="",FALSE,SUMPRODUCT(--ISNUMBER(SEARCH(","&amp;TRIM(TEXTSPLIT(W105,","))&amp;",",","&amp;SUBSTITUTE(input_announcement_category," ","")&amp;",")))&gt;0)),IF(Y105="",TRUE,IF(input_announcement_category="",FALSE,SUMPRODUCT(--ISNUMBER(SEARCH(","&amp;TRIM(TEXTSPLIT(Y105,","))&amp;",",","&amp;SUBSTITUTE(input_announcement_category," ","")&amp;",")))=COUNTA(TEXTSPLIT(Y105,",")))),IF(AA105="",TRUE,IF(input_announcement_category="",TRUE,SUMPRODUCT(--ISNUMBER(SEARCH(","&amp;TRIM(TEXTSPLIT(AA105,","))&amp;",",","&amp;SUBSTITUTE(input_announcement_category," ","")&amp;",")))=0)),IF(AC105="",TRUE,IF(input_announcement_category="",FALSE,SUMPRODUCT(--ISNUMBER(SEARCH(","&amp;TRIM(TEXTSPLIT(AC105,","))&amp;",",","&amp;SUBSTITUTE(input_announcement_category," ","")&amp;",")))&gt;0)),IF(AE105="",TRUE,IF(input_announcement_category="",FALSE,SUMPRODUCT(--ISNUMBER(SEARCH(","&amp;TRIM(TEXTSPLIT(AE105,","))&amp;",",","&amp;SUBSTITUTE(input_announcement_category," ","")&amp;",")))=COUNTA(TEXTSPLIT(AE105,",")))))</f>
        <v/>
      </c>
      <c r="IV105" s="19">
        <f>AND(IF(AG105="",TRUE,IF(input_area_of_focus="",FALSE,SUMPRODUCT(--ISNUMBER(SEARCH(","&amp;TRIM(TEXTSPLIT(AG105,","))&amp;",",","&amp;SUBSTITUTE(input_area_of_focus," ","")&amp;",")))&gt;0)),IF(AI105="",TRUE,IF(input_area_of_focus="",FALSE,SUMPRODUCT(--ISNUMBER(SEARCH(","&amp;TRIM(TEXTSPLIT(AI105,","))&amp;",",","&amp;SUBSTITUTE(input_area_of_focus," ","")&amp;",")))=COUNTA(TEXTSPLIT(AI105,",")))),IF(AK105="",TRUE,IF(input_area_of_focus="",TRUE,SUMPRODUCT(--ISNUMBER(SEARCH(","&amp;TRIM(TEXTSPLIT(AK105,","))&amp;",",","&amp;SUBSTITUTE(input_area_of_focus," ","")&amp;",")))=0)),IF(AM105="",TRUE,IF(input_area_of_focus="",FALSE,SUMPRODUCT(--ISNUMBER(SEARCH(","&amp;TRIM(TEXTSPLIT(AM105,","))&amp;",",","&amp;SUBSTITUTE(input_area_of_focus," ","")&amp;",")))&gt;0)),IF(AO105="",TRUE,IF(input_area_of_focus="",FALSE,SUMPRODUCT(--ISNUMBER(SEARCH(","&amp;TRIM(TEXTSPLIT(AO105,","))&amp;",",","&amp;SUBSTITUTE(input_area_of_focus," ","")&amp;",")))=COUNTA(TEXTSPLIT(AO105,",")))))</f>
        <v/>
      </c>
      <c r="IW105" s="19">
        <f>AND(IF(AQ105="",TRUE,IF(input_audience="",FALSE,SUMPRODUCT(--ISNUMBER(SEARCH(","&amp;TRIM(TEXTSPLIT(AQ105,","))&amp;",",","&amp;SUBSTITUTE(input_audience," ","")&amp;",")))&gt;0)),IF(AS105="",TRUE,IF(input_audience="",FALSE,SUMPRODUCT(--ISNUMBER(SEARCH(","&amp;TRIM(TEXTSPLIT(AS105,","))&amp;",",","&amp;SUBSTITUTE(input_audience," ","")&amp;",")))=COUNTA(TEXTSPLIT(AS105,",")))),IF(AU105="",TRUE,IF(input_audience="",TRUE,SUMPRODUCT(--ISNUMBER(SEARCH(","&amp;TRIM(TEXTSPLIT(AU105,","))&amp;",",","&amp;SUBSTITUTE(input_audience," ","")&amp;",")))=0)),IF(AW105="",TRUE,IF(input_audience="",FALSE,SUMPRODUCT(--ISNUMBER(SEARCH(","&amp;TRIM(TEXTSPLIT(AW105,","))&amp;",",","&amp;SUBSTITUTE(input_audience," ","")&amp;",")))&gt;0)),IF(AY105="",TRUE,IF(input_audience="",FALSE,SUMPRODUCT(--ISNUMBER(SEARCH(","&amp;TRIM(TEXTSPLIT(AY105,","))&amp;",",","&amp;SUBSTITUTE(input_audience," ","")&amp;",")))=COUNTA(TEXTSPLIT(AY105,",")))))</f>
        <v/>
      </c>
      <c r="IX105" s="19">
        <f>AND(IF(BA105="",TRUE,IF(input_challenge_opportunities="",FALSE,SUMPRODUCT(--ISNUMBER(SEARCH(","&amp;TRIM(TEXTSPLIT(BA105,","))&amp;",",","&amp;SUBSTITUTE(input_challenge_opportunities," ","")&amp;",")))&gt;0)),IF(BC105="",TRUE,IF(input_challenge_opportunities="",FALSE,SUMPRODUCT(--ISNUMBER(SEARCH(","&amp;TRIM(TEXTSPLIT(BC105,","))&amp;",",","&amp;SUBSTITUTE(input_challenge_opportunities," ","")&amp;",")))=COUNTA(TEXTSPLIT(BC105,",")))),IF(BE105="",TRUE,IF(input_challenge_opportunities="",TRUE,SUMPRODUCT(--ISNUMBER(SEARCH(","&amp;TRIM(TEXTSPLIT(BE105,","))&amp;",",","&amp;SUBSTITUTE(input_challenge_opportunities," ","")&amp;",")))=0)),IF(BG105="",TRUE,IF(input_challenge_opportunities="",FALSE,SUMPRODUCT(--ISNUMBER(SEARCH(","&amp;TRIM(TEXTSPLIT(BG105,","))&amp;",",","&amp;SUBSTITUTE(input_challenge_opportunities," ","")&amp;",")))&gt;0)),IF(BI105="",TRUE,IF(input_challenge_opportunities="",FALSE,SUMPRODUCT(--ISNUMBER(SEARCH(","&amp;TRIM(TEXTSPLIT(BI105,","))&amp;",",","&amp;SUBSTITUTE(input_challenge_opportunities," ","")&amp;",")))=COUNTA(TEXTSPLIT(BI105,",")))))</f>
        <v/>
      </c>
      <c r="IY105" s="19">
        <f>AND(IF(BK105="",TRUE,IF(input_context="",FALSE,SUMPRODUCT(--ISNUMBER(SEARCH(","&amp;TRIM(TEXTSPLIT(BK105,","))&amp;",",","&amp;SUBSTITUTE(input_context," ","")&amp;",")))&gt;0)),IF(BM105="",TRUE,IF(input_context="",FALSE,SUMPRODUCT(--ISNUMBER(SEARCH(","&amp;TRIM(TEXTSPLIT(BM105,","))&amp;",",","&amp;SUBSTITUTE(input_context," ","")&amp;",")))=COUNTA(TEXTSPLIT(BM105,",")))),IF(BO105="",TRUE,IF(input_context="",TRUE,SUMPRODUCT(--ISNUMBER(SEARCH(","&amp;TRIM(TEXTSPLIT(BO105,","))&amp;",",","&amp;SUBSTITUTE(input_context," ","")&amp;",")))=0)),IF(BQ105="",TRUE,IF(input_context="",FALSE,SUMPRODUCT(--ISNUMBER(SEARCH(","&amp;TRIM(TEXTSPLIT(BQ105,","))&amp;",",","&amp;SUBSTITUTE(input_context," ","")&amp;",")))&gt;0)),IF(BS105="",TRUE,IF(input_context="",FALSE,SUMPRODUCT(--ISNUMBER(SEARCH(","&amp;TRIM(TEXTSPLIT(BS105,","))&amp;",",","&amp;SUBSTITUTE(input_context," ","")&amp;",")))=COUNTA(TEXTSPLIT(BS105,",")))))</f>
        <v/>
      </c>
      <c r="IZ105" s="19">
        <f>AND(IF(BU105="",TRUE,IF(input_enews_announcement_type="",FALSE,SUMPRODUCT(--ISNUMBER(SEARCH(","&amp;TRIM(TEXTSPLIT(BU105,","))&amp;",",","&amp;SUBSTITUTE(input_enews_announcement_type," ","")&amp;",")))&gt;0)),IF(BW105="",TRUE,IF(input_enews_announcement_type="",FALSE,SUMPRODUCT(--ISNUMBER(SEARCH(","&amp;TRIM(TEXTSPLIT(BW105,","))&amp;",",","&amp;SUBSTITUTE(input_enews_announcement_type," ","")&amp;",")))=COUNTA(TEXTSPLIT(BW105,",")))),IF(BY105="",TRUE,IF(input_enews_announcement_type="",TRUE,SUMPRODUCT(--ISNUMBER(SEARCH(","&amp;TRIM(TEXTSPLIT(BY105,","))&amp;",",","&amp;SUBSTITUTE(input_enews_announcement_type," ","")&amp;",")))=0)),IF(CA105="",TRUE,IF(input_enews_announcement_type="",FALSE,SUMPRODUCT(--ISNUMBER(SEARCH(","&amp;TRIM(TEXTSPLIT(CA105,","))&amp;",",","&amp;SUBSTITUTE(input_enews_announcement_type," ","")&amp;",")))&gt;0)),IF(CC105="",TRUE,IF(input_enews_announcement_type="",FALSE,SUMPRODUCT(--ISNUMBER(SEARCH(","&amp;TRIM(TEXTSPLIT(CC105,","))&amp;",",","&amp;SUBSTITUTE(input_enews_announcement_type," ","")&amp;",")))=COUNTA(TEXTSPLIT(CC105,",")))))</f>
        <v/>
      </c>
      <c r="JA105" s="19">
        <f>AND(IF(CE105="",TRUE,IF(input_enews_audience="",FALSE,SUMPRODUCT(--ISNUMBER(SEARCH(","&amp;TRIM(TEXTSPLIT(CE105,","))&amp;",",","&amp;SUBSTITUTE(input_enews_audience," ","")&amp;",")))&gt;0)),IF(CG105="",TRUE,IF(input_enews_audience="",FALSE,SUMPRODUCT(--ISNUMBER(SEARCH(","&amp;TRIM(TEXTSPLIT(CG105,","))&amp;",",","&amp;SUBSTITUTE(input_enews_audience," ","")&amp;",")))=COUNTA(TEXTSPLIT(CG105,",")))),IF(CI105="",TRUE,IF(input_enews_audience="",TRUE,SUMPRODUCT(--ISNUMBER(SEARCH(","&amp;TRIM(TEXTSPLIT(CI105,","))&amp;",",","&amp;SUBSTITUTE(input_enews_audience," ","")&amp;",")))=0)),IF(CK105="",TRUE,IF(input_enews_audience="",FALSE,SUMPRODUCT(--ISNUMBER(SEARCH(","&amp;TRIM(TEXTSPLIT(CK105,","))&amp;",",","&amp;SUBSTITUTE(input_enews_audience," ","")&amp;",")))&gt;0)),IF(CM105="",TRUE,IF(input_enews_audience="",FALSE,SUMPRODUCT(--ISNUMBER(SEARCH(","&amp;TRIM(TEXTSPLIT(CM105,","))&amp;",",","&amp;SUBSTITUTE(input_enews_audience," ","")&amp;",")))=COUNTA(TEXTSPLIT(CM105,",")))))</f>
        <v/>
      </c>
      <c r="JB105" s="19">
        <f>AND(IF(CO105="",TRUE,IF(input_event_location="",FALSE,SUMPRODUCT(--ISNUMBER(SEARCH(","&amp;TRIM(TEXTSPLIT(CO105,","))&amp;",",","&amp;SUBSTITUTE(input_event_location," ","")&amp;",")))&gt;0)),IF(CQ105="",TRUE,IF(input_event_location="",FALSE,SUMPRODUCT(--ISNUMBER(SEARCH(","&amp;TRIM(TEXTSPLIT(CQ105,","))&amp;",",","&amp;SUBSTITUTE(input_event_location," ","")&amp;",")))=COUNTA(TEXTSPLIT(CQ105,",")))),IF(CS105="",TRUE,IF(input_event_location="",TRUE,SUMPRODUCT(--ISNUMBER(SEARCH(","&amp;TRIM(TEXTSPLIT(CS105,","))&amp;",",","&amp;SUBSTITUTE(input_event_location," ","")&amp;",")))=0)),IF(CU105="",TRUE,IF(input_event_location="",FALSE,SUMPRODUCT(--ISNUMBER(SEARCH(","&amp;TRIM(TEXTSPLIT(CU105,","))&amp;",",","&amp;SUBSTITUTE(input_event_location," ","")&amp;",")))&gt;0)),IF(CW105="",TRUE,IF(input_event_location="",FALSE,SUMPRODUCT(--ISNUMBER(SEARCH(","&amp;TRIM(TEXTSPLIT(CW105,","))&amp;",",","&amp;SUBSTITUTE(input_event_location," ","")&amp;",")))=COUNTA(TEXTSPLIT(CW105,",")))))</f>
        <v/>
      </c>
      <c r="JC105" s="19">
        <f>AND(IF(CY105="",TRUE,IF(input_event_type="",FALSE,SUMPRODUCT(--ISNUMBER(SEARCH(","&amp;TRIM(TEXTSPLIT(CY105,","))&amp;",",","&amp;SUBSTITUTE(input_event_type," ","")&amp;",")))&gt;0)),IF(DA105="",TRUE,IF(input_event_type="",FALSE,SUMPRODUCT(--ISNUMBER(SEARCH(","&amp;TRIM(TEXTSPLIT(DA105,","))&amp;",",","&amp;SUBSTITUTE(input_event_type," ","")&amp;",")))=COUNTA(TEXTSPLIT(DA105,",")))),IF(DC105="",TRUE,IF(input_event_type="",TRUE,SUMPRODUCT(--ISNUMBER(SEARCH(","&amp;TRIM(TEXTSPLIT(DC105,","))&amp;",",","&amp;SUBSTITUTE(input_event_type," ","")&amp;",")))=0)),IF(DE105="",TRUE,IF(input_event_type="",FALSE,SUMPRODUCT(--ISNUMBER(SEARCH(","&amp;TRIM(TEXTSPLIT(DE105,","))&amp;",",","&amp;SUBSTITUTE(input_event_type," ","")&amp;",")))&gt;0)),IF(DG105="",TRUE,IF(input_event_type="",FALSE,SUMPRODUCT(--ISNUMBER(SEARCH(","&amp;TRIM(TEXTSPLIT(DG105,","))&amp;",",","&amp;SUBSTITUTE(input_event_type," ","")&amp;",")))=COUNTA(TEXTSPLIT(DG105,",")))))</f>
        <v/>
      </c>
      <c r="JD105" s="19">
        <f>AND(IF(DI105="",TRUE,IF(input_executive_education_focus="",FALSE,SUMPRODUCT(--ISNUMBER(SEARCH(","&amp;TRIM(TEXTSPLIT(DI105,","))&amp;",",","&amp;SUBSTITUTE(input_executive_education_focus," ","")&amp;",")))&gt;0)),IF(DK105="",TRUE,IF(input_executive_education_focus="",FALSE,SUMPRODUCT(--ISNUMBER(SEARCH(","&amp;TRIM(TEXTSPLIT(DK105,","))&amp;",",","&amp;SUBSTITUTE(input_executive_education_focus," ","")&amp;",")))=COUNTA(TEXTSPLIT(DK105,",")))),IF(DM105="",TRUE,IF(input_executive_education_focus="",TRUE,SUMPRODUCT(--ISNUMBER(SEARCH(","&amp;TRIM(TEXTSPLIT(DM105,","))&amp;",",","&amp;SUBSTITUTE(input_executive_education_focus," ","")&amp;",")))=0)),IF(DO105="",TRUE,IF(input_executive_education_focus="",FALSE,SUMPRODUCT(--ISNUMBER(SEARCH(","&amp;TRIM(TEXTSPLIT(DO105,","))&amp;",",","&amp;SUBSTITUTE(input_executive_education_focus," ","")&amp;",")))&gt;0)),IF(DQ105="",TRUE,IF(input_executive_education_focus="",FALSE,SUMPRODUCT(--ISNUMBER(SEARCH(","&amp;TRIM(TEXTSPLIT(DQ105,","))&amp;",",","&amp;SUBSTITUTE(input_executive_education_focus," ","")&amp;",")))=COUNTA(TEXTSPLIT(DQ105,",")))))</f>
        <v/>
      </c>
      <c r="JE105" s="19">
        <f>AND(IF(DS105="",TRUE,IF(input_faculty_category="",FALSE,SUMPRODUCT(--ISNUMBER(SEARCH(","&amp;TRIM(TEXTSPLIT(DS105,","))&amp;",",","&amp;SUBSTITUTE(input_faculty_category," ","")&amp;",")))&gt;0)),IF(DU105="",TRUE,IF(input_faculty_category="",FALSE,SUMPRODUCT(--ISNUMBER(SEARCH(","&amp;TRIM(TEXTSPLIT(DU105,","))&amp;",",","&amp;SUBSTITUTE(input_faculty_category," ","")&amp;",")))=COUNTA(TEXTSPLIT(DU105,",")))),IF(DW105="",TRUE,IF(input_faculty_category="",TRUE,SUMPRODUCT(--ISNUMBER(SEARCH(","&amp;TRIM(TEXTSPLIT(DW105,","))&amp;",",","&amp;SUBSTITUTE(input_faculty_category," ","")&amp;",")))=0)),IF(DY105="",TRUE,IF(input_faculty_category="",FALSE,SUMPRODUCT(--ISNUMBER(SEARCH(","&amp;TRIM(TEXTSPLIT(DY105,","))&amp;",",","&amp;SUBSTITUTE(input_faculty_category," ","")&amp;",")))&gt;0)),IF(EA105="",TRUE,IF(input_faculty_category="",FALSE,SUMPRODUCT(--ISNUMBER(SEARCH(","&amp;TRIM(TEXTSPLIT(EA105,","))&amp;",",","&amp;SUBSTITUTE(input_faculty_category," ","")&amp;",")))=COUNTA(TEXTSPLIT(EA105,",")))))</f>
        <v/>
      </c>
      <c r="JF105" s="19">
        <f>AND(IF(EC105="",TRUE,IF(input_faculty_discipline="",FALSE,SUMPRODUCT(--ISNUMBER(SEARCH(","&amp;TRIM(TEXTSPLIT(EC105,","))&amp;",",","&amp;SUBSTITUTE(input_faculty_discipline," ","")&amp;",")))&gt;0)),IF(EE105="",TRUE,IF(input_faculty_discipline="",FALSE,SUMPRODUCT(--ISNUMBER(SEARCH(","&amp;TRIM(TEXTSPLIT(EE105,","))&amp;",",","&amp;SUBSTITUTE(input_faculty_discipline," ","")&amp;",")))=COUNTA(TEXTSPLIT(EE105,",")))),IF(EG105="",TRUE,IF(input_faculty_discipline="",TRUE,SUMPRODUCT(--ISNUMBER(SEARCH(","&amp;TRIM(TEXTSPLIT(EG105,","))&amp;",",","&amp;SUBSTITUTE(input_faculty_discipline," ","")&amp;",")))=0)),IF(EI105="",TRUE,IF(input_faculty_discipline="",FALSE,SUMPRODUCT(--ISNUMBER(SEARCH(","&amp;TRIM(TEXTSPLIT(EI105,","))&amp;",",","&amp;SUBSTITUTE(input_faculty_discipline," ","")&amp;",")))&gt;0)),IF(EK105="",TRUE,IF(input_faculty_discipline="",FALSE,SUMPRODUCT(--ISNUMBER(SEARCH(","&amp;TRIM(TEXTSPLIT(EK105,","))&amp;",",","&amp;SUBSTITUTE(input_faculty_discipline," ","")&amp;",")))=COUNTA(TEXTSPLIT(EK105,",")))))</f>
        <v/>
      </c>
      <c r="JG105" s="19">
        <f>AND(IF(EM105="",TRUE,IF(input_faculty_expertise="",FALSE,SUMPRODUCT(--ISNUMBER(SEARCH(","&amp;TRIM(TEXTSPLIT(EM105,","))&amp;",",","&amp;SUBSTITUTE(input_faculty_expertise," ","")&amp;",")))&gt;0)),IF(EO105="",TRUE,IF(input_faculty_expertise="",FALSE,SUMPRODUCT(--ISNUMBER(SEARCH(","&amp;TRIM(TEXTSPLIT(EO105,","))&amp;",",","&amp;SUBSTITUTE(input_faculty_expertise," ","")&amp;",")))=COUNTA(TEXTSPLIT(EO105,",")))),IF(EQ105="",TRUE,IF(input_faculty_expertise="",TRUE,SUMPRODUCT(--ISNUMBER(SEARCH(","&amp;TRIM(TEXTSPLIT(EQ105,","))&amp;",",","&amp;SUBSTITUTE(input_faculty_expertise," ","")&amp;",")))=0)),IF(ES105="",TRUE,IF(input_faculty_expertise="",FALSE,SUMPRODUCT(--ISNUMBER(SEARCH(","&amp;TRIM(TEXTSPLIT(ES105,","))&amp;",",","&amp;SUBSTITUTE(input_faculty_expertise," ","")&amp;",")))&gt;0)),IF(EU105="",TRUE,IF(input_faculty_expertise="",FALSE,SUMPRODUCT(--ISNUMBER(SEARCH(","&amp;TRIM(TEXTSPLIT(EU105,","))&amp;",",","&amp;SUBSTITUTE(input_faculty_expertise," ","")&amp;",")))=COUNTA(TEXTSPLIT(EU105,",")))))</f>
        <v/>
      </c>
      <c r="JH105" s="19">
        <f>AND(IF(EW105="",TRUE,IF(input_global_network_school="",FALSE,SUMPRODUCT(--ISNUMBER(SEARCH(","&amp;TRIM(TEXTSPLIT(EW105,","))&amp;",",","&amp;SUBSTITUTE(input_global_network_school," ","")&amp;",")))&gt;0)),IF(EY105="",TRUE,IF(input_global_network_school="",FALSE,SUMPRODUCT(--ISNUMBER(SEARCH(","&amp;TRIM(TEXTSPLIT(EY105,","))&amp;",",","&amp;SUBSTITUTE(input_global_network_school," ","")&amp;",")))=COUNTA(TEXTSPLIT(EY105,",")))),IF(FA105="",TRUE,IF(input_global_network_school="",TRUE,SUMPRODUCT(--ISNUMBER(SEARCH(","&amp;TRIM(TEXTSPLIT(FA105,","))&amp;",",","&amp;SUBSTITUTE(input_global_network_school," ","")&amp;",")))=0)),IF(FC105="",TRUE,IF(input_global_network_school="",FALSE,SUMPRODUCT(--ISNUMBER(SEARCH(","&amp;TRIM(TEXTSPLIT(FC105,","))&amp;",",","&amp;SUBSTITUTE(input_global_network_school," ","")&amp;",")))&gt;0)),IF(FE105="",TRUE,IF(input_global_network_school="",FALSE,SUMPRODUCT(--ISNUMBER(SEARCH(","&amp;TRIM(TEXTSPLIT(FE105,","))&amp;",",","&amp;SUBSTITUTE(input_global_network_school," ","")&amp;",")))=COUNTA(TEXTSPLIT(FE105,",")))))</f>
        <v/>
      </c>
      <c r="JI105" s="19">
        <f>AND(IF(FG105="",TRUE,IF(input_industry="",FALSE,SUMPRODUCT(--ISNUMBER(SEARCH(","&amp;TRIM(TEXTSPLIT(FG105,","))&amp;",",","&amp;SUBSTITUTE(input_industry," ","")&amp;",")))&gt;0)),IF(FI105="",TRUE,IF(input_industry="",FALSE,SUMPRODUCT(--ISNUMBER(SEARCH(","&amp;TRIM(TEXTSPLIT(FI105,","))&amp;",",","&amp;SUBSTITUTE(input_industry," ","")&amp;",")))=COUNTA(TEXTSPLIT(FI105,",")))),IF(FK105="",TRUE,IF(input_industry="",TRUE,SUMPRODUCT(--ISNUMBER(SEARCH(","&amp;TRIM(TEXTSPLIT(FK105,","))&amp;",",","&amp;SUBSTITUTE(input_industry," ","")&amp;",")))=0)),IF(FM105="",TRUE,IF(input_industry="",FALSE,SUMPRODUCT(--ISNUMBER(SEARCH(","&amp;TRIM(TEXTSPLIT(FM105,","))&amp;",",","&amp;SUBSTITUTE(input_industry," ","")&amp;",")))&gt;0)),IF(FO105="",TRUE,IF(input_industry="",FALSE,SUMPRODUCT(--ISNUMBER(SEARCH(","&amp;TRIM(TEXTSPLIT(FO105,","))&amp;",",","&amp;SUBSTITUTE(input_industry," ","")&amp;",")))=COUNTA(TEXTSPLIT(FO105,",")))))</f>
        <v/>
      </c>
      <c r="JJ105" s="19">
        <f>AND(IF(FQ105="",TRUE,IF(input_location="",FALSE,SUMPRODUCT(--ISNUMBER(SEARCH(","&amp;TRIM(TEXTSPLIT(FQ105,","))&amp;",",","&amp;SUBSTITUTE(input_location," ","")&amp;",")))&gt;0)),IF(FS105="",TRUE,IF(input_location="",FALSE,SUMPRODUCT(--ISNUMBER(SEARCH(","&amp;TRIM(TEXTSPLIT(FS105,","))&amp;",",","&amp;SUBSTITUTE(input_location," ","")&amp;",")))=COUNTA(TEXTSPLIT(FS105,",")))),IF(FU105="",TRUE,IF(input_location="",TRUE,SUMPRODUCT(--ISNUMBER(SEARCH(","&amp;TRIM(TEXTSPLIT(FU105,","))&amp;",",","&amp;SUBSTITUTE(input_location," ","")&amp;",")))=0)),IF(FW105="",TRUE,IF(input_location="",FALSE,SUMPRODUCT(--ISNUMBER(SEARCH(","&amp;TRIM(TEXTSPLIT(FW105,","))&amp;",",","&amp;SUBSTITUTE(input_location," ","")&amp;",")))&gt;0)),IF(FY105="",TRUE,IF(input_location="",FALSE,SUMPRODUCT(--ISNUMBER(SEARCH(","&amp;TRIM(TEXTSPLIT(FY105,","))&amp;",",","&amp;SUBSTITUTE(input_location," ","")&amp;",")))=COUNTA(TEXTSPLIT(FY105,",")))))</f>
        <v/>
      </c>
      <c r="JK105" s="19">
        <f>AND(IF(GA105="",TRUE,IF(input_modality="",FALSE,SUMPRODUCT(--ISNUMBER(SEARCH(","&amp;TRIM(TEXTSPLIT(GA105,","))&amp;",",","&amp;SUBSTITUTE(input_modality," ","")&amp;",")))&gt;0)),IF(GC105="",TRUE,IF(input_modality="",FALSE,SUMPRODUCT(--ISNUMBER(SEARCH(","&amp;TRIM(TEXTSPLIT(GC105,","))&amp;",",","&amp;SUBSTITUTE(input_modality," ","")&amp;",")))=COUNTA(TEXTSPLIT(GC105,",")))),IF(GE105="",TRUE,IF(input_modality="",TRUE,SUMPRODUCT(--ISNUMBER(SEARCH(","&amp;TRIM(TEXTSPLIT(GE105,","))&amp;",",","&amp;SUBSTITUTE(input_modality," ","")&amp;",")))=0)),IF(GG105="",TRUE,IF(input_modality="",FALSE,SUMPRODUCT(--ISNUMBER(SEARCH(","&amp;TRIM(TEXTSPLIT(GG105,","))&amp;",",","&amp;SUBSTITUTE(input_modality," ","")&amp;",")))&gt;0)),IF(GI105="",TRUE,IF(input_modality="",FALSE,SUMPRODUCT(--ISNUMBER(SEARCH(","&amp;TRIM(TEXTSPLIT(GI105,","))&amp;",",","&amp;SUBSTITUTE(input_modality," ","")&amp;",")))=COUNTA(TEXTSPLIT(GI105,",")))))</f>
        <v/>
      </c>
      <c r="JL105" s="19">
        <f>AND(IF(GK105="",TRUE,IF(input_organizer="",FALSE,SUMPRODUCT(--ISNUMBER(SEARCH(","&amp;TRIM(TEXTSPLIT(GK105,","))&amp;",",","&amp;SUBSTITUTE(input_organizer," ","")&amp;",")))&gt;0)),IF(GM105="",TRUE,IF(input_organizer="",FALSE,SUMPRODUCT(--ISNUMBER(SEARCH(","&amp;TRIM(TEXTSPLIT(GM105,","))&amp;",",","&amp;SUBSTITUTE(input_organizer," ","")&amp;",")))=COUNTA(TEXTSPLIT(GM105,",")))),IF(GO105="",TRUE,IF(input_organizer="",TRUE,SUMPRODUCT(--ISNUMBER(SEARCH(","&amp;TRIM(TEXTSPLIT(GO105,","))&amp;",",","&amp;SUBSTITUTE(input_organizer," ","")&amp;",")))=0)),IF(GQ105="",TRUE,IF(input_organizer="",FALSE,SUMPRODUCT(--ISNUMBER(SEARCH(","&amp;TRIM(TEXTSPLIT(GQ105,","))&amp;",",","&amp;SUBSTITUTE(input_organizer," ","")&amp;",")))&gt;0)),IF(GS105="",TRUE,IF(input_organizer="",FALSE,SUMPRODUCT(--ISNUMBER(SEARCH(","&amp;TRIM(TEXTSPLIT(GS105,","))&amp;",",","&amp;SUBSTITUTE(input_organizer," ","")&amp;",")))=COUNTA(TEXTSPLIT(GS105,",")))))</f>
        <v/>
      </c>
      <c r="JM105" s="19">
        <f>AND(IF(GU105="",TRUE,IF(input_profile_type="",FALSE,SUMPRODUCT(--ISNUMBER(SEARCH(","&amp;TRIM(TEXTSPLIT(GU105,","))&amp;",",","&amp;SUBSTITUTE(input_profile_type," ","")&amp;",")))&gt;0)),IF(GW105="",TRUE,IF(input_profile_type="",FALSE,SUMPRODUCT(--ISNUMBER(SEARCH(","&amp;TRIM(TEXTSPLIT(GW105,","))&amp;",",","&amp;SUBSTITUTE(input_profile_type," ","")&amp;",")))=COUNTA(TEXTSPLIT(GW105,",")))),IF(GY105="",TRUE,IF(input_profile_type="",TRUE,SUMPRODUCT(--ISNUMBER(SEARCH(","&amp;TRIM(TEXTSPLIT(GY105,","))&amp;",",","&amp;SUBSTITUTE(input_profile_type," ","")&amp;",")))=0)),IF(HA105="",TRUE,IF(input_profile_type="",FALSE,SUMPRODUCT(--ISNUMBER(SEARCH(","&amp;TRIM(TEXTSPLIT(HA105,","))&amp;",",","&amp;SUBSTITUTE(input_profile_type," ","")&amp;",")))&gt;0)),IF(HC105="",TRUE,IF(input_profile_type="",FALSE,SUMPRODUCT(--ISNUMBER(SEARCH(","&amp;TRIM(TEXTSPLIT(HC105,","))&amp;",",","&amp;SUBSTITUTE(input_profile_type," ","")&amp;",")))=COUNTA(TEXTSPLIT(HC105,",")))))</f>
        <v/>
      </c>
      <c r="JN105" s="19">
        <f>AND(IF(HE105="",TRUE,IF(input_program="",FALSE,SUMPRODUCT(--ISNUMBER(SEARCH(","&amp;TRIM(TEXTSPLIT(HE105,","))&amp;",",","&amp;SUBSTITUTE(input_program," ","")&amp;",")))&gt;0)),IF(HG105="",TRUE,IF(input_program="",FALSE,SUMPRODUCT(--ISNUMBER(SEARCH(","&amp;TRIM(TEXTSPLIT(HG105,","))&amp;",",","&amp;SUBSTITUTE(input_program," ","")&amp;",")))=COUNTA(TEXTSPLIT(HG105,",")))),IF(HI105="",TRUE,IF(input_program="",TRUE,SUMPRODUCT(--ISNUMBER(SEARCH(","&amp;TRIM(TEXTSPLIT(HI105,","))&amp;",",","&amp;SUBSTITUTE(input_program," ","")&amp;",")))=0)),IF(HK105="",TRUE,IF(input_program="",FALSE,SUMPRODUCT(--ISNUMBER(SEARCH(","&amp;TRIM(TEXTSPLIT(HK105,","))&amp;",",","&amp;SUBSTITUTE(input_program," ","")&amp;",")))&gt;0)),IF(HM105="",TRUE,IF(input_program="",FALSE,SUMPRODUCT(--ISNUMBER(SEARCH(","&amp;TRIM(TEXTSPLIT(HM105,","))&amp;",",","&amp;SUBSTITUTE(input_program," ","")&amp;",")))=COUNTA(TEXTSPLIT(HM105,",")))))</f>
        <v/>
      </c>
      <c r="JO105" s="19">
        <f>AND(IF(HO105="",TRUE,IF(input_story_categories="",FALSE,SUMPRODUCT(--ISNUMBER(SEARCH(","&amp;TRIM(TEXTSPLIT(HO105,","))&amp;",",","&amp;SUBSTITUTE(input_story_categories," ","")&amp;",")))&gt;0)),IF(HQ105="",TRUE,IF(input_story_categories="",FALSE,SUMPRODUCT(--ISNUMBER(SEARCH(","&amp;TRIM(TEXTSPLIT(HQ105,","))&amp;",",","&amp;SUBSTITUTE(input_story_categories," ","")&amp;",")))=COUNTA(TEXTSPLIT(HQ105,",")))),IF(HS105="",TRUE,IF(input_story_categories="",TRUE,SUMPRODUCT(--ISNUMBER(SEARCH(","&amp;TRIM(TEXTSPLIT(HS105,","))&amp;",",","&amp;SUBSTITUTE(input_story_categories," ","")&amp;",")))=0)),IF(HU105="",TRUE,IF(input_story_categories="",FALSE,SUMPRODUCT(--ISNUMBER(SEARCH(","&amp;TRIM(TEXTSPLIT(HU105,","))&amp;",",","&amp;SUBSTITUTE(input_story_categories," ","")&amp;",")))&gt;0)),IF(HW105="",TRUE,IF(input_story_categories="",FALSE,SUMPRODUCT(--ISNUMBER(SEARCH(","&amp;TRIM(TEXTSPLIT(HW105,","))&amp;",",","&amp;SUBSTITUTE(input_story_categories," ","")&amp;",")))=COUNTA(TEXTSPLIT(HW105,",")))))</f>
        <v/>
      </c>
      <c r="JP105" s="19">
        <f>AND(IF(HY105="",TRUE,IF(input_story_type="",FALSE,SUMPRODUCT(--ISNUMBER(SEARCH(","&amp;TRIM(TEXTSPLIT(HY105,","))&amp;",",","&amp;SUBSTITUTE(input_story_type," ","")&amp;",")))&gt;0)),IF(IA105="",TRUE,IF(input_story_type="",FALSE,SUMPRODUCT(--ISNUMBER(SEARCH(","&amp;TRIM(TEXTSPLIT(IA105,","))&amp;",",","&amp;SUBSTITUTE(input_story_type," ","")&amp;",")))=COUNTA(TEXTSPLIT(IA105,",")))),IF(IC105="",TRUE,IF(input_story_type="",TRUE,SUMPRODUCT(--ISNUMBER(SEARCH(","&amp;TRIM(TEXTSPLIT(IC105,","))&amp;",",","&amp;SUBSTITUTE(input_story_type," ","")&amp;",")))=0)),IF(IE105="",TRUE,IF(input_story_type="",FALSE,SUMPRODUCT(--ISNUMBER(SEARCH(","&amp;TRIM(TEXTSPLIT(IE105,","))&amp;",",","&amp;SUBSTITUTE(input_story_type," ","")&amp;",")))&gt;0)),IF(IG105="",TRUE,IF(input_story_type="",FALSE,SUMPRODUCT(--ISNUMBER(SEARCH(","&amp;TRIM(TEXTSPLIT(IG105,","))&amp;",",","&amp;SUBSTITUTE(input_story_type," ","")&amp;",")))=COUNTA(TEXTSPLIT(IG105,",")))))</f>
        <v/>
      </c>
      <c r="JQ105" s="19">
        <f>AND(IF(II105="",TRUE,IF(input_topics="",FALSE,SUMPRODUCT(--ISNUMBER(SEARCH(","&amp;TRIM(TEXTSPLIT(II105,","))&amp;",",","&amp;SUBSTITUTE(input_topics," ","")&amp;",")))&gt;0)),IF(IK105="",TRUE,IF(input_topics="",FALSE,SUMPRODUCT(--ISNUMBER(SEARCH(","&amp;TRIM(TEXTSPLIT(IK105,","))&amp;",",","&amp;SUBSTITUTE(input_topics," ","")&amp;",")))=COUNTA(TEXTSPLIT(IK105,",")))),IF(IM105="",TRUE,IF(input_topics="",TRUE,SUMPRODUCT(--ISNUMBER(SEARCH(","&amp;TRIM(TEXTSPLIT(IM105,","))&amp;",",","&amp;SUBSTITUTE(input_topics," ","")&amp;",")))=0)),IF(IO105="",TRUE,IF(input_topics="",FALSE,SUMPRODUCT(--ISNUMBER(SEARCH(","&amp;TRIM(TEXTSPLIT(IO105,","))&amp;",",","&amp;SUBSTITUTE(input_topics," ","")&amp;",")))&gt;0)),IF(IQ105="",TRUE,IF(input_topics="",FALSE,SUMPRODUCT(--ISNUMBER(SEARCH(","&amp;TRIM(TEXTSPLIT(IQ105,","))&amp;",",","&amp;SUBSTITUTE(input_topics," ","")&amp;",")))=COUNTA(TEXTSPLIT(IQ105,",")))))</f>
        <v/>
      </c>
    </row>
    <row r="106">
      <c r="A106" s="24">
        <f>IF(NOT(IS106),"Excluded",IF(AND(IT106,IU106,IV106,IW106,IX106,IY106,IZ106,JA106,JB106,JC106,JD106,JE106,JF106,JG106,JH106,JI106,JJ106,JK106,JL106,JM106,JN106,JO106,JP106,JQ106),IF(I106&gt;0,"Eligible but limited","Will appear"),"Excluded"))</f>
        <v/>
      </c>
      <c r="B106" s="24" t="inlineStr">
        <is>
          <t>Events</t>
        </is>
      </c>
      <c r="C106" s="27" t="inlineStr">
        <is>
          <t>/programs/mam</t>
        </is>
      </c>
      <c r="D106" s="24" t="inlineStr">
        <is>
          <t>/programs/mam</t>
        </is>
      </c>
      <c r="E106" s="24" t="n">
        <v>1</v>
      </c>
      <c r="F106" s="24" t="inlineStr">
        <is>
          <t>event</t>
        </is>
      </c>
      <c r="G106" s="24" t="inlineStr">
        <is>
          <t>event_teaser_list</t>
        </is>
      </c>
      <c r="H106" s="24" t="inlineStr">
        <is>
          <t>embed_1</t>
        </is>
      </c>
      <c r="I106" s="24" t="n">
        <v>3</v>
      </c>
      <c r="J106" s="29" t="inlineStr">
        <is>
          <t>Section inferred</t>
        </is>
      </c>
      <c r="K106" s="24" t="inlineStr">
        <is>
          <t>Page placement</t>
        </is>
      </c>
      <c r="L106" s="24" t="inlineStr">
        <is>
          <t>Content type: event; Context uses Courses Context: Master of Advanced Management (932); Limited to 3 item(s); Source: Section inferred</t>
        </is>
      </c>
      <c r="BQ106" s="19" t="inlineStr">
        <is>
          <t>932</t>
        </is>
      </c>
      <c r="BR106" s="19" t="inlineStr">
        <is>
          <t>Master of Advanced Management (932)</t>
        </is>
      </c>
      <c r="IS106" s="19">
        <f>IF(input_content_type="",FALSE,ISNUMBER(SEARCH(","&amp;LOWER(input_content_type)&amp;",",","&amp;LOWER(SUBSTITUTE(F106," ",""))&amp;",")))</f>
        <v/>
      </c>
      <c r="IT106" s="19">
        <f>AND(IF(M106="",TRUE,IF(input_affiliations="",FALSE,SUMPRODUCT(--ISNUMBER(SEARCH(","&amp;TRIM(TEXTSPLIT(M106,","))&amp;",",","&amp;SUBSTITUTE(input_affiliations," ","")&amp;",")))&gt;0)),IF(O106="",TRUE,IF(input_affiliations="",FALSE,SUMPRODUCT(--ISNUMBER(SEARCH(","&amp;TRIM(TEXTSPLIT(O106,","))&amp;",",","&amp;SUBSTITUTE(input_affiliations," ","")&amp;",")))=COUNTA(TEXTSPLIT(O106,",")))),IF(Q106="",TRUE,IF(input_affiliations="",TRUE,SUMPRODUCT(--ISNUMBER(SEARCH(","&amp;TRIM(TEXTSPLIT(Q106,","))&amp;",",","&amp;SUBSTITUTE(input_affiliations," ","")&amp;",")))=0)),IF(S106="",TRUE,IF(input_affiliations="",FALSE,SUMPRODUCT(--ISNUMBER(SEARCH(","&amp;TRIM(TEXTSPLIT(S106,","))&amp;",",","&amp;SUBSTITUTE(input_affiliations," ","")&amp;",")))&gt;0)),IF(U106="",TRUE,IF(input_affiliations="",FALSE,SUMPRODUCT(--ISNUMBER(SEARCH(","&amp;TRIM(TEXTSPLIT(U106,","))&amp;",",","&amp;SUBSTITUTE(input_affiliations," ","")&amp;",")))=COUNTA(TEXTSPLIT(U106,",")))))</f>
        <v/>
      </c>
      <c r="IU106" s="19">
        <f>AND(IF(W106="",TRUE,IF(input_announcement_category="",FALSE,SUMPRODUCT(--ISNUMBER(SEARCH(","&amp;TRIM(TEXTSPLIT(W106,","))&amp;",",","&amp;SUBSTITUTE(input_announcement_category," ","")&amp;",")))&gt;0)),IF(Y106="",TRUE,IF(input_announcement_category="",FALSE,SUMPRODUCT(--ISNUMBER(SEARCH(","&amp;TRIM(TEXTSPLIT(Y106,","))&amp;",",","&amp;SUBSTITUTE(input_announcement_category," ","")&amp;",")))=COUNTA(TEXTSPLIT(Y106,",")))),IF(AA106="",TRUE,IF(input_announcement_category="",TRUE,SUMPRODUCT(--ISNUMBER(SEARCH(","&amp;TRIM(TEXTSPLIT(AA106,","))&amp;",",","&amp;SUBSTITUTE(input_announcement_category," ","")&amp;",")))=0)),IF(AC106="",TRUE,IF(input_announcement_category="",FALSE,SUMPRODUCT(--ISNUMBER(SEARCH(","&amp;TRIM(TEXTSPLIT(AC106,","))&amp;",",","&amp;SUBSTITUTE(input_announcement_category," ","")&amp;",")))&gt;0)),IF(AE106="",TRUE,IF(input_announcement_category="",FALSE,SUMPRODUCT(--ISNUMBER(SEARCH(","&amp;TRIM(TEXTSPLIT(AE106,","))&amp;",",","&amp;SUBSTITUTE(input_announcement_category," ","")&amp;",")))=COUNTA(TEXTSPLIT(AE106,",")))))</f>
        <v/>
      </c>
      <c r="IV106" s="19">
        <f>AND(IF(AG106="",TRUE,IF(input_area_of_focus="",FALSE,SUMPRODUCT(--ISNUMBER(SEARCH(","&amp;TRIM(TEXTSPLIT(AG106,","))&amp;",",","&amp;SUBSTITUTE(input_area_of_focus," ","")&amp;",")))&gt;0)),IF(AI106="",TRUE,IF(input_area_of_focus="",FALSE,SUMPRODUCT(--ISNUMBER(SEARCH(","&amp;TRIM(TEXTSPLIT(AI106,","))&amp;",",","&amp;SUBSTITUTE(input_area_of_focus," ","")&amp;",")))=COUNTA(TEXTSPLIT(AI106,",")))),IF(AK106="",TRUE,IF(input_area_of_focus="",TRUE,SUMPRODUCT(--ISNUMBER(SEARCH(","&amp;TRIM(TEXTSPLIT(AK106,","))&amp;",",","&amp;SUBSTITUTE(input_area_of_focus," ","")&amp;",")))=0)),IF(AM106="",TRUE,IF(input_area_of_focus="",FALSE,SUMPRODUCT(--ISNUMBER(SEARCH(","&amp;TRIM(TEXTSPLIT(AM106,","))&amp;",",","&amp;SUBSTITUTE(input_area_of_focus," ","")&amp;",")))&gt;0)),IF(AO106="",TRUE,IF(input_area_of_focus="",FALSE,SUMPRODUCT(--ISNUMBER(SEARCH(","&amp;TRIM(TEXTSPLIT(AO106,","))&amp;",",","&amp;SUBSTITUTE(input_area_of_focus," ","")&amp;",")))=COUNTA(TEXTSPLIT(AO106,",")))))</f>
        <v/>
      </c>
      <c r="IW106" s="19">
        <f>AND(IF(AQ106="",TRUE,IF(input_audience="",FALSE,SUMPRODUCT(--ISNUMBER(SEARCH(","&amp;TRIM(TEXTSPLIT(AQ106,","))&amp;",",","&amp;SUBSTITUTE(input_audience," ","")&amp;",")))&gt;0)),IF(AS106="",TRUE,IF(input_audience="",FALSE,SUMPRODUCT(--ISNUMBER(SEARCH(","&amp;TRIM(TEXTSPLIT(AS106,","))&amp;",",","&amp;SUBSTITUTE(input_audience," ","")&amp;",")))=COUNTA(TEXTSPLIT(AS106,",")))),IF(AU106="",TRUE,IF(input_audience="",TRUE,SUMPRODUCT(--ISNUMBER(SEARCH(","&amp;TRIM(TEXTSPLIT(AU106,","))&amp;",",","&amp;SUBSTITUTE(input_audience," ","")&amp;",")))=0)),IF(AW106="",TRUE,IF(input_audience="",FALSE,SUMPRODUCT(--ISNUMBER(SEARCH(","&amp;TRIM(TEXTSPLIT(AW106,","))&amp;",",","&amp;SUBSTITUTE(input_audience," ","")&amp;",")))&gt;0)),IF(AY106="",TRUE,IF(input_audience="",FALSE,SUMPRODUCT(--ISNUMBER(SEARCH(","&amp;TRIM(TEXTSPLIT(AY106,","))&amp;",",","&amp;SUBSTITUTE(input_audience," ","")&amp;",")))=COUNTA(TEXTSPLIT(AY106,",")))))</f>
        <v/>
      </c>
      <c r="IX106" s="19">
        <f>AND(IF(BA106="",TRUE,IF(input_challenge_opportunities="",FALSE,SUMPRODUCT(--ISNUMBER(SEARCH(","&amp;TRIM(TEXTSPLIT(BA106,","))&amp;",",","&amp;SUBSTITUTE(input_challenge_opportunities," ","")&amp;",")))&gt;0)),IF(BC106="",TRUE,IF(input_challenge_opportunities="",FALSE,SUMPRODUCT(--ISNUMBER(SEARCH(","&amp;TRIM(TEXTSPLIT(BC106,","))&amp;",",","&amp;SUBSTITUTE(input_challenge_opportunities," ","")&amp;",")))=COUNTA(TEXTSPLIT(BC106,",")))),IF(BE106="",TRUE,IF(input_challenge_opportunities="",TRUE,SUMPRODUCT(--ISNUMBER(SEARCH(","&amp;TRIM(TEXTSPLIT(BE106,","))&amp;",",","&amp;SUBSTITUTE(input_challenge_opportunities," ","")&amp;",")))=0)),IF(BG106="",TRUE,IF(input_challenge_opportunities="",FALSE,SUMPRODUCT(--ISNUMBER(SEARCH(","&amp;TRIM(TEXTSPLIT(BG106,","))&amp;",",","&amp;SUBSTITUTE(input_challenge_opportunities," ","")&amp;",")))&gt;0)),IF(BI106="",TRUE,IF(input_challenge_opportunities="",FALSE,SUMPRODUCT(--ISNUMBER(SEARCH(","&amp;TRIM(TEXTSPLIT(BI106,","))&amp;",",","&amp;SUBSTITUTE(input_challenge_opportunities," ","")&amp;",")))=COUNTA(TEXTSPLIT(BI106,",")))))</f>
        <v/>
      </c>
      <c r="IY106" s="19">
        <f>AND(IF(BK106="",TRUE,IF(input_context="",FALSE,SUMPRODUCT(--ISNUMBER(SEARCH(","&amp;TRIM(TEXTSPLIT(BK106,","))&amp;",",","&amp;SUBSTITUTE(input_context," ","")&amp;",")))&gt;0)),IF(BM106="",TRUE,IF(input_context="",FALSE,SUMPRODUCT(--ISNUMBER(SEARCH(","&amp;TRIM(TEXTSPLIT(BM106,","))&amp;",",","&amp;SUBSTITUTE(input_context," ","")&amp;",")))=COUNTA(TEXTSPLIT(BM106,",")))),IF(BO106="",TRUE,IF(input_context="",TRUE,SUMPRODUCT(--ISNUMBER(SEARCH(","&amp;TRIM(TEXTSPLIT(BO106,","))&amp;",",","&amp;SUBSTITUTE(input_context," ","")&amp;",")))=0)),IF(BQ106="",TRUE,IF(input_context="",FALSE,SUMPRODUCT(--ISNUMBER(SEARCH(","&amp;TRIM(TEXTSPLIT(BQ106,","))&amp;",",","&amp;SUBSTITUTE(input_context," ","")&amp;",")))&gt;0)),IF(BS106="",TRUE,IF(input_context="",FALSE,SUMPRODUCT(--ISNUMBER(SEARCH(","&amp;TRIM(TEXTSPLIT(BS106,","))&amp;",",","&amp;SUBSTITUTE(input_context," ","")&amp;",")))=COUNTA(TEXTSPLIT(BS106,",")))))</f>
        <v/>
      </c>
      <c r="IZ106" s="19">
        <f>AND(IF(BU106="",TRUE,IF(input_enews_announcement_type="",FALSE,SUMPRODUCT(--ISNUMBER(SEARCH(","&amp;TRIM(TEXTSPLIT(BU106,","))&amp;",",","&amp;SUBSTITUTE(input_enews_announcement_type," ","")&amp;",")))&gt;0)),IF(BW106="",TRUE,IF(input_enews_announcement_type="",FALSE,SUMPRODUCT(--ISNUMBER(SEARCH(","&amp;TRIM(TEXTSPLIT(BW106,","))&amp;",",","&amp;SUBSTITUTE(input_enews_announcement_type," ","")&amp;",")))=COUNTA(TEXTSPLIT(BW106,",")))),IF(BY106="",TRUE,IF(input_enews_announcement_type="",TRUE,SUMPRODUCT(--ISNUMBER(SEARCH(","&amp;TRIM(TEXTSPLIT(BY106,","))&amp;",",","&amp;SUBSTITUTE(input_enews_announcement_type," ","")&amp;",")))=0)),IF(CA106="",TRUE,IF(input_enews_announcement_type="",FALSE,SUMPRODUCT(--ISNUMBER(SEARCH(","&amp;TRIM(TEXTSPLIT(CA106,","))&amp;",",","&amp;SUBSTITUTE(input_enews_announcement_type," ","")&amp;",")))&gt;0)),IF(CC106="",TRUE,IF(input_enews_announcement_type="",FALSE,SUMPRODUCT(--ISNUMBER(SEARCH(","&amp;TRIM(TEXTSPLIT(CC106,","))&amp;",",","&amp;SUBSTITUTE(input_enews_announcement_type," ","")&amp;",")))=COUNTA(TEXTSPLIT(CC106,",")))))</f>
        <v/>
      </c>
      <c r="JA106" s="19">
        <f>AND(IF(CE106="",TRUE,IF(input_enews_audience="",FALSE,SUMPRODUCT(--ISNUMBER(SEARCH(","&amp;TRIM(TEXTSPLIT(CE106,","))&amp;",",","&amp;SUBSTITUTE(input_enews_audience," ","")&amp;",")))&gt;0)),IF(CG106="",TRUE,IF(input_enews_audience="",FALSE,SUMPRODUCT(--ISNUMBER(SEARCH(","&amp;TRIM(TEXTSPLIT(CG106,","))&amp;",",","&amp;SUBSTITUTE(input_enews_audience," ","")&amp;",")))=COUNTA(TEXTSPLIT(CG106,",")))),IF(CI106="",TRUE,IF(input_enews_audience="",TRUE,SUMPRODUCT(--ISNUMBER(SEARCH(","&amp;TRIM(TEXTSPLIT(CI106,","))&amp;",",","&amp;SUBSTITUTE(input_enews_audience," ","")&amp;",")))=0)),IF(CK106="",TRUE,IF(input_enews_audience="",FALSE,SUMPRODUCT(--ISNUMBER(SEARCH(","&amp;TRIM(TEXTSPLIT(CK106,","))&amp;",",","&amp;SUBSTITUTE(input_enews_audience," ","")&amp;",")))&gt;0)),IF(CM106="",TRUE,IF(input_enews_audience="",FALSE,SUMPRODUCT(--ISNUMBER(SEARCH(","&amp;TRIM(TEXTSPLIT(CM106,","))&amp;",",","&amp;SUBSTITUTE(input_enews_audience," ","")&amp;",")))=COUNTA(TEXTSPLIT(CM106,",")))))</f>
        <v/>
      </c>
      <c r="JB106" s="19">
        <f>AND(IF(CO106="",TRUE,IF(input_event_location="",FALSE,SUMPRODUCT(--ISNUMBER(SEARCH(","&amp;TRIM(TEXTSPLIT(CO106,","))&amp;",",","&amp;SUBSTITUTE(input_event_location," ","")&amp;",")))&gt;0)),IF(CQ106="",TRUE,IF(input_event_location="",FALSE,SUMPRODUCT(--ISNUMBER(SEARCH(","&amp;TRIM(TEXTSPLIT(CQ106,","))&amp;",",","&amp;SUBSTITUTE(input_event_location," ","")&amp;",")))=COUNTA(TEXTSPLIT(CQ106,",")))),IF(CS106="",TRUE,IF(input_event_location="",TRUE,SUMPRODUCT(--ISNUMBER(SEARCH(","&amp;TRIM(TEXTSPLIT(CS106,","))&amp;",",","&amp;SUBSTITUTE(input_event_location," ","")&amp;",")))=0)),IF(CU106="",TRUE,IF(input_event_location="",FALSE,SUMPRODUCT(--ISNUMBER(SEARCH(","&amp;TRIM(TEXTSPLIT(CU106,","))&amp;",",","&amp;SUBSTITUTE(input_event_location," ","")&amp;",")))&gt;0)),IF(CW106="",TRUE,IF(input_event_location="",FALSE,SUMPRODUCT(--ISNUMBER(SEARCH(","&amp;TRIM(TEXTSPLIT(CW106,","))&amp;",",","&amp;SUBSTITUTE(input_event_location," ","")&amp;",")))=COUNTA(TEXTSPLIT(CW106,",")))))</f>
        <v/>
      </c>
      <c r="JC106" s="19">
        <f>AND(IF(CY106="",TRUE,IF(input_event_type="",FALSE,SUMPRODUCT(--ISNUMBER(SEARCH(","&amp;TRIM(TEXTSPLIT(CY106,","))&amp;",",","&amp;SUBSTITUTE(input_event_type," ","")&amp;",")))&gt;0)),IF(DA106="",TRUE,IF(input_event_type="",FALSE,SUMPRODUCT(--ISNUMBER(SEARCH(","&amp;TRIM(TEXTSPLIT(DA106,","))&amp;",",","&amp;SUBSTITUTE(input_event_type," ","")&amp;",")))=COUNTA(TEXTSPLIT(DA106,",")))),IF(DC106="",TRUE,IF(input_event_type="",TRUE,SUMPRODUCT(--ISNUMBER(SEARCH(","&amp;TRIM(TEXTSPLIT(DC106,","))&amp;",",","&amp;SUBSTITUTE(input_event_type," ","")&amp;",")))=0)),IF(DE106="",TRUE,IF(input_event_type="",FALSE,SUMPRODUCT(--ISNUMBER(SEARCH(","&amp;TRIM(TEXTSPLIT(DE106,","))&amp;",",","&amp;SUBSTITUTE(input_event_type," ","")&amp;",")))&gt;0)),IF(DG106="",TRUE,IF(input_event_type="",FALSE,SUMPRODUCT(--ISNUMBER(SEARCH(","&amp;TRIM(TEXTSPLIT(DG106,","))&amp;",",","&amp;SUBSTITUTE(input_event_type," ","")&amp;",")))=COUNTA(TEXTSPLIT(DG106,",")))))</f>
        <v/>
      </c>
      <c r="JD106" s="19">
        <f>AND(IF(DI106="",TRUE,IF(input_executive_education_focus="",FALSE,SUMPRODUCT(--ISNUMBER(SEARCH(","&amp;TRIM(TEXTSPLIT(DI106,","))&amp;",",","&amp;SUBSTITUTE(input_executive_education_focus," ","")&amp;",")))&gt;0)),IF(DK106="",TRUE,IF(input_executive_education_focus="",FALSE,SUMPRODUCT(--ISNUMBER(SEARCH(","&amp;TRIM(TEXTSPLIT(DK106,","))&amp;",",","&amp;SUBSTITUTE(input_executive_education_focus," ","")&amp;",")))=COUNTA(TEXTSPLIT(DK106,",")))),IF(DM106="",TRUE,IF(input_executive_education_focus="",TRUE,SUMPRODUCT(--ISNUMBER(SEARCH(","&amp;TRIM(TEXTSPLIT(DM106,","))&amp;",",","&amp;SUBSTITUTE(input_executive_education_focus," ","")&amp;",")))=0)),IF(DO106="",TRUE,IF(input_executive_education_focus="",FALSE,SUMPRODUCT(--ISNUMBER(SEARCH(","&amp;TRIM(TEXTSPLIT(DO106,","))&amp;",",","&amp;SUBSTITUTE(input_executive_education_focus," ","")&amp;",")))&gt;0)),IF(DQ106="",TRUE,IF(input_executive_education_focus="",FALSE,SUMPRODUCT(--ISNUMBER(SEARCH(","&amp;TRIM(TEXTSPLIT(DQ106,","))&amp;",",","&amp;SUBSTITUTE(input_executive_education_focus," ","")&amp;",")))=COUNTA(TEXTSPLIT(DQ106,",")))))</f>
        <v/>
      </c>
      <c r="JE106" s="19">
        <f>AND(IF(DS106="",TRUE,IF(input_faculty_category="",FALSE,SUMPRODUCT(--ISNUMBER(SEARCH(","&amp;TRIM(TEXTSPLIT(DS106,","))&amp;",",","&amp;SUBSTITUTE(input_faculty_category," ","")&amp;",")))&gt;0)),IF(DU106="",TRUE,IF(input_faculty_category="",FALSE,SUMPRODUCT(--ISNUMBER(SEARCH(","&amp;TRIM(TEXTSPLIT(DU106,","))&amp;",",","&amp;SUBSTITUTE(input_faculty_category," ","")&amp;",")))=COUNTA(TEXTSPLIT(DU106,",")))),IF(DW106="",TRUE,IF(input_faculty_category="",TRUE,SUMPRODUCT(--ISNUMBER(SEARCH(","&amp;TRIM(TEXTSPLIT(DW106,","))&amp;",",","&amp;SUBSTITUTE(input_faculty_category," ","")&amp;",")))=0)),IF(DY106="",TRUE,IF(input_faculty_category="",FALSE,SUMPRODUCT(--ISNUMBER(SEARCH(","&amp;TRIM(TEXTSPLIT(DY106,","))&amp;",",","&amp;SUBSTITUTE(input_faculty_category," ","")&amp;",")))&gt;0)),IF(EA106="",TRUE,IF(input_faculty_category="",FALSE,SUMPRODUCT(--ISNUMBER(SEARCH(","&amp;TRIM(TEXTSPLIT(EA106,","))&amp;",",","&amp;SUBSTITUTE(input_faculty_category," ","")&amp;",")))=COUNTA(TEXTSPLIT(EA106,",")))))</f>
        <v/>
      </c>
      <c r="JF106" s="19">
        <f>AND(IF(EC106="",TRUE,IF(input_faculty_discipline="",FALSE,SUMPRODUCT(--ISNUMBER(SEARCH(","&amp;TRIM(TEXTSPLIT(EC106,","))&amp;",",","&amp;SUBSTITUTE(input_faculty_discipline," ","")&amp;",")))&gt;0)),IF(EE106="",TRUE,IF(input_faculty_discipline="",FALSE,SUMPRODUCT(--ISNUMBER(SEARCH(","&amp;TRIM(TEXTSPLIT(EE106,","))&amp;",",","&amp;SUBSTITUTE(input_faculty_discipline," ","")&amp;",")))=COUNTA(TEXTSPLIT(EE106,",")))),IF(EG106="",TRUE,IF(input_faculty_discipline="",TRUE,SUMPRODUCT(--ISNUMBER(SEARCH(","&amp;TRIM(TEXTSPLIT(EG106,","))&amp;",",","&amp;SUBSTITUTE(input_faculty_discipline," ","")&amp;",")))=0)),IF(EI106="",TRUE,IF(input_faculty_discipline="",FALSE,SUMPRODUCT(--ISNUMBER(SEARCH(","&amp;TRIM(TEXTSPLIT(EI106,","))&amp;",",","&amp;SUBSTITUTE(input_faculty_discipline," ","")&amp;",")))&gt;0)),IF(EK106="",TRUE,IF(input_faculty_discipline="",FALSE,SUMPRODUCT(--ISNUMBER(SEARCH(","&amp;TRIM(TEXTSPLIT(EK106,","))&amp;",",","&amp;SUBSTITUTE(input_faculty_discipline," ","")&amp;",")))=COUNTA(TEXTSPLIT(EK106,",")))))</f>
        <v/>
      </c>
      <c r="JG106" s="19">
        <f>AND(IF(EM106="",TRUE,IF(input_faculty_expertise="",FALSE,SUMPRODUCT(--ISNUMBER(SEARCH(","&amp;TRIM(TEXTSPLIT(EM106,","))&amp;",",","&amp;SUBSTITUTE(input_faculty_expertise," ","")&amp;",")))&gt;0)),IF(EO106="",TRUE,IF(input_faculty_expertise="",FALSE,SUMPRODUCT(--ISNUMBER(SEARCH(","&amp;TRIM(TEXTSPLIT(EO106,","))&amp;",",","&amp;SUBSTITUTE(input_faculty_expertise," ","")&amp;",")))=COUNTA(TEXTSPLIT(EO106,",")))),IF(EQ106="",TRUE,IF(input_faculty_expertise="",TRUE,SUMPRODUCT(--ISNUMBER(SEARCH(","&amp;TRIM(TEXTSPLIT(EQ106,","))&amp;",",","&amp;SUBSTITUTE(input_faculty_expertise," ","")&amp;",")))=0)),IF(ES106="",TRUE,IF(input_faculty_expertise="",FALSE,SUMPRODUCT(--ISNUMBER(SEARCH(","&amp;TRIM(TEXTSPLIT(ES106,","))&amp;",",","&amp;SUBSTITUTE(input_faculty_expertise," ","")&amp;",")))&gt;0)),IF(EU106="",TRUE,IF(input_faculty_expertise="",FALSE,SUMPRODUCT(--ISNUMBER(SEARCH(","&amp;TRIM(TEXTSPLIT(EU106,","))&amp;",",","&amp;SUBSTITUTE(input_faculty_expertise," ","")&amp;",")))=COUNTA(TEXTSPLIT(EU106,",")))))</f>
        <v/>
      </c>
      <c r="JH106" s="19">
        <f>AND(IF(EW106="",TRUE,IF(input_global_network_school="",FALSE,SUMPRODUCT(--ISNUMBER(SEARCH(","&amp;TRIM(TEXTSPLIT(EW106,","))&amp;",",","&amp;SUBSTITUTE(input_global_network_school," ","")&amp;",")))&gt;0)),IF(EY106="",TRUE,IF(input_global_network_school="",FALSE,SUMPRODUCT(--ISNUMBER(SEARCH(","&amp;TRIM(TEXTSPLIT(EY106,","))&amp;",",","&amp;SUBSTITUTE(input_global_network_school," ","")&amp;",")))=COUNTA(TEXTSPLIT(EY106,",")))),IF(FA106="",TRUE,IF(input_global_network_school="",TRUE,SUMPRODUCT(--ISNUMBER(SEARCH(","&amp;TRIM(TEXTSPLIT(FA106,","))&amp;",",","&amp;SUBSTITUTE(input_global_network_school," ","")&amp;",")))=0)),IF(FC106="",TRUE,IF(input_global_network_school="",FALSE,SUMPRODUCT(--ISNUMBER(SEARCH(","&amp;TRIM(TEXTSPLIT(FC106,","))&amp;",",","&amp;SUBSTITUTE(input_global_network_school," ","")&amp;",")))&gt;0)),IF(FE106="",TRUE,IF(input_global_network_school="",FALSE,SUMPRODUCT(--ISNUMBER(SEARCH(","&amp;TRIM(TEXTSPLIT(FE106,","))&amp;",",","&amp;SUBSTITUTE(input_global_network_school," ","")&amp;",")))=COUNTA(TEXTSPLIT(FE106,",")))))</f>
        <v/>
      </c>
      <c r="JI106" s="19">
        <f>AND(IF(FG106="",TRUE,IF(input_industry="",FALSE,SUMPRODUCT(--ISNUMBER(SEARCH(","&amp;TRIM(TEXTSPLIT(FG106,","))&amp;",",","&amp;SUBSTITUTE(input_industry," ","")&amp;",")))&gt;0)),IF(FI106="",TRUE,IF(input_industry="",FALSE,SUMPRODUCT(--ISNUMBER(SEARCH(","&amp;TRIM(TEXTSPLIT(FI106,","))&amp;",",","&amp;SUBSTITUTE(input_industry," ","")&amp;",")))=COUNTA(TEXTSPLIT(FI106,",")))),IF(FK106="",TRUE,IF(input_industry="",TRUE,SUMPRODUCT(--ISNUMBER(SEARCH(","&amp;TRIM(TEXTSPLIT(FK106,","))&amp;",",","&amp;SUBSTITUTE(input_industry," ","")&amp;",")))=0)),IF(FM106="",TRUE,IF(input_industry="",FALSE,SUMPRODUCT(--ISNUMBER(SEARCH(","&amp;TRIM(TEXTSPLIT(FM106,","))&amp;",",","&amp;SUBSTITUTE(input_industry," ","")&amp;",")))&gt;0)),IF(FO106="",TRUE,IF(input_industry="",FALSE,SUMPRODUCT(--ISNUMBER(SEARCH(","&amp;TRIM(TEXTSPLIT(FO106,","))&amp;",",","&amp;SUBSTITUTE(input_industry," ","")&amp;",")))=COUNTA(TEXTSPLIT(FO106,",")))))</f>
        <v/>
      </c>
      <c r="JJ106" s="19">
        <f>AND(IF(FQ106="",TRUE,IF(input_location="",FALSE,SUMPRODUCT(--ISNUMBER(SEARCH(","&amp;TRIM(TEXTSPLIT(FQ106,","))&amp;",",","&amp;SUBSTITUTE(input_location," ","")&amp;",")))&gt;0)),IF(FS106="",TRUE,IF(input_location="",FALSE,SUMPRODUCT(--ISNUMBER(SEARCH(","&amp;TRIM(TEXTSPLIT(FS106,","))&amp;",",","&amp;SUBSTITUTE(input_location," ","")&amp;",")))=COUNTA(TEXTSPLIT(FS106,",")))),IF(FU106="",TRUE,IF(input_location="",TRUE,SUMPRODUCT(--ISNUMBER(SEARCH(","&amp;TRIM(TEXTSPLIT(FU106,","))&amp;",",","&amp;SUBSTITUTE(input_location," ","")&amp;",")))=0)),IF(FW106="",TRUE,IF(input_location="",FALSE,SUMPRODUCT(--ISNUMBER(SEARCH(","&amp;TRIM(TEXTSPLIT(FW106,","))&amp;",",","&amp;SUBSTITUTE(input_location," ","")&amp;",")))&gt;0)),IF(FY106="",TRUE,IF(input_location="",FALSE,SUMPRODUCT(--ISNUMBER(SEARCH(","&amp;TRIM(TEXTSPLIT(FY106,","))&amp;",",","&amp;SUBSTITUTE(input_location," ","")&amp;",")))=COUNTA(TEXTSPLIT(FY106,",")))))</f>
        <v/>
      </c>
      <c r="JK106" s="19">
        <f>AND(IF(GA106="",TRUE,IF(input_modality="",FALSE,SUMPRODUCT(--ISNUMBER(SEARCH(","&amp;TRIM(TEXTSPLIT(GA106,","))&amp;",",","&amp;SUBSTITUTE(input_modality," ","")&amp;",")))&gt;0)),IF(GC106="",TRUE,IF(input_modality="",FALSE,SUMPRODUCT(--ISNUMBER(SEARCH(","&amp;TRIM(TEXTSPLIT(GC106,","))&amp;",",","&amp;SUBSTITUTE(input_modality," ","")&amp;",")))=COUNTA(TEXTSPLIT(GC106,",")))),IF(GE106="",TRUE,IF(input_modality="",TRUE,SUMPRODUCT(--ISNUMBER(SEARCH(","&amp;TRIM(TEXTSPLIT(GE106,","))&amp;",",","&amp;SUBSTITUTE(input_modality," ","")&amp;",")))=0)),IF(GG106="",TRUE,IF(input_modality="",FALSE,SUMPRODUCT(--ISNUMBER(SEARCH(","&amp;TRIM(TEXTSPLIT(GG106,","))&amp;",",","&amp;SUBSTITUTE(input_modality," ","")&amp;",")))&gt;0)),IF(GI106="",TRUE,IF(input_modality="",FALSE,SUMPRODUCT(--ISNUMBER(SEARCH(","&amp;TRIM(TEXTSPLIT(GI106,","))&amp;",",","&amp;SUBSTITUTE(input_modality," ","")&amp;",")))=COUNTA(TEXTSPLIT(GI106,",")))))</f>
        <v/>
      </c>
      <c r="JL106" s="19">
        <f>AND(IF(GK106="",TRUE,IF(input_organizer="",FALSE,SUMPRODUCT(--ISNUMBER(SEARCH(","&amp;TRIM(TEXTSPLIT(GK106,","))&amp;",",","&amp;SUBSTITUTE(input_organizer," ","")&amp;",")))&gt;0)),IF(GM106="",TRUE,IF(input_organizer="",FALSE,SUMPRODUCT(--ISNUMBER(SEARCH(","&amp;TRIM(TEXTSPLIT(GM106,","))&amp;",",","&amp;SUBSTITUTE(input_organizer," ","")&amp;",")))=COUNTA(TEXTSPLIT(GM106,",")))),IF(GO106="",TRUE,IF(input_organizer="",TRUE,SUMPRODUCT(--ISNUMBER(SEARCH(","&amp;TRIM(TEXTSPLIT(GO106,","))&amp;",",","&amp;SUBSTITUTE(input_organizer," ","")&amp;",")))=0)),IF(GQ106="",TRUE,IF(input_organizer="",FALSE,SUMPRODUCT(--ISNUMBER(SEARCH(","&amp;TRIM(TEXTSPLIT(GQ106,","))&amp;",",","&amp;SUBSTITUTE(input_organizer," ","")&amp;",")))&gt;0)),IF(GS106="",TRUE,IF(input_organizer="",FALSE,SUMPRODUCT(--ISNUMBER(SEARCH(","&amp;TRIM(TEXTSPLIT(GS106,","))&amp;",",","&amp;SUBSTITUTE(input_organizer," ","")&amp;",")))=COUNTA(TEXTSPLIT(GS106,",")))))</f>
        <v/>
      </c>
      <c r="JM106" s="19">
        <f>AND(IF(GU106="",TRUE,IF(input_profile_type="",FALSE,SUMPRODUCT(--ISNUMBER(SEARCH(","&amp;TRIM(TEXTSPLIT(GU106,","))&amp;",",","&amp;SUBSTITUTE(input_profile_type," ","")&amp;",")))&gt;0)),IF(GW106="",TRUE,IF(input_profile_type="",FALSE,SUMPRODUCT(--ISNUMBER(SEARCH(","&amp;TRIM(TEXTSPLIT(GW106,","))&amp;",",","&amp;SUBSTITUTE(input_profile_type," ","")&amp;",")))=COUNTA(TEXTSPLIT(GW106,",")))),IF(GY106="",TRUE,IF(input_profile_type="",TRUE,SUMPRODUCT(--ISNUMBER(SEARCH(","&amp;TRIM(TEXTSPLIT(GY106,","))&amp;",",","&amp;SUBSTITUTE(input_profile_type," ","")&amp;",")))=0)),IF(HA106="",TRUE,IF(input_profile_type="",FALSE,SUMPRODUCT(--ISNUMBER(SEARCH(","&amp;TRIM(TEXTSPLIT(HA106,","))&amp;",",","&amp;SUBSTITUTE(input_profile_type," ","")&amp;",")))&gt;0)),IF(HC106="",TRUE,IF(input_profile_type="",FALSE,SUMPRODUCT(--ISNUMBER(SEARCH(","&amp;TRIM(TEXTSPLIT(HC106,","))&amp;",",","&amp;SUBSTITUTE(input_profile_type," ","")&amp;",")))=COUNTA(TEXTSPLIT(HC106,",")))))</f>
        <v/>
      </c>
      <c r="JN106" s="19">
        <f>AND(IF(HE106="",TRUE,IF(input_program="",FALSE,SUMPRODUCT(--ISNUMBER(SEARCH(","&amp;TRIM(TEXTSPLIT(HE106,","))&amp;",",","&amp;SUBSTITUTE(input_program," ","")&amp;",")))&gt;0)),IF(HG106="",TRUE,IF(input_program="",FALSE,SUMPRODUCT(--ISNUMBER(SEARCH(","&amp;TRIM(TEXTSPLIT(HG106,","))&amp;",",","&amp;SUBSTITUTE(input_program," ","")&amp;",")))=COUNTA(TEXTSPLIT(HG106,",")))),IF(HI106="",TRUE,IF(input_program="",TRUE,SUMPRODUCT(--ISNUMBER(SEARCH(","&amp;TRIM(TEXTSPLIT(HI106,","))&amp;",",","&amp;SUBSTITUTE(input_program," ","")&amp;",")))=0)),IF(HK106="",TRUE,IF(input_program="",FALSE,SUMPRODUCT(--ISNUMBER(SEARCH(","&amp;TRIM(TEXTSPLIT(HK106,","))&amp;",",","&amp;SUBSTITUTE(input_program," ","")&amp;",")))&gt;0)),IF(HM106="",TRUE,IF(input_program="",FALSE,SUMPRODUCT(--ISNUMBER(SEARCH(","&amp;TRIM(TEXTSPLIT(HM106,","))&amp;",",","&amp;SUBSTITUTE(input_program," ","")&amp;",")))=COUNTA(TEXTSPLIT(HM106,",")))))</f>
        <v/>
      </c>
      <c r="JO106" s="19">
        <f>AND(IF(HO106="",TRUE,IF(input_story_categories="",FALSE,SUMPRODUCT(--ISNUMBER(SEARCH(","&amp;TRIM(TEXTSPLIT(HO106,","))&amp;",",","&amp;SUBSTITUTE(input_story_categories," ","")&amp;",")))&gt;0)),IF(HQ106="",TRUE,IF(input_story_categories="",FALSE,SUMPRODUCT(--ISNUMBER(SEARCH(","&amp;TRIM(TEXTSPLIT(HQ106,","))&amp;",",","&amp;SUBSTITUTE(input_story_categories," ","")&amp;",")))=COUNTA(TEXTSPLIT(HQ106,",")))),IF(HS106="",TRUE,IF(input_story_categories="",TRUE,SUMPRODUCT(--ISNUMBER(SEARCH(","&amp;TRIM(TEXTSPLIT(HS106,","))&amp;",",","&amp;SUBSTITUTE(input_story_categories," ","")&amp;",")))=0)),IF(HU106="",TRUE,IF(input_story_categories="",FALSE,SUMPRODUCT(--ISNUMBER(SEARCH(","&amp;TRIM(TEXTSPLIT(HU106,","))&amp;",",","&amp;SUBSTITUTE(input_story_categories," ","")&amp;",")))&gt;0)),IF(HW106="",TRUE,IF(input_story_categories="",FALSE,SUMPRODUCT(--ISNUMBER(SEARCH(","&amp;TRIM(TEXTSPLIT(HW106,","))&amp;",",","&amp;SUBSTITUTE(input_story_categories," ","")&amp;",")))=COUNTA(TEXTSPLIT(HW106,",")))))</f>
        <v/>
      </c>
      <c r="JP106" s="19">
        <f>AND(IF(HY106="",TRUE,IF(input_story_type="",FALSE,SUMPRODUCT(--ISNUMBER(SEARCH(","&amp;TRIM(TEXTSPLIT(HY106,","))&amp;",",","&amp;SUBSTITUTE(input_story_type," ","")&amp;",")))&gt;0)),IF(IA106="",TRUE,IF(input_story_type="",FALSE,SUMPRODUCT(--ISNUMBER(SEARCH(","&amp;TRIM(TEXTSPLIT(IA106,","))&amp;",",","&amp;SUBSTITUTE(input_story_type," ","")&amp;",")))=COUNTA(TEXTSPLIT(IA106,",")))),IF(IC106="",TRUE,IF(input_story_type="",TRUE,SUMPRODUCT(--ISNUMBER(SEARCH(","&amp;TRIM(TEXTSPLIT(IC106,","))&amp;",",","&amp;SUBSTITUTE(input_story_type," ","")&amp;",")))=0)),IF(IE106="",TRUE,IF(input_story_type="",FALSE,SUMPRODUCT(--ISNUMBER(SEARCH(","&amp;TRIM(TEXTSPLIT(IE106,","))&amp;",",","&amp;SUBSTITUTE(input_story_type," ","")&amp;",")))&gt;0)),IF(IG106="",TRUE,IF(input_story_type="",FALSE,SUMPRODUCT(--ISNUMBER(SEARCH(","&amp;TRIM(TEXTSPLIT(IG106,","))&amp;",",","&amp;SUBSTITUTE(input_story_type," ","")&amp;",")))=COUNTA(TEXTSPLIT(IG106,",")))))</f>
        <v/>
      </c>
      <c r="JQ106" s="19">
        <f>AND(IF(II106="",TRUE,IF(input_topics="",FALSE,SUMPRODUCT(--ISNUMBER(SEARCH(","&amp;TRIM(TEXTSPLIT(II106,","))&amp;",",","&amp;SUBSTITUTE(input_topics," ","")&amp;",")))&gt;0)),IF(IK106="",TRUE,IF(input_topics="",FALSE,SUMPRODUCT(--ISNUMBER(SEARCH(","&amp;TRIM(TEXTSPLIT(IK106,","))&amp;",",","&amp;SUBSTITUTE(input_topics," ","")&amp;",")))=COUNTA(TEXTSPLIT(IK106,",")))),IF(IM106="",TRUE,IF(input_topics="",TRUE,SUMPRODUCT(--ISNUMBER(SEARCH(","&amp;TRIM(TEXTSPLIT(IM106,","))&amp;",",","&amp;SUBSTITUTE(input_topics," ","")&amp;",")))=0)),IF(IO106="",TRUE,IF(input_topics="",FALSE,SUMPRODUCT(--ISNUMBER(SEARCH(","&amp;TRIM(TEXTSPLIT(IO106,","))&amp;",",","&amp;SUBSTITUTE(input_topics," ","")&amp;",")))&gt;0)),IF(IQ106="",TRUE,IF(input_topics="",FALSE,SUMPRODUCT(--ISNUMBER(SEARCH(","&amp;TRIM(TEXTSPLIT(IQ106,","))&amp;",",","&amp;SUBSTITUTE(input_topics," ","")&amp;",")))=COUNTA(TEXTSPLIT(IQ106,",")))))</f>
        <v/>
      </c>
    </row>
    <row r="107">
      <c r="A107" s="24">
        <f>IF(NOT(IS107),"Excluded",IF(AND(IT107,IU107,IV107,IW107,IX107,IY107,IZ107,JA107,JB107,JC107,JD107,JE107,JF107,JG107,JH107,JI107,JJ107,JK107,JL107,JM107,JN107,JO107,JP107,JQ107),IF(I107&gt;0,"Eligible but limited","Will appear"),"Excluded"))</f>
        <v/>
      </c>
      <c r="B107" s="24" t="inlineStr">
        <is>
          <t>Events</t>
        </is>
      </c>
      <c r="C107" s="27" t="inlineStr">
        <is>
          <t>/programs/mba</t>
        </is>
      </c>
      <c r="D107" s="24" t="inlineStr">
        <is>
          <t>/programs/mba</t>
        </is>
      </c>
      <c r="E107" s="24" t="n">
        <v>1</v>
      </c>
      <c r="F107" s="24" t="inlineStr">
        <is>
          <t>event</t>
        </is>
      </c>
      <c r="G107" s="24" t="inlineStr">
        <is>
          <t>event_teaser_list</t>
        </is>
      </c>
      <c r="H107" s="24" t="inlineStr">
        <is>
          <t>embed_1</t>
        </is>
      </c>
      <c r="I107" s="24" t="n">
        <v>3</v>
      </c>
      <c r="J107" s="29" t="inlineStr">
        <is>
          <t>Section inferred</t>
        </is>
      </c>
      <c r="K107" s="24" t="inlineStr">
        <is>
          <t>Page placement</t>
        </is>
      </c>
      <c r="L107" s="24" t="inlineStr">
        <is>
          <t>Content type: event; Context uses Courses Context: MBA (92); Limited to 3 item(s); Source: Section inferred</t>
        </is>
      </c>
      <c r="BQ107" s="19" t="inlineStr">
        <is>
          <t>92</t>
        </is>
      </c>
      <c r="BR107" s="19" t="inlineStr">
        <is>
          <t>MBA (92)</t>
        </is>
      </c>
      <c r="IS107" s="19">
        <f>IF(input_content_type="",FALSE,ISNUMBER(SEARCH(","&amp;LOWER(input_content_type)&amp;",",","&amp;LOWER(SUBSTITUTE(F107," ",""))&amp;",")))</f>
        <v/>
      </c>
      <c r="IT107" s="19">
        <f>AND(IF(M107="",TRUE,IF(input_affiliations="",FALSE,SUMPRODUCT(--ISNUMBER(SEARCH(","&amp;TRIM(TEXTSPLIT(M107,","))&amp;",",","&amp;SUBSTITUTE(input_affiliations," ","")&amp;",")))&gt;0)),IF(O107="",TRUE,IF(input_affiliations="",FALSE,SUMPRODUCT(--ISNUMBER(SEARCH(","&amp;TRIM(TEXTSPLIT(O107,","))&amp;",",","&amp;SUBSTITUTE(input_affiliations," ","")&amp;",")))=COUNTA(TEXTSPLIT(O107,",")))),IF(Q107="",TRUE,IF(input_affiliations="",TRUE,SUMPRODUCT(--ISNUMBER(SEARCH(","&amp;TRIM(TEXTSPLIT(Q107,","))&amp;",",","&amp;SUBSTITUTE(input_affiliations," ","")&amp;",")))=0)),IF(S107="",TRUE,IF(input_affiliations="",FALSE,SUMPRODUCT(--ISNUMBER(SEARCH(","&amp;TRIM(TEXTSPLIT(S107,","))&amp;",",","&amp;SUBSTITUTE(input_affiliations," ","")&amp;",")))&gt;0)),IF(U107="",TRUE,IF(input_affiliations="",FALSE,SUMPRODUCT(--ISNUMBER(SEARCH(","&amp;TRIM(TEXTSPLIT(U107,","))&amp;",",","&amp;SUBSTITUTE(input_affiliations," ","")&amp;",")))=COUNTA(TEXTSPLIT(U107,",")))))</f>
        <v/>
      </c>
      <c r="IU107" s="19">
        <f>AND(IF(W107="",TRUE,IF(input_announcement_category="",FALSE,SUMPRODUCT(--ISNUMBER(SEARCH(","&amp;TRIM(TEXTSPLIT(W107,","))&amp;",",","&amp;SUBSTITUTE(input_announcement_category," ","")&amp;",")))&gt;0)),IF(Y107="",TRUE,IF(input_announcement_category="",FALSE,SUMPRODUCT(--ISNUMBER(SEARCH(","&amp;TRIM(TEXTSPLIT(Y107,","))&amp;",",","&amp;SUBSTITUTE(input_announcement_category," ","")&amp;",")))=COUNTA(TEXTSPLIT(Y107,",")))),IF(AA107="",TRUE,IF(input_announcement_category="",TRUE,SUMPRODUCT(--ISNUMBER(SEARCH(","&amp;TRIM(TEXTSPLIT(AA107,","))&amp;",",","&amp;SUBSTITUTE(input_announcement_category," ","")&amp;",")))=0)),IF(AC107="",TRUE,IF(input_announcement_category="",FALSE,SUMPRODUCT(--ISNUMBER(SEARCH(","&amp;TRIM(TEXTSPLIT(AC107,","))&amp;",",","&amp;SUBSTITUTE(input_announcement_category," ","")&amp;",")))&gt;0)),IF(AE107="",TRUE,IF(input_announcement_category="",FALSE,SUMPRODUCT(--ISNUMBER(SEARCH(","&amp;TRIM(TEXTSPLIT(AE107,","))&amp;",",","&amp;SUBSTITUTE(input_announcement_category," ","")&amp;",")))=COUNTA(TEXTSPLIT(AE107,",")))))</f>
        <v/>
      </c>
      <c r="IV107" s="19">
        <f>AND(IF(AG107="",TRUE,IF(input_area_of_focus="",FALSE,SUMPRODUCT(--ISNUMBER(SEARCH(","&amp;TRIM(TEXTSPLIT(AG107,","))&amp;",",","&amp;SUBSTITUTE(input_area_of_focus," ","")&amp;",")))&gt;0)),IF(AI107="",TRUE,IF(input_area_of_focus="",FALSE,SUMPRODUCT(--ISNUMBER(SEARCH(","&amp;TRIM(TEXTSPLIT(AI107,","))&amp;",",","&amp;SUBSTITUTE(input_area_of_focus," ","")&amp;",")))=COUNTA(TEXTSPLIT(AI107,",")))),IF(AK107="",TRUE,IF(input_area_of_focus="",TRUE,SUMPRODUCT(--ISNUMBER(SEARCH(","&amp;TRIM(TEXTSPLIT(AK107,","))&amp;",",","&amp;SUBSTITUTE(input_area_of_focus," ","")&amp;",")))=0)),IF(AM107="",TRUE,IF(input_area_of_focus="",FALSE,SUMPRODUCT(--ISNUMBER(SEARCH(","&amp;TRIM(TEXTSPLIT(AM107,","))&amp;",",","&amp;SUBSTITUTE(input_area_of_focus," ","")&amp;",")))&gt;0)),IF(AO107="",TRUE,IF(input_area_of_focus="",FALSE,SUMPRODUCT(--ISNUMBER(SEARCH(","&amp;TRIM(TEXTSPLIT(AO107,","))&amp;",",","&amp;SUBSTITUTE(input_area_of_focus," ","")&amp;",")))=COUNTA(TEXTSPLIT(AO107,",")))))</f>
        <v/>
      </c>
      <c r="IW107" s="19">
        <f>AND(IF(AQ107="",TRUE,IF(input_audience="",FALSE,SUMPRODUCT(--ISNUMBER(SEARCH(","&amp;TRIM(TEXTSPLIT(AQ107,","))&amp;",",","&amp;SUBSTITUTE(input_audience," ","")&amp;",")))&gt;0)),IF(AS107="",TRUE,IF(input_audience="",FALSE,SUMPRODUCT(--ISNUMBER(SEARCH(","&amp;TRIM(TEXTSPLIT(AS107,","))&amp;",",","&amp;SUBSTITUTE(input_audience," ","")&amp;",")))=COUNTA(TEXTSPLIT(AS107,",")))),IF(AU107="",TRUE,IF(input_audience="",TRUE,SUMPRODUCT(--ISNUMBER(SEARCH(","&amp;TRIM(TEXTSPLIT(AU107,","))&amp;",",","&amp;SUBSTITUTE(input_audience," ","")&amp;",")))=0)),IF(AW107="",TRUE,IF(input_audience="",FALSE,SUMPRODUCT(--ISNUMBER(SEARCH(","&amp;TRIM(TEXTSPLIT(AW107,","))&amp;",",","&amp;SUBSTITUTE(input_audience," ","")&amp;",")))&gt;0)),IF(AY107="",TRUE,IF(input_audience="",FALSE,SUMPRODUCT(--ISNUMBER(SEARCH(","&amp;TRIM(TEXTSPLIT(AY107,","))&amp;",",","&amp;SUBSTITUTE(input_audience," ","")&amp;",")))=COUNTA(TEXTSPLIT(AY107,",")))))</f>
        <v/>
      </c>
      <c r="IX107" s="19">
        <f>AND(IF(BA107="",TRUE,IF(input_challenge_opportunities="",FALSE,SUMPRODUCT(--ISNUMBER(SEARCH(","&amp;TRIM(TEXTSPLIT(BA107,","))&amp;",",","&amp;SUBSTITUTE(input_challenge_opportunities," ","")&amp;",")))&gt;0)),IF(BC107="",TRUE,IF(input_challenge_opportunities="",FALSE,SUMPRODUCT(--ISNUMBER(SEARCH(","&amp;TRIM(TEXTSPLIT(BC107,","))&amp;",",","&amp;SUBSTITUTE(input_challenge_opportunities," ","")&amp;",")))=COUNTA(TEXTSPLIT(BC107,",")))),IF(BE107="",TRUE,IF(input_challenge_opportunities="",TRUE,SUMPRODUCT(--ISNUMBER(SEARCH(","&amp;TRIM(TEXTSPLIT(BE107,","))&amp;",",","&amp;SUBSTITUTE(input_challenge_opportunities," ","")&amp;",")))=0)),IF(BG107="",TRUE,IF(input_challenge_opportunities="",FALSE,SUMPRODUCT(--ISNUMBER(SEARCH(","&amp;TRIM(TEXTSPLIT(BG107,","))&amp;",",","&amp;SUBSTITUTE(input_challenge_opportunities," ","")&amp;",")))&gt;0)),IF(BI107="",TRUE,IF(input_challenge_opportunities="",FALSE,SUMPRODUCT(--ISNUMBER(SEARCH(","&amp;TRIM(TEXTSPLIT(BI107,","))&amp;",",","&amp;SUBSTITUTE(input_challenge_opportunities," ","")&amp;",")))=COUNTA(TEXTSPLIT(BI107,",")))))</f>
        <v/>
      </c>
      <c r="IY107" s="19">
        <f>AND(IF(BK107="",TRUE,IF(input_context="",FALSE,SUMPRODUCT(--ISNUMBER(SEARCH(","&amp;TRIM(TEXTSPLIT(BK107,","))&amp;",",","&amp;SUBSTITUTE(input_context," ","")&amp;",")))&gt;0)),IF(BM107="",TRUE,IF(input_context="",FALSE,SUMPRODUCT(--ISNUMBER(SEARCH(","&amp;TRIM(TEXTSPLIT(BM107,","))&amp;",",","&amp;SUBSTITUTE(input_context," ","")&amp;",")))=COUNTA(TEXTSPLIT(BM107,",")))),IF(BO107="",TRUE,IF(input_context="",TRUE,SUMPRODUCT(--ISNUMBER(SEARCH(","&amp;TRIM(TEXTSPLIT(BO107,","))&amp;",",","&amp;SUBSTITUTE(input_context," ","")&amp;",")))=0)),IF(BQ107="",TRUE,IF(input_context="",FALSE,SUMPRODUCT(--ISNUMBER(SEARCH(","&amp;TRIM(TEXTSPLIT(BQ107,","))&amp;",",","&amp;SUBSTITUTE(input_context," ","")&amp;",")))&gt;0)),IF(BS107="",TRUE,IF(input_context="",FALSE,SUMPRODUCT(--ISNUMBER(SEARCH(","&amp;TRIM(TEXTSPLIT(BS107,","))&amp;",",","&amp;SUBSTITUTE(input_context," ","")&amp;",")))=COUNTA(TEXTSPLIT(BS107,",")))))</f>
        <v/>
      </c>
      <c r="IZ107" s="19">
        <f>AND(IF(BU107="",TRUE,IF(input_enews_announcement_type="",FALSE,SUMPRODUCT(--ISNUMBER(SEARCH(","&amp;TRIM(TEXTSPLIT(BU107,","))&amp;",",","&amp;SUBSTITUTE(input_enews_announcement_type," ","")&amp;",")))&gt;0)),IF(BW107="",TRUE,IF(input_enews_announcement_type="",FALSE,SUMPRODUCT(--ISNUMBER(SEARCH(","&amp;TRIM(TEXTSPLIT(BW107,","))&amp;",",","&amp;SUBSTITUTE(input_enews_announcement_type," ","")&amp;",")))=COUNTA(TEXTSPLIT(BW107,",")))),IF(BY107="",TRUE,IF(input_enews_announcement_type="",TRUE,SUMPRODUCT(--ISNUMBER(SEARCH(","&amp;TRIM(TEXTSPLIT(BY107,","))&amp;",",","&amp;SUBSTITUTE(input_enews_announcement_type," ","")&amp;",")))=0)),IF(CA107="",TRUE,IF(input_enews_announcement_type="",FALSE,SUMPRODUCT(--ISNUMBER(SEARCH(","&amp;TRIM(TEXTSPLIT(CA107,","))&amp;",",","&amp;SUBSTITUTE(input_enews_announcement_type," ","")&amp;",")))&gt;0)),IF(CC107="",TRUE,IF(input_enews_announcement_type="",FALSE,SUMPRODUCT(--ISNUMBER(SEARCH(","&amp;TRIM(TEXTSPLIT(CC107,","))&amp;",",","&amp;SUBSTITUTE(input_enews_announcement_type," ","")&amp;",")))=COUNTA(TEXTSPLIT(CC107,",")))))</f>
        <v/>
      </c>
      <c r="JA107" s="19">
        <f>AND(IF(CE107="",TRUE,IF(input_enews_audience="",FALSE,SUMPRODUCT(--ISNUMBER(SEARCH(","&amp;TRIM(TEXTSPLIT(CE107,","))&amp;",",","&amp;SUBSTITUTE(input_enews_audience," ","")&amp;",")))&gt;0)),IF(CG107="",TRUE,IF(input_enews_audience="",FALSE,SUMPRODUCT(--ISNUMBER(SEARCH(","&amp;TRIM(TEXTSPLIT(CG107,","))&amp;",",","&amp;SUBSTITUTE(input_enews_audience," ","")&amp;",")))=COUNTA(TEXTSPLIT(CG107,",")))),IF(CI107="",TRUE,IF(input_enews_audience="",TRUE,SUMPRODUCT(--ISNUMBER(SEARCH(","&amp;TRIM(TEXTSPLIT(CI107,","))&amp;",",","&amp;SUBSTITUTE(input_enews_audience," ","")&amp;",")))=0)),IF(CK107="",TRUE,IF(input_enews_audience="",FALSE,SUMPRODUCT(--ISNUMBER(SEARCH(","&amp;TRIM(TEXTSPLIT(CK107,","))&amp;",",","&amp;SUBSTITUTE(input_enews_audience," ","")&amp;",")))&gt;0)),IF(CM107="",TRUE,IF(input_enews_audience="",FALSE,SUMPRODUCT(--ISNUMBER(SEARCH(","&amp;TRIM(TEXTSPLIT(CM107,","))&amp;",",","&amp;SUBSTITUTE(input_enews_audience," ","")&amp;",")))=COUNTA(TEXTSPLIT(CM107,",")))))</f>
        <v/>
      </c>
      <c r="JB107" s="19">
        <f>AND(IF(CO107="",TRUE,IF(input_event_location="",FALSE,SUMPRODUCT(--ISNUMBER(SEARCH(","&amp;TRIM(TEXTSPLIT(CO107,","))&amp;",",","&amp;SUBSTITUTE(input_event_location," ","")&amp;",")))&gt;0)),IF(CQ107="",TRUE,IF(input_event_location="",FALSE,SUMPRODUCT(--ISNUMBER(SEARCH(","&amp;TRIM(TEXTSPLIT(CQ107,","))&amp;",",","&amp;SUBSTITUTE(input_event_location," ","")&amp;",")))=COUNTA(TEXTSPLIT(CQ107,",")))),IF(CS107="",TRUE,IF(input_event_location="",TRUE,SUMPRODUCT(--ISNUMBER(SEARCH(","&amp;TRIM(TEXTSPLIT(CS107,","))&amp;",",","&amp;SUBSTITUTE(input_event_location," ","")&amp;",")))=0)),IF(CU107="",TRUE,IF(input_event_location="",FALSE,SUMPRODUCT(--ISNUMBER(SEARCH(","&amp;TRIM(TEXTSPLIT(CU107,","))&amp;",",","&amp;SUBSTITUTE(input_event_location," ","")&amp;",")))&gt;0)),IF(CW107="",TRUE,IF(input_event_location="",FALSE,SUMPRODUCT(--ISNUMBER(SEARCH(","&amp;TRIM(TEXTSPLIT(CW107,","))&amp;",",","&amp;SUBSTITUTE(input_event_location," ","")&amp;",")))=COUNTA(TEXTSPLIT(CW107,",")))))</f>
        <v/>
      </c>
      <c r="JC107" s="19">
        <f>AND(IF(CY107="",TRUE,IF(input_event_type="",FALSE,SUMPRODUCT(--ISNUMBER(SEARCH(","&amp;TRIM(TEXTSPLIT(CY107,","))&amp;",",","&amp;SUBSTITUTE(input_event_type," ","")&amp;",")))&gt;0)),IF(DA107="",TRUE,IF(input_event_type="",FALSE,SUMPRODUCT(--ISNUMBER(SEARCH(","&amp;TRIM(TEXTSPLIT(DA107,","))&amp;",",","&amp;SUBSTITUTE(input_event_type," ","")&amp;",")))=COUNTA(TEXTSPLIT(DA107,",")))),IF(DC107="",TRUE,IF(input_event_type="",TRUE,SUMPRODUCT(--ISNUMBER(SEARCH(","&amp;TRIM(TEXTSPLIT(DC107,","))&amp;",",","&amp;SUBSTITUTE(input_event_type," ","")&amp;",")))=0)),IF(DE107="",TRUE,IF(input_event_type="",FALSE,SUMPRODUCT(--ISNUMBER(SEARCH(","&amp;TRIM(TEXTSPLIT(DE107,","))&amp;",",","&amp;SUBSTITUTE(input_event_type," ","")&amp;",")))&gt;0)),IF(DG107="",TRUE,IF(input_event_type="",FALSE,SUMPRODUCT(--ISNUMBER(SEARCH(","&amp;TRIM(TEXTSPLIT(DG107,","))&amp;",",","&amp;SUBSTITUTE(input_event_type," ","")&amp;",")))=COUNTA(TEXTSPLIT(DG107,",")))))</f>
        <v/>
      </c>
      <c r="JD107" s="19">
        <f>AND(IF(DI107="",TRUE,IF(input_executive_education_focus="",FALSE,SUMPRODUCT(--ISNUMBER(SEARCH(","&amp;TRIM(TEXTSPLIT(DI107,","))&amp;",",","&amp;SUBSTITUTE(input_executive_education_focus," ","")&amp;",")))&gt;0)),IF(DK107="",TRUE,IF(input_executive_education_focus="",FALSE,SUMPRODUCT(--ISNUMBER(SEARCH(","&amp;TRIM(TEXTSPLIT(DK107,","))&amp;",",","&amp;SUBSTITUTE(input_executive_education_focus," ","")&amp;",")))=COUNTA(TEXTSPLIT(DK107,",")))),IF(DM107="",TRUE,IF(input_executive_education_focus="",TRUE,SUMPRODUCT(--ISNUMBER(SEARCH(","&amp;TRIM(TEXTSPLIT(DM107,","))&amp;",",","&amp;SUBSTITUTE(input_executive_education_focus," ","")&amp;",")))=0)),IF(DO107="",TRUE,IF(input_executive_education_focus="",FALSE,SUMPRODUCT(--ISNUMBER(SEARCH(","&amp;TRIM(TEXTSPLIT(DO107,","))&amp;",",","&amp;SUBSTITUTE(input_executive_education_focus," ","")&amp;",")))&gt;0)),IF(DQ107="",TRUE,IF(input_executive_education_focus="",FALSE,SUMPRODUCT(--ISNUMBER(SEARCH(","&amp;TRIM(TEXTSPLIT(DQ107,","))&amp;",",","&amp;SUBSTITUTE(input_executive_education_focus," ","")&amp;",")))=COUNTA(TEXTSPLIT(DQ107,",")))))</f>
        <v/>
      </c>
      <c r="JE107" s="19">
        <f>AND(IF(DS107="",TRUE,IF(input_faculty_category="",FALSE,SUMPRODUCT(--ISNUMBER(SEARCH(","&amp;TRIM(TEXTSPLIT(DS107,","))&amp;",",","&amp;SUBSTITUTE(input_faculty_category," ","")&amp;",")))&gt;0)),IF(DU107="",TRUE,IF(input_faculty_category="",FALSE,SUMPRODUCT(--ISNUMBER(SEARCH(","&amp;TRIM(TEXTSPLIT(DU107,","))&amp;",",","&amp;SUBSTITUTE(input_faculty_category," ","")&amp;",")))=COUNTA(TEXTSPLIT(DU107,",")))),IF(DW107="",TRUE,IF(input_faculty_category="",TRUE,SUMPRODUCT(--ISNUMBER(SEARCH(","&amp;TRIM(TEXTSPLIT(DW107,","))&amp;",",","&amp;SUBSTITUTE(input_faculty_category," ","")&amp;",")))=0)),IF(DY107="",TRUE,IF(input_faculty_category="",FALSE,SUMPRODUCT(--ISNUMBER(SEARCH(","&amp;TRIM(TEXTSPLIT(DY107,","))&amp;",",","&amp;SUBSTITUTE(input_faculty_category," ","")&amp;",")))&gt;0)),IF(EA107="",TRUE,IF(input_faculty_category="",FALSE,SUMPRODUCT(--ISNUMBER(SEARCH(","&amp;TRIM(TEXTSPLIT(EA107,","))&amp;",",","&amp;SUBSTITUTE(input_faculty_category," ","")&amp;",")))=COUNTA(TEXTSPLIT(EA107,",")))))</f>
        <v/>
      </c>
      <c r="JF107" s="19">
        <f>AND(IF(EC107="",TRUE,IF(input_faculty_discipline="",FALSE,SUMPRODUCT(--ISNUMBER(SEARCH(","&amp;TRIM(TEXTSPLIT(EC107,","))&amp;",",","&amp;SUBSTITUTE(input_faculty_discipline," ","")&amp;",")))&gt;0)),IF(EE107="",TRUE,IF(input_faculty_discipline="",FALSE,SUMPRODUCT(--ISNUMBER(SEARCH(","&amp;TRIM(TEXTSPLIT(EE107,","))&amp;",",","&amp;SUBSTITUTE(input_faculty_discipline," ","")&amp;",")))=COUNTA(TEXTSPLIT(EE107,",")))),IF(EG107="",TRUE,IF(input_faculty_discipline="",TRUE,SUMPRODUCT(--ISNUMBER(SEARCH(","&amp;TRIM(TEXTSPLIT(EG107,","))&amp;",",","&amp;SUBSTITUTE(input_faculty_discipline," ","")&amp;",")))=0)),IF(EI107="",TRUE,IF(input_faculty_discipline="",FALSE,SUMPRODUCT(--ISNUMBER(SEARCH(","&amp;TRIM(TEXTSPLIT(EI107,","))&amp;",",","&amp;SUBSTITUTE(input_faculty_discipline," ","")&amp;",")))&gt;0)),IF(EK107="",TRUE,IF(input_faculty_discipline="",FALSE,SUMPRODUCT(--ISNUMBER(SEARCH(","&amp;TRIM(TEXTSPLIT(EK107,","))&amp;",",","&amp;SUBSTITUTE(input_faculty_discipline," ","")&amp;",")))=COUNTA(TEXTSPLIT(EK107,",")))))</f>
        <v/>
      </c>
      <c r="JG107" s="19">
        <f>AND(IF(EM107="",TRUE,IF(input_faculty_expertise="",FALSE,SUMPRODUCT(--ISNUMBER(SEARCH(","&amp;TRIM(TEXTSPLIT(EM107,","))&amp;",",","&amp;SUBSTITUTE(input_faculty_expertise," ","")&amp;",")))&gt;0)),IF(EO107="",TRUE,IF(input_faculty_expertise="",FALSE,SUMPRODUCT(--ISNUMBER(SEARCH(","&amp;TRIM(TEXTSPLIT(EO107,","))&amp;",",","&amp;SUBSTITUTE(input_faculty_expertise," ","")&amp;",")))=COUNTA(TEXTSPLIT(EO107,",")))),IF(EQ107="",TRUE,IF(input_faculty_expertise="",TRUE,SUMPRODUCT(--ISNUMBER(SEARCH(","&amp;TRIM(TEXTSPLIT(EQ107,","))&amp;",",","&amp;SUBSTITUTE(input_faculty_expertise," ","")&amp;",")))=0)),IF(ES107="",TRUE,IF(input_faculty_expertise="",FALSE,SUMPRODUCT(--ISNUMBER(SEARCH(","&amp;TRIM(TEXTSPLIT(ES107,","))&amp;",",","&amp;SUBSTITUTE(input_faculty_expertise," ","")&amp;",")))&gt;0)),IF(EU107="",TRUE,IF(input_faculty_expertise="",FALSE,SUMPRODUCT(--ISNUMBER(SEARCH(","&amp;TRIM(TEXTSPLIT(EU107,","))&amp;",",","&amp;SUBSTITUTE(input_faculty_expertise," ","")&amp;",")))=COUNTA(TEXTSPLIT(EU107,",")))))</f>
        <v/>
      </c>
      <c r="JH107" s="19">
        <f>AND(IF(EW107="",TRUE,IF(input_global_network_school="",FALSE,SUMPRODUCT(--ISNUMBER(SEARCH(","&amp;TRIM(TEXTSPLIT(EW107,","))&amp;",",","&amp;SUBSTITUTE(input_global_network_school," ","")&amp;",")))&gt;0)),IF(EY107="",TRUE,IF(input_global_network_school="",FALSE,SUMPRODUCT(--ISNUMBER(SEARCH(","&amp;TRIM(TEXTSPLIT(EY107,","))&amp;",",","&amp;SUBSTITUTE(input_global_network_school," ","")&amp;",")))=COUNTA(TEXTSPLIT(EY107,",")))),IF(FA107="",TRUE,IF(input_global_network_school="",TRUE,SUMPRODUCT(--ISNUMBER(SEARCH(","&amp;TRIM(TEXTSPLIT(FA107,","))&amp;",",","&amp;SUBSTITUTE(input_global_network_school," ","")&amp;",")))=0)),IF(FC107="",TRUE,IF(input_global_network_school="",FALSE,SUMPRODUCT(--ISNUMBER(SEARCH(","&amp;TRIM(TEXTSPLIT(FC107,","))&amp;",",","&amp;SUBSTITUTE(input_global_network_school," ","")&amp;",")))&gt;0)),IF(FE107="",TRUE,IF(input_global_network_school="",FALSE,SUMPRODUCT(--ISNUMBER(SEARCH(","&amp;TRIM(TEXTSPLIT(FE107,","))&amp;",",","&amp;SUBSTITUTE(input_global_network_school," ","")&amp;",")))=COUNTA(TEXTSPLIT(FE107,",")))))</f>
        <v/>
      </c>
      <c r="JI107" s="19">
        <f>AND(IF(FG107="",TRUE,IF(input_industry="",FALSE,SUMPRODUCT(--ISNUMBER(SEARCH(","&amp;TRIM(TEXTSPLIT(FG107,","))&amp;",",","&amp;SUBSTITUTE(input_industry," ","")&amp;",")))&gt;0)),IF(FI107="",TRUE,IF(input_industry="",FALSE,SUMPRODUCT(--ISNUMBER(SEARCH(","&amp;TRIM(TEXTSPLIT(FI107,","))&amp;",",","&amp;SUBSTITUTE(input_industry," ","")&amp;",")))=COUNTA(TEXTSPLIT(FI107,",")))),IF(FK107="",TRUE,IF(input_industry="",TRUE,SUMPRODUCT(--ISNUMBER(SEARCH(","&amp;TRIM(TEXTSPLIT(FK107,","))&amp;",",","&amp;SUBSTITUTE(input_industry," ","")&amp;",")))=0)),IF(FM107="",TRUE,IF(input_industry="",FALSE,SUMPRODUCT(--ISNUMBER(SEARCH(","&amp;TRIM(TEXTSPLIT(FM107,","))&amp;",",","&amp;SUBSTITUTE(input_industry," ","")&amp;",")))&gt;0)),IF(FO107="",TRUE,IF(input_industry="",FALSE,SUMPRODUCT(--ISNUMBER(SEARCH(","&amp;TRIM(TEXTSPLIT(FO107,","))&amp;",",","&amp;SUBSTITUTE(input_industry," ","")&amp;",")))=COUNTA(TEXTSPLIT(FO107,",")))))</f>
        <v/>
      </c>
      <c r="JJ107" s="19">
        <f>AND(IF(FQ107="",TRUE,IF(input_location="",FALSE,SUMPRODUCT(--ISNUMBER(SEARCH(","&amp;TRIM(TEXTSPLIT(FQ107,","))&amp;",",","&amp;SUBSTITUTE(input_location," ","")&amp;",")))&gt;0)),IF(FS107="",TRUE,IF(input_location="",FALSE,SUMPRODUCT(--ISNUMBER(SEARCH(","&amp;TRIM(TEXTSPLIT(FS107,","))&amp;",",","&amp;SUBSTITUTE(input_location," ","")&amp;",")))=COUNTA(TEXTSPLIT(FS107,",")))),IF(FU107="",TRUE,IF(input_location="",TRUE,SUMPRODUCT(--ISNUMBER(SEARCH(","&amp;TRIM(TEXTSPLIT(FU107,","))&amp;",",","&amp;SUBSTITUTE(input_location," ","")&amp;",")))=0)),IF(FW107="",TRUE,IF(input_location="",FALSE,SUMPRODUCT(--ISNUMBER(SEARCH(","&amp;TRIM(TEXTSPLIT(FW107,","))&amp;",",","&amp;SUBSTITUTE(input_location," ","")&amp;",")))&gt;0)),IF(FY107="",TRUE,IF(input_location="",FALSE,SUMPRODUCT(--ISNUMBER(SEARCH(","&amp;TRIM(TEXTSPLIT(FY107,","))&amp;",",","&amp;SUBSTITUTE(input_location," ","")&amp;",")))=COUNTA(TEXTSPLIT(FY107,",")))))</f>
        <v/>
      </c>
      <c r="JK107" s="19">
        <f>AND(IF(GA107="",TRUE,IF(input_modality="",FALSE,SUMPRODUCT(--ISNUMBER(SEARCH(","&amp;TRIM(TEXTSPLIT(GA107,","))&amp;",",","&amp;SUBSTITUTE(input_modality," ","")&amp;",")))&gt;0)),IF(GC107="",TRUE,IF(input_modality="",FALSE,SUMPRODUCT(--ISNUMBER(SEARCH(","&amp;TRIM(TEXTSPLIT(GC107,","))&amp;",",","&amp;SUBSTITUTE(input_modality," ","")&amp;",")))=COUNTA(TEXTSPLIT(GC107,",")))),IF(GE107="",TRUE,IF(input_modality="",TRUE,SUMPRODUCT(--ISNUMBER(SEARCH(","&amp;TRIM(TEXTSPLIT(GE107,","))&amp;",",","&amp;SUBSTITUTE(input_modality," ","")&amp;",")))=0)),IF(GG107="",TRUE,IF(input_modality="",FALSE,SUMPRODUCT(--ISNUMBER(SEARCH(","&amp;TRIM(TEXTSPLIT(GG107,","))&amp;",",","&amp;SUBSTITUTE(input_modality," ","")&amp;",")))&gt;0)),IF(GI107="",TRUE,IF(input_modality="",FALSE,SUMPRODUCT(--ISNUMBER(SEARCH(","&amp;TRIM(TEXTSPLIT(GI107,","))&amp;",",","&amp;SUBSTITUTE(input_modality," ","")&amp;",")))=COUNTA(TEXTSPLIT(GI107,",")))))</f>
        <v/>
      </c>
      <c r="JL107" s="19">
        <f>AND(IF(GK107="",TRUE,IF(input_organizer="",FALSE,SUMPRODUCT(--ISNUMBER(SEARCH(","&amp;TRIM(TEXTSPLIT(GK107,","))&amp;",",","&amp;SUBSTITUTE(input_organizer," ","")&amp;",")))&gt;0)),IF(GM107="",TRUE,IF(input_organizer="",FALSE,SUMPRODUCT(--ISNUMBER(SEARCH(","&amp;TRIM(TEXTSPLIT(GM107,","))&amp;",",","&amp;SUBSTITUTE(input_organizer," ","")&amp;",")))=COUNTA(TEXTSPLIT(GM107,",")))),IF(GO107="",TRUE,IF(input_organizer="",TRUE,SUMPRODUCT(--ISNUMBER(SEARCH(","&amp;TRIM(TEXTSPLIT(GO107,","))&amp;",",","&amp;SUBSTITUTE(input_organizer," ","")&amp;",")))=0)),IF(GQ107="",TRUE,IF(input_organizer="",FALSE,SUMPRODUCT(--ISNUMBER(SEARCH(","&amp;TRIM(TEXTSPLIT(GQ107,","))&amp;",",","&amp;SUBSTITUTE(input_organizer," ","")&amp;",")))&gt;0)),IF(GS107="",TRUE,IF(input_organizer="",FALSE,SUMPRODUCT(--ISNUMBER(SEARCH(","&amp;TRIM(TEXTSPLIT(GS107,","))&amp;",",","&amp;SUBSTITUTE(input_organizer," ","")&amp;",")))=COUNTA(TEXTSPLIT(GS107,",")))))</f>
        <v/>
      </c>
      <c r="JM107" s="19">
        <f>AND(IF(GU107="",TRUE,IF(input_profile_type="",FALSE,SUMPRODUCT(--ISNUMBER(SEARCH(","&amp;TRIM(TEXTSPLIT(GU107,","))&amp;",",","&amp;SUBSTITUTE(input_profile_type," ","")&amp;",")))&gt;0)),IF(GW107="",TRUE,IF(input_profile_type="",FALSE,SUMPRODUCT(--ISNUMBER(SEARCH(","&amp;TRIM(TEXTSPLIT(GW107,","))&amp;",",","&amp;SUBSTITUTE(input_profile_type," ","")&amp;",")))=COUNTA(TEXTSPLIT(GW107,",")))),IF(GY107="",TRUE,IF(input_profile_type="",TRUE,SUMPRODUCT(--ISNUMBER(SEARCH(","&amp;TRIM(TEXTSPLIT(GY107,","))&amp;",",","&amp;SUBSTITUTE(input_profile_type," ","")&amp;",")))=0)),IF(HA107="",TRUE,IF(input_profile_type="",FALSE,SUMPRODUCT(--ISNUMBER(SEARCH(","&amp;TRIM(TEXTSPLIT(HA107,","))&amp;",",","&amp;SUBSTITUTE(input_profile_type," ","")&amp;",")))&gt;0)),IF(HC107="",TRUE,IF(input_profile_type="",FALSE,SUMPRODUCT(--ISNUMBER(SEARCH(","&amp;TRIM(TEXTSPLIT(HC107,","))&amp;",",","&amp;SUBSTITUTE(input_profile_type," ","")&amp;",")))=COUNTA(TEXTSPLIT(HC107,",")))))</f>
        <v/>
      </c>
      <c r="JN107" s="19">
        <f>AND(IF(HE107="",TRUE,IF(input_program="",FALSE,SUMPRODUCT(--ISNUMBER(SEARCH(","&amp;TRIM(TEXTSPLIT(HE107,","))&amp;",",","&amp;SUBSTITUTE(input_program," ","")&amp;",")))&gt;0)),IF(HG107="",TRUE,IF(input_program="",FALSE,SUMPRODUCT(--ISNUMBER(SEARCH(","&amp;TRIM(TEXTSPLIT(HG107,","))&amp;",",","&amp;SUBSTITUTE(input_program," ","")&amp;",")))=COUNTA(TEXTSPLIT(HG107,",")))),IF(HI107="",TRUE,IF(input_program="",TRUE,SUMPRODUCT(--ISNUMBER(SEARCH(","&amp;TRIM(TEXTSPLIT(HI107,","))&amp;",",","&amp;SUBSTITUTE(input_program," ","")&amp;",")))=0)),IF(HK107="",TRUE,IF(input_program="",FALSE,SUMPRODUCT(--ISNUMBER(SEARCH(","&amp;TRIM(TEXTSPLIT(HK107,","))&amp;",",","&amp;SUBSTITUTE(input_program," ","")&amp;",")))&gt;0)),IF(HM107="",TRUE,IF(input_program="",FALSE,SUMPRODUCT(--ISNUMBER(SEARCH(","&amp;TRIM(TEXTSPLIT(HM107,","))&amp;",",","&amp;SUBSTITUTE(input_program," ","")&amp;",")))=COUNTA(TEXTSPLIT(HM107,",")))))</f>
        <v/>
      </c>
      <c r="JO107" s="19">
        <f>AND(IF(HO107="",TRUE,IF(input_story_categories="",FALSE,SUMPRODUCT(--ISNUMBER(SEARCH(","&amp;TRIM(TEXTSPLIT(HO107,","))&amp;",",","&amp;SUBSTITUTE(input_story_categories," ","")&amp;",")))&gt;0)),IF(HQ107="",TRUE,IF(input_story_categories="",FALSE,SUMPRODUCT(--ISNUMBER(SEARCH(","&amp;TRIM(TEXTSPLIT(HQ107,","))&amp;",",","&amp;SUBSTITUTE(input_story_categories," ","")&amp;",")))=COUNTA(TEXTSPLIT(HQ107,",")))),IF(HS107="",TRUE,IF(input_story_categories="",TRUE,SUMPRODUCT(--ISNUMBER(SEARCH(","&amp;TRIM(TEXTSPLIT(HS107,","))&amp;",",","&amp;SUBSTITUTE(input_story_categories," ","")&amp;",")))=0)),IF(HU107="",TRUE,IF(input_story_categories="",FALSE,SUMPRODUCT(--ISNUMBER(SEARCH(","&amp;TRIM(TEXTSPLIT(HU107,","))&amp;",",","&amp;SUBSTITUTE(input_story_categories," ","")&amp;",")))&gt;0)),IF(HW107="",TRUE,IF(input_story_categories="",FALSE,SUMPRODUCT(--ISNUMBER(SEARCH(","&amp;TRIM(TEXTSPLIT(HW107,","))&amp;",",","&amp;SUBSTITUTE(input_story_categories," ","")&amp;",")))=COUNTA(TEXTSPLIT(HW107,",")))))</f>
        <v/>
      </c>
      <c r="JP107" s="19">
        <f>AND(IF(HY107="",TRUE,IF(input_story_type="",FALSE,SUMPRODUCT(--ISNUMBER(SEARCH(","&amp;TRIM(TEXTSPLIT(HY107,","))&amp;",",","&amp;SUBSTITUTE(input_story_type," ","")&amp;",")))&gt;0)),IF(IA107="",TRUE,IF(input_story_type="",FALSE,SUMPRODUCT(--ISNUMBER(SEARCH(","&amp;TRIM(TEXTSPLIT(IA107,","))&amp;",",","&amp;SUBSTITUTE(input_story_type," ","")&amp;",")))=COUNTA(TEXTSPLIT(IA107,",")))),IF(IC107="",TRUE,IF(input_story_type="",TRUE,SUMPRODUCT(--ISNUMBER(SEARCH(","&amp;TRIM(TEXTSPLIT(IC107,","))&amp;",",","&amp;SUBSTITUTE(input_story_type," ","")&amp;",")))=0)),IF(IE107="",TRUE,IF(input_story_type="",FALSE,SUMPRODUCT(--ISNUMBER(SEARCH(","&amp;TRIM(TEXTSPLIT(IE107,","))&amp;",",","&amp;SUBSTITUTE(input_story_type," ","")&amp;",")))&gt;0)),IF(IG107="",TRUE,IF(input_story_type="",FALSE,SUMPRODUCT(--ISNUMBER(SEARCH(","&amp;TRIM(TEXTSPLIT(IG107,","))&amp;",",","&amp;SUBSTITUTE(input_story_type," ","")&amp;",")))=COUNTA(TEXTSPLIT(IG107,",")))))</f>
        <v/>
      </c>
      <c r="JQ107" s="19">
        <f>AND(IF(II107="",TRUE,IF(input_topics="",FALSE,SUMPRODUCT(--ISNUMBER(SEARCH(","&amp;TRIM(TEXTSPLIT(II107,","))&amp;",",","&amp;SUBSTITUTE(input_topics," ","")&amp;",")))&gt;0)),IF(IK107="",TRUE,IF(input_topics="",FALSE,SUMPRODUCT(--ISNUMBER(SEARCH(","&amp;TRIM(TEXTSPLIT(IK107,","))&amp;",",","&amp;SUBSTITUTE(input_topics," ","")&amp;",")))=COUNTA(TEXTSPLIT(IK107,",")))),IF(IM107="",TRUE,IF(input_topics="",TRUE,SUMPRODUCT(--ISNUMBER(SEARCH(","&amp;TRIM(TEXTSPLIT(IM107,","))&amp;",",","&amp;SUBSTITUTE(input_topics," ","")&amp;",")))=0)),IF(IO107="",TRUE,IF(input_topics="",FALSE,SUMPRODUCT(--ISNUMBER(SEARCH(","&amp;TRIM(TEXTSPLIT(IO107,","))&amp;",",","&amp;SUBSTITUTE(input_topics," ","")&amp;",")))&gt;0)),IF(IQ107="",TRUE,IF(input_topics="",FALSE,SUMPRODUCT(--ISNUMBER(SEARCH(","&amp;TRIM(TEXTSPLIT(IQ107,","))&amp;",",","&amp;SUBSTITUTE(input_topics," ","")&amp;",")))=COUNTA(TEXTSPLIT(IQ107,",")))))</f>
        <v/>
      </c>
    </row>
    <row r="108">
      <c r="A108" s="24">
        <f>IF(NOT(IS108),"Excluded",IF(AND(IT108,IU108,IV108,IW108,IX108,IY108,IZ108,JA108,JB108,JC108,JD108,JE108,JF108,JG108,JH108,JI108,JJ108,JK108,JL108,JM108,JN108,JO108,JP108,JQ108),IF(I108&gt;0,"Eligible but limited","Will appear"),"Excluded"))</f>
        <v/>
      </c>
      <c r="B108" s="24" t="inlineStr">
        <is>
          <t>Events</t>
        </is>
      </c>
      <c r="C108" s="27" t="inlineStr">
        <is>
          <t>/programs/mba/admissions</t>
        </is>
      </c>
      <c r="D108" s="24" t="inlineStr">
        <is>
          <t>/programs/mba/admissions</t>
        </is>
      </c>
      <c r="E108" s="24" t="n">
        <v>1</v>
      </c>
      <c r="F108" s="24" t="inlineStr">
        <is>
          <t>event</t>
        </is>
      </c>
      <c r="G108" s="24" t="inlineStr">
        <is>
          <t>event_teaser_list</t>
        </is>
      </c>
      <c r="H108" s="24" t="inlineStr">
        <is>
          <t>embed_1</t>
        </is>
      </c>
      <c r="I108" s="24" t="n">
        <v>3</v>
      </c>
      <c r="J108" s="29" t="inlineStr">
        <is>
          <t>Section inferred</t>
        </is>
      </c>
      <c r="K108" s="24" t="inlineStr">
        <is>
          <t>Page placement</t>
        </is>
      </c>
      <c r="L108" s="24" t="inlineStr">
        <is>
          <t>Content type: event; Context uses Courses Context: MBA (92); Limited to 3 item(s); Source: Section inferred</t>
        </is>
      </c>
      <c r="BQ108" s="19" t="inlineStr">
        <is>
          <t>92</t>
        </is>
      </c>
      <c r="BR108" s="19" t="inlineStr">
        <is>
          <t>MBA (92)</t>
        </is>
      </c>
      <c r="IS108" s="19">
        <f>IF(input_content_type="",FALSE,ISNUMBER(SEARCH(","&amp;LOWER(input_content_type)&amp;",",","&amp;LOWER(SUBSTITUTE(F108," ",""))&amp;",")))</f>
        <v/>
      </c>
      <c r="IT108" s="19">
        <f>AND(IF(M108="",TRUE,IF(input_affiliations="",FALSE,SUMPRODUCT(--ISNUMBER(SEARCH(","&amp;TRIM(TEXTSPLIT(M108,","))&amp;",",","&amp;SUBSTITUTE(input_affiliations," ","")&amp;",")))&gt;0)),IF(O108="",TRUE,IF(input_affiliations="",FALSE,SUMPRODUCT(--ISNUMBER(SEARCH(","&amp;TRIM(TEXTSPLIT(O108,","))&amp;",",","&amp;SUBSTITUTE(input_affiliations," ","")&amp;",")))=COUNTA(TEXTSPLIT(O108,",")))),IF(Q108="",TRUE,IF(input_affiliations="",TRUE,SUMPRODUCT(--ISNUMBER(SEARCH(","&amp;TRIM(TEXTSPLIT(Q108,","))&amp;",",","&amp;SUBSTITUTE(input_affiliations," ","")&amp;",")))=0)),IF(S108="",TRUE,IF(input_affiliations="",FALSE,SUMPRODUCT(--ISNUMBER(SEARCH(","&amp;TRIM(TEXTSPLIT(S108,","))&amp;",",","&amp;SUBSTITUTE(input_affiliations," ","")&amp;",")))&gt;0)),IF(U108="",TRUE,IF(input_affiliations="",FALSE,SUMPRODUCT(--ISNUMBER(SEARCH(","&amp;TRIM(TEXTSPLIT(U108,","))&amp;",",","&amp;SUBSTITUTE(input_affiliations," ","")&amp;",")))=COUNTA(TEXTSPLIT(U108,",")))))</f>
        <v/>
      </c>
      <c r="IU108" s="19">
        <f>AND(IF(W108="",TRUE,IF(input_announcement_category="",FALSE,SUMPRODUCT(--ISNUMBER(SEARCH(","&amp;TRIM(TEXTSPLIT(W108,","))&amp;",",","&amp;SUBSTITUTE(input_announcement_category," ","")&amp;",")))&gt;0)),IF(Y108="",TRUE,IF(input_announcement_category="",FALSE,SUMPRODUCT(--ISNUMBER(SEARCH(","&amp;TRIM(TEXTSPLIT(Y108,","))&amp;",",","&amp;SUBSTITUTE(input_announcement_category," ","")&amp;",")))=COUNTA(TEXTSPLIT(Y108,",")))),IF(AA108="",TRUE,IF(input_announcement_category="",TRUE,SUMPRODUCT(--ISNUMBER(SEARCH(","&amp;TRIM(TEXTSPLIT(AA108,","))&amp;",",","&amp;SUBSTITUTE(input_announcement_category," ","")&amp;",")))=0)),IF(AC108="",TRUE,IF(input_announcement_category="",FALSE,SUMPRODUCT(--ISNUMBER(SEARCH(","&amp;TRIM(TEXTSPLIT(AC108,","))&amp;",",","&amp;SUBSTITUTE(input_announcement_category," ","")&amp;",")))&gt;0)),IF(AE108="",TRUE,IF(input_announcement_category="",FALSE,SUMPRODUCT(--ISNUMBER(SEARCH(","&amp;TRIM(TEXTSPLIT(AE108,","))&amp;",",","&amp;SUBSTITUTE(input_announcement_category," ","")&amp;",")))=COUNTA(TEXTSPLIT(AE108,",")))))</f>
        <v/>
      </c>
      <c r="IV108" s="19">
        <f>AND(IF(AG108="",TRUE,IF(input_area_of_focus="",FALSE,SUMPRODUCT(--ISNUMBER(SEARCH(","&amp;TRIM(TEXTSPLIT(AG108,","))&amp;",",","&amp;SUBSTITUTE(input_area_of_focus," ","")&amp;",")))&gt;0)),IF(AI108="",TRUE,IF(input_area_of_focus="",FALSE,SUMPRODUCT(--ISNUMBER(SEARCH(","&amp;TRIM(TEXTSPLIT(AI108,","))&amp;",",","&amp;SUBSTITUTE(input_area_of_focus," ","")&amp;",")))=COUNTA(TEXTSPLIT(AI108,",")))),IF(AK108="",TRUE,IF(input_area_of_focus="",TRUE,SUMPRODUCT(--ISNUMBER(SEARCH(","&amp;TRIM(TEXTSPLIT(AK108,","))&amp;",",","&amp;SUBSTITUTE(input_area_of_focus," ","")&amp;",")))=0)),IF(AM108="",TRUE,IF(input_area_of_focus="",FALSE,SUMPRODUCT(--ISNUMBER(SEARCH(","&amp;TRIM(TEXTSPLIT(AM108,","))&amp;",",","&amp;SUBSTITUTE(input_area_of_focus," ","")&amp;",")))&gt;0)),IF(AO108="",TRUE,IF(input_area_of_focus="",FALSE,SUMPRODUCT(--ISNUMBER(SEARCH(","&amp;TRIM(TEXTSPLIT(AO108,","))&amp;",",","&amp;SUBSTITUTE(input_area_of_focus," ","")&amp;",")))=COUNTA(TEXTSPLIT(AO108,",")))))</f>
        <v/>
      </c>
      <c r="IW108" s="19">
        <f>AND(IF(AQ108="",TRUE,IF(input_audience="",FALSE,SUMPRODUCT(--ISNUMBER(SEARCH(","&amp;TRIM(TEXTSPLIT(AQ108,","))&amp;",",","&amp;SUBSTITUTE(input_audience," ","")&amp;",")))&gt;0)),IF(AS108="",TRUE,IF(input_audience="",FALSE,SUMPRODUCT(--ISNUMBER(SEARCH(","&amp;TRIM(TEXTSPLIT(AS108,","))&amp;",",","&amp;SUBSTITUTE(input_audience," ","")&amp;",")))=COUNTA(TEXTSPLIT(AS108,",")))),IF(AU108="",TRUE,IF(input_audience="",TRUE,SUMPRODUCT(--ISNUMBER(SEARCH(","&amp;TRIM(TEXTSPLIT(AU108,","))&amp;",",","&amp;SUBSTITUTE(input_audience," ","")&amp;",")))=0)),IF(AW108="",TRUE,IF(input_audience="",FALSE,SUMPRODUCT(--ISNUMBER(SEARCH(","&amp;TRIM(TEXTSPLIT(AW108,","))&amp;",",","&amp;SUBSTITUTE(input_audience," ","")&amp;",")))&gt;0)),IF(AY108="",TRUE,IF(input_audience="",FALSE,SUMPRODUCT(--ISNUMBER(SEARCH(","&amp;TRIM(TEXTSPLIT(AY108,","))&amp;",",","&amp;SUBSTITUTE(input_audience," ","")&amp;",")))=COUNTA(TEXTSPLIT(AY108,",")))))</f>
        <v/>
      </c>
      <c r="IX108" s="19">
        <f>AND(IF(BA108="",TRUE,IF(input_challenge_opportunities="",FALSE,SUMPRODUCT(--ISNUMBER(SEARCH(","&amp;TRIM(TEXTSPLIT(BA108,","))&amp;",",","&amp;SUBSTITUTE(input_challenge_opportunities," ","")&amp;",")))&gt;0)),IF(BC108="",TRUE,IF(input_challenge_opportunities="",FALSE,SUMPRODUCT(--ISNUMBER(SEARCH(","&amp;TRIM(TEXTSPLIT(BC108,","))&amp;",",","&amp;SUBSTITUTE(input_challenge_opportunities," ","")&amp;",")))=COUNTA(TEXTSPLIT(BC108,",")))),IF(BE108="",TRUE,IF(input_challenge_opportunities="",TRUE,SUMPRODUCT(--ISNUMBER(SEARCH(","&amp;TRIM(TEXTSPLIT(BE108,","))&amp;",",","&amp;SUBSTITUTE(input_challenge_opportunities," ","")&amp;",")))=0)),IF(BG108="",TRUE,IF(input_challenge_opportunities="",FALSE,SUMPRODUCT(--ISNUMBER(SEARCH(","&amp;TRIM(TEXTSPLIT(BG108,","))&amp;",",","&amp;SUBSTITUTE(input_challenge_opportunities," ","")&amp;",")))&gt;0)),IF(BI108="",TRUE,IF(input_challenge_opportunities="",FALSE,SUMPRODUCT(--ISNUMBER(SEARCH(","&amp;TRIM(TEXTSPLIT(BI108,","))&amp;",",","&amp;SUBSTITUTE(input_challenge_opportunities," ","")&amp;",")))=COUNTA(TEXTSPLIT(BI108,",")))))</f>
        <v/>
      </c>
      <c r="IY108" s="19">
        <f>AND(IF(BK108="",TRUE,IF(input_context="",FALSE,SUMPRODUCT(--ISNUMBER(SEARCH(","&amp;TRIM(TEXTSPLIT(BK108,","))&amp;",",","&amp;SUBSTITUTE(input_context," ","")&amp;",")))&gt;0)),IF(BM108="",TRUE,IF(input_context="",FALSE,SUMPRODUCT(--ISNUMBER(SEARCH(","&amp;TRIM(TEXTSPLIT(BM108,","))&amp;",",","&amp;SUBSTITUTE(input_context," ","")&amp;",")))=COUNTA(TEXTSPLIT(BM108,",")))),IF(BO108="",TRUE,IF(input_context="",TRUE,SUMPRODUCT(--ISNUMBER(SEARCH(","&amp;TRIM(TEXTSPLIT(BO108,","))&amp;",",","&amp;SUBSTITUTE(input_context," ","")&amp;",")))=0)),IF(BQ108="",TRUE,IF(input_context="",FALSE,SUMPRODUCT(--ISNUMBER(SEARCH(","&amp;TRIM(TEXTSPLIT(BQ108,","))&amp;",",","&amp;SUBSTITUTE(input_context," ","")&amp;",")))&gt;0)),IF(BS108="",TRUE,IF(input_context="",FALSE,SUMPRODUCT(--ISNUMBER(SEARCH(","&amp;TRIM(TEXTSPLIT(BS108,","))&amp;",",","&amp;SUBSTITUTE(input_context," ","")&amp;",")))=COUNTA(TEXTSPLIT(BS108,",")))))</f>
        <v/>
      </c>
      <c r="IZ108" s="19">
        <f>AND(IF(BU108="",TRUE,IF(input_enews_announcement_type="",FALSE,SUMPRODUCT(--ISNUMBER(SEARCH(","&amp;TRIM(TEXTSPLIT(BU108,","))&amp;",",","&amp;SUBSTITUTE(input_enews_announcement_type," ","")&amp;",")))&gt;0)),IF(BW108="",TRUE,IF(input_enews_announcement_type="",FALSE,SUMPRODUCT(--ISNUMBER(SEARCH(","&amp;TRIM(TEXTSPLIT(BW108,","))&amp;",",","&amp;SUBSTITUTE(input_enews_announcement_type," ","")&amp;",")))=COUNTA(TEXTSPLIT(BW108,",")))),IF(BY108="",TRUE,IF(input_enews_announcement_type="",TRUE,SUMPRODUCT(--ISNUMBER(SEARCH(","&amp;TRIM(TEXTSPLIT(BY108,","))&amp;",",","&amp;SUBSTITUTE(input_enews_announcement_type," ","")&amp;",")))=0)),IF(CA108="",TRUE,IF(input_enews_announcement_type="",FALSE,SUMPRODUCT(--ISNUMBER(SEARCH(","&amp;TRIM(TEXTSPLIT(CA108,","))&amp;",",","&amp;SUBSTITUTE(input_enews_announcement_type," ","")&amp;",")))&gt;0)),IF(CC108="",TRUE,IF(input_enews_announcement_type="",FALSE,SUMPRODUCT(--ISNUMBER(SEARCH(","&amp;TRIM(TEXTSPLIT(CC108,","))&amp;",",","&amp;SUBSTITUTE(input_enews_announcement_type," ","")&amp;",")))=COUNTA(TEXTSPLIT(CC108,",")))))</f>
        <v/>
      </c>
      <c r="JA108" s="19">
        <f>AND(IF(CE108="",TRUE,IF(input_enews_audience="",FALSE,SUMPRODUCT(--ISNUMBER(SEARCH(","&amp;TRIM(TEXTSPLIT(CE108,","))&amp;",",","&amp;SUBSTITUTE(input_enews_audience," ","")&amp;",")))&gt;0)),IF(CG108="",TRUE,IF(input_enews_audience="",FALSE,SUMPRODUCT(--ISNUMBER(SEARCH(","&amp;TRIM(TEXTSPLIT(CG108,","))&amp;",",","&amp;SUBSTITUTE(input_enews_audience," ","")&amp;",")))=COUNTA(TEXTSPLIT(CG108,",")))),IF(CI108="",TRUE,IF(input_enews_audience="",TRUE,SUMPRODUCT(--ISNUMBER(SEARCH(","&amp;TRIM(TEXTSPLIT(CI108,","))&amp;",",","&amp;SUBSTITUTE(input_enews_audience," ","")&amp;",")))=0)),IF(CK108="",TRUE,IF(input_enews_audience="",FALSE,SUMPRODUCT(--ISNUMBER(SEARCH(","&amp;TRIM(TEXTSPLIT(CK108,","))&amp;",",","&amp;SUBSTITUTE(input_enews_audience," ","")&amp;",")))&gt;0)),IF(CM108="",TRUE,IF(input_enews_audience="",FALSE,SUMPRODUCT(--ISNUMBER(SEARCH(","&amp;TRIM(TEXTSPLIT(CM108,","))&amp;",",","&amp;SUBSTITUTE(input_enews_audience," ","")&amp;",")))=COUNTA(TEXTSPLIT(CM108,",")))))</f>
        <v/>
      </c>
      <c r="JB108" s="19">
        <f>AND(IF(CO108="",TRUE,IF(input_event_location="",FALSE,SUMPRODUCT(--ISNUMBER(SEARCH(","&amp;TRIM(TEXTSPLIT(CO108,","))&amp;",",","&amp;SUBSTITUTE(input_event_location," ","")&amp;",")))&gt;0)),IF(CQ108="",TRUE,IF(input_event_location="",FALSE,SUMPRODUCT(--ISNUMBER(SEARCH(","&amp;TRIM(TEXTSPLIT(CQ108,","))&amp;",",","&amp;SUBSTITUTE(input_event_location," ","")&amp;",")))=COUNTA(TEXTSPLIT(CQ108,",")))),IF(CS108="",TRUE,IF(input_event_location="",TRUE,SUMPRODUCT(--ISNUMBER(SEARCH(","&amp;TRIM(TEXTSPLIT(CS108,","))&amp;",",","&amp;SUBSTITUTE(input_event_location," ","")&amp;",")))=0)),IF(CU108="",TRUE,IF(input_event_location="",FALSE,SUMPRODUCT(--ISNUMBER(SEARCH(","&amp;TRIM(TEXTSPLIT(CU108,","))&amp;",",","&amp;SUBSTITUTE(input_event_location," ","")&amp;",")))&gt;0)),IF(CW108="",TRUE,IF(input_event_location="",FALSE,SUMPRODUCT(--ISNUMBER(SEARCH(","&amp;TRIM(TEXTSPLIT(CW108,","))&amp;",",","&amp;SUBSTITUTE(input_event_location," ","")&amp;",")))=COUNTA(TEXTSPLIT(CW108,",")))))</f>
        <v/>
      </c>
      <c r="JC108" s="19">
        <f>AND(IF(CY108="",TRUE,IF(input_event_type="",FALSE,SUMPRODUCT(--ISNUMBER(SEARCH(","&amp;TRIM(TEXTSPLIT(CY108,","))&amp;",",","&amp;SUBSTITUTE(input_event_type," ","")&amp;",")))&gt;0)),IF(DA108="",TRUE,IF(input_event_type="",FALSE,SUMPRODUCT(--ISNUMBER(SEARCH(","&amp;TRIM(TEXTSPLIT(DA108,","))&amp;",",","&amp;SUBSTITUTE(input_event_type," ","")&amp;",")))=COUNTA(TEXTSPLIT(DA108,",")))),IF(DC108="",TRUE,IF(input_event_type="",TRUE,SUMPRODUCT(--ISNUMBER(SEARCH(","&amp;TRIM(TEXTSPLIT(DC108,","))&amp;",",","&amp;SUBSTITUTE(input_event_type," ","")&amp;",")))=0)),IF(DE108="",TRUE,IF(input_event_type="",FALSE,SUMPRODUCT(--ISNUMBER(SEARCH(","&amp;TRIM(TEXTSPLIT(DE108,","))&amp;",",","&amp;SUBSTITUTE(input_event_type," ","")&amp;",")))&gt;0)),IF(DG108="",TRUE,IF(input_event_type="",FALSE,SUMPRODUCT(--ISNUMBER(SEARCH(","&amp;TRIM(TEXTSPLIT(DG108,","))&amp;",",","&amp;SUBSTITUTE(input_event_type," ","")&amp;",")))=COUNTA(TEXTSPLIT(DG108,",")))))</f>
        <v/>
      </c>
      <c r="JD108" s="19">
        <f>AND(IF(DI108="",TRUE,IF(input_executive_education_focus="",FALSE,SUMPRODUCT(--ISNUMBER(SEARCH(","&amp;TRIM(TEXTSPLIT(DI108,","))&amp;",",","&amp;SUBSTITUTE(input_executive_education_focus," ","")&amp;",")))&gt;0)),IF(DK108="",TRUE,IF(input_executive_education_focus="",FALSE,SUMPRODUCT(--ISNUMBER(SEARCH(","&amp;TRIM(TEXTSPLIT(DK108,","))&amp;",",","&amp;SUBSTITUTE(input_executive_education_focus," ","")&amp;",")))=COUNTA(TEXTSPLIT(DK108,",")))),IF(DM108="",TRUE,IF(input_executive_education_focus="",TRUE,SUMPRODUCT(--ISNUMBER(SEARCH(","&amp;TRIM(TEXTSPLIT(DM108,","))&amp;",",","&amp;SUBSTITUTE(input_executive_education_focus," ","")&amp;",")))=0)),IF(DO108="",TRUE,IF(input_executive_education_focus="",FALSE,SUMPRODUCT(--ISNUMBER(SEARCH(","&amp;TRIM(TEXTSPLIT(DO108,","))&amp;",",","&amp;SUBSTITUTE(input_executive_education_focus," ","")&amp;",")))&gt;0)),IF(DQ108="",TRUE,IF(input_executive_education_focus="",FALSE,SUMPRODUCT(--ISNUMBER(SEARCH(","&amp;TRIM(TEXTSPLIT(DQ108,","))&amp;",",","&amp;SUBSTITUTE(input_executive_education_focus," ","")&amp;",")))=COUNTA(TEXTSPLIT(DQ108,",")))))</f>
        <v/>
      </c>
      <c r="JE108" s="19">
        <f>AND(IF(DS108="",TRUE,IF(input_faculty_category="",FALSE,SUMPRODUCT(--ISNUMBER(SEARCH(","&amp;TRIM(TEXTSPLIT(DS108,","))&amp;",",","&amp;SUBSTITUTE(input_faculty_category," ","")&amp;",")))&gt;0)),IF(DU108="",TRUE,IF(input_faculty_category="",FALSE,SUMPRODUCT(--ISNUMBER(SEARCH(","&amp;TRIM(TEXTSPLIT(DU108,","))&amp;",",","&amp;SUBSTITUTE(input_faculty_category," ","")&amp;",")))=COUNTA(TEXTSPLIT(DU108,",")))),IF(DW108="",TRUE,IF(input_faculty_category="",TRUE,SUMPRODUCT(--ISNUMBER(SEARCH(","&amp;TRIM(TEXTSPLIT(DW108,","))&amp;",",","&amp;SUBSTITUTE(input_faculty_category," ","")&amp;",")))=0)),IF(DY108="",TRUE,IF(input_faculty_category="",FALSE,SUMPRODUCT(--ISNUMBER(SEARCH(","&amp;TRIM(TEXTSPLIT(DY108,","))&amp;",",","&amp;SUBSTITUTE(input_faculty_category," ","")&amp;",")))&gt;0)),IF(EA108="",TRUE,IF(input_faculty_category="",FALSE,SUMPRODUCT(--ISNUMBER(SEARCH(","&amp;TRIM(TEXTSPLIT(EA108,","))&amp;",",","&amp;SUBSTITUTE(input_faculty_category," ","")&amp;",")))=COUNTA(TEXTSPLIT(EA108,",")))))</f>
        <v/>
      </c>
      <c r="JF108" s="19">
        <f>AND(IF(EC108="",TRUE,IF(input_faculty_discipline="",FALSE,SUMPRODUCT(--ISNUMBER(SEARCH(","&amp;TRIM(TEXTSPLIT(EC108,","))&amp;",",","&amp;SUBSTITUTE(input_faculty_discipline," ","")&amp;",")))&gt;0)),IF(EE108="",TRUE,IF(input_faculty_discipline="",FALSE,SUMPRODUCT(--ISNUMBER(SEARCH(","&amp;TRIM(TEXTSPLIT(EE108,","))&amp;",",","&amp;SUBSTITUTE(input_faculty_discipline," ","")&amp;",")))=COUNTA(TEXTSPLIT(EE108,",")))),IF(EG108="",TRUE,IF(input_faculty_discipline="",TRUE,SUMPRODUCT(--ISNUMBER(SEARCH(","&amp;TRIM(TEXTSPLIT(EG108,","))&amp;",",","&amp;SUBSTITUTE(input_faculty_discipline," ","")&amp;",")))=0)),IF(EI108="",TRUE,IF(input_faculty_discipline="",FALSE,SUMPRODUCT(--ISNUMBER(SEARCH(","&amp;TRIM(TEXTSPLIT(EI108,","))&amp;",",","&amp;SUBSTITUTE(input_faculty_discipline," ","")&amp;",")))&gt;0)),IF(EK108="",TRUE,IF(input_faculty_discipline="",FALSE,SUMPRODUCT(--ISNUMBER(SEARCH(","&amp;TRIM(TEXTSPLIT(EK108,","))&amp;",",","&amp;SUBSTITUTE(input_faculty_discipline," ","")&amp;",")))=COUNTA(TEXTSPLIT(EK108,",")))))</f>
        <v/>
      </c>
      <c r="JG108" s="19">
        <f>AND(IF(EM108="",TRUE,IF(input_faculty_expertise="",FALSE,SUMPRODUCT(--ISNUMBER(SEARCH(","&amp;TRIM(TEXTSPLIT(EM108,","))&amp;",",","&amp;SUBSTITUTE(input_faculty_expertise," ","")&amp;",")))&gt;0)),IF(EO108="",TRUE,IF(input_faculty_expertise="",FALSE,SUMPRODUCT(--ISNUMBER(SEARCH(","&amp;TRIM(TEXTSPLIT(EO108,","))&amp;",",","&amp;SUBSTITUTE(input_faculty_expertise," ","")&amp;",")))=COUNTA(TEXTSPLIT(EO108,",")))),IF(EQ108="",TRUE,IF(input_faculty_expertise="",TRUE,SUMPRODUCT(--ISNUMBER(SEARCH(","&amp;TRIM(TEXTSPLIT(EQ108,","))&amp;",",","&amp;SUBSTITUTE(input_faculty_expertise," ","")&amp;",")))=0)),IF(ES108="",TRUE,IF(input_faculty_expertise="",FALSE,SUMPRODUCT(--ISNUMBER(SEARCH(","&amp;TRIM(TEXTSPLIT(ES108,","))&amp;",",","&amp;SUBSTITUTE(input_faculty_expertise," ","")&amp;",")))&gt;0)),IF(EU108="",TRUE,IF(input_faculty_expertise="",FALSE,SUMPRODUCT(--ISNUMBER(SEARCH(","&amp;TRIM(TEXTSPLIT(EU108,","))&amp;",",","&amp;SUBSTITUTE(input_faculty_expertise," ","")&amp;",")))=COUNTA(TEXTSPLIT(EU108,",")))))</f>
        <v/>
      </c>
      <c r="JH108" s="19">
        <f>AND(IF(EW108="",TRUE,IF(input_global_network_school="",FALSE,SUMPRODUCT(--ISNUMBER(SEARCH(","&amp;TRIM(TEXTSPLIT(EW108,","))&amp;",",","&amp;SUBSTITUTE(input_global_network_school," ","")&amp;",")))&gt;0)),IF(EY108="",TRUE,IF(input_global_network_school="",FALSE,SUMPRODUCT(--ISNUMBER(SEARCH(","&amp;TRIM(TEXTSPLIT(EY108,","))&amp;",",","&amp;SUBSTITUTE(input_global_network_school," ","")&amp;",")))=COUNTA(TEXTSPLIT(EY108,",")))),IF(FA108="",TRUE,IF(input_global_network_school="",TRUE,SUMPRODUCT(--ISNUMBER(SEARCH(","&amp;TRIM(TEXTSPLIT(FA108,","))&amp;",",","&amp;SUBSTITUTE(input_global_network_school," ","")&amp;",")))=0)),IF(FC108="",TRUE,IF(input_global_network_school="",FALSE,SUMPRODUCT(--ISNUMBER(SEARCH(","&amp;TRIM(TEXTSPLIT(FC108,","))&amp;",",","&amp;SUBSTITUTE(input_global_network_school," ","")&amp;",")))&gt;0)),IF(FE108="",TRUE,IF(input_global_network_school="",FALSE,SUMPRODUCT(--ISNUMBER(SEARCH(","&amp;TRIM(TEXTSPLIT(FE108,","))&amp;",",","&amp;SUBSTITUTE(input_global_network_school," ","")&amp;",")))=COUNTA(TEXTSPLIT(FE108,",")))))</f>
        <v/>
      </c>
      <c r="JI108" s="19">
        <f>AND(IF(FG108="",TRUE,IF(input_industry="",FALSE,SUMPRODUCT(--ISNUMBER(SEARCH(","&amp;TRIM(TEXTSPLIT(FG108,","))&amp;",",","&amp;SUBSTITUTE(input_industry," ","")&amp;",")))&gt;0)),IF(FI108="",TRUE,IF(input_industry="",FALSE,SUMPRODUCT(--ISNUMBER(SEARCH(","&amp;TRIM(TEXTSPLIT(FI108,","))&amp;",",","&amp;SUBSTITUTE(input_industry," ","")&amp;",")))=COUNTA(TEXTSPLIT(FI108,",")))),IF(FK108="",TRUE,IF(input_industry="",TRUE,SUMPRODUCT(--ISNUMBER(SEARCH(","&amp;TRIM(TEXTSPLIT(FK108,","))&amp;",",","&amp;SUBSTITUTE(input_industry," ","")&amp;",")))=0)),IF(FM108="",TRUE,IF(input_industry="",FALSE,SUMPRODUCT(--ISNUMBER(SEARCH(","&amp;TRIM(TEXTSPLIT(FM108,","))&amp;",",","&amp;SUBSTITUTE(input_industry," ","")&amp;",")))&gt;0)),IF(FO108="",TRUE,IF(input_industry="",FALSE,SUMPRODUCT(--ISNUMBER(SEARCH(","&amp;TRIM(TEXTSPLIT(FO108,","))&amp;",",","&amp;SUBSTITUTE(input_industry," ","")&amp;",")))=COUNTA(TEXTSPLIT(FO108,",")))))</f>
        <v/>
      </c>
      <c r="JJ108" s="19">
        <f>AND(IF(FQ108="",TRUE,IF(input_location="",FALSE,SUMPRODUCT(--ISNUMBER(SEARCH(","&amp;TRIM(TEXTSPLIT(FQ108,","))&amp;",",","&amp;SUBSTITUTE(input_location," ","")&amp;",")))&gt;0)),IF(FS108="",TRUE,IF(input_location="",FALSE,SUMPRODUCT(--ISNUMBER(SEARCH(","&amp;TRIM(TEXTSPLIT(FS108,","))&amp;",",","&amp;SUBSTITUTE(input_location," ","")&amp;",")))=COUNTA(TEXTSPLIT(FS108,",")))),IF(FU108="",TRUE,IF(input_location="",TRUE,SUMPRODUCT(--ISNUMBER(SEARCH(","&amp;TRIM(TEXTSPLIT(FU108,","))&amp;",",","&amp;SUBSTITUTE(input_location," ","")&amp;",")))=0)),IF(FW108="",TRUE,IF(input_location="",FALSE,SUMPRODUCT(--ISNUMBER(SEARCH(","&amp;TRIM(TEXTSPLIT(FW108,","))&amp;",",","&amp;SUBSTITUTE(input_location," ","")&amp;",")))&gt;0)),IF(FY108="",TRUE,IF(input_location="",FALSE,SUMPRODUCT(--ISNUMBER(SEARCH(","&amp;TRIM(TEXTSPLIT(FY108,","))&amp;",",","&amp;SUBSTITUTE(input_location," ","")&amp;",")))=COUNTA(TEXTSPLIT(FY108,",")))))</f>
        <v/>
      </c>
      <c r="JK108" s="19">
        <f>AND(IF(GA108="",TRUE,IF(input_modality="",FALSE,SUMPRODUCT(--ISNUMBER(SEARCH(","&amp;TRIM(TEXTSPLIT(GA108,","))&amp;",",","&amp;SUBSTITUTE(input_modality," ","")&amp;",")))&gt;0)),IF(GC108="",TRUE,IF(input_modality="",FALSE,SUMPRODUCT(--ISNUMBER(SEARCH(","&amp;TRIM(TEXTSPLIT(GC108,","))&amp;",",","&amp;SUBSTITUTE(input_modality," ","")&amp;",")))=COUNTA(TEXTSPLIT(GC108,",")))),IF(GE108="",TRUE,IF(input_modality="",TRUE,SUMPRODUCT(--ISNUMBER(SEARCH(","&amp;TRIM(TEXTSPLIT(GE108,","))&amp;",",","&amp;SUBSTITUTE(input_modality," ","")&amp;",")))=0)),IF(GG108="",TRUE,IF(input_modality="",FALSE,SUMPRODUCT(--ISNUMBER(SEARCH(","&amp;TRIM(TEXTSPLIT(GG108,","))&amp;",",","&amp;SUBSTITUTE(input_modality," ","")&amp;",")))&gt;0)),IF(GI108="",TRUE,IF(input_modality="",FALSE,SUMPRODUCT(--ISNUMBER(SEARCH(","&amp;TRIM(TEXTSPLIT(GI108,","))&amp;",",","&amp;SUBSTITUTE(input_modality," ","")&amp;",")))=COUNTA(TEXTSPLIT(GI108,",")))))</f>
        <v/>
      </c>
      <c r="JL108" s="19">
        <f>AND(IF(GK108="",TRUE,IF(input_organizer="",FALSE,SUMPRODUCT(--ISNUMBER(SEARCH(","&amp;TRIM(TEXTSPLIT(GK108,","))&amp;",",","&amp;SUBSTITUTE(input_organizer," ","")&amp;",")))&gt;0)),IF(GM108="",TRUE,IF(input_organizer="",FALSE,SUMPRODUCT(--ISNUMBER(SEARCH(","&amp;TRIM(TEXTSPLIT(GM108,","))&amp;",",","&amp;SUBSTITUTE(input_organizer," ","")&amp;",")))=COUNTA(TEXTSPLIT(GM108,",")))),IF(GO108="",TRUE,IF(input_organizer="",TRUE,SUMPRODUCT(--ISNUMBER(SEARCH(","&amp;TRIM(TEXTSPLIT(GO108,","))&amp;",",","&amp;SUBSTITUTE(input_organizer," ","")&amp;",")))=0)),IF(GQ108="",TRUE,IF(input_organizer="",FALSE,SUMPRODUCT(--ISNUMBER(SEARCH(","&amp;TRIM(TEXTSPLIT(GQ108,","))&amp;",",","&amp;SUBSTITUTE(input_organizer," ","")&amp;",")))&gt;0)),IF(GS108="",TRUE,IF(input_organizer="",FALSE,SUMPRODUCT(--ISNUMBER(SEARCH(","&amp;TRIM(TEXTSPLIT(GS108,","))&amp;",",","&amp;SUBSTITUTE(input_organizer," ","")&amp;",")))=COUNTA(TEXTSPLIT(GS108,",")))))</f>
        <v/>
      </c>
      <c r="JM108" s="19">
        <f>AND(IF(GU108="",TRUE,IF(input_profile_type="",FALSE,SUMPRODUCT(--ISNUMBER(SEARCH(","&amp;TRIM(TEXTSPLIT(GU108,","))&amp;",",","&amp;SUBSTITUTE(input_profile_type," ","")&amp;",")))&gt;0)),IF(GW108="",TRUE,IF(input_profile_type="",FALSE,SUMPRODUCT(--ISNUMBER(SEARCH(","&amp;TRIM(TEXTSPLIT(GW108,","))&amp;",",","&amp;SUBSTITUTE(input_profile_type," ","")&amp;",")))=COUNTA(TEXTSPLIT(GW108,",")))),IF(GY108="",TRUE,IF(input_profile_type="",TRUE,SUMPRODUCT(--ISNUMBER(SEARCH(","&amp;TRIM(TEXTSPLIT(GY108,","))&amp;",",","&amp;SUBSTITUTE(input_profile_type," ","")&amp;",")))=0)),IF(HA108="",TRUE,IF(input_profile_type="",FALSE,SUMPRODUCT(--ISNUMBER(SEARCH(","&amp;TRIM(TEXTSPLIT(HA108,","))&amp;",",","&amp;SUBSTITUTE(input_profile_type," ","")&amp;",")))&gt;0)),IF(HC108="",TRUE,IF(input_profile_type="",FALSE,SUMPRODUCT(--ISNUMBER(SEARCH(","&amp;TRIM(TEXTSPLIT(HC108,","))&amp;",",","&amp;SUBSTITUTE(input_profile_type," ","")&amp;",")))=COUNTA(TEXTSPLIT(HC108,",")))))</f>
        <v/>
      </c>
      <c r="JN108" s="19">
        <f>AND(IF(HE108="",TRUE,IF(input_program="",FALSE,SUMPRODUCT(--ISNUMBER(SEARCH(","&amp;TRIM(TEXTSPLIT(HE108,","))&amp;",",","&amp;SUBSTITUTE(input_program," ","")&amp;",")))&gt;0)),IF(HG108="",TRUE,IF(input_program="",FALSE,SUMPRODUCT(--ISNUMBER(SEARCH(","&amp;TRIM(TEXTSPLIT(HG108,","))&amp;",",","&amp;SUBSTITUTE(input_program," ","")&amp;",")))=COUNTA(TEXTSPLIT(HG108,",")))),IF(HI108="",TRUE,IF(input_program="",TRUE,SUMPRODUCT(--ISNUMBER(SEARCH(","&amp;TRIM(TEXTSPLIT(HI108,","))&amp;",",","&amp;SUBSTITUTE(input_program," ","")&amp;",")))=0)),IF(HK108="",TRUE,IF(input_program="",FALSE,SUMPRODUCT(--ISNUMBER(SEARCH(","&amp;TRIM(TEXTSPLIT(HK108,","))&amp;",",","&amp;SUBSTITUTE(input_program," ","")&amp;",")))&gt;0)),IF(HM108="",TRUE,IF(input_program="",FALSE,SUMPRODUCT(--ISNUMBER(SEARCH(","&amp;TRIM(TEXTSPLIT(HM108,","))&amp;",",","&amp;SUBSTITUTE(input_program," ","")&amp;",")))=COUNTA(TEXTSPLIT(HM108,",")))))</f>
        <v/>
      </c>
      <c r="JO108" s="19">
        <f>AND(IF(HO108="",TRUE,IF(input_story_categories="",FALSE,SUMPRODUCT(--ISNUMBER(SEARCH(","&amp;TRIM(TEXTSPLIT(HO108,","))&amp;",",","&amp;SUBSTITUTE(input_story_categories," ","")&amp;",")))&gt;0)),IF(HQ108="",TRUE,IF(input_story_categories="",FALSE,SUMPRODUCT(--ISNUMBER(SEARCH(","&amp;TRIM(TEXTSPLIT(HQ108,","))&amp;",",","&amp;SUBSTITUTE(input_story_categories," ","")&amp;",")))=COUNTA(TEXTSPLIT(HQ108,",")))),IF(HS108="",TRUE,IF(input_story_categories="",TRUE,SUMPRODUCT(--ISNUMBER(SEARCH(","&amp;TRIM(TEXTSPLIT(HS108,","))&amp;",",","&amp;SUBSTITUTE(input_story_categories," ","")&amp;",")))=0)),IF(HU108="",TRUE,IF(input_story_categories="",FALSE,SUMPRODUCT(--ISNUMBER(SEARCH(","&amp;TRIM(TEXTSPLIT(HU108,","))&amp;",",","&amp;SUBSTITUTE(input_story_categories," ","")&amp;",")))&gt;0)),IF(HW108="",TRUE,IF(input_story_categories="",FALSE,SUMPRODUCT(--ISNUMBER(SEARCH(","&amp;TRIM(TEXTSPLIT(HW108,","))&amp;",",","&amp;SUBSTITUTE(input_story_categories," ","")&amp;",")))=COUNTA(TEXTSPLIT(HW108,",")))))</f>
        <v/>
      </c>
      <c r="JP108" s="19">
        <f>AND(IF(HY108="",TRUE,IF(input_story_type="",FALSE,SUMPRODUCT(--ISNUMBER(SEARCH(","&amp;TRIM(TEXTSPLIT(HY108,","))&amp;",",","&amp;SUBSTITUTE(input_story_type," ","")&amp;",")))&gt;0)),IF(IA108="",TRUE,IF(input_story_type="",FALSE,SUMPRODUCT(--ISNUMBER(SEARCH(","&amp;TRIM(TEXTSPLIT(IA108,","))&amp;",",","&amp;SUBSTITUTE(input_story_type," ","")&amp;",")))=COUNTA(TEXTSPLIT(IA108,",")))),IF(IC108="",TRUE,IF(input_story_type="",TRUE,SUMPRODUCT(--ISNUMBER(SEARCH(","&amp;TRIM(TEXTSPLIT(IC108,","))&amp;",",","&amp;SUBSTITUTE(input_story_type," ","")&amp;",")))=0)),IF(IE108="",TRUE,IF(input_story_type="",FALSE,SUMPRODUCT(--ISNUMBER(SEARCH(","&amp;TRIM(TEXTSPLIT(IE108,","))&amp;",",","&amp;SUBSTITUTE(input_story_type," ","")&amp;",")))&gt;0)),IF(IG108="",TRUE,IF(input_story_type="",FALSE,SUMPRODUCT(--ISNUMBER(SEARCH(","&amp;TRIM(TEXTSPLIT(IG108,","))&amp;",",","&amp;SUBSTITUTE(input_story_type," ","")&amp;",")))=COUNTA(TEXTSPLIT(IG108,",")))))</f>
        <v/>
      </c>
      <c r="JQ108" s="19">
        <f>AND(IF(II108="",TRUE,IF(input_topics="",FALSE,SUMPRODUCT(--ISNUMBER(SEARCH(","&amp;TRIM(TEXTSPLIT(II108,","))&amp;",",","&amp;SUBSTITUTE(input_topics," ","")&amp;",")))&gt;0)),IF(IK108="",TRUE,IF(input_topics="",FALSE,SUMPRODUCT(--ISNUMBER(SEARCH(","&amp;TRIM(TEXTSPLIT(IK108,","))&amp;",",","&amp;SUBSTITUTE(input_topics," ","")&amp;",")))=COUNTA(TEXTSPLIT(IK108,",")))),IF(IM108="",TRUE,IF(input_topics="",TRUE,SUMPRODUCT(--ISNUMBER(SEARCH(","&amp;TRIM(TEXTSPLIT(IM108,","))&amp;",",","&amp;SUBSTITUTE(input_topics," ","")&amp;",")))=0)),IF(IO108="",TRUE,IF(input_topics="",FALSE,SUMPRODUCT(--ISNUMBER(SEARCH(","&amp;TRIM(TEXTSPLIT(IO108,","))&amp;",",","&amp;SUBSTITUTE(input_topics," ","")&amp;",")))&gt;0)),IF(IQ108="",TRUE,IF(input_topics="",FALSE,SUMPRODUCT(--ISNUMBER(SEARCH(","&amp;TRIM(TEXTSPLIT(IQ108,","))&amp;",",","&amp;SUBSTITUTE(input_topics," ","")&amp;",")))=COUNTA(TEXTSPLIT(IQ108,",")))))</f>
        <v/>
      </c>
    </row>
    <row r="109">
      <c r="A109" s="24">
        <f>IF(NOT(IS109),"Excluded",IF(AND(IT109,IU109,IV109,IW109,IX109,IY109,IZ109,JA109,JB109,JC109,JD109,JE109,JF109,JG109,JH109,JI109,JJ109,JK109,JL109,JM109,JN109,JO109,JP109,JQ109),IF(I109&gt;0,"Eligible but limited","Will appear"),"Excluded"))</f>
        <v/>
      </c>
      <c r="B109" s="24" t="inlineStr">
        <is>
          <t>Events</t>
        </is>
      </c>
      <c r="C109" s="27" t="inlineStr">
        <is>
          <t>/programs/mms-asset-management</t>
        </is>
      </c>
      <c r="D109" s="24" t="inlineStr">
        <is>
          <t>/programs/mms-asset-management</t>
        </is>
      </c>
      <c r="E109" s="24" t="n">
        <v>1</v>
      </c>
      <c r="F109" s="24" t="inlineStr">
        <is>
          <t>event</t>
        </is>
      </c>
      <c r="G109" s="24" t="inlineStr">
        <is>
          <t>event_teaser_list</t>
        </is>
      </c>
      <c r="H109" s="24" t="inlineStr">
        <is>
          <t>embed_1</t>
        </is>
      </c>
      <c r="I109" s="24" t="n">
        <v>3</v>
      </c>
      <c r="J109" s="29" t="inlineStr">
        <is>
          <t>Section inferred</t>
        </is>
      </c>
      <c r="K109" s="24" t="inlineStr">
        <is>
          <t>Page placement</t>
        </is>
      </c>
      <c r="L109" s="24" t="inlineStr">
        <is>
          <t>Content type: event; Context uses Courses Context: Master's Degree in Asset Management (930); Limited to 3 item(s); Source: Section inferred</t>
        </is>
      </c>
      <c r="BQ109" s="19" t="inlineStr">
        <is>
          <t>930</t>
        </is>
      </c>
      <c r="BR109" s="19" t="inlineStr">
        <is>
          <t>Master's Degree in Asset Management (930)</t>
        </is>
      </c>
      <c r="IS109" s="19">
        <f>IF(input_content_type="",FALSE,ISNUMBER(SEARCH(","&amp;LOWER(input_content_type)&amp;",",","&amp;LOWER(SUBSTITUTE(F109," ",""))&amp;",")))</f>
        <v/>
      </c>
      <c r="IT109" s="19">
        <f>AND(IF(M109="",TRUE,IF(input_affiliations="",FALSE,SUMPRODUCT(--ISNUMBER(SEARCH(","&amp;TRIM(TEXTSPLIT(M109,","))&amp;",",","&amp;SUBSTITUTE(input_affiliations," ","")&amp;",")))&gt;0)),IF(O109="",TRUE,IF(input_affiliations="",FALSE,SUMPRODUCT(--ISNUMBER(SEARCH(","&amp;TRIM(TEXTSPLIT(O109,","))&amp;",",","&amp;SUBSTITUTE(input_affiliations," ","")&amp;",")))=COUNTA(TEXTSPLIT(O109,",")))),IF(Q109="",TRUE,IF(input_affiliations="",TRUE,SUMPRODUCT(--ISNUMBER(SEARCH(","&amp;TRIM(TEXTSPLIT(Q109,","))&amp;",",","&amp;SUBSTITUTE(input_affiliations," ","")&amp;",")))=0)),IF(S109="",TRUE,IF(input_affiliations="",FALSE,SUMPRODUCT(--ISNUMBER(SEARCH(","&amp;TRIM(TEXTSPLIT(S109,","))&amp;",",","&amp;SUBSTITUTE(input_affiliations," ","")&amp;",")))&gt;0)),IF(U109="",TRUE,IF(input_affiliations="",FALSE,SUMPRODUCT(--ISNUMBER(SEARCH(","&amp;TRIM(TEXTSPLIT(U109,","))&amp;",",","&amp;SUBSTITUTE(input_affiliations," ","")&amp;",")))=COUNTA(TEXTSPLIT(U109,",")))))</f>
        <v/>
      </c>
      <c r="IU109" s="19">
        <f>AND(IF(W109="",TRUE,IF(input_announcement_category="",FALSE,SUMPRODUCT(--ISNUMBER(SEARCH(","&amp;TRIM(TEXTSPLIT(W109,","))&amp;",",","&amp;SUBSTITUTE(input_announcement_category," ","")&amp;",")))&gt;0)),IF(Y109="",TRUE,IF(input_announcement_category="",FALSE,SUMPRODUCT(--ISNUMBER(SEARCH(","&amp;TRIM(TEXTSPLIT(Y109,","))&amp;",",","&amp;SUBSTITUTE(input_announcement_category," ","")&amp;",")))=COUNTA(TEXTSPLIT(Y109,",")))),IF(AA109="",TRUE,IF(input_announcement_category="",TRUE,SUMPRODUCT(--ISNUMBER(SEARCH(","&amp;TRIM(TEXTSPLIT(AA109,","))&amp;",",","&amp;SUBSTITUTE(input_announcement_category," ","")&amp;",")))=0)),IF(AC109="",TRUE,IF(input_announcement_category="",FALSE,SUMPRODUCT(--ISNUMBER(SEARCH(","&amp;TRIM(TEXTSPLIT(AC109,","))&amp;",",","&amp;SUBSTITUTE(input_announcement_category," ","")&amp;",")))&gt;0)),IF(AE109="",TRUE,IF(input_announcement_category="",FALSE,SUMPRODUCT(--ISNUMBER(SEARCH(","&amp;TRIM(TEXTSPLIT(AE109,","))&amp;",",","&amp;SUBSTITUTE(input_announcement_category," ","")&amp;",")))=COUNTA(TEXTSPLIT(AE109,",")))))</f>
        <v/>
      </c>
      <c r="IV109" s="19">
        <f>AND(IF(AG109="",TRUE,IF(input_area_of_focus="",FALSE,SUMPRODUCT(--ISNUMBER(SEARCH(","&amp;TRIM(TEXTSPLIT(AG109,","))&amp;",",","&amp;SUBSTITUTE(input_area_of_focus," ","")&amp;",")))&gt;0)),IF(AI109="",TRUE,IF(input_area_of_focus="",FALSE,SUMPRODUCT(--ISNUMBER(SEARCH(","&amp;TRIM(TEXTSPLIT(AI109,","))&amp;",",","&amp;SUBSTITUTE(input_area_of_focus," ","")&amp;",")))=COUNTA(TEXTSPLIT(AI109,",")))),IF(AK109="",TRUE,IF(input_area_of_focus="",TRUE,SUMPRODUCT(--ISNUMBER(SEARCH(","&amp;TRIM(TEXTSPLIT(AK109,","))&amp;",",","&amp;SUBSTITUTE(input_area_of_focus," ","")&amp;",")))=0)),IF(AM109="",TRUE,IF(input_area_of_focus="",FALSE,SUMPRODUCT(--ISNUMBER(SEARCH(","&amp;TRIM(TEXTSPLIT(AM109,","))&amp;",",","&amp;SUBSTITUTE(input_area_of_focus," ","")&amp;",")))&gt;0)),IF(AO109="",TRUE,IF(input_area_of_focus="",FALSE,SUMPRODUCT(--ISNUMBER(SEARCH(","&amp;TRIM(TEXTSPLIT(AO109,","))&amp;",",","&amp;SUBSTITUTE(input_area_of_focus," ","")&amp;",")))=COUNTA(TEXTSPLIT(AO109,",")))))</f>
        <v/>
      </c>
      <c r="IW109" s="19">
        <f>AND(IF(AQ109="",TRUE,IF(input_audience="",FALSE,SUMPRODUCT(--ISNUMBER(SEARCH(","&amp;TRIM(TEXTSPLIT(AQ109,","))&amp;",",","&amp;SUBSTITUTE(input_audience," ","")&amp;",")))&gt;0)),IF(AS109="",TRUE,IF(input_audience="",FALSE,SUMPRODUCT(--ISNUMBER(SEARCH(","&amp;TRIM(TEXTSPLIT(AS109,","))&amp;",",","&amp;SUBSTITUTE(input_audience," ","")&amp;",")))=COUNTA(TEXTSPLIT(AS109,",")))),IF(AU109="",TRUE,IF(input_audience="",TRUE,SUMPRODUCT(--ISNUMBER(SEARCH(","&amp;TRIM(TEXTSPLIT(AU109,","))&amp;",",","&amp;SUBSTITUTE(input_audience," ","")&amp;",")))=0)),IF(AW109="",TRUE,IF(input_audience="",FALSE,SUMPRODUCT(--ISNUMBER(SEARCH(","&amp;TRIM(TEXTSPLIT(AW109,","))&amp;",",","&amp;SUBSTITUTE(input_audience," ","")&amp;",")))&gt;0)),IF(AY109="",TRUE,IF(input_audience="",FALSE,SUMPRODUCT(--ISNUMBER(SEARCH(","&amp;TRIM(TEXTSPLIT(AY109,","))&amp;",",","&amp;SUBSTITUTE(input_audience," ","")&amp;",")))=COUNTA(TEXTSPLIT(AY109,",")))))</f>
        <v/>
      </c>
      <c r="IX109" s="19">
        <f>AND(IF(BA109="",TRUE,IF(input_challenge_opportunities="",FALSE,SUMPRODUCT(--ISNUMBER(SEARCH(","&amp;TRIM(TEXTSPLIT(BA109,","))&amp;",",","&amp;SUBSTITUTE(input_challenge_opportunities," ","")&amp;",")))&gt;0)),IF(BC109="",TRUE,IF(input_challenge_opportunities="",FALSE,SUMPRODUCT(--ISNUMBER(SEARCH(","&amp;TRIM(TEXTSPLIT(BC109,","))&amp;",",","&amp;SUBSTITUTE(input_challenge_opportunities," ","")&amp;",")))=COUNTA(TEXTSPLIT(BC109,",")))),IF(BE109="",TRUE,IF(input_challenge_opportunities="",TRUE,SUMPRODUCT(--ISNUMBER(SEARCH(","&amp;TRIM(TEXTSPLIT(BE109,","))&amp;",",","&amp;SUBSTITUTE(input_challenge_opportunities," ","")&amp;",")))=0)),IF(BG109="",TRUE,IF(input_challenge_opportunities="",FALSE,SUMPRODUCT(--ISNUMBER(SEARCH(","&amp;TRIM(TEXTSPLIT(BG109,","))&amp;",",","&amp;SUBSTITUTE(input_challenge_opportunities," ","")&amp;",")))&gt;0)),IF(BI109="",TRUE,IF(input_challenge_opportunities="",FALSE,SUMPRODUCT(--ISNUMBER(SEARCH(","&amp;TRIM(TEXTSPLIT(BI109,","))&amp;",",","&amp;SUBSTITUTE(input_challenge_opportunities," ","")&amp;",")))=COUNTA(TEXTSPLIT(BI109,",")))))</f>
        <v/>
      </c>
      <c r="IY109" s="19">
        <f>AND(IF(BK109="",TRUE,IF(input_context="",FALSE,SUMPRODUCT(--ISNUMBER(SEARCH(","&amp;TRIM(TEXTSPLIT(BK109,","))&amp;",",","&amp;SUBSTITUTE(input_context," ","")&amp;",")))&gt;0)),IF(BM109="",TRUE,IF(input_context="",FALSE,SUMPRODUCT(--ISNUMBER(SEARCH(","&amp;TRIM(TEXTSPLIT(BM109,","))&amp;",",","&amp;SUBSTITUTE(input_context," ","")&amp;",")))=COUNTA(TEXTSPLIT(BM109,",")))),IF(BO109="",TRUE,IF(input_context="",TRUE,SUMPRODUCT(--ISNUMBER(SEARCH(","&amp;TRIM(TEXTSPLIT(BO109,","))&amp;",",","&amp;SUBSTITUTE(input_context," ","")&amp;",")))=0)),IF(BQ109="",TRUE,IF(input_context="",FALSE,SUMPRODUCT(--ISNUMBER(SEARCH(","&amp;TRIM(TEXTSPLIT(BQ109,","))&amp;",",","&amp;SUBSTITUTE(input_context," ","")&amp;",")))&gt;0)),IF(BS109="",TRUE,IF(input_context="",FALSE,SUMPRODUCT(--ISNUMBER(SEARCH(","&amp;TRIM(TEXTSPLIT(BS109,","))&amp;",",","&amp;SUBSTITUTE(input_context," ","")&amp;",")))=COUNTA(TEXTSPLIT(BS109,",")))))</f>
        <v/>
      </c>
      <c r="IZ109" s="19">
        <f>AND(IF(BU109="",TRUE,IF(input_enews_announcement_type="",FALSE,SUMPRODUCT(--ISNUMBER(SEARCH(","&amp;TRIM(TEXTSPLIT(BU109,","))&amp;",",","&amp;SUBSTITUTE(input_enews_announcement_type," ","")&amp;",")))&gt;0)),IF(BW109="",TRUE,IF(input_enews_announcement_type="",FALSE,SUMPRODUCT(--ISNUMBER(SEARCH(","&amp;TRIM(TEXTSPLIT(BW109,","))&amp;",",","&amp;SUBSTITUTE(input_enews_announcement_type," ","")&amp;",")))=COUNTA(TEXTSPLIT(BW109,",")))),IF(BY109="",TRUE,IF(input_enews_announcement_type="",TRUE,SUMPRODUCT(--ISNUMBER(SEARCH(","&amp;TRIM(TEXTSPLIT(BY109,","))&amp;",",","&amp;SUBSTITUTE(input_enews_announcement_type," ","")&amp;",")))=0)),IF(CA109="",TRUE,IF(input_enews_announcement_type="",FALSE,SUMPRODUCT(--ISNUMBER(SEARCH(","&amp;TRIM(TEXTSPLIT(CA109,","))&amp;",",","&amp;SUBSTITUTE(input_enews_announcement_type," ","")&amp;",")))&gt;0)),IF(CC109="",TRUE,IF(input_enews_announcement_type="",FALSE,SUMPRODUCT(--ISNUMBER(SEARCH(","&amp;TRIM(TEXTSPLIT(CC109,","))&amp;",",","&amp;SUBSTITUTE(input_enews_announcement_type," ","")&amp;",")))=COUNTA(TEXTSPLIT(CC109,",")))))</f>
        <v/>
      </c>
      <c r="JA109" s="19">
        <f>AND(IF(CE109="",TRUE,IF(input_enews_audience="",FALSE,SUMPRODUCT(--ISNUMBER(SEARCH(","&amp;TRIM(TEXTSPLIT(CE109,","))&amp;",",","&amp;SUBSTITUTE(input_enews_audience," ","")&amp;",")))&gt;0)),IF(CG109="",TRUE,IF(input_enews_audience="",FALSE,SUMPRODUCT(--ISNUMBER(SEARCH(","&amp;TRIM(TEXTSPLIT(CG109,","))&amp;",",","&amp;SUBSTITUTE(input_enews_audience," ","")&amp;",")))=COUNTA(TEXTSPLIT(CG109,",")))),IF(CI109="",TRUE,IF(input_enews_audience="",TRUE,SUMPRODUCT(--ISNUMBER(SEARCH(","&amp;TRIM(TEXTSPLIT(CI109,","))&amp;",",","&amp;SUBSTITUTE(input_enews_audience," ","")&amp;",")))=0)),IF(CK109="",TRUE,IF(input_enews_audience="",FALSE,SUMPRODUCT(--ISNUMBER(SEARCH(","&amp;TRIM(TEXTSPLIT(CK109,","))&amp;",",","&amp;SUBSTITUTE(input_enews_audience," ","")&amp;",")))&gt;0)),IF(CM109="",TRUE,IF(input_enews_audience="",FALSE,SUMPRODUCT(--ISNUMBER(SEARCH(","&amp;TRIM(TEXTSPLIT(CM109,","))&amp;",",","&amp;SUBSTITUTE(input_enews_audience," ","")&amp;",")))=COUNTA(TEXTSPLIT(CM109,",")))))</f>
        <v/>
      </c>
      <c r="JB109" s="19">
        <f>AND(IF(CO109="",TRUE,IF(input_event_location="",FALSE,SUMPRODUCT(--ISNUMBER(SEARCH(","&amp;TRIM(TEXTSPLIT(CO109,","))&amp;",",","&amp;SUBSTITUTE(input_event_location," ","")&amp;",")))&gt;0)),IF(CQ109="",TRUE,IF(input_event_location="",FALSE,SUMPRODUCT(--ISNUMBER(SEARCH(","&amp;TRIM(TEXTSPLIT(CQ109,","))&amp;",",","&amp;SUBSTITUTE(input_event_location," ","")&amp;",")))=COUNTA(TEXTSPLIT(CQ109,",")))),IF(CS109="",TRUE,IF(input_event_location="",TRUE,SUMPRODUCT(--ISNUMBER(SEARCH(","&amp;TRIM(TEXTSPLIT(CS109,","))&amp;",",","&amp;SUBSTITUTE(input_event_location," ","")&amp;",")))=0)),IF(CU109="",TRUE,IF(input_event_location="",FALSE,SUMPRODUCT(--ISNUMBER(SEARCH(","&amp;TRIM(TEXTSPLIT(CU109,","))&amp;",",","&amp;SUBSTITUTE(input_event_location," ","")&amp;",")))&gt;0)),IF(CW109="",TRUE,IF(input_event_location="",FALSE,SUMPRODUCT(--ISNUMBER(SEARCH(","&amp;TRIM(TEXTSPLIT(CW109,","))&amp;",",","&amp;SUBSTITUTE(input_event_location," ","")&amp;",")))=COUNTA(TEXTSPLIT(CW109,",")))))</f>
        <v/>
      </c>
      <c r="JC109" s="19">
        <f>AND(IF(CY109="",TRUE,IF(input_event_type="",FALSE,SUMPRODUCT(--ISNUMBER(SEARCH(","&amp;TRIM(TEXTSPLIT(CY109,","))&amp;",",","&amp;SUBSTITUTE(input_event_type," ","")&amp;",")))&gt;0)),IF(DA109="",TRUE,IF(input_event_type="",FALSE,SUMPRODUCT(--ISNUMBER(SEARCH(","&amp;TRIM(TEXTSPLIT(DA109,","))&amp;",",","&amp;SUBSTITUTE(input_event_type," ","")&amp;",")))=COUNTA(TEXTSPLIT(DA109,",")))),IF(DC109="",TRUE,IF(input_event_type="",TRUE,SUMPRODUCT(--ISNUMBER(SEARCH(","&amp;TRIM(TEXTSPLIT(DC109,","))&amp;",",","&amp;SUBSTITUTE(input_event_type," ","")&amp;",")))=0)),IF(DE109="",TRUE,IF(input_event_type="",FALSE,SUMPRODUCT(--ISNUMBER(SEARCH(","&amp;TRIM(TEXTSPLIT(DE109,","))&amp;",",","&amp;SUBSTITUTE(input_event_type," ","")&amp;",")))&gt;0)),IF(DG109="",TRUE,IF(input_event_type="",FALSE,SUMPRODUCT(--ISNUMBER(SEARCH(","&amp;TRIM(TEXTSPLIT(DG109,","))&amp;",",","&amp;SUBSTITUTE(input_event_type," ","")&amp;",")))=COUNTA(TEXTSPLIT(DG109,",")))))</f>
        <v/>
      </c>
      <c r="JD109" s="19">
        <f>AND(IF(DI109="",TRUE,IF(input_executive_education_focus="",FALSE,SUMPRODUCT(--ISNUMBER(SEARCH(","&amp;TRIM(TEXTSPLIT(DI109,","))&amp;",",","&amp;SUBSTITUTE(input_executive_education_focus," ","")&amp;",")))&gt;0)),IF(DK109="",TRUE,IF(input_executive_education_focus="",FALSE,SUMPRODUCT(--ISNUMBER(SEARCH(","&amp;TRIM(TEXTSPLIT(DK109,","))&amp;",",","&amp;SUBSTITUTE(input_executive_education_focus," ","")&amp;",")))=COUNTA(TEXTSPLIT(DK109,",")))),IF(DM109="",TRUE,IF(input_executive_education_focus="",TRUE,SUMPRODUCT(--ISNUMBER(SEARCH(","&amp;TRIM(TEXTSPLIT(DM109,","))&amp;",",","&amp;SUBSTITUTE(input_executive_education_focus," ","")&amp;",")))=0)),IF(DO109="",TRUE,IF(input_executive_education_focus="",FALSE,SUMPRODUCT(--ISNUMBER(SEARCH(","&amp;TRIM(TEXTSPLIT(DO109,","))&amp;",",","&amp;SUBSTITUTE(input_executive_education_focus," ","")&amp;",")))&gt;0)),IF(DQ109="",TRUE,IF(input_executive_education_focus="",FALSE,SUMPRODUCT(--ISNUMBER(SEARCH(","&amp;TRIM(TEXTSPLIT(DQ109,","))&amp;",",","&amp;SUBSTITUTE(input_executive_education_focus," ","")&amp;",")))=COUNTA(TEXTSPLIT(DQ109,",")))))</f>
        <v/>
      </c>
      <c r="JE109" s="19">
        <f>AND(IF(DS109="",TRUE,IF(input_faculty_category="",FALSE,SUMPRODUCT(--ISNUMBER(SEARCH(","&amp;TRIM(TEXTSPLIT(DS109,","))&amp;",",","&amp;SUBSTITUTE(input_faculty_category," ","")&amp;",")))&gt;0)),IF(DU109="",TRUE,IF(input_faculty_category="",FALSE,SUMPRODUCT(--ISNUMBER(SEARCH(","&amp;TRIM(TEXTSPLIT(DU109,","))&amp;",",","&amp;SUBSTITUTE(input_faculty_category," ","")&amp;",")))=COUNTA(TEXTSPLIT(DU109,",")))),IF(DW109="",TRUE,IF(input_faculty_category="",TRUE,SUMPRODUCT(--ISNUMBER(SEARCH(","&amp;TRIM(TEXTSPLIT(DW109,","))&amp;",",","&amp;SUBSTITUTE(input_faculty_category," ","")&amp;",")))=0)),IF(DY109="",TRUE,IF(input_faculty_category="",FALSE,SUMPRODUCT(--ISNUMBER(SEARCH(","&amp;TRIM(TEXTSPLIT(DY109,","))&amp;",",","&amp;SUBSTITUTE(input_faculty_category," ","")&amp;",")))&gt;0)),IF(EA109="",TRUE,IF(input_faculty_category="",FALSE,SUMPRODUCT(--ISNUMBER(SEARCH(","&amp;TRIM(TEXTSPLIT(EA109,","))&amp;",",","&amp;SUBSTITUTE(input_faculty_category," ","")&amp;",")))=COUNTA(TEXTSPLIT(EA109,",")))))</f>
        <v/>
      </c>
      <c r="JF109" s="19">
        <f>AND(IF(EC109="",TRUE,IF(input_faculty_discipline="",FALSE,SUMPRODUCT(--ISNUMBER(SEARCH(","&amp;TRIM(TEXTSPLIT(EC109,","))&amp;",",","&amp;SUBSTITUTE(input_faculty_discipline," ","")&amp;",")))&gt;0)),IF(EE109="",TRUE,IF(input_faculty_discipline="",FALSE,SUMPRODUCT(--ISNUMBER(SEARCH(","&amp;TRIM(TEXTSPLIT(EE109,","))&amp;",",","&amp;SUBSTITUTE(input_faculty_discipline," ","")&amp;",")))=COUNTA(TEXTSPLIT(EE109,",")))),IF(EG109="",TRUE,IF(input_faculty_discipline="",TRUE,SUMPRODUCT(--ISNUMBER(SEARCH(","&amp;TRIM(TEXTSPLIT(EG109,","))&amp;",",","&amp;SUBSTITUTE(input_faculty_discipline," ","")&amp;",")))=0)),IF(EI109="",TRUE,IF(input_faculty_discipline="",FALSE,SUMPRODUCT(--ISNUMBER(SEARCH(","&amp;TRIM(TEXTSPLIT(EI109,","))&amp;",",","&amp;SUBSTITUTE(input_faculty_discipline," ","")&amp;",")))&gt;0)),IF(EK109="",TRUE,IF(input_faculty_discipline="",FALSE,SUMPRODUCT(--ISNUMBER(SEARCH(","&amp;TRIM(TEXTSPLIT(EK109,","))&amp;",",","&amp;SUBSTITUTE(input_faculty_discipline," ","")&amp;",")))=COUNTA(TEXTSPLIT(EK109,",")))))</f>
        <v/>
      </c>
      <c r="JG109" s="19">
        <f>AND(IF(EM109="",TRUE,IF(input_faculty_expertise="",FALSE,SUMPRODUCT(--ISNUMBER(SEARCH(","&amp;TRIM(TEXTSPLIT(EM109,","))&amp;",",","&amp;SUBSTITUTE(input_faculty_expertise," ","")&amp;",")))&gt;0)),IF(EO109="",TRUE,IF(input_faculty_expertise="",FALSE,SUMPRODUCT(--ISNUMBER(SEARCH(","&amp;TRIM(TEXTSPLIT(EO109,","))&amp;",",","&amp;SUBSTITUTE(input_faculty_expertise," ","")&amp;",")))=COUNTA(TEXTSPLIT(EO109,",")))),IF(EQ109="",TRUE,IF(input_faculty_expertise="",TRUE,SUMPRODUCT(--ISNUMBER(SEARCH(","&amp;TRIM(TEXTSPLIT(EQ109,","))&amp;",",","&amp;SUBSTITUTE(input_faculty_expertise," ","")&amp;",")))=0)),IF(ES109="",TRUE,IF(input_faculty_expertise="",FALSE,SUMPRODUCT(--ISNUMBER(SEARCH(","&amp;TRIM(TEXTSPLIT(ES109,","))&amp;",",","&amp;SUBSTITUTE(input_faculty_expertise," ","")&amp;",")))&gt;0)),IF(EU109="",TRUE,IF(input_faculty_expertise="",FALSE,SUMPRODUCT(--ISNUMBER(SEARCH(","&amp;TRIM(TEXTSPLIT(EU109,","))&amp;",",","&amp;SUBSTITUTE(input_faculty_expertise," ","")&amp;",")))=COUNTA(TEXTSPLIT(EU109,",")))))</f>
        <v/>
      </c>
      <c r="JH109" s="19">
        <f>AND(IF(EW109="",TRUE,IF(input_global_network_school="",FALSE,SUMPRODUCT(--ISNUMBER(SEARCH(","&amp;TRIM(TEXTSPLIT(EW109,","))&amp;",",","&amp;SUBSTITUTE(input_global_network_school," ","")&amp;",")))&gt;0)),IF(EY109="",TRUE,IF(input_global_network_school="",FALSE,SUMPRODUCT(--ISNUMBER(SEARCH(","&amp;TRIM(TEXTSPLIT(EY109,","))&amp;",",","&amp;SUBSTITUTE(input_global_network_school," ","")&amp;",")))=COUNTA(TEXTSPLIT(EY109,",")))),IF(FA109="",TRUE,IF(input_global_network_school="",TRUE,SUMPRODUCT(--ISNUMBER(SEARCH(","&amp;TRIM(TEXTSPLIT(FA109,","))&amp;",",","&amp;SUBSTITUTE(input_global_network_school," ","")&amp;",")))=0)),IF(FC109="",TRUE,IF(input_global_network_school="",FALSE,SUMPRODUCT(--ISNUMBER(SEARCH(","&amp;TRIM(TEXTSPLIT(FC109,","))&amp;",",","&amp;SUBSTITUTE(input_global_network_school," ","")&amp;",")))&gt;0)),IF(FE109="",TRUE,IF(input_global_network_school="",FALSE,SUMPRODUCT(--ISNUMBER(SEARCH(","&amp;TRIM(TEXTSPLIT(FE109,","))&amp;",",","&amp;SUBSTITUTE(input_global_network_school," ","")&amp;",")))=COUNTA(TEXTSPLIT(FE109,",")))))</f>
        <v/>
      </c>
      <c r="JI109" s="19">
        <f>AND(IF(FG109="",TRUE,IF(input_industry="",FALSE,SUMPRODUCT(--ISNUMBER(SEARCH(","&amp;TRIM(TEXTSPLIT(FG109,","))&amp;",",","&amp;SUBSTITUTE(input_industry," ","")&amp;",")))&gt;0)),IF(FI109="",TRUE,IF(input_industry="",FALSE,SUMPRODUCT(--ISNUMBER(SEARCH(","&amp;TRIM(TEXTSPLIT(FI109,","))&amp;",",","&amp;SUBSTITUTE(input_industry," ","")&amp;",")))=COUNTA(TEXTSPLIT(FI109,",")))),IF(FK109="",TRUE,IF(input_industry="",TRUE,SUMPRODUCT(--ISNUMBER(SEARCH(","&amp;TRIM(TEXTSPLIT(FK109,","))&amp;",",","&amp;SUBSTITUTE(input_industry," ","")&amp;",")))=0)),IF(FM109="",TRUE,IF(input_industry="",FALSE,SUMPRODUCT(--ISNUMBER(SEARCH(","&amp;TRIM(TEXTSPLIT(FM109,","))&amp;",",","&amp;SUBSTITUTE(input_industry," ","")&amp;",")))&gt;0)),IF(FO109="",TRUE,IF(input_industry="",FALSE,SUMPRODUCT(--ISNUMBER(SEARCH(","&amp;TRIM(TEXTSPLIT(FO109,","))&amp;",",","&amp;SUBSTITUTE(input_industry," ","")&amp;",")))=COUNTA(TEXTSPLIT(FO109,",")))))</f>
        <v/>
      </c>
      <c r="JJ109" s="19">
        <f>AND(IF(FQ109="",TRUE,IF(input_location="",FALSE,SUMPRODUCT(--ISNUMBER(SEARCH(","&amp;TRIM(TEXTSPLIT(FQ109,","))&amp;",",","&amp;SUBSTITUTE(input_location," ","")&amp;",")))&gt;0)),IF(FS109="",TRUE,IF(input_location="",FALSE,SUMPRODUCT(--ISNUMBER(SEARCH(","&amp;TRIM(TEXTSPLIT(FS109,","))&amp;",",","&amp;SUBSTITUTE(input_location," ","")&amp;",")))=COUNTA(TEXTSPLIT(FS109,",")))),IF(FU109="",TRUE,IF(input_location="",TRUE,SUMPRODUCT(--ISNUMBER(SEARCH(","&amp;TRIM(TEXTSPLIT(FU109,","))&amp;",",","&amp;SUBSTITUTE(input_location," ","")&amp;",")))=0)),IF(FW109="",TRUE,IF(input_location="",FALSE,SUMPRODUCT(--ISNUMBER(SEARCH(","&amp;TRIM(TEXTSPLIT(FW109,","))&amp;",",","&amp;SUBSTITUTE(input_location," ","")&amp;",")))&gt;0)),IF(FY109="",TRUE,IF(input_location="",FALSE,SUMPRODUCT(--ISNUMBER(SEARCH(","&amp;TRIM(TEXTSPLIT(FY109,","))&amp;",",","&amp;SUBSTITUTE(input_location," ","")&amp;",")))=COUNTA(TEXTSPLIT(FY109,",")))))</f>
        <v/>
      </c>
      <c r="JK109" s="19">
        <f>AND(IF(GA109="",TRUE,IF(input_modality="",FALSE,SUMPRODUCT(--ISNUMBER(SEARCH(","&amp;TRIM(TEXTSPLIT(GA109,","))&amp;",",","&amp;SUBSTITUTE(input_modality," ","")&amp;",")))&gt;0)),IF(GC109="",TRUE,IF(input_modality="",FALSE,SUMPRODUCT(--ISNUMBER(SEARCH(","&amp;TRIM(TEXTSPLIT(GC109,","))&amp;",",","&amp;SUBSTITUTE(input_modality," ","")&amp;",")))=COUNTA(TEXTSPLIT(GC109,",")))),IF(GE109="",TRUE,IF(input_modality="",TRUE,SUMPRODUCT(--ISNUMBER(SEARCH(","&amp;TRIM(TEXTSPLIT(GE109,","))&amp;",",","&amp;SUBSTITUTE(input_modality," ","")&amp;",")))=0)),IF(GG109="",TRUE,IF(input_modality="",FALSE,SUMPRODUCT(--ISNUMBER(SEARCH(","&amp;TRIM(TEXTSPLIT(GG109,","))&amp;",",","&amp;SUBSTITUTE(input_modality," ","")&amp;",")))&gt;0)),IF(GI109="",TRUE,IF(input_modality="",FALSE,SUMPRODUCT(--ISNUMBER(SEARCH(","&amp;TRIM(TEXTSPLIT(GI109,","))&amp;",",","&amp;SUBSTITUTE(input_modality," ","")&amp;",")))=COUNTA(TEXTSPLIT(GI109,",")))))</f>
        <v/>
      </c>
      <c r="JL109" s="19">
        <f>AND(IF(GK109="",TRUE,IF(input_organizer="",FALSE,SUMPRODUCT(--ISNUMBER(SEARCH(","&amp;TRIM(TEXTSPLIT(GK109,","))&amp;",",","&amp;SUBSTITUTE(input_organizer," ","")&amp;",")))&gt;0)),IF(GM109="",TRUE,IF(input_organizer="",FALSE,SUMPRODUCT(--ISNUMBER(SEARCH(","&amp;TRIM(TEXTSPLIT(GM109,","))&amp;",",","&amp;SUBSTITUTE(input_organizer," ","")&amp;",")))=COUNTA(TEXTSPLIT(GM109,",")))),IF(GO109="",TRUE,IF(input_organizer="",TRUE,SUMPRODUCT(--ISNUMBER(SEARCH(","&amp;TRIM(TEXTSPLIT(GO109,","))&amp;",",","&amp;SUBSTITUTE(input_organizer," ","")&amp;",")))=0)),IF(GQ109="",TRUE,IF(input_organizer="",FALSE,SUMPRODUCT(--ISNUMBER(SEARCH(","&amp;TRIM(TEXTSPLIT(GQ109,","))&amp;",",","&amp;SUBSTITUTE(input_organizer," ","")&amp;",")))&gt;0)),IF(GS109="",TRUE,IF(input_organizer="",FALSE,SUMPRODUCT(--ISNUMBER(SEARCH(","&amp;TRIM(TEXTSPLIT(GS109,","))&amp;",",","&amp;SUBSTITUTE(input_organizer," ","")&amp;",")))=COUNTA(TEXTSPLIT(GS109,",")))))</f>
        <v/>
      </c>
      <c r="JM109" s="19">
        <f>AND(IF(GU109="",TRUE,IF(input_profile_type="",FALSE,SUMPRODUCT(--ISNUMBER(SEARCH(","&amp;TRIM(TEXTSPLIT(GU109,","))&amp;",",","&amp;SUBSTITUTE(input_profile_type," ","")&amp;",")))&gt;0)),IF(GW109="",TRUE,IF(input_profile_type="",FALSE,SUMPRODUCT(--ISNUMBER(SEARCH(","&amp;TRIM(TEXTSPLIT(GW109,","))&amp;",",","&amp;SUBSTITUTE(input_profile_type," ","")&amp;",")))=COUNTA(TEXTSPLIT(GW109,",")))),IF(GY109="",TRUE,IF(input_profile_type="",TRUE,SUMPRODUCT(--ISNUMBER(SEARCH(","&amp;TRIM(TEXTSPLIT(GY109,","))&amp;",",","&amp;SUBSTITUTE(input_profile_type," ","")&amp;",")))=0)),IF(HA109="",TRUE,IF(input_profile_type="",FALSE,SUMPRODUCT(--ISNUMBER(SEARCH(","&amp;TRIM(TEXTSPLIT(HA109,","))&amp;",",","&amp;SUBSTITUTE(input_profile_type," ","")&amp;",")))&gt;0)),IF(HC109="",TRUE,IF(input_profile_type="",FALSE,SUMPRODUCT(--ISNUMBER(SEARCH(","&amp;TRIM(TEXTSPLIT(HC109,","))&amp;",",","&amp;SUBSTITUTE(input_profile_type," ","")&amp;",")))=COUNTA(TEXTSPLIT(HC109,",")))))</f>
        <v/>
      </c>
      <c r="JN109" s="19">
        <f>AND(IF(HE109="",TRUE,IF(input_program="",FALSE,SUMPRODUCT(--ISNUMBER(SEARCH(","&amp;TRIM(TEXTSPLIT(HE109,","))&amp;",",","&amp;SUBSTITUTE(input_program," ","")&amp;",")))&gt;0)),IF(HG109="",TRUE,IF(input_program="",FALSE,SUMPRODUCT(--ISNUMBER(SEARCH(","&amp;TRIM(TEXTSPLIT(HG109,","))&amp;",",","&amp;SUBSTITUTE(input_program," ","")&amp;",")))=COUNTA(TEXTSPLIT(HG109,",")))),IF(HI109="",TRUE,IF(input_program="",TRUE,SUMPRODUCT(--ISNUMBER(SEARCH(","&amp;TRIM(TEXTSPLIT(HI109,","))&amp;",",","&amp;SUBSTITUTE(input_program," ","")&amp;",")))=0)),IF(HK109="",TRUE,IF(input_program="",FALSE,SUMPRODUCT(--ISNUMBER(SEARCH(","&amp;TRIM(TEXTSPLIT(HK109,","))&amp;",",","&amp;SUBSTITUTE(input_program," ","")&amp;",")))&gt;0)),IF(HM109="",TRUE,IF(input_program="",FALSE,SUMPRODUCT(--ISNUMBER(SEARCH(","&amp;TRIM(TEXTSPLIT(HM109,","))&amp;",",","&amp;SUBSTITUTE(input_program," ","")&amp;",")))=COUNTA(TEXTSPLIT(HM109,",")))))</f>
        <v/>
      </c>
      <c r="JO109" s="19">
        <f>AND(IF(HO109="",TRUE,IF(input_story_categories="",FALSE,SUMPRODUCT(--ISNUMBER(SEARCH(","&amp;TRIM(TEXTSPLIT(HO109,","))&amp;",",","&amp;SUBSTITUTE(input_story_categories," ","")&amp;",")))&gt;0)),IF(HQ109="",TRUE,IF(input_story_categories="",FALSE,SUMPRODUCT(--ISNUMBER(SEARCH(","&amp;TRIM(TEXTSPLIT(HQ109,","))&amp;",",","&amp;SUBSTITUTE(input_story_categories," ","")&amp;",")))=COUNTA(TEXTSPLIT(HQ109,",")))),IF(HS109="",TRUE,IF(input_story_categories="",TRUE,SUMPRODUCT(--ISNUMBER(SEARCH(","&amp;TRIM(TEXTSPLIT(HS109,","))&amp;",",","&amp;SUBSTITUTE(input_story_categories," ","")&amp;",")))=0)),IF(HU109="",TRUE,IF(input_story_categories="",FALSE,SUMPRODUCT(--ISNUMBER(SEARCH(","&amp;TRIM(TEXTSPLIT(HU109,","))&amp;",",","&amp;SUBSTITUTE(input_story_categories," ","")&amp;",")))&gt;0)),IF(HW109="",TRUE,IF(input_story_categories="",FALSE,SUMPRODUCT(--ISNUMBER(SEARCH(","&amp;TRIM(TEXTSPLIT(HW109,","))&amp;",",","&amp;SUBSTITUTE(input_story_categories," ","")&amp;",")))=COUNTA(TEXTSPLIT(HW109,",")))))</f>
        <v/>
      </c>
      <c r="JP109" s="19">
        <f>AND(IF(HY109="",TRUE,IF(input_story_type="",FALSE,SUMPRODUCT(--ISNUMBER(SEARCH(","&amp;TRIM(TEXTSPLIT(HY109,","))&amp;",",","&amp;SUBSTITUTE(input_story_type," ","")&amp;",")))&gt;0)),IF(IA109="",TRUE,IF(input_story_type="",FALSE,SUMPRODUCT(--ISNUMBER(SEARCH(","&amp;TRIM(TEXTSPLIT(IA109,","))&amp;",",","&amp;SUBSTITUTE(input_story_type," ","")&amp;",")))=COUNTA(TEXTSPLIT(IA109,",")))),IF(IC109="",TRUE,IF(input_story_type="",TRUE,SUMPRODUCT(--ISNUMBER(SEARCH(","&amp;TRIM(TEXTSPLIT(IC109,","))&amp;",",","&amp;SUBSTITUTE(input_story_type," ","")&amp;",")))=0)),IF(IE109="",TRUE,IF(input_story_type="",FALSE,SUMPRODUCT(--ISNUMBER(SEARCH(","&amp;TRIM(TEXTSPLIT(IE109,","))&amp;",",","&amp;SUBSTITUTE(input_story_type," ","")&amp;",")))&gt;0)),IF(IG109="",TRUE,IF(input_story_type="",FALSE,SUMPRODUCT(--ISNUMBER(SEARCH(","&amp;TRIM(TEXTSPLIT(IG109,","))&amp;",",","&amp;SUBSTITUTE(input_story_type," ","")&amp;",")))=COUNTA(TEXTSPLIT(IG109,",")))))</f>
        <v/>
      </c>
      <c r="JQ109" s="19">
        <f>AND(IF(II109="",TRUE,IF(input_topics="",FALSE,SUMPRODUCT(--ISNUMBER(SEARCH(","&amp;TRIM(TEXTSPLIT(II109,","))&amp;",",","&amp;SUBSTITUTE(input_topics," ","")&amp;",")))&gt;0)),IF(IK109="",TRUE,IF(input_topics="",FALSE,SUMPRODUCT(--ISNUMBER(SEARCH(","&amp;TRIM(TEXTSPLIT(IK109,","))&amp;",",","&amp;SUBSTITUTE(input_topics," ","")&amp;",")))=COUNTA(TEXTSPLIT(IK109,",")))),IF(IM109="",TRUE,IF(input_topics="",TRUE,SUMPRODUCT(--ISNUMBER(SEARCH(","&amp;TRIM(TEXTSPLIT(IM109,","))&amp;",",","&amp;SUBSTITUTE(input_topics," ","")&amp;",")))=0)),IF(IO109="",TRUE,IF(input_topics="",FALSE,SUMPRODUCT(--ISNUMBER(SEARCH(","&amp;TRIM(TEXTSPLIT(IO109,","))&amp;",",","&amp;SUBSTITUTE(input_topics," ","")&amp;",")))&gt;0)),IF(IQ109="",TRUE,IF(input_topics="",FALSE,SUMPRODUCT(--ISNUMBER(SEARCH(","&amp;TRIM(TEXTSPLIT(IQ109,","))&amp;",",","&amp;SUBSTITUTE(input_topics," ","")&amp;",")))=COUNTA(TEXTSPLIT(IQ109,",")))))</f>
        <v/>
      </c>
    </row>
    <row r="110">
      <c r="A110" s="24">
        <f>IF(NOT(IS110),"Excluded",IF(AND(IT110,IU110,IV110,IW110,IX110,IY110,IZ110,JA110,JB110,JC110,JD110,JE110,JF110,JG110,JH110,JI110,JJ110,JK110,JL110,JM110,JN110,JO110,JP110,JQ110),IF(I110&gt;0,"Eligible but limited","Will appear"),"Excluded"))</f>
        <v/>
      </c>
      <c r="B110" s="24" t="inlineStr">
        <is>
          <t>Events</t>
        </is>
      </c>
      <c r="C110" s="27" t="inlineStr">
        <is>
          <t>/programs/mms-global-business-and-society</t>
        </is>
      </c>
      <c r="D110" s="24" t="inlineStr">
        <is>
          <t>/programs/mms-global-business-and-society</t>
        </is>
      </c>
      <c r="E110" s="24" t="n">
        <v>1</v>
      </c>
      <c r="F110" s="24" t="inlineStr">
        <is>
          <t>event</t>
        </is>
      </c>
      <c r="G110" s="24" t="inlineStr">
        <is>
          <t>event_teaser_list</t>
        </is>
      </c>
      <c r="H110" s="24" t="inlineStr">
        <is>
          <t>embed_1</t>
        </is>
      </c>
      <c r="I110" s="24" t="n">
        <v>3</v>
      </c>
      <c r="J110" s="29" t="inlineStr">
        <is>
          <t>Section inferred</t>
        </is>
      </c>
      <c r="K110" s="24" t="inlineStr">
        <is>
          <t>Page placement</t>
        </is>
      </c>
      <c r="L110" s="24" t="inlineStr">
        <is>
          <t>Content type: event; Context uses Courses Context: Master's Degree in Global Business and Society (950); Limited to 3 item(s); Source: Section inferred</t>
        </is>
      </c>
      <c r="BQ110" s="19" t="inlineStr">
        <is>
          <t>950</t>
        </is>
      </c>
      <c r="BR110" s="19" t="inlineStr">
        <is>
          <t>Master's Degree in Global Business and Society (950)</t>
        </is>
      </c>
      <c r="IS110" s="19">
        <f>IF(input_content_type="",FALSE,ISNUMBER(SEARCH(","&amp;LOWER(input_content_type)&amp;",",","&amp;LOWER(SUBSTITUTE(F110," ",""))&amp;",")))</f>
        <v/>
      </c>
      <c r="IT110" s="19">
        <f>AND(IF(M110="",TRUE,IF(input_affiliations="",FALSE,SUMPRODUCT(--ISNUMBER(SEARCH(","&amp;TRIM(TEXTSPLIT(M110,","))&amp;",",","&amp;SUBSTITUTE(input_affiliations," ","")&amp;",")))&gt;0)),IF(O110="",TRUE,IF(input_affiliations="",FALSE,SUMPRODUCT(--ISNUMBER(SEARCH(","&amp;TRIM(TEXTSPLIT(O110,","))&amp;",",","&amp;SUBSTITUTE(input_affiliations," ","")&amp;",")))=COUNTA(TEXTSPLIT(O110,",")))),IF(Q110="",TRUE,IF(input_affiliations="",TRUE,SUMPRODUCT(--ISNUMBER(SEARCH(","&amp;TRIM(TEXTSPLIT(Q110,","))&amp;",",","&amp;SUBSTITUTE(input_affiliations," ","")&amp;",")))=0)),IF(S110="",TRUE,IF(input_affiliations="",FALSE,SUMPRODUCT(--ISNUMBER(SEARCH(","&amp;TRIM(TEXTSPLIT(S110,","))&amp;",",","&amp;SUBSTITUTE(input_affiliations," ","")&amp;",")))&gt;0)),IF(U110="",TRUE,IF(input_affiliations="",FALSE,SUMPRODUCT(--ISNUMBER(SEARCH(","&amp;TRIM(TEXTSPLIT(U110,","))&amp;",",","&amp;SUBSTITUTE(input_affiliations," ","")&amp;",")))=COUNTA(TEXTSPLIT(U110,",")))))</f>
        <v/>
      </c>
      <c r="IU110" s="19">
        <f>AND(IF(W110="",TRUE,IF(input_announcement_category="",FALSE,SUMPRODUCT(--ISNUMBER(SEARCH(","&amp;TRIM(TEXTSPLIT(W110,","))&amp;",",","&amp;SUBSTITUTE(input_announcement_category," ","")&amp;",")))&gt;0)),IF(Y110="",TRUE,IF(input_announcement_category="",FALSE,SUMPRODUCT(--ISNUMBER(SEARCH(","&amp;TRIM(TEXTSPLIT(Y110,","))&amp;",",","&amp;SUBSTITUTE(input_announcement_category," ","")&amp;",")))=COUNTA(TEXTSPLIT(Y110,",")))),IF(AA110="",TRUE,IF(input_announcement_category="",TRUE,SUMPRODUCT(--ISNUMBER(SEARCH(","&amp;TRIM(TEXTSPLIT(AA110,","))&amp;",",","&amp;SUBSTITUTE(input_announcement_category," ","")&amp;",")))=0)),IF(AC110="",TRUE,IF(input_announcement_category="",FALSE,SUMPRODUCT(--ISNUMBER(SEARCH(","&amp;TRIM(TEXTSPLIT(AC110,","))&amp;",",","&amp;SUBSTITUTE(input_announcement_category," ","")&amp;",")))&gt;0)),IF(AE110="",TRUE,IF(input_announcement_category="",FALSE,SUMPRODUCT(--ISNUMBER(SEARCH(","&amp;TRIM(TEXTSPLIT(AE110,","))&amp;",",","&amp;SUBSTITUTE(input_announcement_category," ","")&amp;",")))=COUNTA(TEXTSPLIT(AE110,",")))))</f>
        <v/>
      </c>
      <c r="IV110" s="19">
        <f>AND(IF(AG110="",TRUE,IF(input_area_of_focus="",FALSE,SUMPRODUCT(--ISNUMBER(SEARCH(","&amp;TRIM(TEXTSPLIT(AG110,","))&amp;",",","&amp;SUBSTITUTE(input_area_of_focus," ","")&amp;",")))&gt;0)),IF(AI110="",TRUE,IF(input_area_of_focus="",FALSE,SUMPRODUCT(--ISNUMBER(SEARCH(","&amp;TRIM(TEXTSPLIT(AI110,","))&amp;",",","&amp;SUBSTITUTE(input_area_of_focus," ","")&amp;",")))=COUNTA(TEXTSPLIT(AI110,",")))),IF(AK110="",TRUE,IF(input_area_of_focus="",TRUE,SUMPRODUCT(--ISNUMBER(SEARCH(","&amp;TRIM(TEXTSPLIT(AK110,","))&amp;",",","&amp;SUBSTITUTE(input_area_of_focus," ","")&amp;",")))=0)),IF(AM110="",TRUE,IF(input_area_of_focus="",FALSE,SUMPRODUCT(--ISNUMBER(SEARCH(","&amp;TRIM(TEXTSPLIT(AM110,","))&amp;",",","&amp;SUBSTITUTE(input_area_of_focus," ","")&amp;",")))&gt;0)),IF(AO110="",TRUE,IF(input_area_of_focus="",FALSE,SUMPRODUCT(--ISNUMBER(SEARCH(","&amp;TRIM(TEXTSPLIT(AO110,","))&amp;",",","&amp;SUBSTITUTE(input_area_of_focus," ","")&amp;",")))=COUNTA(TEXTSPLIT(AO110,",")))))</f>
        <v/>
      </c>
      <c r="IW110" s="19">
        <f>AND(IF(AQ110="",TRUE,IF(input_audience="",FALSE,SUMPRODUCT(--ISNUMBER(SEARCH(","&amp;TRIM(TEXTSPLIT(AQ110,","))&amp;",",","&amp;SUBSTITUTE(input_audience," ","")&amp;",")))&gt;0)),IF(AS110="",TRUE,IF(input_audience="",FALSE,SUMPRODUCT(--ISNUMBER(SEARCH(","&amp;TRIM(TEXTSPLIT(AS110,","))&amp;",",","&amp;SUBSTITUTE(input_audience," ","")&amp;",")))=COUNTA(TEXTSPLIT(AS110,",")))),IF(AU110="",TRUE,IF(input_audience="",TRUE,SUMPRODUCT(--ISNUMBER(SEARCH(","&amp;TRIM(TEXTSPLIT(AU110,","))&amp;",",","&amp;SUBSTITUTE(input_audience," ","")&amp;",")))=0)),IF(AW110="",TRUE,IF(input_audience="",FALSE,SUMPRODUCT(--ISNUMBER(SEARCH(","&amp;TRIM(TEXTSPLIT(AW110,","))&amp;",",","&amp;SUBSTITUTE(input_audience," ","")&amp;",")))&gt;0)),IF(AY110="",TRUE,IF(input_audience="",FALSE,SUMPRODUCT(--ISNUMBER(SEARCH(","&amp;TRIM(TEXTSPLIT(AY110,","))&amp;",",","&amp;SUBSTITUTE(input_audience," ","")&amp;",")))=COUNTA(TEXTSPLIT(AY110,",")))))</f>
        <v/>
      </c>
      <c r="IX110" s="19">
        <f>AND(IF(BA110="",TRUE,IF(input_challenge_opportunities="",FALSE,SUMPRODUCT(--ISNUMBER(SEARCH(","&amp;TRIM(TEXTSPLIT(BA110,","))&amp;",",","&amp;SUBSTITUTE(input_challenge_opportunities," ","")&amp;",")))&gt;0)),IF(BC110="",TRUE,IF(input_challenge_opportunities="",FALSE,SUMPRODUCT(--ISNUMBER(SEARCH(","&amp;TRIM(TEXTSPLIT(BC110,","))&amp;",",","&amp;SUBSTITUTE(input_challenge_opportunities," ","")&amp;",")))=COUNTA(TEXTSPLIT(BC110,",")))),IF(BE110="",TRUE,IF(input_challenge_opportunities="",TRUE,SUMPRODUCT(--ISNUMBER(SEARCH(","&amp;TRIM(TEXTSPLIT(BE110,","))&amp;",",","&amp;SUBSTITUTE(input_challenge_opportunities," ","")&amp;",")))=0)),IF(BG110="",TRUE,IF(input_challenge_opportunities="",FALSE,SUMPRODUCT(--ISNUMBER(SEARCH(","&amp;TRIM(TEXTSPLIT(BG110,","))&amp;",",","&amp;SUBSTITUTE(input_challenge_opportunities," ","")&amp;",")))&gt;0)),IF(BI110="",TRUE,IF(input_challenge_opportunities="",FALSE,SUMPRODUCT(--ISNUMBER(SEARCH(","&amp;TRIM(TEXTSPLIT(BI110,","))&amp;",",","&amp;SUBSTITUTE(input_challenge_opportunities," ","")&amp;",")))=COUNTA(TEXTSPLIT(BI110,",")))))</f>
        <v/>
      </c>
      <c r="IY110" s="19">
        <f>AND(IF(BK110="",TRUE,IF(input_context="",FALSE,SUMPRODUCT(--ISNUMBER(SEARCH(","&amp;TRIM(TEXTSPLIT(BK110,","))&amp;",",","&amp;SUBSTITUTE(input_context," ","")&amp;",")))&gt;0)),IF(BM110="",TRUE,IF(input_context="",FALSE,SUMPRODUCT(--ISNUMBER(SEARCH(","&amp;TRIM(TEXTSPLIT(BM110,","))&amp;",",","&amp;SUBSTITUTE(input_context," ","")&amp;",")))=COUNTA(TEXTSPLIT(BM110,",")))),IF(BO110="",TRUE,IF(input_context="",TRUE,SUMPRODUCT(--ISNUMBER(SEARCH(","&amp;TRIM(TEXTSPLIT(BO110,","))&amp;",",","&amp;SUBSTITUTE(input_context," ","")&amp;",")))=0)),IF(BQ110="",TRUE,IF(input_context="",FALSE,SUMPRODUCT(--ISNUMBER(SEARCH(","&amp;TRIM(TEXTSPLIT(BQ110,","))&amp;",",","&amp;SUBSTITUTE(input_context," ","")&amp;",")))&gt;0)),IF(BS110="",TRUE,IF(input_context="",FALSE,SUMPRODUCT(--ISNUMBER(SEARCH(","&amp;TRIM(TEXTSPLIT(BS110,","))&amp;",",","&amp;SUBSTITUTE(input_context," ","")&amp;",")))=COUNTA(TEXTSPLIT(BS110,",")))))</f>
        <v/>
      </c>
      <c r="IZ110" s="19">
        <f>AND(IF(BU110="",TRUE,IF(input_enews_announcement_type="",FALSE,SUMPRODUCT(--ISNUMBER(SEARCH(","&amp;TRIM(TEXTSPLIT(BU110,","))&amp;",",","&amp;SUBSTITUTE(input_enews_announcement_type," ","")&amp;",")))&gt;0)),IF(BW110="",TRUE,IF(input_enews_announcement_type="",FALSE,SUMPRODUCT(--ISNUMBER(SEARCH(","&amp;TRIM(TEXTSPLIT(BW110,","))&amp;",",","&amp;SUBSTITUTE(input_enews_announcement_type," ","")&amp;",")))=COUNTA(TEXTSPLIT(BW110,",")))),IF(BY110="",TRUE,IF(input_enews_announcement_type="",TRUE,SUMPRODUCT(--ISNUMBER(SEARCH(","&amp;TRIM(TEXTSPLIT(BY110,","))&amp;",",","&amp;SUBSTITUTE(input_enews_announcement_type," ","")&amp;",")))=0)),IF(CA110="",TRUE,IF(input_enews_announcement_type="",FALSE,SUMPRODUCT(--ISNUMBER(SEARCH(","&amp;TRIM(TEXTSPLIT(CA110,","))&amp;",",","&amp;SUBSTITUTE(input_enews_announcement_type," ","")&amp;",")))&gt;0)),IF(CC110="",TRUE,IF(input_enews_announcement_type="",FALSE,SUMPRODUCT(--ISNUMBER(SEARCH(","&amp;TRIM(TEXTSPLIT(CC110,","))&amp;",",","&amp;SUBSTITUTE(input_enews_announcement_type," ","")&amp;",")))=COUNTA(TEXTSPLIT(CC110,",")))))</f>
        <v/>
      </c>
      <c r="JA110" s="19">
        <f>AND(IF(CE110="",TRUE,IF(input_enews_audience="",FALSE,SUMPRODUCT(--ISNUMBER(SEARCH(","&amp;TRIM(TEXTSPLIT(CE110,","))&amp;",",","&amp;SUBSTITUTE(input_enews_audience," ","")&amp;",")))&gt;0)),IF(CG110="",TRUE,IF(input_enews_audience="",FALSE,SUMPRODUCT(--ISNUMBER(SEARCH(","&amp;TRIM(TEXTSPLIT(CG110,","))&amp;",",","&amp;SUBSTITUTE(input_enews_audience," ","")&amp;",")))=COUNTA(TEXTSPLIT(CG110,",")))),IF(CI110="",TRUE,IF(input_enews_audience="",TRUE,SUMPRODUCT(--ISNUMBER(SEARCH(","&amp;TRIM(TEXTSPLIT(CI110,","))&amp;",",","&amp;SUBSTITUTE(input_enews_audience," ","")&amp;",")))=0)),IF(CK110="",TRUE,IF(input_enews_audience="",FALSE,SUMPRODUCT(--ISNUMBER(SEARCH(","&amp;TRIM(TEXTSPLIT(CK110,","))&amp;",",","&amp;SUBSTITUTE(input_enews_audience," ","")&amp;",")))&gt;0)),IF(CM110="",TRUE,IF(input_enews_audience="",FALSE,SUMPRODUCT(--ISNUMBER(SEARCH(","&amp;TRIM(TEXTSPLIT(CM110,","))&amp;",",","&amp;SUBSTITUTE(input_enews_audience," ","")&amp;",")))=COUNTA(TEXTSPLIT(CM110,",")))))</f>
        <v/>
      </c>
      <c r="JB110" s="19">
        <f>AND(IF(CO110="",TRUE,IF(input_event_location="",FALSE,SUMPRODUCT(--ISNUMBER(SEARCH(","&amp;TRIM(TEXTSPLIT(CO110,","))&amp;",",","&amp;SUBSTITUTE(input_event_location," ","")&amp;",")))&gt;0)),IF(CQ110="",TRUE,IF(input_event_location="",FALSE,SUMPRODUCT(--ISNUMBER(SEARCH(","&amp;TRIM(TEXTSPLIT(CQ110,","))&amp;",",","&amp;SUBSTITUTE(input_event_location," ","")&amp;",")))=COUNTA(TEXTSPLIT(CQ110,",")))),IF(CS110="",TRUE,IF(input_event_location="",TRUE,SUMPRODUCT(--ISNUMBER(SEARCH(","&amp;TRIM(TEXTSPLIT(CS110,","))&amp;",",","&amp;SUBSTITUTE(input_event_location," ","")&amp;",")))=0)),IF(CU110="",TRUE,IF(input_event_location="",FALSE,SUMPRODUCT(--ISNUMBER(SEARCH(","&amp;TRIM(TEXTSPLIT(CU110,","))&amp;",",","&amp;SUBSTITUTE(input_event_location," ","")&amp;",")))&gt;0)),IF(CW110="",TRUE,IF(input_event_location="",FALSE,SUMPRODUCT(--ISNUMBER(SEARCH(","&amp;TRIM(TEXTSPLIT(CW110,","))&amp;",",","&amp;SUBSTITUTE(input_event_location," ","")&amp;",")))=COUNTA(TEXTSPLIT(CW110,",")))))</f>
        <v/>
      </c>
      <c r="JC110" s="19">
        <f>AND(IF(CY110="",TRUE,IF(input_event_type="",FALSE,SUMPRODUCT(--ISNUMBER(SEARCH(","&amp;TRIM(TEXTSPLIT(CY110,","))&amp;",",","&amp;SUBSTITUTE(input_event_type," ","")&amp;",")))&gt;0)),IF(DA110="",TRUE,IF(input_event_type="",FALSE,SUMPRODUCT(--ISNUMBER(SEARCH(","&amp;TRIM(TEXTSPLIT(DA110,","))&amp;",",","&amp;SUBSTITUTE(input_event_type," ","")&amp;",")))=COUNTA(TEXTSPLIT(DA110,",")))),IF(DC110="",TRUE,IF(input_event_type="",TRUE,SUMPRODUCT(--ISNUMBER(SEARCH(","&amp;TRIM(TEXTSPLIT(DC110,","))&amp;",",","&amp;SUBSTITUTE(input_event_type," ","")&amp;",")))=0)),IF(DE110="",TRUE,IF(input_event_type="",FALSE,SUMPRODUCT(--ISNUMBER(SEARCH(","&amp;TRIM(TEXTSPLIT(DE110,","))&amp;",",","&amp;SUBSTITUTE(input_event_type," ","")&amp;",")))&gt;0)),IF(DG110="",TRUE,IF(input_event_type="",FALSE,SUMPRODUCT(--ISNUMBER(SEARCH(","&amp;TRIM(TEXTSPLIT(DG110,","))&amp;",",","&amp;SUBSTITUTE(input_event_type," ","")&amp;",")))=COUNTA(TEXTSPLIT(DG110,",")))))</f>
        <v/>
      </c>
      <c r="JD110" s="19">
        <f>AND(IF(DI110="",TRUE,IF(input_executive_education_focus="",FALSE,SUMPRODUCT(--ISNUMBER(SEARCH(","&amp;TRIM(TEXTSPLIT(DI110,","))&amp;",",","&amp;SUBSTITUTE(input_executive_education_focus," ","")&amp;",")))&gt;0)),IF(DK110="",TRUE,IF(input_executive_education_focus="",FALSE,SUMPRODUCT(--ISNUMBER(SEARCH(","&amp;TRIM(TEXTSPLIT(DK110,","))&amp;",",","&amp;SUBSTITUTE(input_executive_education_focus," ","")&amp;",")))=COUNTA(TEXTSPLIT(DK110,",")))),IF(DM110="",TRUE,IF(input_executive_education_focus="",TRUE,SUMPRODUCT(--ISNUMBER(SEARCH(","&amp;TRIM(TEXTSPLIT(DM110,","))&amp;",",","&amp;SUBSTITUTE(input_executive_education_focus," ","")&amp;",")))=0)),IF(DO110="",TRUE,IF(input_executive_education_focus="",FALSE,SUMPRODUCT(--ISNUMBER(SEARCH(","&amp;TRIM(TEXTSPLIT(DO110,","))&amp;",",","&amp;SUBSTITUTE(input_executive_education_focus," ","")&amp;",")))&gt;0)),IF(DQ110="",TRUE,IF(input_executive_education_focus="",FALSE,SUMPRODUCT(--ISNUMBER(SEARCH(","&amp;TRIM(TEXTSPLIT(DQ110,","))&amp;",",","&amp;SUBSTITUTE(input_executive_education_focus," ","")&amp;",")))=COUNTA(TEXTSPLIT(DQ110,",")))))</f>
        <v/>
      </c>
      <c r="JE110" s="19">
        <f>AND(IF(DS110="",TRUE,IF(input_faculty_category="",FALSE,SUMPRODUCT(--ISNUMBER(SEARCH(","&amp;TRIM(TEXTSPLIT(DS110,","))&amp;",",","&amp;SUBSTITUTE(input_faculty_category," ","")&amp;",")))&gt;0)),IF(DU110="",TRUE,IF(input_faculty_category="",FALSE,SUMPRODUCT(--ISNUMBER(SEARCH(","&amp;TRIM(TEXTSPLIT(DU110,","))&amp;",",","&amp;SUBSTITUTE(input_faculty_category," ","")&amp;",")))=COUNTA(TEXTSPLIT(DU110,",")))),IF(DW110="",TRUE,IF(input_faculty_category="",TRUE,SUMPRODUCT(--ISNUMBER(SEARCH(","&amp;TRIM(TEXTSPLIT(DW110,","))&amp;",",","&amp;SUBSTITUTE(input_faculty_category," ","")&amp;",")))=0)),IF(DY110="",TRUE,IF(input_faculty_category="",FALSE,SUMPRODUCT(--ISNUMBER(SEARCH(","&amp;TRIM(TEXTSPLIT(DY110,","))&amp;",",","&amp;SUBSTITUTE(input_faculty_category," ","")&amp;",")))&gt;0)),IF(EA110="",TRUE,IF(input_faculty_category="",FALSE,SUMPRODUCT(--ISNUMBER(SEARCH(","&amp;TRIM(TEXTSPLIT(EA110,","))&amp;",",","&amp;SUBSTITUTE(input_faculty_category," ","")&amp;",")))=COUNTA(TEXTSPLIT(EA110,",")))))</f>
        <v/>
      </c>
      <c r="JF110" s="19">
        <f>AND(IF(EC110="",TRUE,IF(input_faculty_discipline="",FALSE,SUMPRODUCT(--ISNUMBER(SEARCH(","&amp;TRIM(TEXTSPLIT(EC110,","))&amp;",",","&amp;SUBSTITUTE(input_faculty_discipline," ","")&amp;",")))&gt;0)),IF(EE110="",TRUE,IF(input_faculty_discipline="",FALSE,SUMPRODUCT(--ISNUMBER(SEARCH(","&amp;TRIM(TEXTSPLIT(EE110,","))&amp;",",","&amp;SUBSTITUTE(input_faculty_discipline," ","")&amp;",")))=COUNTA(TEXTSPLIT(EE110,",")))),IF(EG110="",TRUE,IF(input_faculty_discipline="",TRUE,SUMPRODUCT(--ISNUMBER(SEARCH(","&amp;TRIM(TEXTSPLIT(EG110,","))&amp;",",","&amp;SUBSTITUTE(input_faculty_discipline," ","")&amp;",")))=0)),IF(EI110="",TRUE,IF(input_faculty_discipline="",FALSE,SUMPRODUCT(--ISNUMBER(SEARCH(","&amp;TRIM(TEXTSPLIT(EI110,","))&amp;",",","&amp;SUBSTITUTE(input_faculty_discipline," ","")&amp;",")))&gt;0)),IF(EK110="",TRUE,IF(input_faculty_discipline="",FALSE,SUMPRODUCT(--ISNUMBER(SEARCH(","&amp;TRIM(TEXTSPLIT(EK110,","))&amp;",",","&amp;SUBSTITUTE(input_faculty_discipline," ","")&amp;",")))=COUNTA(TEXTSPLIT(EK110,",")))))</f>
        <v/>
      </c>
      <c r="JG110" s="19">
        <f>AND(IF(EM110="",TRUE,IF(input_faculty_expertise="",FALSE,SUMPRODUCT(--ISNUMBER(SEARCH(","&amp;TRIM(TEXTSPLIT(EM110,","))&amp;",",","&amp;SUBSTITUTE(input_faculty_expertise," ","")&amp;",")))&gt;0)),IF(EO110="",TRUE,IF(input_faculty_expertise="",FALSE,SUMPRODUCT(--ISNUMBER(SEARCH(","&amp;TRIM(TEXTSPLIT(EO110,","))&amp;",",","&amp;SUBSTITUTE(input_faculty_expertise," ","")&amp;",")))=COUNTA(TEXTSPLIT(EO110,",")))),IF(EQ110="",TRUE,IF(input_faculty_expertise="",TRUE,SUMPRODUCT(--ISNUMBER(SEARCH(","&amp;TRIM(TEXTSPLIT(EQ110,","))&amp;",",","&amp;SUBSTITUTE(input_faculty_expertise," ","")&amp;",")))=0)),IF(ES110="",TRUE,IF(input_faculty_expertise="",FALSE,SUMPRODUCT(--ISNUMBER(SEARCH(","&amp;TRIM(TEXTSPLIT(ES110,","))&amp;",",","&amp;SUBSTITUTE(input_faculty_expertise," ","")&amp;",")))&gt;0)),IF(EU110="",TRUE,IF(input_faculty_expertise="",FALSE,SUMPRODUCT(--ISNUMBER(SEARCH(","&amp;TRIM(TEXTSPLIT(EU110,","))&amp;",",","&amp;SUBSTITUTE(input_faculty_expertise," ","")&amp;",")))=COUNTA(TEXTSPLIT(EU110,",")))))</f>
        <v/>
      </c>
      <c r="JH110" s="19">
        <f>AND(IF(EW110="",TRUE,IF(input_global_network_school="",FALSE,SUMPRODUCT(--ISNUMBER(SEARCH(","&amp;TRIM(TEXTSPLIT(EW110,","))&amp;",",","&amp;SUBSTITUTE(input_global_network_school," ","")&amp;",")))&gt;0)),IF(EY110="",TRUE,IF(input_global_network_school="",FALSE,SUMPRODUCT(--ISNUMBER(SEARCH(","&amp;TRIM(TEXTSPLIT(EY110,","))&amp;",",","&amp;SUBSTITUTE(input_global_network_school," ","")&amp;",")))=COUNTA(TEXTSPLIT(EY110,",")))),IF(FA110="",TRUE,IF(input_global_network_school="",TRUE,SUMPRODUCT(--ISNUMBER(SEARCH(","&amp;TRIM(TEXTSPLIT(FA110,","))&amp;",",","&amp;SUBSTITUTE(input_global_network_school," ","")&amp;",")))=0)),IF(FC110="",TRUE,IF(input_global_network_school="",FALSE,SUMPRODUCT(--ISNUMBER(SEARCH(","&amp;TRIM(TEXTSPLIT(FC110,","))&amp;",",","&amp;SUBSTITUTE(input_global_network_school," ","")&amp;",")))&gt;0)),IF(FE110="",TRUE,IF(input_global_network_school="",FALSE,SUMPRODUCT(--ISNUMBER(SEARCH(","&amp;TRIM(TEXTSPLIT(FE110,","))&amp;",",","&amp;SUBSTITUTE(input_global_network_school," ","")&amp;",")))=COUNTA(TEXTSPLIT(FE110,",")))))</f>
        <v/>
      </c>
      <c r="JI110" s="19">
        <f>AND(IF(FG110="",TRUE,IF(input_industry="",FALSE,SUMPRODUCT(--ISNUMBER(SEARCH(","&amp;TRIM(TEXTSPLIT(FG110,","))&amp;",",","&amp;SUBSTITUTE(input_industry," ","")&amp;",")))&gt;0)),IF(FI110="",TRUE,IF(input_industry="",FALSE,SUMPRODUCT(--ISNUMBER(SEARCH(","&amp;TRIM(TEXTSPLIT(FI110,","))&amp;",",","&amp;SUBSTITUTE(input_industry," ","")&amp;",")))=COUNTA(TEXTSPLIT(FI110,",")))),IF(FK110="",TRUE,IF(input_industry="",TRUE,SUMPRODUCT(--ISNUMBER(SEARCH(","&amp;TRIM(TEXTSPLIT(FK110,","))&amp;",",","&amp;SUBSTITUTE(input_industry," ","")&amp;",")))=0)),IF(FM110="",TRUE,IF(input_industry="",FALSE,SUMPRODUCT(--ISNUMBER(SEARCH(","&amp;TRIM(TEXTSPLIT(FM110,","))&amp;",",","&amp;SUBSTITUTE(input_industry," ","")&amp;",")))&gt;0)),IF(FO110="",TRUE,IF(input_industry="",FALSE,SUMPRODUCT(--ISNUMBER(SEARCH(","&amp;TRIM(TEXTSPLIT(FO110,","))&amp;",",","&amp;SUBSTITUTE(input_industry," ","")&amp;",")))=COUNTA(TEXTSPLIT(FO110,",")))))</f>
        <v/>
      </c>
      <c r="JJ110" s="19">
        <f>AND(IF(FQ110="",TRUE,IF(input_location="",FALSE,SUMPRODUCT(--ISNUMBER(SEARCH(","&amp;TRIM(TEXTSPLIT(FQ110,","))&amp;",",","&amp;SUBSTITUTE(input_location," ","")&amp;",")))&gt;0)),IF(FS110="",TRUE,IF(input_location="",FALSE,SUMPRODUCT(--ISNUMBER(SEARCH(","&amp;TRIM(TEXTSPLIT(FS110,","))&amp;",",","&amp;SUBSTITUTE(input_location," ","")&amp;",")))=COUNTA(TEXTSPLIT(FS110,",")))),IF(FU110="",TRUE,IF(input_location="",TRUE,SUMPRODUCT(--ISNUMBER(SEARCH(","&amp;TRIM(TEXTSPLIT(FU110,","))&amp;",",","&amp;SUBSTITUTE(input_location," ","")&amp;",")))=0)),IF(FW110="",TRUE,IF(input_location="",FALSE,SUMPRODUCT(--ISNUMBER(SEARCH(","&amp;TRIM(TEXTSPLIT(FW110,","))&amp;",",","&amp;SUBSTITUTE(input_location," ","")&amp;",")))&gt;0)),IF(FY110="",TRUE,IF(input_location="",FALSE,SUMPRODUCT(--ISNUMBER(SEARCH(","&amp;TRIM(TEXTSPLIT(FY110,","))&amp;",",","&amp;SUBSTITUTE(input_location," ","")&amp;",")))=COUNTA(TEXTSPLIT(FY110,",")))))</f>
        <v/>
      </c>
      <c r="JK110" s="19">
        <f>AND(IF(GA110="",TRUE,IF(input_modality="",FALSE,SUMPRODUCT(--ISNUMBER(SEARCH(","&amp;TRIM(TEXTSPLIT(GA110,","))&amp;",",","&amp;SUBSTITUTE(input_modality," ","")&amp;",")))&gt;0)),IF(GC110="",TRUE,IF(input_modality="",FALSE,SUMPRODUCT(--ISNUMBER(SEARCH(","&amp;TRIM(TEXTSPLIT(GC110,","))&amp;",",","&amp;SUBSTITUTE(input_modality," ","")&amp;",")))=COUNTA(TEXTSPLIT(GC110,",")))),IF(GE110="",TRUE,IF(input_modality="",TRUE,SUMPRODUCT(--ISNUMBER(SEARCH(","&amp;TRIM(TEXTSPLIT(GE110,","))&amp;",",","&amp;SUBSTITUTE(input_modality," ","")&amp;",")))=0)),IF(GG110="",TRUE,IF(input_modality="",FALSE,SUMPRODUCT(--ISNUMBER(SEARCH(","&amp;TRIM(TEXTSPLIT(GG110,","))&amp;",",","&amp;SUBSTITUTE(input_modality," ","")&amp;",")))&gt;0)),IF(GI110="",TRUE,IF(input_modality="",FALSE,SUMPRODUCT(--ISNUMBER(SEARCH(","&amp;TRIM(TEXTSPLIT(GI110,","))&amp;",",","&amp;SUBSTITUTE(input_modality," ","")&amp;",")))=COUNTA(TEXTSPLIT(GI110,",")))))</f>
        <v/>
      </c>
      <c r="JL110" s="19">
        <f>AND(IF(GK110="",TRUE,IF(input_organizer="",FALSE,SUMPRODUCT(--ISNUMBER(SEARCH(","&amp;TRIM(TEXTSPLIT(GK110,","))&amp;",",","&amp;SUBSTITUTE(input_organizer," ","")&amp;",")))&gt;0)),IF(GM110="",TRUE,IF(input_organizer="",FALSE,SUMPRODUCT(--ISNUMBER(SEARCH(","&amp;TRIM(TEXTSPLIT(GM110,","))&amp;",",","&amp;SUBSTITUTE(input_organizer," ","")&amp;",")))=COUNTA(TEXTSPLIT(GM110,",")))),IF(GO110="",TRUE,IF(input_organizer="",TRUE,SUMPRODUCT(--ISNUMBER(SEARCH(","&amp;TRIM(TEXTSPLIT(GO110,","))&amp;",",","&amp;SUBSTITUTE(input_organizer," ","")&amp;",")))=0)),IF(GQ110="",TRUE,IF(input_organizer="",FALSE,SUMPRODUCT(--ISNUMBER(SEARCH(","&amp;TRIM(TEXTSPLIT(GQ110,","))&amp;",",","&amp;SUBSTITUTE(input_organizer," ","")&amp;",")))&gt;0)),IF(GS110="",TRUE,IF(input_organizer="",FALSE,SUMPRODUCT(--ISNUMBER(SEARCH(","&amp;TRIM(TEXTSPLIT(GS110,","))&amp;",",","&amp;SUBSTITUTE(input_organizer," ","")&amp;",")))=COUNTA(TEXTSPLIT(GS110,",")))))</f>
        <v/>
      </c>
      <c r="JM110" s="19">
        <f>AND(IF(GU110="",TRUE,IF(input_profile_type="",FALSE,SUMPRODUCT(--ISNUMBER(SEARCH(","&amp;TRIM(TEXTSPLIT(GU110,","))&amp;",",","&amp;SUBSTITUTE(input_profile_type," ","")&amp;",")))&gt;0)),IF(GW110="",TRUE,IF(input_profile_type="",FALSE,SUMPRODUCT(--ISNUMBER(SEARCH(","&amp;TRIM(TEXTSPLIT(GW110,","))&amp;",",","&amp;SUBSTITUTE(input_profile_type," ","")&amp;",")))=COUNTA(TEXTSPLIT(GW110,",")))),IF(GY110="",TRUE,IF(input_profile_type="",TRUE,SUMPRODUCT(--ISNUMBER(SEARCH(","&amp;TRIM(TEXTSPLIT(GY110,","))&amp;",",","&amp;SUBSTITUTE(input_profile_type," ","")&amp;",")))=0)),IF(HA110="",TRUE,IF(input_profile_type="",FALSE,SUMPRODUCT(--ISNUMBER(SEARCH(","&amp;TRIM(TEXTSPLIT(HA110,","))&amp;",",","&amp;SUBSTITUTE(input_profile_type," ","")&amp;",")))&gt;0)),IF(HC110="",TRUE,IF(input_profile_type="",FALSE,SUMPRODUCT(--ISNUMBER(SEARCH(","&amp;TRIM(TEXTSPLIT(HC110,","))&amp;",",","&amp;SUBSTITUTE(input_profile_type," ","")&amp;",")))=COUNTA(TEXTSPLIT(HC110,",")))))</f>
        <v/>
      </c>
      <c r="JN110" s="19">
        <f>AND(IF(HE110="",TRUE,IF(input_program="",FALSE,SUMPRODUCT(--ISNUMBER(SEARCH(","&amp;TRIM(TEXTSPLIT(HE110,","))&amp;",",","&amp;SUBSTITUTE(input_program," ","")&amp;",")))&gt;0)),IF(HG110="",TRUE,IF(input_program="",FALSE,SUMPRODUCT(--ISNUMBER(SEARCH(","&amp;TRIM(TEXTSPLIT(HG110,","))&amp;",",","&amp;SUBSTITUTE(input_program," ","")&amp;",")))=COUNTA(TEXTSPLIT(HG110,",")))),IF(HI110="",TRUE,IF(input_program="",TRUE,SUMPRODUCT(--ISNUMBER(SEARCH(","&amp;TRIM(TEXTSPLIT(HI110,","))&amp;",",","&amp;SUBSTITUTE(input_program," ","")&amp;",")))=0)),IF(HK110="",TRUE,IF(input_program="",FALSE,SUMPRODUCT(--ISNUMBER(SEARCH(","&amp;TRIM(TEXTSPLIT(HK110,","))&amp;",",","&amp;SUBSTITUTE(input_program," ","")&amp;",")))&gt;0)),IF(HM110="",TRUE,IF(input_program="",FALSE,SUMPRODUCT(--ISNUMBER(SEARCH(","&amp;TRIM(TEXTSPLIT(HM110,","))&amp;",",","&amp;SUBSTITUTE(input_program," ","")&amp;",")))=COUNTA(TEXTSPLIT(HM110,",")))))</f>
        <v/>
      </c>
      <c r="JO110" s="19">
        <f>AND(IF(HO110="",TRUE,IF(input_story_categories="",FALSE,SUMPRODUCT(--ISNUMBER(SEARCH(","&amp;TRIM(TEXTSPLIT(HO110,","))&amp;",",","&amp;SUBSTITUTE(input_story_categories," ","")&amp;",")))&gt;0)),IF(HQ110="",TRUE,IF(input_story_categories="",FALSE,SUMPRODUCT(--ISNUMBER(SEARCH(","&amp;TRIM(TEXTSPLIT(HQ110,","))&amp;",",","&amp;SUBSTITUTE(input_story_categories," ","")&amp;",")))=COUNTA(TEXTSPLIT(HQ110,",")))),IF(HS110="",TRUE,IF(input_story_categories="",TRUE,SUMPRODUCT(--ISNUMBER(SEARCH(","&amp;TRIM(TEXTSPLIT(HS110,","))&amp;",",","&amp;SUBSTITUTE(input_story_categories," ","")&amp;",")))=0)),IF(HU110="",TRUE,IF(input_story_categories="",FALSE,SUMPRODUCT(--ISNUMBER(SEARCH(","&amp;TRIM(TEXTSPLIT(HU110,","))&amp;",",","&amp;SUBSTITUTE(input_story_categories," ","")&amp;",")))&gt;0)),IF(HW110="",TRUE,IF(input_story_categories="",FALSE,SUMPRODUCT(--ISNUMBER(SEARCH(","&amp;TRIM(TEXTSPLIT(HW110,","))&amp;",",","&amp;SUBSTITUTE(input_story_categories," ","")&amp;",")))=COUNTA(TEXTSPLIT(HW110,",")))))</f>
        <v/>
      </c>
      <c r="JP110" s="19">
        <f>AND(IF(HY110="",TRUE,IF(input_story_type="",FALSE,SUMPRODUCT(--ISNUMBER(SEARCH(","&amp;TRIM(TEXTSPLIT(HY110,","))&amp;",",","&amp;SUBSTITUTE(input_story_type," ","")&amp;",")))&gt;0)),IF(IA110="",TRUE,IF(input_story_type="",FALSE,SUMPRODUCT(--ISNUMBER(SEARCH(","&amp;TRIM(TEXTSPLIT(IA110,","))&amp;",",","&amp;SUBSTITUTE(input_story_type," ","")&amp;",")))=COUNTA(TEXTSPLIT(IA110,",")))),IF(IC110="",TRUE,IF(input_story_type="",TRUE,SUMPRODUCT(--ISNUMBER(SEARCH(","&amp;TRIM(TEXTSPLIT(IC110,","))&amp;",",","&amp;SUBSTITUTE(input_story_type," ","")&amp;",")))=0)),IF(IE110="",TRUE,IF(input_story_type="",FALSE,SUMPRODUCT(--ISNUMBER(SEARCH(","&amp;TRIM(TEXTSPLIT(IE110,","))&amp;",",","&amp;SUBSTITUTE(input_story_type," ","")&amp;",")))&gt;0)),IF(IG110="",TRUE,IF(input_story_type="",FALSE,SUMPRODUCT(--ISNUMBER(SEARCH(","&amp;TRIM(TEXTSPLIT(IG110,","))&amp;",",","&amp;SUBSTITUTE(input_story_type," ","")&amp;",")))=COUNTA(TEXTSPLIT(IG110,",")))))</f>
        <v/>
      </c>
      <c r="JQ110" s="19">
        <f>AND(IF(II110="",TRUE,IF(input_topics="",FALSE,SUMPRODUCT(--ISNUMBER(SEARCH(","&amp;TRIM(TEXTSPLIT(II110,","))&amp;",",","&amp;SUBSTITUTE(input_topics," ","")&amp;",")))&gt;0)),IF(IK110="",TRUE,IF(input_topics="",FALSE,SUMPRODUCT(--ISNUMBER(SEARCH(","&amp;TRIM(TEXTSPLIT(IK110,","))&amp;",",","&amp;SUBSTITUTE(input_topics," ","")&amp;",")))=COUNTA(TEXTSPLIT(IK110,",")))),IF(IM110="",TRUE,IF(input_topics="",TRUE,SUMPRODUCT(--ISNUMBER(SEARCH(","&amp;TRIM(TEXTSPLIT(IM110,","))&amp;",",","&amp;SUBSTITUTE(input_topics," ","")&amp;",")))=0)),IF(IO110="",TRUE,IF(input_topics="",FALSE,SUMPRODUCT(--ISNUMBER(SEARCH(","&amp;TRIM(TEXTSPLIT(IO110,","))&amp;",",","&amp;SUBSTITUTE(input_topics," ","")&amp;",")))&gt;0)),IF(IQ110="",TRUE,IF(input_topics="",FALSE,SUMPRODUCT(--ISNUMBER(SEARCH(","&amp;TRIM(TEXTSPLIT(IQ110,","))&amp;",",","&amp;SUBSTITUTE(input_topics," ","")&amp;",")))=COUNTA(TEXTSPLIT(IQ110,",")))))</f>
        <v/>
      </c>
    </row>
    <row r="111">
      <c r="A111" s="24">
        <f>IF(NOT(IS111),"Excluded",IF(AND(IT111,IU111,IV111,IW111,IX111,IY111,IZ111,JA111,JB111,JC111,JD111,JE111,JF111,JG111,JH111,JI111,JJ111,JK111,JL111,JM111,JN111,JO111,JP111,JQ111),IF(I111&gt;0,"Eligible but limited","Will appear"),"Excluded"))</f>
        <v/>
      </c>
      <c r="B111" s="24" t="inlineStr">
        <is>
          <t>Faculty Directory</t>
        </is>
      </c>
      <c r="C111" s="27" t="inlineStr">
        <is>
          <t>/faculty-research/faculty-directory</t>
        </is>
      </c>
      <c r="D111" s="24" t="inlineStr">
        <is>
          <t>/faculty-research/faculty-directory</t>
        </is>
      </c>
      <c r="E111" s="24" t="n">
        <v>1</v>
      </c>
      <c r="F111" s="24" t="inlineStr">
        <is>
          <t>faculty</t>
        </is>
      </c>
      <c r="G111" s="24" t="inlineStr">
        <is>
          <t>faculty_directory_solr</t>
        </is>
      </c>
      <c r="H111" s="24" t="inlineStr">
        <is>
          <t>embed_1</t>
        </is>
      </c>
      <c r="I111" s="24" t="n">
        <v>150</v>
      </c>
      <c r="J111" s="24" t="inlineStr">
        <is>
          <t>View/config rules</t>
        </is>
      </c>
      <c r="K111" s="24" t="inlineStr">
        <is>
          <t>Page placement</t>
        </is>
      </c>
      <c r="L111" s="24" t="inlineStr">
        <is>
          <t>Content type: faculty; Limited to 150 item(s); Source: View/config rules</t>
        </is>
      </c>
      <c r="IS111" s="19">
        <f>IF(input_content_type="",FALSE,ISNUMBER(SEARCH(","&amp;LOWER(input_content_type)&amp;",",","&amp;LOWER(SUBSTITUTE(F111," ",""))&amp;",")))</f>
        <v/>
      </c>
      <c r="IT111" s="19">
        <f>AND(IF(M111="",TRUE,IF(input_affiliations="",FALSE,SUMPRODUCT(--ISNUMBER(SEARCH(","&amp;TRIM(TEXTSPLIT(M111,","))&amp;",",","&amp;SUBSTITUTE(input_affiliations," ","")&amp;",")))&gt;0)),IF(O111="",TRUE,IF(input_affiliations="",FALSE,SUMPRODUCT(--ISNUMBER(SEARCH(","&amp;TRIM(TEXTSPLIT(O111,","))&amp;",",","&amp;SUBSTITUTE(input_affiliations," ","")&amp;",")))=COUNTA(TEXTSPLIT(O111,",")))),IF(Q111="",TRUE,IF(input_affiliations="",TRUE,SUMPRODUCT(--ISNUMBER(SEARCH(","&amp;TRIM(TEXTSPLIT(Q111,","))&amp;",",","&amp;SUBSTITUTE(input_affiliations," ","")&amp;",")))=0)),IF(S111="",TRUE,IF(input_affiliations="",FALSE,SUMPRODUCT(--ISNUMBER(SEARCH(","&amp;TRIM(TEXTSPLIT(S111,","))&amp;",",","&amp;SUBSTITUTE(input_affiliations," ","")&amp;",")))&gt;0)),IF(U111="",TRUE,IF(input_affiliations="",FALSE,SUMPRODUCT(--ISNUMBER(SEARCH(","&amp;TRIM(TEXTSPLIT(U111,","))&amp;",",","&amp;SUBSTITUTE(input_affiliations," ","")&amp;",")))=COUNTA(TEXTSPLIT(U111,",")))))</f>
        <v/>
      </c>
      <c r="IU111" s="19">
        <f>AND(IF(W111="",TRUE,IF(input_announcement_category="",FALSE,SUMPRODUCT(--ISNUMBER(SEARCH(","&amp;TRIM(TEXTSPLIT(W111,","))&amp;",",","&amp;SUBSTITUTE(input_announcement_category," ","")&amp;",")))&gt;0)),IF(Y111="",TRUE,IF(input_announcement_category="",FALSE,SUMPRODUCT(--ISNUMBER(SEARCH(","&amp;TRIM(TEXTSPLIT(Y111,","))&amp;",",","&amp;SUBSTITUTE(input_announcement_category," ","")&amp;",")))=COUNTA(TEXTSPLIT(Y111,",")))),IF(AA111="",TRUE,IF(input_announcement_category="",TRUE,SUMPRODUCT(--ISNUMBER(SEARCH(","&amp;TRIM(TEXTSPLIT(AA111,","))&amp;",",","&amp;SUBSTITUTE(input_announcement_category," ","")&amp;",")))=0)),IF(AC111="",TRUE,IF(input_announcement_category="",FALSE,SUMPRODUCT(--ISNUMBER(SEARCH(","&amp;TRIM(TEXTSPLIT(AC111,","))&amp;",",","&amp;SUBSTITUTE(input_announcement_category," ","")&amp;",")))&gt;0)),IF(AE111="",TRUE,IF(input_announcement_category="",FALSE,SUMPRODUCT(--ISNUMBER(SEARCH(","&amp;TRIM(TEXTSPLIT(AE111,","))&amp;",",","&amp;SUBSTITUTE(input_announcement_category," ","")&amp;",")))=COUNTA(TEXTSPLIT(AE111,",")))))</f>
        <v/>
      </c>
      <c r="IV111" s="19">
        <f>AND(IF(AG111="",TRUE,IF(input_area_of_focus="",FALSE,SUMPRODUCT(--ISNUMBER(SEARCH(","&amp;TRIM(TEXTSPLIT(AG111,","))&amp;",",","&amp;SUBSTITUTE(input_area_of_focus," ","")&amp;",")))&gt;0)),IF(AI111="",TRUE,IF(input_area_of_focus="",FALSE,SUMPRODUCT(--ISNUMBER(SEARCH(","&amp;TRIM(TEXTSPLIT(AI111,","))&amp;",",","&amp;SUBSTITUTE(input_area_of_focus," ","")&amp;",")))=COUNTA(TEXTSPLIT(AI111,",")))),IF(AK111="",TRUE,IF(input_area_of_focus="",TRUE,SUMPRODUCT(--ISNUMBER(SEARCH(","&amp;TRIM(TEXTSPLIT(AK111,","))&amp;",",","&amp;SUBSTITUTE(input_area_of_focus," ","")&amp;",")))=0)),IF(AM111="",TRUE,IF(input_area_of_focus="",FALSE,SUMPRODUCT(--ISNUMBER(SEARCH(","&amp;TRIM(TEXTSPLIT(AM111,","))&amp;",",","&amp;SUBSTITUTE(input_area_of_focus," ","")&amp;",")))&gt;0)),IF(AO111="",TRUE,IF(input_area_of_focus="",FALSE,SUMPRODUCT(--ISNUMBER(SEARCH(","&amp;TRIM(TEXTSPLIT(AO111,","))&amp;",",","&amp;SUBSTITUTE(input_area_of_focus," ","")&amp;",")))=COUNTA(TEXTSPLIT(AO111,",")))))</f>
        <v/>
      </c>
      <c r="IW111" s="19">
        <f>AND(IF(AQ111="",TRUE,IF(input_audience="",FALSE,SUMPRODUCT(--ISNUMBER(SEARCH(","&amp;TRIM(TEXTSPLIT(AQ111,","))&amp;",",","&amp;SUBSTITUTE(input_audience," ","")&amp;",")))&gt;0)),IF(AS111="",TRUE,IF(input_audience="",FALSE,SUMPRODUCT(--ISNUMBER(SEARCH(","&amp;TRIM(TEXTSPLIT(AS111,","))&amp;",",","&amp;SUBSTITUTE(input_audience," ","")&amp;",")))=COUNTA(TEXTSPLIT(AS111,",")))),IF(AU111="",TRUE,IF(input_audience="",TRUE,SUMPRODUCT(--ISNUMBER(SEARCH(","&amp;TRIM(TEXTSPLIT(AU111,","))&amp;",",","&amp;SUBSTITUTE(input_audience," ","")&amp;",")))=0)),IF(AW111="",TRUE,IF(input_audience="",FALSE,SUMPRODUCT(--ISNUMBER(SEARCH(","&amp;TRIM(TEXTSPLIT(AW111,","))&amp;",",","&amp;SUBSTITUTE(input_audience," ","")&amp;",")))&gt;0)),IF(AY111="",TRUE,IF(input_audience="",FALSE,SUMPRODUCT(--ISNUMBER(SEARCH(","&amp;TRIM(TEXTSPLIT(AY111,","))&amp;",",","&amp;SUBSTITUTE(input_audience," ","")&amp;",")))=COUNTA(TEXTSPLIT(AY111,",")))))</f>
        <v/>
      </c>
      <c r="IX111" s="19">
        <f>AND(IF(BA111="",TRUE,IF(input_challenge_opportunities="",FALSE,SUMPRODUCT(--ISNUMBER(SEARCH(","&amp;TRIM(TEXTSPLIT(BA111,","))&amp;",",","&amp;SUBSTITUTE(input_challenge_opportunities," ","")&amp;",")))&gt;0)),IF(BC111="",TRUE,IF(input_challenge_opportunities="",FALSE,SUMPRODUCT(--ISNUMBER(SEARCH(","&amp;TRIM(TEXTSPLIT(BC111,","))&amp;",",","&amp;SUBSTITUTE(input_challenge_opportunities," ","")&amp;",")))=COUNTA(TEXTSPLIT(BC111,",")))),IF(BE111="",TRUE,IF(input_challenge_opportunities="",TRUE,SUMPRODUCT(--ISNUMBER(SEARCH(","&amp;TRIM(TEXTSPLIT(BE111,","))&amp;",",","&amp;SUBSTITUTE(input_challenge_opportunities," ","")&amp;",")))=0)),IF(BG111="",TRUE,IF(input_challenge_opportunities="",FALSE,SUMPRODUCT(--ISNUMBER(SEARCH(","&amp;TRIM(TEXTSPLIT(BG111,","))&amp;",",","&amp;SUBSTITUTE(input_challenge_opportunities," ","")&amp;",")))&gt;0)),IF(BI111="",TRUE,IF(input_challenge_opportunities="",FALSE,SUMPRODUCT(--ISNUMBER(SEARCH(","&amp;TRIM(TEXTSPLIT(BI111,","))&amp;",",","&amp;SUBSTITUTE(input_challenge_opportunities," ","")&amp;",")))=COUNTA(TEXTSPLIT(BI111,",")))))</f>
        <v/>
      </c>
      <c r="IY111" s="19">
        <f>AND(IF(BK111="",TRUE,IF(input_context="",FALSE,SUMPRODUCT(--ISNUMBER(SEARCH(","&amp;TRIM(TEXTSPLIT(BK111,","))&amp;",",","&amp;SUBSTITUTE(input_context," ","")&amp;",")))&gt;0)),IF(BM111="",TRUE,IF(input_context="",FALSE,SUMPRODUCT(--ISNUMBER(SEARCH(","&amp;TRIM(TEXTSPLIT(BM111,","))&amp;",",","&amp;SUBSTITUTE(input_context," ","")&amp;",")))=COUNTA(TEXTSPLIT(BM111,",")))),IF(BO111="",TRUE,IF(input_context="",TRUE,SUMPRODUCT(--ISNUMBER(SEARCH(","&amp;TRIM(TEXTSPLIT(BO111,","))&amp;",",","&amp;SUBSTITUTE(input_context," ","")&amp;",")))=0)),IF(BQ111="",TRUE,IF(input_context="",FALSE,SUMPRODUCT(--ISNUMBER(SEARCH(","&amp;TRIM(TEXTSPLIT(BQ111,","))&amp;",",","&amp;SUBSTITUTE(input_context," ","")&amp;",")))&gt;0)),IF(BS111="",TRUE,IF(input_context="",FALSE,SUMPRODUCT(--ISNUMBER(SEARCH(","&amp;TRIM(TEXTSPLIT(BS111,","))&amp;",",","&amp;SUBSTITUTE(input_context," ","")&amp;",")))=COUNTA(TEXTSPLIT(BS111,",")))))</f>
        <v/>
      </c>
      <c r="IZ111" s="19">
        <f>AND(IF(BU111="",TRUE,IF(input_enews_announcement_type="",FALSE,SUMPRODUCT(--ISNUMBER(SEARCH(","&amp;TRIM(TEXTSPLIT(BU111,","))&amp;",",","&amp;SUBSTITUTE(input_enews_announcement_type," ","")&amp;",")))&gt;0)),IF(BW111="",TRUE,IF(input_enews_announcement_type="",FALSE,SUMPRODUCT(--ISNUMBER(SEARCH(","&amp;TRIM(TEXTSPLIT(BW111,","))&amp;",",","&amp;SUBSTITUTE(input_enews_announcement_type," ","")&amp;",")))=COUNTA(TEXTSPLIT(BW111,",")))),IF(BY111="",TRUE,IF(input_enews_announcement_type="",TRUE,SUMPRODUCT(--ISNUMBER(SEARCH(","&amp;TRIM(TEXTSPLIT(BY111,","))&amp;",",","&amp;SUBSTITUTE(input_enews_announcement_type," ","")&amp;",")))=0)),IF(CA111="",TRUE,IF(input_enews_announcement_type="",FALSE,SUMPRODUCT(--ISNUMBER(SEARCH(","&amp;TRIM(TEXTSPLIT(CA111,","))&amp;",",","&amp;SUBSTITUTE(input_enews_announcement_type," ","")&amp;",")))&gt;0)),IF(CC111="",TRUE,IF(input_enews_announcement_type="",FALSE,SUMPRODUCT(--ISNUMBER(SEARCH(","&amp;TRIM(TEXTSPLIT(CC111,","))&amp;",",","&amp;SUBSTITUTE(input_enews_announcement_type," ","")&amp;",")))=COUNTA(TEXTSPLIT(CC111,",")))))</f>
        <v/>
      </c>
      <c r="JA111" s="19">
        <f>AND(IF(CE111="",TRUE,IF(input_enews_audience="",FALSE,SUMPRODUCT(--ISNUMBER(SEARCH(","&amp;TRIM(TEXTSPLIT(CE111,","))&amp;",",","&amp;SUBSTITUTE(input_enews_audience," ","")&amp;",")))&gt;0)),IF(CG111="",TRUE,IF(input_enews_audience="",FALSE,SUMPRODUCT(--ISNUMBER(SEARCH(","&amp;TRIM(TEXTSPLIT(CG111,","))&amp;",",","&amp;SUBSTITUTE(input_enews_audience," ","")&amp;",")))=COUNTA(TEXTSPLIT(CG111,",")))),IF(CI111="",TRUE,IF(input_enews_audience="",TRUE,SUMPRODUCT(--ISNUMBER(SEARCH(","&amp;TRIM(TEXTSPLIT(CI111,","))&amp;",",","&amp;SUBSTITUTE(input_enews_audience," ","")&amp;",")))=0)),IF(CK111="",TRUE,IF(input_enews_audience="",FALSE,SUMPRODUCT(--ISNUMBER(SEARCH(","&amp;TRIM(TEXTSPLIT(CK111,","))&amp;",",","&amp;SUBSTITUTE(input_enews_audience," ","")&amp;",")))&gt;0)),IF(CM111="",TRUE,IF(input_enews_audience="",FALSE,SUMPRODUCT(--ISNUMBER(SEARCH(","&amp;TRIM(TEXTSPLIT(CM111,","))&amp;",",","&amp;SUBSTITUTE(input_enews_audience," ","")&amp;",")))=COUNTA(TEXTSPLIT(CM111,",")))))</f>
        <v/>
      </c>
      <c r="JB111" s="19">
        <f>AND(IF(CO111="",TRUE,IF(input_event_location="",FALSE,SUMPRODUCT(--ISNUMBER(SEARCH(","&amp;TRIM(TEXTSPLIT(CO111,","))&amp;",",","&amp;SUBSTITUTE(input_event_location," ","")&amp;",")))&gt;0)),IF(CQ111="",TRUE,IF(input_event_location="",FALSE,SUMPRODUCT(--ISNUMBER(SEARCH(","&amp;TRIM(TEXTSPLIT(CQ111,","))&amp;",",","&amp;SUBSTITUTE(input_event_location," ","")&amp;",")))=COUNTA(TEXTSPLIT(CQ111,",")))),IF(CS111="",TRUE,IF(input_event_location="",TRUE,SUMPRODUCT(--ISNUMBER(SEARCH(","&amp;TRIM(TEXTSPLIT(CS111,","))&amp;",",","&amp;SUBSTITUTE(input_event_location," ","")&amp;",")))=0)),IF(CU111="",TRUE,IF(input_event_location="",FALSE,SUMPRODUCT(--ISNUMBER(SEARCH(","&amp;TRIM(TEXTSPLIT(CU111,","))&amp;",",","&amp;SUBSTITUTE(input_event_location," ","")&amp;",")))&gt;0)),IF(CW111="",TRUE,IF(input_event_location="",FALSE,SUMPRODUCT(--ISNUMBER(SEARCH(","&amp;TRIM(TEXTSPLIT(CW111,","))&amp;",",","&amp;SUBSTITUTE(input_event_location," ","")&amp;",")))=COUNTA(TEXTSPLIT(CW111,",")))))</f>
        <v/>
      </c>
      <c r="JC111" s="19">
        <f>AND(IF(CY111="",TRUE,IF(input_event_type="",FALSE,SUMPRODUCT(--ISNUMBER(SEARCH(","&amp;TRIM(TEXTSPLIT(CY111,","))&amp;",",","&amp;SUBSTITUTE(input_event_type," ","")&amp;",")))&gt;0)),IF(DA111="",TRUE,IF(input_event_type="",FALSE,SUMPRODUCT(--ISNUMBER(SEARCH(","&amp;TRIM(TEXTSPLIT(DA111,","))&amp;",",","&amp;SUBSTITUTE(input_event_type," ","")&amp;",")))=COUNTA(TEXTSPLIT(DA111,",")))),IF(DC111="",TRUE,IF(input_event_type="",TRUE,SUMPRODUCT(--ISNUMBER(SEARCH(","&amp;TRIM(TEXTSPLIT(DC111,","))&amp;",",","&amp;SUBSTITUTE(input_event_type," ","")&amp;",")))=0)),IF(DE111="",TRUE,IF(input_event_type="",FALSE,SUMPRODUCT(--ISNUMBER(SEARCH(","&amp;TRIM(TEXTSPLIT(DE111,","))&amp;",",","&amp;SUBSTITUTE(input_event_type," ","")&amp;",")))&gt;0)),IF(DG111="",TRUE,IF(input_event_type="",FALSE,SUMPRODUCT(--ISNUMBER(SEARCH(","&amp;TRIM(TEXTSPLIT(DG111,","))&amp;",",","&amp;SUBSTITUTE(input_event_type," ","")&amp;",")))=COUNTA(TEXTSPLIT(DG111,",")))))</f>
        <v/>
      </c>
      <c r="JD111" s="19">
        <f>AND(IF(DI111="",TRUE,IF(input_executive_education_focus="",FALSE,SUMPRODUCT(--ISNUMBER(SEARCH(","&amp;TRIM(TEXTSPLIT(DI111,","))&amp;",",","&amp;SUBSTITUTE(input_executive_education_focus," ","")&amp;",")))&gt;0)),IF(DK111="",TRUE,IF(input_executive_education_focus="",FALSE,SUMPRODUCT(--ISNUMBER(SEARCH(","&amp;TRIM(TEXTSPLIT(DK111,","))&amp;",",","&amp;SUBSTITUTE(input_executive_education_focus," ","")&amp;",")))=COUNTA(TEXTSPLIT(DK111,",")))),IF(DM111="",TRUE,IF(input_executive_education_focus="",TRUE,SUMPRODUCT(--ISNUMBER(SEARCH(","&amp;TRIM(TEXTSPLIT(DM111,","))&amp;",",","&amp;SUBSTITUTE(input_executive_education_focus," ","")&amp;",")))=0)),IF(DO111="",TRUE,IF(input_executive_education_focus="",FALSE,SUMPRODUCT(--ISNUMBER(SEARCH(","&amp;TRIM(TEXTSPLIT(DO111,","))&amp;",",","&amp;SUBSTITUTE(input_executive_education_focus," ","")&amp;",")))&gt;0)),IF(DQ111="",TRUE,IF(input_executive_education_focus="",FALSE,SUMPRODUCT(--ISNUMBER(SEARCH(","&amp;TRIM(TEXTSPLIT(DQ111,","))&amp;",",","&amp;SUBSTITUTE(input_executive_education_focus," ","")&amp;",")))=COUNTA(TEXTSPLIT(DQ111,",")))))</f>
        <v/>
      </c>
      <c r="JE111" s="19">
        <f>AND(IF(DS111="",TRUE,IF(input_faculty_category="",FALSE,SUMPRODUCT(--ISNUMBER(SEARCH(","&amp;TRIM(TEXTSPLIT(DS111,","))&amp;",",","&amp;SUBSTITUTE(input_faculty_category," ","")&amp;",")))&gt;0)),IF(DU111="",TRUE,IF(input_faculty_category="",FALSE,SUMPRODUCT(--ISNUMBER(SEARCH(","&amp;TRIM(TEXTSPLIT(DU111,","))&amp;",",","&amp;SUBSTITUTE(input_faculty_category," ","")&amp;",")))=COUNTA(TEXTSPLIT(DU111,",")))),IF(DW111="",TRUE,IF(input_faculty_category="",TRUE,SUMPRODUCT(--ISNUMBER(SEARCH(","&amp;TRIM(TEXTSPLIT(DW111,","))&amp;",",","&amp;SUBSTITUTE(input_faculty_category," ","")&amp;",")))=0)),IF(DY111="",TRUE,IF(input_faculty_category="",FALSE,SUMPRODUCT(--ISNUMBER(SEARCH(","&amp;TRIM(TEXTSPLIT(DY111,","))&amp;",",","&amp;SUBSTITUTE(input_faculty_category," ","")&amp;",")))&gt;0)),IF(EA111="",TRUE,IF(input_faculty_category="",FALSE,SUMPRODUCT(--ISNUMBER(SEARCH(","&amp;TRIM(TEXTSPLIT(EA111,","))&amp;",",","&amp;SUBSTITUTE(input_faculty_category," ","")&amp;",")))=COUNTA(TEXTSPLIT(EA111,",")))))</f>
        <v/>
      </c>
      <c r="JF111" s="19">
        <f>AND(IF(EC111="",TRUE,IF(input_faculty_discipline="",FALSE,SUMPRODUCT(--ISNUMBER(SEARCH(","&amp;TRIM(TEXTSPLIT(EC111,","))&amp;",",","&amp;SUBSTITUTE(input_faculty_discipline," ","")&amp;",")))&gt;0)),IF(EE111="",TRUE,IF(input_faculty_discipline="",FALSE,SUMPRODUCT(--ISNUMBER(SEARCH(","&amp;TRIM(TEXTSPLIT(EE111,","))&amp;",",","&amp;SUBSTITUTE(input_faculty_discipline," ","")&amp;",")))=COUNTA(TEXTSPLIT(EE111,",")))),IF(EG111="",TRUE,IF(input_faculty_discipline="",TRUE,SUMPRODUCT(--ISNUMBER(SEARCH(","&amp;TRIM(TEXTSPLIT(EG111,","))&amp;",",","&amp;SUBSTITUTE(input_faculty_discipline," ","")&amp;",")))=0)),IF(EI111="",TRUE,IF(input_faculty_discipline="",FALSE,SUMPRODUCT(--ISNUMBER(SEARCH(","&amp;TRIM(TEXTSPLIT(EI111,","))&amp;",",","&amp;SUBSTITUTE(input_faculty_discipline," ","")&amp;",")))&gt;0)),IF(EK111="",TRUE,IF(input_faculty_discipline="",FALSE,SUMPRODUCT(--ISNUMBER(SEARCH(","&amp;TRIM(TEXTSPLIT(EK111,","))&amp;",",","&amp;SUBSTITUTE(input_faculty_discipline," ","")&amp;",")))=COUNTA(TEXTSPLIT(EK111,",")))))</f>
        <v/>
      </c>
      <c r="JG111" s="19">
        <f>AND(IF(EM111="",TRUE,IF(input_faculty_expertise="",FALSE,SUMPRODUCT(--ISNUMBER(SEARCH(","&amp;TRIM(TEXTSPLIT(EM111,","))&amp;",",","&amp;SUBSTITUTE(input_faculty_expertise," ","")&amp;",")))&gt;0)),IF(EO111="",TRUE,IF(input_faculty_expertise="",FALSE,SUMPRODUCT(--ISNUMBER(SEARCH(","&amp;TRIM(TEXTSPLIT(EO111,","))&amp;",",","&amp;SUBSTITUTE(input_faculty_expertise," ","")&amp;",")))=COUNTA(TEXTSPLIT(EO111,",")))),IF(EQ111="",TRUE,IF(input_faculty_expertise="",TRUE,SUMPRODUCT(--ISNUMBER(SEARCH(","&amp;TRIM(TEXTSPLIT(EQ111,","))&amp;",",","&amp;SUBSTITUTE(input_faculty_expertise," ","")&amp;",")))=0)),IF(ES111="",TRUE,IF(input_faculty_expertise="",FALSE,SUMPRODUCT(--ISNUMBER(SEARCH(","&amp;TRIM(TEXTSPLIT(ES111,","))&amp;",",","&amp;SUBSTITUTE(input_faculty_expertise," ","")&amp;",")))&gt;0)),IF(EU111="",TRUE,IF(input_faculty_expertise="",FALSE,SUMPRODUCT(--ISNUMBER(SEARCH(","&amp;TRIM(TEXTSPLIT(EU111,","))&amp;",",","&amp;SUBSTITUTE(input_faculty_expertise," ","")&amp;",")))=COUNTA(TEXTSPLIT(EU111,",")))))</f>
        <v/>
      </c>
      <c r="JH111" s="19">
        <f>AND(IF(EW111="",TRUE,IF(input_global_network_school="",FALSE,SUMPRODUCT(--ISNUMBER(SEARCH(","&amp;TRIM(TEXTSPLIT(EW111,","))&amp;",",","&amp;SUBSTITUTE(input_global_network_school," ","")&amp;",")))&gt;0)),IF(EY111="",TRUE,IF(input_global_network_school="",FALSE,SUMPRODUCT(--ISNUMBER(SEARCH(","&amp;TRIM(TEXTSPLIT(EY111,","))&amp;",",","&amp;SUBSTITUTE(input_global_network_school," ","")&amp;",")))=COUNTA(TEXTSPLIT(EY111,",")))),IF(FA111="",TRUE,IF(input_global_network_school="",TRUE,SUMPRODUCT(--ISNUMBER(SEARCH(","&amp;TRIM(TEXTSPLIT(FA111,","))&amp;",",","&amp;SUBSTITUTE(input_global_network_school," ","")&amp;",")))=0)),IF(FC111="",TRUE,IF(input_global_network_school="",FALSE,SUMPRODUCT(--ISNUMBER(SEARCH(","&amp;TRIM(TEXTSPLIT(FC111,","))&amp;",",","&amp;SUBSTITUTE(input_global_network_school," ","")&amp;",")))&gt;0)),IF(FE111="",TRUE,IF(input_global_network_school="",FALSE,SUMPRODUCT(--ISNUMBER(SEARCH(","&amp;TRIM(TEXTSPLIT(FE111,","))&amp;",",","&amp;SUBSTITUTE(input_global_network_school," ","")&amp;",")))=COUNTA(TEXTSPLIT(FE111,",")))))</f>
        <v/>
      </c>
      <c r="JI111" s="19">
        <f>AND(IF(FG111="",TRUE,IF(input_industry="",FALSE,SUMPRODUCT(--ISNUMBER(SEARCH(","&amp;TRIM(TEXTSPLIT(FG111,","))&amp;",",","&amp;SUBSTITUTE(input_industry," ","")&amp;",")))&gt;0)),IF(FI111="",TRUE,IF(input_industry="",FALSE,SUMPRODUCT(--ISNUMBER(SEARCH(","&amp;TRIM(TEXTSPLIT(FI111,","))&amp;",",","&amp;SUBSTITUTE(input_industry," ","")&amp;",")))=COUNTA(TEXTSPLIT(FI111,",")))),IF(FK111="",TRUE,IF(input_industry="",TRUE,SUMPRODUCT(--ISNUMBER(SEARCH(","&amp;TRIM(TEXTSPLIT(FK111,","))&amp;",",","&amp;SUBSTITUTE(input_industry," ","")&amp;",")))=0)),IF(FM111="",TRUE,IF(input_industry="",FALSE,SUMPRODUCT(--ISNUMBER(SEARCH(","&amp;TRIM(TEXTSPLIT(FM111,","))&amp;",",","&amp;SUBSTITUTE(input_industry," ","")&amp;",")))&gt;0)),IF(FO111="",TRUE,IF(input_industry="",FALSE,SUMPRODUCT(--ISNUMBER(SEARCH(","&amp;TRIM(TEXTSPLIT(FO111,","))&amp;",",","&amp;SUBSTITUTE(input_industry," ","")&amp;",")))=COUNTA(TEXTSPLIT(FO111,",")))))</f>
        <v/>
      </c>
      <c r="JJ111" s="19">
        <f>AND(IF(FQ111="",TRUE,IF(input_location="",FALSE,SUMPRODUCT(--ISNUMBER(SEARCH(","&amp;TRIM(TEXTSPLIT(FQ111,","))&amp;",",","&amp;SUBSTITUTE(input_location," ","")&amp;",")))&gt;0)),IF(FS111="",TRUE,IF(input_location="",FALSE,SUMPRODUCT(--ISNUMBER(SEARCH(","&amp;TRIM(TEXTSPLIT(FS111,","))&amp;",",","&amp;SUBSTITUTE(input_location," ","")&amp;",")))=COUNTA(TEXTSPLIT(FS111,",")))),IF(FU111="",TRUE,IF(input_location="",TRUE,SUMPRODUCT(--ISNUMBER(SEARCH(","&amp;TRIM(TEXTSPLIT(FU111,","))&amp;",",","&amp;SUBSTITUTE(input_location," ","")&amp;",")))=0)),IF(FW111="",TRUE,IF(input_location="",FALSE,SUMPRODUCT(--ISNUMBER(SEARCH(","&amp;TRIM(TEXTSPLIT(FW111,","))&amp;",",","&amp;SUBSTITUTE(input_location," ","")&amp;",")))&gt;0)),IF(FY111="",TRUE,IF(input_location="",FALSE,SUMPRODUCT(--ISNUMBER(SEARCH(","&amp;TRIM(TEXTSPLIT(FY111,","))&amp;",",","&amp;SUBSTITUTE(input_location," ","")&amp;",")))=COUNTA(TEXTSPLIT(FY111,",")))))</f>
        <v/>
      </c>
      <c r="JK111" s="19">
        <f>AND(IF(GA111="",TRUE,IF(input_modality="",FALSE,SUMPRODUCT(--ISNUMBER(SEARCH(","&amp;TRIM(TEXTSPLIT(GA111,","))&amp;",",","&amp;SUBSTITUTE(input_modality," ","")&amp;",")))&gt;0)),IF(GC111="",TRUE,IF(input_modality="",FALSE,SUMPRODUCT(--ISNUMBER(SEARCH(","&amp;TRIM(TEXTSPLIT(GC111,","))&amp;",",","&amp;SUBSTITUTE(input_modality," ","")&amp;",")))=COUNTA(TEXTSPLIT(GC111,",")))),IF(GE111="",TRUE,IF(input_modality="",TRUE,SUMPRODUCT(--ISNUMBER(SEARCH(","&amp;TRIM(TEXTSPLIT(GE111,","))&amp;",",","&amp;SUBSTITUTE(input_modality," ","")&amp;",")))=0)),IF(GG111="",TRUE,IF(input_modality="",FALSE,SUMPRODUCT(--ISNUMBER(SEARCH(","&amp;TRIM(TEXTSPLIT(GG111,","))&amp;",",","&amp;SUBSTITUTE(input_modality," ","")&amp;",")))&gt;0)),IF(GI111="",TRUE,IF(input_modality="",FALSE,SUMPRODUCT(--ISNUMBER(SEARCH(","&amp;TRIM(TEXTSPLIT(GI111,","))&amp;",",","&amp;SUBSTITUTE(input_modality," ","")&amp;",")))=COUNTA(TEXTSPLIT(GI111,",")))))</f>
        <v/>
      </c>
      <c r="JL111" s="19">
        <f>AND(IF(GK111="",TRUE,IF(input_organizer="",FALSE,SUMPRODUCT(--ISNUMBER(SEARCH(","&amp;TRIM(TEXTSPLIT(GK111,","))&amp;",",","&amp;SUBSTITUTE(input_organizer," ","")&amp;",")))&gt;0)),IF(GM111="",TRUE,IF(input_organizer="",FALSE,SUMPRODUCT(--ISNUMBER(SEARCH(","&amp;TRIM(TEXTSPLIT(GM111,","))&amp;",",","&amp;SUBSTITUTE(input_organizer," ","")&amp;",")))=COUNTA(TEXTSPLIT(GM111,",")))),IF(GO111="",TRUE,IF(input_organizer="",TRUE,SUMPRODUCT(--ISNUMBER(SEARCH(","&amp;TRIM(TEXTSPLIT(GO111,","))&amp;",",","&amp;SUBSTITUTE(input_organizer," ","")&amp;",")))=0)),IF(GQ111="",TRUE,IF(input_organizer="",FALSE,SUMPRODUCT(--ISNUMBER(SEARCH(","&amp;TRIM(TEXTSPLIT(GQ111,","))&amp;",",","&amp;SUBSTITUTE(input_organizer," ","")&amp;",")))&gt;0)),IF(GS111="",TRUE,IF(input_organizer="",FALSE,SUMPRODUCT(--ISNUMBER(SEARCH(","&amp;TRIM(TEXTSPLIT(GS111,","))&amp;",",","&amp;SUBSTITUTE(input_organizer," ","")&amp;",")))=COUNTA(TEXTSPLIT(GS111,",")))))</f>
        <v/>
      </c>
      <c r="JM111" s="19">
        <f>AND(IF(GU111="",TRUE,IF(input_profile_type="",FALSE,SUMPRODUCT(--ISNUMBER(SEARCH(","&amp;TRIM(TEXTSPLIT(GU111,","))&amp;",",","&amp;SUBSTITUTE(input_profile_type," ","")&amp;",")))&gt;0)),IF(GW111="",TRUE,IF(input_profile_type="",FALSE,SUMPRODUCT(--ISNUMBER(SEARCH(","&amp;TRIM(TEXTSPLIT(GW111,","))&amp;",",","&amp;SUBSTITUTE(input_profile_type," ","")&amp;",")))=COUNTA(TEXTSPLIT(GW111,",")))),IF(GY111="",TRUE,IF(input_profile_type="",TRUE,SUMPRODUCT(--ISNUMBER(SEARCH(","&amp;TRIM(TEXTSPLIT(GY111,","))&amp;",",","&amp;SUBSTITUTE(input_profile_type," ","")&amp;",")))=0)),IF(HA111="",TRUE,IF(input_profile_type="",FALSE,SUMPRODUCT(--ISNUMBER(SEARCH(","&amp;TRIM(TEXTSPLIT(HA111,","))&amp;",",","&amp;SUBSTITUTE(input_profile_type," ","")&amp;",")))&gt;0)),IF(HC111="",TRUE,IF(input_profile_type="",FALSE,SUMPRODUCT(--ISNUMBER(SEARCH(","&amp;TRIM(TEXTSPLIT(HC111,","))&amp;",",","&amp;SUBSTITUTE(input_profile_type," ","")&amp;",")))=COUNTA(TEXTSPLIT(HC111,",")))))</f>
        <v/>
      </c>
      <c r="JN111" s="19">
        <f>AND(IF(HE111="",TRUE,IF(input_program="",FALSE,SUMPRODUCT(--ISNUMBER(SEARCH(","&amp;TRIM(TEXTSPLIT(HE111,","))&amp;",",","&amp;SUBSTITUTE(input_program," ","")&amp;",")))&gt;0)),IF(HG111="",TRUE,IF(input_program="",FALSE,SUMPRODUCT(--ISNUMBER(SEARCH(","&amp;TRIM(TEXTSPLIT(HG111,","))&amp;",",","&amp;SUBSTITUTE(input_program," ","")&amp;",")))=COUNTA(TEXTSPLIT(HG111,",")))),IF(HI111="",TRUE,IF(input_program="",TRUE,SUMPRODUCT(--ISNUMBER(SEARCH(","&amp;TRIM(TEXTSPLIT(HI111,","))&amp;",",","&amp;SUBSTITUTE(input_program," ","")&amp;",")))=0)),IF(HK111="",TRUE,IF(input_program="",FALSE,SUMPRODUCT(--ISNUMBER(SEARCH(","&amp;TRIM(TEXTSPLIT(HK111,","))&amp;",",","&amp;SUBSTITUTE(input_program," ","")&amp;",")))&gt;0)),IF(HM111="",TRUE,IF(input_program="",FALSE,SUMPRODUCT(--ISNUMBER(SEARCH(","&amp;TRIM(TEXTSPLIT(HM111,","))&amp;",",","&amp;SUBSTITUTE(input_program," ","")&amp;",")))=COUNTA(TEXTSPLIT(HM111,",")))))</f>
        <v/>
      </c>
      <c r="JO111" s="19">
        <f>AND(IF(HO111="",TRUE,IF(input_story_categories="",FALSE,SUMPRODUCT(--ISNUMBER(SEARCH(","&amp;TRIM(TEXTSPLIT(HO111,","))&amp;",",","&amp;SUBSTITUTE(input_story_categories," ","")&amp;",")))&gt;0)),IF(HQ111="",TRUE,IF(input_story_categories="",FALSE,SUMPRODUCT(--ISNUMBER(SEARCH(","&amp;TRIM(TEXTSPLIT(HQ111,","))&amp;",",","&amp;SUBSTITUTE(input_story_categories," ","")&amp;",")))=COUNTA(TEXTSPLIT(HQ111,",")))),IF(HS111="",TRUE,IF(input_story_categories="",TRUE,SUMPRODUCT(--ISNUMBER(SEARCH(","&amp;TRIM(TEXTSPLIT(HS111,","))&amp;",",","&amp;SUBSTITUTE(input_story_categories," ","")&amp;",")))=0)),IF(HU111="",TRUE,IF(input_story_categories="",FALSE,SUMPRODUCT(--ISNUMBER(SEARCH(","&amp;TRIM(TEXTSPLIT(HU111,","))&amp;",",","&amp;SUBSTITUTE(input_story_categories," ","")&amp;",")))&gt;0)),IF(HW111="",TRUE,IF(input_story_categories="",FALSE,SUMPRODUCT(--ISNUMBER(SEARCH(","&amp;TRIM(TEXTSPLIT(HW111,","))&amp;",",","&amp;SUBSTITUTE(input_story_categories," ","")&amp;",")))=COUNTA(TEXTSPLIT(HW111,",")))))</f>
        <v/>
      </c>
      <c r="JP111" s="19">
        <f>AND(IF(HY111="",TRUE,IF(input_story_type="",FALSE,SUMPRODUCT(--ISNUMBER(SEARCH(","&amp;TRIM(TEXTSPLIT(HY111,","))&amp;",",","&amp;SUBSTITUTE(input_story_type," ","")&amp;",")))&gt;0)),IF(IA111="",TRUE,IF(input_story_type="",FALSE,SUMPRODUCT(--ISNUMBER(SEARCH(","&amp;TRIM(TEXTSPLIT(IA111,","))&amp;",",","&amp;SUBSTITUTE(input_story_type," ","")&amp;",")))=COUNTA(TEXTSPLIT(IA111,",")))),IF(IC111="",TRUE,IF(input_story_type="",TRUE,SUMPRODUCT(--ISNUMBER(SEARCH(","&amp;TRIM(TEXTSPLIT(IC111,","))&amp;",",","&amp;SUBSTITUTE(input_story_type," ","")&amp;",")))=0)),IF(IE111="",TRUE,IF(input_story_type="",FALSE,SUMPRODUCT(--ISNUMBER(SEARCH(","&amp;TRIM(TEXTSPLIT(IE111,","))&amp;",",","&amp;SUBSTITUTE(input_story_type," ","")&amp;",")))&gt;0)),IF(IG111="",TRUE,IF(input_story_type="",FALSE,SUMPRODUCT(--ISNUMBER(SEARCH(","&amp;TRIM(TEXTSPLIT(IG111,","))&amp;",",","&amp;SUBSTITUTE(input_story_type," ","")&amp;",")))=COUNTA(TEXTSPLIT(IG111,",")))))</f>
        <v/>
      </c>
      <c r="JQ111" s="19">
        <f>AND(IF(II111="",TRUE,IF(input_topics="",FALSE,SUMPRODUCT(--ISNUMBER(SEARCH(","&amp;TRIM(TEXTSPLIT(II111,","))&amp;",",","&amp;SUBSTITUTE(input_topics," ","")&amp;",")))&gt;0)),IF(IK111="",TRUE,IF(input_topics="",FALSE,SUMPRODUCT(--ISNUMBER(SEARCH(","&amp;TRIM(TEXTSPLIT(IK111,","))&amp;",",","&amp;SUBSTITUTE(input_topics," ","")&amp;",")))=COUNTA(TEXTSPLIT(IK111,",")))),IF(IM111="",TRUE,IF(input_topics="",TRUE,SUMPRODUCT(--ISNUMBER(SEARCH(","&amp;TRIM(TEXTSPLIT(IM111,","))&amp;",",","&amp;SUBSTITUTE(input_topics," ","")&amp;",")))=0)),IF(IO111="",TRUE,IF(input_topics="",FALSE,SUMPRODUCT(--ISNUMBER(SEARCH(","&amp;TRIM(TEXTSPLIT(IO111,","))&amp;",",","&amp;SUBSTITUTE(input_topics," ","")&amp;",")))&gt;0)),IF(IQ111="",TRUE,IF(input_topics="",FALSE,SUMPRODUCT(--ISNUMBER(SEARCH(","&amp;TRIM(TEXTSPLIT(IQ111,","))&amp;",",","&amp;SUBSTITUTE(input_topics," ","")&amp;",")))=COUNTA(TEXTSPLIT(IQ111,",")))))</f>
        <v/>
      </c>
    </row>
    <row r="112">
      <c r="A112" s="24">
        <f>IF(NOT(IS112),"Excluded",IF(AND(IT112,IU112,IV112,IW112,IX112,IY112,IZ112,JA112,JB112,JC112,JD112,JE112,JF112,JG112,JH112,JI112,JJ112,JK112,JL112,JM112,JN112,JO112,JP112,JQ112),IF(I112&gt;0,"Eligible but limited","Will appear"),"Excluded"))</f>
        <v/>
      </c>
      <c r="B112" s="24" t="inlineStr">
        <is>
          <t>Filterable publication teaser list by context</t>
        </is>
      </c>
      <c r="C112" s="27" t="inlineStr">
        <is>
          <t>/centers/international-center-for-finance/publications</t>
        </is>
      </c>
      <c r="D112" s="24" t="inlineStr">
        <is>
          <t>/centers/international-center-for-finance/publications</t>
        </is>
      </c>
      <c r="E112" s="24" t="n">
        <v>1</v>
      </c>
      <c r="F112" s="24" t="inlineStr">
        <is>
          <t>publications</t>
        </is>
      </c>
      <c r="G112" s="24" t="inlineStr">
        <is>
          <t>publication_teaser_list</t>
        </is>
      </c>
      <c r="H112" s="24" t="inlineStr">
        <is>
          <t>publications_all_by_context_filtered</t>
        </is>
      </c>
      <c r="I112" s="24" t="n">
        <v>50</v>
      </c>
      <c r="J112" s="24" t="inlineStr">
        <is>
          <t>View/config rules</t>
        </is>
      </c>
      <c r="K112" s="24" t="inlineStr">
        <is>
          <t>Page placement</t>
        </is>
      </c>
      <c r="L112" s="24" t="inlineStr">
        <is>
          <t>Content type: publications; Limited to 50 item(s); Source: View/config rules</t>
        </is>
      </c>
      <c r="IS112" s="19">
        <f>IF(input_content_type="",FALSE,ISNUMBER(SEARCH(","&amp;LOWER(input_content_type)&amp;",",","&amp;LOWER(SUBSTITUTE(F112," ",""))&amp;",")))</f>
        <v/>
      </c>
      <c r="IT112" s="19">
        <f>AND(IF(M112="",TRUE,IF(input_affiliations="",FALSE,SUMPRODUCT(--ISNUMBER(SEARCH(","&amp;TRIM(TEXTSPLIT(M112,","))&amp;",",","&amp;SUBSTITUTE(input_affiliations," ","")&amp;",")))&gt;0)),IF(O112="",TRUE,IF(input_affiliations="",FALSE,SUMPRODUCT(--ISNUMBER(SEARCH(","&amp;TRIM(TEXTSPLIT(O112,","))&amp;",",","&amp;SUBSTITUTE(input_affiliations," ","")&amp;",")))=COUNTA(TEXTSPLIT(O112,",")))),IF(Q112="",TRUE,IF(input_affiliations="",TRUE,SUMPRODUCT(--ISNUMBER(SEARCH(","&amp;TRIM(TEXTSPLIT(Q112,","))&amp;",",","&amp;SUBSTITUTE(input_affiliations," ","")&amp;",")))=0)),IF(S112="",TRUE,IF(input_affiliations="",FALSE,SUMPRODUCT(--ISNUMBER(SEARCH(","&amp;TRIM(TEXTSPLIT(S112,","))&amp;",",","&amp;SUBSTITUTE(input_affiliations," ","")&amp;",")))&gt;0)),IF(U112="",TRUE,IF(input_affiliations="",FALSE,SUMPRODUCT(--ISNUMBER(SEARCH(","&amp;TRIM(TEXTSPLIT(U112,","))&amp;",",","&amp;SUBSTITUTE(input_affiliations," ","")&amp;",")))=COUNTA(TEXTSPLIT(U112,",")))))</f>
        <v/>
      </c>
      <c r="IU112" s="19">
        <f>AND(IF(W112="",TRUE,IF(input_announcement_category="",FALSE,SUMPRODUCT(--ISNUMBER(SEARCH(","&amp;TRIM(TEXTSPLIT(W112,","))&amp;",",","&amp;SUBSTITUTE(input_announcement_category," ","")&amp;",")))&gt;0)),IF(Y112="",TRUE,IF(input_announcement_category="",FALSE,SUMPRODUCT(--ISNUMBER(SEARCH(","&amp;TRIM(TEXTSPLIT(Y112,","))&amp;",",","&amp;SUBSTITUTE(input_announcement_category," ","")&amp;",")))=COUNTA(TEXTSPLIT(Y112,",")))),IF(AA112="",TRUE,IF(input_announcement_category="",TRUE,SUMPRODUCT(--ISNUMBER(SEARCH(","&amp;TRIM(TEXTSPLIT(AA112,","))&amp;",",","&amp;SUBSTITUTE(input_announcement_category," ","")&amp;",")))=0)),IF(AC112="",TRUE,IF(input_announcement_category="",FALSE,SUMPRODUCT(--ISNUMBER(SEARCH(","&amp;TRIM(TEXTSPLIT(AC112,","))&amp;",",","&amp;SUBSTITUTE(input_announcement_category," ","")&amp;",")))&gt;0)),IF(AE112="",TRUE,IF(input_announcement_category="",FALSE,SUMPRODUCT(--ISNUMBER(SEARCH(","&amp;TRIM(TEXTSPLIT(AE112,","))&amp;",",","&amp;SUBSTITUTE(input_announcement_category," ","")&amp;",")))=COUNTA(TEXTSPLIT(AE112,",")))))</f>
        <v/>
      </c>
      <c r="IV112" s="19">
        <f>AND(IF(AG112="",TRUE,IF(input_area_of_focus="",FALSE,SUMPRODUCT(--ISNUMBER(SEARCH(","&amp;TRIM(TEXTSPLIT(AG112,","))&amp;",",","&amp;SUBSTITUTE(input_area_of_focus," ","")&amp;",")))&gt;0)),IF(AI112="",TRUE,IF(input_area_of_focus="",FALSE,SUMPRODUCT(--ISNUMBER(SEARCH(","&amp;TRIM(TEXTSPLIT(AI112,","))&amp;",",","&amp;SUBSTITUTE(input_area_of_focus," ","")&amp;",")))=COUNTA(TEXTSPLIT(AI112,",")))),IF(AK112="",TRUE,IF(input_area_of_focus="",TRUE,SUMPRODUCT(--ISNUMBER(SEARCH(","&amp;TRIM(TEXTSPLIT(AK112,","))&amp;",",","&amp;SUBSTITUTE(input_area_of_focus," ","")&amp;",")))=0)),IF(AM112="",TRUE,IF(input_area_of_focus="",FALSE,SUMPRODUCT(--ISNUMBER(SEARCH(","&amp;TRIM(TEXTSPLIT(AM112,","))&amp;",",","&amp;SUBSTITUTE(input_area_of_focus," ","")&amp;",")))&gt;0)),IF(AO112="",TRUE,IF(input_area_of_focus="",FALSE,SUMPRODUCT(--ISNUMBER(SEARCH(","&amp;TRIM(TEXTSPLIT(AO112,","))&amp;",",","&amp;SUBSTITUTE(input_area_of_focus," ","")&amp;",")))=COUNTA(TEXTSPLIT(AO112,",")))))</f>
        <v/>
      </c>
      <c r="IW112" s="19">
        <f>AND(IF(AQ112="",TRUE,IF(input_audience="",FALSE,SUMPRODUCT(--ISNUMBER(SEARCH(","&amp;TRIM(TEXTSPLIT(AQ112,","))&amp;",",","&amp;SUBSTITUTE(input_audience," ","")&amp;",")))&gt;0)),IF(AS112="",TRUE,IF(input_audience="",FALSE,SUMPRODUCT(--ISNUMBER(SEARCH(","&amp;TRIM(TEXTSPLIT(AS112,","))&amp;",",","&amp;SUBSTITUTE(input_audience," ","")&amp;",")))=COUNTA(TEXTSPLIT(AS112,",")))),IF(AU112="",TRUE,IF(input_audience="",TRUE,SUMPRODUCT(--ISNUMBER(SEARCH(","&amp;TRIM(TEXTSPLIT(AU112,","))&amp;",",","&amp;SUBSTITUTE(input_audience," ","")&amp;",")))=0)),IF(AW112="",TRUE,IF(input_audience="",FALSE,SUMPRODUCT(--ISNUMBER(SEARCH(","&amp;TRIM(TEXTSPLIT(AW112,","))&amp;",",","&amp;SUBSTITUTE(input_audience," ","")&amp;",")))&gt;0)),IF(AY112="",TRUE,IF(input_audience="",FALSE,SUMPRODUCT(--ISNUMBER(SEARCH(","&amp;TRIM(TEXTSPLIT(AY112,","))&amp;",",","&amp;SUBSTITUTE(input_audience," ","")&amp;",")))=COUNTA(TEXTSPLIT(AY112,",")))))</f>
        <v/>
      </c>
      <c r="IX112" s="19">
        <f>AND(IF(BA112="",TRUE,IF(input_challenge_opportunities="",FALSE,SUMPRODUCT(--ISNUMBER(SEARCH(","&amp;TRIM(TEXTSPLIT(BA112,","))&amp;",",","&amp;SUBSTITUTE(input_challenge_opportunities," ","")&amp;",")))&gt;0)),IF(BC112="",TRUE,IF(input_challenge_opportunities="",FALSE,SUMPRODUCT(--ISNUMBER(SEARCH(","&amp;TRIM(TEXTSPLIT(BC112,","))&amp;",",","&amp;SUBSTITUTE(input_challenge_opportunities," ","")&amp;",")))=COUNTA(TEXTSPLIT(BC112,",")))),IF(BE112="",TRUE,IF(input_challenge_opportunities="",TRUE,SUMPRODUCT(--ISNUMBER(SEARCH(","&amp;TRIM(TEXTSPLIT(BE112,","))&amp;",",","&amp;SUBSTITUTE(input_challenge_opportunities," ","")&amp;",")))=0)),IF(BG112="",TRUE,IF(input_challenge_opportunities="",FALSE,SUMPRODUCT(--ISNUMBER(SEARCH(","&amp;TRIM(TEXTSPLIT(BG112,","))&amp;",",","&amp;SUBSTITUTE(input_challenge_opportunities," ","")&amp;",")))&gt;0)),IF(BI112="",TRUE,IF(input_challenge_opportunities="",FALSE,SUMPRODUCT(--ISNUMBER(SEARCH(","&amp;TRIM(TEXTSPLIT(BI112,","))&amp;",",","&amp;SUBSTITUTE(input_challenge_opportunities," ","")&amp;",")))=COUNTA(TEXTSPLIT(BI112,",")))))</f>
        <v/>
      </c>
      <c r="IY112" s="19">
        <f>AND(IF(BK112="",TRUE,IF(input_context="",FALSE,SUMPRODUCT(--ISNUMBER(SEARCH(","&amp;TRIM(TEXTSPLIT(BK112,","))&amp;",",","&amp;SUBSTITUTE(input_context," ","")&amp;",")))&gt;0)),IF(BM112="",TRUE,IF(input_context="",FALSE,SUMPRODUCT(--ISNUMBER(SEARCH(","&amp;TRIM(TEXTSPLIT(BM112,","))&amp;",",","&amp;SUBSTITUTE(input_context," ","")&amp;",")))=COUNTA(TEXTSPLIT(BM112,",")))),IF(BO112="",TRUE,IF(input_context="",TRUE,SUMPRODUCT(--ISNUMBER(SEARCH(","&amp;TRIM(TEXTSPLIT(BO112,","))&amp;",",","&amp;SUBSTITUTE(input_context," ","")&amp;",")))=0)),IF(BQ112="",TRUE,IF(input_context="",FALSE,SUMPRODUCT(--ISNUMBER(SEARCH(","&amp;TRIM(TEXTSPLIT(BQ112,","))&amp;",",","&amp;SUBSTITUTE(input_context," ","")&amp;",")))&gt;0)),IF(BS112="",TRUE,IF(input_context="",FALSE,SUMPRODUCT(--ISNUMBER(SEARCH(","&amp;TRIM(TEXTSPLIT(BS112,","))&amp;",",","&amp;SUBSTITUTE(input_context," ","")&amp;",")))=COUNTA(TEXTSPLIT(BS112,",")))))</f>
        <v/>
      </c>
      <c r="IZ112" s="19">
        <f>AND(IF(BU112="",TRUE,IF(input_enews_announcement_type="",FALSE,SUMPRODUCT(--ISNUMBER(SEARCH(","&amp;TRIM(TEXTSPLIT(BU112,","))&amp;",",","&amp;SUBSTITUTE(input_enews_announcement_type," ","")&amp;",")))&gt;0)),IF(BW112="",TRUE,IF(input_enews_announcement_type="",FALSE,SUMPRODUCT(--ISNUMBER(SEARCH(","&amp;TRIM(TEXTSPLIT(BW112,","))&amp;",",","&amp;SUBSTITUTE(input_enews_announcement_type," ","")&amp;",")))=COUNTA(TEXTSPLIT(BW112,",")))),IF(BY112="",TRUE,IF(input_enews_announcement_type="",TRUE,SUMPRODUCT(--ISNUMBER(SEARCH(","&amp;TRIM(TEXTSPLIT(BY112,","))&amp;",",","&amp;SUBSTITUTE(input_enews_announcement_type," ","")&amp;",")))=0)),IF(CA112="",TRUE,IF(input_enews_announcement_type="",FALSE,SUMPRODUCT(--ISNUMBER(SEARCH(","&amp;TRIM(TEXTSPLIT(CA112,","))&amp;",",","&amp;SUBSTITUTE(input_enews_announcement_type," ","")&amp;",")))&gt;0)),IF(CC112="",TRUE,IF(input_enews_announcement_type="",FALSE,SUMPRODUCT(--ISNUMBER(SEARCH(","&amp;TRIM(TEXTSPLIT(CC112,","))&amp;",",","&amp;SUBSTITUTE(input_enews_announcement_type," ","")&amp;",")))=COUNTA(TEXTSPLIT(CC112,",")))))</f>
        <v/>
      </c>
      <c r="JA112" s="19">
        <f>AND(IF(CE112="",TRUE,IF(input_enews_audience="",FALSE,SUMPRODUCT(--ISNUMBER(SEARCH(","&amp;TRIM(TEXTSPLIT(CE112,","))&amp;",",","&amp;SUBSTITUTE(input_enews_audience," ","")&amp;",")))&gt;0)),IF(CG112="",TRUE,IF(input_enews_audience="",FALSE,SUMPRODUCT(--ISNUMBER(SEARCH(","&amp;TRIM(TEXTSPLIT(CG112,","))&amp;",",","&amp;SUBSTITUTE(input_enews_audience," ","")&amp;",")))=COUNTA(TEXTSPLIT(CG112,",")))),IF(CI112="",TRUE,IF(input_enews_audience="",TRUE,SUMPRODUCT(--ISNUMBER(SEARCH(","&amp;TRIM(TEXTSPLIT(CI112,","))&amp;",",","&amp;SUBSTITUTE(input_enews_audience," ","")&amp;",")))=0)),IF(CK112="",TRUE,IF(input_enews_audience="",FALSE,SUMPRODUCT(--ISNUMBER(SEARCH(","&amp;TRIM(TEXTSPLIT(CK112,","))&amp;",",","&amp;SUBSTITUTE(input_enews_audience," ","")&amp;",")))&gt;0)),IF(CM112="",TRUE,IF(input_enews_audience="",FALSE,SUMPRODUCT(--ISNUMBER(SEARCH(","&amp;TRIM(TEXTSPLIT(CM112,","))&amp;",",","&amp;SUBSTITUTE(input_enews_audience," ","")&amp;",")))=COUNTA(TEXTSPLIT(CM112,",")))))</f>
        <v/>
      </c>
      <c r="JB112" s="19">
        <f>AND(IF(CO112="",TRUE,IF(input_event_location="",FALSE,SUMPRODUCT(--ISNUMBER(SEARCH(","&amp;TRIM(TEXTSPLIT(CO112,","))&amp;",",","&amp;SUBSTITUTE(input_event_location," ","")&amp;",")))&gt;0)),IF(CQ112="",TRUE,IF(input_event_location="",FALSE,SUMPRODUCT(--ISNUMBER(SEARCH(","&amp;TRIM(TEXTSPLIT(CQ112,","))&amp;",",","&amp;SUBSTITUTE(input_event_location," ","")&amp;",")))=COUNTA(TEXTSPLIT(CQ112,",")))),IF(CS112="",TRUE,IF(input_event_location="",TRUE,SUMPRODUCT(--ISNUMBER(SEARCH(","&amp;TRIM(TEXTSPLIT(CS112,","))&amp;",",","&amp;SUBSTITUTE(input_event_location," ","")&amp;",")))=0)),IF(CU112="",TRUE,IF(input_event_location="",FALSE,SUMPRODUCT(--ISNUMBER(SEARCH(","&amp;TRIM(TEXTSPLIT(CU112,","))&amp;",",","&amp;SUBSTITUTE(input_event_location," ","")&amp;",")))&gt;0)),IF(CW112="",TRUE,IF(input_event_location="",FALSE,SUMPRODUCT(--ISNUMBER(SEARCH(","&amp;TRIM(TEXTSPLIT(CW112,","))&amp;",",","&amp;SUBSTITUTE(input_event_location," ","")&amp;",")))=COUNTA(TEXTSPLIT(CW112,",")))))</f>
        <v/>
      </c>
      <c r="JC112" s="19">
        <f>AND(IF(CY112="",TRUE,IF(input_event_type="",FALSE,SUMPRODUCT(--ISNUMBER(SEARCH(","&amp;TRIM(TEXTSPLIT(CY112,","))&amp;",",","&amp;SUBSTITUTE(input_event_type," ","")&amp;",")))&gt;0)),IF(DA112="",TRUE,IF(input_event_type="",FALSE,SUMPRODUCT(--ISNUMBER(SEARCH(","&amp;TRIM(TEXTSPLIT(DA112,","))&amp;",",","&amp;SUBSTITUTE(input_event_type," ","")&amp;",")))=COUNTA(TEXTSPLIT(DA112,",")))),IF(DC112="",TRUE,IF(input_event_type="",TRUE,SUMPRODUCT(--ISNUMBER(SEARCH(","&amp;TRIM(TEXTSPLIT(DC112,","))&amp;",",","&amp;SUBSTITUTE(input_event_type," ","")&amp;",")))=0)),IF(DE112="",TRUE,IF(input_event_type="",FALSE,SUMPRODUCT(--ISNUMBER(SEARCH(","&amp;TRIM(TEXTSPLIT(DE112,","))&amp;",",","&amp;SUBSTITUTE(input_event_type," ","")&amp;",")))&gt;0)),IF(DG112="",TRUE,IF(input_event_type="",FALSE,SUMPRODUCT(--ISNUMBER(SEARCH(","&amp;TRIM(TEXTSPLIT(DG112,","))&amp;",",","&amp;SUBSTITUTE(input_event_type," ","")&amp;",")))=COUNTA(TEXTSPLIT(DG112,",")))))</f>
        <v/>
      </c>
      <c r="JD112" s="19">
        <f>AND(IF(DI112="",TRUE,IF(input_executive_education_focus="",FALSE,SUMPRODUCT(--ISNUMBER(SEARCH(","&amp;TRIM(TEXTSPLIT(DI112,","))&amp;",",","&amp;SUBSTITUTE(input_executive_education_focus," ","")&amp;",")))&gt;0)),IF(DK112="",TRUE,IF(input_executive_education_focus="",FALSE,SUMPRODUCT(--ISNUMBER(SEARCH(","&amp;TRIM(TEXTSPLIT(DK112,","))&amp;",",","&amp;SUBSTITUTE(input_executive_education_focus," ","")&amp;",")))=COUNTA(TEXTSPLIT(DK112,",")))),IF(DM112="",TRUE,IF(input_executive_education_focus="",TRUE,SUMPRODUCT(--ISNUMBER(SEARCH(","&amp;TRIM(TEXTSPLIT(DM112,","))&amp;",",","&amp;SUBSTITUTE(input_executive_education_focus," ","")&amp;",")))=0)),IF(DO112="",TRUE,IF(input_executive_education_focus="",FALSE,SUMPRODUCT(--ISNUMBER(SEARCH(","&amp;TRIM(TEXTSPLIT(DO112,","))&amp;",",","&amp;SUBSTITUTE(input_executive_education_focus," ","")&amp;",")))&gt;0)),IF(DQ112="",TRUE,IF(input_executive_education_focus="",FALSE,SUMPRODUCT(--ISNUMBER(SEARCH(","&amp;TRIM(TEXTSPLIT(DQ112,","))&amp;",",","&amp;SUBSTITUTE(input_executive_education_focus," ","")&amp;",")))=COUNTA(TEXTSPLIT(DQ112,",")))))</f>
        <v/>
      </c>
      <c r="JE112" s="19">
        <f>AND(IF(DS112="",TRUE,IF(input_faculty_category="",FALSE,SUMPRODUCT(--ISNUMBER(SEARCH(","&amp;TRIM(TEXTSPLIT(DS112,","))&amp;",",","&amp;SUBSTITUTE(input_faculty_category," ","")&amp;",")))&gt;0)),IF(DU112="",TRUE,IF(input_faculty_category="",FALSE,SUMPRODUCT(--ISNUMBER(SEARCH(","&amp;TRIM(TEXTSPLIT(DU112,","))&amp;",",","&amp;SUBSTITUTE(input_faculty_category," ","")&amp;",")))=COUNTA(TEXTSPLIT(DU112,",")))),IF(DW112="",TRUE,IF(input_faculty_category="",TRUE,SUMPRODUCT(--ISNUMBER(SEARCH(","&amp;TRIM(TEXTSPLIT(DW112,","))&amp;",",","&amp;SUBSTITUTE(input_faculty_category," ","")&amp;",")))=0)),IF(DY112="",TRUE,IF(input_faculty_category="",FALSE,SUMPRODUCT(--ISNUMBER(SEARCH(","&amp;TRIM(TEXTSPLIT(DY112,","))&amp;",",","&amp;SUBSTITUTE(input_faculty_category," ","")&amp;",")))&gt;0)),IF(EA112="",TRUE,IF(input_faculty_category="",FALSE,SUMPRODUCT(--ISNUMBER(SEARCH(","&amp;TRIM(TEXTSPLIT(EA112,","))&amp;",",","&amp;SUBSTITUTE(input_faculty_category," ","")&amp;",")))=COUNTA(TEXTSPLIT(EA112,",")))))</f>
        <v/>
      </c>
      <c r="JF112" s="19">
        <f>AND(IF(EC112="",TRUE,IF(input_faculty_discipline="",FALSE,SUMPRODUCT(--ISNUMBER(SEARCH(","&amp;TRIM(TEXTSPLIT(EC112,","))&amp;",",","&amp;SUBSTITUTE(input_faculty_discipline," ","")&amp;",")))&gt;0)),IF(EE112="",TRUE,IF(input_faculty_discipline="",FALSE,SUMPRODUCT(--ISNUMBER(SEARCH(","&amp;TRIM(TEXTSPLIT(EE112,","))&amp;",",","&amp;SUBSTITUTE(input_faculty_discipline," ","")&amp;",")))=COUNTA(TEXTSPLIT(EE112,",")))),IF(EG112="",TRUE,IF(input_faculty_discipline="",TRUE,SUMPRODUCT(--ISNUMBER(SEARCH(","&amp;TRIM(TEXTSPLIT(EG112,","))&amp;",",","&amp;SUBSTITUTE(input_faculty_discipline," ","")&amp;",")))=0)),IF(EI112="",TRUE,IF(input_faculty_discipline="",FALSE,SUMPRODUCT(--ISNUMBER(SEARCH(","&amp;TRIM(TEXTSPLIT(EI112,","))&amp;",",","&amp;SUBSTITUTE(input_faculty_discipline," ","")&amp;",")))&gt;0)),IF(EK112="",TRUE,IF(input_faculty_discipline="",FALSE,SUMPRODUCT(--ISNUMBER(SEARCH(","&amp;TRIM(TEXTSPLIT(EK112,","))&amp;",",","&amp;SUBSTITUTE(input_faculty_discipline," ","")&amp;",")))=COUNTA(TEXTSPLIT(EK112,",")))))</f>
        <v/>
      </c>
      <c r="JG112" s="19">
        <f>AND(IF(EM112="",TRUE,IF(input_faculty_expertise="",FALSE,SUMPRODUCT(--ISNUMBER(SEARCH(","&amp;TRIM(TEXTSPLIT(EM112,","))&amp;",",","&amp;SUBSTITUTE(input_faculty_expertise," ","")&amp;",")))&gt;0)),IF(EO112="",TRUE,IF(input_faculty_expertise="",FALSE,SUMPRODUCT(--ISNUMBER(SEARCH(","&amp;TRIM(TEXTSPLIT(EO112,","))&amp;",",","&amp;SUBSTITUTE(input_faculty_expertise," ","")&amp;",")))=COUNTA(TEXTSPLIT(EO112,",")))),IF(EQ112="",TRUE,IF(input_faculty_expertise="",TRUE,SUMPRODUCT(--ISNUMBER(SEARCH(","&amp;TRIM(TEXTSPLIT(EQ112,","))&amp;",",","&amp;SUBSTITUTE(input_faculty_expertise," ","")&amp;",")))=0)),IF(ES112="",TRUE,IF(input_faculty_expertise="",FALSE,SUMPRODUCT(--ISNUMBER(SEARCH(","&amp;TRIM(TEXTSPLIT(ES112,","))&amp;",",","&amp;SUBSTITUTE(input_faculty_expertise," ","")&amp;",")))&gt;0)),IF(EU112="",TRUE,IF(input_faculty_expertise="",FALSE,SUMPRODUCT(--ISNUMBER(SEARCH(","&amp;TRIM(TEXTSPLIT(EU112,","))&amp;",",","&amp;SUBSTITUTE(input_faculty_expertise," ","")&amp;",")))=COUNTA(TEXTSPLIT(EU112,",")))))</f>
        <v/>
      </c>
      <c r="JH112" s="19">
        <f>AND(IF(EW112="",TRUE,IF(input_global_network_school="",FALSE,SUMPRODUCT(--ISNUMBER(SEARCH(","&amp;TRIM(TEXTSPLIT(EW112,","))&amp;",",","&amp;SUBSTITUTE(input_global_network_school," ","")&amp;",")))&gt;0)),IF(EY112="",TRUE,IF(input_global_network_school="",FALSE,SUMPRODUCT(--ISNUMBER(SEARCH(","&amp;TRIM(TEXTSPLIT(EY112,","))&amp;",",","&amp;SUBSTITUTE(input_global_network_school," ","")&amp;",")))=COUNTA(TEXTSPLIT(EY112,",")))),IF(FA112="",TRUE,IF(input_global_network_school="",TRUE,SUMPRODUCT(--ISNUMBER(SEARCH(","&amp;TRIM(TEXTSPLIT(FA112,","))&amp;",",","&amp;SUBSTITUTE(input_global_network_school," ","")&amp;",")))=0)),IF(FC112="",TRUE,IF(input_global_network_school="",FALSE,SUMPRODUCT(--ISNUMBER(SEARCH(","&amp;TRIM(TEXTSPLIT(FC112,","))&amp;",",","&amp;SUBSTITUTE(input_global_network_school," ","")&amp;",")))&gt;0)),IF(FE112="",TRUE,IF(input_global_network_school="",FALSE,SUMPRODUCT(--ISNUMBER(SEARCH(","&amp;TRIM(TEXTSPLIT(FE112,","))&amp;",",","&amp;SUBSTITUTE(input_global_network_school," ","")&amp;",")))=COUNTA(TEXTSPLIT(FE112,",")))))</f>
        <v/>
      </c>
      <c r="JI112" s="19">
        <f>AND(IF(FG112="",TRUE,IF(input_industry="",FALSE,SUMPRODUCT(--ISNUMBER(SEARCH(","&amp;TRIM(TEXTSPLIT(FG112,","))&amp;",",","&amp;SUBSTITUTE(input_industry," ","")&amp;",")))&gt;0)),IF(FI112="",TRUE,IF(input_industry="",FALSE,SUMPRODUCT(--ISNUMBER(SEARCH(","&amp;TRIM(TEXTSPLIT(FI112,","))&amp;",",","&amp;SUBSTITUTE(input_industry," ","")&amp;",")))=COUNTA(TEXTSPLIT(FI112,",")))),IF(FK112="",TRUE,IF(input_industry="",TRUE,SUMPRODUCT(--ISNUMBER(SEARCH(","&amp;TRIM(TEXTSPLIT(FK112,","))&amp;",",","&amp;SUBSTITUTE(input_industry," ","")&amp;",")))=0)),IF(FM112="",TRUE,IF(input_industry="",FALSE,SUMPRODUCT(--ISNUMBER(SEARCH(","&amp;TRIM(TEXTSPLIT(FM112,","))&amp;",",","&amp;SUBSTITUTE(input_industry," ","")&amp;",")))&gt;0)),IF(FO112="",TRUE,IF(input_industry="",FALSE,SUMPRODUCT(--ISNUMBER(SEARCH(","&amp;TRIM(TEXTSPLIT(FO112,","))&amp;",",","&amp;SUBSTITUTE(input_industry," ","")&amp;",")))=COUNTA(TEXTSPLIT(FO112,",")))))</f>
        <v/>
      </c>
      <c r="JJ112" s="19">
        <f>AND(IF(FQ112="",TRUE,IF(input_location="",FALSE,SUMPRODUCT(--ISNUMBER(SEARCH(","&amp;TRIM(TEXTSPLIT(FQ112,","))&amp;",",","&amp;SUBSTITUTE(input_location," ","")&amp;",")))&gt;0)),IF(FS112="",TRUE,IF(input_location="",FALSE,SUMPRODUCT(--ISNUMBER(SEARCH(","&amp;TRIM(TEXTSPLIT(FS112,","))&amp;",",","&amp;SUBSTITUTE(input_location," ","")&amp;",")))=COUNTA(TEXTSPLIT(FS112,",")))),IF(FU112="",TRUE,IF(input_location="",TRUE,SUMPRODUCT(--ISNUMBER(SEARCH(","&amp;TRIM(TEXTSPLIT(FU112,","))&amp;",",","&amp;SUBSTITUTE(input_location," ","")&amp;",")))=0)),IF(FW112="",TRUE,IF(input_location="",FALSE,SUMPRODUCT(--ISNUMBER(SEARCH(","&amp;TRIM(TEXTSPLIT(FW112,","))&amp;",",","&amp;SUBSTITUTE(input_location," ","")&amp;",")))&gt;0)),IF(FY112="",TRUE,IF(input_location="",FALSE,SUMPRODUCT(--ISNUMBER(SEARCH(","&amp;TRIM(TEXTSPLIT(FY112,","))&amp;",",","&amp;SUBSTITUTE(input_location," ","")&amp;",")))=COUNTA(TEXTSPLIT(FY112,",")))))</f>
        <v/>
      </c>
      <c r="JK112" s="19">
        <f>AND(IF(GA112="",TRUE,IF(input_modality="",FALSE,SUMPRODUCT(--ISNUMBER(SEARCH(","&amp;TRIM(TEXTSPLIT(GA112,","))&amp;",",","&amp;SUBSTITUTE(input_modality," ","")&amp;",")))&gt;0)),IF(GC112="",TRUE,IF(input_modality="",FALSE,SUMPRODUCT(--ISNUMBER(SEARCH(","&amp;TRIM(TEXTSPLIT(GC112,","))&amp;",",","&amp;SUBSTITUTE(input_modality," ","")&amp;",")))=COUNTA(TEXTSPLIT(GC112,",")))),IF(GE112="",TRUE,IF(input_modality="",TRUE,SUMPRODUCT(--ISNUMBER(SEARCH(","&amp;TRIM(TEXTSPLIT(GE112,","))&amp;",",","&amp;SUBSTITUTE(input_modality," ","")&amp;",")))=0)),IF(GG112="",TRUE,IF(input_modality="",FALSE,SUMPRODUCT(--ISNUMBER(SEARCH(","&amp;TRIM(TEXTSPLIT(GG112,","))&amp;",",","&amp;SUBSTITUTE(input_modality," ","")&amp;",")))&gt;0)),IF(GI112="",TRUE,IF(input_modality="",FALSE,SUMPRODUCT(--ISNUMBER(SEARCH(","&amp;TRIM(TEXTSPLIT(GI112,","))&amp;",",","&amp;SUBSTITUTE(input_modality," ","")&amp;",")))=COUNTA(TEXTSPLIT(GI112,",")))))</f>
        <v/>
      </c>
      <c r="JL112" s="19">
        <f>AND(IF(GK112="",TRUE,IF(input_organizer="",FALSE,SUMPRODUCT(--ISNUMBER(SEARCH(","&amp;TRIM(TEXTSPLIT(GK112,","))&amp;",",","&amp;SUBSTITUTE(input_organizer," ","")&amp;",")))&gt;0)),IF(GM112="",TRUE,IF(input_organizer="",FALSE,SUMPRODUCT(--ISNUMBER(SEARCH(","&amp;TRIM(TEXTSPLIT(GM112,","))&amp;",",","&amp;SUBSTITUTE(input_organizer," ","")&amp;",")))=COUNTA(TEXTSPLIT(GM112,",")))),IF(GO112="",TRUE,IF(input_organizer="",TRUE,SUMPRODUCT(--ISNUMBER(SEARCH(","&amp;TRIM(TEXTSPLIT(GO112,","))&amp;",",","&amp;SUBSTITUTE(input_organizer," ","")&amp;",")))=0)),IF(GQ112="",TRUE,IF(input_organizer="",FALSE,SUMPRODUCT(--ISNUMBER(SEARCH(","&amp;TRIM(TEXTSPLIT(GQ112,","))&amp;",",","&amp;SUBSTITUTE(input_organizer," ","")&amp;",")))&gt;0)),IF(GS112="",TRUE,IF(input_organizer="",FALSE,SUMPRODUCT(--ISNUMBER(SEARCH(","&amp;TRIM(TEXTSPLIT(GS112,","))&amp;",",","&amp;SUBSTITUTE(input_organizer," ","")&amp;",")))=COUNTA(TEXTSPLIT(GS112,",")))))</f>
        <v/>
      </c>
      <c r="JM112" s="19">
        <f>AND(IF(GU112="",TRUE,IF(input_profile_type="",FALSE,SUMPRODUCT(--ISNUMBER(SEARCH(","&amp;TRIM(TEXTSPLIT(GU112,","))&amp;",",","&amp;SUBSTITUTE(input_profile_type," ","")&amp;",")))&gt;0)),IF(GW112="",TRUE,IF(input_profile_type="",FALSE,SUMPRODUCT(--ISNUMBER(SEARCH(","&amp;TRIM(TEXTSPLIT(GW112,","))&amp;",",","&amp;SUBSTITUTE(input_profile_type," ","")&amp;",")))=COUNTA(TEXTSPLIT(GW112,",")))),IF(GY112="",TRUE,IF(input_profile_type="",TRUE,SUMPRODUCT(--ISNUMBER(SEARCH(","&amp;TRIM(TEXTSPLIT(GY112,","))&amp;",",","&amp;SUBSTITUTE(input_profile_type," ","")&amp;",")))=0)),IF(HA112="",TRUE,IF(input_profile_type="",FALSE,SUMPRODUCT(--ISNUMBER(SEARCH(","&amp;TRIM(TEXTSPLIT(HA112,","))&amp;",",","&amp;SUBSTITUTE(input_profile_type," ","")&amp;",")))&gt;0)),IF(HC112="",TRUE,IF(input_profile_type="",FALSE,SUMPRODUCT(--ISNUMBER(SEARCH(","&amp;TRIM(TEXTSPLIT(HC112,","))&amp;",",","&amp;SUBSTITUTE(input_profile_type," ","")&amp;",")))=COUNTA(TEXTSPLIT(HC112,",")))))</f>
        <v/>
      </c>
      <c r="JN112" s="19">
        <f>AND(IF(HE112="",TRUE,IF(input_program="",FALSE,SUMPRODUCT(--ISNUMBER(SEARCH(","&amp;TRIM(TEXTSPLIT(HE112,","))&amp;",",","&amp;SUBSTITUTE(input_program," ","")&amp;",")))&gt;0)),IF(HG112="",TRUE,IF(input_program="",FALSE,SUMPRODUCT(--ISNUMBER(SEARCH(","&amp;TRIM(TEXTSPLIT(HG112,","))&amp;",",","&amp;SUBSTITUTE(input_program," ","")&amp;",")))=COUNTA(TEXTSPLIT(HG112,",")))),IF(HI112="",TRUE,IF(input_program="",TRUE,SUMPRODUCT(--ISNUMBER(SEARCH(","&amp;TRIM(TEXTSPLIT(HI112,","))&amp;",",","&amp;SUBSTITUTE(input_program," ","")&amp;",")))=0)),IF(HK112="",TRUE,IF(input_program="",FALSE,SUMPRODUCT(--ISNUMBER(SEARCH(","&amp;TRIM(TEXTSPLIT(HK112,","))&amp;",",","&amp;SUBSTITUTE(input_program," ","")&amp;",")))&gt;0)),IF(HM112="",TRUE,IF(input_program="",FALSE,SUMPRODUCT(--ISNUMBER(SEARCH(","&amp;TRIM(TEXTSPLIT(HM112,","))&amp;",",","&amp;SUBSTITUTE(input_program," ","")&amp;",")))=COUNTA(TEXTSPLIT(HM112,",")))))</f>
        <v/>
      </c>
      <c r="JO112" s="19">
        <f>AND(IF(HO112="",TRUE,IF(input_story_categories="",FALSE,SUMPRODUCT(--ISNUMBER(SEARCH(","&amp;TRIM(TEXTSPLIT(HO112,","))&amp;",",","&amp;SUBSTITUTE(input_story_categories," ","")&amp;",")))&gt;0)),IF(HQ112="",TRUE,IF(input_story_categories="",FALSE,SUMPRODUCT(--ISNUMBER(SEARCH(","&amp;TRIM(TEXTSPLIT(HQ112,","))&amp;",",","&amp;SUBSTITUTE(input_story_categories," ","")&amp;",")))=COUNTA(TEXTSPLIT(HQ112,",")))),IF(HS112="",TRUE,IF(input_story_categories="",TRUE,SUMPRODUCT(--ISNUMBER(SEARCH(","&amp;TRIM(TEXTSPLIT(HS112,","))&amp;",",","&amp;SUBSTITUTE(input_story_categories," ","")&amp;",")))=0)),IF(HU112="",TRUE,IF(input_story_categories="",FALSE,SUMPRODUCT(--ISNUMBER(SEARCH(","&amp;TRIM(TEXTSPLIT(HU112,","))&amp;",",","&amp;SUBSTITUTE(input_story_categories," ","")&amp;",")))&gt;0)),IF(HW112="",TRUE,IF(input_story_categories="",FALSE,SUMPRODUCT(--ISNUMBER(SEARCH(","&amp;TRIM(TEXTSPLIT(HW112,","))&amp;",",","&amp;SUBSTITUTE(input_story_categories," ","")&amp;",")))=COUNTA(TEXTSPLIT(HW112,",")))))</f>
        <v/>
      </c>
      <c r="JP112" s="19">
        <f>AND(IF(HY112="",TRUE,IF(input_story_type="",FALSE,SUMPRODUCT(--ISNUMBER(SEARCH(","&amp;TRIM(TEXTSPLIT(HY112,","))&amp;",",","&amp;SUBSTITUTE(input_story_type," ","")&amp;",")))&gt;0)),IF(IA112="",TRUE,IF(input_story_type="",FALSE,SUMPRODUCT(--ISNUMBER(SEARCH(","&amp;TRIM(TEXTSPLIT(IA112,","))&amp;",",","&amp;SUBSTITUTE(input_story_type," ","")&amp;",")))=COUNTA(TEXTSPLIT(IA112,",")))),IF(IC112="",TRUE,IF(input_story_type="",TRUE,SUMPRODUCT(--ISNUMBER(SEARCH(","&amp;TRIM(TEXTSPLIT(IC112,","))&amp;",",","&amp;SUBSTITUTE(input_story_type," ","")&amp;",")))=0)),IF(IE112="",TRUE,IF(input_story_type="",FALSE,SUMPRODUCT(--ISNUMBER(SEARCH(","&amp;TRIM(TEXTSPLIT(IE112,","))&amp;",",","&amp;SUBSTITUTE(input_story_type," ","")&amp;",")))&gt;0)),IF(IG112="",TRUE,IF(input_story_type="",FALSE,SUMPRODUCT(--ISNUMBER(SEARCH(","&amp;TRIM(TEXTSPLIT(IG112,","))&amp;",",","&amp;SUBSTITUTE(input_story_type," ","")&amp;",")))=COUNTA(TEXTSPLIT(IG112,",")))))</f>
        <v/>
      </c>
      <c r="JQ112" s="19">
        <f>AND(IF(II112="",TRUE,IF(input_topics="",FALSE,SUMPRODUCT(--ISNUMBER(SEARCH(","&amp;TRIM(TEXTSPLIT(II112,","))&amp;",",","&amp;SUBSTITUTE(input_topics," ","")&amp;",")))&gt;0)),IF(IK112="",TRUE,IF(input_topics="",FALSE,SUMPRODUCT(--ISNUMBER(SEARCH(","&amp;TRIM(TEXTSPLIT(IK112,","))&amp;",",","&amp;SUBSTITUTE(input_topics," ","")&amp;",")))=COUNTA(TEXTSPLIT(IK112,",")))),IF(IM112="",TRUE,IF(input_topics="",TRUE,SUMPRODUCT(--ISNUMBER(SEARCH(","&amp;TRIM(TEXTSPLIT(IM112,","))&amp;",",","&amp;SUBSTITUTE(input_topics," ","")&amp;",")))=0)),IF(IO112="",TRUE,IF(input_topics="",FALSE,SUMPRODUCT(--ISNUMBER(SEARCH(","&amp;TRIM(TEXTSPLIT(IO112,","))&amp;",",","&amp;SUBSTITUTE(input_topics," ","")&amp;",")))&gt;0)),IF(IQ112="",TRUE,IF(input_topics="",FALSE,SUMPRODUCT(--ISNUMBER(SEARCH(","&amp;TRIM(TEXTSPLIT(IQ112,","))&amp;",",","&amp;SUBSTITUTE(input_topics," ","")&amp;",")))=COUNTA(TEXTSPLIT(IQ112,",")))))</f>
        <v/>
      </c>
    </row>
    <row r="113">
      <c r="A113" s="24">
        <f>IF(NOT(IS113),"Excluded",IF(AND(IT113,IU113,IV113,IW113,IX113,IY113,IZ113,JA113,JB113,JC113,JD113,JE113,JF113,JG113,JH113,JI113,JJ113,JK113,JL113,JM113,JN113,JO113,JP113,JQ113),IF(I113&gt;0,"Eligible but limited","Will appear"),"Excluded"))</f>
        <v/>
      </c>
      <c r="B113" s="24" t="inlineStr">
        <is>
          <t>Following Up</t>
        </is>
      </c>
      <c r="C113" s="27" t="inlineStr">
        <is>
          <t>/about/headlines/following-up</t>
        </is>
      </c>
      <c r="D113" s="24" t="inlineStr">
        <is>
          <t>/about/headlines/following-up</t>
        </is>
      </c>
      <c r="E113" s="24" t="n">
        <v>1</v>
      </c>
      <c r="F113" s="24" t="inlineStr">
        <is>
          <t>story</t>
        </is>
      </c>
      <c r="G113" s="24" t="inlineStr">
        <is>
          <t>stories_list</t>
        </is>
      </c>
      <c r="H113" s="24" t="inlineStr">
        <is>
          <t>embed_1</t>
        </is>
      </c>
      <c r="I113" s="24" t="n">
        <v>10</v>
      </c>
      <c r="J113" s="28" t="inlineStr">
        <is>
          <t>Explicit args</t>
        </is>
      </c>
      <c r="K113" s="24" t="inlineStr">
        <is>
          <t>Page placement</t>
        </is>
      </c>
      <c r="L113" s="24" t="inlineStr">
        <is>
          <t>Content type: story; Context uses Courses Context: Following Up (1175); Limited to 10 item(s); Source: Explicit args</t>
        </is>
      </c>
      <c r="BQ113" s="19" t="inlineStr">
        <is>
          <t>1175</t>
        </is>
      </c>
      <c r="BR113" s="19" t="inlineStr">
        <is>
          <t>Following Up (1175)</t>
        </is>
      </c>
      <c r="IS113" s="19">
        <f>IF(input_content_type="",FALSE,ISNUMBER(SEARCH(","&amp;LOWER(input_content_type)&amp;",",","&amp;LOWER(SUBSTITUTE(F113," ",""))&amp;",")))</f>
        <v/>
      </c>
      <c r="IT113" s="19">
        <f>AND(IF(M113="",TRUE,IF(input_affiliations="",FALSE,SUMPRODUCT(--ISNUMBER(SEARCH(","&amp;TRIM(TEXTSPLIT(M113,","))&amp;",",","&amp;SUBSTITUTE(input_affiliations," ","")&amp;",")))&gt;0)),IF(O113="",TRUE,IF(input_affiliations="",FALSE,SUMPRODUCT(--ISNUMBER(SEARCH(","&amp;TRIM(TEXTSPLIT(O113,","))&amp;",",","&amp;SUBSTITUTE(input_affiliations," ","")&amp;",")))=COUNTA(TEXTSPLIT(O113,",")))),IF(Q113="",TRUE,IF(input_affiliations="",TRUE,SUMPRODUCT(--ISNUMBER(SEARCH(","&amp;TRIM(TEXTSPLIT(Q113,","))&amp;",",","&amp;SUBSTITUTE(input_affiliations," ","")&amp;",")))=0)),IF(S113="",TRUE,IF(input_affiliations="",FALSE,SUMPRODUCT(--ISNUMBER(SEARCH(","&amp;TRIM(TEXTSPLIT(S113,","))&amp;",",","&amp;SUBSTITUTE(input_affiliations," ","")&amp;",")))&gt;0)),IF(U113="",TRUE,IF(input_affiliations="",FALSE,SUMPRODUCT(--ISNUMBER(SEARCH(","&amp;TRIM(TEXTSPLIT(U113,","))&amp;",",","&amp;SUBSTITUTE(input_affiliations," ","")&amp;",")))=COUNTA(TEXTSPLIT(U113,",")))))</f>
        <v/>
      </c>
      <c r="IU113" s="19">
        <f>AND(IF(W113="",TRUE,IF(input_announcement_category="",FALSE,SUMPRODUCT(--ISNUMBER(SEARCH(","&amp;TRIM(TEXTSPLIT(W113,","))&amp;",",","&amp;SUBSTITUTE(input_announcement_category," ","")&amp;",")))&gt;0)),IF(Y113="",TRUE,IF(input_announcement_category="",FALSE,SUMPRODUCT(--ISNUMBER(SEARCH(","&amp;TRIM(TEXTSPLIT(Y113,","))&amp;",",","&amp;SUBSTITUTE(input_announcement_category," ","")&amp;",")))=COUNTA(TEXTSPLIT(Y113,",")))),IF(AA113="",TRUE,IF(input_announcement_category="",TRUE,SUMPRODUCT(--ISNUMBER(SEARCH(","&amp;TRIM(TEXTSPLIT(AA113,","))&amp;",",","&amp;SUBSTITUTE(input_announcement_category," ","")&amp;",")))=0)),IF(AC113="",TRUE,IF(input_announcement_category="",FALSE,SUMPRODUCT(--ISNUMBER(SEARCH(","&amp;TRIM(TEXTSPLIT(AC113,","))&amp;",",","&amp;SUBSTITUTE(input_announcement_category," ","")&amp;",")))&gt;0)),IF(AE113="",TRUE,IF(input_announcement_category="",FALSE,SUMPRODUCT(--ISNUMBER(SEARCH(","&amp;TRIM(TEXTSPLIT(AE113,","))&amp;",",","&amp;SUBSTITUTE(input_announcement_category," ","")&amp;",")))=COUNTA(TEXTSPLIT(AE113,",")))))</f>
        <v/>
      </c>
      <c r="IV113" s="19">
        <f>AND(IF(AG113="",TRUE,IF(input_area_of_focus="",FALSE,SUMPRODUCT(--ISNUMBER(SEARCH(","&amp;TRIM(TEXTSPLIT(AG113,","))&amp;",",","&amp;SUBSTITUTE(input_area_of_focus," ","")&amp;",")))&gt;0)),IF(AI113="",TRUE,IF(input_area_of_focus="",FALSE,SUMPRODUCT(--ISNUMBER(SEARCH(","&amp;TRIM(TEXTSPLIT(AI113,","))&amp;",",","&amp;SUBSTITUTE(input_area_of_focus," ","")&amp;",")))=COUNTA(TEXTSPLIT(AI113,",")))),IF(AK113="",TRUE,IF(input_area_of_focus="",TRUE,SUMPRODUCT(--ISNUMBER(SEARCH(","&amp;TRIM(TEXTSPLIT(AK113,","))&amp;",",","&amp;SUBSTITUTE(input_area_of_focus," ","")&amp;",")))=0)),IF(AM113="",TRUE,IF(input_area_of_focus="",FALSE,SUMPRODUCT(--ISNUMBER(SEARCH(","&amp;TRIM(TEXTSPLIT(AM113,","))&amp;",",","&amp;SUBSTITUTE(input_area_of_focus," ","")&amp;",")))&gt;0)),IF(AO113="",TRUE,IF(input_area_of_focus="",FALSE,SUMPRODUCT(--ISNUMBER(SEARCH(","&amp;TRIM(TEXTSPLIT(AO113,","))&amp;",",","&amp;SUBSTITUTE(input_area_of_focus," ","")&amp;",")))=COUNTA(TEXTSPLIT(AO113,",")))))</f>
        <v/>
      </c>
      <c r="IW113" s="19">
        <f>AND(IF(AQ113="",TRUE,IF(input_audience="",FALSE,SUMPRODUCT(--ISNUMBER(SEARCH(","&amp;TRIM(TEXTSPLIT(AQ113,","))&amp;",",","&amp;SUBSTITUTE(input_audience," ","")&amp;",")))&gt;0)),IF(AS113="",TRUE,IF(input_audience="",FALSE,SUMPRODUCT(--ISNUMBER(SEARCH(","&amp;TRIM(TEXTSPLIT(AS113,","))&amp;",",","&amp;SUBSTITUTE(input_audience," ","")&amp;",")))=COUNTA(TEXTSPLIT(AS113,",")))),IF(AU113="",TRUE,IF(input_audience="",TRUE,SUMPRODUCT(--ISNUMBER(SEARCH(","&amp;TRIM(TEXTSPLIT(AU113,","))&amp;",",","&amp;SUBSTITUTE(input_audience," ","")&amp;",")))=0)),IF(AW113="",TRUE,IF(input_audience="",FALSE,SUMPRODUCT(--ISNUMBER(SEARCH(","&amp;TRIM(TEXTSPLIT(AW113,","))&amp;",",","&amp;SUBSTITUTE(input_audience," ","")&amp;",")))&gt;0)),IF(AY113="",TRUE,IF(input_audience="",FALSE,SUMPRODUCT(--ISNUMBER(SEARCH(","&amp;TRIM(TEXTSPLIT(AY113,","))&amp;",",","&amp;SUBSTITUTE(input_audience," ","")&amp;",")))=COUNTA(TEXTSPLIT(AY113,",")))))</f>
        <v/>
      </c>
      <c r="IX113" s="19">
        <f>AND(IF(BA113="",TRUE,IF(input_challenge_opportunities="",FALSE,SUMPRODUCT(--ISNUMBER(SEARCH(","&amp;TRIM(TEXTSPLIT(BA113,","))&amp;",",","&amp;SUBSTITUTE(input_challenge_opportunities," ","")&amp;",")))&gt;0)),IF(BC113="",TRUE,IF(input_challenge_opportunities="",FALSE,SUMPRODUCT(--ISNUMBER(SEARCH(","&amp;TRIM(TEXTSPLIT(BC113,","))&amp;",",","&amp;SUBSTITUTE(input_challenge_opportunities," ","")&amp;",")))=COUNTA(TEXTSPLIT(BC113,",")))),IF(BE113="",TRUE,IF(input_challenge_opportunities="",TRUE,SUMPRODUCT(--ISNUMBER(SEARCH(","&amp;TRIM(TEXTSPLIT(BE113,","))&amp;",",","&amp;SUBSTITUTE(input_challenge_opportunities," ","")&amp;",")))=0)),IF(BG113="",TRUE,IF(input_challenge_opportunities="",FALSE,SUMPRODUCT(--ISNUMBER(SEARCH(","&amp;TRIM(TEXTSPLIT(BG113,","))&amp;",",","&amp;SUBSTITUTE(input_challenge_opportunities," ","")&amp;",")))&gt;0)),IF(BI113="",TRUE,IF(input_challenge_opportunities="",FALSE,SUMPRODUCT(--ISNUMBER(SEARCH(","&amp;TRIM(TEXTSPLIT(BI113,","))&amp;",",","&amp;SUBSTITUTE(input_challenge_opportunities," ","")&amp;",")))=COUNTA(TEXTSPLIT(BI113,",")))))</f>
        <v/>
      </c>
      <c r="IY113" s="19">
        <f>AND(IF(BK113="",TRUE,IF(input_context="",FALSE,SUMPRODUCT(--ISNUMBER(SEARCH(","&amp;TRIM(TEXTSPLIT(BK113,","))&amp;",",","&amp;SUBSTITUTE(input_context," ","")&amp;",")))&gt;0)),IF(BM113="",TRUE,IF(input_context="",FALSE,SUMPRODUCT(--ISNUMBER(SEARCH(","&amp;TRIM(TEXTSPLIT(BM113,","))&amp;",",","&amp;SUBSTITUTE(input_context," ","")&amp;",")))=COUNTA(TEXTSPLIT(BM113,",")))),IF(BO113="",TRUE,IF(input_context="",TRUE,SUMPRODUCT(--ISNUMBER(SEARCH(","&amp;TRIM(TEXTSPLIT(BO113,","))&amp;",",","&amp;SUBSTITUTE(input_context," ","")&amp;",")))=0)),IF(BQ113="",TRUE,IF(input_context="",FALSE,SUMPRODUCT(--ISNUMBER(SEARCH(","&amp;TRIM(TEXTSPLIT(BQ113,","))&amp;",",","&amp;SUBSTITUTE(input_context," ","")&amp;",")))&gt;0)),IF(BS113="",TRUE,IF(input_context="",FALSE,SUMPRODUCT(--ISNUMBER(SEARCH(","&amp;TRIM(TEXTSPLIT(BS113,","))&amp;",",","&amp;SUBSTITUTE(input_context," ","")&amp;",")))=COUNTA(TEXTSPLIT(BS113,",")))))</f>
        <v/>
      </c>
      <c r="IZ113" s="19">
        <f>AND(IF(BU113="",TRUE,IF(input_enews_announcement_type="",FALSE,SUMPRODUCT(--ISNUMBER(SEARCH(","&amp;TRIM(TEXTSPLIT(BU113,","))&amp;",",","&amp;SUBSTITUTE(input_enews_announcement_type," ","")&amp;",")))&gt;0)),IF(BW113="",TRUE,IF(input_enews_announcement_type="",FALSE,SUMPRODUCT(--ISNUMBER(SEARCH(","&amp;TRIM(TEXTSPLIT(BW113,","))&amp;",",","&amp;SUBSTITUTE(input_enews_announcement_type," ","")&amp;",")))=COUNTA(TEXTSPLIT(BW113,",")))),IF(BY113="",TRUE,IF(input_enews_announcement_type="",TRUE,SUMPRODUCT(--ISNUMBER(SEARCH(","&amp;TRIM(TEXTSPLIT(BY113,","))&amp;",",","&amp;SUBSTITUTE(input_enews_announcement_type," ","")&amp;",")))=0)),IF(CA113="",TRUE,IF(input_enews_announcement_type="",FALSE,SUMPRODUCT(--ISNUMBER(SEARCH(","&amp;TRIM(TEXTSPLIT(CA113,","))&amp;",",","&amp;SUBSTITUTE(input_enews_announcement_type," ","")&amp;",")))&gt;0)),IF(CC113="",TRUE,IF(input_enews_announcement_type="",FALSE,SUMPRODUCT(--ISNUMBER(SEARCH(","&amp;TRIM(TEXTSPLIT(CC113,","))&amp;",",","&amp;SUBSTITUTE(input_enews_announcement_type," ","")&amp;",")))=COUNTA(TEXTSPLIT(CC113,",")))))</f>
        <v/>
      </c>
      <c r="JA113" s="19">
        <f>AND(IF(CE113="",TRUE,IF(input_enews_audience="",FALSE,SUMPRODUCT(--ISNUMBER(SEARCH(","&amp;TRIM(TEXTSPLIT(CE113,","))&amp;",",","&amp;SUBSTITUTE(input_enews_audience," ","")&amp;",")))&gt;0)),IF(CG113="",TRUE,IF(input_enews_audience="",FALSE,SUMPRODUCT(--ISNUMBER(SEARCH(","&amp;TRIM(TEXTSPLIT(CG113,","))&amp;",",","&amp;SUBSTITUTE(input_enews_audience," ","")&amp;",")))=COUNTA(TEXTSPLIT(CG113,",")))),IF(CI113="",TRUE,IF(input_enews_audience="",TRUE,SUMPRODUCT(--ISNUMBER(SEARCH(","&amp;TRIM(TEXTSPLIT(CI113,","))&amp;",",","&amp;SUBSTITUTE(input_enews_audience," ","")&amp;",")))=0)),IF(CK113="",TRUE,IF(input_enews_audience="",FALSE,SUMPRODUCT(--ISNUMBER(SEARCH(","&amp;TRIM(TEXTSPLIT(CK113,","))&amp;",",","&amp;SUBSTITUTE(input_enews_audience," ","")&amp;",")))&gt;0)),IF(CM113="",TRUE,IF(input_enews_audience="",FALSE,SUMPRODUCT(--ISNUMBER(SEARCH(","&amp;TRIM(TEXTSPLIT(CM113,","))&amp;",",","&amp;SUBSTITUTE(input_enews_audience," ","")&amp;",")))=COUNTA(TEXTSPLIT(CM113,",")))))</f>
        <v/>
      </c>
      <c r="JB113" s="19">
        <f>AND(IF(CO113="",TRUE,IF(input_event_location="",FALSE,SUMPRODUCT(--ISNUMBER(SEARCH(","&amp;TRIM(TEXTSPLIT(CO113,","))&amp;",",","&amp;SUBSTITUTE(input_event_location," ","")&amp;",")))&gt;0)),IF(CQ113="",TRUE,IF(input_event_location="",FALSE,SUMPRODUCT(--ISNUMBER(SEARCH(","&amp;TRIM(TEXTSPLIT(CQ113,","))&amp;",",","&amp;SUBSTITUTE(input_event_location," ","")&amp;",")))=COUNTA(TEXTSPLIT(CQ113,",")))),IF(CS113="",TRUE,IF(input_event_location="",TRUE,SUMPRODUCT(--ISNUMBER(SEARCH(","&amp;TRIM(TEXTSPLIT(CS113,","))&amp;",",","&amp;SUBSTITUTE(input_event_location," ","")&amp;",")))=0)),IF(CU113="",TRUE,IF(input_event_location="",FALSE,SUMPRODUCT(--ISNUMBER(SEARCH(","&amp;TRIM(TEXTSPLIT(CU113,","))&amp;",",","&amp;SUBSTITUTE(input_event_location," ","")&amp;",")))&gt;0)),IF(CW113="",TRUE,IF(input_event_location="",FALSE,SUMPRODUCT(--ISNUMBER(SEARCH(","&amp;TRIM(TEXTSPLIT(CW113,","))&amp;",",","&amp;SUBSTITUTE(input_event_location," ","")&amp;",")))=COUNTA(TEXTSPLIT(CW113,",")))))</f>
        <v/>
      </c>
      <c r="JC113" s="19">
        <f>AND(IF(CY113="",TRUE,IF(input_event_type="",FALSE,SUMPRODUCT(--ISNUMBER(SEARCH(","&amp;TRIM(TEXTSPLIT(CY113,","))&amp;",",","&amp;SUBSTITUTE(input_event_type," ","")&amp;",")))&gt;0)),IF(DA113="",TRUE,IF(input_event_type="",FALSE,SUMPRODUCT(--ISNUMBER(SEARCH(","&amp;TRIM(TEXTSPLIT(DA113,","))&amp;",",","&amp;SUBSTITUTE(input_event_type," ","")&amp;",")))=COUNTA(TEXTSPLIT(DA113,",")))),IF(DC113="",TRUE,IF(input_event_type="",TRUE,SUMPRODUCT(--ISNUMBER(SEARCH(","&amp;TRIM(TEXTSPLIT(DC113,","))&amp;",",","&amp;SUBSTITUTE(input_event_type," ","")&amp;",")))=0)),IF(DE113="",TRUE,IF(input_event_type="",FALSE,SUMPRODUCT(--ISNUMBER(SEARCH(","&amp;TRIM(TEXTSPLIT(DE113,","))&amp;",",","&amp;SUBSTITUTE(input_event_type," ","")&amp;",")))&gt;0)),IF(DG113="",TRUE,IF(input_event_type="",FALSE,SUMPRODUCT(--ISNUMBER(SEARCH(","&amp;TRIM(TEXTSPLIT(DG113,","))&amp;",",","&amp;SUBSTITUTE(input_event_type," ","")&amp;",")))=COUNTA(TEXTSPLIT(DG113,",")))))</f>
        <v/>
      </c>
      <c r="JD113" s="19">
        <f>AND(IF(DI113="",TRUE,IF(input_executive_education_focus="",FALSE,SUMPRODUCT(--ISNUMBER(SEARCH(","&amp;TRIM(TEXTSPLIT(DI113,","))&amp;",",","&amp;SUBSTITUTE(input_executive_education_focus," ","")&amp;",")))&gt;0)),IF(DK113="",TRUE,IF(input_executive_education_focus="",FALSE,SUMPRODUCT(--ISNUMBER(SEARCH(","&amp;TRIM(TEXTSPLIT(DK113,","))&amp;",",","&amp;SUBSTITUTE(input_executive_education_focus," ","")&amp;",")))=COUNTA(TEXTSPLIT(DK113,",")))),IF(DM113="",TRUE,IF(input_executive_education_focus="",TRUE,SUMPRODUCT(--ISNUMBER(SEARCH(","&amp;TRIM(TEXTSPLIT(DM113,","))&amp;",",","&amp;SUBSTITUTE(input_executive_education_focus," ","")&amp;",")))=0)),IF(DO113="",TRUE,IF(input_executive_education_focus="",FALSE,SUMPRODUCT(--ISNUMBER(SEARCH(","&amp;TRIM(TEXTSPLIT(DO113,","))&amp;",",","&amp;SUBSTITUTE(input_executive_education_focus," ","")&amp;",")))&gt;0)),IF(DQ113="",TRUE,IF(input_executive_education_focus="",FALSE,SUMPRODUCT(--ISNUMBER(SEARCH(","&amp;TRIM(TEXTSPLIT(DQ113,","))&amp;",",","&amp;SUBSTITUTE(input_executive_education_focus," ","")&amp;",")))=COUNTA(TEXTSPLIT(DQ113,",")))))</f>
        <v/>
      </c>
      <c r="JE113" s="19">
        <f>AND(IF(DS113="",TRUE,IF(input_faculty_category="",FALSE,SUMPRODUCT(--ISNUMBER(SEARCH(","&amp;TRIM(TEXTSPLIT(DS113,","))&amp;",",","&amp;SUBSTITUTE(input_faculty_category," ","")&amp;",")))&gt;0)),IF(DU113="",TRUE,IF(input_faculty_category="",FALSE,SUMPRODUCT(--ISNUMBER(SEARCH(","&amp;TRIM(TEXTSPLIT(DU113,","))&amp;",",","&amp;SUBSTITUTE(input_faculty_category," ","")&amp;",")))=COUNTA(TEXTSPLIT(DU113,",")))),IF(DW113="",TRUE,IF(input_faculty_category="",TRUE,SUMPRODUCT(--ISNUMBER(SEARCH(","&amp;TRIM(TEXTSPLIT(DW113,","))&amp;",",","&amp;SUBSTITUTE(input_faculty_category," ","")&amp;",")))=0)),IF(DY113="",TRUE,IF(input_faculty_category="",FALSE,SUMPRODUCT(--ISNUMBER(SEARCH(","&amp;TRIM(TEXTSPLIT(DY113,","))&amp;",",","&amp;SUBSTITUTE(input_faculty_category," ","")&amp;",")))&gt;0)),IF(EA113="",TRUE,IF(input_faculty_category="",FALSE,SUMPRODUCT(--ISNUMBER(SEARCH(","&amp;TRIM(TEXTSPLIT(EA113,","))&amp;",",","&amp;SUBSTITUTE(input_faculty_category," ","")&amp;",")))=COUNTA(TEXTSPLIT(EA113,",")))))</f>
        <v/>
      </c>
      <c r="JF113" s="19">
        <f>AND(IF(EC113="",TRUE,IF(input_faculty_discipline="",FALSE,SUMPRODUCT(--ISNUMBER(SEARCH(","&amp;TRIM(TEXTSPLIT(EC113,","))&amp;",",","&amp;SUBSTITUTE(input_faculty_discipline," ","")&amp;",")))&gt;0)),IF(EE113="",TRUE,IF(input_faculty_discipline="",FALSE,SUMPRODUCT(--ISNUMBER(SEARCH(","&amp;TRIM(TEXTSPLIT(EE113,","))&amp;",",","&amp;SUBSTITUTE(input_faculty_discipline," ","")&amp;",")))=COUNTA(TEXTSPLIT(EE113,",")))),IF(EG113="",TRUE,IF(input_faculty_discipline="",TRUE,SUMPRODUCT(--ISNUMBER(SEARCH(","&amp;TRIM(TEXTSPLIT(EG113,","))&amp;",",","&amp;SUBSTITUTE(input_faculty_discipline," ","")&amp;",")))=0)),IF(EI113="",TRUE,IF(input_faculty_discipline="",FALSE,SUMPRODUCT(--ISNUMBER(SEARCH(","&amp;TRIM(TEXTSPLIT(EI113,","))&amp;",",","&amp;SUBSTITUTE(input_faculty_discipline," ","")&amp;",")))&gt;0)),IF(EK113="",TRUE,IF(input_faculty_discipline="",FALSE,SUMPRODUCT(--ISNUMBER(SEARCH(","&amp;TRIM(TEXTSPLIT(EK113,","))&amp;",",","&amp;SUBSTITUTE(input_faculty_discipline," ","")&amp;",")))=COUNTA(TEXTSPLIT(EK113,",")))))</f>
        <v/>
      </c>
      <c r="JG113" s="19">
        <f>AND(IF(EM113="",TRUE,IF(input_faculty_expertise="",FALSE,SUMPRODUCT(--ISNUMBER(SEARCH(","&amp;TRIM(TEXTSPLIT(EM113,","))&amp;",",","&amp;SUBSTITUTE(input_faculty_expertise," ","")&amp;",")))&gt;0)),IF(EO113="",TRUE,IF(input_faculty_expertise="",FALSE,SUMPRODUCT(--ISNUMBER(SEARCH(","&amp;TRIM(TEXTSPLIT(EO113,","))&amp;",",","&amp;SUBSTITUTE(input_faculty_expertise," ","")&amp;",")))=COUNTA(TEXTSPLIT(EO113,",")))),IF(EQ113="",TRUE,IF(input_faculty_expertise="",TRUE,SUMPRODUCT(--ISNUMBER(SEARCH(","&amp;TRIM(TEXTSPLIT(EQ113,","))&amp;",",","&amp;SUBSTITUTE(input_faculty_expertise," ","")&amp;",")))=0)),IF(ES113="",TRUE,IF(input_faculty_expertise="",FALSE,SUMPRODUCT(--ISNUMBER(SEARCH(","&amp;TRIM(TEXTSPLIT(ES113,","))&amp;",",","&amp;SUBSTITUTE(input_faculty_expertise," ","")&amp;",")))&gt;0)),IF(EU113="",TRUE,IF(input_faculty_expertise="",FALSE,SUMPRODUCT(--ISNUMBER(SEARCH(","&amp;TRIM(TEXTSPLIT(EU113,","))&amp;",",","&amp;SUBSTITUTE(input_faculty_expertise," ","")&amp;",")))=COUNTA(TEXTSPLIT(EU113,",")))))</f>
        <v/>
      </c>
      <c r="JH113" s="19">
        <f>AND(IF(EW113="",TRUE,IF(input_global_network_school="",FALSE,SUMPRODUCT(--ISNUMBER(SEARCH(","&amp;TRIM(TEXTSPLIT(EW113,","))&amp;",",","&amp;SUBSTITUTE(input_global_network_school," ","")&amp;",")))&gt;0)),IF(EY113="",TRUE,IF(input_global_network_school="",FALSE,SUMPRODUCT(--ISNUMBER(SEARCH(","&amp;TRIM(TEXTSPLIT(EY113,","))&amp;",",","&amp;SUBSTITUTE(input_global_network_school," ","")&amp;",")))=COUNTA(TEXTSPLIT(EY113,",")))),IF(FA113="",TRUE,IF(input_global_network_school="",TRUE,SUMPRODUCT(--ISNUMBER(SEARCH(","&amp;TRIM(TEXTSPLIT(FA113,","))&amp;",",","&amp;SUBSTITUTE(input_global_network_school," ","")&amp;",")))=0)),IF(FC113="",TRUE,IF(input_global_network_school="",FALSE,SUMPRODUCT(--ISNUMBER(SEARCH(","&amp;TRIM(TEXTSPLIT(FC113,","))&amp;",",","&amp;SUBSTITUTE(input_global_network_school," ","")&amp;",")))&gt;0)),IF(FE113="",TRUE,IF(input_global_network_school="",FALSE,SUMPRODUCT(--ISNUMBER(SEARCH(","&amp;TRIM(TEXTSPLIT(FE113,","))&amp;",",","&amp;SUBSTITUTE(input_global_network_school," ","")&amp;",")))=COUNTA(TEXTSPLIT(FE113,",")))))</f>
        <v/>
      </c>
      <c r="JI113" s="19">
        <f>AND(IF(FG113="",TRUE,IF(input_industry="",FALSE,SUMPRODUCT(--ISNUMBER(SEARCH(","&amp;TRIM(TEXTSPLIT(FG113,","))&amp;",",","&amp;SUBSTITUTE(input_industry," ","")&amp;",")))&gt;0)),IF(FI113="",TRUE,IF(input_industry="",FALSE,SUMPRODUCT(--ISNUMBER(SEARCH(","&amp;TRIM(TEXTSPLIT(FI113,","))&amp;",",","&amp;SUBSTITUTE(input_industry," ","")&amp;",")))=COUNTA(TEXTSPLIT(FI113,",")))),IF(FK113="",TRUE,IF(input_industry="",TRUE,SUMPRODUCT(--ISNUMBER(SEARCH(","&amp;TRIM(TEXTSPLIT(FK113,","))&amp;",",","&amp;SUBSTITUTE(input_industry," ","")&amp;",")))=0)),IF(FM113="",TRUE,IF(input_industry="",FALSE,SUMPRODUCT(--ISNUMBER(SEARCH(","&amp;TRIM(TEXTSPLIT(FM113,","))&amp;",",","&amp;SUBSTITUTE(input_industry," ","")&amp;",")))&gt;0)),IF(FO113="",TRUE,IF(input_industry="",FALSE,SUMPRODUCT(--ISNUMBER(SEARCH(","&amp;TRIM(TEXTSPLIT(FO113,","))&amp;",",","&amp;SUBSTITUTE(input_industry," ","")&amp;",")))=COUNTA(TEXTSPLIT(FO113,",")))))</f>
        <v/>
      </c>
      <c r="JJ113" s="19">
        <f>AND(IF(FQ113="",TRUE,IF(input_location="",FALSE,SUMPRODUCT(--ISNUMBER(SEARCH(","&amp;TRIM(TEXTSPLIT(FQ113,","))&amp;",",","&amp;SUBSTITUTE(input_location," ","")&amp;",")))&gt;0)),IF(FS113="",TRUE,IF(input_location="",FALSE,SUMPRODUCT(--ISNUMBER(SEARCH(","&amp;TRIM(TEXTSPLIT(FS113,","))&amp;",",","&amp;SUBSTITUTE(input_location," ","")&amp;",")))=COUNTA(TEXTSPLIT(FS113,",")))),IF(FU113="",TRUE,IF(input_location="",TRUE,SUMPRODUCT(--ISNUMBER(SEARCH(","&amp;TRIM(TEXTSPLIT(FU113,","))&amp;",",","&amp;SUBSTITUTE(input_location," ","")&amp;",")))=0)),IF(FW113="",TRUE,IF(input_location="",FALSE,SUMPRODUCT(--ISNUMBER(SEARCH(","&amp;TRIM(TEXTSPLIT(FW113,","))&amp;",",","&amp;SUBSTITUTE(input_location," ","")&amp;",")))&gt;0)),IF(FY113="",TRUE,IF(input_location="",FALSE,SUMPRODUCT(--ISNUMBER(SEARCH(","&amp;TRIM(TEXTSPLIT(FY113,","))&amp;",",","&amp;SUBSTITUTE(input_location," ","")&amp;",")))=COUNTA(TEXTSPLIT(FY113,",")))))</f>
        <v/>
      </c>
      <c r="JK113" s="19">
        <f>AND(IF(GA113="",TRUE,IF(input_modality="",FALSE,SUMPRODUCT(--ISNUMBER(SEARCH(","&amp;TRIM(TEXTSPLIT(GA113,","))&amp;",",","&amp;SUBSTITUTE(input_modality," ","")&amp;",")))&gt;0)),IF(GC113="",TRUE,IF(input_modality="",FALSE,SUMPRODUCT(--ISNUMBER(SEARCH(","&amp;TRIM(TEXTSPLIT(GC113,","))&amp;",",","&amp;SUBSTITUTE(input_modality," ","")&amp;",")))=COUNTA(TEXTSPLIT(GC113,",")))),IF(GE113="",TRUE,IF(input_modality="",TRUE,SUMPRODUCT(--ISNUMBER(SEARCH(","&amp;TRIM(TEXTSPLIT(GE113,","))&amp;",",","&amp;SUBSTITUTE(input_modality," ","")&amp;",")))=0)),IF(GG113="",TRUE,IF(input_modality="",FALSE,SUMPRODUCT(--ISNUMBER(SEARCH(","&amp;TRIM(TEXTSPLIT(GG113,","))&amp;",",","&amp;SUBSTITUTE(input_modality," ","")&amp;",")))&gt;0)),IF(GI113="",TRUE,IF(input_modality="",FALSE,SUMPRODUCT(--ISNUMBER(SEARCH(","&amp;TRIM(TEXTSPLIT(GI113,","))&amp;",",","&amp;SUBSTITUTE(input_modality," ","")&amp;",")))=COUNTA(TEXTSPLIT(GI113,",")))))</f>
        <v/>
      </c>
      <c r="JL113" s="19">
        <f>AND(IF(GK113="",TRUE,IF(input_organizer="",FALSE,SUMPRODUCT(--ISNUMBER(SEARCH(","&amp;TRIM(TEXTSPLIT(GK113,","))&amp;",",","&amp;SUBSTITUTE(input_organizer," ","")&amp;",")))&gt;0)),IF(GM113="",TRUE,IF(input_organizer="",FALSE,SUMPRODUCT(--ISNUMBER(SEARCH(","&amp;TRIM(TEXTSPLIT(GM113,","))&amp;",",","&amp;SUBSTITUTE(input_organizer," ","")&amp;",")))=COUNTA(TEXTSPLIT(GM113,",")))),IF(GO113="",TRUE,IF(input_organizer="",TRUE,SUMPRODUCT(--ISNUMBER(SEARCH(","&amp;TRIM(TEXTSPLIT(GO113,","))&amp;",",","&amp;SUBSTITUTE(input_organizer," ","")&amp;",")))=0)),IF(GQ113="",TRUE,IF(input_organizer="",FALSE,SUMPRODUCT(--ISNUMBER(SEARCH(","&amp;TRIM(TEXTSPLIT(GQ113,","))&amp;",",","&amp;SUBSTITUTE(input_organizer," ","")&amp;",")))&gt;0)),IF(GS113="",TRUE,IF(input_organizer="",FALSE,SUMPRODUCT(--ISNUMBER(SEARCH(","&amp;TRIM(TEXTSPLIT(GS113,","))&amp;",",","&amp;SUBSTITUTE(input_organizer," ","")&amp;",")))=COUNTA(TEXTSPLIT(GS113,",")))))</f>
        <v/>
      </c>
      <c r="JM113" s="19">
        <f>AND(IF(GU113="",TRUE,IF(input_profile_type="",FALSE,SUMPRODUCT(--ISNUMBER(SEARCH(","&amp;TRIM(TEXTSPLIT(GU113,","))&amp;",",","&amp;SUBSTITUTE(input_profile_type," ","")&amp;",")))&gt;0)),IF(GW113="",TRUE,IF(input_profile_type="",FALSE,SUMPRODUCT(--ISNUMBER(SEARCH(","&amp;TRIM(TEXTSPLIT(GW113,","))&amp;",",","&amp;SUBSTITUTE(input_profile_type," ","")&amp;",")))=COUNTA(TEXTSPLIT(GW113,",")))),IF(GY113="",TRUE,IF(input_profile_type="",TRUE,SUMPRODUCT(--ISNUMBER(SEARCH(","&amp;TRIM(TEXTSPLIT(GY113,","))&amp;",",","&amp;SUBSTITUTE(input_profile_type," ","")&amp;",")))=0)),IF(HA113="",TRUE,IF(input_profile_type="",FALSE,SUMPRODUCT(--ISNUMBER(SEARCH(","&amp;TRIM(TEXTSPLIT(HA113,","))&amp;",",","&amp;SUBSTITUTE(input_profile_type," ","")&amp;",")))&gt;0)),IF(HC113="",TRUE,IF(input_profile_type="",FALSE,SUMPRODUCT(--ISNUMBER(SEARCH(","&amp;TRIM(TEXTSPLIT(HC113,","))&amp;",",","&amp;SUBSTITUTE(input_profile_type," ","")&amp;",")))=COUNTA(TEXTSPLIT(HC113,",")))))</f>
        <v/>
      </c>
      <c r="JN113" s="19">
        <f>AND(IF(HE113="",TRUE,IF(input_program="",FALSE,SUMPRODUCT(--ISNUMBER(SEARCH(","&amp;TRIM(TEXTSPLIT(HE113,","))&amp;",",","&amp;SUBSTITUTE(input_program," ","")&amp;",")))&gt;0)),IF(HG113="",TRUE,IF(input_program="",FALSE,SUMPRODUCT(--ISNUMBER(SEARCH(","&amp;TRIM(TEXTSPLIT(HG113,","))&amp;",",","&amp;SUBSTITUTE(input_program," ","")&amp;",")))=COUNTA(TEXTSPLIT(HG113,",")))),IF(HI113="",TRUE,IF(input_program="",TRUE,SUMPRODUCT(--ISNUMBER(SEARCH(","&amp;TRIM(TEXTSPLIT(HI113,","))&amp;",",","&amp;SUBSTITUTE(input_program," ","")&amp;",")))=0)),IF(HK113="",TRUE,IF(input_program="",FALSE,SUMPRODUCT(--ISNUMBER(SEARCH(","&amp;TRIM(TEXTSPLIT(HK113,","))&amp;",",","&amp;SUBSTITUTE(input_program," ","")&amp;",")))&gt;0)),IF(HM113="",TRUE,IF(input_program="",FALSE,SUMPRODUCT(--ISNUMBER(SEARCH(","&amp;TRIM(TEXTSPLIT(HM113,","))&amp;",",","&amp;SUBSTITUTE(input_program," ","")&amp;",")))=COUNTA(TEXTSPLIT(HM113,",")))))</f>
        <v/>
      </c>
      <c r="JO113" s="19">
        <f>AND(IF(HO113="",TRUE,IF(input_story_categories="",FALSE,SUMPRODUCT(--ISNUMBER(SEARCH(","&amp;TRIM(TEXTSPLIT(HO113,","))&amp;",",","&amp;SUBSTITUTE(input_story_categories," ","")&amp;",")))&gt;0)),IF(HQ113="",TRUE,IF(input_story_categories="",FALSE,SUMPRODUCT(--ISNUMBER(SEARCH(","&amp;TRIM(TEXTSPLIT(HQ113,","))&amp;",",","&amp;SUBSTITUTE(input_story_categories," ","")&amp;",")))=COUNTA(TEXTSPLIT(HQ113,",")))),IF(HS113="",TRUE,IF(input_story_categories="",TRUE,SUMPRODUCT(--ISNUMBER(SEARCH(","&amp;TRIM(TEXTSPLIT(HS113,","))&amp;",",","&amp;SUBSTITUTE(input_story_categories," ","")&amp;",")))=0)),IF(HU113="",TRUE,IF(input_story_categories="",FALSE,SUMPRODUCT(--ISNUMBER(SEARCH(","&amp;TRIM(TEXTSPLIT(HU113,","))&amp;",",","&amp;SUBSTITUTE(input_story_categories," ","")&amp;",")))&gt;0)),IF(HW113="",TRUE,IF(input_story_categories="",FALSE,SUMPRODUCT(--ISNUMBER(SEARCH(","&amp;TRIM(TEXTSPLIT(HW113,","))&amp;",",","&amp;SUBSTITUTE(input_story_categories," ","")&amp;",")))=COUNTA(TEXTSPLIT(HW113,",")))))</f>
        <v/>
      </c>
      <c r="JP113" s="19">
        <f>AND(IF(HY113="",TRUE,IF(input_story_type="",FALSE,SUMPRODUCT(--ISNUMBER(SEARCH(","&amp;TRIM(TEXTSPLIT(HY113,","))&amp;",",","&amp;SUBSTITUTE(input_story_type," ","")&amp;",")))&gt;0)),IF(IA113="",TRUE,IF(input_story_type="",FALSE,SUMPRODUCT(--ISNUMBER(SEARCH(","&amp;TRIM(TEXTSPLIT(IA113,","))&amp;",",","&amp;SUBSTITUTE(input_story_type," ","")&amp;",")))=COUNTA(TEXTSPLIT(IA113,",")))),IF(IC113="",TRUE,IF(input_story_type="",TRUE,SUMPRODUCT(--ISNUMBER(SEARCH(","&amp;TRIM(TEXTSPLIT(IC113,","))&amp;",",","&amp;SUBSTITUTE(input_story_type," ","")&amp;",")))=0)),IF(IE113="",TRUE,IF(input_story_type="",FALSE,SUMPRODUCT(--ISNUMBER(SEARCH(","&amp;TRIM(TEXTSPLIT(IE113,","))&amp;",",","&amp;SUBSTITUTE(input_story_type," ","")&amp;",")))&gt;0)),IF(IG113="",TRUE,IF(input_story_type="",FALSE,SUMPRODUCT(--ISNUMBER(SEARCH(","&amp;TRIM(TEXTSPLIT(IG113,","))&amp;",",","&amp;SUBSTITUTE(input_story_type," ","")&amp;",")))=COUNTA(TEXTSPLIT(IG113,",")))))</f>
        <v/>
      </c>
      <c r="JQ113" s="19">
        <f>AND(IF(II113="",TRUE,IF(input_topics="",FALSE,SUMPRODUCT(--ISNUMBER(SEARCH(","&amp;TRIM(TEXTSPLIT(II113,","))&amp;",",","&amp;SUBSTITUTE(input_topics," ","")&amp;",")))&gt;0)),IF(IK113="",TRUE,IF(input_topics="",FALSE,SUMPRODUCT(--ISNUMBER(SEARCH(","&amp;TRIM(TEXTSPLIT(IK113,","))&amp;",",","&amp;SUBSTITUTE(input_topics," ","")&amp;",")))=COUNTA(TEXTSPLIT(IK113,",")))),IF(IM113="",TRUE,IF(input_topics="",TRUE,SUMPRODUCT(--ISNUMBER(SEARCH(","&amp;TRIM(TEXTSPLIT(IM113,","))&amp;",",","&amp;SUBSTITUTE(input_topics," ","")&amp;",")))=0)),IF(IO113="",TRUE,IF(input_topics="",FALSE,SUMPRODUCT(--ISNUMBER(SEARCH(","&amp;TRIM(TEXTSPLIT(IO113,","))&amp;",",","&amp;SUBSTITUTE(input_topics," ","")&amp;",")))&gt;0)),IF(IQ113="",TRUE,IF(input_topics="",FALSE,SUMPRODUCT(--ISNUMBER(SEARCH(","&amp;TRIM(TEXTSPLIT(IQ113,","))&amp;",",","&amp;SUBSTITUTE(input_topics," ","")&amp;",")))=COUNTA(TEXTSPLIT(IQ113,",")))))</f>
        <v/>
      </c>
    </row>
    <row r="114">
      <c r="A114" s="24">
        <f>IF(NOT(IS114),"Excluded",IF(AND(IT114,IU114,IV114,IW114,IX114,IY114,IZ114,JA114,JB114,JC114,JD114,JE114,JF114,JG114,JH114,JI114,JJ114,JK114,JL114,JM114,JN114,JO114,JP114,JQ114),IF(I114&gt;0,"Eligible but limited","Will appear"),"Excluded"))</f>
        <v/>
      </c>
      <c r="B114" s="24" t="inlineStr">
        <is>
          <t>For Individuals</t>
        </is>
      </c>
      <c r="C114" s="27" t="inlineStr">
        <is>
          <t>/executive-education/for-individuals</t>
        </is>
      </c>
      <c r="D114" s="24" t="inlineStr">
        <is>
          <t>/executive-education/for-individuals</t>
        </is>
      </c>
      <c r="E114" s="24" t="n">
        <v>1</v>
      </c>
      <c r="F114" s="24" t="inlineStr">
        <is>
          <t>course</t>
        </is>
      </c>
      <c r="G114" s="24" t="inlineStr">
        <is>
          <t>courses_grid</t>
        </is>
      </c>
      <c r="H114" s="24" t="inlineStr">
        <is>
          <t>embed_1</t>
        </is>
      </c>
      <c r="I114" s="24" t="n"/>
      <c r="J114" s="28" t="inlineStr">
        <is>
          <t>Explicit args</t>
        </is>
      </c>
      <c r="K114" s="24" t="inlineStr">
        <is>
          <t>Page placement</t>
        </is>
      </c>
      <c r="L114" s="24" t="inlineStr">
        <is>
          <t>Content type: course; Context uses Courses Context: Executive Education (967); Source: Explicit args</t>
        </is>
      </c>
      <c r="BQ114" s="19" t="inlineStr">
        <is>
          <t>967</t>
        </is>
      </c>
      <c r="BR114" s="19" t="inlineStr">
        <is>
          <t>Executive Education (967)</t>
        </is>
      </c>
      <c r="IS114" s="19">
        <f>IF(input_content_type="",FALSE,ISNUMBER(SEARCH(","&amp;LOWER(input_content_type)&amp;",",","&amp;LOWER(SUBSTITUTE(F114," ",""))&amp;",")))</f>
        <v/>
      </c>
      <c r="IT114" s="19">
        <f>AND(IF(M114="",TRUE,IF(input_affiliations="",FALSE,SUMPRODUCT(--ISNUMBER(SEARCH(","&amp;TRIM(TEXTSPLIT(M114,","))&amp;",",","&amp;SUBSTITUTE(input_affiliations," ","")&amp;",")))&gt;0)),IF(O114="",TRUE,IF(input_affiliations="",FALSE,SUMPRODUCT(--ISNUMBER(SEARCH(","&amp;TRIM(TEXTSPLIT(O114,","))&amp;",",","&amp;SUBSTITUTE(input_affiliations," ","")&amp;",")))=COUNTA(TEXTSPLIT(O114,",")))),IF(Q114="",TRUE,IF(input_affiliations="",TRUE,SUMPRODUCT(--ISNUMBER(SEARCH(","&amp;TRIM(TEXTSPLIT(Q114,","))&amp;",",","&amp;SUBSTITUTE(input_affiliations," ","")&amp;",")))=0)),IF(S114="",TRUE,IF(input_affiliations="",FALSE,SUMPRODUCT(--ISNUMBER(SEARCH(","&amp;TRIM(TEXTSPLIT(S114,","))&amp;",",","&amp;SUBSTITUTE(input_affiliations," ","")&amp;",")))&gt;0)),IF(U114="",TRUE,IF(input_affiliations="",FALSE,SUMPRODUCT(--ISNUMBER(SEARCH(","&amp;TRIM(TEXTSPLIT(U114,","))&amp;",",","&amp;SUBSTITUTE(input_affiliations," ","")&amp;",")))=COUNTA(TEXTSPLIT(U114,",")))))</f>
        <v/>
      </c>
      <c r="IU114" s="19">
        <f>AND(IF(W114="",TRUE,IF(input_announcement_category="",FALSE,SUMPRODUCT(--ISNUMBER(SEARCH(","&amp;TRIM(TEXTSPLIT(W114,","))&amp;",",","&amp;SUBSTITUTE(input_announcement_category," ","")&amp;",")))&gt;0)),IF(Y114="",TRUE,IF(input_announcement_category="",FALSE,SUMPRODUCT(--ISNUMBER(SEARCH(","&amp;TRIM(TEXTSPLIT(Y114,","))&amp;",",","&amp;SUBSTITUTE(input_announcement_category," ","")&amp;",")))=COUNTA(TEXTSPLIT(Y114,",")))),IF(AA114="",TRUE,IF(input_announcement_category="",TRUE,SUMPRODUCT(--ISNUMBER(SEARCH(","&amp;TRIM(TEXTSPLIT(AA114,","))&amp;",",","&amp;SUBSTITUTE(input_announcement_category," ","")&amp;",")))=0)),IF(AC114="",TRUE,IF(input_announcement_category="",FALSE,SUMPRODUCT(--ISNUMBER(SEARCH(","&amp;TRIM(TEXTSPLIT(AC114,","))&amp;",",","&amp;SUBSTITUTE(input_announcement_category," ","")&amp;",")))&gt;0)),IF(AE114="",TRUE,IF(input_announcement_category="",FALSE,SUMPRODUCT(--ISNUMBER(SEARCH(","&amp;TRIM(TEXTSPLIT(AE114,","))&amp;",",","&amp;SUBSTITUTE(input_announcement_category," ","")&amp;",")))=COUNTA(TEXTSPLIT(AE114,",")))))</f>
        <v/>
      </c>
      <c r="IV114" s="19">
        <f>AND(IF(AG114="",TRUE,IF(input_area_of_focus="",FALSE,SUMPRODUCT(--ISNUMBER(SEARCH(","&amp;TRIM(TEXTSPLIT(AG114,","))&amp;",",","&amp;SUBSTITUTE(input_area_of_focus," ","")&amp;",")))&gt;0)),IF(AI114="",TRUE,IF(input_area_of_focus="",FALSE,SUMPRODUCT(--ISNUMBER(SEARCH(","&amp;TRIM(TEXTSPLIT(AI114,","))&amp;",",","&amp;SUBSTITUTE(input_area_of_focus," ","")&amp;",")))=COUNTA(TEXTSPLIT(AI114,",")))),IF(AK114="",TRUE,IF(input_area_of_focus="",TRUE,SUMPRODUCT(--ISNUMBER(SEARCH(","&amp;TRIM(TEXTSPLIT(AK114,","))&amp;",",","&amp;SUBSTITUTE(input_area_of_focus," ","")&amp;",")))=0)),IF(AM114="",TRUE,IF(input_area_of_focus="",FALSE,SUMPRODUCT(--ISNUMBER(SEARCH(","&amp;TRIM(TEXTSPLIT(AM114,","))&amp;",",","&amp;SUBSTITUTE(input_area_of_focus," ","")&amp;",")))&gt;0)),IF(AO114="",TRUE,IF(input_area_of_focus="",FALSE,SUMPRODUCT(--ISNUMBER(SEARCH(","&amp;TRIM(TEXTSPLIT(AO114,","))&amp;",",","&amp;SUBSTITUTE(input_area_of_focus," ","")&amp;",")))=COUNTA(TEXTSPLIT(AO114,",")))))</f>
        <v/>
      </c>
      <c r="IW114" s="19">
        <f>AND(IF(AQ114="",TRUE,IF(input_audience="",FALSE,SUMPRODUCT(--ISNUMBER(SEARCH(","&amp;TRIM(TEXTSPLIT(AQ114,","))&amp;",",","&amp;SUBSTITUTE(input_audience," ","")&amp;",")))&gt;0)),IF(AS114="",TRUE,IF(input_audience="",FALSE,SUMPRODUCT(--ISNUMBER(SEARCH(","&amp;TRIM(TEXTSPLIT(AS114,","))&amp;",",","&amp;SUBSTITUTE(input_audience," ","")&amp;",")))=COUNTA(TEXTSPLIT(AS114,",")))),IF(AU114="",TRUE,IF(input_audience="",TRUE,SUMPRODUCT(--ISNUMBER(SEARCH(","&amp;TRIM(TEXTSPLIT(AU114,","))&amp;",",","&amp;SUBSTITUTE(input_audience," ","")&amp;",")))=0)),IF(AW114="",TRUE,IF(input_audience="",FALSE,SUMPRODUCT(--ISNUMBER(SEARCH(","&amp;TRIM(TEXTSPLIT(AW114,","))&amp;",",","&amp;SUBSTITUTE(input_audience," ","")&amp;",")))&gt;0)),IF(AY114="",TRUE,IF(input_audience="",FALSE,SUMPRODUCT(--ISNUMBER(SEARCH(","&amp;TRIM(TEXTSPLIT(AY114,","))&amp;",",","&amp;SUBSTITUTE(input_audience," ","")&amp;",")))=COUNTA(TEXTSPLIT(AY114,",")))))</f>
        <v/>
      </c>
      <c r="IX114" s="19">
        <f>AND(IF(BA114="",TRUE,IF(input_challenge_opportunities="",FALSE,SUMPRODUCT(--ISNUMBER(SEARCH(","&amp;TRIM(TEXTSPLIT(BA114,","))&amp;",",","&amp;SUBSTITUTE(input_challenge_opportunities," ","")&amp;",")))&gt;0)),IF(BC114="",TRUE,IF(input_challenge_opportunities="",FALSE,SUMPRODUCT(--ISNUMBER(SEARCH(","&amp;TRIM(TEXTSPLIT(BC114,","))&amp;",",","&amp;SUBSTITUTE(input_challenge_opportunities," ","")&amp;",")))=COUNTA(TEXTSPLIT(BC114,",")))),IF(BE114="",TRUE,IF(input_challenge_opportunities="",TRUE,SUMPRODUCT(--ISNUMBER(SEARCH(","&amp;TRIM(TEXTSPLIT(BE114,","))&amp;",",","&amp;SUBSTITUTE(input_challenge_opportunities," ","")&amp;",")))=0)),IF(BG114="",TRUE,IF(input_challenge_opportunities="",FALSE,SUMPRODUCT(--ISNUMBER(SEARCH(","&amp;TRIM(TEXTSPLIT(BG114,","))&amp;",",","&amp;SUBSTITUTE(input_challenge_opportunities," ","")&amp;",")))&gt;0)),IF(BI114="",TRUE,IF(input_challenge_opportunities="",FALSE,SUMPRODUCT(--ISNUMBER(SEARCH(","&amp;TRIM(TEXTSPLIT(BI114,","))&amp;",",","&amp;SUBSTITUTE(input_challenge_opportunities," ","")&amp;",")))=COUNTA(TEXTSPLIT(BI114,",")))))</f>
        <v/>
      </c>
      <c r="IY114" s="19">
        <f>AND(IF(BK114="",TRUE,IF(input_context="",FALSE,SUMPRODUCT(--ISNUMBER(SEARCH(","&amp;TRIM(TEXTSPLIT(BK114,","))&amp;",",","&amp;SUBSTITUTE(input_context," ","")&amp;",")))&gt;0)),IF(BM114="",TRUE,IF(input_context="",FALSE,SUMPRODUCT(--ISNUMBER(SEARCH(","&amp;TRIM(TEXTSPLIT(BM114,","))&amp;",",","&amp;SUBSTITUTE(input_context," ","")&amp;",")))=COUNTA(TEXTSPLIT(BM114,",")))),IF(BO114="",TRUE,IF(input_context="",TRUE,SUMPRODUCT(--ISNUMBER(SEARCH(","&amp;TRIM(TEXTSPLIT(BO114,","))&amp;",",","&amp;SUBSTITUTE(input_context," ","")&amp;",")))=0)),IF(BQ114="",TRUE,IF(input_context="",FALSE,SUMPRODUCT(--ISNUMBER(SEARCH(","&amp;TRIM(TEXTSPLIT(BQ114,","))&amp;",",","&amp;SUBSTITUTE(input_context," ","")&amp;",")))&gt;0)),IF(BS114="",TRUE,IF(input_context="",FALSE,SUMPRODUCT(--ISNUMBER(SEARCH(","&amp;TRIM(TEXTSPLIT(BS114,","))&amp;",",","&amp;SUBSTITUTE(input_context," ","")&amp;",")))=COUNTA(TEXTSPLIT(BS114,",")))))</f>
        <v/>
      </c>
      <c r="IZ114" s="19">
        <f>AND(IF(BU114="",TRUE,IF(input_enews_announcement_type="",FALSE,SUMPRODUCT(--ISNUMBER(SEARCH(","&amp;TRIM(TEXTSPLIT(BU114,","))&amp;",",","&amp;SUBSTITUTE(input_enews_announcement_type," ","")&amp;",")))&gt;0)),IF(BW114="",TRUE,IF(input_enews_announcement_type="",FALSE,SUMPRODUCT(--ISNUMBER(SEARCH(","&amp;TRIM(TEXTSPLIT(BW114,","))&amp;",",","&amp;SUBSTITUTE(input_enews_announcement_type," ","")&amp;",")))=COUNTA(TEXTSPLIT(BW114,",")))),IF(BY114="",TRUE,IF(input_enews_announcement_type="",TRUE,SUMPRODUCT(--ISNUMBER(SEARCH(","&amp;TRIM(TEXTSPLIT(BY114,","))&amp;",",","&amp;SUBSTITUTE(input_enews_announcement_type," ","")&amp;",")))=0)),IF(CA114="",TRUE,IF(input_enews_announcement_type="",FALSE,SUMPRODUCT(--ISNUMBER(SEARCH(","&amp;TRIM(TEXTSPLIT(CA114,","))&amp;",",","&amp;SUBSTITUTE(input_enews_announcement_type," ","")&amp;",")))&gt;0)),IF(CC114="",TRUE,IF(input_enews_announcement_type="",FALSE,SUMPRODUCT(--ISNUMBER(SEARCH(","&amp;TRIM(TEXTSPLIT(CC114,","))&amp;",",","&amp;SUBSTITUTE(input_enews_announcement_type," ","")&amp;",")))=COUNTA(TEXTSPLIT(CC114,",")))))</f>
        <v/>
      </c>
      <c r="JA114" s="19">
        <f>AND(IF(CE114="",TRUE,IF(input_enews_audience="",FALSE,SUMPRODUCT(--ISNUMBER(SEARCH(","&amp;TRIM(TEXTSPLIT(CE114,","))&amp;",",","&amp;SUBSTITUTE(input_enews_audience," ","")&amp;",")))&gt;0)),IF(CG114="",TRUE,IF(input_enews_audience="",FALSE,SUMPRODUCT(--ISNUMBER(SEARCH(","&amp;TRIM(TEXTSPLIT(CG114,","))&amp;",",","&amp;SUBSTITUTE(input_enews_audience," ","")&amp;",")))=COUNTA(TEXTSPLIT(CG114,",")))),IF(CI114="",TRUE,IF(input_enews_audience="",TRUE,SUMPRODUCT(--ISNUMBER(SEARCH(","&amp;TRIM(TEXTSPLIT(CI114,","))&amp;",",","&amp;SUBSTITUTE(input_enews_audience," ","")&amp;",")))=0)),IF(CK114="",TRUE,IF(input_enews_audience="",FALSE,SUMPRODUCT(--ISNUMBER(SEARCH(","&amp;TRIM(TEXTSPLIT(CK114,","))&amp;",",","&amp;SUBSTITUTE(input_enews_audience," ","")&amp;",")))&gt;0)),IF(CM114="",TRUE,IF(input_enews_audience="",FALSE,SUMPRODUCT(--ISNUMBER(SEARCH(","&amp;TRIM(TEXTSPLIT(CM114,","))&amp;",",","&amp;SUBSTITUTE(input_enews_audience," ","")&amp;",")))=COUNTA(TEXTSPLIT(CM114,",")))))</f>
        <v/>
      </c>
      <c r="JB114" s="19">
        <f>AND(IF(CO114="",TRUE,IF(input_event_location="",FALSE,SUMPRODUCT(--ISNUMBER(SEARCH(","&amp;TRIM(TEXTSPLIT(CO114,","))&amp;",",","&amp;SUBSTITUTE(input_event_location," ","")&amp;",")))&gt;0)),IF(CQ114="",TRUE,IF(input_event_location="",FALSE,SUMPRODUCT(--ISNUMBER(SEARCH(","&amp;TRIM(TEXTSPLIT(CQ114,","))&amp;",",","&amp;SUBSTITUTE(input_event_location," ","")&amp;",")))=COUNTA(TEXTSPLIT(CQ114,",")))),IF(CS114="",TRUE,IF(input_event_location="",TRUE,SUMPRODUCT(--ISNUMBER(SEARCH(","&amp;TRIM(TEXTSPLIT(CS114,","))&amp;",",","&amp;SUBSTITUTE(input_event_location," ","")&amp;",")))=0)),IF(CU114="",TRUE,IF(input_event_location="",FALSE,SUMPRODUCT(--ISNUMBER(SEARCH(","&amp;TRIM(TEXTSPLIT(CU114,","))&amp;",",","&amp;SUBSTITUTE(input_event_location," ","")&amp;",")))&gt;0)),IF(CW114="",TRUE,IF(input_event_location="",FALSE,SUMPRODUCT(--ISNUMBER(SEARCH(","&amp;TRIM(TEXTSPLIT(CW114,","))&amp;",",","&amp;SUBSTITUTE(input_event_location," ","")&amp;",")))=COUNTA(TEXTSPLIT(CW114,",")))))</f>
        <v/>
      </c>
      <c r="JC114" s="19">
        <f>AND(IF(CY114="",TRUE,IF(input_event_type="",FALSE,SUMPRODUCT(--ISNUMBER(SEARCH(","&amp;TRIM(TEXTSPLIT(CY114,","))&amp;",",","&amp;SUBSTITUTE(input_event_type," ","")&amp;",")))&gt;0)),IF(DA114="",TRUE,IF(input_event_type="",FALSE,SUMPRODUCT(--ISNUMBER(SEARCH(","&amp;TRIM(TEXTSPLIT(DA114,","))&amp;",",","&amp;SUBSTITUTE(input_event_type," ","")&amp;",")))=COUNTA(TEXTSPLIT(DA114,",")))),IF(DC114="",TRUE,IF(input_event_type="",TRUE,SUMPRODUCT(--ISNUMBER(SEARCH(","&amp;TRIM(TEXTSPLIT(DC114,","))&amp;",",","&amp;SUBSTITUTE(input_event_type," ","")&amp;",")))=0)),IF(DE114="",TRUE,IF(input_event_type="",FALSE,SUMPRODUCT(--ISNUMBER(SEARCH(","&amp;TRIM(TEXTSPLIT(DE114,","))&amp;",",","&amp;SUBSTITUTE(input_event_type," ","")&amp;",")))&gt;0)),IF(DG114="",TRUE,IF(input_event_type="",FALSE,SUMPRODUCT(--ISNUMBER(SEARCH(","&amp;TRIM(TEXTSPLIT(DG114,","))&amp;",",","&amp;SUBSTITUTE(input_event_type," ","")&amp;",")))=COUNTA(TEXTSPLIT(DG114,",")))))</f>
        <v/>
      </c>
      <c r="JD114" s="19">
        <f>AND(IF(DI114="",TRUE,IF(input_executive_education_focus="",FALSE,SUMPRODUCT(--ISNUMBER(SEARCH(","&amp;TRIM(TEXTSPLIT(DI114,","))&amp;",",","&amp;SUBSTITUTE(input_executive_education_focus," ","")&amp;",")))&gt;0)),IF(DK114="",TRUE,IF(input_executive_education_focus="",FALSE,SUMPRODUCT(--ISNUMBER(SEARCH(","&amp;TRIM(TEXTSPLIT(DK114,","))&amp;",",","&amp;SUBSTITUTE(input_executive_education_focus," ","")&amp;",")))=COUNTA(TEXTSPLIT(DK114,",")))),IF(DM114="",TRUE,IF(input_executive_education_focus="",TRUE,SUMPRODUCT(--ISNUMBER(SEARCH(","&amp;TRIM(TEXTSPLIT(DM114,","))&amp;",",","&amp;SUBSTITUTE(input_executive_education_focus," ","")&amp;",")))=0)),IF(DO114="",TRUE,IF(input_executive_education_focus="",FALSE,SUMPRODUCT(--ISNUMBER(SEARCH(","&amp;TRIM(TEXTSPLIT(DO114,","))&amp;",",","&amp;SUBSTITUTE(input_executive_education_focus," ","")&amp;",")))&gt;0)),IF(DQ114="",TRUE,IF(input_executive_education_focus="",FALSE,SUMPRODUCT(--ISNUMBER(SEARCH(","&amp;TRIM(TEXTSPLIT(DQ114,","))&amp;",",","&amp;SUBSTITUTE(input_executive_education_focus," ","")&amp;",")))=COUNTA(TEXTSPLIT(DQ114,",")))))</f>
        <v/>
      </c>
      <c r="JE114" s="19">
        <f>AND(IF(DS114="",TRUE,IF(input_faculty_category="",FALSE,SUMPRODUCT(--ISNUMBER(SEARCH(","&amp;TRIM(TEXTSPLIT(DS114,","))&amp;",",","&amp;SUBSTITUTE(input_faculty_category," ","")&amp;",")))&gt;0)),IF(DU114="",TRUE,IF(input_faculty_category="",FALSE,SUMPRODUCT(--ISNUMBER(SEARCH(","&amp;TRIM(TEXTSPLIT(DU114,","))&amp;",",","&amp;SUBSTITUTE(input_faculty_category," ","")&amp;",")))=COUNTA(TEXTSPLIT(DU114,",")))),IF(DW114="",TRUE,IF(input_faculty_category="",TRUE,SUMPRODUCT(--ISNUMBER(SEARCH(","&amp;TRIM(TEXTSPLIT(DW114,","))&amp;",",","&amp;SUBSTITUTE(input_faculty_category," ","")&amp;",")))=0)),IF(DY114="",TRUE,IF(input_faculty_category="",FALSE,SUMPRODUCT(--ISNUMBER(SEARCH(","&amp;TRIM(TEXTSPLIT(DY114,","))&amp;",",","&amp;SUBSTITUTE(input_faculty_category," ","")&amp;",")))&gt;0)),IF(EA114="",TRUE,IF(input_faculty_category="",FALSE,SUMPRODUCT(--ISNUMBER(SEARCH(","&amp;TRIM(TEXTSPLIT(EA114,","))&amp;",",","&amp;SUBSTITUTE(input_faculty_category," ","")&amp;",")))=COUNTA(TEXTSPLIT(EA114,",")))))</f>
        <v/>
      </c>
      <c r="JF114" s="19">
        <f>AND(IF(EC114="",TRUE,IF(input_faculty_discipline="",FALSE,SUMPRODUCT(--ISNUMBER(SEARCH(","&amp;TRIM(TEXTSPLIT(EC114,","))&amp;",",","&amp;SUBSTITUTE(input_faculty_discipline," ","")&amp;",")))&gt;0)),IF(EE114="",TRUE,IF(input_faculty_discipline="",FALSE,SUMPRODUCT(--ISNUMBER(SEARCH(","&amp;TRIM(TEXTSPLIT(EE114,","))&amp;",",","&amp;SUBSTITUTE(input_faculty_discipline," ","")&amp;",")))=COUNTA(TEXTSPLIT(EE114,",")))),IF(EG114="",TRUE,IF(input_faculty_discipline="",TRUE,SUMPRODUCT(--ISNUMBER(SEARCH(","&amp;TRIM(TEXTSPLIT(EG114,","))&amp;",",","&amp;SUBSTITUTE(input_faculty_discipline," ","")&amp;",")))=0)),IF(EI114="",TRUE,IF(input_faculty_discipline="",FALSE,SUMPRODUCT(--ISNUMBER(SEARCH(","&amp;TRIM(TEXTSPLIT(EI114,","))&amp;",",","&amp;SUBSTITUTE(input_faculty_discipline," ","")&amp;",")))&gt;0)),IF(EK114="",TRUE,IF(input_faculty_discipline="",FALSE,SUMPRODUCT(--ISNUMBER(SEARCH(","&amp;TRIM(TEXTSPLIT(EK114,","))&amp;",",","&amp;SUBSTITUTE(input_faculty_discipline," ","")&amp;",")))=COUNTA(TEXTSPLIT(EK114,",")))))</f>
        <v/>
      </c>
      <c r="JG114" s="19">
        <f>AND(IF(EM114="",TRUE,IF(input_faculty_expertise="",FALSE,SUMPRODUCT(--ISNUMBER(SEARCH(","&amp;TRIM(TEXTSPLIT(EM114,","))&amp;",",","&amp;SUBSTITUTE(input_faculty_expertise," ","")&amp;",")))&gt;0)),IF(EO114="",TRUE,IF(input_faculty_expertise="",FALSE,SUMPRODUCT(--ISNUMBER(SEARCH(","&amp;TRIM(TEXTSPLIT(EO114,","))&amp;",",","&amp;SUBSTITUTE(input_faculty_expertise," ","")&amp;",")))=COUNTA(TEXTSPLIT(EO114,",")))),IF(EQ114="",TRUE,IF(input_faculty_expertise="",TRUE,SUMPRODUCT(--ISNUMBER(SEARCH(","&amp;TRIM(TEXTSPLIT(EQ114,","))&amp;",",","&amp;SUBSTITUTE(input_faculty_expertise," ","")&amp;",")))=0)),IF(ES114="",TRUE,IF(input_faculty_expertise="",FALSE,SUMPRODUCT(--ISNUMBER(SEARCH(","&amp;TRIM(TEXTSPLIT(ES114,","))&amp;",",","&amp;SUBSTITUTE(input_faculty_expertise," ","")&amp;",")))&gt;0)),IF(EU114="",TRUE,IF(input_faculty_expertise="",FALSE,SUMPRODUCT(--ISNUMBER(SEARCH(","&amp;TRIM(TEXTSPLIT(EU114,","))&amp;",",","&amp;SUBSTITUTE(input_faculty_expertise," ","")&amp;",")))=COUNTA(TEXTSPLIT(EU114,",")))))</f>
        <v/>
      </c>
      <c r="JH114" s="19">
        <f>AND(IF(EW114="",TRUE,IF(input_global_network_school="",FALSE,SUMPRODUCT(--ISNUMBER(SEARCH(","&amp;TRIM(TEXTSPLIT(EW114,","))&amp;",",","&amp;SUBSTITUTE(input_global_network_school," ","")&amp;",")))&gt;0)),IF(EY114="",TRUE,IF(input_global_network_school="",FALSE,SUMPRODUCT(--ISNUMBER(SEARCH(","&amp;TRIM(TEXTSPLIT(EY114,","))&amp;",",","&amp;SUBSTITUTE(input_global_network_school," ","")&amp;",")))=COUNTA(TEXTSPLIT(EY114,",")))),IF(FA114="",TRUE,IF(input_global_network_school="",TRUE,SUMPRODUCT(--ISNUMBER(SEARCH(","&amp;TRIM(TEXTSPLIT(FA114,","))&amp;",",","&amp;SUBSTITUTE(input_global_network_school," ","")&amp;",")))=0)),IF(FC114="",TRUE,IF(input_global_network_school="",FALSE,SUMPRODUCT(--ISNUMBER(SEARCH(","&amp;TRIM(TEXTSPLIT(FC114,","))&amp;",",","&amp;SUBSTITUTE(input_global_network_school," ","")&amp;",")))&gt;0)),IF(FE114="",TRUE,IF(input_global_network_school="",FALSE,SUMPRODUCT(--ISNUMBER(SEARCH(","&amp;TRIM(TEXTSPLIT(FE114,","))&amp;",",","&amp;SUBSTITUTE(input_global_network_school," ","")&amp;",")))=COUNTA(TEXTSPLIT(FE114,",")))))</f>
        <v/>
      </c>
      <c r="JI114" s="19">
        <f>AND(IF(FG114="",TRUE,IF(input_industry="",FALSE,SUMPRODUCT(--ISNUMBER(SEARCH(","&amp;TRIM(TEXTSPLIT(FG114,","))&amp;",",","&amp;SUBSTITUTE(input_industry," ","")&amp;",")))&gt;0)),IF(FI114="",TRUE,IF(input_industry="",FALSE,SUMPRODUCT(--ISNUMBER(SEARCH(","&amp;TRIM(TEXTSPLIT(FI114,","))&amp;",",","&amp;SUBSTITUTE(input_industry," ","")&amp;",")))=COUNTA(TEXTSPLIT(FI114,",")))),IF(FK114="",TRUE,IF(input_industry="",TRUE,SUMPRODUCT(--ISNUMBER(SEARCH(","&amp;TRIM(TEXTSPLIT(FK114,","))&amp;",",","&amp;SUBSTITUTE(input_industry," ","")&amp;",")))=0)),IF(FM114="",TRUE,IF(input_industry="",FALSE,SUMPRODUCT(--ISNUMBER(SEARCH(","&amp;TRIM(TEXTSPLIT(FM114,","))&amp;",",","&amp;SUBSTITUTE(input_industry," ","")&amp;",")))&gt;0)),IF(FO114="",TRUE,IF(input_industry="",FALSE,SUMPRODUCT(--ISNUMBER(SEARCH(","&amp;TRIM(TEXTSPLIT(FO114,","))&amp;",",","&amp;SUBSTITUTE(input_industry," ","")&amp;",")))=COUNTA(TEXTSPLIT(FO114,",")))))</f>
        <v/>
      </c>
      <c r="JJ114" s="19">
        <f>AND(IF(FQ114="",TRUE,IF(input_location="",FALSE,SUMPRODUCT(--ISNUMBER(SEARCH(","&amp;TRIM(TEXTSPLIT(FQ114,","))&amp;",",","&amp;SUBSTITUTE(input_location," ","")&amp;",")))&gt;0)),IF(FS114="",TRUE,IF(input_location="",FALSE,SUMPRODUCT(--ISNUMBER(SEARCH(","&amp;TRIM(TEXTSPLIT(FS114,","))&amp;",",","&amp;SUBSTITUTE(input_location," ","")&amp;",")))=COUNTA(TEXTSPLIT(FS114,",")))),IF(FU114="",TRUE,IF(input_location="",TRUE,SUMPRODUCT(--ISNUMBER(SEARCH(","&amp;TRIM(TEXTSPLIT(FU114,","))&amp;",",","&amp;SUBSTITUTE(input_location," ","")&amp;",")))=0)),IF(FW114="",TRUE,IF(input_location="",FALSE,SUMPRODUCT(--ISNUMBER(SEARCH(","&amp;TRIM(TEXTSPLIT(FW114,","))&amp;",",","&amp;SUBSTITUTE(input_location," ","")&amp;",")))&gt;0)),IF(FY114="",TRUE,IF(input_location="",FALSE,SUMPRODUCT(--ISNUMBER(SEARCH(","&amp;TRIM(TEXTSPLIT(FY114,","))&amp;",",","&amp;SUBSTITUTE(input_location," ","")&amp;",")))=COUNTA(TEXTSPLIT(FY114,",")))))</f>
        <v/>
      </c>
      <c r="JK114" s="19">
        <f>AND(IF(GA114="",TRUE,IF(input_modality="",FALSE,SUMPRODUCT(--ISNUMBER(SEARCH(","&amp;TRIM(TEXTSPLIT(GA114,","))&amp;",",","&amp;SUBSTITUTE(input_modality," ","")&amp;",")))&gt;0)),IF(GC114="",TRUE,IF(input_modality="",FALSE,SUMPRODUCT(--ISNUMBER(SEARCH(","&amp;TRIM(TEXTSPLIT(GC114,","))&amp;",",","&amp;SUBSTITUTE(input_modality," ","")&amp;",")))=COUNTA(TEXTSPLIT(GC114,",")))),IF(GE114="",TRUE,IF(input_modality="",TRUE,SUMPRODUCT(--ISNUMBER(SEARCH(","&amp;TRIM(TEXTSPLIT(GE114,","))&amp;",",","&amp;SUBSTITUTE(input_modality," ","")&amp;",")))=0)),IF(GG114="",TRUE,IF(input_modality="",FALSE,SUMPRODUCT(--ISNUMBER(SEARCH(","&amp;TRIM(TEXTSPLIT(GG114,","))&amp;",",","&amp;SUBSTITUTE(input_modality," ","")&amp;",")))&gt;0)),IF(GI114="",TRUE,IF(input_modality="",FALSE,SUMPRODUCT(--ISNUMBER(SEARCH(","&amp;TRIM(TEXTSPLIT(GI114,","))&amp;",",","&amp;SUBSTITUTE(input_modality," ","")&amp;",")))=COUNTA(TEXTSPLIT(GI114,",")))))</f>
        <v/>
      </c>
      <c r="JL114" s="19">
        <f>AND(IF(GK114="",TRUE,IF(input_organizer="",FALSE,SUMPRODUCT(--ISNUMBER(SEARCH(","&amp;TRIM(TEXTSPLIT(GK114,","))&amp;",",","&amp;SUBSTITUTE(input_organizer," ","")&amp;",")))&gt;0)),IF(GM114="",TRUE,IF(input_organizer="",FALSE,SUMPRODUCT(--ISNUMBER(SEARCH(","&amp;TRIM(TEXTSPLIT(GM114,","))&amp;",",","&amp;SUBSTITUTE(input_organizer," ","")&amp;",")))=COUNTA(TEXTSPLIT(GM114,",")))),IF(GO114="",TRUE,IF(input_organizer="",TRUE,SUMPRODUCT(--ISNUMBER(SEARCH(","&amp;TRIM(TEXTSPLIT(GO114,","))&amp;",",","&amp;SUBSTITUTE(input_organizer," ","")&amp;",")))=0)),IF(GQ114="",TRUE,IF(input_organizer="",FALSE,SUMPRODUCT(--ISNUMBER(SEARCH(","&amp;TRIM(TEXTSPLIT(GQ114,","))&amp;",",","&amp;SUBSTITUTE(input_organizer," ","")&amp;",")))&gt;0)),IF(GS114="",TRUE,IF(input_organizer="",FALSE,SUMPRODUCT(--ISNUMBER(SEARCH(","&amp;TRIM(TEXTSPLIT(GS114,","))&amp;",",","&amp;SUBSTITUTE(input_organizer," ","")&amp;",")))=COUNTA(TEXTSPLIT(GS114,",")))))</f>
        <v/>
      </c>
      <c r="JM114" s="19">
        <f>AND(IF(GU114="",TRUE,IF(input_profile_type="",FALSE,SUMPRODUCT(--ISNUMBER(SEARCH(","&amp;TRIM(TEXTSPLIT(GU114,","))&amp;",",","&amp;SUBSTITUTE(input_profile_type," ","")&amp;",")))&gt;0)),IF(GW114="",TRUE,IF(input_profile_type="",FALSE,SUMPRODUCT(--ISNUMBER(SEARCH(","&amp;TRIM(TEXTSPLIT(GW114,","))&amp;",",","&amp;SUBSTITUTE(input_profile_type," ","")&amp;",")))=COUNTA(TEXTSPLIT(GW114,",")))),IF(GY114="",TRUE,IF(input_profile_type="",TRUE,SUMPRODUCT(--ISNUMBER(SEARCH(","&amp;TRIM(TEXTSPLIT(GY114,","))&amp;",",","&amp;SUBSTITUTE(input_profile_type," ","")&amp;",")))=0)),IF(HA114="",TRUE,IF(input_profile_type="",FALSE,SUMPRODUCT(--ISNUMBER(SEARCH(","&amp;TRIM(TEXTSPLIT(HA114,","))&amp;",",","&amp;SUBSTITUTE(input_profile_type," ","")&amp;",")))&gt;0)),IF(HC114="",TRUE,IF(input_profile_type="",FALSE,SUMPRODUCT(--ISNUMBER(SEARCH(","&amp;TRIM(TEXTSPLIT(HC114,","))&amp;",",","&amp;SUBSTITUTE(input_profile_type," ","")&amp;",")))=COUNTA(TEXTSPLIT(HC114,",")))))</f>
        <v/>
      </c>
      <c r="JN114" s="19">
        <f>AND(IF(HE114="",TRUE,IF(input_program="",FALSE,SUMPRODUCT(--ISNUMBER(SEARCH(","&amp;TRIM(TEXTSPLIT(HE114,","))&amp;",",","&amp;SUBSTITUTE(input_program," ","")&amp;",")))&gt;0)),IF(HG114="",TRUE,IF(input_program="",FALSE,SUMPRODUCT(--ISNUMBER(SEARCH(","&amp;TRIM(TEXTSPLIT(HG114,","))&amp;",",","&amp;SUBSTITUTE(input_program," ","")&amp;",")))=COUNTA(TEXTSPLIT(HG114,",")))),IF(HI114="",TRUE,IF(input_program="",TRUE,SUMPRODUCT(--ISNUMBER(SEARCH(","&amp;TRIM(TEXTSPLIT(HI114,","))&amp;",",","&amp;SUBSTITUTE(input_program," ","")&amp;",")))=0)),IF(HK114="",TRUE,IF(input_program="",FALSE,SUMPRODUCT(--ISNUMBER(SEARCH(","&amp;TRIM(TEXTSPLIT(HK114,","))&amp;",",","&amp;SUBSTITUTE(input_program," ","")&amp;",")))&gt;0)),IF(HM114="",TRUE,IF(input_program="",FALSE,SUMPRODUCT(--ISNUMBER(SEARCH(","&amp;TRIM(TEXTSPLIT(HM114,","))&amp;",",","&amp;SUBSTITUTE(input_program," ","")&amp;",")))=COUNTA(TEXTSPLIT(HM114,",")))))</f>
        <v/>
      </c>
      <c r="JO114" s="19">
        <f>AND(IF(HO114="",TRUE,IF(input_story_categories="",FALSE,SUMPRODUCT(--ISNUMBER(SEARCH(","&amp;TRIM(TEXTSPLIT(HO114,","))&amp;",",","&amp;SUBSTITUTE(input_story_categories," ","")&amp;",")))&gt;0)),IF(HQ114="",TRUE,IF(input_story_categories="",FALSE,SUMPRODUCT(--ISNUMBER(SEARCH(","&amp;TRIM(TEXTSPLIT(HQ114,","))&amp;",",","&amp;SUBSTITUTE(input_story_categories," ","")&amp;",")))=COUNTA(TEXTSPLIT(HQ114,",")))),IF(HS114="",TRUE,IF(input_story_categories="",TRUE,SUMPRODUCT(--ISNUMBER(SEARCH(","&amp;TRIM(TEXTSPLIT(HS114,","))&amp;",",","&amp;SUBSTITUTE(input_story_categories," ","")&amp;",")))=0)),IF(HU114="",TRUE,IF(input_story_categories="",FALSE,SUMPRODUCT(--ISNUMBER(SEARCH(","&amp;TRIM(TEXTSPLIT(HU114,","))&amp;",",","&amp;SUBSTITUTE(input_story_categories," ","")&amp;",")))&gt;0)),IF(HW114="",TRUE,IF(input_story_categories="",FALSE,SUMPRODUCT(--ISNUMBER(SEARCH(","&amp;TRIM(TEXTSPLIT(HW114,","))&amp;",",","&amp;SUBSTITUTE(input_story_categories," ","")&amp;",")))=COUNTA(TEXTSPLIT(HW114,",")))))</f>
        <v/>
      </c>
      <c r="JP114" s="19">
        <f>AND(IF(HY114="",TRUE,IF(input_story_type="",FALSE,SUMPRODUCT(--ISNUMBER(SEARCH(","&amp;TRIM(TEXTSPLIT(HY114,","))&amp;",",","&amp;SUBSTITUTE(input_story_type," ","")&amp;",")))&gt;0)),IF(IA114="",TRUE,IF(input_story_type="",FALSE,SUMPRODUCT(--ISNUMBER(SEARCH(","&amp;TRIM(TEXTSPLIT(IA114,","))&amp;",",","&amp;SUBSTITUTE(input_story_type," ","")&amp;",")))=COUNTA(TEXTSPLIT(IA114,",")))),IF(IC114="",TRUE,IF(input_story_type="",TRUE,SUMPRODUCT(--ISNUMBER(SEARCH(","&amp;TRIM(TEXTSPLIT(IC114,","))&amp;",",","&amp;SUBSTITUTE(input_story_type," ","")&amp;",")))=0)),IF(IE114="",TRUE,IF(input_story_type="",FALSE,SUMPRODUCT(--ISNUMBER(SEARCH(","&amp;TRIM(TEXTSPLIT(IE114,","))&amp;",",","&amp;SUBSTITUTE(input_story_type," ","")&amp;",")))&gt;0)),IF(IG114="",TRUE,IF(input_story_type="",FALSE,SUMPRODUCT(--ISNUMBER(SEARCH(","&amp;TRIM(TEXTSPLIT(IG114,","))&amp;",",","&amp;SUBSTITUTE(input_story_type," ","")&amp;",")))=COUNTA(TEXTSPLIT(IG114,",")))))</f>
        <v/>
      </c>
      <c r="JQ114" s="19">
        <f>AND(IF(II114="",TRUE,IF(input_topics="",FALSE,SUMPRODUCT(--ISNUMBER(SEARCH(","&amp;TRIM(TEXTSPLIT(II114,","))&amp;",",","&amp;SUBSTITUTE(input_topics," ","")&amp;",")))&gt;0)),IF(IK114="",TRUE,IF(input_topics="",FALSE,SUMPRODUCT(--ISNUMBER(SEARCH(","&amp;TRIM(TEXTSPLIT(IK114,","))&amp;",",","&amp;SUBSTITUTE(input_topics," ","")&amp;",")))=COUNTA(TEXTSPLIT(IK114,",")))),IF(IM114="",TRUE,IF(input_topics="",TRUE,SUMPRODUCT(--ISNUMBER(SEARCH(","&amp;TRIM(TEXTSPLIT(IM114,","))&amp;",",","&amp;SUBSTITUTE(input_topics," ","")&amp;",")))=0)),IF(IO114="",TRUE,IF(input_topics="",FALSE,SUMPRODUCT(--ISNUMBER(SEARCH(","&amp;TRIM(TEXTSPLIT(IO114,","))&amp;",",","&amp;SUBSTITUTE(input_topics," ","")&amp;",")))&gt;0)),IF(IQ114="",TRUE,IF(input_topics="",FALSE,SUMPRODUCT(--ISNUMBER(SEARCH(","&amp;TRIM(TEXTSPLIT(IQ114,","))&amp;",",","&amp;SUBSTITUTE(input_topics," ","")&amp;",")))=COUNTA(TEXTSPLIT(IQ114,",")))))</f>
        <v/>
      </c>
    </row>
    <row r="115">
      <c r="A115" s="24">
        <f>IF(NOT(IS115),"Excluded",IF(AND(IT115,IU115,IV115,IW115,IX115,IY115,IZ115,JA115,JB115,JC115,JD115,JE115,JF115,JG115,JH115,JI115,JJ115,JK115,JL115,JM115,JN115,JO115,JP115,JQ115),IF(I115&gt;0,"Eligible but limited","Will appear"),"Excluded"))</f>
        <v/>
      </c>
      <c r="B115" s="24" t="inlineStr">
        <is>
          <t>GBS Admissions Ambassadors</t>
        </is>
      </c>
      <c r="C115" s="27" t="inlineStr">
        <is>
          <t>/programs/mms-global-business-and-society/admissions/admissions-ambassadors</t>
        </is>
      </c>
      <c r="D115" s="24" t="inlineStr">
        <is>
          <t>/programs/mms-global-business-and-society/admissions/admissions-ambassadors</t>
        </is>
      </c>
      <c r="E115" s="24" t="n">
        <v>1</v>
      </c>
      <c r="F115" s="24" t="inlineStr">
        <is>
          <t>profile</t>
        </is>
      </c>
      <c r="G115" s="24" t="inlineStr">
        <is>
          <t>profiles_grid</t>
        </is>
      </c>
      <c r="H115" s="24" t="inlineStr">
        <is>
          <t>embed_4</t>
        </is>
      </c>
      <c r="I115" s="24" t="n">
        <v>9</v>
      </c>
      <c r="J115" s="28" t="inlineStr">
        <is>
          <t>Explicit args</t>
        </is>
      </c>
      <c r="K115" s="24" t="inlineStr">
        <is>
          <t>Page placement</t>
        </is>
      </c>
      <c r="L115" s="24" t="inlineStr">
        <is>
          <t>Content type: profile; Needs any Profile Type: Ambassador (1552); Context uses Program: Master’s Degree in Global Business &amp; Society (84), Master's Degree in Global Business and Society (950), GBS Admissions Ambassadors (260); Limited to 9 item(s); Source: Explicit args</t>
        </is>
      </c>
      <c r="GU115" s="19" t="inlineStr">
        <is>
          <t>1552</t>
        </is>
      </c>
      <c r="GV115" s="19" t="inlineStr">
        <is>
          <t>Ambassador (1552)</t>
        </is>
      </c>
      <c r="HK115" s="19" t="inlineStr">
        <is>
          <t>84, 950, 260</t>
        </is>
      </c>
      <c r="HL115" s="19" t="inlineStr">
        <is>
          <t>Master’s Degree in Global Business &amp; Society (84), Master's Degree in Global Business and Society (950), GBS Admissions Ambassadors (260)</t>
        </is>
      </c>
      <c r="IS115" s="19">
        <f>IF(input_content_type="",FALSE,ISNUMBER(SEARCH(","&amp;LOWER(input_content_type)&amp;",",","&amp;LOWER(SUBSTITUTE(F115," ",""))&amp;",")))</f>
        <v/>
      </c>
      <c r="IT115" s="19">
        <f>AND(IF(M115="",TRUE,IF(input_affiliations="",FALSE,SUMPRODUCT(--ISNUMBER(SEARCH(","&amp;TRIM(TEXTSPLIT(M115,","))&amp;",",","&amp;SUBSTITUTE(input_affiliations," ","")&amp;",")))&gt;0)),IF(O115="",TRUE,IF(input_affiliations="",FALSE,SUMPRODUCT(--ISNUMBER(SEARCH(","&amp;TRIM(TEXTSPLIT(O115,","))&amp;",",","&amp;SUBSTITUTE(input_affiliations," ","")&amp;",")))=COUNTA(TEXTSPLIT(O115,",")))),IF(Q115="",TRUE,IF(input_affiliations="",TRUE,SUMPRODUCT(--ISNUMBER(SEARCH(","&amp;TRIM(TEXTSPLIT(Q115,","))&amp;",",","&amp;SUBSTITUTE(input_affiliations," ","")&amp;",")))=0)),IF(S115="",TRUE,IF(input_affiliations="",FALSE,SUMPRODUCT(--ISNUMBER(SEARCH(","&amp;TRIM(TEXTSPLIT(S115,","))&amp;",",","&amp;SUBSTITUTE(input_affiliations," ","")&amp;",")))&gt;0)),IF(U115="",TRUE,IF(input_affiliations="",FALSE,SUMPRODUCT(--ISNUMBER(SEARCH(","&amp;TRIM(TEXTSPLIT(U115,","))&amp;",",","&amp;SUBSTITUTE(input_affiliations," ","")&amp;",")))=COUNTA(TEXTSPLIT(U115,",")))))</f>
        <v/>
      </c>
      <c r="IU115" s="19">
        <f>AND(IF(W115="",TRUE,IF(input_announcement_category="",FALSE,SUMPRODUCT(--ISNUMBER(SEARCH(","&amp;TRIM(TEXTSPLIT(W115,","))&amp;",",","&amp;SUBSTITUTE(input_announcement_category," ","")&amp;",")))&gt;0)),IF(Y115="",TRUE,IF(input_announcement_category="",FALSE,SUMPRODUCT(--ISNUMBER(SEARCH(","&amp;TRIM(TEXTSPLIT(Y115,","))&amp;",",","&amp;SUBSTITUTE(input_announcement_category," ","")&amp;",")))=COUNTA(TEXTSPLIT(Y115,",")))),IF(AA115="",TRUE,IF(input_announcement_category="",TRUE,SUMPRODUCT(--ISNUMBER(SEARCH(","&amp;TRIM(TEXTSPLIT(AA115,","))&amp;",",","&amp;SUBSTITUTE(input_announcement_category," ","")&amp;",")))=0)),IF(AC115="",TRUE,IF(input_announcement_category="",FALSE,SUMPRODUCT(--ISNUMBER(SEARCH(","&amp;TRIM(TEXTSPLIT(AC115,","))&amp;",",","&amp;SUBSTITUTE(input_announcement_category," ","")&amp;",")))&gt;0)),IF(AE115="",TRUE,IF(input_announcement_category="",FALSE,SUMPRODUCT(--ISNUMBER(SEARCH(","&amp;TRIM(TEXTSPLIT(AE115,","))&amp;",",","&amp;SUBSTITUTE(input_announcement_category," ","")&amp;",")))=COUNTA(TEXTSPLIT(AE115,",")))))</f>
        <v/>
      </c>
      <c r="IV115" s="19">
        <f>AND(IF(AG115="",TRUE,IF(input_area_of_focus="",FALSE,SUMPRODUCT(--ISNUMBER(SEARCH(","&amp;TRIM(TEXTSPLIT(AG115,","))&amp;",",","&amp;SUBSTITUTE(input_area_of_focus," ","")&amp;",")))&gt;0)),IF(AI115="",TRUE,IF(input_area_of_focus="",FALSE,SUMPRODUCT(--ISNUMBER(SEARCH(","&amp;TRIM(TEXTSPLIT(AI115,","))&amp;",",","&amp;SUBSTITUTE(input_area_of_focus," ","")&amp;",")))=COUNTA(TEXTSPLIT(AI115,",")))),IF(AK115="",TRUE,IF(input_area_of_focus="",TRUE,SUMPRODUCT(--ISNUMBER(SEARCH(","&amp;TRIM(TEXTSPLIT(AK115,","))&amp;",",","&amp;SUBSTITUTE(input_area_of_focus," ","")&amp;",")))=0)),IF(AM115="",TRUE,IF(input_area_of_focus="",FALSE,SUMPRODUCT(--ISNUMBER(SEARCH(","&amp;TRIM(TEXTSPLIT(AM115,","))&amp;",",","&amp;SUBSTITUTE(input_area_of_focus," ","")&amp;",")))&gt;0)),IF(AO115="",TRUE,IF(input_area_of_focus="",FALSE,SUMPRODUCT(--ISNUMBER(SEARCH(","&amp;TRIM(TEXTSPLIT(AO115,","))&amp;",",","&amp;SUBSTITUTE(input_area_of_focus," ","")&amp;",")))=COUNTA(TEXTSPLIT(AO115,",")))))</f>
        <v/>
      </c>
      <c r="IW115" s="19">
        <f>AND(IF(AQ115="",TRUE,IF(input_audience="",FALSE,SUMPRODUCT(--ISNUMBER(SEARCH(","&amp;TRIM(TEXTSPLIT(AQ115,","))&amp;",",","&amp;SUBSTITUTE(input_audience," ","")&amp;",")))&gt;0)),IF(AS115="",TRUE,IF(input_audience="",FALSE,SUMPRODUCT(--ISNUMBER(SEARCH(","&amp;TRIM(TEXTSPLIT(AS115,","))&amp;",",","&amp;SUBSTITUTE(input_audience," ","")&amp;",")))=COUNTA(TEXTSPLIT(AS115,",")))),IF(AU115="",TRUE,IF(input_audience="",TRUE,SUMPRODUCT(--ISNUMBER(SEARCH(","&amp;TRIM(TEXTSPLIT(AU115,","))&amp;",",","&amp;SUBSTITUTE(input_audience," ","")&amp;",")))=0)),IF(AW115="",TRUE,IF(input_audience="",FALSE,SUMPRODUCT(--ISNUMBER(SEARCH(","&amp;TRIM(TEXTSPLIT(AW115,","))&amp;",",","&amp;SUBSTITUTE(input_audience," ","")&amp;",")))&gt;0)),IF(AY115="",TRUE,IF(input_audience="",FALSE,SUMPRODUCT(--ISNUMBER(SEARCH(","&amp;TRIM(TEXTSPLIT(AY115,","))&amp;",",","&amp;SUBSTITUTE(input_audience," ","")&amp;",")))=COUNTA(TEXTSPLIT(AY115,",")))))</f>
        <v/>
      </c>
      <c r="IX115" s="19">
        <f>AND(IF(BA115="",TRUE,IF(input_challenge_opportunities="",FALSE,SUMPRODUCT(--ISNUMBER(SEARCH(","&amp;TRIM(TEXTSPLIT(BA115,","))&amp;",",","&amp;SUBSTITUTE(input_challenge_opportunities," ","")&amp;",")))&gt;0)),IF(BC115="",TRUE,IF(input_challenge_opportunities="",FALSE,SUMPRODUCT(--ISNUMBER(SEARCH(","&amp;TRIM(TEXTSPLIT(BC115,","))&amp;",",","&amp;SUBSTITUTE(input_challenge_opportunities," ","")&amp;",")))=COUNTA(TEXTSPLIT(BC115,",")))),IF(BE115="",TRUE,IF(input_challenge_opportunities="",TRUE,SUMPRODUCT(--ISNUMBER(SEARCH(","&amp;TRIM(TEXTSPLIT(BE115,","))&amp;",",","&amp;SUBSTITUTE(input_challenge_opportunities," ","")&amp;",")))=0)),IF(BG115="",TRUE,IF(input_challenge_opportunities="",FALSE,SUMPRODUCT(--ISNUMBER(SEARCH(","&amp;TRIM(TEXTSPLIT(BG115,","))&amp;",",","&amp;SUBSTITUTE(input_challenge_opportunities," ","")&amp;",")))&gt;0)),IF(BI115="",TRUE,IF(input_challenge_opportunities="",FALSE,SUMPRODUCT(--ISNUMBER(SEARCH(","&amp;TRIM(TEXTSPLIT(BI115,","))&amp;",",","&amp;SUBSTITUTE(input_challenge_opportunities," ","")&amp;",")))=COUNTA(TEXTSPLIT(BI115,",")))))</f>
        <v/>
      </c>
      <c r="IY115" s="19">
        <f>AND(IF(BK115="",TRUE,IF(input_context="",FALSE,SUMPRODUCT(--ISNUMBER(SEARCH(","&amp;TRIM(TEXTSPLIT(BK115,","))&amp;",",","&amp;SUBSTITUTE(input_context," ","")&amp;",")))&gt;0)),IF(BM115="",TRUE,IF(input_context="",FALSE,SUMPRODUCT(--ISNUMBER(SEARCH(","&amp;TRIM(TEXTSPLIT(BM115,","))&amp;",",","&amp;SUBSTITUTE(input_context," ","")&amp;",")))=COUNTA(TEXTSPLIT(BM115,",")))),IF(BO115="",TRUE,IF(input_context="",TRUE,SUMPRODUCT(--ISNUMBER(SEARCH(","&amp;TRIM(TEXTSPLIT(BO115,","))&amp;",",","&amp;SUBSTITUTE(input_context," ","")&amp;",")))=0)),IF(BQ115="",TRUE,IF(input_context="",FALSE,SUMPRODUCT(--ISNUMBER(SEARCH(","&amp;TRIM(TEXTSPLIT(BQ115,","))&amp;",",","&amp;SUBSTITUTE(input_context," ","")&amp;",")))&gt;0)),IF(BS115="",TRUE,IF(input_context="",FALSE,SUMPRODUCT(--ISNUMBER(SEARCH(","&amp;TRIM(TEXTSPLIT(BS115,","))&amp;",",","&amp;SUBSTITUTE(input_context," ","")&amp;",")))=COUNTA(TEXTSPLIT(BS115,",")))))</f>
        <v/>
      </c>
      <c r="IZ115" s="19">
        <f>AND(IF(BU115="",TRUE,IF(input_enews_announcement_type="",FALSE,SUMPRODUCT(--ISNUMBER(SEARCH(","&amp;TRIM(TEXTSPLIT(BU115,","))&amp;",",","&amp;SUBSTITUTE(input_enews_announcement_type," ","")&amp;",")))&gt;0)),IF(BW115="",TRUE,IF(input_enews_announcement_type="",FALSE,SUMPRODUCT(--ISNUMBER(SEARCH(","&amp;TRIM(TEXTSPLIT(BW115,","))&amp;",",","&amp;SUBSTITUTE(input_enews_announcement_type," ","")&amp;",")))=COUNTA(TEXTSPLIT(BW115,",")))),IF(BY115="",TRUE,IF(input_enews_announcement_type="",TRUE,SUMPRODUCT(--ISNUMBER(SEARCH(","&amp;TRIM(TEXTSPLIT(BY115,","))&amp;",",","&amp;SUBSTITUTE(input_enews_announcement_type," ","")&amp;",")))=0)),IF(CA115="",TRUE,IF(input_enews_announcement_type="",FALSE,SUMPRODUCT(--ISNUMBER(SEARCH(","&amp;TRIM(TEXTSPLIT(CA115,","))&amp;",",","&amp;SUBSTITUTE(input_enews_announcement_type," ","")&amp;",")))&gt;0)),IF(CC115="",TRUE,IF(input_enews_announcement_type="",FALSE,SUMPRODUCT(--ISNUMBER(SEARCH(","&amp;TRIM(TEXTSPLIT(CC115,","))&amp;",",","&amp;SUBSTITUTE(input_enews_announcement_type," ","")&amp;",")))=COUNTA(TEXTSPLIT(CC115,",")))))</f>
        <v/>
      </c>
      <c r="JA115" s="19">
        <f>AND(IF(CE115="",TRUE,IF(input_enews_audience="",FALSE,SUMPRODUCT(--ISNUMBER(SEARCH(","&amp;TRIM(TEXTSPLIT(CE115,","))&amp;",",","&amp;SUBSTITUTE(input_enews_audience," ","")&amp;",")))&gt;0)),IF(CG115="",TRUE,IF(input_enews_audience="",FALSE,SUMPRODUCT(--ISNUMBER(SEARCH(","&amp;TRIM(TEXTSPLIT(CG115,","))&amp;",",","&amp;SUBSTITUTE(input_enews_audience," ","")&amp;",")))=COUNTA(TEXTSPLIT(CG115,",")))),IF(CI115="",TRUE,IF(input_enews_audience="",TRUE,SUMPRODUCT(--ISNUMBER(SEARCH(","&amp;TRIM(TEXTSPLIT(CI115,","))&amp;",",","&amp;SUBSTITUTE(input_enews_audience," ","")&amp;",")))=0)),IF(CK115="",TRUE,IF(input_enews_audience="",FALSE,SUMPRODUCT(--ISNUMBER(SEARCH(","&amp;TRIM(TEXTSPLIT(CK115,","))&amp;",",","&amp;SUBSTITUTE(input_enews_audience," ","")&amp;",")))&gt;0)),IF(CM115="",TRUE,IF(input_enews_audience="",FALSE,SUMPRODUCT(--ISNUMBER(SEARCH(","&amp;TRIM(TEXTSPLIT(CM115,","))&amp;",",","&amp;SUBSTITUTE(input_enews_audience," ","")&amp;",")))=COUNTA(TEXTSPLIT(CM115,",")))))</f>
        <v/>
      </c>
      <c r="JB115" s="19">
        <f>AND(IF(CO115="",TRUE,IF(input_event_location="",FALSE,SUMPRODUCT(--ISNUMBER(SEARCH(","&amp;TRIM(TEXTSPLIT(CO115,","))&amp;",",","&amp;SUBSTITUTE(input_event_location," ","")&amp;",")))&gt;0)),IF(CQ115="",TRUE,IF(input_event_location="",FALSE,SUMPRODUCT(--ISNUMBER(SEARCH(","&amp;TRIM(TEXTSPLIT(CQ115,","))&amp;",",","&amp;SUBSTITUTE(input_event_location," ","")&amp;",")))=COUNTA(TEXTSPLIT(CQ115,",")))),IF(CS115="",TRUE,IF(input_event_location="",TRUE,SUMPRODUCT(--ISNUMBER(SEARCH(","&amp;TRIM(TEXTSPLIT(CS115,","))&amp;",",","&amp;SUBSTITUTE(input_event_location," ","")&amp;",")))=0)),IF(CU115="",TRUE,IF(input_event_location="",FALSE,SUMPRODUCT(--ISNUMBER(SEARCH(","&amp;TRIM(TEXTSPLIT(CU115,","))&amp;",",","&amp;SUBSTITUTE(input_event_location," ","")&amp;",")))&gt;0)),IF(CW115="",TRUE,IF(input_event_location="",FALSE,SUMPRODUCT(--ISNUMBER(SEARCH(","&amp;TRIM(TEXTSPLIT(CW115,","))&amp;",",","&amp;SUBSTITUTE(input_event_location," ","")&amp;",")))=COUNTA(TEXTSPLIT(CW115,",")))))</f>
        <v/>
      </c>
      <c r="JC115" s="19">
        <f>AND(IF(CY115="",TRUE,IF(input_event_type="",FALSE,SUMPRODUCT(--ISNUMBER(SEARCH(","&amp;TRIM(TEXTSPLIT(CY115,","))&amp;",",","&amp;SUBSTITUTE(input_event_type," ","")&amp;",")))&gt;0)),IF(DA115="",TRUE,IF(input_event_type="",FALSE,SUMPRODUCT(--ISNUMBER(SEARCH(","&amp;TRIM(TEXTSPLIT(DA115,","))&amp;",",","&amp;SUBSTITUTE(input_event_type," ","")&amp;",")))=COUNTA(TEXTSPLIT(DA115,",")))),IF(DC115="",TRUE,IF(input_event_type="",TRUE,SUMPRODUCT(--ISNUMBER(SEARCH(","&amp;TRIM(TEXTSPLIT(DC115,","))&amp;",",","&amp;SUBSTITUTE(input_event_type," ","")&amp;",")))=0)),IF(DE115="",TRUE,IF(input_event_type="",FALSE,SUMPRODUCT(--ISNUMBER(SEARCH(","&amp;TRIM(TEXTSPLIT(DE115,","))&amp;",",","&amp;SUBSTITUTE(input_event_type," ","")&amp;",")))&gt;0)),IF(DG115="",TRUE,IF(input_event_type="",FALSE,SUMPRODUCT(--ISNUMBER(SEARCH(","&amp;TRIM(TEXTSPLIT(DG115,","))&amp;",",","&amp;SUBSTITUTE(input_event_type," ","")&amp;",")))=COUNTA(TEXTSPLIT(DG115,",")))))</f>
        <v/>
      </c>
      <c r="JD115" s="19">
        <f>AND(IF(DI115="",TRUE,IF(input_executive_education_focus="",FALSE,SUMPRODUCT(--ISNUMBER(SEARCH(","&amp;TRIM(TEXTSPLIT(DI115,","))&amp;",",","&amp;SUBSTITUTE(input_executive_education_focus," ","")&amp;",")))&gt;0)),IF(DK115="",TRUE,IF(input_executive_education_focus="",FALSE,SUMPRODUCT(--ISNUMBER(SEARCH(","&amp;TRIM(TEXTSPLIT(DK115,","))&amp;",",","&amp;SUBSTITUTE(input_executive_education_focus," ","")&amp;",")))=COUNTA(TEXTSPLIT(DK115,",")))),IF(DM115="",TRUE,IF(input_executive_education_focus="",TRUE,SUMPRODUCT(--ISNUMBER(SEARCH(","&amp;TRIM(TEXTSPLIT(DM115,","))&amp;",",","&amp;SUBSTITUTE(input_executive_education_focus," ","")&amp;",")))=0)),IF(DO115="",TRUE,IF(input_executive_education_focus="",FALSE,SUMPRODUCT(--ISNUMBER(SEARCH(","&amp;TRIM(TEXTSPLIT(DO115,","))&amp;",",","&amp;SUBSTITUTE(input_executive_education_focus," ","")&amp;",")))&gt;0)),IF(DQ115="",TRUE,IF(input_executive_education_focus="",FALSE,SUMPRODUCT(--ISNUMBER(SEARCH(","&amp;TRIM(TEXTSPLIT(DQ115,","))&amp;",",","&amp;SUBSTITUTE(input_executive_education_focus," ","")&amp;",")))=COUNTA(TEXTSPLIT(DQ115,",")))))</f>
        <v/>
      </c>
      <c r="JE115" s="19">
        <f>AND(IF(DS115="",TRUE,IF(input_faculty_category="",FALSE,SUMPRODUCT(--ISNUMBER(SEARCH(","&amp;TRIM(TEXTSPLIT(DS115,","))&amp;",",","&amp;SUBSTITUTE(input_faculty_category," ","")&amp;",")))&gt;0)),IF(DU115="",TRUE,IF(input_faculty_category="",FALSE,SUMPRODUCT(--ISNUMBER(SEARCH(","&amp;TRIM(TEXTSPLIT(DU115,","))&amp;",",","&amp;SUBSTITUTE(input_faculty_category," ","")&amp;",")))=COUNTA(TEXTSPLIT(DU115,",")))),IF(DW115="",TRUE,IF(input_faculty_category="",TRUE,SUMPRODUCT(--ISNUMBER(SEARCH(","&amp;TRIM(TEXTSPLIT(DW115,","))&amp;",",","&amp;SUBSTITUTE(input_faculty_category," ","")&amp;",")))=0)),IF(DY115="",TRUE,IF(input_faculty_category="",FALSE,SUMPRODUCT(--ISNUMBER(SEARCH(","&amp;TRIM(TEXTSPLIT(DY115,","))&amp;",",","&amp;SUBSTITUTE(input_faculty_category," ","")&amp;",")))&gt;0)),IF(EA115="",TRUE,IF(input_faculty_category="",FALSE,SUMPRODUCT(--ISNUMBER(SEARCH(","&amp;TRIM(TEXTSPLIT(EA115,","))&amp;",",","&amp;SUBSTITUTE(input_faculty_category," ","")&amp;",")))=COUNTA(TEXTSPLIT(EA115,",")))))</f>
        <v/>
      </c>
      <c r="JF115" s="19">
        <f>AND(IF(EC115="",TRUE,IF(input_faculty_discipline="",FALSE,SUMPRODUCT(--ISNUMBER(SEARCH(","&amp;TRIM(TEXTSPLIT(EC115,","))&amp;",",","&amp;SUBSTITUTE(input_faculty_discipline," ","")&amp;",")))&gt;0)),IF(EE115="",TRUE,IF(input_faculty_discipline="",FALSE,SUMPRODUCT(--ISNUMBER(SEARCH(","&amp;TRIM(TEXTSPLIT(EE115,","))&amp;",",","&amp;SUBSTITUTE(input_faculty_discipline," ","")&amp;",")))=COUNTA(TEXTSPLIT(EE115,",")))),IF(EG115="",TRUE,IF(input_faculty_discipline="",TRUE,SUMPRODUCT(--ISNUMBER(SEARCH(","&amp;TRIM(TEXTSPLIT(EG115,","))&amp;",",","&amp;SUBSTITUTE(input_faculty_discipline," ","")&amp;",")))=0)),IF(EI115="",TRUE,IF(input_faculty_discipline="",FALSE,SUMPRODUCT(--ISNUMBER(SEARCH(","&amp;TRIM(TEXTSPLIT(EI115,","))&amp;",",","&amp;SUBSTITUTE(input_faculty_discipline," ","")&amp;",")))&gt;0)),IF(EK115="",TRUE,IF(input_faculty_discipline="",FALSE,SUMPRODUCT(--ISNUMBER(SEARCH(","&amp;TRIM(TEXTSPLIT(EK115,","))&amp;",",","&amp;SUBSTITUTE(input_faculty_discipline," ","")&amp;",")))=COUNTA(TEXTSPLIT(EK115,",")))))</f>
        <v/>
      </c>
      <c r="JG115" s="19">
        <f>AND(IF(EM115="",TRUE,IF(input_faculty_expertise="",FALSE,SUMPRODUCT(--ISNUMBER(SEARCH(","&amp;TRIM(TEXTSPLIT(EM115,","))&amp;",",","&amp;SUBSTITUTE(input_faculty_expertise," ","")&amp;",")))&gt;0)),IF(EO115="",TRUE,IF(input_faculty_expertise="",FALSE,SUMPRODUCT(--ISNUMBER(SEARCH(","&amp;TRIM(TEXTSPLIT(EO115,","))&amp;",",","&amp;SUBSTITUTE(input_faculty_expertise," ","")&amp;",")))=COUNTA(TEXTSPLIT(EO115,",")))),IF(EQ115="",TRUE,IF(input_faculty_expertise="",TRUE,SUMPRODUCT(--ISNUMBER(SEARCH(","&amp;TRIM(TEXTSPLIT(EQ115,","))&amp;",",","&amp;SUBSTITUTE(input_faculty_expertise," ","")&amp;",")))=0)),IF(ES115="",TRUE,IF(input_faculty_expertise="",FALSE,SUMPRODUCT(--ISNUMBER(SEARCH(","&amp;TRIM(TEXTSPLIT(ES115,","))&amp;",",","&amp;SUBSTITUTE(input_faculty_expertise," ","")&amp;",")))&gt;0)),IF(EU115="",TRUE,IF(input_faculty_expertise="",FALSE,SUMPRODUCT(--ISNUMBER(SEARCH(","&amp;TRIM(TEXTSPLIT(EU115,","))&amp;",",","&amp;SUBSTITUTE(input_faculty_expertise," ","")&amp;",")))=COUNTA(TEXTSPLIT(EU115,",")))))</f>
        <v/>
      </c>
      <c r="JH115" s="19">
        <f>AND(IF(EW115="",TRUE,IF(input_global_network_school="",FALSE,SUMPRODUCT(--ISNUMBER(SEARCH(","&amp;TRIM(TEXTSPLIT(EW115,","))&amp;",",","&amp;SUBSTITUTE(input_global_network_school," ","")&amp;",")))&gt;0)),IF(EY115="",TRUE,IF(input_global_network_school="",FALSE,SUMPRODUCT(--ISNUMBER(SEARCH(","&amp;TRIM(TEXTSPLIT(EY115,","))&amp;",",","&amp;SUBSTITUTE(input_global_network_school," ","")&amp;",")))=COUNTA(TEXTSPLIT(EY115,",")))),IF(FA115="",TRUE,IF(input_global_network_school="",TRUE,SUMPRODUCT(--ISNUMBER(SEARCH(","&amp;TRIM(TEXTSPLIT(FA115,","))&amp;",",","&amp;SUBSTITUTE(input_global_network_school," ","")&amp;",")))=0)),IF(FC115="",TRUE,IF(input_global_network_school="",FALSE,SUMPRODUCT(--ISNUMBER(SEARCH(","&amp;TRIM(TEXTSPLIT(FC115,","))&amp;",",","&amp;SUBSTITUTE(input_global_network_school," ","")&amp;",")))&gt;0)),IF(FE115="",TRUE,IF(input_global_network_school="",FALSE,SUMPRODUCT(--ISNUMBER(SEARCH(","&amp;TRIM(TEXTSPLIT(FE115,","))&amp;",",","&amp;SUBSTITUTE(input_global_network_school," ","")&amp;",")))=COUNTA(TEXTSPLIT(FE115,",")))))</f>
        <v/>
      </c>
      <c r="JI115" s="19">
        <f>AND(IF(FG115="",TRUE,IF(input_industry="",FALSE,SUMPRODUCT(--ISNUMBER(SEARCH(","&amp;TRIM(TEXTSPLIT(FG115,","))&amp;",",","&amp;SUBSTITUTE(input_industry," ","")&amp;",")))&gt;0)),IF(FI115="",TRUE,IF(input_industry="",FALSE,SUMPRODUCT(--ISNUMBER(SEARCH(","&amp;TRIM(TEXTSPLIT(FI115,","))&amp;",",","&amp;SUBSTITUTE(input_industry," ","")&amp;",")))=COUNTA(TEXTSPLIT(FI115,",")))),IF(FK115="",TRUE,IF(input_industry="",TRUE,SUMPRODUCT(--ISNUMBER(SEARCH(","&amp;TRIM(TEXTSPLIT(FK115,","))&amp;",",","&amp;SUBSTITUTE(input_industry," ","")&amp;",")))=0)),IF(FM115="",TRUE,IF(input_industry="",FALSE,SUMPRODUCT(--ISNUMBER(SEARCH(","&amp;TRIM(TEXTSPLIT(FM115,","))&amp;",",","&amp;SUBSTITUTE(input_industry," ","")&amp;",")))&gt;0)),IF(FO115="",TRUE,IF(input_industry="",FALSE,SUMPRODUCT(--ISNUMBER(SEARCH(","&amp;TRIM(TEXTSPLIT(FO115,","))&amp;",",","&amp;SUBSTITUTE(input_industry," ","")&amp;",")))=COUNTA(TEXTSPLIT(FO115,",")))))</f>
        <v/>
      </c>
      <c r="JJ115" s="19">
        <f>AND(IF(FQ115="",TRUE,IF(input_location="",FALSE,SUMPRODUCT(--ISNUMBER(SEARCH(","&amp;TRIM(TEXTSPLIT(FQ115,","))&amp;",",","&amp;SUBSTITUTE(input_location," ","")&amp;",")))&gt;0)),IF(FS115="",TRUE,IF(input_location="",FALSE,SUMPRODUCT(--ISNUMBER(SEARCH(","&amp;TRIM(TEXTSPLIT(FS115,","))&amp;",",","&amp;SUBSTITUTE(input_location," ","")&amp;",")))=COUNTA(TEXTSPLIT(FS115,",")))),IF(FU115="",TRUE,IF(input_location="",TRUE,SUMPRODUCT(--ISNUMBER(SEARCH(","&amp;TRIM(TEXTSPLIT(FU115,","))&amp;",",","&amp;SUBSTITUTE(input_location," ","")&amp;",")))=0)),IF(FW115="",TRUE,IF(input_location="",FALSE,SUMPRODUCT(--ISNUMBER(SEARCH(","&amp;TRIM(TEXTSPLIT(FW115,","))&amp;",",","&amp;SUBSTITUTE(input_location," ","")&amp;",")))&gt;0)),IF(FY115="",TRUE,IF(input_location="",FALSE,SUMPRODUCT(--ISNUMBER(SEARCH(","&amp;TRIM(TEXTSPLIT(FY115,","))&amp;",",","&amp;SUBSTITUTE(input_location," ","")&amp;",")))=COUNTA(TEXTSPLIT(FY115,",")))))</f>
        <v/>
      </c>
      <c r="JK115" s="19">
        <f>AND(IF(GA115="",TRUE,IF(input_modality="",FALSE,SUMPRODUCT(--ISNUMBER(SEARCH(","&amp;TRIM(TEXTSPLIT(GA115,","))&amp;",",","&amp;SUBSTITUTE(input_modality," ","")&amp;",")))&gt;0)),IF(GC115="",TRUE,IF(input_modality="",FALSE,SUMPRODUCT(--ISNUMBER(SEARCH(","&amp;TRIM(TEXTSPLIT(GC115,","))&amp;",",","&amp;SUBSTITUTE(input_modality," ","")&amp;",")))=COUNTA(TEXTSPLIT(GC115,",")))),IF(GE115="",TRUE,IF(input_modality="",TRUE,SUMPRODUCT(--ISNUMBER(SEARCH(","&amp;TRIM(TEXTSPLIT(GE115,","))&amp;",",","&amp;SUBSTITUTE(input_modality," ","")&amp;",")))=0)),IF(GG115="",TRUE,IF(input_modality="",FALSE,SUMPRODUCT(--ISNUMBER(SEARCH(","&amp;TRIM(TEXTSPLIT(GG115,","))&amp;",",","&amp;SUBSTITUTE(input_modality," ","")&amp;",")))&gt;0)),IF(GI115="",TRUE,IF(input_modality="",FALSE,SUMPRODUCT(--ISNUMBER(SEARCH(","&amp;TRIM(TEXTSPLIT(GI115,","))&amp;",",","&amp;SUBSTITUTE(input_modality," ","")&amp;",")))=COUNTA(TEXTSPLIT(GI115,",")))))</f>
        <v/>
      </c>
      <c r="JL115" s="19">
        <f>AND(IF(GK115="",TRUE,IF(input_organizer="",FALSE,SUMPRODUCT(--ISNUMBER(SEARCH(","&amp;TRIM(TEXTSPLIT(GK115,","))&amp;",",","&amp;SUBSTITUTE(input_organizer," ","")&amp;",")))&gt;0)),IF(GM115="",TRUE,IF(input_organizer="",FALSE,SUMPRODUCT(--ISNUMBER(SEARCH(","&amp;TRIM(TEXTSPLIT(GM115,","))&amp;",",","&amp;SUBSTITUTE(input_organizer," ","")&amp;",")))=COUNTA(TEXTSPLIT(GM115,",")))),IF(GO115="",TRUE,IF(input_organizer="",TRUE,SUMPRODUCT(--ISNUMBER(SEARCH(","&amp;TRIM(TEXTSPLIT(GO115,","))&amp;",",","&amp;SUBSTITUTE(input_organizer," ","")&amp;",")))=0)),IF(GQ115="",TRUE,IF(input_organizer="",FALSE,SUMPRODUCT(--ISNUMBER(SEARCH(","&amp;TRIM(TEXTSPLIT(GQ115,","))&amp;",",","&amp;SUBSTITUTE(input_organizer," ","")&amp;",")))&gt;0)),IF(GS115="",TRUE,IF(input_organizer="",FALSE,SUMPRODUCT(--ISNUMBER(SEARCH(","&amp;TRIM(TEXTSPLIT(GS115,","))&amp;",",","&amp;SUBSTITUTE(input_organizer," ","")&amp;",")))=COUNTA(TEXTSPLIT(GS115,",")))))</f>
        <v/>
      </c>
      <c r="JM115" s="19">
        <f>AND(IF(GU115="",TRUE,IF(input_profile_type="",FALSE,SUMPRODUCT(--ISNUMBER(SEARCH(","&amp;TRIM(TEXTSPLIT(GU115,","))&amp;",",","&amp;SUBSTITUTE(input_profile_type," ","")&amp;",")))&gt;0)),IF(GW115="",TRUE,IF(input_profile_type="",FALSE,SUMPRODUCT(--ISNUMBER(SEARCH(","&amp;TRIM(TEXTSPLIT(GW115,","))&amp;",",","&amp;SUBSTITUTE(input_profile_type," ","")&amp;",")))=COUNTA(TEXTSPLIT(GW115,",")))),IF(GY115="",TRUE,IF(input_profile_type="",TRUE,SUMPRODUCT(--ISNUMBER(SEARCH(","&amp;TRIM(TEXTSPLIT(GY115,","))&amp;",",","&amp;SUBSTITUTE(input_profile_type," ","")&amp;",")))=0)),IF(HA115="",TRUE,IF(input_profile_type="",FALSE,SUMPRODUCT(--ISNUMBER(SEARCH(","&amp;TRIM(TEXTSPLIT(HA115,","))&amp;",",","&amp;SUBSTITUTE(input_profile_type," ","")&amp;",")))&gt;0)),IF(HC115="",TRUE,IF(input_profile_type="",FALSE,SUMPRODUCT(--ISNUMBER(SEARCH(","&amp;TRIM(TEXTSPLIT(HC115,","))&amp;",",","&amp;SUBSTITUTE(input_profile_type," ","")&amp;",")))=COUNTA(TEXTSPLIT(HC115,",")))))</f>
        <v/>
      </c>
      <c r="JN115" s="19">
        <f>AND(IF(HE115="",TRUE,IF(input_program="",FALSE,SUMPRODUCT(--ISNUMBER(SEARCH(","&amp;TRIM(TEXTSPLIT(HE115,","))&amp;",",","&amp;SUBSTITUTE(input_program," ","")&amp;",")))&gt;0)),IF(HG115="",TRUE,IF(input_program="",FALSE,SUMPRODUCT(--ISNUMBER(SEARCH(","&amp;TRIM(TEXTSPLIT(HG115,","))&amp;",",","&amp;SUBSTITUTE(input_program," ","")&amp;",")))=COUNTA(TEXTSPLIT(HG115,",")))),IF(HI115="",TRUE,IF(input_program="",TRUE,SUMPRODUCT(--ISNUMBER(SEARCH(","&amp;TRIM(TEXTSPLIT(HI115,","))&amp;",",","&amp;SUBSTITUTE(input_program," ","")&amp;",")))=0)),IF(HK115="",TRUE,IF(input_program="",FALSE,SUMPRODUCT(--ISNUMBER(SEARCH(","&amp;TRIM(TEXTSPLIT(HK115,","))&amp;",",","&amp;SUBSTITUTE(input_program," ","")&amp;",")))&gt;0)),IF(HM115="",TRUE,IF(input_program="",FALSE,SUMPRODUCT(--ISNUMBER(SEARCH(","&amp;TRIM(TEXTSPLIT(HM115,","))&amp;",",","&amp;SUBSTITUTE(input_program," ","")&amp;",")))=COUNTA(TEXTSPLIT(HM115,",")))))</f>
        <v/>
      </c>
      <c r="JO115" s="19">
        <f>AND(IF(HO115="",TRUE,IF(input_story_categories="",FALSE,SUMPRODUCT(--ISNUMBER(SEARCH(","&amp;TRIM(TEXTSPLIT(HO115,","))&amp;",",","&amp;SUBSTITUTE(input_story_categories," ","")&amp;",")))&gt;0)),IF(HQ115="",TRUE,IF(input_story_categories="",FALSE,SUMPRODUCT(--ISNUMBER(SEARCH(","&amp;TRIM(TEXTSPLIT(HQ115,","))&amp;",",","&amp;SUBSTITUTE(input_story_categories," ","")&amp;",")))=COUNTA(TEXTSPLIT(HQ115,",")))),IF(HS115="",TRUE,IF(input_story_categories="",TRUE,SUMPRODUCT(--ISNUMBER(SEARCH(","&amp;TRIM(TEXTSPLIT(HS115,","))&amp;",",","&amp;SUBSTITUTE(input_story_categories," ","")&amp;",")))=0)),IF(HU115="",TRUE,IF(input_story_categories="",FALSE,SUMPRODUCT(--ISNUMBER(SEARCH(","&amp;TRIM(TEXTSPLIT(HU115,","))&amp;",",","&amp;SUBSTITUTE(input_story_categories," ","")&amp;",")))&gt;0)),IF(HW115="",TRUE,IF(input_story_categories="",FALSE,SUMPRODUCT(--ISNUMBER(SEARCH(","&amp;TRIM(TEXTSPLIT(HW115,","))&amp;",",","&amp;SUBSTITUTE(input_story_categories," ","")&amp;",")))=COUNTA(TEXTSPLIT(HW115,",")))))</f>
        <v/>
      </c>
      <c r="JP115" s="19">
        <f>AND(IF(HY115="",TRUE,IF(input_story_type="",FALSE,SUMPRODUCT(--ISNUMBER(SEARCH(","&amp;TRIM(TEXTSPLIT(HY115,","))&amp;",",","&amp;SUBSTITUTE(input_story_type," ","")&amp;",")))&gt;0)),IF(IA115="",TRUE,IF(input_story_type="",FALSE,SUMPRODUCT(--ISNUMBER(SEARCH(","&amp;TRIM(TEXTSPLIT(IA115,","))&amp;",",","&amp;SUBSTITUTE(input_story_type," ","")&amp;",")))=COUNTA(TEXTSPLIT(IA115,",")))),IF(IC115="",TRUE,IF(input_story_type="",TRUE,SUMPRODUCT(--ISNUMBER(SEARCH(","&amp;TRIM(TEXTSPLIT(IC115,","))&amp;",",","&amp;SUBSTITUTE(input_story_type," ","")&amp;",")))=0)),IF(IE115="",TRUE,IF(input_story_type="",FALSE,SUMPRODUCT(--ISNUMBER(SEARCH(","&amp;TRIM(TEXTSPLIT(IE115,","))&amp;",",","&amp;SUBSTITUTE(input_story_type," ","")&amp;",")))&gt;0)),IF(IG115="",TRUE,IF(input_story_type="",FALSE,SUMPRODUCT(--ISNUMBER(SEARCH(","&amp;TRIM(TEXTSPLIT(IG115,","))&amp;",",","&amp;SUBSTITUTE(input_story_type," ","")&amp;",")))=COUNTA(TEXTSPLIT(IG115,",")))))</f>
        <v/>
      </c>
      <c r="JQ115" s="19">
        <f>AND(IF(II115="",TRUE,IF(input_topics="",FALSE,SUMPRODUCT(--ISNUMBER(SEARCH(","&amp;TRIM(TEXTSPLIT(II115,","))&amp;",",","&amp;SUBSTITUTE(input_topics," ","")&amp;",")))&gt;0)),IF(IK115="",TRUE,IF(input_topics="",FALSE,SUMPRODUCT(--ISNUMBER(SEARCH(","&amp;TRIM(TEXTSPLIT(IK115,","))&amp;",",","&amp;SUBSTITUTE(input_topics," ","")&amp;",")))=COUNTA(TEXTSPLIT(IK115,",")))),IF(IM115="",TRUE,IF(input_topics="",TRUE,SUMPRODUCT(--ISNUMBER(SEARCH(","&amp;TRIM(TEXTSPLIT(IM115,","))&amp;",",","&amp;SUBSTITUTE(input_topics," ","")&amp;",")))=0)),IF(IO115="",TRUE,IF(input_topics="",FALSE,SUMPRODUCT(--ISNUMBER(SEARCH(","&amp;TRIM(TEXTSPLIT(IO115,","))&amp;",",","&amp;SUBSTITUTE(input_topics," ","")&amp;",")))&gt;0)),IF(IQ115="",TRUE,IF(input_topics="",FALSE,SUMPRODUCT(--ISNUMBER(SEARCH(","&amp;TRIM(TEXTSPLIT(IQ115,","))&amp;",",","&amp;SUBSTITUTE(input_topics," ","")&amp;",")))=COUNTA(TEXTSPLIT(IQ115,",")))))</f>
        <v/>
      </c>
    </row>
    <row r="116">
      <c r="A116" s="24">
        <f>IF(NOT(IS116),"Excluded",IF(AND(IT116,IU116,IV116,IW116,IX116,IY116,IZ116,JA116,JB116,JC116,JD116,JE116,JF116,JG116,JH116,JI116,JJ116,JK116,JL116,JM116,JN116,JO116,JP116,JQ116),IF(I116&gt;0,"Eligible but limited","Will appear"),"Excluded"))</f>
        <v/>
      </c>
      <c r="B116" s="24" t="inlineStr">
        <is>
          <t>GBS Admissions Events</t>
        </is>
      </c>
      <c r="C116" s="27" t="inlineStr">
        <is>
          <t>/programs/mms-global-business-and-society/admissions/mms-global-business-and-society-admissions-events</t>
        </is>
      </c>
      <c r="D116" s="24" t="inlineStr">
        <is>
          <t>/programs/mms-global-business-and-society/admissions/mms-global-business-and-society-admissions-events</t>
        </is>
      </c>
      <c r="E116" s="24" t="n">
        <v>1</v>
      </c>
      <c r="F116" s="24" t="inlineStr">
        <is>
          <t>event</t>
        </is>
      </c>
      <c r="G116" s="24" t="inlineStr">
        <is>
          <t>event_list</t>
        </is>
      </c>
      <c r="H116" s="24" t="inlineStr">
        <is>
          <t>embed_event_type_filter</t>
        </is>
      </c>
      <c r="I116" s="24" t="n">
        <v>8</v>
      </c>
      <c r="J116" s="28" t="inlineStr">
        <is>
          <t>Explicit args</t>
        </is>
      </c>
      <c r="K116" s="24" t="inlineStr">
        <is>
          <t>Page placement</t>
        </is>
      </c>
      <c r="L116" s="24" t="inlineStr">
        <is>
          <t>Content type: event; Context uses Courses Context: Master's Degree in Global Business and Society (950); Limited to 8 item(s); Source: Explicit args</t>
        </is>
      </c>
      <c r="BQ116" s="19" t="inlineStr">
        <is>
          <t>950</t>
        </is>
      </c>
      <c r="BR116" s="19" t="inlineStr">
        <is>
          <t>Master's Degree in Global Business and Society (950)</t>
        </is>
      </c>
      <c r="IS116" s="19">
        <f>IF(input_content_type="",FALSE,ISNUMBER(SEARCH(","&amp;LOWER(input_content_type)&amp;",",","&amp;LOWER(SUBSTITUTE(F116," ",""))&amp;",")))</f>
        <v/>
      </c>
      <c r="IT116" s="19">
        <f>AND(IF(M116="",TRUE,IF(input_affiliations="",FALSE,SUMPRODUCT(--ISNUMBER(SEARCH(","&amp;TRIM(TEXTSPLIT(M116,","))&amp;",",","&amp;SUBSTITUTE(input_affiliations," ","")&amp;",")))&gt;0)),IF(O116="",TRUE,IF(input_affiliations="",FALSE,SUMPRODUCT(--ISNUMBER(SEARCH(","&amp;TRIM(TEXTSPLIT(O116,","))&amp;",",","&amp;SUBSTITUTE(input_affiliations," ","")&amp;",")))=COUNTA(TEXTSPLIT(O116,",")))),IF(Q116="",TRUE,IF(input_affiliations="",TRUE,SUMPRODUCT(--ISNUMBER(SEARCH(","&amp;TRIM(TEXTSPLIT(Q116,","))&amp;",",","&amp;SUBSTITUTE(input_affiliations," ","")&amp;",")))=0)),IF(S116="",TRUE,IF(input_affiliations="",FALSE,SUMPRODUCT(--ISNUMBER(SEARCH(","&amp;TRIM(TEXTSPLIT(S116,","))&amp;",",","&amp;SUBSTITUTE(input_affiliations," ","")&amp;",")))&gt;0)),IF(U116="",TRUE,IF(input_affiliations="",FALSE,SUMPRODUCT(--ISNUMBER(SEARCH(","&amp;TRIM(TEXTSPLIT(U116,","))&amp;",",","&amp;SUBSTITUTE(input_affiliations," ","")&amp;",")))=COUNTA(TEXTSPLIT(U116,",")))))</f>
        <v/>
      </c>
      <c r="IU116" s="19">
        <f>AND(IF(W116="",TRUE,IF(input_announcement_category="",FALSE,SUMPRODUCT(--ISNUMBER(SEARCH(","&amp;TRIM(TEXTSPLIT(W116,","))&amp;",",","&amp;SUBSTITUTE(input_announcement_category," ","")&amp;",")))&gt;0)),IF(Y116="",TRUE,IF(input_announcement_category="",FALSE,SUMPRODUCT(--ISNUMBER(SEARCH(","&amp;TRIM(TEXTSPLIT(Y116,","))&amp;",",","&amp;SUBSTITUTE(input_announcement_category," ","")&amp;",")))=COUNTA(TEXTSPLIT(Y116,",")))),IF(AA116="",TRUE,IF(input_announcement_category="",TRUE,SUMPRODUCT(--ISNUMBER(SEARCH(","&amp;TRIM(TEXTSPLIT(AA116,","))&amp;",",","&amp;SUBSTITUTE(input_announcement_category," ","")&amp;",")))=0)),IF(AC116="",TRUE,IF(input_announcement_category="",FALSE,SUMPRODUCT(--ISNUMBER(SEARCH(","&amp;TRIM(TEXTSPLIT(AC116,","))&amp;",",","&amp;SUBSTITUTE(input_announcement_category," ","")&amp;",")))&gt;0)),IF(AE116="",TRUE,IF(input_announcement_category="",FALSE,SUMPRODUCT(--ISNUMBER(SEARCH(","&amp;TRIM(TEXTSPLIT(AE116,","))&amp;",",","&amp;SUBSTITUTE(input_announcement_category," ","")&amp;",")))=COUNTA(TEXTSPLIT(AE116,",")))))</f>
        <v/>
      </c>
      <c r="IV116" s="19">
        <f>AND(IF(AG116="",TRUE,IF(input_area_of_focus="",FALSE,SUMPRODUCT(--ISNUMBER(SEARCH(","&amp;TRIM(TEXTSPLIT(AG116,","))&amp;",",","&amp;SUBSTITUTE(input_area_of_focus," ","")&amp;",")))&gt;0)),IF(AI116="",TRUE,IF(input_area_of_focus="",FALSE,SUMPRODUCT(--ISNUMBER(SEARCH(","&amp;TRIM(TEXTSPLIT(AI116,","))&amp;",",","&amp;SUBSTITUTE(input_area_of_focus," ","")&amp;",")))=COUNTA(TEXTSPLIT(AI116,",")))),IF(AK116="",TRUE,IF(input_area_of_focus="",TRUE,SUMPRODUCT(--ISNUMBER(SEARCH(","&amp;TRIM(TEXTSPLIT(AK116,","))&amp;",",","&amp;SUBSTITUTE(input_area_of_focus," ","")&amp;",")))=0)),IF(AM116="",TRUE,IF(input_area_of_focus="",FALSE,SUMPRODUCT(--ISNUMBER(SEARCH(","&amp;TRIM(TEXTSPLIT(AM116,","))&amp;",",","&amp;SUBSTITUTE(input_area_of_focus," ","")&amp;",")))&gt;0)),IF(AO116="",TRUE,IF(input_area_of_focus="",FALSE,SUMPRODUCT(--ISNUMBER(SEARCH(","&amp;TRIM(TEXTSPLIT(AO116,","))&amp;",",","&amp;SUBSTITUTE(input_area_of_focus," ","")&amp;",")))=COUNTA(TEXTSPLIT(AO116,",")))))</f>
        <v/>
      </c>
      <c r="IW116" s="19">
        <f>AND(IF(AQ116="",TRUE,IF(input_audience="",FALSE,SUMPRODUCT(--ISNUMBER(SEARCH(","&amp;TRIM(TEXTSPLIT(AQ116,","))&amp;",",","&amp;SUBSTITUTE(input_audience," ","")&amp;",")))&gt;0)),IF(AS116="",TRUE,IF(input_audience="",FALSE,SUMPRODUCT(--ISNUMBER(SEARCH(","&amp;TRIM(TEXTSPLIT(AS116,","))&amp;",",","&amp;SUBSTITUTE(input_audience," ","")&amp;",")))=COUNTA(TEXTSPLIT(AS116,",")))),IF(AU116="",TRUE,IF(input_audience="",TRUE,SUMPRODUCT(--ISNUMBER(SEARCH(","&amp;TRIM(TEXTSPLIT(AU116,","))&amp;",",","&amp;SUBSTITUTE(input_audience," ","")&amp;",")))=0)),IF(AW116="",TRUE,IF(input_audience="",FALSE,SUMPRODUCT(--ISNUMBER(SEARCH(","&amp;TRIM(TEXTSPLIT(AW116,","))&amp;",",","&amp;SUBSTITUTE(input_audience," ","")&amp;",")))&gt;0)),IF(AY116="",TRUE,IF(input_audience="",FALSE,SUMPRODUCT(--ISNUMBER(SEARCH(","&amp;TRIM(TEXTSPLIT(AY116,","))&amp;",",","&amp;SUBSTITUTE(input_audience," ","")&amp;",")))=COUNTA(TEXTSPLIT(AY116,",")))))</f>
        <v/>
      </c>
      <c r="IX116" s="19">
        <f>AND(IF(BA116="",TRUE,IF(input_challenge_opportunities="",FALSE,SUMPRODUCT(--ISNUMBER(SEARCH(","&amp;TRIM(TEXTSPLIT(BA116,","))&amp;",",","&amp;SUBSTITUTE(input_challenge_opportunities," ","")&amp;",")))&gt;0)),IF(BC116="",TRUE,IF(input_challenge_opportunities="",FALSE,SUMPRODUCT(--ISNUMBER(SEARCH(","&amp;TRIM(TEXTSPLIT(BC116,","))&amp;",",","&amp;SUBSTITUTE(input_challenge_opportunities," ","")&amp;",")))=COUNTA(TEXTSPLIT(BC116,",")))),IF(BE116="",TRUE,IF(input_challenge_opportunities="",TRUE,SUMPRODUCT(--ISNUMBER(SEARCH(","&amp;TRIM(TEXTSPLIT(BE116,","))&amp;",",","&amp;SUBSTITUTE(input_challenge_opportunities," ","")&amp;",")))=0)),IF(BG116="",TRUE,IF(input_challenge_opportunities="",FALSE,SUMPRODUCT(--ISNUMBER(SEARCH(","&amp;TRIM(TEXTSPLIT(BG116,","))&amp;",",","&amp;SUBSTITUTE(input_challenge_opportunities," ","")&amp;",")))&gt;0)),IF(BI116="",TRUE,IF(input_challenge_opportunities="",FALSE,SUMPRODUCT(--ISNUMBER(SEARCH(","&amp;TRIM(TEXTSPLIT(BI116,","))&amp;",",","&amp;SUBSTITUTE(input_challenge_opportunities," ","")&amp;",")))=COUNTA(TEXTSPLIT(BI116,",")))))</f>
        <v/>
      </c>
      <c r="IY116" s="19">
        <f>AND(IF(BK116="",TRUE,IF(input_context="",FALSE,SUMPRODUCT(--ISNUMBER(SEARCH(","&amp;TRIM(TEXTSPLIT(BK116,","))&amp;",",","&amp;SUBSTITUTE(input_context," ","")&amp;",")))&gt;0)),IF(BM116="",TRUE,IF(input_context="",FALSE,SUMPRODUCT(--ISNUMBER(SEARCH(","&amp;TRIM(TEXTSPLIT(BM116,","))&amp;",",","&amp;SUBSTITUTE(input_context," ","")&amp;",")))=COUNTA(TEXTSPLIT(BM116,",")))),IF(BO116="",TRUE,IF(input_context="",TRUE,SUMPRODUCT(--ISNUMBER(SEARCH(","&amp;TRIM(TEXTSPLIT(BO116,","))&amp;",",","&amp;SUBSTITUTE(input_context," ","")&amp;",")))=0)),IF(BQ116="",TRUE,IF(input_context="",FALSE,SUMPRODUCT(--ISNUMBER(SEARCH(","&amp;TRIM(TEXTSPLIT(BQ116,","))&amp;",",","&amp;SUBSTITUTE(input_context," ","")&amp;",")))&gt;0)),IF(BS116="",TRUE,IF(input_context="",FALSE,SUMPRODUCT(--ISNUMBER(SEARCH(","&amp;TRIM(TEXTSPLIT(BS116,","))&amp;",",","&amp;SUBSTITUTE(input_context," ","")&amp;",")))=COUNTA(TEXTSPLIT(BS116,",")))))</f>
        <v/>
      </c>
      <c r="IZ116" s="19">
        <f>AND(IF(BU116="",TRUE,IF(input_enews_announcement_type="",FALSE,SUMPRODUCT(--ISNUMBER(SEARCH(","&amp;TRIM(TEXTSPLIT(BU116,","))&amp;",",","&amp;SUBSTITUTE(input_enews_announcement_type," ","")&amp;",")))&gt;0)),IF(BW116="",TRUE,IF(input_enews_announcement_type="",FALSE,SUMPRODUCT(--ISNUMBER(SEARCH(","&amp;TRIM(TEXTSPLIT(BW116,","))&amp;",",","&amp;SUBSTITUTE(input_enews_announcement_type," ","")&amp;",")))=COUNTA(TEXTSPLIT(BW116,",")))),IF(BY116="",TRUE,IF(input_enews_announcement_type="",TRUE,SUMPRODUCT(--ISNUMBER(SEARCH(","&amp;TRIM(TEXTSPLIT(BY116,","))&amp;",",","&amp;SUBSTITUTE(input_enews_announcement_type," ","")&amp;",")))=0)),IF(CA116="",TRUE,IF(input_enews_announcement_type="",FALSE,SUMPRODUCT(--ISNUMBER(SEARCH(","&amp;TRIM(TEXTSPLIT(CA116,","))&amp;",",","&amp;SUBSTITUTE(input_enews_announcement_type," ","")&amp;",")))&gt;0)),IF(CC116="",TRUE,IF(input_enews_announcement_type="",FALSE,SUMPRODUCT(--ISNUMBER(SEARCH(","&amp;TRIM(TEXTSPLIT(CC116,","))&amp;",",","&amp;SUBSTITUTE(input_enews_announcement_type," ","")&amp;",")))=COUNTA(TEXTSPLIT(CC116,",")))))</f>
        <v/>
      </c>
      <c r="JA116" s="19">
        <f>AND(IF(CE116="",TRUE,IF(input_enews_audience="",FALSE,SUMPRODUCT(--ISNUMBER(SEARCH(","&amp;TRIM(TEXTSPLIT(CE116,","))&amp;",",","&amp;SUBSTITUTE(input_enews_audience," ","")&amp;",")))&gt;0)),IF(CG116="",TRUE,IF(input_enews_audience="",FALSE,SUMPRODUCT(--ISNUMBER(SEARCH(","&amp;TRIM(TEXTSPLIT(CG116,","))&amp;",",","&amp;SUBSTITUTE(input_enews_audience," ","")&amp;",")))=COUNTA(TEXTSPLIT(CG116,",")))),IF(CI116="",TRUE,IF(input_enews_audience="",TRUE,SUMPRODUCT(--ISNUMBER(SEARCH(","&amp;TRIM(TEXTSPLIT(CI116,","))&amp;",",","&amp;SUBSTITUTE(input_enews_audience," ","")&amp;",")))=0)),IF(CK116="",TRUE,IF(input_enews_audience="",FALSE,SUMPRODUCT(--ISNUMBER(SEARCH(","&amp;TRIM(TEXTSPLIT(CK116,","))&amp;",",","&amp;SUBSTITUTE(input_enews_audience," ","")&amp;",")))&gt;0)),IF(CM116="",TRUE,IF(input_enews_audience="",FALSE,SUMPRODUCT(--ISNUMBER(SEARCH(","&amp;TRIM(TEXTSPLIT(CM116,","))&amp;",",","&amp;SUBSTITUTE(input_enews_audience," ","")&amp;",")))=COUNTA(TEXTSPLIT(CM116,",")))))</f>
        <v/>
      </c>
      <c r="JB116" s="19">
        <f>AND(IF(CO116="",TRUE,IF(input_event_location="",FALSE,SUMPRODUCT(--ISNUMBER(SEARCH(","&amp;TRIM(TEXTSPLIT(CO116,","))&amp;",",","&amp;SUBSTITUTE(input_event_location," ","")&amp;",")))&gt;0)),IF(CQ116="",TRUE,IF(input_event_location="",FALSE,SUMPRODUCT(--ISNUMBER(SEARCH(","&amp;TRIM(TEXTSPLIT(CQ116,","))&amp;",",","&amp;SUBSTITUTE(input_event_location," ","")&amp;",")))=COUNTA(TEXTSPLIT(CQ116,",")))),IF(CS116="",TRUE,IF(input_event_location="",TRUE,SUMPRODUCT(--ISNUMBER(SEARCH(","&amp;TRIM(TEXTSPLIT(CS116,","))&amp;",",","&amp;SUBSTITUTE(input_event_location," ","")&amp;",")))=0)),IF(CU116="",TRUE,IF(input_event_location="",FALSE,SUMPRODUCT(--ISNUMBER(SEARCH(","&amp;TRIM(TEXTSPLIT(CU116,","))&amp;",",","&amp;SUBSTITUTE(input_event_location," ","")&amp;",")))&gt;0)),IF(CW116="",TRUE,IF(input_event_location="",FALSE,SUMPRODUCT(--ISNUMBER(SEARCH(","&amp;TRIM(TEXTSPLIT(CW116,","))&amp;",",","&amp;SUBSTITUTE(input_event_location," ","")&amp;",")))=COUNTA(TEXTSPLIT(CW116,",")))))</f>
        <v/>
      </c>
      <c r="JC116" s="19">
        <f>AND(IF(CY116="",TRUE,IF(input_event_type="",FALSE,SUMPRODUCT(--ISNUMBER(SEARCH(","&amp;TRIM(TEXTSPLIT(CY116,","))&amp;",",","&amp;SUBSTITUTE(input_event_type," ","")&amp;",")))&gt;0)),IF(DA116="",TRUE,IF(input_event_type="",FALSE,SUMPRODUCT(--ISNUMBER(SEARCH(","&amp;TRIM(TEXTSPLIT(DA116,","))&amp;",",","&amp;SUBSTITUTE(input_event_type," ","")&amp;",")))=COUNTA(TEXTSPLIT(DA116,",")))),IF(DC116="",TRUE,IF(input_event_type="",TRUE,SUMPRODUCT(--ISNUMBER(SEARCH(","&amp;TRIM(TEXTSPLIT(DC116,","))&amp;",",","&amp;SUBSTITUTE(input_event_type," ","")&amp;",")))=0)),IF(DE116="",TRUE,IF(input_event_type="",FALSE,SUMPRODUCT(--ISNUMBER(SEARCH(","&amp;TRIM(TEXTSPLIT(DE116,","))&amp;",",","&amp;SUBSTITUTE(input_event_type," ","")&amp;",")))&gt;0)),IF(DG116="",TRUE,IF(input_event_type="",FALSE,SUMPRODUCT(--ISNUMBER(SEARCH(","&amp;TRIM(TEXTSPLIT(DG116,","))&amp;",",","&amp;SUBSTITUTE(input_event_type," ","")&amp;",")))=COUNTA(TEXTSPLIT(DG116,",")))))</f>
        <v/>
      </c>
      <c r="JD116" s="19">
        <f>AND(IF(DI116="",TRUE,IF(input_executive_education_focus="",FALSE,SUMPRODUCT(--ISNUMBER(SEARCH(","&amp;TRIM(TEXTSPLIT(DI116,","))&amp;",",","&amp;SUBSTITUTE(input_executive_education_focus," ","")&amp;",")))&gt;0)),IF(DK116="",TRUE,IF(input_executive_education_focus="",FALSE,SUMPRODUCT(--ISNUMBER(SEARCH(","&amp;TRIM(TEXTSPLIT(DK116,","))&amp;",",","&amp;SUBSTITUTE(input_executive_education_focus," ","")&amp;",")))=COUNTA(TEXTSPLIT(DK116,",")))),IF(DM116="",TRUE,IF(input_executive_education_focus="",TRUE,SUMPRODUCT(--ISNUMBER(SEARCH(","&amp;TRIM(TEXTSPLIT(DM116,","))&amp;",",","&amp;SUBSTITUTE(input_executive_education_focus," ","")&amp;",")))=0)),IF(DO116="",TRUE,IF(input_executive_education_focus="",FALSE,SUMPRODUCT(--ISNUMBER(SEARCH(","&amp;TRIM(TEXTSPLIT(DO116,","))&amp;",",","&amp;SUBSTITUTE(input_executive_education_focus," ","")&amp;",")))&gt;0)),IF(DQ116="",TRUE,IF(input_executive_education_focus="",FALSE,SUMPRODUCT(--ISNUMBER(SEARCH(","&amp;TRIM(TEXTSPLIT(DQ116,","))&amp;",",","&amp;SUBSTITUTE(input_executive_education_focus," ","")&amp;",")))=COUNTA(TEXTSPLIT(DQ116,",")))))</f>
        <v/>
      </c>
      <c r="JE116" s="19">
        <f>AND(IF(DS116="",TRUE,IF(input_faculty_category="",FALSE,SUMPRODUCT(--ISNUMBER(SEARCH(","&amp;TRIM(TEXTSPLIT(DS116,","))&amp;",",","&amp;SUBSTITUTE(input_faculty_category," ","")&amp;",")))&gt;0)),IF(DU116="",TRUE,IF(input_faculty_category="",FALSE,SUMPRODUCT(--ISNUMBER(SEARCH(","&amp;TRIM(TEXTSPLIT(DU116,","))&amp;",",","&amp;SUBSTITUTE(input_faculty_category," ","")&amp;",")))=COUNTA(TEXTSPLIT(DU116,",")))),IF(DW116="",TRUE,IF(input_faculty_category="",TRUE,SUMPRODUCT(--ISNUMBER(SEARCH(","&amp;TRIM(TEXTSPLIT(DW116,","))&amp;",",","&amp;SUBSTITUTE(input_faculty_category," ","")&amp;",")))=0)),IF(DY116="",TRUE,IF(input_faculty_category="",FALSE,SUMPRODUCT(--ISNUMBER(SEARCH(","&amp;TRIM(TEXTSPLIT(DY116,","))&amp;",",","&amp;SUBSTITUTE(input_faculty_category," ","")&amp;",")))&gt;0)),IF(EA116="",TRUE,IF(input_faculty_category="",FALSE,SUMPRODUCT(--ISNUMBER(SEARCH(","&amp;TRIM(TEXTSPLIT(EA116,","))&amp;",",","&amp;SUBSTITUTE(input_faculty_category," ","")&amp;",")))=COUNTA(TEXTSPLIT(EA116,",")))))</f>
        <v/>
      </c>
      <c r="JF116" s="19">
        <f>AND(IF(EC116="",TRUE,IF(input_faculty_discipline="",FALSE,SUMPRODUCT(--ISNUMBER(SEARCH(","&amp;TRIM(TEXTSPLIT(EC116,","))&amp;",",","&amp;SUBSTITUTE(input_faculty_discipline," ","")&amp;",")))&gt;0)),IF(EE116="",TRUE,IF(input_faculty_discipline="",FALSE,SUMPRODUCT(--ISNUMBER(SEARCH(","&amp;TRIM(TEXTSPLIT(EE116,","))&amp;",",","&amp;SUBSTITUTE(input_faculty_discipline," ","")&amp;",")))=COUNTA(TEXTSPLIT(EE116,",")))),IF(EG116="",TRUE,IF(input_faculty_discipline="",TRUE,SUMPRODUCT(--ISNUMBER(SEARCH(","&amp;TRIM(TEXTSPLIT(EG116,","))&amp;",",","&amp;SUBSTITUTE(input_faculty_discipline," ","")&amp;",")))=0)),IF(EI116="",TRUE,IF(input_faculty_discipline="",FALSE,SUMPRODUCT(--ISNUMBER(SEARCH(","&amp;TRIM(TEXTSPLIT(EI116,","))&amp;",",","&amp;SUBSTITUTE(input_faculty_discipline," ","")&amp;",")))&gt;0)),IF(EK116="",TRUE,IF(input_faculty_discipline="",FALSE,SUMPRODUCT(--ISNUMBER(SEARCH(","&amp;TRIM(TEXTSPLIT(EK116,","))&amp;",",","&amp;SUBSTITUTE(input_faculty_discipline," ","")&amp;",")))=COUNTA(TEXTSPLIT(EK116,",")))))</f>
        <v/>
      </c>
      <c r="JG116" s="19">
        <f>AND(IF(EM116="",TRUE,IF(input_faculty_expertise="",FALSE,SUMPRODUCT(--ISNUMBER(SEARCH(","&amp;TRIM(TEXTSPLIT(EM116,","))&amp;",",","&amp;SUBSTITUTE(input_faculty_expertise," ","")&amp;",")))&gt;0)),IF(EO116="",TRUE,IF(input_faculty_expertise="",FALSE,SUMPRODUCT(--ISNUMBER(SEARCH(","&amp;TRIM(TEXTSPLIT(EO116,","))&amp;",",","&amp;SUBSTITUTE(input_faculty_expertise," ","")&amp;",")))=COUNTA(TEXTSPLIT(EO116,",")))),IF(EQ116="",TRUE,IF(input_faculty_expertise="",TRUE,SUMPRODUCT(--ISNUMBER(SEARCH(","&amp;TRIM(TEXTSPLIT(EQ116,","))&amp;",",","&amp;SUBSTITUTE(input_faculty_expertise," ","")&amp;",")))=0)),IF(ES116="",TRUE,IF(input_faculty_expertise="",FALSE,SUMPRODUCT(--ISNUMBER(SEARCH(","&amp;TRIM(TEXTSPLIT(ES116,","))&amp;",",","&amp;SUBSTITUTE(input_faculty_expertise," ","")&amp;",")))&gt;0)),IF(EU116="",TRUE,IF(input_faculty_expertise="",FALSE,SUMPRODUCT(--ISNUMBER(SEARCH(","&amp;TRIM(TEXTSPLIT(EU116,","))&amp;",",","&amp;SUBSTITUTE(input_faculty_expertise," ","")&amp;",")))=COUNTA(TEXTSPLIT(EU116,",")))))</f>
        <v/>
      </c>
      <c r="JH116" s="19">
        <f>AND(IF(EW116="",TRUE,IF(input_global_network_school="",FALSE,SUMPRODUCT(--ISNUMBER(SEARCH(","&amp;TRIM(TEXTSPLIT(EW116,","))&amp;",",","&amp;SUBSTITUTE(input_global_network_school," ","")&amp;",")))&gt;0)),IF(EY116="",TRUE,IF(input_global_network_school="",FALSE,SUMPRODUCT(--ISNUMBER(SEARCH(","&amp;TRIM(TEXTSPLIT(EY116,","))&amp;",",","&amp;SUBSTITUTE(input_global_network_school," ","")&amp;",")))=COUNTA(TEXTSPLIT(EY116,",")))),IF(FA116="",TRUE,IF(input_global_network_school="",TRUE,SUMPRODUCT(--ISNUMBER(SEARCH(","&amp;TRIM(TEXTSPLIT(FA116,","))&amp;",",","&amp;SUBSTITUTE(input_global_network_school," ","")&amp;",")))=0)),IF(FC116="",TRUE,IF(input_global_network_school="",FALSE,SUMPRODUCT(--ISNUMBER(SEARCH(","&amp;TRIM(TEXTSPLIT(FC116,","))&amp;",",","&amp;SUBSTITUTE(input_global_network_school," ","")&amp;",")))&gt;0)),IF(FE116="",TRUE,IF(input_global_network_school="",FALSE,SUMPRODUCT(--ISNUMBER(SEARCH(","&amp;TRIM(TEXTSPLIT(FE116,","))&amp;",",","&amp;SUBSTITUTE(input_global_network_school," ","")&amp;",")))=COUNTA(TEXTSPLIT(FE116,",")))))</f>
        <v/>
      </c>
      <c r="JI116" s="19">
        <f>AND(IF(FG116="",TRUE,IF(input_industry="",FALSE,SUMPRODUCT(--ISNUMBER(SEARCH(","&amp;TRIM(TEXTSPLIT(FG116,","))&amp;",",","&amp;SUBSTITUTE(input_industry," ","")&amp;",")))&gt;0)),IF(FI116="",TRUE,IF(input_industry="",FALSE,SUMPRODUCT(--ISNUMBER(SEARCH(","&amp;TRIM(TEXTSPLIT(FI116,","))&amp;",",","&amp;SUBSTITUTE(input_industry," ","")&amp;",")))=COUNTA(TEXTSPLIT(FI116,",")))),IF(FK116="",TRUE,IF(input_industry="",TRUE,SUMPRODUCT(--ISNUMBER(SEARCH(","&amp;TRIM(TEXTSPLIT(FK116,","))&amp;",",","&amp;SUBSTITUTE(input_industry," ","")&amp;",")))=0)),IF(FM116="",TRUE,IF(input_industry="",FALSE,SUMPRODUCT(--ISNUMBER(SEARCH(","&amp;TRIM(TEXTSPLIT(FM116,","))&amp;",",","&amp;SUBSTITUTE(input_industry," ","")&amp;",")))&gt;0)),IF(FO116="",TRUE,IF(input_industry="",FALSE,SUMPRODUCT(--ISNUMBER(SEARCH(","&amp;TRIM(TEXTSPLIT(FO116,","))&amp;",",","&amp;SUBSTITUTE(input_industry," ","")&amp;",")))=COUNTA(TEXTSPLIT(FO116,",")))))</f>
        <v/>
      </c>
      <c r="JJ116" s="19">
        <f>AND(IF(FQ116="",TRUE,IF(input_location="",FALSE,SUMPRODUCT(--ISNUMBER(SEARCH(","&amp;TRIM(TEXTSPLIT(FQ116,","))&amp;",",","&amp;SUBSTITUTE(input_location," ","")&amp;",")))&gt;0)),IF(FS116="",TRUE,IF(input_location="",FALSE,SUMPRODUCT(--ISNUMBER(SEARCH(","&amp;TRIM(TEXTSPLIT(FS116,","))&amp;",",","&amp;SUBSTITUTE(input_location," ","")&amp;",")))=COUNTA(TEXTSPLIT(FS116,",")))),IF(FU116="",TRUE,IF(input_location="",TRUE,SUMPRODUCT(--ISNUMBER(SEARCH(","&amp;TRIM(TEXTSPLIT(FU116,","))&amp;",",","&amp;SUBSTITUTE(input_location," ","")&amp;",")))=0)),IF(FW116="",TRUE,IF(input_location="",FALSE,SUMPRODUCT(--ISNUMBER(SEARCH(","&amp;TRIM(TEXTSPLIT(FW116,","))&amp;",",","&amp;SUBSTITUTE(input_location," ","")&amp;",")))&gt;0)),IF(FY116="",TRUE,IF(input_location="",FALSE,SUMPRODUCT(--ISNUMBER(SEARCH(","&amp;TRIM(TEXTSPLIT(FY116,","))&amp;",",","&amp;SUBSTITUTE(input_location," ","")&amp;",")))=COUNTA(TEXTSPLIT(FY116,",")))))</f>
        <v/>
      </c>
      <c r="JK116" s="19">
        <f>AND(IF(GA116="",TRUE,IF(input_modality="",FALSE,SUMPRODUCT(--ISNUMBER(SEARCH(","&amp;TRIM(TEXTSPLIT(GA116,","))&amp;",",","&amp;SUBSTITUTE(input_modality," ","")&amp;",")))&gt;0)),IF(GC116="",TRUE,IF(input_modality="",FALSE,SUMPRODUCT(--ISNUMBER(SEARCH(","&amp;TRIM(TEXTSPLIT(GC116,","))&amp;",",","&amp;SUBSTITUTE(input_modality," ","")&amp;",")))=COUNTA(TEXTSPLIT(GC116,",")))),IF(GE116="",TRUE,IF(input_modality="",TRUE,SUMPRODUCT(--ISNUMBER(SEARCH(","&amp;TRIM(TEXTSPLIT(GE116,","))&amp;",",","&amp;SUBSTITUTE(input_modality," ","")&amp;",")))=0)),IF(GG116="",TRUE,IF(input_modality="",FALSE,SUMPRODUCT(--ISNUMBER(SEARCH(","&amp;TRIM(TEXTSPLIT(GG116,","))&amp;",",","&amp;SUBSTITUTE(input_modality," ","")&amp;",")))&gt;0)),IF(GI116="",TRUE,IF(input_modality="",FALSE,SUMPRODUCT(--ISNUMBER(SEARCH(","&amp;TRIM(TEXTSPLIT(GI116,","))&amp;",",","&amp;SUBSTITUTE(input_modality," ","")&amp;",")))=COUNTA(TEXTSPLIT(GI116,",")))))</f>
        <v/>
      </c>
      <c r="JL116" s="19">
        <f>AND(IF(GK116="",TRUE,IF(input_organizer="",FALSE,SUMPRODUCT(--ISNUMBER(SEARCH(","&amp;TRIM(TEXTSPLIT(GK116,","))&amp;",",","&amp;SUBSTITUTE(input_organizer," ","")&amp;",")))&gt;0)),IF(GM116="",TRUE,IF(input_organizer="",FALSE,SUMPRODUCT(--ISNUMBER(SEARCH(","&amp;TRIM(TEXTSPLIT(GM116,","))&amp;",",","&amp;SUBSTITUTE(input_organizer," ","")&amp;",")))=COUNTA(TEXTSPLIT(GM116,",")))),IF(GO116="",TRUE,IF(input_organizer="",TRUE,SUMPRODUCT(--ISNUMBER(SEARCH(","&amp;TRIM(TEXTSPLIT(GO116,","))&amp;",",","&amp;SUBSTITUTE(input_organizer," ","")&amp;",")))=0)),IF(GQ116="",TRUE,IF(input_organizer="",FALSE,SUMPRODUCT(--ISNUMBER(SEARCH(","&amp;TRIM(TEXTSPLIT(GQ116,","))&amp;",",","&amp;SUBSTITUTE(input_organizer," ","")&amp;",")))&gt;0)),IF(GS116="",TRUE,IF(input_organizer="",FALSE,SUMPRODUCT(--ISNUMBER(SEARCH(","&amp;TRIM(TEXTSPLIT(GS116,","))&amp;",",","&amp;SUBSTITUTE(input_organizer," ","")&amp;",")))=COUNTA(TEXTSPLIT(GS116,",")))))</f>
        <v/>
      </c>
      <c r="JM116" s="19">
        <f>AND(IF(GU116="",TRUE,IF(input_profile_type="",FALSE,SUMPRODUCT(--ISNUMBER(SEARCH(","&amp;TRIM(TEXTSPLIT(GU116,","))&amp;",",","&amp;SUBSTITUTE(input_profile_type," ","")&amp;",")))&gt;0)),IF(GW116="",TRUE,IF(input_profile_type="",FALSE,SUMPRODUCT(--ISNUMBER(SEARCH(","&amp;TRIM(TEXTSPLIT(GW116,","))&amp;",",","&amp;SUBSTITUTE(input_profile_type," ","")&amp;",")))=COUNTA(TEXTSPLIT(GW116,",")))),IF(GY116="",TRUE,IF(input_profile_type="",TRUE,SUMPRODUCT(--ISNUMBER(SEARCH(","&amp;TRIM(TEXTSPLIT(GY116,","))&amp;",",","&amp;SUBSTITUTE(input_profile_type," ","")&amp;",")))=0)),IF(HA116="",TRUE,IF(input_profile_type="",FALSE,SUMPRODUCT(--ISNUMBER(SEARCH(","&amp;TRIM(TEXTSPLIT(HA116,","))&amp;",",","&amp;SUBSTITUTE(input_profile_type," ","")&amp;",")))&gt;0)),IF(HC116="",TRUE,IF(input_profile_type="",FALSE,SUMPRODUCT(--ISNUMBER(SEARCH(","&amp;TRIM(TEXTSPLIT(HC116,","))&amp;",",","&amp;SUBSTITUTE(input_profile_type," ","")&amp;",")))=COUNTA(TEXTSPLIT(HC116,",")))))</f>
        <v/>
      </c>
      <c r="JN116" s="19">
        <f>AND(IF(HE116="",TRUE,IF(input_program="",FALSE,SUMPRODUCT(--ISNUMBER(SEARCH(","&amp;TRIM(TEXTSPLIT(HE116,","))&amp;",",","&amp;SUBSTITUTE(input_program," ","")&amp;",")))&gt;0)),IF(HG116="",TRUE,IF(input_program="",FALSE,SUMPRODUCT(--ISNUMBER(SEARCH(","&amp;TRIM(TEXTSPLIT(HG116,","))&amp;",",","&amp;SUBSTITUTE(input_program," ","")&amp;",")))=COUNTA(TEXTSPLIT(HG116,",")))),IF(HI116="",TRUE,IF(input_program="",TRUE,SUMPRODUCT(--ISNUMBER(SEARCH(","&amp;TRIM(TEXTSPLIT(HI116,","))&amp;",",","&amp;SUBSTITUTE(input_program," ","")&amp;",")))=0)),IF(HK116="",TRUE,IF(input_program="",FALSE,SUMPRODUCT(--ISNUMBER(SEARCH(","&amp;TRIM(TEXTSPLIT(HK116,","))&amp;",",","&amp;SUBSTITUTE(input_program," ","")&amp;",")))&gt;0)),IF(HM116="",TRUE,IF(input_program="",FALSE,SUMPRODUCT(--ISNUMBER(SEARCH(","&amp;TRIM(TEXTSPLIT(HM116,","))&amp;",",","&amp;SUBSTITUTE(input_program," ","")&amp;",")))=COUNTA(TEXTSPLIT(HM116,",")))))</f>
        <v/>
      </c>
      <c r="JO116" s="19">
        <f>AND(IF(HO116="",TRUE,IF(input_story_categories="",FALSE,SUMPRODUCT(--ISNUMBER(SEARCH(","&amp;TRIM(TEXTSPLIT(HO116,","))&amp;",",","&amp;SUBSTITUTE(input_story_categories," ","")&amp;",")))&gt;0)),IF(HQ116="",TRUE,IF(input_story_categories="",FALSE,SUMPRODUCT(--ISNUMBER(SEARCH(","&amp;TRIM(TEXTSPLIT(HQ116,","))&amp;",",","&amp;SUBSTITUTE(input_story_categories," ","")&amp;",")))=COUNTA(TEXTSPLIT(HQ116,",")))),IF(HS116="",TRUE,IF(input_story_categories="",TRUE,SUMPRODUCT(--ISNUMBER(SEARCH(","&amp;TRIM(TEXTSPLIT(HS116,","))&amp;",",","&amp;SUBSTITUTE(input_story_categories," ","")&amp;",")))=0)),IF(HU116="",TRUE,IF(input_story_categories="",FALSE,SUMPRODUCT(--ISNUMBER(SEARCH(","&amp;TRIM(TEXTSPLIT(HU116,","))&amp;",",","&amp;SUBSTITUTE(input_story_categories," ","")&amp;",")))&gt;0)),IF(HW116="",TRUE,IF(input_story_categories="",FALSE,SUMPRODUCT(--ISNUMBER(SEARCH(","&amp;TRIM(TEXTSPLIT(HW116,","))&amp;",",","&amp;SUBSTITUTE(input_story_categories," ","")&amp;",")))=COUNTA(TEXTSPLIT(HW116,",")))))</f>
        <v/>
      </c>
      <c r="JP116" s="19">
        <f>AND(IF(HY116="",TRUE,IF(input_story_type="",FALSE,SUMPRODUCT(--ISNUMBER(SEARCH(","&amp;TRIM(TEXTSPLIT(HY116,","))&amp;",",","&amp;SUBSTITUTE(input_story_type," ","")&amp;",")))&gt;0)),IF(IA116="",TRUE,IF(input_story_type="",FALSE,SUMPRODUCT(--ISNUMBER(SEARCH(","&amp;TRIM(TEXTSPLIT(IA116,","))&amp;",",","&amp;SUBSTITUTE(input_story_type," ","")&amp;",")))=COUNTA(TEXTSPLIT(IA116,",")))),IF(IC116="",TRUE,IF(input_story_type="",TRUE,SUMPRODUCT(--ISNUMBER(SEARCH(","&amp;TRIM(TEXTSPLIT(IC116,","))&amp;",",","&amp;SUBSTITUTE(input_story_type," ","")&amp;",")))=0)),IF(IE116="",TRUE,IF(input_story_type="",FALSE,SUMPRODUCT(--ISNUMBER(SEARCH(","&amp;TRIM(TEXTSPLIT(IE116,","))&amp;",",","&amp;SUBSTITUTE(input_story_type," ","")&amp;",")))&gt;0)),IF(IG116="",TRUE,IF(input_story_type="",FALSE,SUMPRODUCT(--ISNUMBER(SEARCH(","&amp;TRIM(TEXTSPLIT(IG116,","))&amp;",",","&amp;SUBSTITUTE(input_story_type," ","")&amp;",")))=COUNTA(TEXTSPLIT(IG116,",")))))</f>
        <v/>
      </c>
      <c r="JQ116" s="19">
        <f>AND(IF(II116="",TRUE,IF(input_topics="",FALSE,SUMPRODUCT(--ISNUMBER(SEARCH(","&amp;TRIM(TEXTSPLIT(II116,","))&amp;",",","&amp;SUBSTITUTE(input_topics," ","")&amp;",")))&gt;0)),IF(IK116="",TRUE,IF(input_topics="",FALSE,SUMPRODUCT(--ISNUMBER(SEARCH(","&amp;TRIM(TEXTSPLIT(IK116,","))&amp;",",","&amp;SUBSTITUTE(input_topics," ","")&amp;",")))=COUNTA(TEXTSPLIT(IK116,",")))),IF(IM116="",TRUE,IF(input_topics="",TRUE,SUMPRODUCT(--ISNUMBER(SEARCH(","&amp;TRIM(TEXTSPLIT(IM116,","))&amp;",",","&amp;SUBSTITUTE(input_topics," ","")&amp;",")))=0)),IF(IO116="",TRUE,IF(input_topics="",FALSE,SUMPRODUCT(--ISNUMBER(SEARCH(","&amp;TRIM(TEXTSPLIT(IO116,","))&amp;",",","&amp;SUBSTITUTE(input_topics," ","")&amp;",")))&gt;0)),IF(IQ116="",TRUE,IF(input_topics="",FALSE,SUMPRODUCT(--ISNUMBER(SEARCH(","&amp;TRIM(TEXTSPLIT(IQ116,","))&amp;",",","&amp;SUBSTITUTE(input_topics," ","")&amp;",")))=COUNTA(TEXTSPLIT(IQ116,",")))))</f>
        <v/>
      </c>
    </row>
    <row r="117">
      <c r="A117" s="24">
        <f>IF(NOT(IS117),"Excluded",IF(AND(IT117,IU117,IV117,IW117,IX117,IY117,IZ117,JA117,JB117,JC117,JD117,JE117,JF117,JG117,JH117,JI117,JJ117,JK117,JL117,JM117,JN117,JO117,JP117,JQ117),IF(I117&gt;0,"Eligible but limited","Will appear"),"Excluded"))</f>
        <v/>
      </c>
      <c r="B117" s="24" t="inlineStr">
        <is>
          <t>GBS Blog &amp; News</t>
        </is>
      </c>
      <c r="C117" s="27" t="inlineStr">
        <is>
          <t>/programs/mms-global-business-and-society/blog-news</t>
        </is>
      </c>
      <c r="D117" s="24" t="inlineStr">
        <is>
          <t>/programs/mms-global-business-and-society/blog-news</t>
        </is>
      </c>
      <c r="E117" s="24" t="n">
        <v>1</v>
      </c>
      <c r="F117" s="24" t="inlineStr">
        <is>
          <t>story</t>
        </is>
      </c>
      <c r="G117" s="24" t="inlineStr">
        <is>
          <t>stories_list</t>
        </is>
      </c>
      <c r="H117" s="24" t="inlineStr">
        <is>
          <t>embed_1</t>
        </is>
      </c>
      <c r="I117" s="24" t="n">
        <v>10</v>
      </c>
      <c r="J117" s="28" t="inlineStr">
        <is>
          <t>Explicit args</t>
        </is>
      </c>
      <c r="K117" s="24" t="inlineStr">
        <is>
          <t>Page placement</t>
        </is>
      </c>
      <c r="L117" s="24" t="inlineStr">
        <is>
          <t>Content type: story; Context uses Courses Context: Master's Degree in Global Business and Society (950), Programs (94), Residential master's programs (1571); Limited to 10 item(s); Source: Explicit args</t>
        </is>
      </c>
      <c r="BQ117" s="19" t="inlineStr">
        <is>
          <t>950, 94, 1571</t>
        </is>
      </c>
      <c r="BR117" s="19" t="inlineStr">
        <is>
          <t>Master's Degree in Global Business and Society (950), Programs (94), Residential master's programs (1571)</t>
        </is>
      </c>
      <c r="IS117" s="19">
        <f>IF(input_content_type="",FALSE,ISNUMBER(SEARCH(","&amp;LOWER(input_content_type)&amp;",",","&amp;LOWER(SUBSTITUTE(F117," ",""))&amp;",")))</f>
        <v/>
      </c>
      <c r="IT117" s="19">
        <f>AND(IF(M117="",TRUE,IF(input_affiliations="",FALSE,SUMPRODUCT(--ISNUMBER(SEARCH(","&amp;TRIM(TEXTSPLIT(M117,","))&amp;",",","&amp;SUBSTITUTE(input_affiliations," ","")&amp;",")))&gt;0)),IF(O117="",TRUE,IF(input_affiliations="",FALSE,SUMPRODUCT(--ISNUMBER(SEARCH(","&amp;TRIM(TEXTSPLIT(O117,","))&amp;",",","&amp;SUBSTITUTE(input_affiliations," ","")&amp;",")))=COUNTA(TEXTSPLIT(O117,",")))),IF(Q117="",TRUE,IF(input_affiliations="",TRUE,SUMPRODUCT(--ISNUMBER(SEARCH(","&amp;TRIM(TEXTSPLIT(Q117,","))&amp;",",","&amp;SUBSTITUTE(input_affiliations," ","")&amp;",")))=0)),IF(S117="",TRUE,IF(input_affiliations="",FALSE,SUMPRODUCT(--ISNUMBER(SEARCH(","&amp;TRIM(TEXTSPLIT(S117,","))&amp;",",","&amp;SUBSTITUTE(input_affiliations," ","")&amp;",")))&gt;0)),IF(U117="",TRUE,IF(input_affiliations="",FALSE,SUMPRODUCT(--ISNUMBER(SEARCH(","&amp;TRIM(TEXTSPLIT(U117,","))&amp;",",","&amp;SUBSTITUTE(input_affiliations," ","")&amp;",")))=COUNTA(TEXTSPLIT(U117,",")))))</f>
        <v/>
      </c>
      <c r="IU117" s="19">
        <f>AND(IF(W117="",TRUE,IF(input_announcement_category="",FALSE,SUMPRODUCT(--ISNUMBER(SEARCH(","&amp;TRIM(TEXTSPLIT(W117,","))&amp;",",","&amp;SUBSTITUTE(input_announcement_category," ","")&amp;",")))&gt;0)),IF(Y117="",TRUE,IF(input_announcement_category="",FALSE,SUMPRODUCT(--ISNUMBER(SEARCH(","&amp;TRIM(TEXTSPLIT(Y117,","))&amp;",",","&amp;SUBSTITUTE(input_announcement_category," ","")&amp;",")))=COUNTA(TEXTSPLIT(Y117,",")))),IF(AA117="",TRUE,IF(input_announcement_category="",TRUE,SUMPRODUCT(--ISNUMBER(SEARCH(","&amp;TRIM(TEXTSPLIT(AA117,","))&amp;",",","&amp;SUBSTITUTE(input_announcement_category," ","")&amp;",")))=0)),IF(AC117="",TRUE,IF(input_announcement_category="",FALSE,SUMPRODUCT(--ISNUMBER(SEARCH(","&amp;TRIM(TEXTSPLIT(AC117,","))&amp;",",","&amp;SUBSTITUTE(input_announcement_category," ","")&amp;",")))&gt;0)),IF(AE117="",TRUE,IF(input_announcement_category="",FALSE,SUMPRODUCT(--ISNUMBER(SEARCH(","&amp;TRIM(TEXTSPLIT(AE117,","))&amp;",",","&amp;SUBSTITUTE(input_announcement_category," ","")&amp;",")))=COUNTA(TEXTSPLIT(AE117,",")))))</f>
        <v/>
      </c>
      <c r="IV117" s="19">
        <f>AND(IF(AG117="",TRUE,IF(input_area_of_focus="",FALSE,SUMPRODUCT(--ISNUMBER(SEARCH(","&amp;TRIM(TEXTSPLIT(AG117,","))&amp;",",","&amp;SUBSTITUTE(input_area_of_focus," ","")&amp;",")))&gt;0)),IF(AI117="",TRUE,IF(input_area_of_focus="",FALSE,SUMPRODUCT(--ISNUMBER(SEARCH(","&amp;TRIM(TEXTSPLIT(AI117,","))&amp;",",","&amp;SUBSTITUTE(input_area_of_focus," ","")&amp;",")))=COUNTA(TEXTSPLIT(AI117,",")))),IF(AK117="",TRUE,IF(input_area_of_focus="",TRUE,SUMPRODUCT(--ISNUMBER(SEARCH(","&amp;TRIM(TEXTSPLIT(AK117,","))&amp;",",","&amp;SUBSTITUTE(input_area_of_focus," ","")&amp;",")))=0)),IF(AM117="",TRUE,IF(input_area_of_focus="",FALSE,SUMPRODUCT(--ISNUMBER(SEARCH(","&amp;TRIM(TEXTSPLIT(AM117,","))&amp;",",","&amp;SUBSTITUTE(input_area_of_focus," ","")&amp;",")))&gt;0)),IF(AO117="",TRUE,IF(input_area_of_focus="",FALSE,SUMPRODUCT(--ISNUMBER(SEARCH(","&amp;TRIM(TEXTSPLIT(AO117,","))&amp;",",","&amp;SUBSTITUTE(input_area_of_focus," ","")&amp;",")))=COUNTA(TEXTSPLIT(AO117,",")))))</f>
        <v/>
      </c>
      <c r="IW117" s="19">
        <f>AND(IF(AQ117="",TRUE,IF(input_audience="",FALSE,SUMPRODUCT(--ISNUMBER(SEARCH(","&amp;TRIM(TEXTSPLIT(AQ117,","))&amp;",",","&amp;SUBSTITUTE(input_audience," ","")&amp;",")))&gt;0)),IF(AS117="",TRUE,IF(input_audience="",FALSE,SUMPRODUCT(--ISNUMBER(SEARCH(","&amp;TRIM(TEXTSPLIT(AS117,","))&amp;",",","&amp;SUBSTITUTE(input_audience," ","")&amp;",")))=COUNTA(TEXTSPLIT(AS117,",")))),IF(AU117="",TRUE,IF(input_audience="",TRUE,SUMPRODUCT(--ISNUMBER(SEARCH(","&amp;TRIM(TEXTSPLIT(AU117,","))&amp;",",","&amp;SUBSTITUTE(input_audience," ","")&amp;",")))=0)),IF(AW117="",TRUE,IF(input_audience="",FALSE,SUMPRODUCT(--ISNUMBER(SEARCH(","&amp;TRIM(TEXTSPLIT(AW117,","))&amp;",",","&amp;SUBSTITUTE(input_audience," ","")&amp;",")))&gt;0)),IF(AY117="",TRUE,IF(input_audience="",FALSE,SUMPRODUCT(--ISNUMBER(SEARCH(","&amp;TRIM(TEXTSPLIT(AY117,","))&amp;",",","&amp;SUBSTITUTE(input_audience," ","")&amp;",")))=COUNTA(TEXTSPLIT(AY117,",")))))</f>
        <v/>
      </c>
      <c r="IX117" s="19">
        <f>AND(IF(BA117="",TRUE,IF(input_challenge_opportunities="",FALSE,SUMPRODUCT(--ISNUMBER(SEARCH(","&amp;TRIM(TEXTSPLIT(BA117,","))&amp;",",","&amp;SUBSTITUTE(input_challenge_opportunities," ","")&amp;",")))&gt;0)),IF(BC117="",TRUE,IF(input_challenge_opportunities="",FALSE,SUMPRODUCT(--ISNUMBER(SEARCH(","&amp;TRIM(TEXTSPLIT(BC117,","))&amp;",",","&amp;SUBSTITUTE(input_challenge_opportunities," ","")&amp;",")))=COUNTA(TEXTSPLIT(BC117,",")))),IF(BE117="",TRUE,IF(input_challenge_opportunities="",TRUE,SUMPRODUCT(--ISNUMBER(SEARCH(","&amp;TRIM(TEXTSPLIT(BE117,","))&amp;",",","&amp;SUBSTITUTE(input_challenge_opportunities," ","")&amp;",")))=0)),IF(BG117="",TRUE,IF(input_challenge_opportunities="",FALSE,SUMPRODUCT(--ISNUMBER(SEARCH(","&amp;TRIM(TEXTSPLIT(BG117,","))&amp;",",","&amp;SUBSTITUTE(input_challenge_opportunities," ","")&amp;",")))&gt;0)),IF(BI117="",TRUE,IF(input_challenge_opportunities="",FALSE,SUMPRODUCT(--ISNUMBER(SEARCH(","&amp;TRIM(TEXTSPLIT(BI117,","))&amp;",",","&amp;SUBSTITUTE(input_challenge_opportunities," ","")&amp;",")))=COUNTA(TEXTSPLIT(BI117,",")))))</f>
        <v/>
      </c>
      <c r="IY117" s="19">
        <f>AND(IF(BK117="",TRUE,IF(input_context="",FALSE,SUMPRODUCT(--ISNUMBER(SEARCH(","&amp;TRIM(TEXTSPLIT(BK117,","))&amp;",",","&amp;SUBSTITUTE(input_context," ","")&amp;",")))&gt;0)),IF(BM117="",TRUE,IF(input_context="",FALSE,SUMPRODUCT(--ISNUMBER(SEARCH(","&amp;TRIM(TEXTSPLIT(BM117,","))&amp;",",","&amp;SUBSTITUTE(input_context," ","")&amp;",")))=COUNTA(TEXTSPLIT(BM117,",")))),IF(BO117="",TRUE,IF(input_context="",TRUE,SUMPRODUCT(--ISNUMBER(SEARCH(","&amp;TRIM(TEXTSPLIT(BO117,","))&amp;",",","&amp;SUBSTITUTE(input_context," ","")&amp;",")))=0)),IF(BQ117="",TRUE,IF(input_context="",FALSE,SUMPRODUCT(--ISNUMBER(SEARCH(","&amp;TRIM(TEXTSPLIT(BQ117,","))&amp;",",","&amp;SUBSTITUTE(input_context," ","")&amp;",")))&gt;0)),IF(BS117="",TRUE,IF(input_context="",FALSE,SUMPRODUCT(--ISNUMBER(SEARCH(","&amp;TRIM(TEXTSPLIT(BS117,","))&amp;",",","&amp;SUBSTITUTE(input_context," ","")&amp;",")))=COUNTA(TEXTSPLIT(BS117,",")))))</f>
        <v/>
      </c>
      <c r="IZ117" s="19">
        <f>AND(IF(BU117="",TRUE,IF(input_enews_announcement_type="",FALSE,SUMPRODUCT(--ISNUMBER(SEARCH(","&amp;TRIM(TEXTSPLIT(BU117,","))&amp;",",","&amp;SUBSTITUTE(input_enews_announcement_type," ","")&amp;",")))&gt;0)),IF(BW117="",TRUE,IF(input_enews_announcement_type="",FALSE,SUMPRODUCT(--ISNUMBER(SEARCH(","&amp;TRIM(TEXTSPLIT(BW117,","))&amp;",",","&amp;SUBSTITUTE(input_enews_announcement_type," ","")&amp;",")))=COUNTA(TEXTSPLIT(BW117,",")))),IF(BY117="",TRUE,IF(input_enews_announcement_type="",TRUE,SUMPRODUCT(--ISNUMBER(SEARCH(","&amp;TRIM(TEXTSPLIT(BY117,","))&amp;",",","&amp;SUBSTITUTE(input_enews_announcement_type," ","")&amp;",")))=0)),IF(CA117="",TRUE,IF(input_enews_announcement_type="",FALSE,SUMPRODUCT(--ISNUMBER(SEARCH(","&amp;TRIM(TEXTSPLIT(CA117,","))&amp;",",","&amp;SUBSTITUTE(input_enews_announcement_type," ","")&amp;",")))&gt;0)),IF(CC117="",TRUE,IF(input_enews_announcement_type="",FALSE,SUMPRODUCT(--ISNUMBER(SEARCH(","&amp;TRIM(TEXTSPLIT(CC117,","))&amp;",",","&amp;SUBSTITUTE(input_enews_announcement_type," ","")&amp;",")))=COUNTA(TEXTSPLIT(CC117,",")))))</f>
        <v/>
      </c>
      <c r="JA117" s="19">
        <f>AND(IF(CE117="",TRUE,IF(input_enews_audience="",FALSE,SUMPRODUCT(--ISNUMBER(SEARCH(","&amp;TRIM(TEXTSPLIT(CE117,","))&amp;",",","&amp;SUBSTITUTE(input_enews_audience," ","")&amp;",")))&gt;0)),IF(CG117="",TRUE,IF(input_enews_audience="",FALSE,SUMPRODUCT(--ISNUMBER(SEARCH(","&amp;TRIM(TEXTSPLIT(CG117,","))&amp;",",","&amp;SUBSTITUTE(input_enews_audience," ","")&amp;",")))=COUNTA(TEXTSPLIT(CG117,",")))),IF(CI117="",TRUE,IF(input_enews_audience="",TRUE,SUMPRODUCT(--ISNUMBER(SEARCH(","&amp;TRIM(TEXTSPLIT(CI117,","))&amp;",",","&amp;SUBSTITUTE(input_enews_audience," ","")&amp;",")))=0)),IF(CK117="",TRUE,IF(input_enews_audience="",FALSE,SUMPRODUCT(--ISNUMBER(SEARCH(","&amp;TRIM(TEXTSPLIT(CK117,","))&amp;",",","&amp;SUBSTITUTE(input_enews_audience," ","")&amp;",")))&gt;0)),IF(CM117="",TRUE,IF(input_enews_audience="",FALSE,SUMPRODUCT(--ISNUMBER(SEARCH(","&amp;TRIM(TEXTSPLIT(CM117,","))&amp;",",","&amp;SUBSTITUTE(input_enews_audience," ","")&amp;",")))=COUNTA(TEXTSPLIT(CM117,",")))))</f>
        <v/>
      </c>
      <c r="JB117" s="19">
        <f>AND(IF(CO117="",TRUE,IF(input_event_location="",FALSE,SUMPRODUCT(--ISNUMBER(SEARCH(","&amp;TRIM(TEXTSPLIT(CO117,","))&amp;",",","&amp;SUBSTITUTE(input_event_location," ","")&amp;",")))&gt;0)),IF(CQ117="",TRUE,IF(input_event_location="",FALSE,SUMPRODUCT(--ISNUMBER(SEARCH(","&amp;TRIM(TEXTSPLIT(CQ117,","))&amp;",",","&amp;SUBSTITUTE(input_event_location," ","")&amp;",")))=COUNTA(TEXTSPLIT(CQ117,",")))),IF(CS117="",TRUE,IF(input_event_location="",TRUE,SUMPRODUCT(--ISNUMBER(SEARCH(","&amp;TRIM(TEXTSPLIT(CS117,","))&amp;",",","&amp;SUBSTITUTE(input_event_location," ","")&amp;",")))=0)),IF(CU117="",TRUE,IF(input_event_location="",FALSE,SUMPRODUCT(--ISNUMBER(SEARCH(","&amp;TRIM(TEXTSPLIT(CU117,","))&amp;",",","&amp;SUBSTITUTE(input_event_location," ","")&amp;",")))&gt;0)),IF(CW117="",TRUE,IF(input_event_location="",FALSE,SUMPRODUCT(--ISNUMBER(SEARCH(","&amp;TRIM(TEXTSPLIT(CW117,","))&amp;",",","&amp;SUBSTITUTE(input_event_location," ","")&amp;",")))=COUNTA(TEXTSPLIT(CW117,",")))))</f>
        <v/>
      </c>
      <c r="JC117" s="19">
        <f>AND(IF(CY117="",TRUE,IF(input_event_type="",FALSE,SUMPRODUCT(--ISNUMBER(SEARCH(","&amp;TRIM(TEXTSPLIT(CY117,","))&amp;",",","&amp;SUBSTITUTE(input_event_type," ","")&amp;",")))&gt;0)),IF(DA117="",TRUE,IF(input_event_type="",FALSE,SUMPRODUCT(--ISNUMBER(SEARCH(","&amp;TRIM(TEXTSPLIT(DA117,","))&amp;",",","&amp;SUBSTITUTE(input_event_type," ","")&amp;",")))=COUNTA(TEXTSPLIT(DA117,",")))),IF(DC117="",TRUE,IF(input_event_type="",TRUE,SUMPRODUCT(--ISNUMBER(SEARCH(","&amp;TRIM(TEXTSPLIT(DC117,","))&amp;",",","&amp;SUBSTITUTE(input_event_type," ","")&amp;",")))=0)),IF(DE117="",TRUE,IF(input_event_type="",FALSE,SUMPRODUCT(--ISNUMBER(SEARCH(","&amp;TRIM(TEXTSPLIT(DE117,","))&amp;",",","&amp;SUBSTITUTE(input_event_type," ","")&amp;",")))&gt;0)),IF(DG117="",TRUE,IF(input_event_type="",FALSE,SUMPRODUCT(--ISNUMBER(SEARCH(","&amp;TRIM(TEXTSPLIT(DG117,","))&amp;",",","&amp;SUBSTITUTE(input_event_type," ","")&amp;",")))=COUNTA(TEXTSPLIT(DG117,",")))))</f>
        <v/>
      </c>
      <c r="JD117" s="19">
        <f>AND(IF(DI117="",TRUE,IF(input_executive_education_focus="",FALSE,SUMPRODUCT(--ISNUMBER(SEARCH(","&amp;TRIM(TEXTSPLIT(DI117,","))&amp;",",","&amp;SUBSTITUTE(input_executive_education_focus," ","")&amp;",")))&gt;0)),IF(DK117="",TRUE,IF(input_executive_education_focus="",FALSE,SUMPRODUCT(--ISNUMBER(SEARCH(","&amp;TRIM(TEXTSPLIT(DK117,","))&amp;",",","&amp;SUBSTITUTE(input_executive_education_focus," ","")&amp;",")))=COUNTA(TEXTSPLIT(DK117,",")))),IF(DM117="",TRUE,IF(input_executive_education_focus="",TRUE,SUMPRODUCT(--ISNUMBER(SEARCH(","&amp;TRIM(TEXTSPLIT(DM117,","))&amp;",",","&amp;SUBSTITUTE(input_executive_education_focus," ","")&amp;",")))=0)),IF(DO117="",TRUE,IF(input_executive_education_focus="",FALSE,SUMPRODUCT(--ISNUMBER(SEARCH(","&amp;TRIM(TEXTSPLIT(DO117,","))&amp;",",","&amp;SUBSTITUTE(input_executive_education_focus," ","")&amp;",")))&gt;0)),IF(DQ117="",TRUE,IF(input_executive_education_focus="",FALSE,SUMPRODUCT(--ISNUMBER(SEARCH(","&amp;TRIM(TEXTSPLIT(DQ117,","))&amp;",",","&amp;SUBSTITUTE(input_executive_education_focus," ","")&amp;",")))=COUNTA(TEXTSPLIT(DQ117,",")))))</f>
        <v/>
      </c>
      <c r="JE117" s="19">
        <f>AND(IF(DS117="",TRUE,IF(input_faculty_category="",FALSE,SUMPRODUCT(--ISNUMBER(SEARCH(","&amp;TRIM(TEXTSPLIT(DS117,","))&amp;",",","&amp;SUBSTITUTE(input_faculty_category," ","")&amp;",")))&gt;0)),IF(DU117="",TRUE,IF(input_faculty_category="",FALSE,SUMPRODUCT(--ISNUMBER(SEARCH(","&amp;TRIM(TEXTSPLIT(DU117,","))&amp;",",","&amp;SUBSTITUTE(input_faculty_category," ","")&amp;",")))=COUNTA(TEXTSPLIT(DU117,",")))),IF(DW117="",TRUE,IF(input_faculty_category="",TRUE,SUMPRODUCT(--ISNUMBER(SEARCH(","&amp;TRIM(TEXTSPLIT(DW117,","))&amp;",",","&amp;SUBSTITUTE(input_faculty_category," ","")&amp;",")))=0)),IF(DY117="",TRUE,IF(input_faculty_category="",FALSE,SUMPRODUCT(--ISNUMBER(SEARCH(","&amp;TRIM(TEXTSPLIT(DY117,","))&amp;",",","&amp;SUBSTITUTE(input_faculty_category," ","")&amp;",")))&gt;0)),IF(EA117="",TRUE,IF(input_faculty_category="",FALSE,SUMPRODUCT(--ISNUMBER(SEARCH(","&amp;TRIM(TEXTSPLIT(EA117,","))&amp;",",","&amp;SUBSTITUTE(input_faculty_category," ","")&amp;",")))=COUNTA(TEXTSPLIT(EA117,",")))))</f>
        <v/>
      </c>
      <c r="JF117" s="19">
        <f>AND(IF(EC117="",TRUE,IF(input_faculty_discipline="",FALSE,SUMPRODUCT(--ISNUMBER(SEARCH(","&amp;TRIM(TEXTSPLIT(EC117,","))&amp;",",","&amp;SUBSTITUTE(input_faculty_discipline," ","")&amp;",")))&gt;0)),IF(EE117="",TRUE,IF(input_faculty_discipline="",FALSE,SUMPRODUCT(--ISNUMBER(SEARCH(","&amp;TRIM(TEXTSPLIT(EE117,","))&amp;",",","&amp;SUBSTITUTE(input_faculty_discipline," ","")&amp;",")))=COUNTA(TEXTSPLIT(EE117,",")))),IF(EG117="",TRUE,IF(input_faculty_discipline="",TRUE,SUMPRODUCT(--ISNUMBER(SEARCH(","&amp;TRIM(TEXTSPLIT(EG117,","))&amp;",",","&amp;SUBSTITUTE(input_faculty_discipline," ","")&amp;",")))=0)),IF(EI117="",TRUE,IF(input_faculty_discipline="",FALSE,SUMPRODUCT(--ISNUMBER(SEARCH(","&amp;TRIM(TEXTSPLIT(EI117,","))&amp;",",","&amp;SUBSTITUTE(input_faculty_discipline," ","")&amp;",")))&gt;0)),IF(EK117="",TRUE,IF(input_faculty_discipline="",FALSE,SUMPRODUCT(--ISNUMBER(SEARCH(","&amp;TRIM(TEXTSPLIT(EK117,","))&amp;",",","&amp;SUBSTITUTE(input_faculty_discipline," ","")&amp;",")))=COUNTA(TEXTSPLIT(EK117,",")))))</f>
        <v/>
      </c>
      <c r="JG117" s="19">
        <f>AND(IF(EM117="",TRUE,IF(input_faculty_expertise="",FALSE,SUMPRODUCT(--ISNUMBER(SEARCH(","&amp;TRIM(TEXTSPLIT(EM117,","))&amp;",",","&amp;SUBSTITUTE(input_faculty_expertise," ","")&amp;",")))&gt;0)),IF(EO117="",TRUE,IF(input_faculty_expertise="",FALSE,SUMPRODUCT(--ISNUMBER(SEARCH(","&amp;TRIM(TEXTSPLIT(EO117,","))&amp;",",","&amp;SUBSTITUTE(input_faculty_expertise," ","")&amp;",")))=COUNTA(TEXTSPLIT(EO117,",")))),IF(EQ117="",TRUE,IF(input_faculty_expertise="",TRUE,SUMPRODUCT(--ISNUMBER(SEARCH(","&amp;TRIM(TEXTSPLIT(EQ117,","))&amp;",",","&amp;SUBSTITUTE(input_faculty_expertise," ","")&amp;",")))=0)),IF(ES117="",TRUE,IF(input_faculty_expertise="",FALSE,SUMPRODUCT(--ISNUMBER(SEARCH(","&amp;TRIM(TEXTSPLIT(ES117,","))&amp;",",","&amp;SUBSTITUTE(input_faculty_expertise," ","")&amp;",")))&gt;0)),IF(EU117="",TRUE,IF(input_faculty_expertise="",FALSE,SUMPRODUCT(--ISNUMBER(SEARCH(","&amp;TRIM(TEXTSPLIT(EU117,","))&amp;",",","&amp;SUBSTITUTE(input_faculty_expertise," ","")&amp;",")))=COUNTA(TEXTSPLIT(EU117,",")))))</f>
        <v/>
      </c>
      <c r="JH117" s="19">
        <f>AND(IF(EW117="",TRUE,IF(input_global_network_school="",FALSE,SUMPRODUCT(--ISNUMBER(SEARCH(","&amp;TRIM(TEXTSPLIT(EW117,","))&amp;",",","&amp;SUBSTITUTE(input_global_network_school," ","")&amp;",")))&gt;0)),IF(EY117="",TRUE,IF(input_global_network_school="",FALSE,SUMPRODUCT(--ISNUMBER(SEARCH(","&amp;TRIM(TEXTSPLIT(EY117,","))&amp;",",","&amp;SUBSTITUTE(input_global_network_school," ","")&amp;",")))=COUNTA(TEXTSPLIT(EY117,",")))),IF(FA117="",TRUE,IF(input_global_network_school="",TRUE,SUMPRODUCT(--ISNUMBER(SEARCH(","&amp;TRIM(TEXTSPLIT(FA117,","))&amp;",",","&amp;SUBSTITUTE(input_global_network_school," ","")&amp;",")))=0)),IF(FC117="",TRUE,IF(input_global_network_school="",FALSE,SUMPRODUCT(--ISNUMBER(SEARCH(","&amp;TRIM(TEXTSPLIT(FC117,","))&amp;",",","&amp;SUBSTITUTE(input_global_network_school," ","")&amp;",")))&gt;0)),IF(FE117="",TRUE,IF(input_global_network_school="",FALSE,SUMPRODUCT(--ISNUMBER(SEARCH(","&amp;TRIM(TEXTSPLIT(FE117,","))&amp;",",","&amp;SUBSTITUTE(input_global_network_school," ","")&amp;",")))=COUNTA(TEXTSPLIT(FE117,",")))))</f>
        <v/>
      </c>
      <c r="JI117" s="19">
        <f>AND(IF(FG117="",TRUE,IF(input_industry="",FALSE,SUMPRODUCT(--ISNUMBER(SEARCH(","&amp;TRIM(TEXTSPLIT(FG117,","))&amp;",",","&amp;SUBSTITUTE(input_industry," ","")&amp;",")))&gt;0)),IF(FI117="",TRUE,IF(input_industry="",FALSE,SUMPRODUCT(--ISNUMBER(SEARCH(","&amp;TRIM(TEXTSPLIT(FI117,","))&amp;",",","&amp;SUBSTITUTE(input_industry," ","")&amp;",")))=COUNTA(TEXTSPLIT(FI117,",")))),IF(FK117="",TRUE,IF(input_industry="",TRUE,SUMPRODUCT(--ISNUMBER(SEARCH(","&amp;TRIM(TEXTSPLIT(FK117,","))&amp;",",","&amp;SUBSTITUTE(input_industry," ","")&amp;",")))=0)),IF(FM117="",TRUE,IF(input_industry="",FALSE,SUMPRODUCT(--ISNUMBER(SEARCH(","&amp;TRIM(TEXTSPLIT(FM117,","))&amp;",",","&amp;SUBSTITUTE(input_industry," ","")&amp;",")))&gt;0)),IF(FO117="",TRUE,IF(input_industry="",FALSE,SUMPRODUCT(--ISNUMBER(SEARCH(","&amp;TRIM(TEXTSPLIT(FO117,","))&amp;",",","&amp;SUBSTITUTE(input_industry," ","")&amp;",")))=COUNTA(TEXTSPLIT(FO117,",")))))</f>
        <v/>
      </c>
      <c r="JJ117" s="19">
        <f>AND(IF(FQ117="",TRUE,IF(input_location="",FALSE,SUMPRODUCT(--ISNUMBER(SEARCH(","&amp;TRIM(TEXTSPLIT(FQ117,","))&amp;",",","&amp;SUBSTITUTE(input_location," ","")&amp;",")))&gt;0)),IF(FS117="",TRUE,IF(input_location="",FALSE,SUMPRODUCT(--ISNUMBER(SEARCH(","&amp;TRIM(TEXTSPLIT(FS117,","))&amp;",",","&amp;SUBSTITUTE(input_location," ","")&amp;",")))=COUNTA(TEXTSPLIT(FS117,",")))),IF(FU117="",TRUE,IF(input_location="",TRUE,SUMPRODUCT(--ISNUMBER(SEARCH(","&amp;TRIM(TEXTSPLIT(FU117,","))&amp;",",","&amp;SUBSTITUTE(input_location," ","")&amp;",")))=0)),IF(FW117="",TRUE,IF(input_location="",FALSE,SUMPRODUCT(--ISNUMBER(SEARCH(","&amp;TRIM(TEXTSPLIT(FW117,","))&amp;",",","&amp;SUBSTITUTE(input_location," ","")&amp;",")))&gt;0)),IF(FY117="",TRUE,IF(input_location="",FALSE,SUMPRODUCT(--ISNUMBER(SEARCH(","&amp;TRIM(TEXTSPLIT(FY117,","))&amp;",",","&amp;SUBSTITUTE(input_location," ","")&amp;",")))=COUNTA(TEXTSPLIT(FY117,",")))))</f>
        <v/>
      </c>
      <c r="JK117" s="19">
        <f>AND(IF(GA117="",TRUE,IF(input_modality="",FALSE,SUMPRODUCT(--ISNUMBER(SEARCH(","&amp;TRIM(TEXTSPLIT(GA117,","))&amp;",",","&amp;SUBSTITUTE(input_modality," ","")&amp;",")))&gt;0)),IF(GC117="",TRUE,IF(input_modality="",FALSE,SUMPRODUCT(--ISNUMBER(SEARCH(","&amp;TRIM(TEXTSPLIT(GC117,","))&amp;",",","&amp;SUBSTITUTE(input_modality," ","")&amp;",")))=COUNTA(TEXTSPLIT(GC117,",")))),IF(GE117="",TRUE,IF(input_modality="",TRUE,SUMPRODUCT(--ISNUMBER(SEARCH(","&amp;TRIM(TEXTSPLIT(GE117,","))&amp;",",","&amp;SUBSTITUTE(input_modality," ","")&amp;",")))=0)),IF(GG117="",TRUE,IF(input_modality="",FALSE,SUMPRODUCT(--ISNUMBER(SEARCH(","&amp;TRIM(TEXTSPLIT(GG117,","))&amp;",",","&amp;SUBSTITUTE(input_modality," ","")&amp;",")))&gt;0)),IF(GI117="",TRUE,IF(input_modality="",FALSE,SUMPRODUCT(--ISNUMBER(SEARCH(","&amp;TRIM(TEXTSPLIT(GI117,","))&amp;",",","&amp;SUBSTITUTE(input_modality," ","")&amp;",")))=COUNTA(TEXTSPLIT(GI117,",")))))</f>
        <v/>
      </c>
      <c r="JL117" s="19">
        <f>AND(IF(GK117="",TRUE,IF(input_organizer="",FALSE,SUMPRODUCT(--ISNUMBER(SEARCH(","&amp;TRIM(TEXTSPLIT(GK117,","))&amp;",",","&amp;SUBSTITUTE(input_organizer," ","")&amp;",")))&gt;0)),IF(GM117="",TRUE,IF(input_organizer="",FALSE,SUMPRODUCT(--ISNUMBER(SEARCH(","&amp;TRIM(TEXTSPLIT(GM117,","))&amp;",",","&amp;SUBSTITUTE(input_organizer," ","")&amp;",")))=COUNTA(TEXTSPLIT(GM117,",")))),IF(GO117="",TRUE,IF(input_organizer="",TRUE,SUMPRODUCT(--ISNUMBER(SEARCH(","&amp;TRIM(TEXTSPLIT(GO117,","))&amp;",",","&amp;SUBSTITUTE(input_organizer," ","")&amp;",")))=0)),IF(GQ117="",TRUE,IF(input_organizer="",FALSE,SUMPRODUCT(--ISNUMBER(SEARCH(","&amp;TRIM(TEXTSPLIT(GQ117,","))&amp;",",","&amp;SUBSTITUTE(input_organizer," ","")&amp;",")))&gt;0)),IF(GS117="",TRUE,IF(input_organizer="",FALSE,SUMPRODUCT(--ISNUMBER(SEARCH(","&amp;TRIM(TEXTSPLIT(GS117,","))&amp;",",","&amp;SUBSTITUTE(input_organizer," ","")&amp;",")))=COUNTA(TEXTSPLIT(GS117,",")))))</f>
        <v/>
      </c>
      <c r="JM117" s="19">
        <f>AND(IF(GU117="",TRUE,IF(input_profile_type="",FALSE,SUMPRODUCT(--ISNUMBER(SEARCH(","&amp;TRIM(TEXTSPLIT(GU117,","))&amp;",",","&amp;SUBSTITUTE(input_profile_type," ","")&amp;",")))&gt;0)),IF(GW117="",TRUE,IF(input_profile_type="",FALSE,SUMPRODUCT(--ISNUMBER(SEARCH(","&amp;TRIM(TEXTSPLIT(GW117,","))&amp;",",","&amp;SUBSTITUTE(input_profile_type," ","")&amp;",")))=COUNTA(TEXTSPLIT(GW117,",")))),IF(GY117="",TRUE,IF(input_profile_type="",TRUE,SUMPRODUCT(--ISNUMBER(SEARCH(","&amp;TRIM(TEXTSPLIT(GY117,","))&amp;",",","&amp;SUBSTITUTE(input_profile_type," ","")&amp;",")))=0)),IF(HA117="",TRUE,IF(input_profile_type="",FALSE,SUMPRODUCT(--ISNUMBER(SEARCH(","&amp;TRIM(TEXTSPLIT(HA117,","))&amp;",",","&amp;SUBSTITUTE(input_profile_type," ","")&amp;",")))&gt;0)),IF(HC117="",TRUE,IF(input_profile_type="",FALSE,SUMPRODUCT(--ISNUMBER(SEARCH(","&amp;TRIM(TEXTSPLIT(HC117,","))&amp;",",","&amp;SUBSTITUTE(input_profile_type," ","")&amp;",")))=COUNTA(TEXTSPLIT(HC117,",")))))</f>
        <v/>
      </c>
      <c r="JN117" s="19">
        <f>AND(IF(HE117="",TRUE,IF(input_program="",FALSE,SUMPRODUCT(--ISNUMBER(SEARCH(","&amp;TRIM(TEXTSPLIT(HE117,","))&amp;",",","&amp;SUBSTITUTE(input_program," ","")&amp;",")))&gt;0)),IF(HG117="",TRUE,IF(input_program="",FALSE,SUMPRODUCT(--ISNUMBER(SEARCH(","&amp;TRIM(TEXTSPLIT(HG117,","))&amp;",",","&amp;SUBSTITUTE(input_program," ","")&amp;",")))=COUNTA(TEXTSPLIT(HG117,",")))),IF(HI117="",TRUE,IF(input_program="",TRUE,SUMPRODUCT(--ISNUMBER(SEARCH(","&amp;TRIM(TEXTSPLIT(HI117,","))&amp;",",","&amp;SUBSTITUTE(input_program," ","")&amp;",")))=0)),IF(HK117="",TRUE,IF(input_program="",FALSE,SUMPRODUCT(--ISNUMBER(SEARCH(","&amp;TRIM(TEXTSPLIT(HK117,","))&amp;",",","&amp;SUBSTITUTE(input_program," ","")&amp;",")))&gt;0)),IF(HM117="",TRUE,IF(input_program="",FALSE,SUMPRODUCT(--ISNUMBER(SEARCH(","&amp;TRIM(TEXTSPLIT(HM117,","))&amp;",",","&amp;SUBSTITUTE(input_program," ","")&amp;",")))=COUNTA(TEXTSPLIT(HM117,",")))))</f>
        <v/>
      </c>
      <c r="JO117" s="19">
        <f>AND(IF(HO117="",TRUE,IF(input_story_categories="",FALSE,SUMPRODUCT(--ISNUMBER(SEARCH(","&amp;TRIM(TEXTSPLIT(HO117,","))&amp;",",","&amp;SUBSTITUTE(input_story_categories," ","")&amp;",")))&gt;0)),IF(HQ117="",TRUE,IF(input_story_categories="",FALSE,SUMPRODUCT(--ISNUMBER(SEARCH(","&amp;TRIM(TEXTSPLIT(HQ117,","))&amp;",",","&amp;SUBSTITUTE(input_story_categories," ","")&amp;",")))=COUNTA(TEXTSPLIT(HQ117,",")))),IF(HS117="",TRUE,IF(input_story_categories="",TRUE,SUMPRODUCT(--ISNUMBER(SEARCH(","&amp;TRIM(TEXTSPLIT(HS117,","))&amp;",",","&amp;SUBSTITUTE(input_story_categories," ","")&amp;",")))=0)),IF(HU117="",TRUE,IF(input_story_categories="",FALSE,SUMPRODUCT(--ISNUMBER(SEARCH(","&amp;TRIM(TEXTSPLIT(HU117,","))&amp;",",","&amp;SUBSTITUTE(input_story_categories," ","")&amp;",")))&gt;0)),IF(HW117="",TRUE,IF(input_story_categories="",FALSE,SUMPRODUCT(--ISNUMBER(SEARCH(","&amp;TRIM(TEXTSPLIT(HW117,","))&amp;",",","&amp;SUBSTITUTE(input_story_categories," ","")&amp;",")))=COUNTA(TEXTSPLIT(HW117,",")))))</f>
        <v/>
      </c>
      <c r="JP117" s="19">
        <f>AND(IF(HY117="",TRUE,IF(input_story_type="",FALSE,SUMPRODUCT(--ISNUMBER(SEARCH(","&amp;TRIM(TEXTSPLIT(HY117,","))&amp;",",","&amp;SUBSTITUTE(input_story_type," ","")&amp;",")))&gt;0)),IF(IA117="",TRUE,IF(input_story_type="",FALSE,SUMPRODUCT(--ISNUMBER(SEARCH(","&amp;TRIM(TEXTSPLIT(IA117,","))&amp;",",","&amp;SUBSTITUTE(input_story_type," ","")&amp;",")))=COUNTA(TEXTSPLIT(IA117,",")))),IF(IC117="",TRUE,IF(input_story_type="",TRUE,SUMPRODUCT(--ISNUMBER(SEARCH(","&amp;TRIM(TEXTSPLIT(IC117,","))&amp;",",","&amp;SUBSTITUTE(input_story_type," ","")&amp;",")))=0)),IF(IE117="",TRUE,IF(input_story_type="",FALSE,SUMPRODUCT(--ISNUMBER(SEARCH(","&amp;TRIM(TEXTSPLIT(IE117,","))&amp;",",","&amp;SUBSTITUTE(input_story_type," ","")&amp;",")))&gt;0)),IF(IG117="",TRUE,IF(input_story_type="",FALSE,SUMPRODUCT(--ISNUMBER(SEARCH(","&amp;TRIM(TEXTSPLIT(IG117,","))&amp;",",","&amp;SUBSTITUTE(input_story_type," ","")&amp;",")))=COUNTA(TEXTSPLIT(IG117,",")))))</f>
        <v/>
      </c>
      <c r="JQ117" s="19">
        <f>AND(IF(II117="",TRUE,IF(input_topics="",FALSE,SUMPRODUCT(--ISNUMBER(SEARCH(","&amp;TRIM(TEXTSPLIT(II117,","))&amp;",",","&amp;SUBSTITUTE(input_topics," ","")&amp;",")))&gt;0)),IF(IK117="",TRUE,IF(input_topics="",FALSE,SUMPRODUCT(--ISNUMBER(SEARCH(","&amp;TRIM(TEXTSPLIT(IK117,","))&amp;",",","&amp;SUBSTITUTE(input_topics," ","")&amp;",")))=COUNTA(TEXTSPLIT(IK117,",")))),IF(IM117="",TRUE,IF(input_topics="",TRUE,SUMPRODUCT(--ISNUMBER(SEARCH(","&amp;TRIM(TEXTSPLIT(IM117,","))&amp;",",","&amp;SUBSTITUTE(input_topics," ","")&amp;",")))=0)),IF(IO117="",TRUE,IF(input_topics="",FALSE,SUMPRODUCT(--ISNUMBER(SEARCH(","&amp;TRIM(TEXTSPLIT(IO117,","))&amp;",",","&amp;SUBSTITUTE(input_topics," ","")&amp;",")))&gt;0)),IF(IQ117="",TRUE,IF(input_topics="",FALSE,SUMPRODUCT(--ISNUMBER(SEARCH(","&amp;TRIM(TEXTSPLIT(IQ117,","))&amp;",",","&amp;SUBSTITUTE(input_topics," ","")&amp;",")))=COUNTA(TEXTSPLIT(IQ117,",")))))</f>
        <v/>
      </c>
    </row>
    <row r="118">
      <c r="A118" s="24">
        <f>IF(NOT(IS118),"Excluded",IF(AND(IT118,IU118,IV118,IW118,IX118,IY118,IZ118,JA118,JB118,JC118,JD118,JE118,JF118,JG118,JH118,JI118,JJ118,JK118,JL118,JM118,JN118,JO118,JP118,JQ118),IF(I118&gt;0,"Eligible but limited","Will appear"),"Excluded"))</f>
        <v/>
      </c>
      <c r="B118" s="24" t="inlineStr">
        <is>
          <t>ICF Headlines</t>
        </is>
      </c>
      <c r="C118" s="27" t="inlineStr">
        <is>
          <t>/centers/international-center-for-finance/headlines</t>
        </is>
      </c>
      <c r="D118" s="24" t="inlineStr">
        <is>
          <t>/centers/international-center-for-finance/headlines</t>
        </is>
      </c>
      <c r="E118" s="24" t="n">
        <v>1</v>
      </c>
      <c r="F118" s="24" t="inlineStr">
        <is>
          <t>story</t>
        </is>
      </c>
      <c r="G118" s="24" t="inlineStr">
        <is>
          <t>stories_list</t>
        </is>
      </c>
      <c r="H118" s="24" t="inlineStr">
        <is>
          <t>embed_1</t>
        </is>
      </c>
      <c r="I118" s="24" t="n">
        <v>10</v>
      </c>
      <c r="J118" s="28" t="inlineStr">
        <is>
          <t>Explicit args</t>
        </is>
      </c>
      <c r="K118" s="24" t="inlineStr">
        <is>
          <t>Page placement</t>
        </is>
      </c>
      <c r="L118" s="24" t="inlineStr">
        <is>
          <t>Content type: story; Context uses Courses Context: International Center for Finance (931); Limited to 10 item(s); Source: Explicit args</t>
        </is>
      </c>
      <c r="BQ118" s="19" t="inlineStr">
        <is>
          <t>931</t>
        </is>
      </c>
      <c r="BR118" s="19" t="inlineStr">
        <is>
          <t>International Center for Finance (931)</t>
        </is>
      </c>
      <c r="IS118" s="19">
        <f>IF(input_content_type="",FALSE,ISNUMBER(SEARCH(","&amp;LOWER(input_content_type)&amp;",",","&amp;LOWER(SUBSTITUTE(F118," ",""))&amp;",")))</f>
        <v/>
      </c>
      <c r="IT118" s="19">
        <f>AND(IF(M118="",TRUE,IF(input_affiliations="",FALSE,SUMPRODUCT(--ISNUMBER(SEARCH(","&amp;TRIM(TEXTSPLIT(M118,","))&amp;",",","&amp;SUBSTITUTE(input_affiliations," ","")&amp;",")))&gt;0)),IF(O118="",TRUE,IF(input_affiliations="",FALSE,SUMPRODUCT(--ISNUMBER(SEARCH(","&amp;TRIM(TEXTSPLIT(O118,","))&amp;",",","&amp;SUBSTITUTE(input_affiliations," ","")&amp;",")))=COUNTA(TEXTSPLIT(O118,",")))),IF(Q118="",TRUE,IF(input_affiliations="",TRUE,SUMPRODUCT(--ISNUMBER(SEARCH(","&amp;TRIM(TEXTSPLIT(Q118,","))&amp;",",","&amp;SUBSTITUTE(input_affiliations," ","")&amp;",")))=0)),IF(S118="",TRUE,IF(input_affiliations="",FALSE,SUMPRODUCT(--ISNUMBER(SEARCH(","&amp;TRIM(TEXTSPLIT(S118,","))&amp;",",","&amp;SUBSTITUTE(input_affiliations," ","")&amp;",")))&gt;0)),IF(U118="",TRUE,IF(input_affiliations="",FALSE,SUMPRODUCT(--ISNUMBER(SEARCH(","&amp;TRIM(TEXTSPLIT(U118,","))&amp;",",","&amp;SUBSTITUTE(input_affiliations," ","")&amp;",")))=COUNTA(TEXTSPLIT(U118,",")))))</f>
        <v/>
      </c>
      <c r="IU118" s="19">
        <f>AND(IF(W118="",TRUE,IF(input_announcement_category="",FALSE,SUMPRODUCT(--ISNUMBER(SEARCH(","&amp;TRIM(TEXTSPLIT(W118,","))&amp;",",","&amp;SUBSTITUTE(input_announcement_category," ","")&amp;",")))&gt;0)),IF(Y118="",TRUE,IF(input_announcement_category="",FALSE,SUMPRODUCT(--ISNUMBER(SEARCH(","&amp;TRIM(TEXTSPLIT(Y118,","))&amp;",",","&amp;SUBSTITUTE(input_announcement_category," ","")&amp;",")))=COUNTA(TEXTSPLIT(Y118,",")))),IF(AA118="",TRUE,IF(input_announcement_category="",TRUE,SUMPRODUCT(--ISNUMBER(SEARCH(","&amp;TRIM(TEXTSPLIT(AA118,","))&amp;",",","&amp;SUBSTITUTE(input_announcement_category," ","")&amp;",")))=0)),IF(AC118="",TRUE,IF(input_announcement_category="",FALSE,SUMPRODUCT(--ISNUMBER(SEARCH(","&amp;TRIM(TEXTSPLIT(AC118,","))&amp;",",","&amp;SUBSTITUTE(input_announcement_category," ","")&amp;",")))&gt;0)),IF(AE118="",TRUE,IF(input_announcement_category="",FALSE,SUMPRODUCT(--ISNUMBER(SEARCH(","&amp;TRIM(TEXTSPLIT(AE118,","))&amp;",",","&amp;SUBSTITUTE(input_announcement_category," ","")&amp;",")))=COUNTA(TEXTSPLIT(AE118,",")))))</f>
        <v/>
      </c>
      <c r="IV118" s="19">
        <f>AND(IF(AG118="",TRUE,IF(input_area_of_focus="",FALSE,SUMPRODUCT(--ISNUMBER(SEARCH(","&amp;TRIM(TEXTSPLIT(AG118,","))&amp;",",","&amp;SUBSTITUTE(input_area_of_focus," ","")&amp;",")))&gt;0)),IF(AI118="",TRUE,IF(input_area_of_focus="",FALSE,SUMPRODUCT(--ISNUMBER(SEARCH(","&amp;TRIM(TEXTSPLIT(AI118,","))&amp;",",","&amp;SUBSTITUTE(input_area_of_focus," ","")&amp;",")))=COUNTA(TEXTSPLIT(AI118,",")))),IF(AK118="",TRUE,IF(input_area_of_focus="",TRUE,SUMPRODUCT(--ISNUMBER(SEARCH(","&amp;TRIM(TEXTSPLIT(AK118,","))&amp;",",","&amp;SUBSTITUTE(input_area_of_focus," ","")&amp;",")))=0)),IF(AM118="",TRUE,IF(input_area_of_focus="",FALSE,SUMPRODUCT(--ISNUMBER(SEARCH(","&amp;TRIM(TEXTSPLIT(AM118,","))&amp;",",","&amp;SUBSTITUTE(input_area_of_focus," ","")&amp;",")))&gt;0)),IF(AO118="",TRUE,IF(input_area_of_focus="",FALSE,SUMPRODUCT(--ISNUMBER(SEARCH(","&amp;TRIM(TEXTSPLIT(AO118,","))&amp;",",","&amp;SUBSTITUTE(input_area_of_focus," ","")&amp;",")))=COUNTA(TEXTSPLIT(AO118,",")))))</f>
        <v/>
      </c>
      <c r="IW118" s="19">
        <f>AND(IF(AQ118="",TRUE,IF(input_audience="",FALSE,SUMPRODUCT(--ISNUMBER(SEARCH(","&amp;TRIM(TEXTSPLIT(AQ118,","))&amp;",",","&amp;SUBSTITUTE(input_audience," ","")&amp;",")))&gt;0)),IF(AS118="",TRUE,IF(input_audience="",FALSE,SUMPRODUCT(--ISNUMBER(SEARCH(","&amp;TRIM(TEXTSPLIT(AS118,","))&amp;",",","&amp;SUBSTITUTE(input_audience," ","")&amp;",")))=COUNTA(TEXTSPLIT(AS118,",")))),IF(AU118="",TRUE,IF(input_audience="",TRUE,SUMPRODUCT(--ISNUMBER(SEARCH(","&amp;TRIM(TEXTSPLIT(AU118,","))&amp;",",","&amp;SUBSTITUTE(input_audience," ","")&amp;",")))=0)),IF(AW118="",TRUE,IF(input_audience="",FALSE,SUMPRODUCT(--ISNUMBER(SEARCH(","&amp;TRIM(TEXTSPLIT(AW118,","))&amp;",",","&amp;SUBSTITUTE(input_audience," ","")&amp;",")))&gt;0)),IF(AY118="",TRUE,IF(input_audience="",FALSE,SUMPRODUCT(--ISNUMBER(SEARCH(","&amp;TRIM(TEXTSPLIT(AY118,","))&amp;",",","&amp;SUBSTITUTE(input_audience," ","")&amp;",")))=COUNTA(TEXTSPLIT(AY118,",")))))</f>
        <v/>
      </c>
      <c r="IX118" s="19">
        <f>AND(IF(BA118="",TRUE,IF(input_challenge_opportunities="",FALSE,SUMPRODUCT(--ISNUMBER(SEARCH(","&amp;TRIM(TEXTSPLIT(BA118,","))&amp;",",","&amp;SUBSTITUTE(input_challenge_opportunities," ","")&amp;",")))&gt;0)),IF(BC118="",TRUE,IF(input_challenge_opportunities="",FALSE,SUMPRODUCT(--ISNUMBER(SEARCH(","&amp;TRIM(TEXTSPLIT(BC118,","))&amp;",",","&amp;SUBSTITUTE(input_challenge_opportunities," ","")&amp;",")))=COUNTA(TEXTSPLIT(BC118,",")))),IF(BE118="",TRUE,IF(input_challenge_opportunities="",TRUE,SUMPRODUCT(--ISNUMBER(SEARCH(","&amp;TRIM(TEXTSPLIT(BE118,","))&amp;",",","&amp;SUBSTITUTE(input_challenge_opportunities," ","")&amp;",")))=0)),IF(BG118="",TRUE,IF(input_challenge_opportunities="",FALSE,SUMPRODUCT(--ISNUMBER(SEARCH(","&amp;TRIM(TEXTSPLIT(BG118,","))&amp;",",","&amp;SUBSTITUTE(input_challenge_opportunities," ","")&amp;",")))&gt;0)),IF(BI118="",TRUE,IF(input_challenge_opportunities="",FALSE,SUMPRODUCT(--ISNUMBER(SEARCH(","&amp;TRIM(TEXTSPLIT(BI118,","))&amp;",",","&amp;SUBSTITUTE(input_challenge_opportunities," ","")&amp;",")))=COUNTA(TEXTSPLIT(BI118,",")))))</f>
        <v/>
      </c>
      <c r="IY118" s="19">
        <f>AND(IF(BK118="",TRUE,IF(input_context="",FALSE,SUMPRODUCT(--ISNUMBER(SEARCH(","&amp;TRIM(TEXTSPLIT(BK118,","))&amp;",",","&amp;SUBSTITUTE(input_context," ","")&amp;",")))&gt;0)),IF(BM118="",TRUE,IF(input_context="",FALSE,SUMPRODUCT(--ISNUMBER(SEARCH(","&amp;TRIM(TEXTSPLIT(BM118,","))&amp;",",","&amp;SUBSTITUTE(input_context," ","")&amp;",")))=COUNTA(TEXTSPLIT(BM118,",")))),IF(BO118="",TRUE,IF(input_context="",TRUE,SUMPRODUCT(--ISNUMBER(SEARCH(","&amp;TRIM(TEXTSPLIT(BO118,","))&amp;",",","&amp;SUBSTITUTE(input_context," ","")&amp;",")))=0)),IF(BQ118="",TRUE,IF(input_context="",FALSE,SUMPRODUCT(--ISNUMBER(SEARCH(","&amp;TRIM(TEXTSPLIT(BQ118,","))&amp;",",","&amp;SUBSTITUTE(input_context," ","")&amp;",")))&gt;0)),IF(BS118="",TRUE,IF(input_context="",FALSE,SUMPRODUCT(--ISNUMBER(SEARCH(","&amp;TRIM(TEXTSPLIT(BS118,","))&amp;",",","&amp;SUBSTITUTE(input_context," ","")&amp;",")))=COUNTA(TEXTSPLIT(BS118,",")))))</f>
        <v/>
      </c>
      <c r="IZ118" s="19">
        <f>AND(IF(BU118="",TRUE,IF(input_enews_announcement_type="",FALSE,SUMPRODUCT(--ISNUMBER(SEARCH(","&amp;TRIM(TEXTSPLIT(BU118,","))&amp;",",","&amp;SUBSTITUTE(input_enews_announcement_type," ","")&amp;",")))&gt;0)),IF(BW118="",TRUE,IF(input_enews_announcement_type="",FALSE,SUMPRODUCT(--ISNUMBER(SEARCH(","&amp;TRIM(TEXTSPLIT(BW118,","))&amp;",",","&amp;SUBSTITUTE(input_enews_announcement_type," ","")&amp;",")))=COUNTA(TEXTSPLIT(BW118,",")))),IF(BY118="",TRUE,IF(input_enews_announcement_type="",TRUE,SUMPRODUCT(--ISNUMBER(SEARCH(","&amp;TRIM(TEXTSPLIT(BY118,","))&amp;",",","&amp;SUBSTITUTE(input_enews_announcement_type," ","")&amp;",")))=0)),IF(CA118="",TRUE,IF(input_enews_announcement_type="",FALSE,SUMPRODUCT(--ISNUMBER(SEARCH(","&amp;TRIM(TEXTSPLIT(CA118,","))&amp;",",","&amp;SUBSTITUTE(input_enews_announcement_type," ","")&amp;",")))&gt;0)),IF(CC118="",TRUE,IF(input_enews_announcement_type="",FALSE,SUMPRODUCT(--ISNUMBER(SEARCH(","&amp;TRIM(TEXTSPLIT(CC118,","))&amp;",",","&amp;SUBSTITUTE(input_enews_announcement_type," ","")&amp;",")))=COUNTA(TEXTSPLIT(CC118,",")))))</f>
        <v/>
      </c>
      <c r="JA118" s="19">
        <f>AND(IF(CE118="",TRUE,IF(input_enews_audience="",FALSE,SUMPRODUCT(--ISNUMBER(SEARCH(","&amp;TRIM(TEXTSPLIT(CE118,","))&amp;",",","&amp;SUBSTITUTE(input_enews_audience," ","")&amp;",")))&gt;0)),IF(CG118="",TRUE,IF(input_enews_audience="",FALSE,SUMPRODUCT(--ISNUMBER(SEARCH(","&amp;TRIM(TEXTSPLIT(CG118,","))&amp;",",","&amp;SUBSTITUTE(input_enews_audience," ","")&amp;",")))=COUNTA(TEXTSPLIT(CG118,",")))),IF(CI118="",TRUE,IF(input_enews_audience="",TRUE,SUMPRODUCT(--ISNUMBER(SEARCH(","&amp;TRIM(TEXTSPLIT(CI118,","))&amp;",",","&amp;SUBSTITUTE(input_enews_audience," ","")&amp;",")))=0)),IF(CK118="",TRUE,IF(input_enews_audience="",FALSE,SUMPRODUCT(--ISNUMBER(SEARCH(","&amp;TRIM(TEXTSPLIT(CK118,","))&amp;",",","&amp;SUBSTITUTE(input_enews_audience," ","")&amp;",")))&gt;0)),IF(CM118="",TRUE,IF(input_enews_audience="",FALSE,SUMPRODUCT(--ISNUMBER(SEARCH(","&amp;TRIM(TEXTSPLIT(CM118,","))&amp;",",","&amp;SUBSTITUTE(input_enews_audience," ","")&amp;",")))=COUNTA(TEXTSPLIT(CM118,",")))))</f>
        <v/>
      </c>
      <c r="JB118" s="19">
        <f>AND(IF(CO118="",TRUE,IF(input_event_location="",FALSE,SUMPRODUCT(--ISNUMBER(SEARCH(","&amp;TRIM(TEXTSPLIT(CO118,","))&amp;",",","&amp;SUBSTITUTE(input_event_location," ","")&amp;",")))&gt;0)),IF(CQ118="",TRUE,IF(input_event_location="",FALSE,SUMPRODUCT(--ISNUMBER(SEARCH(","&amp;TRIM(TEXTSPLIT(CQ118,","))&amp;",",","&amp;SUBSTITUTE(input_event_location," ","")&amp;",")))=COUNTA(TEXTSPLIT(CQ118,",")))),IF(CS118="",TRUE,IF(input_event_location="",TRUE,SUMPRODUCT(--ISNUMBER(SEARCH(","&amp;TRIM(TEXTSPLIT(CS118,","))&amp;",",","&amp;SUBSTITUTE(input_event_location," ","")&amp;",")))=0)),IF(CU118="",TRUE,IF(input_event_location="",FALSE,SUMPRODUCT(--ISNUMBER(SEARCH(","&amp;TRIM(TEXTSPLIT(CU118,","))&amp;",",","&amp;SUBSTITUTE(input_event_location," ","")&amp;",")))&gt;0)),IF(CW118="",TRUE,IF(input_event_location="",FALSE,SUMPRODUCT(--ISNUMBER(SEARCH(","&amp;TRIM(TEXTSPLIT(CW118,","))&amp;",",","&amp;SUBSTITUTE(input_event_location," ","")&amp;",")))=COUNTA(TEXTSPLIT(CW118,",")))))</f>
        <v/>
      </c>
      <c r="JC118" s="19">
        <f>AND(IF(CY118="",TRUE,IF(input_event_type="",FALSE,SUMPRODUCT(--ISNUMBER(SEARCH(","&amp;TRIM(TEXTSPLIT(CY118,","))&amp;",",","&amp;SUBSTITUTE(input_event_type," ","")&amp;",")))&gt;0)),IF(DA118="",TRUE,IF(input_event_type="",FALSE,SUMPRODUCT(--ISNUMBER(SEARCH(","&amp;TRIM(TEXTSPLIT(DA118,","))&amp;",",","&amp;SUBSTITUTE(input_event_type," ","")&amp;",")))=COUNTA(TEXTSPLIT(DA118,",")))),IF(DC118="",TRUE,IF(input_event_type="",TRUE,SUMPRODUCT(--ISNUMBER(SEARCH(","&amp;TRIM(TEXTSPLIT(DC118,","))&amp;",",","&amp;SUBSTITUTE(input_event_type," ","")&amp;",")))=0)),IF(DE118="",TRUE,IF(input_event_type="",FALSE,SUMPRODUCT(--ISNUMBER(SEARCH(","&amp;TRIM(TEXTSPLIT(DE118,","))&amp;",",","&amp;SUBSTITUTE(input_event_type," ","")&amp;",")))&gt;0)),IF(DG118="",TRUE,IF(input_event_type="",FALSE,SUMPRODUCT(--ISNUMBER(SEARCH(","&amp;TRIM(TEXTSPLIT(DG118,","))&amp;",",","&amp;SUBSTITUTE(input_event_type," ","")&amp;",")))=COUNTA(TEXTSPLIT(DG118,",")))))</f>
        <v/>
      </c>
      <c r="JD118" s="19">
        <f>AND(IF(DI118="",TRUE,IF(input_executive_education_focus="",FALSE,SUMPRODUCT(--ISNUMBER(SEARCH(","&amp;TRIM(TEXTSPLIT(DI118,","))&amp;",",","&amp;SUBSTITUTE(input_executive_education_focus," ","")&amp;",")))&gt;0)),IF(DK118="",TRUE,IF(input_executive_education_focus="",FALSE,SUMPRODUCT(--ISNUMBER(SEARCH(","&amp;TRIM(TEXTSPLIT(DK118,","))&amp;",",","&amp;SUBSTITUTE(input_executive_education_focus," ","")&amp;",")))=COUNTA(TEXTSPLIT(DK118,",")))),IF(DM118="",TRUE,IF(input_executive_education_focus="",TRUE,SUMPRODUCT(--ISNUMBER(SEARCH(","&amp;TRIM(TEXTSPLIT(DM118,","))&amp;",",","&amp;SUBSTITUTE(input_executive_education_focus," ","")&amp;",")))=0)),IF(DO118="",TRUE,IF(input_executive_education_focus="",FALSE,SUMPRODUCT(--ISNUMBER(SEARCH(","&amp;TRIM(TEXTSPLIT(DO118,","))&amp;",",","&amp;SUBSTITUTE(input_executive_education_focus," ","")&amp;",")))&gt;0)),IF(DQ118="",TRUE,IF(input_executive_education_focus="",FALSE,SUMPRODUCT(--ISNUMBER(SEARCH(","&amp;TRIM(TEXTSPLIT(DQ118,","))&amp;",",","&amp;SUBSTITUTE(input_executive_education_focus," ","")&amp;",")))=COUNTA(TEXTSPLIT(DQ118,",")))))</f>
        <v/>
      </c>
      <c r="JE118" s="19">
        <f>AND(IF(DS118="",TRUE,IF(input_faculty_category="",FALSE,SUMPRODUCT(--ISNUMBER(SEARCH(","&amp;TRIM(TEXTSPLIT(DS118,","))&amp;",",","&amp;SUBSTITUTE(input_faculty_category," ","")&amp;",")))&gt;0)),IF(DU118="",TRUE,IF(input_faculty_category="",FALSE,SUMPRODUCT(--ISNUMBER(SEARCH(","&amp;TRIM(TEXTSPLIT(DU118,","))&amp;",",","&amp;SUBSTITUTE(input_faculty_category," ","")&amp;",")))=COUNTA(TEXTSPLIT(DU118,",")))),IF(DW118="",TRUE,IF(input_faculty_category="",TRUE,SUMPRODUCT(--ISNUMBER(SEARCH(","&amp;TRIM(TEXTSPLIT(DW118,","))&amp;",",","&amp;SUBSTITUTE(input_faculty_category," ","")&amp;",")))=0)),IF(DY118="",TRUE,IF(input_faculty_category="",FALSE,SUMPRODUCT(--ISNUMBER(SEARCH(","&amp;TRIM(TEXTSPLIT(DY118,","))&amp;",",","&amp;SUBSTITUTE(input_faculty_category," ","")&amp;",")))&gt;0)),IF(EA118="",TRUE,IF(input_faculty_category="",FALSE,SUMPRODUCT(--ISNUMBER(SEARCH(","&amp;TRIM(TEXTSPLIT(EA118,","))&amp;",",","&amp;SUBSTITUTE(input_faculty_category," ","")&amp;",")))=COUNTA(TEXTSPLIT(EA118,",")))))</f>
        <v/>
      </c>
      <c r="JF118" s="19">
        <f>AND(IF(EC118="",TRUE,IF(input_faculty_discipline="",FALSE,SUMPRODUCT(--ISNUMBER(SEARCH(","&amp;TRIM(TEXTSPLIT(EC118,","))&amp;",",","&amp;SUBSTITUTE(input_faculty_discipline," ","")&amp;",")))&gt;0)),IF(EE118="",TRUE,IF(input_faculty_discipline="",FALSE,SUMPRODUCT(--ISNUMBER(SEARCH(","&amp;TRIM(TEXTSPLIT(EE118,","))&amp;",",","&amp;SUBSTITUTE(input_faculty_discipline," ","")&amp;",")))=COUNTA(TEXTSPLIT(EE118,",")))),IF(EG118="",TRUE,IF(input_faculty_discipline="",TRUE,SUMPRODUCT(--ISNUMBER(SEARCH(","&amp;TRIM(TEXTSPLIT(EG118,","))&amp;",",","&amp;SUBSTITUTE(input_faculty_discipline," ","")&amp;",")))=0)),IF(EI118="",TRUE,IF(input_faculty_discipline="",FALSE,SUMPRODUCT(--ISNUMBER(SEARCH(","&amp;TRIM(TEXTSPLIT(EI118,","))&amp;",",","&amp;SUBSTITUTE(input_faculty_discipline," ","")&amp;",")))&gt;0)),IF(EK118="",TRUE,IF(input_faculty_discipline="",FALSE,SUMPRODUCT(--ISNUMBER(SEARCH(","&amp;TRIM(TEXTSPLIT(EK118,","))&amp;",",","&amp;SUBSTITUTE(input_faculty_discipline," ","")&amp;",")))=COUNTA(TEXTSPLIT(EK118,",")))))</f>
        <v/>
      </c>
      <c r="JG118" s="19">
        <f>AND(IF(EM118="",TRUE,IF(input_faculty_expertise="",FALSE,SUMPRODUCT(--ISNUMBER(SEARCH(","&amp;TRIM(TEXTSPLIT(EM118,","))&amp;",",","&amp;SUBSTITUTE(input_faculty_expertise," ","")&amp;",")))&gt;0)),IF(EO118="",TRUE,IF(input_faculty_expertise="",FALSE,SUMPRODUCT(--ISNUMBER(SEARCH(","&amp;TRIM(TEXTSPLIT(EO118,","))&amp;",",","&amp;SUBSTITUTE(input_faculty_expertise," ","")&amp;",")))=COUNTA(TEXTSPLIT(EO118,",")))),IF(EQ118="",TRUE,IF(input_faculty_expertise="",TRUE,SUMPRODUCT(--ISNUMBER(SEARCH(","&amp;TRIM(TEXTSPLIT(EQ118,","))&amp;",",","&amp;SUBSTITUTE(input_faculty_expertise," ","")&amp;",")))=0)),IF(ES118="",TRUE,IF(input_faculty_expertise="",FALSE,SUMPRODUCT(--ISNUMBER(SEARCH(","&amp;TRIM(TEXTSPLIT(ES118,","))&amp;",",","&amp;SUBSTITUTE(input_faculty_expertise," ","")&amp;",")))&gt;0)),IF(EU118="",TRUE,IF(input_faculty_expertise="",FALSE,SUMPRODUCT(--ISNUMBER(SEARCH(","&amp;TRIM(TEXTSPLIT(EU118,","))&amp;",",","&amp;SUBSTITUTE(input_faculty_expertise," ","")&amp;",")))=COUNTA(TEXTSPLIT(EU118,",")))))</f>
        <v/>
      </c>
      <c r="JH118" s="19">
        <f>AND(IF(EW118="",TRUE,IF(input_global_network_school="",FALSE,SUMPRODUCT(--ISNUMBER(SEARCH(","&amp;TRIM(TEXTSPLIT(EW118,","))&amp;",",","&amp;SUBSTITUTE(input_global_network_school," ","")&amp;",")))&gt;0)),IF(EY118="",TRUE,IF(input_global_network_school="",FALSE,SUMPRODUCT(--ISNUMBER(SEARCH(","&amp;TRIM(TEXTSPLIT(EY118,","))&amp;",",","&amp;SUBSTITUTE(input_global_network_school," ","")&amp;",")))=COUNTA(TEXTSPLIT(EY118,",")))),IF(FA118="",TRUE,IF(input_global_network_school="",TRUE,SUMPRODUCT(--ISNUMBER(SEARCH(","&amp;TRIM(TEXTSPLIT(FA118,","))&amp;",",","&amp;SUBSTITUTE(input_global_network_school," ","")&amp;",")))=0)),IF(FC118="",TRUE,IF(input_global_network_school="",FALSE,SUMPRODUCT(--ISNUMBER(SEARCH(","&amp;TRIM(TEXTSPLIT(FC118,","))&amp;",",","&amp;SUBSTITUTE(input_global_network_school," ","")&amp;",")))&gt;0)),IF(FE118="",TRUE,IF(input_global_network_school="",FALSE,SUMPRODUCT(--ISNUMBER(SEARCH(","&amp;TRIM(TEXTSPLIT(FE118,","))&amp;",",","&amp;SUBSTITUTE(input_global_network_school," ","")&amp;",")))=COUNTA(TEXTSPLIT(FE118,",")))))</f>
        <v/>
      </c>
      <c r="JI118" s="19">
        <f>AND(IF(FG118="",TRUE,IF(input_industry="",FALSE,SUMPRODUCT(--ISNUMBER(SEARCH(","&amp;TRIM(TEXTSPLIT(FG118,","))&amp;",",","&amp;SUBSTITUTE(input_industry," ","")&amp;",")))&gt;0)),IF(FI118="",TRUE,IF(input_industry="",FALSE,SUMPRODUCT(--ISNUMBER(SEARCH(","&amp;TRIM(TEXTSPLIT(FI118,","))&amp;",",","&amp;SUBSTITUTE(input_industry," ","")&amp;",")))=COUNTA(TEXTSPLIT(FI118,",")))),IF(FK118="",TRUE,IF(input_industry="",TRUE,SUMPRODUCT(--ISNUMBER(SEARCH(","&amp;TRIM(TEXTSPLIT(FK118,","))&amp;",",","&amp;SUBSTITUTE(input_industry," ","")&amp;",")))=0)),IF(FM118="",TRUE,IF(input_industry="",FALSE,SUMPRODUCT(--ISNUMBER(SEARCH(","&amp;TRIM(TEXTSPLIT(FM118,","))&amp;",",","&amp;SUBSTITUTE(input_industry," ","")&amp;",")))&gt;0)),IF(FO118="",TRUE,IF(input_industry="",FALSE,SUMPRODUCT(--ISNUMBER(SEARCH(","&amp;TRIM(TEXTSPLIT(FO118,","))&amp;",",","&amp;SUBSTITUTE(input_industry," ","")&amp;",")))=COUNTA(TEXTSPLIT(FO118,",")))))</f>
        <v/>
      </c>
      <c r="JJ118" s="19">
        <f>AND(IF(FQ118="",TRUE,IF(input_location="",FALSE,SUMPRODUCT(--ISNUMBER(SEARCH(","&amp;TRIM(TEXTSPLIT(FQ118,","))&amp;",",","&amp;SUBSTITUTE(input_location," ","")&amp;",")))&gt;0)),IF(FS118="",TRUE,IF(input_location="",FALSE,SUMPRODUCT(--ISNUMBER(SEARCH(","&amp;TRIM(TEXTSPLIT(FS118,","))&amp;",",","&amp;SUBSTITUTE(input_location," ","")&amp;",")))=COUNTA(TEXTSPLIT(FS118,",")))),IF(FU118="",TRUE,IF(input_location="",TRUE,SUMPRODUCT(--ISNUMBER(SEARCH(","&amp;TRIM(TEXTSPLIT(FU118,","))&amp;",",","&amp;SUBSTITUTE(input_location," ","")&amp;",")))=0)),IF(FW118="",TRUE,IF(input_location="",FALSE,SUMPRODUCT(--ISNUMBER(SEARCH(","&amp;TRIM(TEXTSPLIT(FW118,","))&amp;",",","&amp;SUBSTITUTE(input_location," ","")&amp;",")))&gt;0)),IF(FY118="",TRUE,IF(input_location="",FALSE,SUMPRODUCT(--ISNUMBER(SEARCH(","&amp;TRIM(TEXTSPLIT(FY118,","))&amp;",",","&amp;SUBSTITUTE(input_location," ","")&amp;",")))=COUNTA(TEXTSPLIT(FY118,",")))))</f>
        <v/>
      </c>
      <c r="JK118" s="19">
        <f>AND(IF(GA118="",TRUE,IF(input_modality="",FALSE,SUMPRODUCT(--ISNUMBER(SEARCH(","&amp;TRIM(TEXTSPLIT(GA118,","))&amp;",",","&amp;SUBSTITUTE(input_modality," ","")&amp;",")))&gt;0)),IF(GC118="",TRUE,IF(input_modality="",FALSE,SUMPRODUCT(--ISNUMBER(SEARCH(","&amp;TRIM(TEXTSPLIT(GC118,","))&amp;",",","&amp;SUBSTITUTE(input_modality," ","")&amp;",")))=COUNTA(TEXTSPLIT(GC118,",")))),IF(GE118="",TRUE,IF(input_modality="",TRUE,SUMPRODUCT(--ISNUMBER(SEARCH(","&amp;TRIM(TEXTSPLIT(GE118,","))&amp;",",","&amp;SUBSTITUTE(input_modality," ","")&amp;",")))=0)),IF(GG118="",TRUE,IF(input_modality="",FALSE,SUMPRODUCT(--ISNUMBER(SEARCH(","&amp;TRIM(TEXTSPLIT(GG118,","))&amp;",",","&amp;SUBSTITUTE(input_modality," ","")&amp;",")))&gt;0)),IF(GI118="",TRUE,IF(input_modality="",FALSE,SUMPRODUCT(--ISNUMBER(SEARCH(","&amp;TRIM(TEXTSPLIT(GI118,","))&amp;",",","&amp;SUBSTITUTE(input_modality," ","")&amp;",")))=COUNTA(TEXTSPLIT(GI118,",")))))</f>
        <v/>
      </c>
      <c r="JL118" s="19">
        <f>AND(IF(GK118="",TRUE,IF(input_organizer="",FALSE,SUMPRODUCT(--ISNUMBER(SEARCH(","&amp;TRIM(TEXTSPLIT(GK118,","))&amp;",",","&amp;SUBSTITUTE(input_organizer," ","")&amp;",")))&gt;0)),IF(GM118="",TRUE,IF(input_organizer="",FALSE,SUMPRODUCT(--ISNUMBER(SEARCH(","&amp;TRIM(TEXTSPLIT(GM118,","))&amp;",",","&amp;SUBSTITUTE(input_organizer," ","")&amp;",")))=COUNTA(TEXTSPLIT(GM118,",")))),IF(GO118="",TRUE,IF(input_organizer="",TRUE,SUMPRODUCT(--ISNUMBER(SEARCH(","&amp;TRIM(TEXTSPLIT(GO118,","))&amp;",",","&amp;SUBSTITUTE(input_organizer," ","")&amp;",")))=0)),IF(GQ118="",TRUE,IF(input_organizer="",FALSE,SUMPRODUCT(--ISNUMBER(SEARCH(","&amp;TRIM(TEXTSPLIT(GQ118,","))&amp;",",","&amp;SUBSTITUTE(input_organizer," ","")&amp;",")))&gt;0)),IF(GS118="",TRUE,IF(input_organizer="",FALSE,SUMPRODUCT(--ISNUMBER(SEARCH(","&amp;TRIM(TEXTSPLIT(GS118,","))&amp;",",","&amp;SUBSTITUTE(input_organizer," ","")&amp;",")))=COUNTA(TEXTSPLIT(GS118,",")))))</f>
        <v/>
      </c>
      <c r="JM118" s="19">
        <f>AND(IF(GU118="",TRUE,IF(input_profile_type="",FALSE,SUMPRODUCT(--ISNUMBER(SEARCH(","&amp;TRIM(TEXTSPLIT(GU118,","))&amp;",",","&amp;SUBSTITUTE(input_profile_type," ","")&amp;",")))&gt;0)),IF(GW118="",TRUE,IF(input_profile_type="",FALSE,SUMPRODUCT(--ISNUMBER(SEARCH(","&amp;TRIM(TEXTSPLIT(GW118,","))&amp;",",","&amp;SUBSTITUTE(input_profile_type," ","")&amp;",")))=COUNTA(TEXTSPLIT(GW118,",")))),IF(GY118="",TRUE,IF(input_profile_type="",TRUE,SUMPRODUCT(--ISNUMBER(SEARCH(","&amp;TRIM(TEXTSPLIT(GY118,","))&amp;",",","&amp;SUBSTITUTE(input_profile_type," ","")&amp;",")))=0)),IF(HA118="",TRUE,IF(input_profile_type="",FALSE,SUMPRODUCT(--ISNUMBER(SEARCH(","&amp;TRIM(TEXTSPLIT(HA118,","))&amp;",",","&amp;SUBSTITUTE(input_profile_type," ","")&amp;",")))&gt;0)),IF(HC118="",TRUE,IF(input_profile_type="",FALSE,SUMPRODUCT(--ISNUMBER(SEARCH(","&amp;TRIM(TEXTSPLIT(HC118,","))&amp;",",","&amp;SUBSTITUTE(input_profile_type," ","")&amp;",")))=COUNTA(TEXTSPLIT(HC118,",")))))</f>
        <v/>
      </c>
      <c r="JN118" s="19">
        <f>AND(IF(HE118="",TRUE,IF(input_program="",FALSE,SUMPRODUCT(--ISNUMBER(SEARCH(","&amp;TRIM(TEXTSPLIT(HE118,","))&amp;",",","&amp;SUBSTITUTE(input_program," ","")&amp;",")))&gt;0)),IF(HG118="",TRUE,IF(input_program="",FALSE,SUMPRODUCT(--ISNUMBER(SEARCH(","&amp;TRIM(TEXTSPLIT(HG118,","))&amp;",",","&amp;SUBSTITUTE(input_program," ","")&amp;",")))=COUNTA(TEXTSPLIT(HG118,",")))),IF(HI118="",TRUE,IF(input_program="",TRUE,SUMPRODUCT(--ISNUMBER(SEARCH(","&amp;TRIM(TEXTSPLIT(HI118,","))&amp;",",","&amp;SUBSTITUTE(input_program," ","")&amp;",")))=0)),IF(HK118="",TRUE,IF(input_program="",FALSE,SUMPRODUCT(--ISNUMBER(SEARCH(","&amp;TRIM(TEXTSPLIT(HK118,","))&amp;",",","&amp;SUBSTITUTE(input_program," ","")&amp;",")))&gt;0)),IF(HM118="",TRUE,IF(input_program="",FALSE,SUMPRODUCT(--ISNUMBER(SEARCH(","&amp;TRIM(TEXTSPLIT(HM118,","))&amp;",",","&amp;SUBSTITUTE(input_program," ","")&amp;",")))=COUNTA(TEXTSPLIT(HM118,",")))))</f>
        <v/>
      </c>
      <c r="JO118" s="19">
        <f>AND(IF(HO118="",TRUE,IF(input_story_categories="",FALSE,SUMPRODUCT(--ISNUMBER(SEARCH(","&amp;TRIM(TEXTSPLIT(HO118,","))&amp;",",","&amp;SUBSTITUTE(input_story_categories," ","")&amp;",")))&gt;0)),IF(HQ118="",TRUE,IF(input_story_categories="",FALSE,SUMPRODUCT(--ISNUMBER(SEARCH(","&amp;TRIM(TEXTSPLIT(HQ118,","))&amp;",",","&amp;SUBSTITUTE(input_story_categories," ","")&amp;",")))=COUNTA(TEXTSPLIT(HQ118,",")))),IF(HS118="",TRUE,IF(input_story_categories="",TRUE,SUMPRODUCT(--ISNUMBER(SEARCH(","&amp;TRIM(TEXTSPLIT(HS118,","))&amp;",",","&amp;SUBSTITUTE(input_story_categories," ","")&amp;",")))=0)),IF(HU118="",TRUE,IF(input_story_categories="",FALSE,SUMPRODUCT(--ISNUMBER(SEARCH(","&amp;TRIM(TEXTSPLIT(HU118,","))&amp;",",","&amp;SUBSTITUTE(input_story_categories," ","")&amp;",")))&gt;0)),IF(HW118="",TRUE,IF(input_story_categories="",FALSE,SUMPRODUCT(--ISNUMBER(SEARCH(","&amp;TRIM(TEXTSPLIT(HW118,","))&amp;",",","&amp;SUBSTITUTE(input_story_categories," ","")&amp;",")))=COUNTA(TEXTSPLIT(HW118,",")))))</f>
        <v/>
      </c>
      <c r="JP118" s="19">
        <f>AND(IF(HY118="",TRUE,IF(input_story_type="",FALSE,SUMPRODUCT(--ISNUMBER(SEARCH(","&amp;TRIM(TEXTSPLIT(HY118,","))&amp;",",","&amp;SUBSTITUTE(input_story_type," ","")&amp;",")))&gt;0)),IF(IA118="",TRUE,IF(input_story_type="",FALSE,SUMPRODUCT(--ISNUMBER(SEARCH(","&amp;TRIM(TEXTSPLIT(IA118,","))&amp;",",","&amp;SUBSTITUTE(input_story_type," ","")&amp;",")))=COUNTA(TEXTSPLIT(IA118,",")))),IF(IC118="",TRUE,IF(input_story_type="",TRUE,SUMPRODUCT(--ISNUMBER(SEARCH(","&amp;TRIM(TEXTSPLIT(IC118,","))&amp;",",","&amp;SUBSTITUTE(input_story_type," ","")&amp;",")))=0)),IF(IE118="",TRUE,IF(input_story_type="",FALSE,SUMPRODUCT(--ISNUMBER(SEARCH(","&amp;TRIM(TEXTSPLIT(IE118,","))&amp;",",","&amp;SUBSTITUTE(input_story_type," ","")&amp;",")))&gt;0)),IF(IG118="",TRUE,IF(input_story_type="",FALSE,SUMPRODUCT(--ISNUMBER(SEARCH(","&amp;TRIM(TEXTSPLIT(IG118,","))&amp;",",","&amp;SUBSTITUTE(input_story_type," ","")&amp;",")))=COUNTA(TEXTSPLIT(IG118,",")))))</f>
        <v/>
      </c>
      <c r="JQ118" s="19">
        <f>AND(IF(II118="",TRUE,IF(input_topics="",FALSE,SUMPRODUCT(--ISNUMBER(SEARCH(","&amp;TRIM(TEXTSPLIT(II118,","))&amp;",",","&amp;SUBSTITUTE(input_topics," ","")&amp;",")))&gt;0)),IF(IK118="",TRUE,IF(input_topics="",FALSE,SUMPRODUCT(--ISNUMBER(SEARCH(","&amp;TRIM(TEXTSPLIT(IK118,","))&amp;",",","&amp;SUBSTITUTE(input_topics," ","")&amp;",")))=COUNTA(TEXTSPLIT(IK118,",")))),IF(IM118="",TRUE,IF(input_topics="",TRUE,SUMPRODUCT(--ISNUMBER(SEARCH(","&amp;TRIM(TEXTSPLIT(IM118,","))&amp;",",","&amp;SUBSTITUTE(input_topics," ","")&amp;",")))=0)),IF(IO118="",TRUE,IF(input_topics="",FALSE,SUMPRODUCT(--ISNUMBER(SEARCH(","&amp;TRIM(TEXTSPLIT(IO118,","))&amp;",",","&amp;SUBSTITUTE(input_topics," ","")&amp;",")))&gt;0)),IF(IQ118="",TRUE,IF(input_topics="",FALSE,SUMPRODUCT(--ISNUMBER(SEARCH(","&amp;TRIM(TEXTSPLIT(IQ118,","))&amp;",",","&amp;SUBSTITUTE(input_topics," ","")&amp;",")))=COUNTA(TEXTSPLIT(IQ118,",")))))</f>
        <v/>
      </c>
    </row>
    <row r="119">
      <c r="A119" s="24">
        <f>IF(NOT(IS119),"Excluded",IF(AND(IT119,IU119,IV119,IW119,IX119,IY119,IZ119,JA119,JB119,JC119,JD119,JE119,JF119,JG119,JH119,JI119,JJ119,JK119,JL119,JM119,JN119,JO119,JP119,JQ119),IF(I119&gt;0,"Eligible but limited","Will appear"),"Excluded"))</f>
        <v/>
      </c>
      <c r="B119" s="24" t="inlineStr">
        <is>
          <t>Internship Spotlight</t>
        </is>
      </c>
      <c r="C119" s="27" t="inlineStr">
        <is>
          <t>/about/headlines/internship-spotlight</t>
        </is>
      </c>
      <c r="D119" s="24" t="inlineStr">
        <is>
          <t>/about/headlines/internship-spotlight</t>
        </is>
      </c>
      <c r="E119" s="24" t="n">
        <v>1</v>
      </c>
      <c r="F119" s="24" t="inlineStr">
        <is>
          <t>story</t>
        </is>
      </c>
      <c r="G119" s="24" t="inlineStr">
        <is>
          <t>stories_list</t>
        </is>
      </c>
      <c r="H119" s="24" t="inlineStr">
        <is>
          <t>embed_1</t>
        </is>
      </c>
      <c r="I119" s="24" t="n">
        <v>10</v>
      </c>
      <c r="J119" s="28" t="inlineStr">
        <is>
          <t>Explicit args</t>
        </is>
      </c>
      <c r="K119" s="24" t="inlineStr">
        <is>
          <t>Page placement</t>
        </is>
      </c>
      <c r="L119" s="24" t="inlineStr">
        <is>
          <t>Content type: story; Context uses Courses Context: Internship Spotlight (1185); Limited to 10 item(s); Source: Explicit args</t>
        </is>
      </c>
      <c r="BQ119" s="19" t="inlineStr">
        <is>
          <t>1185</t>
        </is>
      </c>
      <c r="BR119" s="19" t="inlineStr">
        <is>
          <t>Internship Spotlight (1185)</t>
        </is>
      </c>
      <c r="IS119" s="19">
        <f>IF(input_content_type="",FALSE,ISNUMBER(SEARCH(","&amp;LOWER(input_content_type)&amp;",",","&amp;LOWER(SUBSTITUTE(F119," ",""))&amp;",")))</f>
        <v/>
      </c>
      <c r="IT119" s="19">
        <f>AND(IF(M119="",TRUE,IF(input_affiliations="",FALSE,SUMPRODUCT(--ISNUMBER(SEARCH(","&amp;TRIM(TEXTSPLIT(M119,","))&amp;",",","&amp;SUBSTITUTE(input_affiliations," ","")&amp;",")))&gt;0)),IF(O119="",TRUE,IF(input_affiliations="",FALSE,SUMPRODUCT(--ISNUMBER(SEARCH(","&amp;TRIM(TEXTSPLIT(O119,","))&amp;",",","&amp;SUBSTITUTE(input_affiliations," ","")&amp;",")))=COUNTA(TEXTSPLIT(O119,",")))),IF(Q119="",TRUE,IF(input_affiliations="",TRUE,SUMPRODUCT(--ISNUMBER(SEARCH(","&amp;TRIM(TEXTSPLIT(Q119,","))&amp;",",","&amp;SUBSTITUTE(input_affiliations," ","")&amp;",")))=0)),IF(S119="",TRUE,IF(input_affiliations="",FALSE,SUMPRODUCT(--ISNUMBER(SEARCH(","&amp;TRIM(TEXTSPLIT(S119,","))&amp;",",","&amp;SUBSTITUTE(input_affiliations," ","")&amp;",")))&gt;0)),IF(U119="",TRUE,IF(input_affiliations="",FALSE,SUMPRODUCT(--ISNUMBER(SEARCH(","&amp;TRIM(TEXTSPLIT(U119,","))&amp;",",","&amp;SUBSTITUTE(input_affiliations," ","")&amp;",")))=COUNTA(TEXTSPLIT(U119,",")))))</f>
        <v/>
      </c>
      <c r="IU119" s="19">
        <f>AND(IF(W119="",TRUE,IF(input_announcement_category="",FALSE,SUMPRODUCT(--ISNUMBER(SEARCH(","&amp;TRIM(TEXTSPLIT(W119,","))&amp;",",","&amp;SUBSTITUTE(input_announcement_category," ","")&amp;",")))&gt;0)),IF(Y119="",TRUE,IF(input_announcement_category="",FALSE,SUMPRODUCT(--ISNUMBER(SEARCH(","&amp;TRIM(TEXTSPLIT(Y119,","))&amp;",",","&amp;SUBSTITUTE(input_announcement_category," ","")&amp;",")))=COUNTA(TEXTSPLIT(Y119,",")))),IF(AA119="",TRUE,IF(input_announcement_category="",TRUE,SUMPRODUCT(--ISNUMBER(SEARCH(","&amp;TRIM(TEXTSPLIT(AA119,","))&amp;",",","&amp;SUBSTITUTE(input_announcement_category," ","")&amp;",")))=0)),IF(AC119="",TRUE,IF(input_announcement_category="",FALSE,SUMPRODUCT(--ISNUMBER(SEARCH(","&amp;TRIM(TEXTSPLIT(AC119,","))&amp;",",","&amp;SUBSTITUTE(input_announcement_category," ","")&amp;",")))&gt;0)),IF(AE119="",TRUE,IF(input_announcement_category="",FALSE,SUMPRODUCT(--ISNUMBER(SEARCH(","&amp;TRIM(TEXTSPLIT(AE119,","))&amp;",",","&amp;SUBSTITUTE(input_announcement_category," ","")&amp;",")))=COUNTA(TEXTSPLIT(AE119,",")))))</f>
        <v/>
      </c>
      <c r="IV119" s="19">
        <f>AND(IF(AG119="",TRUE,IF(input_area_of_focus="",FALSE,SUMPRODUCT(--ISNUMBER(SEARCH(","&amp;TRIM(TEXTSPLIT(AG119,","))&amp;",",","&amp;SUBSTITUTE(input_area_of_focus," ","")&amp;",")))&gt;0)),IF(AI119="",TRUE,IF(input_area_of_focus="",FALSE,SUMPRODUCT(--ISNUMBER(SEARCH(","&amp;TRIM(TEXTSPLIT(AI119,","))&amp;",",","&amp;SUBSTITUTE(input_area_of_focus," ","")&amp;",")))=COUNTA(TEXTSPLIT(AI119,",")))),IF(AK119="",TRUE,IF(input_area_of_focus="",TRUE,SUMPRODUCT(--ISNUMBER(SEARCH(","&amp;TRIM(TEXTSPLIT(AK119,","))&amp;",",","&amp;SUBSTITUTE(input_area_of_focus," ","")&amp;",")))=0)),IF(AM119="",TRUE,IF(input_area_of_focus="",FALSE,SUMPRODUCT(--ISNUMBER(SEARCH(","&amp;TRIM(TEXTSPLIT(AM119,","))&amp;",",","&amp;SUBSTITUTE(input_area_of_focus," ","")&amp;",")))&gt;0)),IF(AO119="",TRUE,IF(input_area_of_focus="",FALSE,SUMPRODUCT(--ISNUMBER(SEARCH(","&amp;TRIM(TEXTSPLIT(AO119,","))&amp;",",","&amp;SUBSTITUTE(input_area_of_focus," ","")&amp;",")))=COUNTA(TEXTSPLIT(AO119,",")))))</f>
        <v/>
      </c>
      <c r="IW119" s="19">
        <f>AND(IF(AQ119="",TRUE,IF(input_audience="",FALSE,SUMPRODUCT(--ISNUMBER(SEARCH(","&amp;TRIM(TEXTSPLIT(AQ119,","))&amp;",",","&amp;SUBSTITUTE(input_audience," ","")&amp;",")))&gt;0)),IF(AS119="",TRUE,IF(input_audience="",FALSE,SUMPRODUCT(--ISNUMBER(SEARCH(","&amp;TRIM(TEXTSPLIT(AS119,","))&amp;",",","&amp;SUBSTITUTE(input_audience," ","")&amp;",")))=COUNTA(TEXTSPLIT(AS119,",")))),IF(AU119="",TRUE,IF(input_audience="",TRUE,SUMPRODUCT(--ISNUMBER(SEARCH(","&amp;TRIM(TEXTSPLIT(AU119,","))&amp;",",","&amp;SUBSTITUTE(input_audience," ","")&amp;",")))=0)),IF(AW119="",TRUE,IF(input_audience="",FALSE,SUMPRODUCT(--ISNUMBER(SEARCH(","&amp;TRIM(TEXTSPLIT(AW119,","))&amp;",",","&amp;SUBSTITUTE(input_audience," ","")&amp;",")))&gt;0)),IF(AY119="",TRUE,IF(input_audience="",FALSE,SUMPRODUCT(--ISNUMBER(SEARCH(","&amp;TRIM(TEXTSPLIT(AY119,","))&amp;",",","&amp;SUBSTITUTE(input_audience," ","")&amp;",")))=COUNTA(TEXTSPLIT(AY119,",")))))</f>
        <v/>
      </c>
      <c r="IX119" s="19">
        <f>AND(IF(BA119="",TRUE,IF(input_challenge_opportunities="",FALSE,SUMPRODUCT(--ISNUMBER(SEARCH(","&amp;TRIM(TEXTSPLIT(BA119,","))&amp;",",","&amp;SUBSTITUTE(input_challenge_opportunities," ","")&amp;",")))&gt;0)),IF(BC119="",TRUE,IF(input_challenge_opportunities="",FALSE,SUMPRODUCT(--ISNUMBER(SEARCH(","&amp;TRIM(TEXTSPLIT(BC119,","))&amp;",",","&amp;SUBSTITUTE(input_challenge_opportunities," ","")&amp;",")))=COUNTA(TEXTSPLIT(BC119,",")))),IF(BE119="",TRUE,IF(input_challenge_opportunities="",TRUE,SUMPRODUCT(--ISNUMBER(SEARCH(","&amp;TRIM(TEXTSPLIT(BE119,","))&amp;",",","&amp;SUBSTITUTE(input_challenge_opportunities," ","")&amp;",")))=0)),IF(BG119="",TRUE,IF(input_challenge_opportunities="",FALSE,SUMPRODUCT(--ISNUMBER(SEARCH(","&amp;TRIM(TEXTSPLIT(BG119,","))&amp;",",","&amp;SUBSTITUTE(input_challenge_opportunities," ","")&amp;",")))&gt;0)),IF(BI119="",TRUE,IF(input_challenge_opportunities="",FALSE,SUMPRODUCT(--ISNUMBER(SEARCH(","&amp;TRIM(TEXTSPLIT(BI119,","))&amp;",",","&amp;SUBSTITUTE(input_challenge_opportunities," ","")&amp;",")))=COUNTA(TEXTSPLIT(BI119,",")))))</f>
        <v/>
      </c>
      <c r="IY119" s="19">
        <f>AND(IF(BK119="",TRUE,IF(input_context="",FALSE,SUMPRODUCT(--ISNUMBER(SEARCH(","&amp;TRIM(TEXTSPLIT(BK119,","))&amp;",",","&amp;SUBSTITUTE(input_context," ","")&amp;",")))&gt;0)),IF(BM119="",TRUE,IF(input_context="",FALSE,SUMPRODUCT(--ISNUMBER(SEARCH(","&amp;TRIM(TEXTSPLIT(BM119,","))&amp;",",","&amp;SUBSTITUTE(input_context," ","")&amp;",")))=COUNTA(TEXTSPLIT(BM119,",")))),IF(BO119="",TRUE,IF(input_context="",TRUE,SUMPRODUCT(--ISNUMBER(SEARCH(","&amp;TRIM(TEXTSPLIT(BO119,","))&amp;",",","&amp;SUBSTITUTE(input_context," ","")&amp;",")))=0)),IF(BQ119="",TRUE,IF(input_context="",FALSE,SUMPRODUCT(--ISNUMBER(SEARCH(","&amp;TRIM(TEXTSPLIT(BQ119,","))&amp;",",","&amp;SUBSTITUTE(input_context," ","")&amp;",")))&gt;0)),IF(BS119="",TRUE,IF(input_context="",FALSE,SUMPRODUCT(--ISNUMBER(SEARCH(","&amp;TRIM(TEXTSPLIT(BS119,","))&amp;",",","&amp;SUBSTITUTE(input_context," ","")&amp;",")))=COUNTA(TEXTSPLIT(BS119,",")))))</f>
        <v/>
      </c>
      <c r="IZ119" s="19">
        <f>AND(IF(BU119="",TRUE,IF(input_enews_announcement_type="",FALSE,SUMPRODUCT(--ISNUMBER(SEARCH(","&amp;TRIM(TEXTSPLIT(BU119,","))&amp;",",","&amp;SUBSTITUTE(input_enews_announcement_type," ","")&amp;",")))&gt;0)),IF(BW119="",TRUE,IF(input_enews_announcement_type="",FALSE,SUMPRODUCT(--ISNUMBER(SEARCH(","&amp;TRIM(TEXTSPLIT(BW119,","))&amp;",",","&amp;SUBSTITUTE(input_enews_announcement_type," ","")&amp;",")))=COUNTA(TEXTSPLIT(BW119,",")))),IF(BY119="",TRUE,IF(input_enews_announcement_type="",TRUE,SUMPRODUCT(--ISNUMBER(SEARCH(","&amp;TRIM(TEXTSPLIT(BY119,","))&amp;",",","&amp;SUBSTITUTE(input_enews_announcement_type," ","")&amp;",")))=0)),IF(CA119="",TRUE,IF(input_enews_announcement_type="",FALSE,SUMPRODUCT(--ISNUMBER(SEARCH(","&amp;TRIM(TEXTSPLIT(CA119,","))&amp;",",","&amp;SUBSTITUTE(input_enews_announcement_type," ","")&amp;",")))&gt;0)),IF(CC119="",TRUE,IF(input_enews_announcement_type="",FALSE,SUMPRODUCT(--ISNUMBER(SEARCH(","&amp;TRIM(TEXTSPLIT(CC119,","))&amp;",",","&amp;SUBSTITUTE(input_enews_announcement_type," ","")&amp;",")))=COUNTA(TEXTSPLIT(CC119,",")))))</f>
        <v/>
      </c>
      <c r="JA119" s="19">
        <f>AND(IF(CE119="",TRUE,IF(input_enews_audience="",FALSE,SUMPRODUCT(--ISNUMBER(SEARCH(","&amp;TRIM(TEXTSPLIT(CE119,","))&amp;",",","&amp;SUBSTITUTE(input_enews_audience," ","")&amp;",")))&gt;0)),IF(CG119="",TRUE,IF(input_enews_audience="",FALSE,SUMPRODUCT(--ISNUMBER(SEARCH(","&amp;TRIM(TEXTSPLIT(CG119,","))&amp;",",","&amp;SUBSTITUTE(input_enews_audience," ","")&amp;",")))=COUNTA(TEXTSPLIT(CG119,",")))),IF(CI119="",TRUE,IF(input_enews_audience="",TRUE,SUMPRODUCT(--ISNUMBER(SEARCH(","&amp;TRIM(TEXTSPLIT(CI119,","))&amp;",",","&amp;SUBSTITUTE(input_enews_audience," ","")&amp;",")))=0)),IF(CK119="",TRUE,IF(input_enews_audience="",FALSE,SUMPRODUCT(--ISNUMBER(SEARCH(","&amp;TRIM(TEXTSPLIT(CK119,","))&amp;",",","&amp;SUBSTITUTE(input_enews_audience," ","")&amp;",")))&gt;0)),IF(CM119="",TRUE,IF(input_enews_audience="",FALSE,SUMPRODUCT(--ISNUMBER(SEARCH(","&amp;TRIM(TEXTSPLIT(CM119,","))&amp;",",","&amp;SUBSTITUTE(input_enews_audience," ","")&amp;",")))=COUNTA(TEXTSPLIT(CM119,",")))))</f>
        <v/>
      </c>
      <c r="JB119" s="19">
        <f>AND(IF(CO119="",TRUE,IF(input_event_location="",FALSE,SUMPRODUCT(--ISNUMBER(SEARCH(","&amp;TRIM(TEXTSPLIT(CO119,","))&amp;",",","&amp;SUBSTITUTE(input_event_location," ","")&amp;",")))&gt;0)),IF(CQ119="",TRUE,IF(input_event_location="",FALSE,SUMPRODUCT(--ISNUMBER(SEARCH(","&amp;TRIM(TEXTSPLIT(CQ119,","))&amp;",",","&amp;SUBSTITUTE(input_event_location," ","")&amp;",")))=COUNTA(TEXTSPLIT(CQ119,",")))),IF(CS119="",TRUE,IF(input_event_location="",TRUE,SUMPRODUCT(--ISNUMBER(SEARCH(","&amp;TRIM(TEXTSPLIT(CS119,","))&amp;",",","&amp;SUBSTITUTE(input_event_location," ","")&amp;",")))=0)),IF(CU119="",TRUE,IF(input_event_location="",FALSE,SUMPRODUCT(--ISNUMBER(SEARCH(","&amp;TRIM(TEXTSPLIT(CU119,","))&amp;",",","&amp;SUBSTITUTE(input_event_location," ","")&amp;",")))&gt;0)),IF(CW119="",TRUE,IF(input_event_location="",FALSE,SUMPRODUCT(--ISNUMBER(SEARCH(","&amp;TRIM(TEXTSPLIT(CW119,","))&amp;",",","&amp;SUBSTITUTE(input_event_location," ","")&amp;",")))=COUNTA(TEXTSPLIT(CW119,",")))))</f>
        <v/>
      </c>
      <c r="JC119" s="19">
        <f>AND(IF(CY119="",TRUE,IF(input_event_type="",FALSE,SUMPRODUCT(--ISNUMBER(SEARCH(","&amp;TRIM(TEXTSPLIT(CY119,","))&amp;",",","&amp;SUBSTITUTE(input_event_type," ","")&amp;",")))&gt;0)),IF(DA119="",TRUE,IF(input_event_type="",FALSE,SUMPRODUCT(--ISNUMBER(SEARCH(","&amp;TRIM(TEXTSPLIT(DA119,","))&amp;",",","&amp;SUBSTITUTE(input_event_type," ","")&amp;",")))=COUNTA(TEXTSPLIT(DA119,",")))),IF(DC119="",TRUE,IF(input_event_type="",TRUE,SUMPRODUCT(--ISNUMBER(SEARCH(","&amp;TRIM(TEXTSPLIT(DC119,","))&amp;",",","&amp;SUBSTITUTE(input_event_type," ","")&amp;",")))=0)),IF(DE119="",TRUE,IF(input_event_type="",FALSE,SUMPRODUCT(--ISNUMBER(SEARCH(","&amp;TRIM(TEXTSPLIT(DE119,","))&amp;",",","&amp;SUBSTITUTE(input_event_type," ","")&amp;",")))&gt;0)),IF(DG119="",TRUE,IF(input_event_type="",FALSE,SUMPRODUCT(--ISNUMBER(SEARCH(","&amp;TRIM(TEXTSPLIT(DG119,","))&amp;",",","&amp;SUBSTITUTE(input_event_type," ","")&amp;",")))=COUNTA(TEXTSPLIT(DG119,",")))))</f>
        <v/>
      </c>
      <c r="JD119" s="19">
        <f>AND(IF(DI119="",TRUE,IF(input_executive_education_focus="",FALSE,SUMPRODUCT(--ISNUMBER(SEARCH(","&amp;TRIM(TEXTSPLIT(DI119,","))&amp;",",","&amp;SUBSTITUTE(input_executive_education_focus," ","")&amp;",")))&gt;0)),IF(DK119="",TRUE,IF(input_executive_education_focus="",FALSE,SUMPRODUCT(--ISNUMBER(SEARCH(","&amp;TRIM(TEXTSPLIT(DK119,","))&amp;",",","&amp;SUBSTITUTE(input_executive_education_focus," ","")&amp;",")))=COUNTA(TEXTSPLIT(DK119,",")))),IF(DM119="",TRUE,IF(input_executive_education_focus="",TRUE,SUMPRODUCT(--ISNUMBER(SEARCH(","&amp;TRIM(TEXTSPLIT(DM119,","))&amp;",",","&amp;SUBSTITUTE(input_executive_education_focus," ","")&amp;",")))=0)),IF(DO119="",TRUE,IF(input_executive_education_focus="",FALSE,SUMPRODUCT(--ISNUMBER(SEARCH(","&amp;TRIM(TEXTSPLIT(DO119,","))&amp;",",","&amp;SUBSTITUTE(input_executive_education_focus," ","")&amp;",")))&gt;0)),IF(DQ119="",TRUE,IF(input_executive_education_focus="",FALSE,SUMPRODUCT(--ISNUMBER(SEARCH(","&amp;TRIM(TEXTSPLIT(DQ119,","))&amp;",",","&amp;SUBSTITUTE(input_executive_education_focus," ","")&amp;",")))=COUNTA(TEXTSPLIT(DQ119,",")))))</f>
        <v/>
      </c>
      <c r="JE119" s="19">
        <f>AND(IF(DS119="",TRUE,IF(input_faculty_category="",FALSE,SUMPRODUCT(--ISNUMBER(SEARCH(","&amp;TRIM(TEXTSPLIT(DS119,","))&amp;",",","&amp;SUBSTITUTE(input_faculty_category," ","")&amp;",")))&gt;0)),IF(DU119="",TRUE,IF(input_faculty_category="",FALSE,SUMPRODUCT(--ISNUMBER(SEARCH(","&amp;TRIM(TEXTSPLIT(DU119,","))&amp;",",","&amp;SUBSTITUTE(input_faculty_category," ","")&amp;",")))=COUNTA(TEXTSPLIT(DU119,",")))),IF(DW119="",TRUE,IF(input_faculty_category="",TRUE,SUMPRODUCT(--ISNUMBER(SEARCH(","&amp;TRIM(TEXTSPLIT(DW119,","))&amp;",",","&amp;SUBSTITUTE(input_faculty_category," ","")&amp;",")))=0)),IF(DY119="",TRUE,IF(input_faculty_category="",FALSE,SUMPRODUCT(--ISNUMBER(SEARCH(","&amp;TRIM(TEXTSPLIT(DY119,","))&amp;",",","&amp;SUBSTITUTE(input_faculty_category," ","")&amp;",")))&gt;0)),IF(EA119="",TRUE,IF(input_faculty_category="",FALSE,SUMPRODUCT(--ISNUMBER(SEARCH(","&amp;TRIM(TEXTSPLIT(EA119,","))&amp;",",","&amp;SUBSTITUTE(input_faculty_category," ","")&amp;",")))=COUNTA(TEXTSPLIT(EA119,",")))))</f>
        <v/>
      </c>
      <c r="JF119" s="19">
        <f>AND(IF(EC119="",TRUE,IF(input_faculty_discipline="",FALSE,SUMPRODUCT(--ISNUMBER(SEARCH(","&amp;TRIM(TEXTSPLIT(EC119,","))&amp;",",","&amp;SUBSTITUTE(input_faculty_discipline," ","")&amp;",")))&gt;0)),IF(EE119="",TRUE,IF(input_faculty_discipline="",FALSE,SUMPRODUCT(--ISNUMBER(SEARCH(","&amp;TRIM(TEXTSPLIT(EE119,","))&amp;",",","&amp;SUBSTITUTE(input_faculty_discipline," ","")&amp;",")))=COUNTA(TEXTSPLIT(EE119,",")))),IF(EG119="",TRUE,IF(input_faculty_discipline="",TRUE,SUMPRODUCT(--ISNUMBER(SEARCH(","&amp;TRIM(TEXTSPLIT(EG119,","))&amp;",",","&amp;SUBSTITUTE(input_faculty_discipline," ","")&amp;",")))=0)),IF(EI119="",TRUE,IF(input_faculty_discipline="",FALSE,SUMPRODUCT(--ISNUMBER(SEARCH(","&amp;TRIM(TEXTSPLIT(EI119,","))&amp;",",","&amp;SUBSTITUTE(input_faculty_discipline," ","")&amp;",")))&gt;0)),IF(EK119="",TRUE,IF(input_faculty_discipline="",FALSE,SUMPRODUCT(--ISNUMBER(SEARCH(","&amp;TRIM(TEXTSPLIT(EK119,","))&amp;",",","&amp;SUBSTITUTE(input_faculty_discipline," ","")&amp;",")))=COUNTA(TEXTSPLIT(EK119,",")))))</f>
        <v/>
      </c>
      <c r="JG119" s="19">
        <f>AND(IF(EM119="",TRUE,IF(input_faculty_expertise="",FALSE,SUMPRODUCT(--ISNUMBER(SEARCH(","&amp;TRIM(TEXTSPLIT(EM119,","))&amp;",",","&amp;SUBSTITUTE(input_faculty_expertise," ","")&amp;",")))&gt;0)),IF(EO119="",TRUE,IF(input_faculty_expertise="",FALSE,SUMPRODUCT(--ISNUMBER(SEARCH(","&amp;TRIM(TEXTSPLIT(EO119,","))&amp;",",","&amp;SUBSTITUTE(input_faculty_expertise," ","")&amp;",")))=COUNTA(TEXTSPLIT(EO119,",")))),IF(EQ119="",TRUE,IF(input_faculty_expertise="",TRUE,SUMPRODUCT(--ISNUMBER(SEARCH(","&amp;TRIM(TEXTSPLIT(EQ119,","))&amp;",",","&amp;SUBSTITUTE(input_faculty_expertise," ","")&amp;",")))=0)),IF(ES119="",TRUE,IF(input_faculty_expertise="",FALSE,SUMPRODUCT(--ISNUMBER(SEARCH(","&amp;TRIM(TEXTSPLIT(ES119,","))&amp;",",","&amp;SUBSTITUTE(input_faculty_expertise," ","")&amp;",")))&gt;0)),IF(EU119="",TRUE,IF(input_faculty_expertise="",FALSE,SUMPRODUCT(--ISNUMBER(SEARCH(","&amp;TRIM(TEXTSPLIT(EU119,","))&amp;",",","&amp;SUBSTITUTE(input_faculty_expertise," ","")&amp;",")))=COUNTA(TEXTSPLIT(EU119,",")))))</f>
        <v/>
      </c>
      <c r="JH119" s="19">
        <f>AND(IF(EW119="",TRUE,IF(input_global_network_school="",FALSE,SUMPRODUCT(--ISNUMBER(SEARCH(","&amp;TRIM(TEXTSPLIT(EW119,","))&amp;",",","&amp;SUBSTITUTE(input_global_network_school," ","")&amp;",")))&gt;0)),IF(EY119="",TRUE,IF(input_global_network_school="",FALSE,SUMPRODUCT(--ISNUMBER(SEARCH(","&amp;TRIM(TEXTSPLIT(EY119,","))&amp;",",","&amp;SUBSTITUTE(input_global_network_school," ","")&amp;",")))=COUNTA(TEXTSPLIT(EY119,",")))),IF(FA119="",TRUE,IF(input_global_network_school="",TRUE,SUMPRODUCT(--ISNUMBER(SEARCH(","&amp;TRIM(TEXTSPLIT(FA119,","))&amp;",",","&amp;SUBSTITUTE(input_global_network_school," ","")&amp;",")))=0)),IF(FC119="",TRUE,IF(input_global_network_school="",FALSE,SUMPRODUCT(--ISNUMBER(SEARCH(","&amp;TRIM(TEXTSPLIT(FC119,","))&amp;",",","&amp;SUBSTITUTE(input_global_network_school," ","")&amp;",")))&gt;0)),IF(FE119="",TRUE,IF(input_global_network_school="",FALSE,SUMPRODUCT(--ISNUMBER(SEARCH(","&amp;TRIM(TEXTSPLIT(FE119,","))&amp;",",","&amp;SUBSTITUTE(input_global_network_school," ","")&amp;",")))=COUNTA(TEXTSPLIT(FE119,",")))))</f>
        <v/>
      </c>
      <c r="JI119" s="19">
        <f>AND(IF(FG119="",TRUE,IF(input_industry="",FALSE,SUMPRODUCT(--ISNUMBER(SEARCH(","&amp;TRIM(TEXTSPLIT(FG119,","))&amp;",",","&amp;SUBSTITUTE(input_industry," ","")&amp;",")))&gt;0)),IF(FI119="",TRUE,IF(input_industry="",FALSE,SUMPRODUCT(--ISNUMBER(SEARCH(","&amp;TRIM(TEXTSPLIT(FI119,","))&amp;",",","&amp;SUBSTITUTE(input_industry," ","")&amp;",")))=COUNTA(TEXTSPLIT(FI119,",")))),IF(FK119="",TRUE,IF(input_industry="",TRUE,SUMPRODUCT(--ISNUMBER(SEARCH(","&amp;TRIM(TEXTSPLIT(FK119,","))&amp;",",","&amp;SUBSTITUTE(input_industry," ","")&amp;",")))=0)),IF(FM119="",TRUE,IF(input_industry="",FALSE,SUMPRODUCT(--ISNUMBER(SEARCH(","&amp;TRIM(TEXTSPLIT(FM119,","))&amp;",",","&amp;SUBSTITUTE(input_industry," ","")&amp;",")))&gt;0)),IF(FO119="",TRUE,IF(input_industry="",FALSE,SUMPRODUCT(--ISNUMBER(SEARCH(","&amp;TRIM(TEXTSPLIT(FO119,","))&amp;",",","&amp;SUBSTITUTE(input_industry," ","")&amp;",")))=COUNTA(TEXTSPLIT(FO119,",")))))</f>
        <v/>
      </c>
      <c r="JJ119" s="19">
        <f>AND(IF(FQ119="",TRUE,IF(input_location="",FALSE,SUMPRODUCT(--ISNUMBER(SEARCH(","&amp;TRIM(TEXTSPLIT(FQ119,","))&amp;",",","&amp;SUBSTITUTE(input_location," ","")&amp;",")))&gt;0)),IF(FS119="",TRUE,IF(input_location="",FALSE,SUMPRODUCT(--ISNUMBER(SEARCH(","&amp;TRIM(TEXTSPLIT(FS119,","))&amp;",",","&amp;SUBSTITUTE(input_location," ","")&amp;",")))=COUNTA(TEXTSPLIT(FS119,",")))),IF(FU119="",TRUE,IF(input_location="",TRUE,SUMPRODUCT(--ISNUMBER(SEARCH(","&amp;TRIM(TEXTSPLIT(FU119,","))&amp;",",","&amp;SUBSTITUTE(input_location," ","")&amp;",")))=0)),IF(FW119="",TRUE,IF(input_location="",FALSE,SUMPRODUCT(--ISNUMBER(SEARCH(","&amp;TRIM(TEXTSPLIT(FW119,","))&amp;",",","&amp;SUBSTITUTE(input_location," ","")&amp;",")))&gt;0)),IF(FY119="",TRUE,IF(input_location="",FALSE,SUMPRODUCT(--ISNUMBER(SEARCH(","&amp;TRIM(TEXTSPLIT(FY119,","))&amp;",",","&amp;SUBSTITUTE(input_location," ","")&amp;",")))=COUNTA(TEXTSPLIT(FY119,",")))))</f>
        <v/>
      </c>
      <c r="JK119" s="19">
        <f>AND(IF(GA119="",TRUE,IF(input_modality="",FALSE,SUMPRODUCT(--ISNUMBER(SEARCH(","&amp;TRIM(TEXTSPLIT(GA119,","))&amp;",",","&amp;SUBSTITUTE(input_modality," ","")&amp;",")))&gt;0)),IF(GC119="",TRUE,IF(input_modality="",FALSE,SUMPRODUCT(--ISNUMBER(SEARCH(","&amp;TRIM(TEXTSPLIT(GC119,","))&amp;",",","&amp;SUBSTITUTE(input_modality," ","")&amp;",")))=COUNTA(TEXTSPLIT(GC119,",")))),IF(GE119="",TRUE,IF(input_modality="",TRUE,SUMPRODUCT(--ISNUMBER(SEARCH(","&amp;TRIM(TEXTSPLIT(GE119,","))&amp;",",","&amp;SUBSTITUTE(input_modality," ","")&amp;",")))=0)),IF(GG119="",TRUE,IF(input_modality="",FALSE,SUMPRODUCT(--ISNUMBER(SEARCH(","&amp;TRIM(TEXTSPLIT(GG119,","))&amp;",",","&amp;SUBSTITUTE(input_modality," ","")&amp;",")))&gt;0)),IF(GI119="",TRUE,IF(input_modality="",FALSE,SUMPRODUCT(--ISNUMBER(SEARCH(","&amp;TRIM(TEXTSPLIT(GI119,","))&amp;",",","&amp;SUBSTITUTE(input_modality," ","")&amp;",")))=COUNTA(TEXTSPLIT(GI119,",")))))</f>
        <v/>
      </c>
      <c r="JL119" s="19">
        <f>AND(IF(GK119="",TRUE,IF(input_organizer="",FALSE,SUMPRODUCT(--ISNUMBER(SEARCH(","&amp;TRIM(TEXTSPLIT(GK119,","))&amp;",",","&amp;SUBSTITUTE(input_organizer," ","")&amp;",")))&gt;0)),IF(GM119="",TRUE,IF(input_organizer="",FALSE,SUMPRODUCT(--ISNUMBER(SEARCH(","&amp;TRIM(TEXTSPLIT(GM119,","))&amp;",",","&amp;SUBSTITUTE(input_organizer," ","")&amp;",")))=COUNTA(TEXTSPLIT(GM119,",")))),IF(GO119="",TRUE,IF(input_organizer="",TRUE,SUMPRODUCT(--ISNUMBER(SEARCH(","&amp;TRIM(TEXTSPLIT(GO119,","))&amp;",",","&amp;SUBSTITUTE(input_organizer," ","")&amp;",")))=0)),IF(GQ119="",TRUE,IF(input_organizer="",FALSE,SUMPRODUCT(--ISNUMBER(SEARCH(","&amp;TRIM(TEXTSPLIT(GQ119,","))&amp;",",","&amp;SUBSTITUTE(input_organizer," ","")&amp;",")))&gt;0)),IF(GS119="",TRUE,IF(input_organizer="",FALSE,SUMPRODUCT(--ISNUMBER(SEARCH(","&amp;TRIM(TEXTSPLIT(GS119,","))&amp;",",","&amp;SUBSTITUTE(input_organizer," ","")&amp;",")))=COUNTA(TEXTSPLIT(GS119,",")))))</f>
        <v/>
      </c>
      <c r="JM119" s="19">
        <f>AND(IF(GU119="",TRUE,IF(input_profile_type="",FALSE,SUMPRODUCT(--ISNUMBER(SEARCH(","&amp;TRIM(TEXTSPLIT(GU119,","))&amp;",",","&amp;SUBSTITUTE(input_profile_type," ","")&amp;",")))&gt;0)),IF(GW119="",TRUE,IF(input_profile_type="",FALSE,SUMPRODUCT(--ISNUMBER(SEARCH(","&amp;TRIM(TEXTSPLIT(GW119,","))&amp;",",","&amp;SUBSTITUTE(input_profile_type," ","")&amp;",")))=COUNTA(TEXTSPLIT(GW119,",")))),IF(GY119="",TRUE,IF(input_profile_type="",TRUE,SUMPRODUCT(--ISNUMBER(SEARCH(","&amp;TRIM(TEXTSPLIT(GY119,","))&amp;",",","&amp;SUBSTITUTE(input_profile_type," ","")&amp;",")))=0)),IF(HA119="",TRUE,IF(input_profile_type="",FALSE,SUMPRODUCT(--ISNUMBER(SEARCH(","&amp;TRIM(TEXTSPLIT(HA119,","))&amp;",",","&amp;SUBSTITUTE(input_profile_type," ","")&amp;",")))&gt;0)),IF(HC119="",TRUE,IF(input_profile_type="",FALSE,SUMPRODUCT(--ISNUMBER(SEARCH(","&amp;TRIM(TEXTSPLIT(HC119,","))&amp;",",","&amp;SUBSTITUTE(input_profile_type," ","")&amp;",")))=COUNTA(TEXTSPLIT(HC119,",")))))</f>
        <v/>
      </c>
      <c r="JN119" s="19">
        <f>AND(IF(HE119="",TRUE,IF(input_program="",FALSE,SUMPRODUCT(--ISNUMBER(SEARCH(","&amp;TRIM(TEXTSPLIT(HE119,","))&amp;",",","&amp;SUBSTITUTE(input_program," ","")&amp;",")))&gt;0)),IF(HG119="",TRUE,IF(input_program="",FALSE,SUMPRODUCT(--ISNUMBER(SEARCH(","&amp;TRIM(TEXTSPLIT(HG119,","))&amp;",",","&amp;SUBSTITUTE(input_program," ","")&amp;",")))=COUNTA(TEXTSPLIT(HG119,",")))),IF(HI119="",TRUE,IF(input_program="",TRUE,SUMPRODUCT(--ISNUMBER(SEARCH(","&amp;TRIM(TEXTSPLIT(HI119,","))&amp;",",","&amp;SUBSTITUTE(input_program," ","")&amp;",")))=0)),IF(HK119="",TRUE,IF(input_program="",FALSE,SUMPRODUCT(--ISNUMBER(SEARCH(","&amp;TRIM(TEXTSPLIT(HK119,","))&amp;",",","&amp;SUBSTITUTE(input_program," ","")&amp;",")))&gt;0)),IF(HM119="",TRUE,IF(input_program="",FALSE,SUMPRODUCT(--ISNUMBER(SEARCH(","&amp;TRIM(TEXTSPLIT(HM119,","))&amp;",",","&amp;SUBSTITUTE(input_program," ","")&amp;",")))=COUNTA(TEXTSPLIT(HM119,",")))))</f>
        <v/>
      </c>
      <c r="JO119" s="19">
        <f>AND(IF(HO119="",TRUE,IF(input_story_categories="",FALSE,SUMPRODUCT(--ISNUMBER(SEARCH(","&amp;TRIM(TEXTSPLIT(HO119,","))&amp;",",","&amp;SUBSTITUTE(input_story_categories," ","")&amp;",")))&gt;0)),IF(HQ119="",TRUE,IF(input_story_categories="",FALSE,SUMPRODUCT(--ISNUMBER(SEARCH(","&amp;TRIM(TEXTSPLIT(HQ119,","))&amp;",",","&amp;SUBSTITUTE(input_story_categories," ","")&amp;",")))=COUNTA(TEXTSPLIT(HQ119,",")))),IF(HS119="",TRUE,IF(input_story_categories="",TRUE,SUMPRODUCT(--ISNUMBER(SEARCH(","&amp;TRIM(TEXTSPLIT(HS119,","))&amp;",",","&amp;SUBSTITUTE(input_story_categories," ","")&amp;",")))=0)),IF(HU119="",TRUE,IF(input_story_categories="",FALSE,SUMPRODUCT(--ISNUMBER(SEARCH(","&amp;TRIM(TEXTSPLIT(HU119,","))&amp;",",","&amp;SUBSTITUTE(input_story_categories," ","")&amp;",")))&gt;0)),IF(HW119="",TRUE,IF(input_story_categories="",FALSE,SUMPRODUCT(--ISNUMBER(SEARCH(","&amp;TRIM(TEXTSPLIT(HW119,","))&amp;",",","&amp;SUBSTITUTE(input_story_categories," ","")&amp;",")))=COUNTA(TEXTSPLIT(HW119,",")))))</f>
        <v/>
      </c>
      <c r="JP119" s="19">
        <f>AND(IF(HY119="",TRUE,IF(input_story_type="",FALSE,SUMPRODUCT(--ISNUMBER(SEARCH(","&amp;TRIM(TEXTSPLIT(HY119,","))&amp;",",","&amp;SUBSTITUTE(input_story_type," ","")&amp;",")))&gt;0)),IF(IA119="",TRUE,IF(input_story_type="",FALSE,SUMPRODUCT(--ISNUMBER(SEARCH(","&amp;TRIM(TEXTSPLIT(IA119,","))&amp;",",","&amp;SUBSTITUTE(input_story_type," ","")&amp;",")))=COUNTA(TEXTSPLIT(IA119,",")))),IF(IC119="",TRUE,IF(input_story_type="",TRUE,SUMPRODUCT(--ISNUMBER(SEARCH(","&amp;TRIM(TEXTSPLIT(IC119,","))&amp;",",","&amp;SUBSTITUTE(input_story_type," ","")&amp;",")))=0)),IF(IE119="",TRUE,IF(input_story_type="",FALSE,SUMPRODUCT(--ISNUMBER(SEARCH(","&amp;TRIM(TEXTSPLIT(IE119,","))&amp;",",","&amp;SUBSTITUTE(input_story_type," ","")&amp;",")))&gt;0)),IF(IG119="",TRUE,IF(input_story_type="",FALSE,SUMPRODUCT(--ISNUMBER(SEARCH(","&amp;TRIM(TEXTSPLIT(IG119,","))&amp;",",","&amp;SUBSTITUTE(input_story_type," ","")&amp;",")))=COUNTA(TEXTSPLIT(IG119,",")))))</f>
        <v/>
      </c>
      <c r="JQ119" s="19">
        <f>AND(IF(II119="",TRUE,IF(input_topics="",FALSE,SUMPRODUCT(--ISNUMBER(SEARCH(","&amp;TRIM(TEXTSPLIT(II119,","))&amp;",",","&amp;SUBSTITUTE(input_topics," ","")&amp;",")))&gt;0)),IF(IK119="",TRUE,IF(input_topics="",FALSE,SUMPRODUCT(--ISNUMBER(SEARCH(","&amp;TRIM(TEXTSPLIT(IK119,","))&amp;",",","&amp;SUBSTITUTE(input_topics," ","")&amp;",")))=COUNTA(TEXTSPLIT(IK119,",")))),IF(IM119="",TRUE,IF(input_topics="",TRUE,SUMPRODUCT(--ISNUMBER(SEARCH(","&amp;TRIM(TEXTSPLIT(IM119,","))&amp;",",","&amp;SUBSTITUTE(input_topics," ","")&amp;",")))=0)),IF(IO119="",TRUE,IF(input_topics="",FALSE,SUMPRODUCT(--ISNUMBER(SEARCH(","&amp;TRIM(TEXTSPLIT(IO119,","))&amp;",",","&amp;SUBSTITUTE(input_topics," ","")&amp;",")))&gt;0)),IF(IQ119="",TRUE,IF(input_topics="",FALSE,SUMPRODUCT(--ISNUMBER(SEARCH(","&amp;TRIM(TEXTSPLIT(IQ119,","))&amp;",",","&amp;SUBSTITUTE(input_topics," ","")&amp;",")))=COUNTA(TEXTSPLIT(IQ119,",")))))</f>
        <v/>
      </c>
    </row>
    <row r="120">
      <c r="A120" s="24">
        <f>IF(NOT(IS120),"Excluded",IF(AND(IT120,IU120,IV120,IW120,IX120,IY120,IZ120,JA120,JB120,JC120,JD120,JE120,JF120,JG120,JH120,JI120,JJ120,JK120,JL120,JM120,JN120,JO120,JP120,JQ120),IF(I120&gt;0,"Eligible but limited","Will appear"),"Excluded"))</f>
        <v/>
      </c>
      <c r="B120" s="24" t="inlineStr">
        <is>
          <t>Latest</t>
        </is>
      </c>
      <c r="C120" s="27" t="inlineStr">
        <is>
          <t>/</t>
        </is>
      </c>
      <c r="D120" s="24" t="inlineStr">
        <is>
          <t>/</t>
        </is>
      </c>
      <c r="E120" s="24" t="n">
        <v>1</v>
      </c>
      <c r="F120" s="24" t="inlineStr">
        <is>
          <t>impact_story</t>
        </is>
      </c>
      <c r="G120" s="24" t="inlineStr">
        <is>
          <t>impact_stories</t>
        </is>
      </c>
      <c r="H120" s="24" t="inlineStr">
        <is>
          <t>embed_latest</t>
        </is>
      </c>
      <c r="I120" s="24" t="n">
        <v>12</v>
      </c>
      <c r="J120" s="24" t="inlineStr">
        <is>
          <t>View/config rules</t>
        </is>
      </c>
      <c r="K120" s="24" t="inlineStr">
        <is>
          <t>Page placement</t>
        </is>
      </c>
      <c r="L120" s="24" t="inlineStr">
        <is>
          <t>Content type: impact_story; Limited to 12 item(s); Source: View/config rules</t>
        </is>
      </c>
      <c r="IS120" s="19">
        <f>IF(input_content_type="",FALSE,ISNUMBER(SEARCH(","&amp;LOWER(input_content_type)&amp;",",","&amp;LOWER(SUBSTITUTE(F120," ",""))&amp;",")))</f>
        <v/>
      </c>
      <c r="IT120" s="19">
        <f>AND(IF(M120="",TRUE,IF(input_affiliations="",FALSE,SUMPRODUCT(--ISNUMBER(SEARCH(","&amp;TRIM(TEXTSPLIT(M120,","))&amp;",",","&amp;SUBSTITUTE(input_affiliations," ","")&amp;",")))&gt;0)),IF(O120="",TRUE,IF(input_affiliations="",FALSE,SUMPRODUCT(--ISNUMBER(SEARCH(","&amp;TRIM(TEXTSPLIT(O120,","))&amp;",",","&amp;SUBSTITUTE(input_affiliations," ","")&amp;",")))=COUNTA(TEXTSPLIT(O120,",")))),IF(Q120="",TRUE,IF(input_affiliations="",TRUE,SUMPRODUCT(--ISNUMBER(SEARCH(","&amp;TRIM(TEXTSPLIT(Q120,","))&amp;",",","&amp;SUBSTITUTE(input_affiliations," ","")&amp;",")))=0)),IF(S120="",TRUE,IF(input_affiliations="",FALSE,SUMPRODUCT(--ISNUMBER(SEARCH(","&amp;TRIM(TEXTSPLIT(S120,","))&amp;",",","&amp;SUBSTITUTE(input_affiliations," ","")&amp;",")))&gt;0)),IF(U120="",TRUE,IF(input_affiliations="",FALSE,SUMPRODUCT(--ISNUMBER(SEARCH(","&amp;TRIM(TEXTSPLIT(U120,","))&amp;",",","&amp;SUBSTITUTE(input_affiliations," ","")&amp;",")))=COUNTA(TEXTSPLIT(U120,",")))))</f>
        <v/>
      </c>
      <c r="IU120" s="19">
        <f>AND(IF(W120="",TRUE,IF(input_announcement_category="",FALSE,SUMPRODUCT(--ISNUMBER(SEARCH(","&amp;TRIM(TEXTSPLIT(W120,","))&amp;",",","&amp;SUBSTITUTE(input_announcement_category," ","")&amp;",")))&gt;0)),IF(Y120="",TRUE,IF(input_announcement_category="",FALSE,SUMPRODUCT(--ISNUMBER(SEARCH(","&amp;TRIM(TEXTSPLIT(Y120,","))&amp;",",","&amp;SUBSTITUTE(input_announcement_category," ","")&amp;",")))=COUNTA(TEXTSPLIT(Y120,",")))),IF(AA120="",TRUE,IF(input_announcement_category="",TRUE,SUMPRODUCT(--ISNUMBER(SEARCH(","&amp;TRIM(TEXTSPLIT(AA120,","))&amp;",",","&amp;SUBSTITUTE(input_announcement_category," ","")&amp;",")))=0)),IF(AC120="",TRUE,IF(input_announcement_category="",FALSE,SUMPRODUCT(--ISNUMBER(SEARCH(","&amp;TRIM(TEXTSPLIT(AC120,","))&amp;",",","&amp;SUBSTITUTE(input_announcement_category," ","")&amp;",")))&gt;0)),IF(AE120="",TRUE,IF(input_announcement_category="",FALSE,SUMPRODUCT(--ISNUMBER(SEARCH(","&amp;TRIM(TEXTSPLIT(AE120,","))&amp;",",","&amp;SUBSTITUTE(input_announcement_category," ","")&amp;",")))=COUNTA(TEXTSPLIT(AE120,",")))))</f>
        <v/>
      </c>
      <c r="IV120" s="19">
        <f>AND(IF(AG120="",TRUE,IF(input_area_of_focus="",FALSE,SUMPRODUCT(--ISNUMBER(SEARCH(","&amp;TRIM(TEXTSPLIT(AG120,","))&amp;",",","&amp;SUBSTITUTE(input_area_of_focus," ","")&amp;",")))&gt;0)),IF(AI120="",TRUE,IF(input_area_of_focus="",FALSE,SUMPRODUCT(--ISNUMBER(SEARCH(","&amp;TRIM(TEXTSPLIT(AI120,","))&amp;",",","&amp;SUBSTITUTE(input_area_of_focus," ","")&amp;",")))=COUNTA(TEXTSPLIT(AI120,",")))),IF(AK120="",TRUE,IF(input_area_of_focus="",TRUE,SUMPRODUCT(--ISNUMBER(SEARCH(","&amp;TRIM(TEXTSPLIT(AK120,","))&amp;",",","&amp;SUBSTITUTE(input_area_of_focus," ","")&amp;",")))=0)),IF(AM120="",TRUE,IF(input_area_of_focus="",FALSE,SUMPRODUCT(--ISNUMBER(SEARCH(","&amp;TRIM(TEXTSPLIT(AM120,","))&amp;",",","&amp;SUBSTITUTE(input_area_of_focus," ","")&amp;",")))&gt;0)),IF(AO120="",TRUE,IF(input_area_of_focus="",FALSE,SUMPRODUCT(--ISNUMBER(SEARCH(","&amp;TRIM(TEXTSPLIT(AO120,","))&amp;",",","&amp;SUBSTITUTE(input_area_of_focus," ","")&amp;",")))=COUNTA(TEXTSPLIT(AO120,",")))))</f>
        <v/>
      </c>
      <c r="IW120" s="19">
        <f>AND(IF(AQ120="",TRUE,IF(input_audience="",FALSE,SUMPRODUCT(--ISNUMBER(SEARCH(","&amp;TRIM(TEXTSPLIT(AQ120,","))&amp;",",","&amp;SUBSTITUTE(input_audience," ","")&amp;",")))&gt;0)),IF(AS120="",TRUE,IF(input_audience="",FALSE,SUMPRODUCT(--ISNUMBER(SEARCH(","&amp;TRIM(TEXTSPLIT(AS120,","))&amp;",",","&amp;SUBSTITUTE(input_audience," ","")&amp;",")))=COUNTA(TEXTSPLIT(AS120,",")))),IF(AU120="",TRUE,IF(input_audience="",TRUE,SUMPRODUCT(--ISNUMBER(SEARCH(","&amp;TRIM(TEXTSPLIT(AU120,","))&amp;",",","&amp;SUBSTITUTE(input_audience," ","")&amp;",")))=0)),IF(AW120="",TRUE,IF(input_audience="",FALSE,SUMPRODUCT(--ISNUMBER(SEARCH(","&amp;TRIM(TEXTSPLIT(AW120,","))&amp;",",","&amp;SUBSTITUTE(input_audience," ","")&amp;",")))&gt;0)),IF(AY120="",TRUE,IF(input_audience="",FALSE,SUMPRODUCT(--ISNUMBER(SEARCH(","&amp;TRIM(TEXTSPLIT(AY120,","))&amp;",",","&amp;SUBSTITUTE(input_audience," ","")&amp;",")))=COUNTA(TEXTSPLIT(AY120,",")))))</f>
        <v/>
      </c>
      <c r="IX120" s="19">
        <f>AND(IF(BA120="",TRUE,IF(input_challenge_opportunities="",FALSE,SUMPRODUCT(--ISNUMBER(SEARCH(","&amp;TRIM(TEXTSPLIT(BA120,","))&amp;",",","&amp;SUBSTITUTE(input_challenge_opportunities," ","")&amp;",")))&gt;0)),IF(BC120="",TRUE,IF(input_challenge_opportunities="",FALSE,SUMPRODUCT(--ISNUMBER(SEARCH(","&amp;TRIM(TEXTSPLIT(BC120,","))&amp;",",","&amp;SUBSTITUTE(input_challenge_opportunities," ","")&amp;",")))=COUNTA(TEXTSPLIT(BC120,",")))),IF(BE120="",TRUE,IF(input_challenge_opportunities="",TRUE,SUMPRODUCT(--ISNUMBER(SEARCH(","&amp;TRIM(TEXTSPLIT(BE120,","))&amp;",",","&amp;SUBSTITUTE(input_challenge_opportunities," ","")&amp;",")))=0)),IF(BG120="",TRUE,IF(input_challenge_opportunities="",FALSE,SUMPRODUCT(--ISNUMBER(SEARCH(","&amp;TRIM(TEXTSPLIT(BG120,","))&amp;",",","&amp;SUBSTITUTE(input_challenge_opportunities," ","")&amp;",")))&gt;0)),IF(BI120="",TRUE,IF(input_challenge_opportunities="",FALSE,SUMPRODUCT(--ISNUMBER(SEARCH(","&amp;TRIM(TEXTSPLIT(BI120,","))&amp;",",","&amp;SUBSTITUTE(input_challenge_opportunities," ","")&amp;",")))=COUNTA(TEXTSPLIT(BI120,",")))))</f>
        <v/>
      </c>
      <c r="IY120" s="19">
        <f>AND(IF(BK120="",TRUE,IF(input_context="",FALSE,SUMPRODUCT(--ISNUMBER(SEARCH(","&amp;TRIM(TEXTSPLIT(BK120,","))&amp;",",","&amp;SUBSTITUTE(input_context," ","")&amp;",")))&gt;0)),IF(BM120="",TRUE,IF(input_context="",FALSE,SUMPRODUCT(--ISNUMBER(SEARCH(","&amp;TRIM(TEXTSPLIT(BM120,","))&amp;",",","&amp;SUBSTITUTE(input_context," ","")&amp;",")))=COUNTA(TEXTSPLIT(BM120,",")))),IF(BO120="",TRUE,IF(input_context="",TRUE,SUMPRODUCT(--ISNUMBER(SEARCH(","&amp;TRIM(TEXTSPLIT(BO120,","))&amp;",",","&amp;SUBSTITUTE(input_context," ","")&amp;",")))=0)),IF(BQ120="",TRUE,IF(input_context="",FALSE,SUMPRODUCT(--ISNUMBER(SEARCH(","&amp;TRIM(TEXTSPLIT(BQ120,","))&amp;",",","&amp;SUBSTITUTE(input_context," ","")&amp;",")))&gt;0)),IF(BS120="",TRUE,IF(input_context="",FALSE,SUMPRODUCT(--ISNUMBER(SEARCH(","&amp;TRIM(TEXTSPLIT(BS120,","))&amp;",",","&amp;SUBSTITUTE(input_context," ","")&amp;",")))=COUNTA(TEXTSPLIT(BS120,",")))))</f>
        <v/>
      </c>
      <c r="IZ120" s="19">
        <f>AND(IF(BU120="",TRUE,IF(input_enews_announcement_type="",FALSE,SUMPRODUCT(--ISNUMBER(SEARCH(","&amp;TRIM(TEXTSPLIT(BU120,","))&amp;",",","&amp;SUBSTITUTE(input_enews_announcement_type," ","")&amp;",")))&gt;0)),IF(BW120="",TRUE,IF(input_enews_announcement_type="",FALSE,SUMPRODUCT(--ISNUMBER(SEARCH(","&amp;TRIM(TEXTSPLIT(BW120,","))&amp;",",","&amp;SUBSTITUTE(input_enews_announcement_type," ","")&amp;",")))=COUNTA(TEXTSPLIT(BW120,",")))),IF(BY120="",TRUE,IF(input_enews_announcement_type="",TRUE,SUMPRODUCT(--ISNUMBER(SEARCH(","&amp;TRIM(TEXTSPLIT(BY120,","))&amp;",",","&amp;SUBSTITUTE(input_enews_announcement_type," ","")&amp;",")))=0)),IF(CA120="",TRUE,IF(input_enews_announcement_type="",FALSE,SUMPRODUCT(--ISNUMBER(SEARCH(","&amp;TRIM(TEXTSPLIT(CA120,","))&amp;",",","&amp;SUBSTITUTE(input_enews_announcement_type," ","")&amp;",")))&gt;0)),IF(CC120="",TRUE,IF(input_enews_announcement_type="",FALSE,SUMPRODUCT(--ISNUMBER(SEARCH(","&amp;TRIM(TEXTSPLIT(CC120,","))&amp;",",","&amp;SUBSTITUTE(input_enews_announcement_type," ","")&amp;",")))=COUNTA(TEXTSPLIT(CC120,",")))))</f>
        <v/>
      </c>
      <c r="JA120" s="19">
        <f>AND(IF(CE120="",TRUE,IF(input_enews_audience="",FALSE,SUMPRODUCT(--ISNUMBER(SEARCH(","&amp;TRIM(TEXTSPLIT(CE120,","))&amp;",",","&amp;SUBSTITUTE(input_enews_audience," ","")&amp;",")))&gt;0)),IF(CG120="",TRUE,IF(input_enews_audience="",FALSE,SUMPRODUCT(--ISNUMBER(SEARCH(","&amp;TRIM(TEXTSPLIT(CG120,","))&amp;",",","&amp;SUBSTITUTE(input_enews_audience," ","")&amp;",")))=COUNTA(TEXTSPLIT(CG120,",")))),IF(CI120="",TRUE,IF(input_enews_audience="",TRUE,SUMPRODUCT(--ISNUMBER(SEARCH(","&amp;TRIM(TEXTSPLIT(CI120,","))&amp;",",","&amp;SUBSTITUTE(input_enews_audience," ","")&amp;",")))=0)),IF(CK120="",TRUE,IF(input_enews_audience="",FALSE,SUMPRODUCT(--ISNUMBER(SEARCH(","&amp;TRIM(TEXTSPLIT(CK120,","))&amp;",",","&amp;SUBSTITUTE(input_enews_audience," ","")&amp;",")))&gt;0)),IF(CM120="",TRUE,IF(input_enews_audience="",FALSE,SUMPRODUCT(--ISNUMBER(SEARCH(","&amp;TRIM(TEXTSPLIT(CM120,","))&amp;",",","&amp;SUBSTITUTE(input_enews_audience," ","")&amp;",")))=COUNTA(TEXTSPLIT(CM120,",")))))</f>
        <v/>
      </c>
      <c r="JB120" s="19">
        <f>AND(IF(CO120="",TRUE,IF(input_event_location="",FALSE,SUMPRODUCT(--ISNUMBER(SEARCH(","&amp;TRIM(TEXTSPLIT(CO120,","))&amp;",",","&amp;SUBSTITUTE(input_event_location," ","")&amp;",")))&gt;0)),IF(CQ120="",TRUE,IF(input_event_location="",FALSE,SUMPRODUCT(--ISNUMBER(SEARCH(","&amp;TRIM(TEXTSPLIT(CQ120,","))&amp;",",","&amp;SUBSTITUTE(input_event_location," ","")&amp;",")))=COUNTA(TEXTSPLIT(CQ120,",")))),IF(CS120="",TRUE,IF(input_event_location="",TRUE,SUMPRODUCT(--ISNUMBER(SEARCH(","&amp;TRIM(TEXTSPLIT(CS120,","))&amp;",",","&amp;SUBSTITUTE(input_event_location," ","")&amp;",")))=0)),IF(CU120="",TRUE,IF(input_event_location="",FALSE,SUMPRODUCT(--ISNUMBER(SEARCH(","&amp;TRIM(TEXTSPLIT(CU120,","))&amp;",",","&amp;SUBSTITUTE(input_event_location," ","")&amp;",")))&gt;0)),IF(CW120="",TRUE,IF(input_event_location="",FALSE,SUMPRODUCT(--ISNUMBER(SEARCH(","&amp;TRIM(TEXTSPLIT(CW120,","))&amp;",",","&amp;SUBSTITUTE(input_event_location," ","")&amp;",")))=COUNTA(TEXTSPLIT(CW120,",")))))</f>
        <v/>
      </c>
      <c r="JC120" s="19">
        <f>AND(IF(CY120="",TRUE,IF(input_event_type="",FALSE,SUMPRODUCT(--ISNUMBER(SEARCH(","&amp;TRIM(TEXTSPLIT(CY120,","))&amp;",",","&amp;SUBSTITUTE(input_event_type," ","")&amp;",")))&gt;0)),IF(DA120="",TRUE,IF(input_event_type="",FALSE,SUMPRODUCT(--ISNUMBER(SEARCH(","&amp;TRIM(TEXTSPLIT(DA120,","))&amp;",",","&amp;SUBSTITUTE(input_event_type," ","")&amp;",")))=COUNTA(TEXTSPLIT(DA120,",")))),IF(DC120="",TRUE,IF(input_event_type="",TRUE,SUMPRODUCT(--ISNUMBER(SEARCH(","&amp;TRIM(TEXTSPLIT(DC120,","))&amp;",",","&amp;SUBSTITUTE(input_event_type," ","")&amp;",")))=0)),IF(DE120="",TRUE,IF(input_event_type="",FALSE,SUMPRODUCT(--ISNUMBER(SEARCH(","&amp;TRIM(TEXTSPLIT(DE120,","))&amp;",",","&amp;SUBSTITUTE(input_event_type," ","")&amp;",")))&gt;0)),IF(DG120="",TRUE,IF(input_event_type="",FALSE,SUMPRODUCT(--ISNUMBER(SEARCH(","&amp;TRIM(TEXTSPLIT(DG120,","))&amp;",",","&amp;SUBSTITUTE(input_event_type," ","")&amp;",")))=COUNTA(TEXTSPLIT(DG120,",")))))</f>
        <v/>
      </c>
      <c r="JD120" s="19">
        <f>AND(IF(DI120="",TRUE,IF(input_executive_education_focus="",FALSE,SUMPRODUCT(--ISNUMBER(SEARCH(","&amp;TRIM(TEXTSPLIT(DI120,","))&amp;",",","&amp;SUBSTITUTE(input_executive_education_focus," ","")&amp;",")))&gt;0)),IF(DK120="",TRUE,IF(input_executive_education_focus="",FALSE,SUMPRODUCT(--ISNUMBER(SEARCH(","&amp;TRIM(TEXTSPLIT(DK120,","))&amp;",",","&amp;SUBSTITUTE(input_executive_education_focus," ","")&amp;",")))=COUNTA(TEXTSPLIT(DK120,",")))),IF(DM120="",TRUE,IF(input_executive_education_focus="",TRUE,SUMPRODUCT(--ISNUMBER(SEARCH(","&amp;TRIM(TEXTSPLIT(DM120,","))&amp;",",","&amp;SUBSTITUTE(input_executive_education_focus," ","")&amp;",")))=0)),IF(DO120="",TRUE,IF(input_executive_education_focus="",FALSE,SUMPRODUCT(--ISNUMBER(SEARCH(","&amp;TRIM(TEXTSPLIT(DO120,","))&amp;",",","&amp;SUBSTITUTE(input_executive_education_focus," ","")&amp;",")))&gt;0)),IF(DQ120="",TRUE,IF(input_executive_education_focus="",FALSE,SUMPRODUCT(--ISNUMBER(SEARCH(","&amp;TRIM(TEXTSPLIT(DQ120,","))&amp;",",","&amp;SUBSTITUTE(input_executive_education_focus," ","")&amp;",")))=COUNTA(TEXTSPLIT(DQ120,",")))))</f>
        <v/>
      </c>
      <c r="JE120" s="19">
        <f>AND(IF(DS120="",TRUE,IF(input_faculty_category="",FALSE,SUMPRODUCT(--ISNUMBER(SEARCH(","&amp;TRIM(TEXTSPLIT(DS120,","))&amp;",",","&amp;SUBSTITUTE(input_faculty_category," ","")&amp;",")))&gt;0)),IF(DU120="",TRUE,IF(input_faculty_category="",FALSE,SUMPRODUCT(--ISNUMBER(SEARCH(","&amp;TRIM(TEXTSPLIT(DU120,","))&amp;",",","&amp;SUBSTITUTE(input_faculty_category," ","")&amp;",")))=COUNTA(TEXTSPLIT(DU120,",")))),IF(DW120="",TRUE,IF(input_faculty_category="",TRUE,SUMPRODUCT(--ISNUMBER(SEARCH(","&amp;TRIM(TEXTSPLIT(DW120,","))&amp;",",","&amp;SUBSTITUTE(input_faculty_category," ","")&amp;",")))=0)),IF(DY120="",TRUE,IF(input_faculty_category="",FALSE,SUMPRODUCT(--ISNUMBER(SEARCH(","&amp;TRIM(TEXTSPLIT(DY120,","))&amp;",",","&amp;SUBSTITUTE(input_faculty_category," ","")&amp;",")))&gt;0)),IF(EA120="",TRUE,IF(input_faculty_category="",FALSE,SUMPRODUCT(--ISNUMBER(SEARCH(","&amp;TRIM(TEXTSPLIT(EA120,","))&amp;",",","&amp;SUBSTITUTE(input_faculty_category," ","")&amp;",")))=COUNTA(TEXTSPLIT(EA120,",")))))</f>
        <v/>
      </c>
      <c r="JF120" s="19">
        <f>AND(IF(EC120="",TRUE,IF(input_faculty_discipline="",FALSE,SUMPRODUCT(--ISNUMBER(SEARCH(","&amp;TRIM(TEXTSPLIT(EC120,","))&amp;",",","&amp;SUBSTITUTE(input_faculty_discipline," ","")&amp;",")))&gt;0)),IF(EE120="",TRUE,IF(input_faculty_discipline="",FALSE,SUMPRODUCT(--ISNUMBER(SEARCH(","&amp;TRIM(TEXTSPLIT(EE120,","))&amp;",",","&amp;SUBSTITUTE(input_faculty_discipline," ","")&amp;",")))=COUNTA(TEXTSPLIT(EE120,",")))),IF(EG120="",TRUE,IF(input_faculty_discipline="",TRUE,SUMPRODUCT(--ISNUMBER(SEARCH(","&amp;TRIM(TEXTSPLIT(EG120,","))&amp;",",","&amp;SUBSTITUTE(input_faculty_discipline," ","")&amp;",")))=0)),IF(EI120="",TRUE,IF(input_faculty_discipline="",FALSE,SUMPRODUCT(--ISNUMBER(SEARCH(","&amp;TRIM(TEXTSPLIT(EI120,","))&amp;",",","&amp;SUBSTITUTE(input_faculty_discipline," ","")&amp;",")))&gt;0)),IF(EK120="",TRUE,IF(input_faculty_discipline="",FALSE,SUMPRODUCT(--ISNUMBER(SEARCH(","&amp;TRIM(TEXTSPLIT(EK120,","))&amp;",",","&amp;SUBSTITUTE(input_faculty_discipline," ","")&amp;",")))=COUNTA(TEXTSPLIT(EK120,",")))))</f>
        <v/>
      </c>
      <c r="JG120" s="19">
        <f>AND(IF(EM120="",TRUE,IF(input_faculty_expertise="",FALSE,SUMPRODUCT(--ISNUMBER(SEARCH(","&amp;TRIM(TEXTSPLIT(EM120,","))&amp;",",","&amp;SUBSTITUTE(input_faculty_expertise," ","")&amp;",")))&gt;0)),IF(EO120="",TRUE,IF(input_faculty_expertise="",FALSE,SUMPRODUCT(--ISNUMBER(SEARCH(","&amp;TRIM(TEXTSPLIT(EO120,","))&amp;",",","&amp;SUBSTITUTE(input_faculty_expertise," ","")&amp;",")))=COUNTA(TEXTSPLIT(EO120,",")))),IF(EQ120="",TRUE,IF(input_faculty_expertise="",TRUE,SUMPRODUCT(--ISNUMBER(SEARCH(","&amp;TRIM(TEXTSPLIT(EQ120,","))&amp;",",","&amp;SUBSTITUTE(input_faculty_expertise," ","")&amp;",")))=0)),IF(ES120="",TRUE,IF(input_faculty_expertise="",FALSE,SUMPRODUCT(--ISNUMBER(SEARCH(","&amp;TRIM(TEXTSPLIT(ES120,","))&amp;",",","&amp;SUBSTITUTE(input_faculty_expertise," ","")&amp;",")))&gt;0)),IF(EU120="",TRUE,IF(input_faculty_expertise="",FALSE,SUMPRODUCT(--ISNUMBER(SEARCH(","&amp;TRIM(TEXTSPLIT(EU120,","))&amp;",",","&amp;SUBSTITUTE(input_faculty_expertise," ","")&amp;",")))=COUNTA(TEXTSPLIT(EU120,",")))))</f>
        <v/>
      </c>
      <c r="JH120" s="19">
        <f>AND(IF(EW120="",TRUE,IF(input_global_network_school="",FALSE,SUMPRODUCT(--ISNUMBER(SEARCH(","&amp;TRIM(TEXTSPLIT(EW120,","))&amp;",",","&amp;SUBSTITUTE(input_global_network_school," ","")&amp;",")))&gt;0)),IF(EY120="",TRUE,IF(input_global_network_school="",FALSE,SUMPRODUCT(--ISNUMBER(SEARCH(","&amp;TRIM(TEXTSPLIT(EY120,","))&amp;",",","&amp;SUBSTITUTE(input_global_network_school," ","")&amp;",")))=COUNTA(TEXTSPLIT(EY120,",")))),IF(FA120="",TRUE,IF(input_global_network_school="",TRUE,SUMPRODUCT(--ISNUMBER(SEARCH(","&amp;TRIM(TEXTSPLIT(FA120,","))&amp;",",","&amp;SUBSTITUTE(input_global_network_school," ","")&amp;",")))=0)),IF(FC120="",TRUE,IF(input_global_network_school="",FALSE,SUMPRODUCT(--ISNUMBER(SEARCH(","&amp;TRIM(TEXTSPLIT(FC120,","))&amp;",",","&amp;SUBSTITUTE(input_global_network_school," ","")&amp;",")))&gt;0)),IF(FE120="",TRUE,IF(input_global_network_school="",FALSE,SUMPRODUCT(--ISNUMBER(SEARCH(","&amp;TRIM(TEXTSPLIT(FE120,","))&amp;",",","&amp;SUBSTITUTE(input_global_network_school," ","")&amp;",")))=COUNTA(TEXTSPLIT(FE120,",")))))</f>
        <v/>
      </c>
      <c r="JI120" s="19">
        <f>AND(IF(FG120="",TRUE,IF(input_industry="",FALSE,SUMPRODUCT(--ISNUMBER(SEARCH(","&amp;TRIM(TEXTSPLIT(FG120,","))&amp;",",","&amp;SUBSTITUTE(input_industry," ","")&amp;",")))&gt;0)),IF(FI120="",TRUE,IF(input_industry="",FALSE,SUMPRODUCT(--ISNUMBER(SEARCH(","&amp;TRIM(TEXTSPLIT(FI120,","))&amp;",",","&amp;SUBSTITUTE(input_industry," ","")&amp;",")))=COUNTA(TEXTSPLIT(FI120,",")))),IF(FK120="",TRUE,IF(input_industry="",TRUE,SUMPRODUCT(--ISNUMBER(SEARCH(","&amp;TRIM(TEXTSPLIT(FK120,","))&amp;",",","&amp;SUBSTITUTE(input_industry," ","")&amp;",")))=0)),IF(FM120="",TRUE,IF(input_industry="",FALSE,SUMPRODUCT(--ISNUMBER(SEARCH(","&amp;TRIM(TEXTSPLIT(FM120,","))&amp;",",","&amp;SUBSTITUTE(input_industry," ","")&amp;",")))&gt;0)),IF(FO120="",TRUE,IF(input_industry="",FALSE,SUMPRODUCT(--ISNUMBER(SEARCH(","&amp;TRIM(TEXTSPLIT(FO120,","))&amp;",",","&amp;SUBSTITUTE(input_industry," ","")&amp;",")))=COUNTA(TEXTSPLIT(FO120,",")))))</f>
        <v/>
      </c>
      <c r="JJ120" s="19">
        <f>AND(IF(FQ120="",TRUE,IF(input_location="",FALSE,SUMPRODUCT(--ISNUMBER(SEARCH(","&amp;TRIM(TEXTSPLIT(FQ120,","))&amp;",",","&amp;SUBSTITUTE(input_location," ","")&amp;",")))&gt;0)),IF(FS120="",TRUE,IF(input_location="",FALSE,SUMPRODUCT(--ISNUMBER(SEARCH(","&amp;TRIM(TEXTSPLIT(FS120,","))&amp;",",","&amp;SUBSTITUTE(input_location," ","")&amp;",")))=COUNTA(TEXTSPLIT(FS120,",")))),IF(FU120="",TRUE,IF(input_location="",TRUE,SUMPRODUCT(--ISNUMBER(SEARCH(","&amp;TRIM(TEXTSPLIT(FU120,","))&amp;",",","&amp;SUBSTITUTE(input_location," ","")&amp;",")))=0)),IF(FW120="",TRUE,IF(input_location="",FALSE,SUMPRODUCT(--ISNUMBER(SEARCH(","&amp;TRIM(TEXTSPLIT(FW120,","))&amp;",",","&amp;SUBSTITUTE(input_location," ","")&amp;",")))&gt;0)),IF(FY120="",TRUE,IF(input_location="",FALSE,SUMPRODUCT(--ISNUMBER(SEARCH(","&amp;TRIM(TEXTSPLIT(FY120,","))&amp;",",","&amp;SUBSTITUTE(input_location," ","")&amp;",")))=COUNTA(TEXTSPLIT(FY120,",")))))</f>
        <v/>
      </c>
      <c r="JK120" s="19">
        <f>AND(IF(GA120="",TRUE,IF(input_modality="",FALSE,SUMPRODUCT(--ISNUMBER(SEARCH(","&amp;TRIM(TEXTSPLIT(GA120,","))&amp;",",","&amp;SUBSTITUTE(input_modality," ","")&amp;",")))&gt;0)),IF(GC120="",TRUE,IF(input_modality="",FALSE,SUMPRODUCT(--ISNUMBER(SEARCH(","&amp;TRIM(TEXTSPLIT(GC120,","))&amp;",",","&amp;SUBSTITUTE(input_modality," ","")&amp;",")))=COUNTA(TEXTSPLIT(GC120,",")))),IF(GE120="",TRUE,IF(input_modality="",TRUE,SUMPRODUCT(--ISNUMBER(SEARCH(","&amp;TRIM(TEXTSPLIT(GE120,","))&amp;",",","&amp;SUBSTITUTE(input_modality," ","")&amp;",")))=0)),IF(GG120="",TRUE,IF(input_modality="",FALSE,SUMPRODUCT(--ISNUMBER(SEARCH(","&amp;TRIM(TEXTSPLIT(GG120,","))&amp;",",","&amp;SUBSTITUTE(input_modality," ","")&amp;",")))&gt;0)),IF(GI120="",TRUE,IF(input_modality="",FALSE,SUMPRODUCT(--ISNUMBER(SEARCH(","&amp;TRIM(TEXTSPLIT(GI120,","))&amp;",",","&amp;SUBSTITUTE(input_modality," ","")&amp;",")))=COUNTA(TEXTSPLIT(GI120,",")))))</f>
        <v/>
      </c>
      <c r="JL120" s="19">
        <f>AND(IF(GK120="",TRUE,IF(input_organizer="",FALSE,SUMPRODUCT(--ISNUMBER(SEARCH(","&amp;TRIM(TEXTSPLIT(GK120,","))&amp;",",","&amp;SUBSTITUTE(input_organizer," ","")&amp;",")))&gt;0)),IF(GM120="",TRUE,IF(input_organizer="",FALSE,SUMPRODUCT(--ISNUMBER(SEARCH(","&amp;TRIM(TEXTSPLIT(GM120,","))&amp;",",","&amp;SUBSTITUTE(input_organizer," ","")&amp;",")))=COUNTA(TEXTSPLIT(GM120,",")))),IF(GO120="",TRUE,IF(input_organizer="",TRUE,SUMPRODUCT(--ISNUMBER(SEARCH(","&amp;TRIM(TEXTSPLIT(GO120,","))&amp;",",","&amp;SUBSTITUTE(input_organizer," ","")&amp;",")))=0)),IF(GQ120="",TRUE,IF(input_organizer="",FALSE,SUMPRODUCT(--ISNUMBER(SEARCH(","&amp;TRIM(TEXTSPLIT(GQ120,","))&amp;",",","&amp;SUBSTITUTE(input_organizer," ","")&amp;",")))&gt;0)),IF(GS120="",TRUE,IF(input_organizer="",FALSE,SUMPRODUCT(--ISNUMBER(SEARCH(","&amp;TRIM(TEXTSPLIT(GS120,","))&amp;",",","&amp;SUBSTITUTE(input_organizer," ","")&amp;",")))=COUNTA(TEXTSPLIT(GS120,",")))))</f>
        <v/>
      </c>
      <c r="JM120" s="19">
        <f>AND(IF(GU120="",TRUE,IF(input_profile_type="",FALSE,SUMPRODUCT(--ISNUMBER(SEARCH(","&amp;TRIM(TEXTSPLIT(GU120,","))&amp;",",","&amp;SUBSTITUTE(input_profile_type," ","")&amp;",")))&gt;0)),IF(GW120="",TRUE,IF(input_profile_type="",FALSE,SUMPRODUCT(--ISNUMBER(SEARCH(","&amp;TRIM(TEXTSPLIT(GW120,","))&amp;",",","&amp;SUBSTITUTE(input_profile_type," ","")&amp;",")))=COUNTA(TEXTSPLIT(GW120,",")))),IF(GY120="",TRUE,IF(input_profile_type="",TRUE,SUMPRODUCT(--ISNUMBER(SEARCH(","&amp;TRIM(TEXTSPLIT(GY120,","))&amp;",",","&amp;SUBSTITUTE(input_profile_type," ","")&amp;",")))=0)),IF(HA120="",TRUE,IF(input_profile_type="",FALSE,SUMPRODUCT(--ISNUMBER(SEARCH(","&amp;TRIM(TEXTSPLIT(HA120,","))&amp;",",","&amp;SUBSTITUTE(input_profile_type," ","")&amp;",")))&gt;0)),IF(HC120="",TRUE,IF(input_profile_type="",FALSE,SUMPRODUCT(--ISNUMBER(SEARCH(","&amp;TRIM(TEXTSPLIT(HC120,","))&amp;",",","&amp;SUBSTITUTE(input_profile_type," ","")&amp;",")))=COUNTA(TEXTSPLIT(HC120,",")))))</f>
        <v/>
      </c>
      <c r="JN120" s="19">
        <f>AND(IF(HE120="",TRUE,IF(input_program="",FALSE,SUMPRODUCT(--ISNUMBER(SEARCH(","&amp;TRIM(TEXTSPLIT(HE120,","))&amp;",",","&amp;SUBSTITUTE(input_program," ","")&amp;",")))&gt;0)),IF(HG120="",TRUE,IF(input_program="",FALSE,SUMPRODUCT(--ISNUMBER(SEARCH(","&amp;TRIM(TEXTSPLIT(HG120,","))&amp;",",","&amp;SUBSTITUTE(input_program," ","")&amp;",")))=COUNTA(TEXTSPLIT(HG120,",")))),IF(HI120="",TRUE,IF(input_program="",TRUE,SUMPRODUCT(--ISNUMBER(SEARCH(","&amp;TRIM(TEXTSPLIT(HI120,","))&amp;",",","&amp;SUBSTITUTE(input_program," ","")&amp;",")))=0)),IF(HK120="",TRUE,IF(input_program="",FALSE,SUMPRODUCT(--ISNUMBER(SEARCH(","&amp;TRIM(TEXTSPLIT(HK120,","))&amp;",",","&amp;SUBSTITUTE(input_program," ","")&amp;",")))&gt;0)),IF(HM120="",TRUE,IF(input_program="",FALSE,SUMPRODUCT(--ISNUMBER(SEARCH(","&amp;TRIM(TEXTSPLIT(HM120,","))&amp;",",","&amp;SUBSTITUTE(input_program," ","")&amp;",")))=COUNTA(TEXTSPLIT(HM120,",")))))</f>
        <v/>
      </c>
      <c r="JO120" s="19">
        <f>AND(IF(HO120="",TRUE,IF(input_story_categories="",FALSE,SUMPRODUCT(--ISNUMBER(SEARCH(","&amp;TRIM(TEXTSPLIT(HO120,","))&amp;",",","&amp;SUBSTITUTE(input_story_categories," ","")&amp;",")))&gt;0)),IF(HQ120="",TRUE,IF(input_story_categories="",FALSE,SUMPRODUCT(--ISNUMBER(SEARCH(","&amp;TRIM(TEXTSPLIT(HQ120,","))&amp;",",","&amp;SUBSTITUTE(input_story_categories," ","")&amp;",")))=COUNTA(TEXTSPLIT(HQ120,",")))),IF(HS120="",TRUE,IF(input_story_categories="",TRUE,SUMPRODUCT(--ISNUMBER(SEARCH(","&amp;TRIM(TEXTSPLIT(HS120,","))&amp;",",","&amp;SUBSTITUTE(input_story_categories," ","")&amp;",")))=0)),IF(HU120="",TRUE,IF(input_story_categories="",FALSE,SUMPRODUCT(--ISNUMBER(SEARCH(","&amp;TRIM(TEXTSPLIT(HU120,","))&amp;",",","&amp;SUBSTITUTE(input_story_categories," ","")&amp;",")))&gt;0)),IF(HW120="",TRUE,IF(input_story_categories="",FALSE,SUMPRODUCT(--ISNUMBER(SEARCH(","&amp;TRIM(TEXTSPLIT(HW120,","))&amp;",",","&amp;SUBSTITUTE(input_story_categories," ","")&amp;",")))=COUNTA(TEXTSPLIT(HW120,",")))))</f>
        <v/>
      </c>
      <c r="JP120" s="19">
        <f>AND(IF(HY120="",TRUE,IF(input_story_type="",FALSE,SUMPRODUCT(--ISNUMBER(SEARCH(","&amp;TRIM(TEXTSPLIT(HY120,","))&amp;",",","&amp;SUBSTITUTE(input_story_type," ","")&amp;",")))&gt;0)),IF(IA120="",TRUE,IF(input_story_type="",FALSE,SUMPRODUCT(--ISNUMBER(SEARCH(","&amp;TRIM(TEXTSPLIT(IA120,","))&amp;",",","&amp;SUBSTITUTE(input_story_type," ","")&amp;",")))=COUNTA(TEXTSPLIT(IA120,",")))),IF(IC120="",TRUE,IF(input_story_type="",TRUE,SUMPRODUCT(--ISNUMBER(SEARCH(","&amp;TRIM(TEXTSPLIT(IC120,","))&amp;",",","&amp;SUBSTITUTE(input_story_type," ","")&amp;",")))=0)),IF(IE120="",TRUE,IF(input_story_type="",FALSE,SUMPRODUCT(--ISNUMBER(SEARCH(","&amp;TRIM(TEXTSPLIT(IE120,","))&amp;",",","&amp;SUBSTITUTE(input_story_type," ","")&amp;",")))&gt;0)),IF(IG120="",TRUE,IF(input_story_type="",FALSE,SUMPRODUCT(--ISNUMBER(SEARCH(","&amp;TRIM(TEXTSPLIT(IG120,","))&amp;",",","&amp;SUBSTITUTE(input_story_type," ","")&amp;",")))=COUNTA(TEXTSPLIT(IG120,",")))))</f>
        <v/>
      </c>
      <c r="JQ120" s="19">
        <f>AND(IF(II120="",TRUE,IF(input_topics="",FALSE,SUMPRODUCT(--ISNUMBER(SEARCH(","&amp;TRIM(TEXTSPLIT(II120,","))&amp;",",","&amp;SUBSTITUTE(input_topics," ","")&amp;",")))&gt;0)),IF(IK120="",TRUE,IF(input_topics="",FALSE,SUMPRODUCT(--ISNUMBER(SEARCH(","&amp;TRIM(TEXTSPLIT(IK120,","))&amp;",",","&amp;SUBSTITUTE(input_topics," ","")&amp;",")))=COUNTA(TEXTSPLIT(IK120,",")))),IF(IM120="",TRUE,IF(input_topics="",TRUE,SUMPRODUCT(--ISNUMBER(SEARCH(","&amp;TRIM(TEXTSPLIT(IM120,","))&amp;",",","&amp;SUBSTITUTE(input_topics," ","")&amp;",")))=0)),IF(IO120="",TRUE,IF(input_topics="",FALSE,SUMPRODUCT(--ISNUMBER(SEARCH(","&amp;TRIM(TEXTSPLIT(IO120,","))&amp;",",","&amp;SUBSTITUTE(input_topics," ","")&amp;",")))&gt;0)),IF(IQ120="",TRUE,IF(input_topics="",FALSE,SUMPRODUCT(--ISNUMBER(SEARCH(","&amp;TRIM(TEXTSPLIT(IQ120,","))&amp;",",","&amp;SUBSTITUTE(input_topics," ","")&amp;",")))=COUNTA(TEXTSPLIT(IQ120,",")))))</f>
        <v/>
      </c>
    </row>
    <row r="121">
      <c r="A121" s="24">
        <f>IF(NOT(IS121),"Excluded",IF(AND(IT121,IU121,IV121,IW121,IX121,IY121,IZ121,JA121,JB121,JC121,JD121,JE121,JF121,JG121,JH121,JI121,JJ121,JK121,JL121,JM121,JN121,JO121,JP121,JQ121),IF(I121&gt;0,"Eligible but limited","Will appear"),"Excluded"))</f>
        <v/>
      </c>
      <c r="B121" s="24" t="inlineStr">
        <is>
          <t>Making a Difference</t>
        </is>
      </c>
      <c r="C121" s="27" t="inlineStr">
        <is>
          <t>/about/headlines/making-difference</t>
        </is>
      </c>
      <c r="D121" s="24" t="inlineStr">
        <is>
          <t>/about/headlines/making-difference</t>
        </is>
      </c>
      <c r="E121" s="24" t="n">
        <v>1</v>
      </c>
      <c r="F121" s="24" t="inlineStr">
        <is>
          <t>story</t>
        </is>
      </c>
      <c r="G121" s="24" t="inlineStr">
        <is>
          <t>stories_list</t>
        </is>
      </c>
      <c r="H121" s="24" t="inlineStr">
        <is>
          <t>embed_1</t>
        </is>
      </c>
      <c r="I121" s="24" t="n">
        <v>10</v>
      </c>
      <c r="J121" s="28" t="inlineStr">
        <is>
          <t>Explicit args</t>
        </is>
      </c>
      <c r="K121" s="24" t="inlineStr">
        <is>
          <t>Page placement</t>
        </is>
      </c>
      <c r="L121" s="24" t="inlineStr">
        <is>
          <t>Content type: story; Context uses Courses Context: Making a Difference (1167); Limited to 10 item(s); Source: Explicit args</t>
        </is>
      </c>
      <c r="BQ121" s="19" t="inlineStr">
        <is>
          <t>1167</t>
        </is>
      </c>
      <c r="BR121" s="19" t="inlineStr">
        <is>
          <t>Making a Difference (1167)</t>
        </is>
      </c>
      <c r="IS121" s="19">
        <f>IF(input_content_type="",FALSE,ISNUMBER(SEARCH(","&amp;LOWER(input_content_type)&amp;",",","&amp;LOWER(SUBSTITUTE(F121," ",""))&amp;",")))</f>
        <v/>
      </c>
      <c r="IT121" s="19">
        <f>AND(IF(M121="",TRUE,IF(input_affiliations="",FALSE,SUMPRODUCT(--ISNUMBER(SEARCH(","&amp;TRIM(TEXTSPLIT(M121,","))&amp;",",","&amp;SUBSTITUTE(input_affiliations," ","")&amp;",")))&gt;0)),IF(O121="",TRUE,IF(input_affiliations="",FALSE,SUMPRODUCT(--ISNUMBER(SEARCH(","&amp;TRIM(TEXTSPLIT(O121,","))&amp;",",","&amp;SUBSTITUTE(input_affiliations," ","")&amp;",")))=COUNTA(TEXTSPLIT(O121,",")))),IF(Q121="",TRUE,IF(input_affiliations="",TRUE,SUMPRODUCT(--ISNUMBER(SEARCH(","&amp;TRIM(TEXTSPLIT(Q121,","))&amp;",",","&amp;SUBSTITUTE(input_affiliations," ","")&amp;",")))=0)),IF(S121="",TRUE,IF(input_affiliations="",FALSE,SUMPRODUCT(--ISNUMBER(SEARCH(","&amp;TRIM(TEXTSPLIT(S121,","))&amp;",",","&amp;SUBSTITUTE(input_affiliations," ","")&amp;",")))&gt;0)),IF(U121="",TRUE,IF(input_affiliations="",FALSE,SUMPRODUCT(--ISNUMBER(SEARCH(","&amp;TRIM(TEXTSPLIT(U121,","))&amp;",",","&amp;SUBSTITUTE(input_affiliations," ","")&amp;",")))=COUNTA(TEXTSPLIT(U121,",")))))</f>
        <v/>
      </c>
      <c r="IU121" s="19">
        <f>AND(IF(W121="",TRUE,IF(input_announcement_category="",FALSE,SUMPRODUCT(--ISNUMBER(SEARCH(","&amp;TRIM(TEXTSPLIT(W121,","))&amp;",",","&amp;SUBSTITUTE(input_announcement_category," ","")&amp;",")))&gt;0)),IF(Y121="",TRUE,IF(input_announcement_category="",FALSE,SUMPRODUCT(--ISNUMBER(SEARCH(","&amp;TRIM(TEXTSPLIT(Y121,","))&amp;",",","&amp;SUBSTITUTE(input_announcement_category," ","")&amp;",")))=COUNTA(TEXTSPLIT(Y121,",")))),IF(AA121="",TRUE,IF(input_announcement_category="",TRUE,SUMPRODUCT(--ISNUMBER(SEARCH(","&amp;TRIM(TEXTSPLIT(AA121,","))&amp;",",","&amp;SUBSTITUTE(input_announcement_category," ","")&amp;",")))=0)),IF(AC121="",TRUE,IF(input_announcement_category="",FALSE,SUMPRODUCT(--ISNUMBER(SEARCH(","&amp;TRIM(TEXTSPLIT(AC121,","))&amp;",",","&amp;SUBSTITUTE(input_announcement_category," ","")&amp;",")))&gt;0)),IF(AE121="",TRUE,IF(input_announcement_category="",FALSE,SUMPRODUCT(--ISNUMBER(SEARCH(","&amp;TRIM(TEXTSPLIT(AE121,","))&amp;",",","&amp;SUBSTITUTE(input_announcement_category," ","")&amp;",")))=COUNTA(TEXTSPLIT(AE121,",")))))</f>
        <v/>
      </c>
      <c r="IV121" s="19">
        <f>AND(IF(AG121="",TRUE,IF(input_area_of_focus="",FALSE,SUMPRODUCT(--ISNUMBER(SEARCH(","&amp;TRIM(TEXTSPLIT(AG121,","))&amp;",",","&amp;SUBSTITUTE(input_area_of_focus," ","")&amp;",")))&gt;0)),IF(AI121="",TRUE,IF(input_area_of_focus="",FALSE,SUMPRODUCT(--ISNUMBER(SEARCH(","&amp;TRIM(TEXTSPLIT(AI121,","))&amp;",",","&amp;SUBSTITUTE(input_area_of_focus," ","")&amp;",")))=COUNTA(TEXTSPLIT(AI121,",")))),IF(AK121="",TRUE,IF(input_area_of_focus="",TRUE,SUMPRODUCT(--ISNUMBER(SEARCH(","&amp;TRIM(TEXTSPLIT(AK121,","))&amp;",",","&amp;SUBSTITUTE(input_area_of_focus," ","")&amp;",")))=0)),IF(AM121="",TRUE,IF(input_area_of_focus="",FALSE,SUMPRODUCT(--ISNUMBER(SEARCH(","&amp;TRIM(TEXTSPLIT(AM121,","))&amp;",",","&amp;SUBSTITUTE(input_area_of_focus," ","")&amp;",")))&gt;0)),IF(AO121="",TRUE,IF(input_area_of_focus="",FALSE,SUMPRODUCT(--ISNUMBER(SEARCH(","&amp;TRIM(TEXTSPLIT(AO121,","))&amp;",",","&amp;SUBSTITUTE(input_area_of_focus," ","")&amp;",")))=COUNTA(TEXTSPLIT(AO121,",")))))</f>
        <v/>
      </c>
      <c r="IW121" s="19">
        <f>AND(IF(AQ121="",TRUE,IF(input_audience="",FALSE,SUMPRODUCT(--ISNUMBER(SEARCH(","&amp;TRIM(TEXTSPLIT(AQ121,","))&amp;",",","&amp;SUBSTITUTE(input_audience," ","")&amp;",")))&gt;0)),IF(AS121="",TRUE,IF(input_audience="",FALSE,SUMPRODUCT(--ISNUMBER(SEARCH(","&amp;TRIM(TEXTSPLIT(AS121,","))&amp;",",","&amp;SUBSTITUTE(input_audience," ","")&amp;",")))=COUNTA(TEXTSPLIT(AS121,",")))),IF(AU121="",TRUE,IF(input_audience="",TRUE,SUMPRODUCT(--ISNUMBER(SEARCH(","&amp;TRIM(TEXTSPLIT(AU121,","))&amp;",",","&amp;SUBSTITUTE(input_audience," ","")&amp;",")))=0)),IF(AW121="",TRUE,IF(input_audience="",FALSE,SUMPRODUCT(--ISNUMBER(SEARCH(","&amp;TRIM(TEXTSPLIT(AW121,","))&amp;",",","&amp;SUBSTITUTE(input_audience," ","")&amp;",")))&gt;0)),IF(AY121="",TRUE,IF(input_audience="",FALSE,SUMPRODUCT(--ISNUMBER(SEARCH(","&amp;TRIM(TEXTSPLIT(AY121,","))&amp;",",","&amp;SUBSTITUTE(input_audience," ","")&amp;",")))=COUNTA(TEXTSPLIT(AY121,",")))))</f>
        <v/>
      </c>
      <c r="IX121" s="19">
        <f>AND(IF(BA121="",TRUE,IF(input_challenge_opportunities="",FALSE,SUMPRODUCT(--ISNUMBER(SEARCH(","&amp;TRIM(TEXTSPLIT(BA121,","))&amp;",",","&amp;SUBSTITUTE(input_challenge_opportunities," ","")&amp;",")))&gt;0)),IF(BC121="",TRUE,IF(input_challenge_opportunities="",FALSE,SUMPRODUCT(--ISNUMBER(SEARCH(","&amp;TRIM(TEXTSPLIT(BC121,","))&amp;",",","&amp;SUBSTITUTE(input_challenge_opportunities," ","")&amp;",")))=COUNTA(TEXTSPLIT(BC121,",")))),IF(BE121="",TRUE,IF(input_challenge_opportunities="",TRUE,SUMPRODUCT(--ISNUMBER(SEARCH(","&amp;TRIM(TEXTSPLIT(BE121,","))&amp;",",","&amp;SUBSTITUTE(input_challenge_opportunities," ","")&amp;",")))=0)),IF(BG121="",TRUE,IF(input_challenge_opportunities="",FALSE,SUMPRODUCT(--ISNUMBER(SEARCH(","&amp;TRIM(TEXTSPLIT(BG121,","))&amp;",",","&amp;SUBSTITUTE(input_challenge_opportunities," ","")&amp;",")))&gt;0)),IF(BI121="",TRUE,IF(input_challenge_opportunities="",FALSE,SUMPRODUCT(--ISNUMBER(SEARCH(","&amp;TRIM(TEXTSPLIT(BI121,","))&amp;",",","&amp;SUBSTITUTE(input_challenge_opportunities," ","")&amp;",")))=COUNTA(TEXTSPLIT(BI121,",")))))</f>
        <v/>
      </c>
      <c r="IY121" s="19">
        <f>AND(IF(BK121="",TRUE,IF(input_context="",FALSE,SUMPRODUCT(--ISNUMBER(SEARCH(","&amp;TRIM(TEXTSPLIT(BK121,","))&amp;",",","&amp;SUBSTITUTE(input_context," ","")&amp;",")))&gt;0)),IF(BM121="",TRUE,IF(input_context="",FALSE,SUMPRODUCT(--ISNUMBER(SEARCH(","&amp;TRIM(TEXTSPLIT(BM121,","))&amp;",",","&amp;SUBSTITUTE(input_context," ","")&amp;",")))=COUNTA(TEXTSPLIT(BM121,",")))),IF(BO121="",TRUE,IF(input_context="",TRUE,SUMPRODUCT(--ISNUMBER(SEARCH(","&amp;TRIM(TEXTSPLIT(BO121,","))&amp;",",","&amp;SUBSTITUTE(input_context," ","")&amp;",")))=0)),IF(BQ121="",TRUE,IF(input_context="",FALSE,SUMPRODUCT(--ISNUMBER(SEARCH(","&amp;TRIM(TEXTSPLIT(BQ121,","))&amp;",",","&amp;SUBSTITUTE(input_context," ","")&amp;",")))&gt;0)),IF(BS121="",TRUE,IF(input_context="",FALSE,SUMPRODUCT(--ISNUMBER(SEARCH(","&amp;TRIM(TEXTSPLIT(BS121,","))&amp;",",","&amp;SUBSTITUTE(input_context," ","")&amp;",")))=COUNTA(TEXTSPLIT(BS121,",")))))</f>
        <v/>
      </c>
      <c r="IZ121" s="19">
        <f>AND(IF(BU121="",TRUE,IF(input_enews_announcement_type="",FALSE,SUMPRODUCT(--ISNUMBER(SEARCH(","&amp;TRIM(TEXTSPLIT(BU121,","))&amp;",",","&amp;SUBSTITUTE(input_enews_announcement_type," ","")&amp;",")))&gt;0)),IF(BW121="",TRUE,IF(input_enews_announcement_type="",FALSE,SUMPRODUCT(--ISNUMBER(SEARCH(","&amp;TRIM(TEXTSPLIT(BW121,","))&amp;",",","&amp;SUBSTITUTE(input_enews_announcement_type," ","")&amp;",")))=COUNTA(TEXTSPLIT(BW121,",")))),IF(BY121="",TRUE,IF(input_enews_announcement_type="",TRUE,SUMPRODUCT(--ISNUMBER(SEARCH(","&amp;TRIM(TEXTSPLIT(BY121,","))&amp;",",","&amp;SUBSTITUTE(input_enews_announcement_type," ","")&amp;",")))=0)),IF(CA121="",TRUE,IF(input_enews_announcement_type="",FALSE,SUMPRODUCT(--ISNUMBER(SEARCH(","&amp;TRIM(TEXTSPLIT(CA121,","))&amp;",",","&amp;SUBSTITUTE(input_enews_announcement_type," ","")&amp;",")))&gt;0)),IF(CC121="",TRUE,IF(input_enews_announcement_type="",FALSE,SUMPRODUCT(--ISNUMBER(SEARCH(","&amp;TRIM(TEXTSPLIT(CC121,","))&amp;",",","&amp;SUBSTITUTE(input_enews_announcement_type," ","")&amp;",")))=COUNTA(TEXTSPLIT(CC121,",")))))</f>
        <v/>
      </c>
      <c r="JA121" s="19">
        <f>AND(IF(CE121="",TRUE,IF(input_enews_audience="",FALSE,SUMPRODUCT(--ISNUMBER(SEARCH(","&amp;TRIM(TEXTSPLIT(CE121,","))&amp;",",","&amp;SUBSTITUTE(input_enews_audience," ","")&amp;",")))&gt;0)),IF(CG121="",TRUE,IF(input_enews_audience="",FALSE,SUMPRODUCT(--ISNUMBER(SEARCH(","&amp;TRIM(TEXTSPLIT(CG121,","))&amp;",",","&amp;SUBSTITUTE(input_enews_audience," ","")&amp;",")))=COUNTA(TEXTSPLIT(CG121,",")))),IF(CI121="",TRUE,IF(input_enews_audience="",TRUE,SUMPRODUCT(--ISNUMBER(SEARCH(","&amp;TRIM(TEXTSPLIT(CI121,","))&amp;",",","&amp;SUBSTITUTE(input_enews_audience," ","")&amp;",")))=0)),IF(CK121="",TRUE,IF(input_enews_audience="",FALSE,SUMPRODUCT(--ISNUMBER(SEARCH(","&amp;TRIM(TEXTSPLIT(CK121,","))&amp;",",","&amp;SUBSTITUTE(input_enews_audience," ","")&amp;",")))&gt;0)),IF(CM121="",TRUE,IF(input_enews_audience="",FALSE,SUMPRODUCT(--ISNUMBER(SEARCH(","&amp;TRIM(TEXTSPLIT(CM121,","))&amp;",",","&amp;SUBSTITUTE(input_enews_audience," ","")&amp;",")))=COUNTA(TEXTSPLIT(CM121,",")))))</f>
        <v/>
      </c>
      <c r="JB121" s="19">
        <f>AND(IF(CO121="",TRUE,IF(input_event_location="",FALSE,SUMPRODUCT(--ISNUMBER(SEARCH(","&amp;TRIM(TEXTSPLIT(CO121,","))&amp;",",","&amp;SUBSTITUTE(input_event_location," ","")&amp;",")))&gt;0)),IF(CQ121="",TRUE,IF(input_event_location="",FALSE,SUMPRODUCT(--ISNUMBER(SEARCH(","&amp;TRIM(TEXTSPLIT(CQ121,","))&amp;",",","&amp;SUBSTITUTE(input_event_location," ","")&amp;",")))=COUNTA(TEXTSPLIT(CQ121,",")))),IF(CS121="",TRUE,IF(input_event_location="",TRUE,SUMPRODUCT(--ISNUMBER(SEARCH(","&amp;TRIM(TEXTSPLIT(CS121,","))&amp;",",","&amp;SUBSTITUTE(input_event_location," ","")&amp;",")))=0)),IF(CU121="",TRUE,IF(input_event_location="",FALSE,SUMPRODUCT(--ISNUMBER(SEARCH(","&amp;TRIM(TEXTSPLIT(CU121,","))&amp;",",","&amp;SUBSTITUTE(input_event_location," ","")&amp;",")))&gt;0)),IF(CW121="",TRUE,IF(input_event_location="",FALSE,SUMPRODUCT(--ISNUMBER(SEARCH(","&amp;TRIM(TEXTSPLIT(CW121,","))&amp;",",","&amp;SUBSTITUTE(input_event_location," ","")&amp;",")))=COUNTA(TEXTSPLIT(CW121,",")))))</f>
        <v/>
      </c>
      <c r="JC121" s="19">
        <f>AND(IF(CY121="",TRUE,IF(input_event_type="",FALSE,SUMPRODUCT(--ISNUMBER(SEARCH(","&amp;TRIM(TEXTSPLIT(CY121,","))&amp;",",","&amp;SUBSTITUTE(input_event_type," ","")&amp;",")))&gt;0)),IF(DA121="",TRUE,IF(input_event_type="",FALSE,SUMPRODUCT(--ISNUMBER(SEARCH(","&amp;TRIM(TEXTSPLIT(DA121,","))&amp;",",","&amp;SUBSTITUTE(input_event_type," ","")&amp;",")))=COUNTA(TEXTSPLIT(DA121,",")))),IF(DC121="",TRUE,IF(input_event_type="",TRUE,SUMPRODUCT(--ISNUMBER(SEARCH(","&amp;TRIM(TEXTSPLIT(DC121,","))&amp;",",","&amp;SUBSTITUTE(input_event_type," ","")&amp;",")))=0)),IF(DE121="",TRUE,IF(input_event_type="",FALSE,SUMPRODUCT(--ISNUMBER(SEARCH(","&amp;TRIM(TEXTSPLIT(DE121,","))&amp;",",","&amp;SUBSTITUTE(input_event_type," ","")&amp;",")))&gt;0)),IF(DG121="",TRUE,IF(input_event_type="",FALSE,SUMPRODUCT(--ISNUMBER(SEARCH(","&amp;TRIM(TEXTSPLIT(DG121,","))&amp;",",","&amp;SUBSTITUTE(input_event_type," ","")&amp;",")))=COUNTA(TEXTSPLIT(DG121,",")))))</f>
        <v/>
      </c>
      <c r="JD121" s="19">
        <f>AND(IF(DI121="",TRUE,IF(input_executive_education_focus="",FALSE,SUMPRODUCT(--ISNUMBER(SEARCH(","&amp;TRIM(TEXTSPLIT(DI121,","))&amp;",",","&amp;SUBSTITUTE(input_executive_education_focus," ","")&amp;",")))&gt;0)),IF(DK121="",TRUE,IF(input_executive_education_focus="",FALSE,SUMPRODUCT(--ISNUMBER(SEARCH(","&amp;TRIM(TEXTSPLIT(DK121,","))&amp;",",","&amp;SUBSTITUTE(input_executive_education_focus," ","")&amp;",")))=COUNTA(TEXTSPLIT(DK121,",")))),IF(DM121="",TRUE,IF(input_executive_education_focus="",TRUE,SUMPRODUCT(--ISNUMBER(SEARCH(","&amp;TRIM(TEXTSPLIT(DM121,","))&amp;",",","&amp;SUBSTITUTE(input_executive_education_focus," ","")&amp;",")))=0)),IF(DO121="",TRUE,IF(input_executive_education_focus="",FALSE,SUMPRODUCT(--ISNUMBER(SEARCH(","&amp;TRIM(TEXTSPLIT(DO121,","))&amp;",",","&amp;SUBSTITUTE(input_executive_education_focus," ","")&amp;",")))&gt;0)),IF(DQ121="",TRUE,IF(input_executive_education_focus="",FALSE,SUMPRODUCT(--ISNUMBER(SEARCH(","&amp;TRIM(TEXTSPLIT(DQ121,","))&amp;",",","&amp;SUBSTITUTE(input_executive_education_focus," ","")&amp;",")))=COUNTA(TEXTSPLIT(DQ121,",")))))</f>
        <v/>
      </c>
      <c r="JE121" s="19">
        <f>AND(IF(DS121="",TRUE,IF(input_faculty_category="",FALSE,SUMPRODUCT(--ISNUMBER(SEARCH(","&amp;TRIM(TEXTSPLIT(DS121,","))&amp;",",","&amp;SUBSTITUTE(input_faculty_category," ","")&amp;",")))&gt;0)),IF(DU121="",TRUE,IF(input_faculty_category="",FALSE,SUMPRODUCT(--ISNUMBER(SEARCH(","&amp;TRIM(TEXTSPLIT(DU121,","))&amp;",",","&amp;SUBSTITUTE(input_faculty_category," ","")&amp;",")))=COUNTA(TEXTSPLIT(DU121,",")))),IF(DW121="",TRUE,IF(input_faculty_category="",TRUE,SUMPRODUCT(--ISNUMBER(SEARCH(","&amp;TRIM(TEXTSPLIT(DW121,","))&amp;",",","&amp;SUBSTITUTE(input_faculty_category," ","")&amp;",")))=0)),IF(DY121="",TRUE,IF(input_faculty_category="",FALSE,SUMPRODUCT(--ISNUMBER(SEARCH(","&amp;TRIM(TEXTSPLIT(DY121,","))&amp;",",","&amp;SUBSTITUTE(input_faculty_category," ","")&amp;",")))&gt;0)),IF(EA121="",TRUE,IF(input_faculty_category="",FALSE,SUMPRODUCT(--ISNUMBER(SEARCH(","&amp;TRIM(TEXTSPLIT(EA121,","))&amp;",",","&amp;SUBSTITUTE(input_faculty_category," ","")&amp;",")))=COUNTA(TEXTSPLIT(EA121,",")))))</f>
        <v/>
      </c>
      <c r="JF121" s="19">
        <f>AND(IF(EC121="",TRUE,IF(input_faculty_discipline="",FALSE,SUMPRODUCT(--ISNUMBER(SEARCH(","&amp;TRIM(TEXTSPLIT(EC121,","))&amp;",",","&amp;SUBSTITUTE(input_faculty_discipline," ","")&amp;",")))&gt;0)),IF(EE121="",TRUE,IF(input_faculty_discipline="",FALSE,SUMPRODUCT(--ISNUMBER(SEARCH(","&amp;TRIM(TEXTSPLIT(EE121,","))&amp;",",","&amp;SUBSTITUTE(input_faculty_discipline," ","")&amp;",")))=COUNTA(TEXTSPLIT(EE121,",")))),IF(EG121="",TRUE,IF(input_faculty_discipline="",TRUE,SUMPRODUCT(--ISNUMBER(SEARCH(","&amp;TRIM(TEXTSPLIT(EG121,","))&amp;",",","&amp;SUBSTITUTE(input_faculty_discipline," ","")&amp;",")))=0)),IF(EI121="",TRUE,IF(input_faculty_discipline="",FALSE,SUMPRODUCT(--ISNUMBER(SEARCH(","&amp;TRIM(TEXTSPLIT(EI121,","))&amp;",",","&amp;SUBSTITUTE(input_faculty_discipline," ","")&amp;",")))&gt;0)),IF(EK121="",TRUE,IF(input_faculty_discipline="",FALSE,SUMPRODUCT(--ISNUMBER(SEARCH(","&amp;TRIM(TEXTSPLIT(EK121,","))&amp;",",","&amp;SUBSTITUTE(input_faculty_discipline," ","")&amp;",")))=COUNTA(TEXTSPLIT(EK121,",")))))</f>
        <v/>
      </c>
      <c r="JG121" s="19">
        <f>AND(IF(EM121="",TRUE,IF(input_faculty_expertise="",FALSE,SUMPRODUCT(--ISNUMBER(SEARCH(","&amp;TRIM(TEXTSPLIT(EM121,","))&amp;",",","&amp;SUBSTITUTE(input_faculty_expertise," ","")&amp;",")))&gt;0)),IF(EO121="",TRUE,IF(input_faculty_expertise="",FALSE,SUMPRODUCT(--ISNUMBER(SEARCH(","&amp;TRIM(TEXTSPLIT(EO121,","))&amp;",",","&amp;SUBSTITUTE(input_faculty_expertise," ","")&amp;",")))=COUNTA(TEXTSPLIT(EO121,",")))),IF(EQ121="",TRUE,IF(input_faculty_expertise="",TRUE,SUMPRODUCT(--ISNUMBER(SEARCH(","&amp;TRIM(TEXTSPLIT(EQ121,","))&amp;",",","&amp;SUBSTITUTE(input_faculty_expertise," ","")&amp;",")))=0)),IF(ES121="",TRUE,IF(input_faculty_expertise="",FALSE,SUMPRODUCT(--ISNUMBER(SEARCH(","&amp;TRIM(TEXTSPLIT(ES121,","))&amp;",",","&amp;SUBSTITUTE(input_faculty_expertise," ","")&amp;",")))&gt;0)),IF(EU121="",TRUE,IF(input_faculty_expertise="",FALSE,SUMPRODUCT(--ISNUMBER(SEARCH(","&amp;TRIM(TEXTSPLIT(EU121,","))&amp;",",","&amp;SUBSTITUTE(input_faculty_expertise," ","")&amp;",")))=COUNTA(TEXTSPLIT(EU121,",")))))</f>
        <v/>
      </c>
      <c r="JH121" s="19">
        <f>AND(IF(EW121="",TRUE,IF(input_global_network_school="",FALSE,SUMPRODUCT(--ISNUMBER(SEARCH(","&amp;TRIM(TEXTSPLIT(EW121,","))&amp;",",","&amp;SUBSTITUTE(input_global_network_school," ","")&amp;",")))&gt;0)),IF(EY121="",TRUE,IF(input_global_network_school="",FALSE,SUMPRODUCT(--ISNUMBER(SEARCH(","&amp;TRIM(TEXTSPLIT(EY121,","))&amp;",",","&amp;SUBSTITUTE(input_global_network_school," ","")&amp;",")))=COUNTA(TEXTSPLIT(EY121,",")))),IF(FA121="",TRUE,IF(input_global_network_school="",TRUE,SUMPRODUCT(--ISNUMBER(SEARCH(","&amp;TRIM(TEXTSPLIT(FA121,","))&amp;",",","&amp;SUBSTITUTE(input_global_network_school," ","")&amp;",")))=0)),IF(FC121="",TRUE,IF(input_global_network_school="",FALSE,SUMPRODUCT(--ISNUMBER(SEARCH(","&amp;TRIM(TEXTSPLIT(FC121,","))&amp;",",","&amp;SUBSTITUTE(input_global_network_school," ","")&amp;",")))&gt;0)),IF(FE121="",TRUE,IF(input_global_network_school="",FALSE,SUMPRODUCT(--ISNUMBER(SEARCH(","&amp;TRIM(TEXTSPLIT(FE121,","))&amp;",",","&amp;SUBSTITUTE(input_global_network_school," ","")&amp;",")))=COUNTA(TEXTSPLIT(FE121,",")))))</f>
        <v/>
      </c>
      <c r="JI121" s="19">
        <f>AND(IF(FG121="",TRUE,IF(input_industry="",FALSE,SUMPRODUCT(--ISNUMBER(SEARCH(","&amp;TRIM(TEXTSPLIT(FG121,","))&amp;",",","&amp;SUBSTITUTE(input_industry," ","")&amp;",")))&gt;0)),IF(FI121="",TRUE,IF(input_industry="",FALSE,SUMPRODUCT(--ISNUMBER(SEARCH(","&amp;TRIM(TEXTSPLIT(FI121,","))&amp;",",","&amp;SUBSTITUTE(input_industry," ","")&amp;",")))=COUNTA(TEXTSPLIT(FI121,",")))),IF(FK121="",TRUE,IF(input_industry="",TRUE,SUMPRODUCT(--ISNUMBER(SEARCH(","&amp;TRIM(TEXTSPLIT(FK121,","))&amp;",",","&amp;SUBSTITUTE(input_industry," ","")&amp;",")))=0)),IF(FM121="",TRUE,IF(input_industry="",FALSE,SUMPRODUCT(--ISNUMBER(SEARCH(","&amp;TRIM(TEXTSPLIT(FM121,","))&amp;",",","&amp;SUBSTITUTE(input_industry," ","")&amp;",")))&gt;0)),IF(FO121="",TRUE,IF(input_industry="",FALSE,SUMPRODUCT(--ISNUMBER(SEARCH(","&amp;TRIM(TEXTSPLIT(FO121,","))&amp;",",","&amp;SUBSTITUTE(input_industry," ","")&amp;",")))=COUNTA(TEXTSPLIT(FO121,",")))))</f>
        <v/>
      </c>
      <c r="JJ121" s="19">
        <f>AND(IF(FQ121="",TRUE,IF(input_location="",FALSE,SUMPRODUCT(--ISNUMBER(SEARCH(","&amp;TRIM(TEXTSPLIT(FQ121,","))&amp;",",","&amp;SUBSTITUTE(input_location," ","")&amp;",")))&gt;0)),IF(FS121="",TRUE,IF(input_location="",FALSE,SUMPRODUCT(--ISNUMBER(SEARCH(","&amp;TRIM(TEXTSPLIT(FS121,","))&amp;",",","&amp;SUBSTITUTE(input_location," ","")&amp;",")))=COUNTA(TEXTSPLIT(FS121,",")))),IF(FU121="",TRUE,IF(input_location="",TRUE,SUMPRODUCT(--ISNUMBER(SEARCH(","&amp;TRIM(TEXTSPLIT(FU121,","))&amp;",",","&amp;SUBSTITUTE(input_location," ","")&amp;",")))=0)),IF(FW121="",TRUE,IF(input_location="",FALSE,SUMPRODUCT(--ISNUMBER(SEARCH(","&amp;TRIM(TEXTSPLIT(FW121,","))&amp;",",","&amp;SUBSTITUTE(input_location," ","")&amp;",")))&gt;0)),IF(FY121="",TRUE,IF(input_location="",FALSE,SUMPRODUCT(--ISNUMBER(SEARCH(","&amp;TRIM(TEXTSPLIT(FY121,","))&amp;",",","&amp;SUBSTITUTE(input_location," ","")&amp;",")))=COUNTA(TEXTSPLIT(FY121,",")))))</f>
        <v/>
      </c>
      <c r="JK121" s="19">
        <f>AND(IF(GA121="",TRUE,IF(input_modality="",FALSE,SUMPRODUCT(--ISNUMBER(SEARCH(","&amp;TRIM(TEXTSPLIT(GA121,","))&amp;",",","&amp;SUBSTITUTE(input_modality," ","")&amp;",")))&gt;0)),IF(GC121="",TRUE,IF(input_modality="",FALSE,SUMPRODUCT(--ISNUMBER(SEARCH(","&amp;TRIM(TEXTSPLIT(GC121,","))&amp;",",","&amp;SUBSTITUTE(input_modality," ","")&amp;",")))=COUNTA(TEXTSPLIT(GC121,",")))),IF(GE121="",TRUE,IF(input_modality="",TRUE,SUMPRODUCT(--ISNUMBER(SEARCH(","&amp;TRIM(TEXTSPLIT(GE121,","))&amp;",",","&amp;SUBSTITUTE(input_modality," ","")&amp;",")))=0)),IF(GG121="",TRUE,IF(input_modality="",FALSE,SUMPRODUCT(--ISNUMBER(SEARCH(","&amp;TRIM(TEXTSPLIT(GG121,","))&amp;",",","&amp;SUBSTITUTE(input_modality," ","")&amp;",")))&gt;0)),IF(GI121="",TRUE,IF(input_modality="",FALSE,SUMPRODUCT(--ISNUMBER(SEARCH(","&amp;TRIM(TEXTSPLIT(GI121,","))&amp;",",","&amp;SUBSTITUTE(input_modality," ","")&amp;",")))=COUNTA(TEXTSPLIT(GI121,",")))))</f>
        <v/>
      </c>
      <c r="JL121" s="19">
        <f>AND(IF(GK121="",TRUE,IF(input_organizer="",FALSE,SUMPRODUCT(--ISNUMBER(SEARCH(","&amp;TRIM(TEXTSPLIT(GK121,","))&amp;",",","&amp;SUBSTITUTE(input_organizer," ","")&amp;",")))&gt;0)),IF(GM121="",TRUE,IF(input_organizer="",FALSE,SUMPRODUCT(--ISNUMBER(SEARCH(","&amp;TRIM(TEXTSPLIT(GM121,","))&amp;",",","&amp;SUBSTITUTE(input_organizer," ","")&amp;",")))=COUNTA(TEXTSPLIT(GM121,",")))),IF(GO121="",TRUE,IF(input_organizer="",TRUE,SUMPRODUCT(--ISNUMBER(SEARCH(","&amp;TRIM(TEXTSPLIT(GO121,","))&amp;",",","&amp;SUBSTITUTE(input_organizer," ","")&amp;",")))=0)),IF(GQ121="",TRUE,IF(input_organizer="",FALSE,SUMPRODUCT(--ISNUMBER(SEARCH(","&amp;TRIM(TEXTSPLIT(GQ121,","))&amp;",",","&amp;SUBSTITUTE(input_organizer," ","")&amp;",")))&gt;0)),IF(GS121="",TRUE,IF(input_organizer="",FALSE,SUMPRODUCT(--ISNUMBER(SEARCH(","&amp;TRIM(TEXTSPLIT(GS121,","))&amp;",",","&amp;SUBSTITUTE(input_organizer," ","")&amp;",")))=COUNTA(TEXTSPLIT(GS121,",")))))</f>
        <v/>
      </c>
      <c r="JM121" s="19">
        <f>AND(IF(GU121="",TRUE,IF(input_profile_type="",FALSE,SUMPRODUCT(--ISNUMBER(SEARCH(","&amp;TRIM(TEXTSPLIT(GU121,","))&amp;",",","&amp;SUBSTITUTE(input_profile_type," ","")&amp;",")))&gt;0)),IF(GW121="",TRUE,IF(input_profile_type="",FALSE,SUMPRODUCT(--ISNUMBER(SEARCH(","&amp;TRIM(TEXTSPLIT(GW121,","))&amp;",",","&amp;SUBSTITUTE(input_profile_type," ","")&amp;",")))=COUNTA(TEXTSPLIT(GW121,",")))),IF(GY121="",TRUE,IF(input_profile_type="",TRUE,SUMPRODUCT(--ISNUMBER(SEARCH(","&amp;TRIM(TEXTSPLIT(GY121,","))&amp;",",","&amp;SUBSTITUTE(input_profile_type," ","")&amp;",")))=0)),IF(HA121="",TRUE,IF(input_profile_type="",FALSE,SUMPRODUCT(--ISNUMBER(SEARCH(","&amp;TRIM(TEXTSPLIT(HA121,","))&amp;",",","&amp;SUBSTITUTE(input_profile_type," ","")&amp;",")))&gt;0)),IF(HC121="",TRUE,IF(input_profile_type="",FALSE,SUMPRODUCT(--ISNUMBER(SEARCH(","&amp;TRIM(TEXTSPLIT(HC121,","))&amp;",",","&amp;SUBSTITUTE(input_profile_type," ","")&amp;",")))=COUNTA(TEXTSPLIT(HC121,",")))))</f>
        <v/>
      </c>
      <c r="JN121" s="19">
        <f>AND(IF(HE121="",TRUE,IF(input_program="",FALSE,SUMPRODUCT(--ISNUMBER(SEARCH(","&amp;TRIM(TEXTSPLIT(HE121,","))&amp;",",","&amp;SUBSTITUTE(input_program," ","")&amp;",")))&gt;0)),IF(HG121="",TRUE,IF(input_program="",FALSE,SUMPRODUCT(--ISNUMBER(SEARCH(","&amp;TRIM(TEXTSPLIT(HG121,","))&amp;",",","&amp;SUBSTITUTE(input_program," ","")&amp;",")))=COUNTA(TEXTSPLIT(HG121,",")))),IF(HI121="",TRUE,IF(input_program="",TRUE,SUMPRODUCT(--ISNUMBER(SEARCH(","&amp;TRIM(TEXTSPLIT(HI121,","))&amp;",",","&amp;SUBSTITUTE(input_program," ","")&amp;",")))=0)),IF(HK121="",TRUE,IF(input_program="",FALSE,SUMPRODUCT(--ISNUMBER(SEARCH(","&amp;TRIM(TEXTSPLIT(HK121,","))&amp;",",","&amp;SUBSTITUTE(input_program," ","")&amp;",")))&gt;0)),IF(HM121="",TRUE,IF(input_program="",FALSE,SUMPRODUCT(--ISNUMBER(SEARCH(","&amp;TRIM(TEXTSPLIT(HM121,","))&amp;",",","&amp;SUBSTITUTE(input_program," ","")&amp;",")))=COUNTA(TEXTSPLIT(HM121,",")))))</f>
        <v/>
      </c>
      <c r="JO121" s="19">
        <f>AND(IF(HO121="",TRUE,IF(input_story_categories="",FALSE,SUMPRODUCT(--ISNUMBER(SEARCH(","&amp;TRIM(TEXTSPLIT(HO121,","))&amp;",",","&amp;SUBSTITUTE(input_story_categories," ","")&amp;",")))&gt;0)),IF(HQ121="",TRUE,IF(input_story_categories="",FALSE,SUMPRODUCT(--ISNUMBER(SEARCH(","&amp;TRIM(TEXTSPLIT(HQ121,","))&amp;",",","&amp;SUBSTITUTE(input_story_categories," ","")&amp;",")))=COUNTA(TEXTSPLIT(HQ121,",")))),IF(HS121="",TRUE,IF(input_story_categories="",TRUE,SUMPRODUCT(--ISNUMBER(SEARCH(","&amp;TRIM(TEXTSPLIT(HS121,","))&amp;",",","&amp;SUBSTITUTE(input_story_categories," ","")&amp;",")))=0)),IF(HU121="",TRUE,IF(input_story_categories="",FALSE,SUMPRODUCT(--ISNUMBER(SEARCH(","&amp;TRIM(TEXTSPLIT(HU121,","))&amp;",",","&amp;SUBSTITUTE(input_story_categories," ","")&amp;",")))&gt;0)),IF(HW121="",TRUE,IF(input_story_categories="",FALSE,SUMPRODUCT(--ISNUMBER(SEARCH(","&amp;TRIM(TEXTSPLIT(HW121,","))&amp;",",","&amp;SUBSTITUTE(input_story_categories," ","")&amp;",")))=COUNTA(TEXTSPLIT(HW121,",")))))</f>
        <v/>
      </c>
      <c r="JP121" s="19">
        <f>AND(IF(HY121="",TRUE,IF(input_story_type="",FALSE,SUMPRODUCT(--ISNUMBER(SEARCH(","&amp;TRIM(TEXTSPLIT(HY121,","))&amp;",",","&amp;SUBSTITUTE(input_story_type," ","")&amp;",")))&gt;0)),IF(IA121="",TRUE,IF(input_story_type="",FALSE,SUMPRODUCT(--ISNUMBER(SEARCH(","&amp;TRIM(TEXTSPLIT(IA121,","))&amp;",",","&amp;SUBSTITUTE(input_story_type," ","")&amp;",")))=COUNTA(TEXTSPLIT(IA121,",")))),IF(IC121="",TRUE,IF(input_story_type="",TRUE,SUMPRODUCT(--ISNUMBER(SEARCH(","&amp;TRIM(TEXTSPLIT(IC121,","))&amp;",",","&amp;SUBSTITUTE(input_story_type," ","")&amp;",")))=0)),IF(IE121="",TRUE,IF(input_story_type="",FALSE,SUMPRODUCT(--ISNUMBER(SEARCH(","&amp;TRIM(TEXTSPLIT(IE121,","))&amp;",",","&amp;SUBSTITUTE(input_story_type," ","")&amp;",")))&gt;0)),IF(IG121="",TRUE,IF(input_story_type="",FALSE,SUMPRODUCT(--ISNUMBER(SEARCH(","&amp;TRIM(TEXTSPLIT(IG121,","))&amp;",",","&amp;SUBSTITUTE(input_story_type," ","")&amp;",")))=COUNTA(TEXTSPLIT(IG121,",")))))</f>
        <v/>
      </c>
      <c r="JQ121" s="19">
        <f>AND(IF(II121="",TRUE,IF(input_topics="",FALSE,SUMPRODUCT(--ISNUMBER(SEARCH(","&amp;TRIM(TEXTSPLIT(II121,","))&amp;",",","&amp;SUBSTITUTE(input_topics," ","")&amp;",")))&gt;0)),IF(IK121="",TRUE,IF(input_topics="",FALSE,SUMPRODUCT(--ISNUMBER(SEARCH(","&amp;TRIM(TEXTSPLIT(IK121,","))&amp;",",","&amp;SUBSTITUTE(input_topics," ","")&amp;",")))=COUNTA(TEXTSPLIT(IK121,",")))),IF(IM121="",TRUE,IF(input_topics="",TRUE,SUMPRODUCT(--ISNUMBER(SEARCH(","&amp;TRIM(TEXTSPLIT(IM121,","))&amp;",",","&amp;SUBSTITUTE(input_topics," ","")&amp;",")))=0)),IF(IO121="",TRUE,IF(input_topics="",FALSE,SUMPRODUCT(--ISNUMBER(SEARCH(","&amp;TRIM(TEXTSPLIT(IO121,","))&amp;",",","&amp;SUBSTITUTE(input_topics," ","")&amp;",")))&gt;0)),IF(IQ121="",TRUE,IF(input_topics="",FALSE,SUMPRODUCT(--ISNUMBER(SEARCH(","&amp;TRIM(TEXTSPLIT(IQ121,","))&amp;",",","&amp;SUBSTITUTE(input_topics," ","")&amp;",")))=COUNTA(TEXTSPLIT(IQ121,",")))))</f>
        <v/>
      </c>
    </row>
    <row r="122">
      <c r="A122" s="24">
        <f>IF(NOT(IS122),"Excluded",IF(AND(IT122,IU122,IV122,IW122,IX122,IY122,IZ122,JA122,JB122,JC122,JD122,JE122,JF122,JG122,JH122,JI122,JJ122,JK122,JL122,JM122,JN122,JO122,JP122,JQ122),IF(I122&gt;0,"Eligible but limited","Will appear"),"Excluded"))</f>
        <v/>
      </c>
      <c r="B122" s="24" t="inlineStr">
        <is>
          <t>MAM Admissions Ambassadors</t>
        </is>
      </c>
      <c r="C122" s="27" t="inlineStr">
        <is>
          <t>/programs/mam/admissions/mam-admissions-ambassadors</t>
        </is>
      </c>
      <c r="D122" s="24" t="inlineStr">
        <is>
          <t>/programs/mam/admissions/mam-admissions-ambassadors</t>
        </is>
      </c>
      <c r="E122" s="24" t="n">
        <v>1</v>
      </c>
      <c r="F122" s="24" t="inlineStr">
        <is>
          <t>profile</t>
        </is>
      </c>
      <c r="G122" s="24" t="inlineStr">
        <is>
          <t>profiles_grid</t>
        </is>
      </c>
      <c r="H122" s="24" t="inlineStr">
        <is>
          <t>embed_4</t>
        </is>
      </c>
      <c r="I122" s="24" t="n">
        <v>9</v>
      </c>
      <c r="J122" s="28" t="inlineStr">
        <is>
          <t>Explicit args</t>
        </is>
      </c>
      <c r="K122" s="24" t="inlineStr">
        <is>
          <t>Page placement</t>
        </is>
      </c>
      <c r="L122" s="24" t="inlineStr">
        <is>
          <t>Content type: profile; Needs any Profile Type: Ambassador (1552); Context uses Program: Master of Advanced Management (81); Limited to 9 item(s); Source: Explicit args</t>
        </is>
      </c>
      <c r="GU122" s="19" t="inlineStr">
        <is>
          <t>1552</t>
        </is>
      </c>
      <c r="GV122" s="19" t="inlineStr">
        <is>
          <t>Ambassador (1552)</t>
        </is>
      </c>
      <c r="HK122" s="19" t="inlineStr">
        <is>
          <t>81</t>
        </is>
      </c>
      <c r="HL122" s="19" t="inlineStr">
        <is>
          <t>Master of Advanced Management (81)</t>
        </is>
      </c>
      <c r="IS122" s="19">
        <f>IF(input_content_type="",FALSE,ISNUMBER(SEARCH(","&amp;LOWER(input_content_type)&amp;",",","&amp;LOWER(SUBSTITUTE(F122," ",""))&amp;",")))</f>
        <v/>
      </c>
      <c r="IT122" s="19">
        <f>AND(IF(M122="",TRUE,IF(input_affiliations="",FALSE,SUMPRODUCT(--ISNUMBER(SEARCH(","&amp;TRIM(TEXTSPLIT(M122,","))&amp;",",","&amp;SUBSTITUTE(input_affiliations," ","")&amp;",")))&gt;0)),IF(O122="",TRUE,IF(input_affiliations="",FALSE,SUMPRODUCT(--ISNUMBER(SEARCH(","&amp;TRIM(TEXTSPLIT(O122,","))&amp;",",","&amp;SUBSTITUTE(input_affiliations," ","")&amp;",")))=COUNTA(TEXTSPLIT(O122,",")))),IF(Q122="",TRUE,IF(input_affiliations="",TRUE,SUMPRODUCT(--ISNUMBER(SEARCH(","&amp;TRIM(TEXTSPLIT(Q122,","))&amp;",",","&amp;SUBSTITUTE(input_affiliations," ","")&amp;",")))=0)),IF(S122="",TRUE,IF(input_affiliations="",FALSE,SUMPRODUCT(--ISNUMBER(SEARCH(","&amp;TRIM(TEXTSPLIT(S122,","))&amp;",",","&amp;SUBSTITUTE(input_affiliations," ","")&amp;",")))&gt;0)),IF(U122="",TRUE,IF(input_affiliations="",FALSE,SUMPRODUCT(--ISNUMBER(SEARCH(","&amp;TRIM(TEXTSPLIT(U122,","))&amp;",",","&amp;SUBSTITUTE(input_affiliations," ","")&amp;",")))=COUNTA(TEXTSPLIT(U122,",")))))</f>
        <v/>
      </c>
      <c r="IU122" s="19">
        <f>AND(IF(W122="",TRUE,IF(input_announcement_category="",FALSE,SUMPRODUCT(--ISNUMBER(SEARCH(","&amp;TRIM(TEXTSPLIT(W122,","))&amp;",",","&amp;SUBSTITUTE(input_announcement_category," ","")&amp;",")))&gt;0)),IF(Y122="",TRUE,IF(input_announcement_category="",FALSE,SUMPRODUCT(--ISNUMBER(SEARCH(","&amp;TRIM(TEXTSPLIT(Y122,","))&amp;",",","&amp;SUBSTITUTE(input_announcement_category," ","")&amp;",")))=COUNTA(TEXTSPLIT(Y122,",")))),IF(AA122="",TRUE,IF(input_announcement_category="",TRUE,SUMPRODUCT(--ISNUMBER(SEARCH(","&amp;TRIM(TEXTSPLIT(AA122,","))&amp;",",","&amp;SUBSTITUTE(input_announcement_category," ","")&amp;",")))=0)),IF(AC122="",TRUE,IF(input_announcement_category="",FALSE,SUMPRODUCT(--ISNUMBER(SEARCH(","&amp;TRIM(TEXTSPLIT(AC122,","))&amp;",",","&amp;SUBSTITUTE(input_announcement_category," ","")&amp;",")))&gt;0)),IF(AE122="",TRUE,IF(input_announcement_category="",FALSE,SUMPRODUCT(--ISNUMBER(SEARCH(","&amp;TRIM(TEXTSPLIT(AE122,","))&amp;",",","&amp;SUBSTITUTE(input_announcement_category," ","")&amp;",")))=COUNTA(TEXTSPLIT(AE122,",")))))</f>
        <v/>
      </c>
      <c r="IV122" s="19">
        <f>AND(IF(AG122="",TRUE,IF(input_area_of_focus="",FALSE,SUMPRODUCT(--ISNUMBER(SEARCH(","&amp;TRIM(TEXTSPLIT(AG122,","))&amp;",",","&amp;SUBSTITUTE(input_area_of_focus," ","")&amp;",")))&gt;0)),IF(AI122="",TRUE,IF(input_area_of_focus="",FALSE,SUMPRODUCT(--ISNUMBER(SEARCH(","&amp;TRIM(TEXTSPLIT(AI122,","))&amp;",",","&amp;SUBSTITUTE(input_area_of_focus," ","")&amp;",")))=COUNTA(TEXTSPLIT(AI122,",")))),IF(AK122="",TRUE,IF(input_area_of_focus="",TRUE,SUMPRODUCT(--ISNUMBER(SEARCH(","&amp;TRIM(TEXTSPLIT(AK122,","))&amp;",",","&amp;SUBSTITUTE(input_area_of_focus," ","")&amp;",")))=0)),IF(AM122="",TRUE,IF(input_area_of_focus="",FALSE,SUMPRODUCT(--ISNUMBER(SEARCH(","&amp;TRIM(TEXTSPLIT(AM122,","))&amp;",",","&amp;SUBSTITUTE(input_area_of_focus," ","")&amp;",")))&gt;0)),IF(AO122="",TRUE,IF(input_area_of_focus="",FALSE,SUMPRODUCT(--ISNUMBER(SEARCH(","&amp;TRIM(TEXTSPLIT(AO122,","))&amp;",",","&amp;SUBSTITUTE(input_area_of_focus," ","")&amp;",")))=COUNTA(TEXTSPLIT(AO122,",")))))</f>
        <v/>
      </c>
      <c r="IW122" s="19">
        <f>AND(IF(AQ122="",TRUE,IF(input_audience="",FALSE,SUMPRODUCT(--ISNUMBER(SEARCH(","&amp;TRIM(TEXTSPLIT(AQ122,","))&amp;",",","&amp;SUBSTITUTE(input_audience," ","")&amp;",")))&gt;0)),IF(AS122="",TRUE,IF(input_audience="",FALSE,SUMPRODUCT(--ISNUMBER(SEARCH(","&amp;TRIM(TEXTSPLIT(AS122,","))&amp;",",","&amp;SUBSTITUTE(input_audience," ","")&amp;",")))=COUNTA(TEXTSPLIT(AS122,",")))),IF(AU122="",TRUE,IF(input_audience="",TRUE,SUMPRODUCT(--ISNUMBER(SEARCH(","&amp;TRIM(TEXTSPLIT(AU122,","))&amp;",",","&amp;SUBSTITUTE(input_audience," ","")&amp;",")))=0)),IF(AW122="",TRUE,IF(input_audience="",FALSE,SUMPRODUCT(--ISNUMBER(SEARCH(","&amp;TRIM(TEXTSPLIT(AW122,","))&amp;",",","&amp;SUBSTITUTE(input_audience," ","")&amp;",")))&gt;0)),IF(AY122="",TRUE,IF(input_audience="",FALSE,SUMPRODUCT(--ISNUMBER(SEARCH(","&amp;TRIM(TEXTSPLIT(AY122,","))&amp;",",","&amp;SUBSTITUTE(input_audience," ","")&amp;",")))=COUNTA(TEXTSPLIT(AY122,",")))))</f>
        <v/>
      </c>
      <c r="IX122" s="19">
        <f>AND(IF(BA122="",TRUE,IF(input_challenge_opportunities="",FALSE,SUMPRODUCT(--ISNUMBER(SEARCH(","&amp;TRIM(TEXTSPLIT(BA122,","))&amp;",",","&amp;SUBSTITUTE(input_challenge_opportunities," ","")&amp;",")))&gt;0)),IF(BC122="",TRUE,IF(input_challenge_opportunities="",FALSE,SUMPRODUCT(--ISNUMBER(SEARCH(","&amp;TRIM(TEXTSPLIT(BC122,","))&amp;",",","&amp;SUBSTITUTE(input_challenge_opportunities," ","")&amp;",")))=COUNTA(TEXTSPLIT(BC122,",")))),IF(BE122="",TRUE,IF(input_challenge_opportunities="",TRUE,SUMPRODUCT(--ISNUMBER(SEARCH(","&amp;TRIM(TEXTSPLIT(BE122,","))&amp;",",","&amp;SUBSTITUTE(input_challenge_opportunities," ","")&amp;",")))=0)),IF(BG122="",TRUE,IF(input_challenge_opportunities="",FALSE,SUMPRODUCT(--ISNUMBER(SEARCH(","&amp;TRIM(TEXTSPLIT(BG122,","))&amp;",",","&amp;SUBSTITUTE(input_challenge_opportunities," ","")&amp;",")))&gt;0)),IF(BI122="",TRUE,IF(input_challenge_opportunities="",FALSE,SUMPRODUCT(--ISNUMBER(SEARCH(","&amp;TRIM(TEXTSPLIT(BI122,","))&amp;",",","&amp;SUBSTITUTE(input_challenge_opportunities," ","")&amp;",")))=COUNTA(TEXTSPLIT(BI122,",")))))</f>
        <v/>
      </c>
      <c r="IY122" s="19">
        <f>AND(IF(BK122="",TRUE,IF(input_context="",FALSE,SUMPRODUCT(--ISNUMBER(SEARCH(","&amp;TRIM(TEXTSPLIT(BK122,","))&amp;",",","&amp;SUBSTITUTE(input_context," ","")&amp;",")))&gt;0)),IF(BM122="",TRUE,IF(input_context="",FALSE,SUMPRODUCT(--ISNUMBER(SEARCH(","&amp;TRIM(TEXTSPLIT(BM122,","))&amp;",",","&amp;SUBSTITUTE(input_context," ","")&amp;",")))=COUNTA(TEXTSPLIT(BM122,",")))),IF(BO122="",TRUE,IF(input_context="",TRUE,SUMPRODUCT(--ISNUMBER(SEARCH(","&amp;TRIM(TEXTSPLIT(BO122,","))&amp;",",","&amp;SUBSTITUTE(input_context," ","")&amp;",")))=0)),IF(BQ122="",TRUE,IF(input_context="",FALSE,SUMPRODUCT(--ISNUMBER(SEARCH(","&amp;TRIM(TEXTSPLIT(BQ122,","))&amp;",",","&amp;SUBSTITUTE(input_context," ","")&amp;",")))&gt;0)),IF(BS122="",TRUE,IF(input_context="",FALSE,SUMPRODUCT(--ISNUMBER(SEARCH(","&amp;TRIM(TEXTSPLIT(BS122,","))&amp;",",","&amp;SUBSTITUTE(input_context," ","")&amp;",")))=COUNTA(TEXTSPLIT(BS122,",")))))</f>
        <v/>
      </c>
      <c r="IZ122" s="19">
        <f>AND(IF(BU122="",TRUE,IF(input_enews_announcement_type="",FALSE,SUMPRODUCT(--ISNUMBER(SEARCH(","&amp;TRIM(TEXTSPLIT(BU122,","))&amp;",",","&amp;SUBSTITUTE(input_enews_announcement_type," ","")&amp;",")))&gt;0)),IF(BW122="",TRUE,IF(input_enews_announcement_type="",FALSE,SUMPRODUCT(--ISNUMBER(SEARCH(","&amp;TRIM(TEXTSPLIT(BW122,","))&amp;",",","&amp;SUBSTITUTE(input_enews_announcement_type," ","")&amp;",")))=COUNTA(TEXTSPLIT(BW122,",")))),IF(BY122="",TRUE,IF(input_enews_announcement_type="",TRUE,SUMPRODUCT(--ISNUMBER(SEARCH(","&amp;TRIM(TEXTSPLIT(BY122,","))&amp;",",","&amp;SUBSTITUTE(input_enews_announcement_type," ","")&amp;",")))=0)),IF(CA122="",TRUE,IF(input_enews_announcement_type="",FALSE,SUMPRODUCT(--ISNUMBER(SEARCH(","&amp;TRIM(TEXTSPLIT(CA122,","))&amp;",",","&amp;SUBSTITUTE(input_enews_announcement_type," ","")&amp;",")))&gt;0)),IF(CC122="",TRUE,IF(input_enews_announcement_type="",FALSE,SUMPRODUCT(--ISNUMBER(SEARCH(","&amp;TRIM(TEXTSPLIT(CC122,","))&amp;",",","&amp;SUBSTITUTE(input_enews_announcement_type," ","")&amp;",")))=COUNTA(TEXTSPLIT(CC122,",")))))</f>
        <v/>
      </c>
      <c r="JA122" s="19">
        <f>AND(IF(CE122="",TRUE,IF(input_enews_audience="",FALSE,SUMPRODUCT(--ISNUMBER(SEARCH(","&amp;TRIM(TEXTSPLIT(CE122,","))&amp;",",","&amp;SUBSTITUTE(input_enews_audience," ","")&amp;",")))&gt;0)),IF(CG122="",TRUE,IF(input_enews_audience="",FALSE,SUMPRODUCT(--ISNUMBER(SEARCH(","&amp;TRIM(TEXTSPLIT(CG122,","))&amp;",",","&amp;SUBSTITUTE(input_enews_audience," ","")&amp;",")))=COUNTA(TEXTSPLIT(CG122,",")))),IF(CI122="",TRUE,IF(input_enews_audience="",TRUE,SUMPRODUCT(--ISNUMBER(SEARCH(","&amp;TRIM(TEXTSPLIT(CI122,","))&amp;",",","&amp;SUBSTITUTE(input_enews_audience," ","")&amp;",")))=0)),IF(CK122="",TRUE,IF(input_enews_audience="",FALSE,SUMPRODUCT(--ISNUMBER(SEARCH(","&amp;TRIM(TEXTSPLIT(CK122,","))&amp;",",","&amp;SUBSTITUTE(input_enews_audience," ","")&amp;",")))&gt;0)),IF(CM122="",TRUE,IF(input_enews_audience="",FALSE,SUMPRODUCT(--ISNUMBER(SEARCH(","&amp;TRIM(TEXTSPLIT(CM122,","))&amp;",",","&amp;SUBSTITUTE(input_enews_audience," ","")&amp;",")))=COUNTA(TEXTSPLIT(CM122,",")))))</f>
        <v/>
      </c>
      <c r="JB122" s="19">
        <f>AND(IF(CO122="",TRUE,IF(input_event_location="",FALSE,SUMPRODUCT(--ISNUMBER(SEARCH(","&amp;TRIM(TEXTSPLIT(CO122,","))&amp;",",","&amp;SUBSTITUTE(input_event_location," ","")&amp;",")))&gt;0)),IF(CQ122="",TRUE,IF(input_event_location="",FALSE,SUMPRODUCT(--ISNUMBER(SEARCH(","&amp;TRIM(TEXTSPLIT(CQ122,","))&amp;",",","&amp;SUBSTITUTE(input_event_location," ","")&amp;",")))=COUNTA(TEXTSPLIT(CQ122,",")))),IF(CS122="",TRUE,IF(input_event_location="",TRUE,SUMPRODUCT(--ISNUMBER(SEARCH(","&amp;TRIM(TEXTSPLIT(CS122,","))&amp;",",","&amp;SUBSTITUTE(input_event_location," ","")&amp;",")))=0)),IF(CU122="",TRUE,IF(input_event_location="",FALSE,SUMPRODUCT(--ISNUMBER(SEARCH(","&amp;TRIM(TEXTSPLIT(CU122,","))&amp;",",","&amp;SUBSTITUTE(input_event_location," ","")&amp;",")))&gt;0)),IF(CW122="",TRUE,IF(input_event_location="",FALSE,SUMPRODUCT(--ISNUMBER(SEARCH(","&amp;TRIM(TEXTSPLIT(CW122,","))&amp;",",","&amp;SUBSTITUTE(input_event_location," ","")&amp;",")))=COUNTA(TEXTSPLIT(CW122,",")))))</f>
        <v/>
      </c>
      <c r="JC122" s="19">
        <f>AND(IF(CY122="",TRUE,IF(input_event_type="",FALSE,SUMPRODUCT(--ISNUMBER(SEARCH(","&amp;TRIM(TEXTSPLIT(CY122,","))&amp;",",","&amp;SUBSTITUTE(input_event_type," ","")&amp;",")))&gt;0)),IF(DA122="",TRUE,IF(input_event_type="",FALSE,SUMPRODUCT(--ISNUMBER(SEARCH(","&amp;TRIM(TEXTSPLIT(DA122,","))&amp;",",","&amp;SUBSTITUTE(input_event_type," ","")&amp;",")))=COUNTA(TEXTSPLIT(DA122,",")))),IF(DC122="",TRUE,IF(input_event_type="",TRUE,SUMPRODUCT(--ISNUMBER(SEARCH(","&amp;TRIM(TEXTSPLIT(DC122,","))&amp;",",","&amp;SUBSTITUTE(input_event_type," ","")&amp;",")))=0)),IF(DE122="",TRUE,IF(input_event_type="",FALSE,SUMPRODUCT(--ISNUMBER(SEARCH(","&amp;TRIM(TEXTSPLIT(DE122,","))&amp;",",","&amp;SUBSTITUTE(input_event_type," ","")&amp;",")))&gt;0)),IF(DG122="",TRUE,IF(input_event_type="",FALSE,SUMPRODUCT(--ISNUMBER(SEARCH(","&amp;TRIM(TEXTSPLIT(DG122,","))&amp;",",","&amp;SUBSTITUTE(input_event_type," ","")&amp;",")))=COUNTA(TEXTSPLIT(DG122,",")))))</f>
        <v/>
      </c>
      <c r="JD122" s="19">
        <f>AND(IF(DI122="",TRUE,IF(input_executive_education_focus="",FALSE,SUMPRODUCT(--ISNUMBER(SEARCH(","&amp;TRIM(TEXTSPLIT(DI122,","))&amp;",",","&amp;SUBSTITUTE(input_executive_education_focus," ","")&amp;",")))&gt;0)),IF(DK122="",TRUE,IF(input_executive_education_focus="",FALSE,SUMPRODUCT(--ISNUMBER(SEARCH(","&amp;TRIM(TEXTSPLIT(DK122,","))&amp;",",","&amp;SUBSTITUTE(input_executive_education_focus," ","")&amp;",")))=COUNTA(TEXTSPLIT(DK122,",")))),IF(DM122="",TRUE,IF(input_executive_education_focus="",TRUE,SUMPRODUCT(--ISNUMBER(SEARCH(","&amp;TRIM(TEXTSPLIT(DM122,","))&amp;",",","&amp;SUBSTITUTE(input_executive_education_focus," ","")&amp;",")))=0)),IF(DO122="",TRUE,IF(input_executive_education_focus="",FALSE,SUMPRODUCT(--ISNUMBER(SEARCH(","&amp;TRIM(TEXTSPLIT(DO122,","))&amp;",",","&amp;SUBSTITUTE(input_executive_education_focus," ","")&amp;",")))&gt;0)),IF(DQ122="",TRUE,IF(input_executive_education_focus="",FALSE,SUMPRODUCT(--ISNUMBER(SEARCH(","&amp;TRIM(TEXTSPLIT(DQ122,","))&amp;",",","&amp;SUBSTITUTE(input_executive_education_focus," ","")&amp;",")))=COUNTA(TEXTSPLIT(DQ122,",")))))</f>
        <v/>
      </c>
      <c r="JE122" s="19">
        <f>AND(IF(DS122="",TRUE,IF(input_faculty_category="",FALSE,SUMPRODUCT(--ISNUMBER(SEARCH(","&amp;TRIM(TEXTSPLIT(DS122,","))&amp;",",","&amp;SUBSTITUTE(input_faculty_category," ","")&amp;",")))&gt;0)),IF(DU122="",TRUE,IF(input_faculty_category="",FALSE,SUMPRODUCT(--ISNUMBER(SEARCH(","&amp;TRIM(TEXTSPLIT(DU122,","))&amp;",",","&amp;SUBSTITUTE(input_faculty_category," ","")&amp;",")))=COUNTA(TEXTSPLIT(DU122,",")))),IF(DW122="",TRUE,IF(input_faculty_category="",TRUE,SUMPRODUCT(--ISNUMBER(SEARCH(","&amp;TRIM(TEXTSPLIT(DW122,","))&amp;",",","&amp;SUBSTITUTE(input_faculty_category," ","")&amp;",")))=0)),IF(DY122="",TRUE,IF(input_faculty_category="",FALSE,SUMPRODUCT(--ISNUMBER(SEARCH(","&amp;TRIM(TEXTSPLIT(DY122,","))&amp;",",","&amp;SUBSTITUTE(input_faculty_category," ","")&amp;",")))&gt;0)),IF(EA122="",TRUE,IF(input_faculty_category="",FALSE,SUMPRODUCT(--ISNUMBER(SEARCH(","&amp;TRIM(TEXTSPLIT(EA122,","))&amp;",",","&amp;SUBSTITUTE(input_faculty_category," ","")&amp;",")))=COUNTA(TEXTSPLIT(EA122,",")))))</f>
        <v/>
      </c>
      <c r="JF122" s="19">
        <f>AND(IF(EC122="",TRUE,IF(input_faculty_discipline="",FALSE,SUMPRODUCT(--ISNUMBER(SEARCH(","&amp;TRIM(TEXTSPLIT(EC122,","))&amp;",",","&amp;SUBSTITUTE(input_faculty_discipline," ","")&amp;",")))&gt;0)),IF(EE122="",TRUE,IF(input_faculty_discipline="",FALSE,SUMPRODUCT(--ISNUMBER(SEARCH(","&amp;TRIM(TEXTSPLIT(EE122,","))&amp;",",","&amp;SUBSTITUTE(input_faculty_discipline," ","")&amp;",")))=COUNTA(TEXTSPLIT(EE122,",")))),IF(EG122="",TRUE,IF(input_faculty_discipline="",TRUE,SUMPRODUCT(--ISNUMBER(SEARCH(","&amp;TRIM(TEXTSPLIT(EG122,","))&amp;",",","&amp;SUBSTITUTE(input_faculty_discipline," ","")&amp;",")))=0)),IF(EI122="",TRUE,IF(input_faculty_discipline="",FALSE,SUMPRODUCT(--ISNUMBER(SEARCH(","&amp;TRIM(TEXTSPLIT(EI122,","))&amp;",",","&amp;SUBSTITUTE(input_faculty_discipline," ","")&amp;",")))&gt;0)),IF(EK122="",TRUE,IF(input_faculty_discipline="",FALSE,SUMPRODUCT(--ISNUMBER(SEARCH(","&amp;TRIM(TEXTSPLIT(EK122,","))&amp;",",","&amp;SUBSTITUTE(input_faculty_discipline," ","")&amp;",")))=COUNTA(TEXTSPLIT(EK122,",")))))</f>
        <v/>
      </c>
      <c r="JG122" s="19">
        <f>AND(IF(EM122="",TRUE,IF(input_faculty_expertise="",FALSE,SUMPRODUCT(--ISNUMBER(SEARCH(","&amp;TRIM(TEXTSPLIT(EM122,","))&amp;",",","&amp;SUBSTITUTE(input_faculty_expertise," ","")&amp;",")))&gt;0)),IF(EO122="",TRUE,IF(input_faculty_expertise="",FALSE,SUMPRODUCT(--ISNUMBER(SEARCH(","&amp;TRIM(TEXTSPLIT(EO122,","))&amp;",",","&amp;SUBSTITUTE(input_faculty_expertise," ","")&amp;",")))=COUNTA(TEXTSPLIT(EO122,",")))),IF(EQ122="",TRUE,IF(input_faculty_expertise="",TRUE,SUMPRODUCT(--ISNUMBER(SEARCH(","&amp;TRIM(TEXTSPLIT(EQ122,","))&amp;",",","&amp;SUBSTITUTE(input_faculty_expertise," ","")&amp;",")))=0)),IF(ES122="",TRUE,IF(input_faculty_expertise="",FALSE,SUMPRODUCT(--ISNUMBER(SEARCH(","&amp;TRIM(TEXTSPLIT(ES122,","))&amp;",",","&amp;SUBSTITUTE(input_faculty_expertise," ","")&amp;",")))&gt;0)),IF(EU122="",TRUE,IF(input_faculty_expertise="",FALSE,SUMPRODUCT(--ISNUMBER(SEARCH(","&amp;TRIM(TEXTSPLIT(EU122,","))&amp;",",","&amp;SUBSTITUTE(input_faculty_expertise," ","")&amp;",")))=COUNTA(TEXTSPLIT(EU122,",")))))</f>
        <v/>
      </c>
      <c r="JH122" s="19">
        <f>AND(IF(EW122="",TRUE,IF(input_global_network_school="",FALSE,SUMPRODUCT(--ISNUMBER(SEARCH(","&amp;TRIM(TEXTSPLIT(EW122,","))&amp;",",","&amp;SUBSTITUTE(input_global_network_school," ","")&amp;",")))&gt;0)),IF(EY122="",TRUE,IF(input_global_network_school="",FALSE,SUMPRODUCT(--ISNUMBER(SEARCH(","&amp;TRIM(TEXTSPLIT(EY122,","))&amp;",",","&amp;SUBSTITUTE(input_global_network_school," ","")&amp;",")))=COUNTA(TEXTSPLIT(EY122,",")))),IF(FA122="",TRUE,IF(input_global_network_school="",TRUE,SUMPRODUCT(--ISNUMBER(SEARCH(","&amp;TRIM(TEXTSPLIT(FA122,","))&amp;",",","&amp;SUBSTITUTE(input_global_network_school," ","")&amp;",")))=0)),IF(FC122="",TRUE,IF(input_global_network_school="",FALSE,SUMPRODUCT(--ISNUMBER(SEARCH(","&amp;TRIM(TEXTSPLIT(FC122,","))&amp;",",","&amp;SUBSTITUTE(input_global_network_school," ","")&amp;",")))&gt;0)),IF(FE122="",TRUE,IF(input_global_network_school="",FALSE,SUMPRODUCT(--ISNUMBER(SEARCH(","&amp;TRIM(TEXTSPLIT(FE122,","))&amp;",",","&amp;SUBSTITUTE(input_global_network_school," ","")&amp;",")))=COUNTA(TEXTSPLIT(FE122,",")))))</f>
        <v/>
      </c>
      <c r="JI122" s="19">
        <f>AND(IF(FG122="",TRUE,IF(input_industry="",FALSE,SUMPRODUCT(--ISNUMBER(SEARCH(","&amp;TRIM(TEXTSPLIT(FG122,","))&amp;",",","&amp;SUBSTITUTE(input_industry," ","")&amp;",")))&gt;0)),IF(FI122="",TRUE,IF(input_industry="",FALSE,SUMPRODUCT(--ISNUMBER(SEARCH(","&amp;TRIM(TEXTSPLIT(FI122,","))&amp;",",","&amp;SUBSTITUTE(input_industry," ","")&amp;",")))=COUNTA(TEXTSPLIT(FI122,",")))),IF(FK122="",TRUE,IF(input_industry="",TRUE,SUMPRODUCT(--ISNUMBER(SEARCH(","&amp;TRIM(TEXTSPLIT(FK122,","))&amp;",",","&amp;SUBSTITUTE(input_industry," ","")&amp;",")))=0)),IF(FM122="",TRUE,IF(input_industry="",FALSE,SUMPRODUCT(--ISNUMBER(SEARCH(","&amp;TRIM(TEXTSPLIT(FM122,","))&amp;",",","&amp;SUBSTITUTE(input_industry," ","")&amp;",")))&gt;0)),IF(FO122="",TRUE,IF(input_industry="",FALSE,SUMPRODUCT(--ISNUMBER(SEARCH(","&amp;TRIM(TEXTSPLIT(FO122,","))&amp;",",","&amp;SUBSTITUTE(input_industry," ","")&amp;",")))=COUNTA(TEXTSPLIT(FO122,",")))))</f>
        <v/>
      </c>
      <c r="JJ122" s="19">
        <f>AND(IF(FQ122="",TRUE,IF(input_location="",FALSE,SUMPRODUCT(--ISNUMBER(SEARCH(","&amp;TRIM(TEXTSPLIT(FQ122,","))&amp;",",","&amp;SUBSTITUTE(input_location," ","")&amp;",")))&gt;0)),IF(FS122="",TRUE,IF(input_location="",FALSE,SUMPRODUCT(--ISNUMBER(SEARCH(","&amp;TRIM(TEXTSPLIT(FS122,","))&amp;",",","&amp;SUBSTITUTE(input_location," ","")&amp;",")))=COUNTA(TEXTSPLIT(FS122,",")))),IF(FU122="",TRUE,IF(input_location="",TRUE,SUMPRODUCT(--ISNUMBER(SEARCH(","&amp;TRIM(TEXTSPLIT(FU122,","))&amp;",",","&amp;SUBSTITUTE(input_location," ","")&amp;",")))=0)),IF(FW122="",TRUE,IF(input_location="",FALSE,SUMPRODUCT(--ISNUMBER(SEARCH(","&amp;TRIM(TEXTSPLIT(FW122,","))&amp;",",","&amp;SUBSTITUTE(input_location," ","")&amp;",")))&gt;0)),IF(FY122="",TRUE,IF(input_location="",FALSE,SUMPRODUCT(--ISNUMBER(SEARCH(","&amp;TRIM(TEXTSPLIT(FY122,","))&amp;",",","&amp;SUBSTITUTE(input_location," ","")&amp;",")))=COUNTA(TEXTSPLIT(FY122,",")))))</f>
        <v/>
      </c>
      <c r="JK122" s="19">
        <f>AND(IF(GA122="",TRUE,IF(input_modality="",FALSE,SUMPRODUCT(--ISNUMBER(SEARCH(","&amp;TRIM(TEXTSPLIT(GA122,","))&amp;",",","&amp;SUBSTITUTE(input_modality," ","")&amp;",")))&gt;0)),IF(GC122="",TRUE,IF(input_modality="",FALSE,SUMPRODUCT(--ISNUMBER(SEARCH(","&amp;TRIM(TEXTSPLIT(GC122,","))&amp;",",","&amp;SUBSTITUTE(input_modality," ","")&amp;",")))=COUNTA(TEXTSPLIT(GC122,",")))),IF(GE122="",TRUE,IF(input_modality="",TRUE,SUMPRODUCT(--ISNUMBER(SEARCH(","&amp;TRIM(TEXTSPLIT(GE122,","))&amp;",",","&amp;SUBSTITUTE(input_modality," ","")&amp;",")))=0)),IF(GG122="",TRUE,IF(input_modality="",FALSE,SUMPRODUCT(--ISNUMBER(SEARCH(","&amp;TRIM(TEXTSPLIT(GG122,","))&amp;",",","&amp;SUBSTITUTE(input_modality," ","")&amp;",")))&gt;0)),IF(GI122="",TRUE,IF(input_modality="",FALSE,SUMPRODUCT(--ISNUMBER(SEARCH(","&amp;TRIM(TEXTSPLIT(GI122,","))&amp;",",","&amp;SUBSTITUTE(input_modality," ","")&amp;",")))=COUNTA(TEXTSPLIT(GI122,",")))))</f>
        <v/>
      </c>
      <c r="JL122" s="19">
        <f>AND(IF(GK122="",TRUE,IF(input_organizer="",FALSE,SUMPRODUCT(--ISNUMBER(SEARCH(","&amp;TRIM(TEXTSPLIT(GK122,","))&amp;",",","&amp;SUBSTITUTE(input_organizer," ","")&amp;",")))&gt;0)),IF(GM122="",TRUE,IF(input_organizer="",FALSE,SUMPRODUCT(--ISNUMBER(SEARCH(","&amp;TRIM(TEXTSPLIT(GM122,","))&amp;",",","&amp;SUBSTITUTE(input_organizer," ","")&amp;",")))=COUNTA(TEXTSPLIT(GM122,",")))),IF(GO122="",TRUE,IF(input_organizer="",TRUE,SUMPRODUCT(--ISNUMBER(SEARCH(","&amp;TRIM(TEXTSPLIT(GO122,","))&amp;",",","&amp;SUBSTITUTE(input_organizer," ","")&amp;",")))=0)),IF(GQ122="",TRUE,IF(input_organizer="",FALSE,SUMPRODUCT(--ISNUMBER(SEARCH(","&amp;TRIM(TEXTSPLIT(GQ122,","))&amp;",",","&amp;SUBSTITUTE(input_organizer," ","")&amp;",")))&gt;0)),IF(GS122="",TRUE,IF(input_organizer="",FALSE,SUMPRODUCT(--ISNUMBER(SEARCH(","&amp;TRIM(TEXTSPLIT(GS122,","))&amp;",",","&amp;SUBSTITUTE(input_organizer," ","")&amp;",")))=COUNTA(TEXTSPLIT(GS122,",")))))</f>
        <v/>
      </c>
      <c r="JM122" s="19">
        <f>AND(IF(GU122="",TRUE,IF(input_profile_type="",FALSE,SUMPRODUCT(--ISNUMBER(SEARCH(","&amp;TRIM(TEXTSPLIT(GU122,","))&amp;",",","&amp;SUBSTITUTE(input_profile_type," ","")&amp;",")))&gt;0)),IF(GW122="",TRUE,IF(input_profile_type="",FALSE,SUMPRODUCT(--ISNUMBER(SEARCH(","&amp;TRIM(TEXTSPLIT(GW122,","))&amp;",",","&amp;SUBSTITUTE(input_profile_type," ","")&amp;",")))=COUNTA(TEXTSPLIT(GW122,",")))),IF(GY122="",TRUE,IF(input_profile_type="",TRUE,SUMPRODUCT(--ISNUMBER(SEARCH(","&amp;TRIM(TEXTSPLIT(GY122,","))&amp;",",","&amp;SUBSTITUTE(input_profile_type," ","")&amp;",")))=0)),IF(HA122="",TRUE,IF(input_profile_type="",FALSE,SUMPRODUCT(--ISNUMBER(SEARCH(","&amp;TRIM(TEXTSPLIT(HA122,","))&amp;",",","&amp;SUBSTITUTE(input_profile_type," ","")&amp;",")))&gt;0)),IF(HC122="",TRUE,IF(input_profile_type="",FALSE,SUMPRODUCT(--ISNUMBER(SEARCH(","&amp;TRIM(TEXTSPLIT(HC122,","))&amp;",",","&amp;SUBSTITUTE(input_profile_type," ","")&amp;",")))=COUNTA(TEXTSPLIT(HC122,",")))))</f>
        <v/>
      </c>
      <c r="JN122" s="19">
        <f>AND(IF(HE122="",TRUE,IF(input_program="",FALSE,SUMPRODUCT(--ISNUMBER(SEARCH(","&amp;TRIM(TEXTSPLIT(HE122,","))&amp;",",","&amp;SUBSTITUTE(input_program," ","")&amp;",")))&gt;0)),IF(HG122="",TRUE,IF(input_program="",FALSE,SUMPRODUCT(--ISNUMBER(SEARCH(","&amp;TRIM(TEXTSPLIT(HG122,","))&amp;",",","&amp;SUBSTITUTE(input_program," ","")&amp;",")))=COUNTA(TEXTSPLIT(HG122,",")))),IF(HI122="",TRUE,IF(input_program="",TRUE,SUMPRODUCT(--ISNUMBER(SEARCH(","&amp;TRIM(TEXTSPLIT(HI122,","))&amp;",",","&amp;SUBSTITUTE(input_program," ","")&amp;",")))=0)),IF(HK122="",TRUE,IF(input_program="",FALSE,SUMPRODUCT(--ISNUMBER(SEARCH(","&amp;TRIM(TEXTSPLIT(HK122,","))&amp;",",","&amp;SUBSTITUTE(input_program," ","")&amp;",")))&gt;0)),IF(HM122="",TRUE,IF(input_program="",FALSE,SUMPRODUCT(--ISNUMBER(SEARCH(","&amp;TRIM(TEXTSPLIT(HM122,","))&amp;",",","&amp;SUBSTITUTE(input_program," ","")&amp;",")))=COUNTA(TEXTSPLIT(HM122,",")))))</f>
        <v/>
      </c>
      <c r="JO122" s="19">
        <f>AND(IF(HO122="",TRUE,IF(input_story_categories="",FALSE,SUMPRODUCT(--ISNUMBER(SEARCH(","&amp;TRIM(TEXTSPLIT(HO122,","))&amp;",",","&amp;SUBSTITUTE(input_story_categories," ","")&amp;",")))&gt;0)),IF(HQ122="",TRUE,IF(input_story_categories="",FALSE,SUMPRODUCT(--ISNUMBER(SEARCH(","&amp;TRIM(TEXTSPLIT(HQ122,","))&amp;",",","&amp;SUBSTITUTE(input_story_categories," ","")&amp;",")))=COUNTA(TEXTSPLIT(HQ122,",")))),IF(HS122="",TRUE,IF(input_story_categories="",TRUE,SUMPRODUCT(--ISNUMBER(SEARCH(","&amp;TRIM(TEXTSPLIT(HS122,","))&amp;",",","&amp;SUBSTITUTE(input_story_categories," ","")&amp;",")))=0)),IF(HU122="",TRUE,IF(input_story_categories="",FALSE,SUMPRODUCT(--ISNUMBER(SEARCH(","&amp;TRIM(TEXTSPLIT(HU122,","))&amp;",",","&amp;SUBSTITUTE(input_story_categories," ","")&amp;",")))&gt;0)),IF(HW122="",TRUE,IF(input_story_categories="",FALSE,SUMPRODUCT(--ISNUMBER(SEARCH(","&amp;TRIM(TEXTSPLIT(HW122,","))&amp;",",","&amp;SUBSTITUTE(input_story_categories," ","")&amp;",")))=COUNTA(TEXTSPLIT(HW122,",")))))</f>
        <v/>
      </c>
      <c r="JP122" s="19">
        <f>AND(IF(HY122="",TRUE,IF(input_story_type="",FALSE,SUMPRODUCT(--ISNUMBER(SEARCH(","&amp;TRIM(TEXTSPLIT(HY122,","))&amp;",",","&amp;SUBSTITUTE(input_story_type," ","")&amp;",")))&gt;0)),IF(IA122="",TRUE,IF(input_story_type="",FALSE,SUMPRODUCT(--ISNUMBER(SEARCH(","&amp;TRIM(TEXTSPLIT(IA122,","))&amp;",",","&amp;SUBSTITUTE(input_story_type," ","")&amp;",")))=COUNTA(TEXTSPLIT(IA122,",")))),IF(IC122="",TRUE,IF(input_story_type="",TRUE,SUMPRODUCT(--ISNUMBER(SEARCH(","&amp;TRIM(TEXTSPLIT(IC122,","))&amp;",",","&amp;SUBSTITUTE(input_story_type," ","")&amp;",")))=0)),IF(IE122="",TRUE,IF(input_story_type="",FALSE,SUMPRODUCT(--ISNUMBER(SEARCH(","&amp;TRIM(TEXTSPLIT(IE122,","))&amp;",",","&amp;SUBSTITUTE(input_story_type," ","")&amp;",")))&gt;0)),IF(IG122="",TRUE,IF(input_story_type="",FALSE,SUMPRODUCT(--ISNUMBER(SEARCH(","&amp;TRIM(TEXTSPLIT(IG122,","))&amp;",",","&amp;SUBSTITUTE(input_story_type," ","")&amp;",")))=COUNTA(TEXTSPLIT(IG122,",")))))</f>
        <v/>
      </c>
      <c r="JQ122" s="19">
        <f>AND(IF(II122="",TRUE,IF(input_topics="",FALSE,SUMPRODUCT(--ISNUMBER(SEARCH(","&amp;TRIM(TEXTSPLIT(II122,","))&amp;",",","&amp;SUBSTITUTE(input_topics," ","")&amp;",")))&gt;0)),IF(IK122="",TRUE,IF(input_topics="",FALSE,SUMPRODUCT(--ISNUMBER(SEARCH(","&amp;TRIM(TEXTSPLIT(IK122,","))&amp;",",","&amp;SUBSTITUTE(input_topics," ","")&amp;",")))=COUNTA(TEXTSPLIT(IK122,",")))),IF(IM122="",TRUE,IF(input_topics="",TRUE,SUMPRODUCT(--ISNUMBER(SEARCH(","&amp;TRIM(TEXTSPLIT(IM122,","))&amp;",",","&amp;SUBSTITUTE(input_topics," ","")&amp;",")))=0)),IF(IO122="",TRUE,IF(input_topics="",FALSE,SUMPRODUCT(--ISNUMBER(SEARCH(","&amp;TRIM(TEXTSPLIT(IO122,","))&amp;",",","&amp;SUBSTITUTE(input_topics," ","")&amp;",")))&gt;0)),IF(IQ122="",TRUE,IF(input_topics="",FALSE,SUMPRODUCT(--ISNUMBER(SEARCH(","&amp;TRIM(TEXTSPLIT(IQ122,","))&amp;",",","&amp;SUBSTITUTE(input_topics," ","")&amp;",")))=COUNTA(TEXTSPLIT(IQ122,",")))))</f>
        <v/>
      </c>
    </row>
    <row r="123">
      <c r="A123" s="24">
        <f>IF(NOT(IS123),"Excluded",IF(AND(IT123,IU123,IV123,IW123,IX123,IY123,IZ123,JA123,JB123,JC123,JD123,JE123,JF123,JG123,JH123,JI123,JJ123,JK123,JL123,JM123,JN123,JO123,JP123,JQ123),IF(I123&gt;0,"Eligible but limited","Will appear"),"Excluded"))</f>
        <v/>
      </c>
      <c r="B123" s="24" t="inlineStr">
        <is>
          <t>MAM Admissions Events</t>
        </is>
      </c>
      <c r="C123" s="27" t="inlineStr">
        <is>
          <t>/programs/mam/admissions/mam-admissions-events</t>
        </is>
      </c>
      <c r="D123" s="24" t="inlineStr">
        <is>
          <t>/programs/mam/admissions/mam-admissions-events</t>
        </is>
      </c>
      <c r="E123" s="24" t="n">
        <v>1</v>
      </c>
      <c r="F123" s="24" t="inlineStr">
        <is>
          <t>event</t>
        </is>
      </c>
      <c r="G123" s="24" t="inlineStr">
        <is>
          <t>external_event_list</t>
        </is>
      </c>
      <c r="H123" s="24" t="inlineStr">
        <is>
          <t>embed_filter_type_location</t>
        </is>
      </c>
      <c r="I123" s="24" t="n">
        <v>8</v>
      </c>
      <c r="J123" s="28" t="inlineStr">
        <is>
          <t>Explicit args</t>
        </is>
      </c>
      <c r="K123" s="24" t="inlineStr">
        <is>
          <t>Page placement</t>
        </is>
      </c>
      <c r="L123" s="24" t="inlineStr">
        <is>
          <t>Content type: event; Context needs all Courses Context: Master of Advanced Management (932), Admissions Events (994); Needs any Event Type: Admissions Events (994); Limited to 8 item(s); Source: Explicit args</t>
        </is>
      </c>
      <c r="BS123" s="19" t="inlineStr">
        <is>
          <t>932, 994</t>
        </is>
      </c>
      <c r="BT123" s="19" t="inlineStr">
        <is>
          <t>Master of Advanced Management (932), Admissions Events (994)</t>
        </is>
      </c>
      <c r="CY123" s="19" t="inlineStr">
        <is>
          <t>994</t>
        </is>
      </c>
      <c r="CZ123" s="19" t="inlineStr">
        <is>
          <t>Admissions Events (994)</t>
        </is>
      </c>
      <c r="IS123" s="19">
        <f>IF(input_content_type="",FALSE,ISNUMBER(SEARCH(","&amp;LOWER(input_content_type)&amp;",",","&amp;LOWER(SUBSTITUTE(F123," ",""))&amp;",")))</f>
        <v/>
      </c>
      <c r="IT123" s="19">
        <f>AND(IF(M123="",TRUE,IF(input_affiliations="",FALSE,SUMPRODUCT(--ISNUMBER(SEARCH(","&amp;TRIM(TEXTSPLIT(M123,","))&amp;",",","&amp;SUBSTITUTE(input_affiliations," ","")&amp;",")))&gt;0)),IF(O123="",TRUE,IF(input_affiliations="",FALSE,SUMPRODUCT(--ISNUMBER(SEARCH(","&amp;TRIM(TEXTSPLIT(O123,","))&amp;",",","&amp;SUBSTITUTE(input_affiliations," ","")&amp;",")))=COUNTA(TEXTSPLIT(O123,",")))),IF(Q123="",TRUE,IF(input_affiliations="",TRUE,SUMPRODUCT(--ISNUMBER(SEARCH(","&amp;TRIM(TEXTSPLIT(Q123,","))&amp;",",","&amp;SUBSTITUTE(input_affiliations," ","")&amp;",")))=0)),IF(S123="",TRUE,IF(input_affiliations="",FALSE,SUMPRODUCT(--ISNUMBER(SEARCH(","&amp;TRIM(TEXTSPLIT(S123,","))&amp;",",","&amp;SUBSTITUTE(input_affiliations," ","")&amp;",")))&gt;0)),IF(U123="",TRUE,IF(input_affiliations="",FALSE,SUMPRODUCT(--ISNUMBER(SEARCH(","&amp;TRIM(TEXTSPLIT(U123,","))&amp;",",","&amp;SUBSTITUTE(input_affiliations," ","")&amp;",")))=COUNTA(TEXTSPLIT(U123,",")))))</f>
        <v/>
      </c>
      <c r="IU123" s="19">
        <f>AND(IF(W123="",TRUE,IF(input_announcement_category="",FALSE,SUMPRODUCT(--ISNUMBER(SEARCH(","&amp;TRIM(TEXTSPLIT(W123,","))&amp;",",","&amp;SUBSTITUTE(input_announcement_category," ","")&amp;",")))&gt;0)),IF(Y123="",TRUE,IF(input_announcement_category="",FALSE,SUMPRODUCT(--ISNUMBER(SEARCH(","&amp;TRIM(TEXTSPLIT(Y123,","))&amp;",",","&amp;SUBSTITUTE(input_announcement_category," ","")&amp;",")))=COUNTA(TEXTSPLIT(Y123,",")))),IF(AA123="",TRUE,IF(input_announcement_category="",TRUE,SUMPRODUCT(--ISNUMBER(SEARCH(","&amp;TRIM(TEXTSPLIT(AA123,","))&amp;",",","&amp;SUBSTITUTE(input_announcement_category," ","")&amp;",")))=0)),IF(AC123="",TRUE,IF(input_announcement_category="",FALSE,SUMPRODUCT(--ISNUMBER(SEARCH(","&amp;TRIM(TEXTSPLIT(AC123,","))&amp;",",","&amp;SUBSTITUTE(input_announcement_category," ","")&amp;",")))&gt;0)),IF(AE123="",TRUE,IF(input_announcement_category="",FALSE,SUMPRODUCT(--ISNUMBER(SEARCH(","&amp;TRIM(TEXTSPLIT(AE123,","))&amp;",",","&amp;SUBSTITUTE(input_announcement_category," ","")&amp;",")))=COUNTA(TEXTSPLIT(AE123,",")))))</f>
        <v/>
      </c>
      <c r="IV123" s="19">
        <f>AND(IF(AG123="",TRUE,IF(input_area_of_focus="",FALSE,SUMPRODUCT(--ISNUMBER(SEARCH(","&amp;TRIM(TEXTSPLIT(AG123,","))&amp;",",","&amp;SUBSTITUTE(input_area_of_focus," ","")&amp;",")))&gt;0)),IF(AI123="",TRUE,IF(input_area_of_focus="",FALSE,SUMPRODUCT(--ISNUMBER(SEARCH(","&amp;TRIM(TEXTSPLIT(AI123,","))&amp;",",","&amp;SUBSTITUTE(input_area_of_focus," ","")&amp;",")))=COUNTA(TEXTSPLIT(AI123,",")))),IF(AK123="",TRUE,IF(input_area_of_focus="",TRUE,SUMPRODUCT(--ISNUMBER(SEARCH(","&amp;TRIM(TEXTSPLIT(AK123,","))&amp;",",","&amp;SUBSTITUTE(input_area_of_focus," ","")&amp;",")))=0)),IF(AM123="",TRUE,IF(input_area_of_focus="",FALSE,SUMPRODUCT(--ISNUMBER(SEARCH(","&amp;TRIM(TEXTSPLIT(AM123,","))&amp;",",","&amp;SUBSTITUTE(input_area_of_focus," ","")&amp;",")))&gt;0)),IF(AO123="",TRUE,IF(input_area_of_focus="",FALSE,SUMPRODUCT(--ISNUMBER(SEARCH(","&amp;TRIM(TEXTSPLIT(AO123,","))&amp;",",","&amp;SUBSTITUTE(input_area_of_focus," ","")&amp;",")))=COUNTA(TEXTSPLIT(AO123,",")))))</f>
        <v/>
      </c>
      <c r="IW123" s="19">
        <f>AND(IF(AQ123="",TRUE,IF(input_audience="",FALSE,SUMPRODUCT(--ISNUMBER(SEARCH(","&amp;TRIM(TEXTSPLIT(AQ123,","))&amp;",",","&amp;SUBSTITUTE(input_audience," ","")&amp;",")))&gt;0)),IF(AS123="",TRUE,IF(input_audience="",FALSE,SUMPRODUCT(--ISNUMBER(SEARCH(","&amp;TRIM(TEXTSPLIT(AS123,","))&amp;",",","&amp;SUBSTITUTE(input_audience," ","")&amp;",")))=COUNTA(TEXTSPLIT(AS123,",")))),IF(AU123="",TRUE,IF(input_audience="",TRUE,SUMPRODUCT(--ISNUMBER(SEARCH(","&amp;TRIM(TEXTSPLIT(AU123,","))&amp;",",","&amp;SUBSTITUTE(input_audience," ","")&amp;",")))=0)),IF(AW123="",TRUE,IF(input_audience="",FALSE,SUMPRODUCT(--ISNUMBER(SEARCH(","&amp;TRIM(TEXTSPLIT(AW123,","))&amp;",",","&amp;SUBSTITUTE(input_audience," ","")&amp;",")))&gt;0)),IF(AY123="",TRUE,IF(input_audience="",FALSE,SUMPRODUCT(--ISNUMBER(SEARCH(","&amp;TRIM(TEXTSPLIT(AY123,","))&amp;",",","&amp;SUBSTITUTE(input_audience," ","")&amp;",")))=COUNTA(TEXTSPLIT(AY123,",")))))</f>
        <v/>
      </c>
      <c r="IX123" s="19">
        <f>AND(IF(BA123="",TRUE,IF(input_challenge_opportunities="",FALSE,SUMPRODUCT(--ISNUMBER(SEARCH(","&amp;TRIM(TEXTSPLIT(BA123,","))&amp;",",","&amp;SUBSTITUTE(input_challenge_opportunities," ","")&amp;",")))&gt;0)),IF(BC123="",TRUE,IF(input_challenge_opportunities="",FALSE,SUMPRODUCT(--ISNUMBER(SEARCH(","&amp;TRIM(TEXTSPLIT(BC123,","))&amp;",",","&amp;SUBSTITUTE(input_challenge_opportunities," ","")&amp;",")))=COUNTA(TEXTSPLIT(BC123,",")))),IF(BE123="",TRUE,IF(input_challenge_opportunities="",TRUE,SUMPRODUCT(--ISNUMBER(SEARCH(","&amp;TRIM(TEXTSPLIT(BE123,","))&amp;",",","&amp;SUBSTITUTE(input_challenge_opportunities," ","")&amp;",")))=0)),IF(BG123="",TRUE,IF(input_challenge_opportunities="",FALSE,SUMPRODUCT(--ISNUMBER(SEARCH(","&amp;TRIM(TEXTSPLIT(BG123,","))&amp;",",","&amp;SUBSTITUTE(input_challenge_opportunities," ","")&amp;",")))&gt;0)),IF(BI123="",TRUE,IF(input_challenge_opportunities="",FALSE,SUMPRODUCT(--ISNUMBER(SEARCH(","&amp;TRIM(TEXTSPLIT(BI123,","))&amp;",",","&amp;SUBSTITUTE(input_challenge_opportunities," ","")&amp;",")))=COUNTA(TEXTSPLIT(BI123,",")))))</f>
        <v/>
      </c>
      <c r="IY123" s="19">
        <f>AND(IF(BK123="",TRUE,IF(input_context="",FALSE,SUMPRODUCT(--ISNUMBER(SEARCH(","&amp;TRIM(TEXTSPLIT(BK123,","))&amp;",",","&amp;SUBSTITUTE(input_context," ","")&amp;",")))&gt;0)),IF(BM123="",TRUE,IF(input_context="",FALSE,SUMPRODUCT(--ISNUMBER(SEARCH(","&amp;TRIM(TEXTSPLIT(BM123,","))&amp;",",","&amp;SUBSTITUTE(input_context," ","")&amp;",")))=COUNTA(TEXTSPLIT(BM123,",")))),IF(BO123="",TRUE,IF(input_context="",TRUE,SUMPRODUCT(--ISNUMBER(SEARCH(","&amp;TRIM(TEXTSPLIT(BO123,","))&amp;",",","&amp;SUBSTITUTE(input_context," ","")&amp;",")))=0)),IF(BQ123="",TRUE,IF(input_context="",FALSE,SUMPRODUCT(--ISNUMBER(SEARCH(","&amp;TRIM(TEXTSPLIT(BQ123,","))&amp;",",","&amp;SUBSTITUTE(input_context," ","")&amp;",")))&gt;0)),IF(BS123="",TRUE,IF(input_context="",FALSE,SUMPRODUCT(--ISNUMBER(SEARCH(","&amp;TRIM(TEXTSPLIT(BS123,","))&amp;",",","&amp;SUBSTITUTE(input_context," ","")&amp;",")))=COUNTA(TEXTSPLIT(BS123,",")))))</f>
        <v/>
      </c>
      <c r="IZ123" s="19">
        <f>AND(IF(BU123="",TRUE,IF(input_enews_announcement_type="",FALSE,SUMPRODUCT(--ISNUMBER(SEARCH(","&amp;TRIM(TEXTSPLIT(BU123,","))&amp;",",","&amp;SUBSTITUTE(input_enews_announcement_type," ","")&amp;",")))&gt;0)),IF(BW123="",TRUE,IF(input_enews_announcement_type="",FALSE,SUMPRODUCT(--ISNUMBER(SEARCH(","&amp;TRIM(TEXTSPLIT(BW123,","))&amp;",",","&amp;SUBSTITUTE(input_enews_announcement_type," ","")&amp;",")))=COUNTA(TEXTSPLIT(BW123,",")))),IF(BY123="",TRUE,IF(input_enews_announcement_type="",TRUE,SUMPRODUCT(--ISNUMBER(SEARCH(","&amp;TRIM(TEXTSPLIT(BY123,","))&amp;",",","&amp;SUBSTITUTE(input_enews_announcement_type," ","")&amp;",")))=0)),IF(CA123="",TRUE,IF(input_enews_announcement_type="",FALSE,SUMPRODUCT(--ISNUMBER(SEARCH(","&amp;TRIM(TEXTSPLIT(CA123,","))&amp;",",","&amp;SUBSTITUTE(input_enews_announcement_type," ","")&amp;",")))&gt;0)),IF(CC123="",TRUE,IF(input_enews_announcement_type="",FALSE,SUMPRODUCT(--ISNUMBER(SEARCH(","&amp;TRIM(TEXTSPLIT(CC123,","))&amp;",",","&amp;SUBSTITUTE(input_enews_announcement_type," ","")&amp;",")))=COUNTA(TEXTSPLIT(CC123,",")))))</f>
        <v/>
      </c>
      <c r="JA123" s="19">
        <f>AND(IF(CE123="",TRUE,IF(input_enews_audience="",FALSE,SUMPRODUCT(--ISNUMBER(SEARCH(","&amp;TRIM(TEXTSPLIT(CE123,","))&amp;",",","&amp;SUBSTITUTE(input_enews_audience," ","")&amp;",")))&gt;0)),IF(CG123="",TRUE,IF(input_enews_audience="",FALSE,SUMPRODUCT(--ISNUMBER(SEARCH(","&amp;TRIM(TEXTSPLIT(CG123,","))&amp;",",","&amp;SUBSTITUTE(input_enews_audience," ","")&amp;",")))=COUNTA(TEXTSPLIT(CG123,",")))),IF(CI123="",TRUE,IF(input_enews_audience="",TRUE,SUMPRODUCT(--ISNUMBER(SEARCH(","&amp;TRIM(TEXTSPLIT(CI123,","))&amp;",",","&amp;SUBSTITUTE(input_enews_audience," ","")&amp;",")))=0)),IF(CK123="",TRUE,IF(input_enews_audience="",FALSE,SUMPRODUCT(--ISNUMBER(SEARCH(","&amp;TRIM(TEXTSPLIT(CK123,","))&amp;",",","&amp;SUBSTITUTE(input_enews_audience," ","")&amp;",")))&gt;0)),IF(CM123="",TRUE,IF(input_enews_audience="",FALSE,SUMPRODUCT(--ISNUMBER(SEARCH(","&amp;TRIM(TEXTSPLIT(CM123,","))&amp;",",","&amp;SUBSTITUTE(input_enews_audience," ","")&amp;",")))=COUNTA(TEXTSPLIT(CM123,",")))))</f>
        <v/>
      </c>
      <c r="JB123" s="19">
        <f>AND(IF(CO123="",TRUE,IF(input_event_location="",FALSE,SUMPRODUCT(--ISNUMBER(SEARCH(","&amp;TRIM(TEXTSPLIT(CO123,","))&amp;",",","&amp;SUBSTITUTE(input_event_location," ","")&amp;",")))&gt;0)),IF(CQ123="",TRUE,IF(input_event_location="",FALSE,SUMPRODUCT(--ISNUMBER(SEARCH(","&amp;TRIM(TEXTSPLIT(CQ123,","))&amp;",",","&amp;SUBSTITUTE(input_event_location," ","")&amp;",")))=COUNTA(TEXTSPLIT(CQ123,",")))),IF(CS123="",TRUE,IF(input_event_location="",TRUE,SUMPRODUCT(--ISNUMBER(SEARCH(","&amp;TRIM(TEXTSPLIT(CS123,","))&amp;",",","&amp;SUBSTITUTE(input_event_location," ","")&amp;",")))=0)),IF(CU123="",TRUE,IF(input_event_location="",FALSE,SUMPRODUCT(--ISNUMBER(SEARCH(","&amp;TRIM(TEXTSPLIT(CU123,","))&amp;",",","&amp;SUBSTITUTE(input_event_location," ","")&amp;",")))&gt;0)),IF(CW123="",TRUE,IF(input_event_location="",FALSE,SUMPRODUCT(--ISNUMBER(SEARCH(","&amp;TRIM(TEXTSPLIT(CW123,","))&amp;",",","&amp;SUBSTITUTE(input_event_location," ","")&amp;",")))=COUNTA(TEXTSPLIT(CW123,",")))))</f>
        <v/>
      </c>
      <c r="JC123" s="19">
        <f>AND(IF(CY123="",TRUE,IF(input_event_type="",FALSE,SUMPRODUCT(--ISNUMBER(SEARCH(","&amp;TRIM(TEXTSPLIT(CY123,","))&amp;",",","&amp;SUBSTITUTE(input_event_type," ","")&amp;",")))&gt;0)),IF(DA123="",TRUE,IF(input_event_type="",FALSE,SUMPRODUCT(--ISNUMBER(SEARCH(","&amp;TRIM(TEXTSPLIT(DA123,","))&amp;",",","&amp;SUBSTITUTE(input_event_type," ","")&amp;",")))=COUNTA(TEXTSPLIT(DA123,",")))),IF(DC123="",TRUE,IF(input_event_type="",TRUE,SUMPRODUCT(--ISNUMBER(SEARCH(","&amp;TRIM(TEXTSPLIT(DC123,","))&amp;",",","&amp;SUBSTITUTE(input_event_type," ","")&amp;",")))=0)),IF(DE123="",TRUE,IF(input_event_type="",FALSE,SUMPRODUCT(--ISNUMBER(SEARCH(","&amp;TRIM(TEXTSPLIT(DE123,","))&amp;",",","&amp;SUBSTITUTE(input_event_type," ","")&amp;",")))&gt;0)),IF(DG123="",TRUE,IF(input_event_type="",FALSE,SUMPRODUCT(--ISNUMBER(SEARCH(","&amp;TRIM(TEXTSPLIT(DG123,","))&amp;",",","&amp;SUBSTITUTE(input_event_type," ","")&amp;",")))=COUNTA(TEXTSPLIT(DG123,",")))))</f>
        <v/>
      </c>
      <c r="JD123" s="19">
        <f>AND(IF(DI123="",TRUE,IF(input_executive_education_focus="",FALSE,SUMPRODUCT(--ISNUMBER(SEARCH(","&amp;TRIM(TEXTSPLIT(DI123,","))&amp;",",","&amp;SUBSTITUTE(input_executive_education_focus," ","")&amp;",")))&gt;0)),IF(DK123="",TRUE,IF(input_executive_education_focus="",FALSE,SUMPRODUCT(--ISNUMBER(SEARCH(","&amp;TRIM(TEXTSPLIT(DK123,","))&amp;",",","&amp;SUBSTITUTE(input_executive_education_focus," ","")&amp;",")))=COUNTA(TEXTSPLIT(DK123,",")))),IF(DM123="",TRUE,IF(input_executive_education_focus="",TRUE,SUMPRODUCT(--ISNUMBER(SEARCH(","&amp;TRIM(TEXTSPLIT(DM123,","))&amp;",",","&amp;SUBSTITUTE(input_executive_education_focus," ","")&amp;",")))=0)),IF(DO123="",TRUE,IF(input_executive_education_focus="",FALSE,SUMPRODUCT(--ISNUMBER(SEARCH(","&amp;TRIM(TEXTSPLIT(DO123,","))&amp;",",","&amp;SUBSTITUTE(input_executive_education_focus," ","")&amp;",")))&gt;0)),IF(DQ123="",TRUE,IF(input_executive_education_focus="",FALSE,SUMPRODUCT(--ISNUMBER(SEARCH(","&amp;TRIM(TEXTSPLIT(DQ123,","))&amp;",",","&amp;SUBSTITUTE(input_executive_education_focus," ","")&amp;",")))=COUNTA(TEXTSPLIT(DQ123,",")))))</f>
        <v/>
      </c>
      <c r="JE123" s="19">
        <f>AND(IF(DS123="",TRUE,IF(input_faculty_category="",FALSE,SUMPRODUCT(--ISNUMBER(SEARCH(","&amp;TRIM(TEXTSPLIT(DS123,","))&amp;",",","&amp;SUBSTITUTE(input_faculty_category," ","")&amp;",")))&gt;0)),IF(DU123="",TRUE,IF(input_faculty_category="",FALSE,SUMPRODUCT(--ISNUMBER(SEARCH(","&amp;TRIM(TEXTSPLIT(DU123,","))&amp;",",","&amp;SUBSTITUTE(input_faculty_category," ","")&amp;",")))=COUNTA(TEXTSPLIT(DU123,",")))),IF(DW123="",TRUE,IF(input_faculty_category="",TRUE,SUMPRODUCT(--ISNUMBER(SEARCH(","&amp;TRIM(TEXTSPLIT(DW123,","))&amp;",",","&amp;SUBSTITUTE(input_faculty_category," ","")&amp;",")))=0)),IF(DY123="",TRUE,IF(input_faculty_category="",FALSE,SUMPRODUCT(--ISNUMBER(SEARCH(","&amp;TRIM(TEXTSPLIT(DY123,","))&amp;",",","&amp;SUBSTITUTE(input_faculty_category," ","")&amp;",")))&gt;0)),IF(EA123="",TRUE,IF(input_faculty_category="",FALSE,SUMPRODUCT(--ISNUMBER(SEARCH(","&amp;TRIM(TEXTSPLIT(EA123,","))&amp;",",","&amp;SUBSTITUTE(input_faculty_category," ","")&amp;",")))=COUNTA(TEXTSPLIT(EA123,",")))))</f>
        <v/>
      </c>
      <c r="JF123" s="19">
        <f>AND(IF(EC123="",TRUE,IF(input_faculty_discipline="",FALSE,SUMPRODUCT(--ISNUMBER(SEARCH(","&amp;TRIM(TEXTSPLIT(EC123,","))&amp;",",","&amp;SUBSTITUTE(input_faculty_discipline," ","")&amp;",")))&gt;0)),IF(EE123="",TRUE,IF(input_faculty_discipline="",FALSE,SUMPRODUCT(--ISNUMBER(SEARCH(","&amp;TRIM(TEXTSPLIT(EE123,","))&amp;",",","&amp;SUBSTITUTE(input_faculty_discipline," ","")&amp;",")))=COUNTA(TEXTSPLIT(EE123,",")))),IF(EG123="",TRUE,IF(input_faculty_discipline="",TRUE,SUMPRODUCT(--ISNUMBER(SEARCH(","&amp;TRIM(TEXTSPLIT(EG123,","))&amp;",",","&amp;SUBSTITUTE(input_faculty_discipline," ","")&amp;",")))=0)),IF(EI123="",TRUE,IF(input_faculty_discipline="",FALSE,SUMPRODUCT(--ISNUMBER(SEARCH(","&amp;TRIM(TEXTSPLIT(EI123,","))&amp;",",","&amp;SUBSTITUTE(input_faculty_discipline," ","")&amp;",")))&gt;0)),IF(EK123="",TRUE,IF(input_faculty_discipline="",FALSE,SUMPRODUCT(--ISNUMBER(SEARCH(","&amp;TRIM(TEXTSPLIT(EK123,","))&amp;",",","&amp;SUBSTITUTE(input_faculty_discipline," ","")&amp;",")))=COUNTA(TEXTSPLIT(EK123,",")))))</f>
        <v/>
      </c>
      <c r="JG123" s="19">
        <f>AND(IF(EM123="",TRUE,IF(input_faculty_expertise="",FALSE,SUMPRODUCT(--ISNUMBER(SEARCH(","&amp;TRIM(TEXTSPLIT(EM123,","))&amp;",",","&amp;SUBSTITUTE(input_faculty_expertise," ","")&amp;",")))&gt;0)),IF(EO123="",TRUE,IF(input_faculty_expertise="",FALSE,SUMPRODUCT(--ISNUMBER(SEARCH(","&amp;TRIM(TEXTSPLIT(EO123,","))&amp;",",","&amp;SUBSTITUTE(input_faculty_expertise," ","")&amp;",")))=COUNTA(TEXTSPLIT(EO123,",")))),IF(EQ123="",TRUE,IF(input_faculty_expertise="",TRUE,SUMPRODUCT(--ISNUMBER(SEARCH(","&amp;TRIM(TEXTSPLIT(EQ123,","))&amp;",",","&amp;SUBSTITUTE(input_faculty_expertise," ","")&amp;",")))=0)),IF(ES123="",TRUE,IF(input_faculty_expertise="",FALSE,SUMPRODUCT(--ISNUMBER(SEARCH(","&amp;TRIM(TEXTSPLIT(ES123,","))&amp;",",","&amp;SUBSTITUTE(input_faculty_expertise," ","")&amp;",")))&gt;0)),IF(EU123="",TRUE,IF(input_faculty_expertise="",FALSE,SUMPRODUCT(--ISNUMBER(SEARCH(","&amp;TRIM(TEXTSPLIT(EU123,","))&amp;",",","&amp;SUBSTITUTE(input_faculty_expertise," ","")&amp;",")))=COUNTA(TEXTSPLIT(EU123,",")))))</f>
        <v/>
      </c>
      <c r="JH123" s="19">
        <f>AND(IF(EW123="",TRUE,IF(input_global_network_school="",FALSE,SUMPRODUCT(--ISNUMBER(SEARCH(","&amp;TRIM(TEXTSPLIT(EW123,","))&amp;",",","&amp;SUBSTITUTE(input_global_network_school," ","")&amp;",")))&gt;0)),IF(EY123="",TRUE,IF(input_global_network_school="",FALSE,SUMPRODUCT(--ISNUMBER(SEARCH(","&amp;TRIM(TEXTSPLIT(EY123,","))&amp;",",","&amp;SUBSTITUTE(input_global_network_school," ","")&amp;",")))=COUNTA(TEXTSPLIT(EY123,",")))),IF(FA123="",TRUE,IF(input_global_network_school="",TRUE,SUMPRODUCT(--ISNUMBER(SEARCH(","&amp;TRIM(TEXTSPLIT(FA123,","))&amp;",",","&amp;SUBSTITUTE(input_global_network_school," ","")&amp;",")))=0)),IF(FC123="",TRUE,IF(input_global_network_school="",FALSE,SUMPRODUCT(--ISNUMBER(SEARCH(","&amp;TRIM(TEXTSPLIT(FC123,","))&amp;",",","&amp;SUBSTITUTE(input_global_network_school," ","")&amp;",")))&gt;0)),IF(FE123="",TRUE,IF(input_global_network_school="",FALSE,SUMPRODUCT(--ISNUMBER(SEARCH(","&amp;TRIM(TEXTSPLIT(FE123,","))&amp;",",","&amp;SUBSTITUTE(input_global_network_school," ","")&amp;",")))=COUNTA(TEXTSPLIT(FE123,",")))))</f>
        <v/>
      </c>
      <c r="JI123" s="19">
        <f>AND(IF(FG123="",TRUE,IF(input_industry="",FALSE,SUMPRODUCT(--ISNUMBER(SEARCH(","&amp;TRIM(TEXTSPLIT(FG123,","))&amp;",",","&amp;SUBSTITUTE(input_industry," ","")&amp;",")))&gt;0)),IF(FI123="",TRUE,IF(input_industry="",FALSE,SUMPRODUCT(--ISNUMBER(SEARCH(","&amp;TRIM(TEXTSPLIT(FI123,","))&amp;",",","&amp;SUBSTITUTE(input_industry," ","")&amp;",")))=COUNTA(TEXTSPLIT(FI123,",")))),IF(FK123="",TRUE,IF(input_industry="",TRUE,SUMPRODUCT(--ISNUMBER(SEARCH(","&amp;TRIM(TEXTSPLIT(FK123,","))&amp;",",","&amp;SUBSTITUTE(input_industry," ","")&amp;",")))=0)),IF(FM123="",TRUE,IF(input_industry="",FALSE,SUMPRODUCT(--ISNUMBER(SEARCH(","&amp;TRIM(TEXTSPLIT(FM123,","))&amp;",",","&amp;SUBSTITUTE(input_industry," ","")&amp;",")))&gt;0)),IF(FO123="",TRUE,IF(input_industry="",FALSE,SUMPRODUCT(--ISNUMBER(SEARCH(","&amp;TRIM(TEXTSPLIT(FO123,","))&amp;",",","&amp;SUBSTITUTE(input_industry," ","")&amp;",")))=COUNTA(TEXTSPLIT(FO123,",")))))</f>
        <v/>
      </c>
      <c r="JJ123" s="19">
        <f>AND(IF(FQ123="",TRUE,IF(input_location="",FALSE,SUMPRODUCT(--ISNUMBER(SEARCH(","&amp;TRIM(TEXTSPLIT(FQ123,","))&amp;",",","&amp;SUBSTITUTE(input_location," ","")&amp;",")))&gt;0)),IF(FS123="",TRUE,IF(input_location="",FALSE,SUMPRODUCT(--ISNUMBER(SEARCH(","&amp;TRIM(TEXTSPLIT(FS123,","))&amp;",",","&amp;SUBSTITUTE(input_location," ","")&amp;",")))=COUNTA(TEXTSPLIT(FS123,",")))),IF(FU123="",TRUE,IF(input_location="",TRUE,SUMPRODUCT(--ISNUMBER(SEARCH(","&amp;TRIM(TEXTSPLIT(FU123,","))&amp;",",","&amp;SUBSTITUTE(input_location," ","")&amp;",")))=0)),IF(FW123="",TRUE,IF(input_location="",FALSE,SUMPRODUCT(--ISNUMBER(SEARCH(","&amp;TRIM(TEXTSPLIT(FW123,","))&amp;",",","&amp;SUBSTITUTE(input_location," ","")&amp;",")))&gt;0)),IF(FY123="",TRUE,IF(input_location="",FALSE,SUMPRODUCT(--ISNUMBER(SEARCH(","&amp;TRIM(TEXTSPLIT(FY123,","))&amp;",",","&amp;SUBSTITUTE(input_location," ","")&amp;",")))=COUNTA(TEXTSPLIT(FY123,",")))))</f>
        <v/>
      </c>
      <c r="JK123" s="19">
        <f>AND(IF(GA123="",TRUE,IF(input_modality="",FALSE,SUMPRODUCT(--ISNUMBER(SEARCH(","&amp;TRIM(TEXTSPLIT(GA123,","))&amp;",",","&amp;SUBSTITUTE(input_modality," ","")&amp;",")))&gt;0)),IF(GC123="",TRUE,IF(input_modality="",FALSE,SUMPRODUCT(--ISNUMBER(SEARCH(","&amp;TRIM(TEXTSPLIT(GC123,","))&amp;",",","&amp;SUBSTITUTE(input_modality," ","")&amp;",")))=COUNTA(TEXTSPLIT(GC123,",")))),IF(GE123="",TRUE,IF(input_modality="",TRUE,SUMPRODUCT(--ISNUMBER(SEARCH(","&amp;TRIM(TEXTSPLIT(GE123,","))&amp;",",","&amp;SUBSTITUTE(input_modality," ","")&amp;",")))=0)),IF(GG123="",TRUE,IF(input_modality="",FALSE,SUMPRODUCT(--ISNUMBER(SEARCH(","&amp;TRIM(TEXTSPLIT(GG123,","))&amp;",",","&amp;SUBSTITUTE(input_modality," ","")&amp;",")))&gt;0)),IF(GI123="",TRUE,IF(input_modality="",FALSE,SUMPRODUCT(--ISNUMBER(SEARCH(","&amp;TRIM(TEXTSPLIT(GI123,","))&amp;",",","&amp;SUBSTITUTE(input_modality," ","")&amp;",")))=COUNTA(TEXTSPLIT(GI123,",")))))</f>
        <v/>
      </c>
      <c r="JL123" s="19">
        <f>AND(IF(GK123="",TRUE,IF(input_organizer="",FALSE,SUMPRODUCT(--ISNUMBER(SEARCH(","&amp;TRIM(TEXTSPLIT(GK123,","))&amp;",",","&amp;SUBSTITUTE(input_organizer," ","")&amp;",")))&gt;0)),IF(GM123="",TRUE,IF(input_organizer="",FALSE,SUMPRODUCT(--ISNUMBER(SEARCH(","&amp;TRIM(TEXTSPLIT(GM123,","))&amp;",",","&amp;SUBSTITUTE(input_organizer," ","")&amp;",")))=COUNTA(TEXTSPLIT(GM123,",")))),IF(GO123="",TRUE,IF(input_organizer="",TRUE,SUMPRODUCT(--ISNUMBER(SEARCH(","&amp;TRIM(TEXTSPLIT(GO123,","))&amp;",",","&amp;SUBSTITUTE(input_organizer," ","")&amp;",")))=0)),IF(GQ123="",TRUE,IF(input_organizer="",FALSE,SUMPRODUCT(--ISNUMBER(SEARCH(","&amp;TRIM(TEXTSPLIT(GQ123,","))&amp;",",","&amp;SUBSTITUTE(input_organizer," ","")&amp;",")))&gt;0)),IF(GS123="",TRUE,IF(input_organizer="",FALSE,SUMPRODUCT(--ISNUMBER(SEARCH(","&amp;TRIM(TEXTSPLIT(GS123,","))&amp;",",","&amp;SUBSTITUTE(input_organizer," ","")&amp;",")))=COUNTA(TEXTSPLIT(GS123,",")))))</f>
        <v/>
      </c>
      <c r="JM123" s="19">
        <f>AND(IF(GU123="",TRUE,IF(input_profile_type="",FALSE,SUMPRODUCT(--ISNUMBER(SEARCH(","&amp;TRIM(TEXTSPLIT(GU123,","))&amp;",",","&amp;SUBSTITUTE(input_profile_type," ","")&amp;",")))&gt;0)),IF(GW123="",TRUE,IF(input_profile_type="",FALSE,SUMPRODUCT(--ISNUMBER(SEARCH(","&amp;TRIM(TEXTSPLIT(GW123,","))&amp;",",","&amp;SUBSTITUTE(input_profile_type," ","")&amp;",")))=COUNTA(TEXTSPLIT(GW123,",")))),IF(GY123="",TRUE,IF(input_profile_type="",TRUE,SUMPRODUCT(--ISNUMBER(SEARCH(","&amp;TRIM(TEXTSPLIT(GY123,","))&amp;",",","&amp;SUBSTITUTE(input_profile_type," ","")&amp;",")))=0)),IF(HA123="",TRUE,IF(input_profile_type="",FALSE,SUMPRODUCT(--ISNUMBER(SEARCH(","&amp;TRIM(TEXTSPLIT(HA123,","))&amp;",",","&amp;SUBSTITUTE(input_profile_type," ","")&amp;",")))&gt;0)),IF(HC123="",TRUE,IF(input_profile_type="",FALSE,SUMPRODUCT(--ISNUMBER(SEARCH(","&amp;TRIM(TEXTSPLIT(HC123,","))&amp;",",","&amp;SUBSTITUTE(input_profile_type," ","")&amp;",")))=COUNTA(TEXTSPLIT(HC123,",")))))</f>
        <v/>
      </c>
      <c r="JN123" s="19">
        <f>AND(IF(HE123="",TRUE,IF(input_program="",FALSE,SUMPRODUCT(--ISNUMBER(SEARCH(","&amp;TRIM(TEXTSPLIT(HE123,","))&amp;",",","&amp;SUBSTITUTE(input_program," ","")&amp;",")))&gt;0)),IF(HG123="",TRUE,IF(input_program="",FALSE,SUMPRODUCT(--ISNUMBER(SEARCH(","&amp;TRIM(TEXTSPLIT(HG123,","))&amp;",",","&amp;SUBSTITUTE(input_program," ","")&amp;",")))=COUNTA(TEXTSPLIT(HG123,",")))),IF(HI123="",TRUE,IF(input_program="",TRUE,SUMPRODUCT(--ISNUMBER(SEARCH(","&amp;TRIM(TEXTSPLIT(HI123,","))&amp;",",","&amp;SUBSTITUTE(input_program," ","")&amp;",")))=0)),IF(HK123="",TRUE,IF(input_program="",FALSE,SUMPRODUCT(--ISNUMBER(SEARCH(","&amp;TRIM(TEXTSPLIT(HK123,","))&amp;",",","&amp;SUBSTITUTE(input_program," ","")&amp;",")))&gt;0)),IF(HM123="",TRUE,IF(input_program="",FALSE,SUMPRODUCT(--ISNUMBER(SEARCH(","&amp;TRIM(TEXTSPLIT(HM123,","))&amp;",",","&amp;SUBSTITUTE(input_program," ","")&amp;",")))=COUNTA(TEXTSPLIT(HM123,",")))))</f>
        <v/>
      </c>
      <c r="JO123" s="19">
        <f>AND(IF(HO123="",TRUE,IF(input_story_categories="",FALSE,SUMPRODUCT(--ISNUMBER(SEARCH(","&amp;TRIM(TEXTSPLIT(HO123,","))&amp;",",","&amp;SUBSTITUTE(input_story_categories," ","")&amp;",")))&gt;0)),IF(HQ123="",TRUE,IF(input_story_categories="",FALSE,SUMPRODUCT(--ISNUMBER(SEARCH(","&amp;TRIM(TEXTSPLIT(HQ123,","))&amp;",",","&amp;SUBSTITUTE(input_story_categories," ","")&amp;",")))=COUNTA(TEXTSPLIT(HQ123,",")))),IF(HS123="",TRUE,IF(input_story_categories="",TRUE,SUMPRODUCT(--ISNUMBER(SEARCH(","&amp;TRIM(TEXTSPLIT(HS123,","))&amp;",",","&amp;SUBSTITUTE(input_story_categories," ","")&amp;",")))=0)),IF(HU123="",TRUE,IF(input_story_categories="",FALSE,SUMPRODUCT(--ISNUMBER(SEARCH(","&amp;TRIM(TEXTSPLIT(HU123,","))&amp;",",","&amp;SUBSTITUTE(input_story_categories," ","")&amp;",")))&gt;0)),IF(HW123="",TRUE,IF(input_story_categories="",FALSE,SUMPRODUCT(--ISNUMBER(SEARCH(","&amp;TRIM(TEXTSPLIT(HW123,","))&amp;",",","&amp;SUBSTITUTE(input_story_categories," ","")&amp;",")))=COUNTA(TEXTSPLIT(HW123,",")))))</f>
        <v/>
      </c>
      <c r="JP123" s="19">
        <f>AND(IF(HY123="",TRUE,IF(input_story_type="",FALSE,SUMPRODUCT(--ISNUMBER(SEARCH(","&amp;TRIM(TEXTSPLIT(HY123,","))&amp;",",","&amp;SUBSTITUTE(input_story_type," ","")&amp;",")))&gt;0)),IF(IA123="",TRUE,IF(input_story_type="",FALSE,SUMPRODUCT(--ISNUMBER(SEARCH(","&amp;TRIM(TEXTSPLIT(IA123,","))&amp;",",","&amp;SUBSTITUTE(input_story_type," ","")&amp;",")))=COUNTA(TEXTSPLIT(IA123,",")))),IF(IC123="",TRUE,IF(input_story_type="",TRUE,SUMPRODUCT(--ISNUMBER(SEARCH(","&amp;TRIM(TEXTSPLIT(IC123,","))&amp;",",","&amp;SUBSTITUTE(input_story_type," ","")&amp;",")))=0)),IF(IE123="",TRUE,IF(input_story_type="",FALSE,SUMPRODUCT(--ISNUMBER(SEARCH(","&amp;TRIM(TEXTSPLIT(IE123,","))&amp;",",","&amp;SUBSTITUTE(input_story_type," ","")&amp;",")))&gt;0)),IF(IG123="",TRUE,IF(input_story_type="",FALSE,SUMPRODUCT(--ISNUMBER(SEARCH(","&amp;TRIM(TEXTSPLIT(IG123,","))&amp;",",","&amp;SUBSTITUTE(input_story_type," ","")&amp;",")))=COUNTA(TEXTSPLIT(IG123,",")))))</f>
        <v/>
      </c>
      <c r="JQ123" s="19">
        <f>AND(IF(II123="",TRUE,IF(input_topics="",FALSE,SUMPRODUCT(--ISNUMBER(SEARCH(","&amp;TRIM(TEXTSPLIT(II123,","))&amp;",",","&amp;SUBSTITUTE(input_topics," ","")&amp;",")))&gt;0)),IF(IK123="",TRUE,IF(input_topics="",FALSE,SUMPRODUCT(--ISNUMBER(SEARCH(","&amp;TRIM(TEXTSPLIT(IK123,","))&amp;",",","&amp;SUBSTITUTE(input_topics," ","")&amp;",")))=COUNTA(TEXTSPLIT(IK123,",")))),IF(IM123="",TRUE,IF(input_topics="",TRUE,SUMPRODUCT(--ISNUMBER(SEARCH(","&amp;TRIM(TEXTSPLIT(IM123,","))&amp;",",","&amp;SUBSTITUTE(input_topics," ","")&amp;",")))=0)),IF(IO123="",TRUE,IF(input_topics="",FALSE,SUMPRODUCT(--ISNUMBER(SEARCH(","&amp;TRIM(TEXTSPLIT(IO123,","))&amp;",",","&amp;SUBSTITUTE(input_topics," ","")&amp;",")))&gt;0)),IF(IQ123="",TRUE,IF(input_topics="",FALSE,SUMPRODUCT(--ISNUMBER(SEARCH(","&amp;TRIM(TEXTSPLIT(IQ123,","))&amp;",",","&amp;SUBSTITUTE(input_topics," ","")&amp;",")))=COUNTA(TEXTSPLIT(IQ123,",")))))</f>
        <v/>
      </c>
    </row>
    <row r="124">
      <c r="A124" s="24">
        <f>IF(NOT(IS124),"Excluded",IF(AND(IT124,IU124,IV124,IW124,IX124,IY124,IZ124,JA124,JB124,JC124,JD124,JE124,JF124,JG124,JH124,JI124,JJ124,JK124,JL124,JM124,JN124,JO124,JP124,JQ124),IF(I124&gt;0,"Eligible but limited","Will appear"),"Excluded"))</f>
        <v/>
      </c>
      <c r="B124" s="24" t="inlineStr">
        <is>
          <t>MAM Blog &amp; News</t>
        </is>
      </c>
      <c r="C124" s="27" t="inlineStr">
        <is>
          <t>/programs/mam/blog-news</t>
        </is>
      </c>
      <c r="D124" s="24" t="inlineStr">
        <is>
          <t>/programs/mam/blog-news</t>
        </is>
      </c>
      <c r="E124" s="24" t="n">
        <v>1</v>
      </c>
      <c r="F124" s="24" t="inlineStr">
        <is>
          <t>story</t>
        </is>
      </c>
      <c r="G124" s="24" t="inlineStr">
        <is>
          <t>stories_list</t>
        </is>
      </c>
      <c r="H124" s="24" t="inlineStr">
        <is>
          <t>embed_1</t>
        </is>
      </c>
      <c r="I124" s="24" t="n">
        <v>10</v>
      </c>
      <c r="J124" s="28" t="inlineStr">
        <is>
          <t>Explicit args</t>
        </is>
      </c>
      <c r="K124" s="24" t="inlineStr">
        <is>
          <t>Page placement</t>
        </is>
      </c>
      <c r="L124" s="24" t="inlineStr">
        <is>
          <t>Content type: story; Context uses Courses Context: Master of Advanced Management (932), Programs (94), Residential master's programs (1571); Limited to 10 item(s); Source: Explicit args</t>
        </is>
      </c>
      <c r="BQ124" s="19" t="inlineStr">
        <is>
          <t>932, 94, 1571</t>
        </is>
      </c>
      <c r="BR124" s="19" t="inlineStr">
        <is>
          <t>Master of Advanced Management (932), Programs (94), Residential master's programs (1571)</t>
        </is>
      </c>
      <c r="IS124" s="19">
        <f>IF(input_content_type="",FALSE,ISNUMBER(SEARCH(","&amp;LOWER(input_content_type)&amp;",",","&amp;LOWER(SUBSTITUTE(F124," ",""))&amp;",")))</f>
        <v/>
      </c>
      <c r="IT124" s="19">
        <f>AND(IF(M124="",TRUE,IF(input_affiliations="",FALSE,SUMPRODUCT(--ISNUMBER(SEARCH(","&amp;TRIM(TEXTSPLIT(M124,","))&amp;",",","&amp;SUBSTITUTE(input_affiliations," ","")&amp;",")))&gt;0)),IF(O124="",TRUE,IF(input_affiliations="",FALSE,SUMPRODUCT(--ISNUMBER(SEARCH(","&amp;TRIM(TEXTSPLIT(O124,","))&amp;",",","&amp;SUBSTITUTE(input_affiliations," ","")&amp;",")))=COUNTA(TEXTSPLIT(O124,",")))),IF(Q124="",TRUE,IF(input_affiliations="",TRUE,SUMPRODUCT(--ISNUMBER(SEARCH(","&amp;TRIM(TEXTSPLIT(Q124,","))&amp;",",","&amp;SUBSTITUTE(input_affiliations," ","")&amp;",")))=0)),IF(S124="",TRUE,IF(input_affiliations="",FALSE,SUMPRODUCT(--ISNUMBER(SEARCH(","&amp;TRIM(TEXTSPLIT(S124,","))&amp;",",","&amp;SUBSTITUTE(input_affiliations," ","")&amp;",")))&gt;0)),IF(U124="",TRUE,IF(input_affiliations="",FALSE,SUMPRODUCT(--ISNUMBER(SEARCH(","&amp;TRIM(TEXTSPLIT(U124,","))&amp;",",","&amp;SUBSTITUTE(input_affiliations," ","")&amp;",")))=COUNTA(TEXTSPLIT(U124,",")))))</f>
        <v/>
      </c>
      <c r="IU124" s="19">
        <f>AND(IF(W124="",TRUE,IF(input_announcement_category="",FALSE,SUMPRODUCT(--ISNUMBER(SEARCH(","&amp;TRIM(TEXTSPLIT(W124,","))&amp;",",","&amp;SUBSTITUTE(input_announcement_category," ","")&amp;",")))&gt;0)),IF(Y124="",TRUE,IF(input_announcement_category="",FALSE,SUMPRODUCT(--ISNUMBER(SEARCH(","&amp;TRIM(TEXTSPLIT(Y124,","))&amp;",",","&amp;SUBSTITUTE(input_announcement_category," ","")&amp;",")))=COUNTA(TEXTSPLIT(Y124,",")))),IF(AA124="",TRUE,IF(input_announcement_category="",TRUE,SUMPRODUCT(--ISNUMBER(SEARCH(","&amp;TRIM(TEXTSPLIT(AA124,","))&amp;",",","&amp;SUBSTITUTE(input_announcement_category," ","")&amp;",")))=0)),IF(AC124="",TRUE,IF(input_announcement_category="",FALSE,SUMPRODUCT(--ISNUMBER(SEARCH(","&amp;TRIM(TEXTSPLIT(AC124,","))&amp;",",","&amp;SUBSTITUTE(input_announcement_category," ","")&amp;",")))&gt;0)),IF(AE124="",TRUE,IF(input_announcement_category="",FALSE,SUMPRODUCT(--ISNUMBER(SEARCH(","&amp;TRIM(TEXTSPLIT(AE124,","))&amp;",",","&amp;SUBSTITUTE(input_announcement_category," ","")&amp;",")))=COUNTA(TEXTSPLIT(AE124,",")))))</f>
        <v/>
      </c>
      <c r="IV124" s="19">
        <f>AND(IF(AG124="",TRUE,IF(input_area_of_focus="",FALSE,SUMPRODUCT(--ISNUMBER(SEARCH(","&amp;TRIM(TEXTSPLIT(AG124,","))&amp;",",","&amp;SUBSTITUTE(input_area_of_focus," ","")&amp;",")))&gt;0)),IF(AI124="",TRUE,IF(input_area_of_focus="",FALSE,SUMPRODUCT(--ISNUMBER(SEARCH(","&amp;TRIM(TEXTSPLIT(AI124,","))&amp;",",","&amp;SUBSTITUTE(input_area_of_focus," ","")&amp;",")))=COUNTA(TEXTSPLIT(AI124,",")))),IF(AK124="",TRUE,IF(input_area_of_focus="",TRUE,SUMPRODUCT(--ISNUMBER(SEARCH(","&amp;TRIM(TEXTSPLIT(AK124,","))&amp;",",","&amp;SUBSTITUTE(input_area_of_focus," ","")&amp;",")))=0)),IF(AM124="",TRUE,IF(input_area_of_focus="",FALSE,SUMPRODUCT(--ISNUMBER(SEARCH(","&amp;TRIM(TEXTSPLIT(AM124,","))&amp;",",","&amp;SUBSTITUTE(input_area_of_focus," ","")&amp;",")))&gt;0)),IF(AO124="",TRUE,IF(input_area_of_focus="",FALSE,SUMPRODUCT(--ISNUMBER(SEARCH(","&amp;TRIM(TEXTSPLIT(AO124,","))&amp;",",","&amp;SUBSTITUTE(input_area_of_focus," ","")&amp;",")))=COUNTA(TEXTSPLIT(AO124,",")))))</f>
        <v/>
      </c>
      <c r="IW124" s="19">
        <f>AND(IF(AQ124="",TRUE,IF(input_audience="",FALSE,SUMPRODUCT(--ISNUMBER(SEARCH(","&amp;TRIM(TEXTSPLIT(AQ124,","))&amp;",",","&amp;SUBSTITUTE(input_audience," ","")&amp;",")))&gt;0)),IF(AS124="",TRUE,IF(input_audience="",FALSE,SUMPRODUCT(--ISNUMBER(SEARCH(","&amp;TRIM(TEXTSPLIT(AS124,","))&amp;",",","&amp;SUBSTITUTE(input_audience," ","")&amp;",")))=COUNTA(TEXTSPLIT(AS124,",")))),IF(AU124="",TRUE,IF(input_audience="",TRUE,SUMPRODUCT(--ISNUMBER(SEARCH(","&amp;TRIM(TEXTSPLIT(AU124,","))&amp;",",","&amp;SUBSTITUTE(input_audience," ","")&amp;",")))=0)),IF(AW124="",TRUE,IF(input_audience="",FALSE,SUMPRODUCT(--ISNUMBER(SEARCH(","&amp;TRIM(TEXTSPLIT(AW124,","))&amp;",",","&amp;SUBSTITUTE(input_audience," ","")&amp;",")))&gt;0)),IF(AY124="",TRUE,IF(input_audience="",FALSE,SUMPRODUCT(--ISNUMBER(SEARCH(","&amp;TRIM(TEXTSPLIT(AY124,","))&amp;",",","&amp;SUBSTITUTE(input_audience," ","")&amp;",")))=COUNTA(TEXTSPLIT(AY124,",")))))</f>
        <v/>
      </c>
      <c r="IX124" s="19">
        <f>AND(IF(BA124="",TRUE,IF(input_challenge_opportunities="",FALSE,SUMPRODUCT(--ISNUMBER(SEARCH(","&amp;TRIM(TEXTSPLIT(BA124,","))&amp;",",","&amp;SUBSTITUTE(input_challenge_opportunities," ","")&amp;",")))&gt;0)),IF(BC124="",TRUE,IF(input_challenge_opportunities="",FALSE,SUMPRODUCT(--ISNUMBER(SEARCH(","&amp;TRIM(TEXTSPLIT(BC124,","))&amp;",",","&amp;SUBSTITUTE(input_challenge_opportunities," ","")&amp;",")))=COUNTA(TEXTSPLIT(BC124,",")))),IF(BE124="",TRUE,IF(input_challenge_opportunities="",TRUE,SUMPRODUCT(--ISNUMBER(SEARCH(","&amp;TRIM(TEXTSPLIT(BE124,","))&amp;",",","&amp;SUBSTITUTE(input_challenge_opportunities," ","")&amp;",")))=0)),IF(BG124="",TRUE,IF(input_challenge_opportunities="",FALSE,SUMPRODUCT(--ISNUMBER(SEARCH(","&amp;TRIM(TEXTSPLIT(BG124,","))&amp;",",","&amp;SUBSTITUTE(input_challenge_opportunities," ","")&amp;",")))&gt;0)),IF(BI124="",TRUE,IF(input_challenge_opportunities="",FALSE,SUMPRODUCT(--ISNUMBER(SEARCH(","&amp;TRIM(TEXTSPLIT(BI124,","))&amp;",",","&amp;SUBSTITUTE(input_challenge_opportunities," ","")&amp;",")))=COUNTA(TEXTSPLIT(BI124,",")))))</f>
        <v/>
      </c>
      <c r="IY124" s="19">
        <f>AND(IF(BK124="",TRUE,IF(input_context="",FALSE,SUMPRODUCT(--ISNUMBER(SEARCH(","&amp;TRIM(TEXTSPLIT(BK124,","))&amp;",",","&amp;SUBSTITUTE(input_context," ","")&amp;",")))&gt;0)),IF(BM124="",TRUE,IF(input_context="",FALSE,SUMPRODUCT(--ISNUMBER(SEARCH(","&amp;TRIM(TEXTSPLIT(BM124,","))&amp;",",","&amp;SUBSTITUTE(input_context," ","")&amp;",")))=COUNTA(TEXTSPLIT(BM124,",")))),IF(BO124="",TRUE,IF(input_context="",TRUE,SUMPRODUCT(--ISNUMBER(SEARCH(","&amp;TRIM(TEXTSPLIT(BO124,","))&amp;",",","&amp;SUBSTITUTE(input_context," ","")&amp;",")))=0)),IF(BQ124="",TRUE,IF(input_context="",FALSE,SUMPRODUCT(--ISNUMBER(SEARCH(","&amp;TRIM(TEXTSPLIT(BQ124,","))&amp;",",","&amp;SUBSTITUTE(input_context," ","")&amp;",")))&gt;0)),IF(BS124="",TRUE,IF(input_context="",FALSE,SUMPRODUCT(--ISNUMBER(SEARCH(","&amp;TRIM(TEXTSPLIT(BS124,","))&amp;",",","&amp;SUBSTITUTE(input_context," ","")&amp;",")))=COUNTA(TEXTSPLIT(BS124,",")))))</f>
        <v/>
      </c>
      <c r="IZ124" s="19">
        <f>AND(IF(BU124="",TRUE,IF(input_enews_announcement_type="",FALSE,SUMPRODUCT(--ISNUMBER(SEARCH(","&amp;TRIM(TEXTSPLIT(BU124,","))&amp;",",","&amp;SUBSTITUTE(input_enews_announcement_type," ","")&amp;",")))&gt;0)),IF(BW124="",TRUE,IF(input_enews_announcement_type="",FALSE,SUMPRODUCT(--ISNUMBER(SEARCH(","&amp;TRIM(TEXTSPLIT(BW124,","))&amp;",",","&amp;SUBSTITUTE(input_enews_announcement_type," ","")&amp;",")))=COUNTA(TEXTSPLIT(BW124,",")))),IF(BY124="",TRUE,IF(input_enews_announcement_type="",TRUE,SUMPRODUCT(--ISNUMBER(SEARCH(","&amp;TRIM(TEXTSPLIT(BY124,","))&amp;",",","&amp;SUBSTITUTE(input_enews_announcement_type," ","")&amp;",")))=0)),IF(CA124="",TRUE,IF(input_enews_announcement_type="",FALSE,SUMPRODUCT(--ISNUMBER(SEARCH(","&amp;TRIM(TEXTSPLIT(CA124,","))&amp;",",","&amp;SUBSTITUTE(input_enews_announcement_type," ","")&amp;",")))&gt;0)),IF(CC124="",TRUE,IF(input_enews_announcement_type="",FALSE,SUMPRODUCT(--ISNUMBER(SEARCH(","&amp;TRIM(TEXTSPLIT(CC124,","))&amp;",",","&amp;SUBSTITUTE(input_enews_announcement_type," ","")&amp;",")))=COUNTA(TEXTSPLIT(CC124,",")))))</f>
        <v/>
      </c>
      <c r="JA124" s="19">
        <f>AND(IF(CE124="",TRUE,IF(input_enews_audience="",FALSE,SUMPRODUCT(--ISNUMBER(SEARCH(","&amp;TRIM(TEXTSPLIT(CE124,","))&amp;",",","&amp;SUBSTITUTE(input_enews_audience," ","")&amp;",")))&gt;0)),IF(CG124="",TRUE,IF(input_enews_audience="",FALSE,SUMPRODUCT(--ISNUMBER(SEARCH(","&amp;TRIM(TEXTSPLIT(CG124,","))&amp;",",","&amp;SUBSTITUTE(input_enews_audience," ","")&amp;",")))=COUNTA(TEXTSPLIT(CG124,",")))),IF(CI124="",TRUE,IF(input_enews_audience="",TRUE,SUMPRODUCT(--ISNUMBER(SEARCH(","&amp;TRIM(TEXTSPLIT(CI124,","))&amp;",",","&amp;SUBSTITUTE(input_enews_audience," ","")&amp;",")))=0)),IF(CK124="",TRUE,IF(input_enews_audience="",FALSE,SUMPRODUCT(--ISNUMBER(SEARCH(","&amp;TRIM(TEXTSPLIT(CK124,","))&amp;",",","&amp;SUBSTITUTE(input_enews_audience," ","")&amp;",")))&gt;0)),IF(CM124="",TRUE,IF(input_enews_audience="",FALSE,SUMPRODUCT(--ISNUMBER(SEARCH(","&amp;TRIM(TEXTSPLIT(CM124,","))&amp;",",","&amp;SUBSTITUTE(input_enews_audience," ","")&amp;",")))=COUNTA(TEXTSPLIT(CM124,",")))))</f>
        <v/>
      </c>
      <c r="JB124" s="19">
        <f>AND(IF(CO124="",TRUE,IF(input_event_location="",FALSE,SUMPRODUCT(--ISNUMBER(SEARCH(","&amp;TRIM(TEXTSPLIT(CO124,","))&amp;",",","&amp;SUBSTITUTE(input_event_location," ","")&amp;",")))&gt;0)),IF(CQ124="",TRUE,IF(input_event_location="",FALSE,SUMPRODUCT(--ISNUMBER(SEARCH(","&amp;TRIM(TEXTSPLIT(CQ124,","))&amp;",",","&amp;SUBSTITUTE(input_event_location," ","")&amp;",")))=COUNTA(TEXTSPLIT(CQ124,",")))),IF(CS124="",TRUE,IF(input_event_location="",TRUE,SUMPRODUCT(--ISNUMBER(SEARCH(","&amp;TRIM(TEXTSPLIT(CS124,","))&amp;",",","&amp;SUBSTITUTE(input_event_location," ","")&amp;",")))=0)),IF(CU124="",TRUE,IF(input_event_location="",FALSE,SUMPRODUCT(--ISNUMBER(SEARCH(","&amp;TRIM(TEXTSPLIT(CU124,","))&amp;",",","&amp;SUBSTITUTE(input_event_location," ","")&amp;",")))&gt;0)),IF(CW124="",TRUE,IF(input_event_location="",FALSE,SUMPRODUCT(--ISNUMBER(SEARCH(","&amp;TRIM(TEXTSPLIT(CW124,","))&amp;",",","&amp;SUBSTITUTE(input_event_location," ","")&amp;",")))=COUNTA(TEXTSPLIT(CW124,",")))))</f>
        <v/>
      </c>
      <c r="JC124" s="19">
        <f>AND(IF(CY124="",TRUE,IF(input_event_type="",FALSE,SUMPRODUCT(--ISNUMBER(SEARCH(","&amp;TRIM(TEXTSPLIT(CY124,","))&amp;",",","&amp;SUBSTITUTE(input_event_type," ","")&amp;",")))&gt;0)),IF(DA124="",TRUE,IF(input_event_type="",FALSE,SUMPRODUCT(--ISNUMBER(SEARCH(","&amp;TRIM(TEXTSPLIT(DA124,","))&amp;",",","&amp;SUBSTITUTE(input_event_type," ","")&amp;",")))=COUNTA(TEXTSPLIT(DA124,",")))),IF(DC124="",TRUE,IF(input_event_type="",TRUE,SUMPRODUCT(--ISNUMBER(SEARCH(","&amp;TRIM(TEXTSPLIT(DC124,","))&amp;",",","&amp;SUBSTITUTE(input_event_type," ","")&amp;",")))=0)),IF(DE124="",TRUE,IF(input_event_type="",FALSE,SUMPRODUCT(--ISNUMBER(SEARCH(","&amp;TRIM(TEXTSPLIT(DE124,","))&amp;",",","&amp;SUBSTITUTE(input_event_type," ","")&amp;",")))&gt;0)),IF(DG124="",TRUE,IF(input_event_type="",FALSE,SUMPRODUCT(--ISNUMBER(SEARCH(","&amp;TRIM(TEXTSPLIT(DG124,","))&amp;",",","&amp;SUBSTITUTE(input_event_type," ","")&amp;",")))=COUNTA(TEXTSPLIT(DG124,",")))))</f>
        <v/>
      </c>
      <c r="JD124" s="19">
        <f>AND(IF(DI124="",TRUE,IF(input_executive_education_focus="",FALSE,SUMPRODUCT(--ISNUMBER(SEARCH(","&amp;TRIM(TEXTSPLIT(DI124,","))&amp;",",","&amp;SUBSTITUTE(input_executive_education_focus," ","")&amp;",")))&gt;0)),IF(DK124="",TRUE,IF(input_executive_education_focus="",FALSE,SUMPRODUCT(--ISNUMBER(SEARCH(","&amp;TRIM(TEXTSPLIT(DK124,","))&amp;",",","&amp;SUBSTITUTE(input_executive_education_focus," ","")&amp;",")))=COUNTA(TEXTSPLIT(DK124,",")))),IF(DM124="",TRUE,IF(input_executive_education_focus="",TRUE,SUMPRODUCT(--ISNUMBER(SEARCH(","&amp;TRIM(TEXTSPLIT(DM124,","))&amp;",",","&amp;SUBSTITUTE(input_executive_education_focus," ","")&amp;",")))=0)),IF(DO124="",TRUE,IF(input_executive_education_focus="",FALSE,SUMPRODUCT(--ISNUMBER(SEARCH(","&amp;TRIM(TEXTSPLIT(DO124,","))&amp;",",","&amp;SUBSTITUTE(input_executive_education_focus," ","")&amp;",")))&gt;0)),IF(DQ124="",TRUE,IF(input_executive_education_focus="",FALSE,SUMPRODUCT(--ISNUMBER(SEARCH(","&amp;TRIM(TEXTSPLIT(DQ124,","))&amp;",",","&amp;SUBSTITUTE(input_executive_education_focus," ","")&amp;",")))=COUNTA(TEXTSPLIT(DQ124,",")))))</f>
        <v/>
      </c>
      <c r="JE124" s="19">
        <f>AND(IF(DS124="",TRUE,IF(input_faculty_category="",FALSE,SUMPRODUCT(--ISNUMBER(SEARCH(","&amp;TRIM(TEXTSPLIT(DS124,","))&amp;",",","&amp;SUBSTITUTE(input_faculty_category," ","")&amp;",")))&gt;0)),IF(DU124="",TRUE,IF(input_faculty_category="",FALSE,SUMPRODUCT(--ISNUMBER(SEARCH(","&amp;TRIM(TEXTSPLIT(DU124,","))&amp;",",","&amp;SUBSTITUTE(input_faculty_category," ","")&amp;",")))=COUNTA(TEXTSPLIT(DU124,",")))),IF(DW124="",TRUE,IF(input_faculty_category="",TRUE,SUMPRODUCT(--ISNUMBER(SEARCH(","&amp;TRIM(TEXTSPLIT(DW124,","))&amp;",",","&amp;SUBSTITUTE(input_faculty_category," ","")&amp;",")))=0)),IF(DY124="",TRUE,IF(input_faculty_category="",FALSE,SUMPRODUCT(--ISNUMBER(SEARCH(","&amp;TRIM(TEXTSPLIT(DY124,","))&amp;",",","&amp;SUBSTITUTE(input_faculty_category," ","")&amp;",")))&gt;0)),IF(EA124="",TRUE,IF(input_faculty_category="",FALSE,SUMPRODUCT(--ISNUMBER(SEARCH(","&amp;TRIM(TEXTSPLIT(EA124,","))&amp;",",","&amp;SUBSTITUTE(input_faculty_category," ","")&amp;",")))=COUNTA(TEXTSPLIT(EA124,",")))))</f>
        <v/>
      </c>
      <c r="JF124" s="19">
        <f>AND(IF(EC124="",TRUE,IF(input_faculty_discipline="",FALSE,SUMPRODUCT(--ISNUMBER(SEARCH(","&amp;TRIM(TEXTSPLIT(EC124,","))&amp;",",","&amp;SUBSTITUTE(input_faculty_discipline," ","")&amp;",")))&gt;0)),IF(EE124="",TRUE,IF(input_faculty_discipline="",FALSE,SUMPRODUCT(--ISNUMBER(SEARCH(","&amp;TRIM(TEXTSPLIT(EE124,","))&amp;",",","&amp;SUBSTITUTE(input_faculty_discipline," ","")&amp;",")))=COUNTA(TEXTSPLIT(EE124,",")))),IF(EG124="",TRUE,IF(input_faculty_discipline="",TRUE,SUMPRODUCT(--ISNUMBER(SEARCH(","&amp;TRIM(TEXTSPLIT(EG124,","))&amp;",",","&amp;SUBSTITUTE(input_faculty_discipline," ","")&amp;",")))=0)),IF(EI124="",TRUE,IF(input_faculty_discipline="",FALSE,SUMPRODUCT(--ISNUMBER(SEARCH(","&amp;TRIM(TEXTSPLIT(EI124,","))&amp;",",","&amp;SUBSTITUTE(input_faculty_discipline," ","")&amp;",")))&gt;0)),IF(EK124="",TRUE,IF(input_faculty_discipline="",FALSE,SUMPRODUCT(--ISNUMBER(SEARCH(","&amp;TRIM(TEXTSPLIT(EK124,","))&amp;",",","&amp;SUBSTITUTE(input_faculty_discipline," ","")&amp;",")))=COUNTA(TEXTSPLIT(EK124,",")))))</f>
        <v/>
      </c>
      <c r="JG124" s="19">
        <f>AND(IF(EM124="",TRUE,IF(input_faculty_expertise="",FALSE,SUMPRODUCT(--ISNUMBER(SEARCH(","&amp;TRIM(TEXTSPLIT(EM124,","))&amp;",",","&amp;SUBSTITUTE(input_faculty_expertise," ","")&amp;",")))&gt;0)),IF(EO124="",TRUE,IF(input_faculty_expertise="",FALSE,SUMPRODUCT(--ISNUMBER(SEARCH(","&amp;TRIM(TEXTSPLIT(EO124,","))&amp;",",","&amp;SUBSTITUTE(input_faculty_expertise," ","")&amp;",")))=COUNTA(TEXTSPLIT(EO124,",")))),IF(EQ124="",TRUE,IF(input_faculty_expertise="",TRUE,SUMPRODUCT(--ISNUMBER(SEARCH(","&amp;TRIM(TEXTSPLIT(EQ124,","))&amp;",",","&amp;SUBSTITUTE(input_faculty_expertise," ","")&amp;",")))=0)),IF(ES124="",TRUE,IF(input_faculty_expertise="",FALSE,SUMPRODUCT(--ISNUMBER(SEARCH(","&amp;TRIM(TEXTSPLIT(ES124,","))&amp;",",","&amp;SUBSTITUTE(input_faculty_expertise," ","")&amp;",")))&gt;0)),IF(EU124="",TRUE,IF(input_faculty_expertise="",FALSE,SUMPRODUCT(--ISNUMBER(SEARCH(","&amp;TRIM(TEXTSPLIT(EU124,","))&amp;",",","&amp;SUBSTITUTE(input_faculty_expertise," ","")&amp;",")))=COUNTA(TEXTSPLIT(EU124,",")))))</f>
        <v/>
      </c>
      <c r="JH124" s="19">
        <f>AND(IF(EW124="",TRUE,IF(input_global_network_school="",FALSE,SUMPRODUCT(--ISNUMBER(SEARCH(","&amp;TRIM(TEXTSPLIT(EW124,","))&amp;",",","&amp;SUBSTITUTE(input_global_network_school," ","")&amp;",")))&gt;0)),IF(EY124="",TRUE,IF(input_global_network_school="",FALSE,SUMPRODUCT(--ISNUMBER(SEARCH(","&amp;TRIM(TEXTSPLIT(EY124,","))&amp;",",","&amp;SUBSTITUTE(input_global_network_school," ","")&amp;",")))=COUNTA(TEXTSPLIT(EY124,",")))),IF(FA124="",TRUE,IF(input_global_network_school="",TRUE,SUMPRODUCT(--ISNUMBER(SEARCH(","&amp;TRIM(TEXTSPLIT(FA124,","))&amp;",",","&amp;SUBSTITUTE(input_global_network_school," ","")&amp;",")))=0)),IF(FC124="",TRUE,IF(input_global_network_school="",FALSE,SUMPRODUCT(--ISNUMBER(SEARCH(","&amp;TRIM(TEXTSPLIT(FC124,","))&amp;",",","&amp;SUBSTITUTE(input_global_network_school," ","")&amp;",")))&gt;0)),IF(FE124="",TRUE,IF(input_global_network_school="",FALSE,SUMPRODUCT(--ISNUMBER(SEARCH(","&amp;TRIM(TEXTSPLIT(FE124,","))&amp;",",","&amp;SUBSTITUTE(input_global_network_school," ","")&amp;",")))=COUNTA(TEXTSPLIT(FE124,",")))))</f>
        <v/>
      </c>
      <c r="JI124" s="19">
        <f>AND(IF(FG124="",TRUE,IF(input_industry="",FALSE,SUMPRODUCT(--ISNUMBER(SEARCH(","&amp;TRIM(TEXTSPLIT(FG124,","))&amp;",",","&amp;SUBSTITUTE(input_industry," ","")&amp;",")))&gt;0)),IF(FI124="",TRUE,IF(input_industry="",FALSE,SUMPRODUCT(--ISNUMBER(SEARCH(","&amp;TRIM(TEXTSPLIT(FI124,","))&amp;",",","&amp;SUBSTITUTE(input_industry," ","")&amp;",")))=COUNTA(TEXTSPLIT(FI124,",")))),IF(FK124="",TRUE,IF(input_industry="",TRUE,SUMPRODUCT(--ISNUMBER(SEARCH(","&amp;TRIM(TEXTSPLIT(FK124,","))&amp;",",","&amp;SUBSTITUTE(input_industry," ","")&amp;",")))=0)),IF(FM124="",TRUE,IF(input_industry="",FALSE,SUMPRODUCT(--ISNUMBER(SEARCH(","&amp;TRIM(TEXTSPLIT(FM124,","))&amp;",",","&amp;SUBSTITUTE(input_industry," ","")&amp;",")))&gt;0)),IF(FO124="",TRUE,IF(input_industry="",FALSE,SUMPRODUCT(--ISNUMBER(SEARCH(","&amp;TRIM(TEXTSPLIT(FO124,","))&amp;",",","&amp;SUBSTITUTE(input_industry," ","")&amp;",")))=COUNTA(TEXTSPLIT(FO124,",")))))</f>
        <v/>
      </c>
      <c r="JJ124" s="19">
        <f>AND(IF(FQ124="",TRUE,IF(input_location="",FALSE,SUMPRODUCT(--ISNUMBER(SEARCH(","&amp;TRIM(TEXTSPLIT(FQ124,","))&amp;",",","&amp;SUBSTITUTE(input_location," ","")&amp;",")))&gt;0)),IF(FS124="",TRUE,IF(input_location="",FALSE,SUMPRODUCT(--ISNUMBER(SEARCH(","&amp;TRIM(TEXTSPLIT(FS124,","))&amp;",",","&amp;SUBSTITUTE(input_location," ","")&amp;",")))=COUNTA(TEXTSPLIT(FS124,",")))),IF(FU124="",TRUE,IF(input_location="",TRUE,SUMPRODUCT(--ISNUMBER(SEARCH(","&amp;TRIM(TEXTSPLIT(FU124,","))&amp;",",","&amp;SUBSTITUTE(input_location," ","")&amp;",")))=0)),IF(FW124="",TRUE,IF(input_location="",FALSE,SUMPRODUCT(--ISNUMBER(SEARCH(","&amp;TRIM(TEXTSPLIT(FW124,","))&amp;",",","&amp;SUBSTITUTE(input_location," ","")&amp;",")))&gt;0)),IF(FY124="",TRUE,IF(input_location="",FALSE,SUMPRODUCT(--ISNUMBER(SEARCH(","&amp;TRIM(TEXTSPLIT(FY124,","))&amp;",",","&amp;SUBSTITUTE(input_location," ","")&amp;",")))=COUNTA(TEXTSPLIT(FY124,",")))))</f>
        <v/>
      </c>
      <c r="JK124" s="19">
        <f>AND(IF(GA124="",TRUE,IF(input_modality="",FALSE,SUMPRODUCT(--ISNUMBER(SEARCH(","&amp;TRIM(TEXTSPLIT(GA124,","))&amp;",",","&amp;SUBSTITUTE(input_modality," ","")&amp;",")))&gt;0)),IF(GC124="",TRUE,IF(input_modality="",FALSE,SUMPRODUCT(--ISNUMBER(SEARCH(","&amp;TRIM(TEXTSPLIT(GC124,","))&amp;",",","&amp;SUBSTITUTE(input_modality," ","")&amp;",")))=COUNTA(TEXTSPLIT(GC124,",")))),IF(GE124="",TRUE,IF(input_modality="",TRUE,SUMPRODUCT(--ISNUMBER(SEARCH(","&amp;TRIM(TEXTSPLIT(GE124,","))&amp;",",","&amp;SUBSTITUTE(input_modality," ","")&amp;",")))=0)),IF(GG124="",TRUE,IF(input_modality="",FALSE,SUMPRODUCT(--ISNUMBER(SEARCH(","&amp;TRIM(TEXTSPLIT(GG124,","))&amp;",",","&amp;SUBSTITUTE(input_modality," ","")&amp;",")))&gt;0)),IF(GI124="",TRUE,IF(input_modality="",FALSE,SUMPRODUCT(--ISNUMBER(SEARCH(","&amp;TRIM(TEXTSPLIT(GI124,","))&amp;",",","&amp;SUBSTITUTE(input_modality," ","")&amp;",")))=COUNTA(TEXTSPLIT(GI124,",")))))</f>
        <v/>
      </c>
      <c r="JL124" s="19">
        <f>AND(IF(GK124="",TRUE,IF(input_organizer="",FALSE,SUMPRODUCT(--ISNUMBER(SEARCH(","&amp;TRIM(TEXTSPLIT(GK124,","))&amp;",",","&amp;SUBSTITUTE(input_organizer," ","")&amp;",")))&gt;0)),IF(GM124="",TRUE,IF(input_organizer="",FALSE,SUMPRODUCT(--ISNUMBER(SEARCH(","&amp;TRIM(TEXTSPLIT(GM124,","))&amp;",",","&amp;SUBSTITUTE(input_organizer," ","")&amp;",")))=COUNTA(TEXTSPLIT(GM124,",")))),IF(GO124="",TRUE,IF(input_organizer="",TRUE,SUMPRODUCT(--ISNUMBER(SEARCH(","&amp;TRIM(TEXTSPLIT(GO124,","))&amp;",",","&amp;SUBSTITUTE(input_organizer," ","")&amp;",")))=0)),IF(GQ124="",TRUE,IF(input_organizer="",FALSE,SUMPRODUCT(--ISNUMBER(SEARCH(","&amp;TRIM(TEXTSPLIT(GQ124,","))&amp;",",","&amp;SUBSTITUTE(input_organizer," ","")&amp;",")))&gt;0)),IF(GS124="",TRUE,IF(input_organizer="",FALSE,SUMPRODUCT(--ISNUMBER(SEARCH(","&amp;TRIM(TEXTSPLIT(GS124,","))&amp;",",","&amp;SUBSTITUTE(input_organizer," ","")&amp;",")))=COUNTA(TEXTSPLIT(GS124,",")))))</f>
        <v/>
      </c>
      <c r="JM124" s="19">
        <f>AND(IF(GU124="",TRUE,IF(input_profile_type="",FALSE,SUMPRODUCT(--ISNUMBER(SEARCH(","&amp;TRIM(TEXTSPLIT(GU124,","))&amp;",",","&amp;SUBSTITUTE(input_profile_type," ","")&amp;",")))&gt;0)),IF(GW124="",TRUE,IF(input_profile_type="",FALSE,SUMPRODUCT(--ISNUMBER(SEARCH(","&amp;TRIM(TEXTSPLIT(GW124,","))&amp;",",","&amp;SUBSTITUTE(input_profile_type," ","")&amp;",")))=COUNTA(TEXTSPLIT(GW124,",")))),IF(GY124="",TRUE,IF(input_profile_type="",TRUE,SUMPRODUCT(--ISNUMBER(SEARCH(","&amp;TRIM(TEXTSPLIT(GY124,","))&amp;",",","&amp;SUBSTITUTE(input_profile_type," ","")&amp;",")))=0)),IF(HA124="",TRUE,IF(input_profile_type="",FALSE,SUMPRODUCT(--ISNUMBER(SEARCH(","&amp;TRIM(TEXTSPLIT(HA124,","))&amp;",",","&amp;SUBSTITUTE(input_profile_type," ","")&amp;",")))&gt;0)),IF(HC124="",TRUE,IF(input_profile_type="",FALSE,SUMPRODUCT(--ISNUMBER(SEARCH(","&amp;TRIM(TEXTSPLIT(HC124,","))&amp;",",","&amp;SUBSTITUTE(input_profile_type," ","")&amp;",")))=COUNTA(TEXTSPLIT(HC124,",")))))</f>
        <v/>
      </c>
      <c r="JN124" s="19">
        <f>AND(IF(HE124="",TRUE,IF(input_program="",FALSE,SUMPRODUCT(--ISNUMBER(SEARCH(","&amp;TRIM(TEXTSPLIT(HE124,","))&amp;",",","&amp;SUBSTITUTE(input_program," ","")&amp;",")))&gt;0)),IF(HG124="",TRUE,IF(input_program="",FALSE,SUMPRODUCT(--ISNUMBER(SEARCH(","&amp;TRIM(TEXTSPLIT(HG124,","))&amp;",",","&amp;SUBSTITUTE(input_program," ","")&amp;",")))=COUNTA(TEXTSPLIT(HG124,",")))),IF(HI124="",TRUE,IF(input_program="",TRUE,SUMPRODUCT(--ISNUMBER(SEARCH(","&amp;TRIM(TEXTSPLIT(HI124,","))&amp;",",","&amp;SUBSTITUTE(input_program," ","")&amp;",")))=0)),IF(HK124="",TRUE,IF(input_program="",FALSE,SUMPRODUCT(--ISNUMBER(SEARCH(","&amp;TRIM(TEXTSPLIT(HK124,","))&amp;",",","&amp;SUBSTITUTE(input_program," ","")&amp;",")))&gt;0)),IF(HM124="",TRUE,IF(input_program="",FALSE,SUMPRODUCT(--ISNUMBER(SEARCH(","&amp;TRIM(TEXTSPLIT(HM124,","))&amp;",",","&amp;SUBSTITUTE(input_program," ","")&amp;",")))=COUNTA(TEXTSPLIT(HM124,",")))))</f>
        <v/>
      </c>
      <c r="JO124" s="19">
        <f>AND(IF(HO124="",TRUE,IF(input_story_categories="",FALSE,SUMPRODUCT(--ISNUMBER(SEARCH(","&amp;TRIM(TEXTSPLIT(HO124,","))&amp;",",","&amp;SUBSTITUTE(input_story_categories," ","")&amp;",")))&gt;0)),IF(HQ124="",TRUE,IF(input_story_categories="",FALSE,SUMPRODUCT(--ISNUMBER(SEARCH(","&amp;TRIM(TEXTSPLIT(HQ124,","))&amp;",",","&amp;SUBSTITUTE(input_story_categories," ","")&amp;",")))=COUNTA(TEXTSPLIT(HQ124,",")))),IF(HS124="",TRUE,IF(input_story_categories="",TRUE,SUMPRODUCT(--ISNUMBER(SEARCH(","&amp;TRIM(TEXTSPLIT(HS124,","))&amp;",",","&amp;SUBSTITUTE(input_story_categories," ","")&amp;",")))=0)),IF(HU124="",TRUE,IF(input_story_categories="",FALSE,SUMPRODUCT(--ISNUMBER(SEARCH(","&amp;TRIM(TEXTSPLIT(HU124,","))&amp;",",","&amp;SUBSTITUTE(input_story_categories," ","")&amp;",")))&gt;0)),IF(HW124="",TRUE,IF(input_story_categories="",FALSE,SUMPRODUCT(--ISNUMBER(SEARCH(","&amp;TRIM(TEXTSPLIT(HW124,","))&amp;",",","&amp;SUBSTITUTE(input_story_categories," ","")&amp;",")))=COUNTA(TEXTSPLIT(HW124,",")))))</f>
        <v/>
      </c>
      <c r="JP124" s="19">
        <f>AND(IF(HY124="",TRUE,IF(input_story_type="",FALSE,SUMPRODUCT(--ISNUMBER(SEARCH(","&amp;TRIM(TEXTSPLIT(HY124,","))&amp;",",","&amp;SUBSTITUTE(input_story_type," ","")&amp;",")))&gt;0)),IF(IA124="",TRUE,IF(input_story_type="",FALSE,SUMPRODUCT(--ISNUMBER(SEARCH(","&amp;TRIM(TEXTSPLIT(IA124,","))&amp;",",","&amp;SUBSTITUTE(input_story_type," ","")&amp;",")))=COUNTA(TEXTSPLIT(IA124,",")))),IF(IC124="",TRUE,IF(input_story_type="",TRUE,SUMPRODUCT(--ISNUMBER(SEARCH(","&amp;TRIM(TEXTSPLIT(IC124,","))&amp;",",","&amp;SUBSTITUTE(input_story_type," ","")&amp;",")))=0)),IF(IE124="",TRUE,IF(input_story_type="",FALSE,SUMPRODUCT(--ISNUMBER(SEARCH(","&amp;TRIM(TEXTSPLIT(IE124,","))&amp;",",","&amp;SUBSTITUTE(input_story_type," ","")&amp;",")))&gt;0)),IF(IG124="",TRUE,IF(input_story_type="",FALSE,SUMPRODUCT(--ISNUMBER(SEARCH(","&amp;TRIM(TEXTSPLIT(IG124,","))&amp;",",","&amp;SUBSTITUTE(input_story_type," ","")&amp;",")))=COUNTA(TEXTSPLIT(IG124,",")))))</f>
        <v/>
      </c>
      <c r="JQ124" s="19">
        <f>AND(IF(II124="",TRUE,IF(input_topics="",FALSE,SUMPRODUCT(--ISNUMBER(SEARCH(","&amp;TRIM(TEXTSPLIT(II124,","))&amp;",",","&amp;SUBSTITUTE(input_topics," ","")&amp;",")))&gt;0)),IF(IK124="",TRUE,IF(input_topics="",FALSE,SUMPRODUCT(--ISNUMBER(SEARCH(","&amp;TRIM(TEXTSPLIT(IK124,","))&amp;",",","&amp;SUBSTITUTE(input_topics," ","")&amp;",")))=COUNTA(TEXTSPLIT(IK124,",")))),IF(IM124="",TRUE,IF(input_topics="",TRUE,SUMPRODUCT(--ISNUMBER(SEARCH(","&amp;TRIM(TEXTSPLIT(IM124,","))&amp;",",","&amp;SUBSTITUTE(input_topics," ","")&amp;",")))=0)),IF(IO124="",TRUE,IF(input_topics="",FALSE,SUMPRODUCT(--ISNUMBER(SEARCH(","&amp;TRIM(TEXTSPLIT(IO124,","))&amp;",",","&amp;SUBSTITUTE(input_topics," ","")&amp;",")))&gt;0)),IF(IQ124="",TRUE,IF(input_topics="",FALSE,SUMPRODUCT(--ISNUMBER(SEARCH(","&amp;TRIM(TEXTSPLIT(IQ124,","))&amp;",",","&amp;SUBSTITUTE(input_topics," ","")&amp;",")))=COUNTA(TEXTSPLIT(IQ124,",")))))</f>
        <v/>
      </c>
    </row>
    <row r="125">
      <c r="A125" s="24">
        <f>IF(NOT(IS125),"Excluded",IF(AND(IT125,IU125,IV125,IW125,IX125,IY125,IZ125,JA125,JB125,JC125,JD125,JE125,JF125,JG125,JH125,JI125,JJ125,JK125,JL125,JM125,JN125,JO125,JP125,JQ125),IF(I125&gt;0,"Eligible but limited","Will appear"),"Excluded"))</f>
        <v/>
      </c>
      <c r="B125" s="24" t="inlineStr">
        <is>
          <t>Master's in Asset Management Admissions Ambassadors</t>
        </is>
      </c>
      <c r="C125" s="27" t="inlineStr">
        <is>
          <t>/programs/mms-asset-management/admissions/asset-management-admissions-ambassadors</t>
        </is>
      </c>
      <c r="D125" s="24" t="inlineStr">
        <is>
          <t>/programs/mms-asset-management/admissions/asset-management-admissions-ambassadors</t>
        </is>
      </c>
      <c r="E125" s="24" t="n">
        <v>1</v>
      </c>
      <c r="F125" s="24" t="inlineStr">
        <is>
          <t>profile</t>
        </is>
      </c>
      <c r="G125" s="24" t="inlineStr">
        <is>
          <t>profiles_grid</t>
        </is>
      </c>
      <c r="H125" s="24" t="inlineStr">
        <is>
          <t>embed_7</t>
        </is>
      </c>
      <c r="I125" s="24" t="n">
        <v>9</v>
      </c>
      <c r="J125" s="28" t="inlineStr">
        <is>
          <t>Explicit args</t>
        </is>
      </c>
      <c r="K125" s="24" t="inlineStr">
        <is>
          <t>Page placement</t>
        </is>
      </c>
      <c r="L125" s="24" t="inlineStr">
        <is>
          <t>Content type: profile; Needs any Profile Type: Ambassador (1552); Context uses Program: Master’s in Asset Management (82); Limited to 9 item(s); Source: Explicit args</t>
        </is>
      </c>
      <c r="GU125" s="19" t="inlineStr">
        <is>
          <t>1552</t>
        </is>
      </c>
      <c r="GV125" s="19" t="inlineStr">
        <is>
          <t>Ambassador (1552)</t>
        </is>
      </c>
      <c r="HK125" s="19" t="inlineStr">
        <is>
          <t>82</t>
        </is>
      </c>
      <c r="HL125" s="19" t="inlineStr">
        <is>
          <t>Master’s in Asset Management (82)</t>
        </is>
      </c>
      <c r="IS125" s="19">
        <f>IF(input_content_type="",FALSE,ISNUMBER(SEARCH(","&amp;LOWER(input_content_type)&amp;",",","&amp;LOWER(SUBSTITUTE(F125," ",""))&amp;",")))</f>
        <v/>
      </c>
      <c r="IT125" s="19">
        <f>AND(IF(M125="",TRUE,IF(input_affiliations="",FALSE,SUMPRODUCT(--ISNUMBER(SEARCH(","&amp;TRIM(TEXTSPLIT(M125,","))&amp;",",","&amp;SUBSTITUTE(input_affiliations," ","")&amp;",")))&gt;0)),IF(O125="",TRUE,IF(input_affiliations="",FALSE,SUMPRODUCT(--ISNUMBER(SEARCH(","&amp;TRIM(TEXTSPLIT(O125,","))&amp;",",","&amp;SUBSTITUTE(input_affiliations," ","")&amp;",")))=COUNTA(TEXTSPLIT(O125,",")))),IF(Q125="",TRUE,IF(input_affiliations="",TRUE,SUMPRODUCT(--ISNUMBER(SEARCH(","&amp;TRIM(TEXTSPLIT(Q125,","))&amp;",",","&amp;SUBSTITUTE(input_affiliations," ","")&amp;",")))=0)),IF(S125="",TRUE,IF(input_affiliations="",FALSE,SUMPRODUCT(--ISNUMBER(SEARCH(","&amp;TRIM(TEXTSPLIT(S125,","))&amp;",",","&amp;SUBSTITUTE(input_affiliations," ","")&amp;",")))&gt;0)),IF(U125="",TRUE,IF(input_affiliations="",FALSE,SUMPRODUCT(--ISNUMBER(SEARCH(","&amp;TRIM(TEXTSPLIT(U125,","))&amp;",",","&amp;SUBSTITUTE(input_affiliations," ","")&amp;",")))=COUNTA(TEXTSPLIT(U125,",")))))</f>
        <v/>
      </c>
      <c r="IU125" s="19">
        <f>AND(IF(W125="",TRUE,IF(input_announcement_category="",FALSE,SUMPRODUCT(--ISNUMBER(SEARCH(","&amp;TRIM(TEXTSPLIT(W125,","))&amp;",",","&amp;SUBSTITUTE(input_announcement_category," ","")&amp;",")))&gt;0)),IF(Y125="",TRUE,IF(input_announcement_category="",FALSE,SUMPRODUCT(--ISNUMBER(SEARCH(","&amp;TRIM(TEXTSPLIT(Y125,","))&amp;",",","&amp;SUBSTITUTE(input_announcement_category," ","")&amp;",")))=COUNTA(TEXTSPLIT(Y125,",")))),IF(AA125="",TRUE,IF(input_announcement_category="",TRUE,SUMPRODUCT(--ISNUMBER(SEARCH(","&amp;TRIM(TEXTSPLIT(AA125,","))&amp;",",","&amp;SUBSTITUTE(input_announcement_category," ","")&amp;",")))=0)),IF(AC125="",TRUE,IF(input_announcement_category="",FALSE,SUMPRODUCT(--ISNUMBER(SEARCH(","&amp;TRIM(TEXTSPLIT(AC125,","))&amp;",",","&amp;SUBSTITUTE(input_announcement_category," ","")&amp;",")))&gt;0)),IF(AE125="",TRUE,IF(input_announcement_category="",FALSE,SUMPRODUCT(--ISNUMBER(SEARCH(","&amp;TRIM(TEXTSPLIT(AE125,","))&amp;",",","&amp;SUBSTITUTE(input_announcement_category," ","")&amp;",")))=COUNTA(TEXTSPLIT(AE125,",")))))</f>
        <v/>
      </c>
      <c r="IV125" s="19">
        <f>AND(IF(AG125="",TRUE,IF(input_area_of_focus="",FALSE,SUMPRODUCT(--ISNUMBER(SEARCH(","&amp;TRIM(TEXTSPLIT(AG125,","))&amp;",",","&amp;SUBSTITUTE(input_area_of_focus," ","")&amp;",")))&gt;0)),IF(AI125="",TRUE,IF(input_area_of_focus="",FALSE,SUMPRODUCT(--ISNUMBER(SEARCH(","&amp;TRIM(TEXTSPLIT(AI125,","))&amp;",",","&amp;SUBSTITUTE(input_area_of_focus," ","")&amp;",")))=COUNTA(TEXTSPLIT(AI125,",")))),IF(AK125="",TRUE,IF(input_area_of_focus="",TRUE,SUMPRODUCT(--ISNUMBER(SEARCH(","&amp;TRIM(TEXTSPLIT(AK125,","))&amp;",",","&amp;SUBSTITUTE(input_area_of_focus," ","")&amp;",")))=0)),IF(AM125="",TRUE,IF(input_area_of_focus="",FALSE,SUMPRODUCT(--ISNUMBER(SEARCH(","&amp;TRIM(TEXTSPLIT(AM125,","))&amp;",",","&amp;SUBSTITUTE(input_area_of_focus," ","")&amp;",")))&gt;0)),IF(AO125="",TRUE,IF(input_area_of_focus="",FALSE,SUMPRODUCT(--ISNUMBER(SEARCH(","&amp;TRIM(TEXTSPLIT(AO125,","))&amp;",",","&amp;SUBSTITUTE(input_area_of_focus," ","")&amp;",")))=COUNTA(TEXTSPLIT(AO125,",")))))</f>
        <v/>
      </c>
      <c r="IW125" s="19">
        <f>AND(IF(AQ125="",TRUE,IF(input_audience="",FALSE,SUMPRODUCT(--ISNUMBER(SEARCH(","&amp;TRIM(TEXTSPLIT(AQ125,","))&amp;",",","&amp;SUBSTITUTE(input_audience," ","")&amp;",")))&gt;0)),IF(AS125="",TRUE,IF(input_audience="",FALSE,SUMPRODUCT(--ISNUMBER(SEARCH(","&amp;TRIM(TEXTSPLIT(AS125,","))&amp;",",","&amp;SUBSTITUTE(input_audience," ","")&amp;",")))=COUNTA(TEXTSPLIT(AS125,",")))),IF(AU125="",TRUE,IF(input_audience="",TRUE,SUMPRODUCT(--ISNUMBER(SEARCH(","&amp;TRIM(TEXTSPLIT(AU125,","))&amp;",",","&amp;SUBSTITUTE(input_audience," ","")&amp;",")))=0)),IF(AW125="",TRUE,IF(input_audience="",FALSE,SUMPRODUCT(--ISNUMBER(SEARCH(","&amp;TRIM(TEXTSPLIT(AW125,","))&amp;",",","&amp;SUBSTITUTE(input_audience," ","")&amp;",")))&gt;0)),IF(AY125="",TRUE,IF(input_audience="",FALSE,SUMPRODUCT(--ISNUMBER(SEARCH(","&amp;TRIM(TEXTSPLIT(AY125,","))&amp;",",","&amp;SUBSTITUTE(input_audience," ","")&amp;",")))=COUNTA(TEXTSPLIT(AY125,",")))))</f>
        <v/>
      </c>
      <c r="IX125" s="19">
        <f>AND(IF(BA125="",TRUE,IF(input_challenge_opportunities="",FALSE,SUMPRODUCT(--ISNUMBER(SEARCH(","&amp;TRIM(TEXTSPLIT(BA125,","))&amp;",",","&amp;SUBSTITUTE(input_challenge_opportunities," ","")&amp;",")))&gt;0)),IF(BC125="",TRUE,IF(input_challenge_opportunities="",FALSE,SUMPRODUCT(--ISNUMBER(SEARCH(","&amp;TRIM(TEXTSPLIT(BC125,","))&amp;",",","&amp;SUBSTITUTE(input_challenge_opportunities," ","")&amp;",")))=COUNTA(TEXTSPLIT(BC125,",")))),IF(BE125="",TRUE,IF(input_challenge_opportunities="",TRUE,SUMPRODUCT(--ISNUMBER(SEARCH(","&amp;TRIM(TEXTSPLIT(BE125,","))&amp;",",","&amp;SUBSTITUTE(input_challenge_opportunities," ","")&amp;",")))=0)),IF(BG125="",TRUE,IF(input_challenge_opportunities="",FALSE,SUMPRODUCT(--ISNUMBER(SEARCH(","&amp;TRIM(TEXTSPLIT(BG125,","))&amp;",",","&amp;SUBSTITUTE(input_challenge_opportunities," ","")&amp;",")))&gt;0)),IF(BI125="",TRUE,IF(input_challenge_opportunities="",FALSE,SUMPRODUCT(--ISNUMBER(SEARCH(","&amp;TRIM(TEXTSPLIT(BI125,","))&amp;",",","&amp;SUBSTITUTE(input_challenge_opportunities," ","")&amp;",")))=COUNTA(TEXTSPLIT(BI125,",")))))</f>
        <v/>
      </c>
      <c r="IY125" s="19">
        <f>AND(IF(BK125="",TRUE,IF(input_context="",FALSE,SUMPRODUCT(--ISNUMBER(SEARCH(","&amp;TRIM(TEXTSPLIT(BK125,","))&amp;",",","&amp;SUBSTITUTE(input_context," ","")&amp;",")))&gt;0)),IF(BM125="",TRUE,IF(input_context="",FALSE,SUMPRODUCT(--ISNUMBER(SEARCH(","&amp;TRIM(TEXTSPLIT(BM125,","))&amp;",",","&amp;SUBSTITUTE(input_context," ","")&amp;",")))=COUNTA(TEXTSPLIT(BM125,",")))),IF(BO125="",TRUE,IF(input_context="",TRUE,SUMPRODUCT(--ISNUMBER(SEARCH(","&amp;TRIM(TEXTSPLIT(BO125,","))&amp;",",","&amp;SUBSTITUTE(input_context," ","")&amp;",")))=0)),IF(BQ125="",TRUE,IF(input_context="",FALSE,SUMPRODUCT(--ISNUMBER(SEARCH(","&amp;TRIM(TEXTSPLIT(BQ125,","))&amp;",",","&amp;SUBSTITUTE(input_context," ","")&amp;",")))&gt;0)),IF(BS125="",TRUE,IF(input_context="",FALSE,SUMPRODUCT(--ISNUMBER(SEARCH(","&amp;TRIM(TEXTSPLIT(BS125,","))&amp;",",","&amp;SUBSTITUTE(input_context," ","")&amp;",")))=COUNTA(TEXTSPLIT(BS125,",")))))</f>
        <v/>
      </c>
      <c r="IZ125" s="19">
        <f>AND(IF(BU125="",TRUE,IF(input_enews_announcement_type="",FALSE,SUMPRODUCT(--ISNUMBER(SEARCH(","&amp;TRIM(TEXTSPLIT(BU125,","))&amp;",",","&amp;SUBSTITUTE(input_enews_announcement_type," ","")&amp;",")))&gt;0)),IF(BW125="",TRUE,IF(input_enews_announcement_type="",FALSE,SUMPRODUCT(--ISNUMBER(SEARCH(","&amp;TRIM(TEXTSPLIT(BW125,","))&amp;",",","&amp;SUBSTITUTE(input_enews_announcement_type," ","")&amp;",")))=COUNTA(TEXTSPLIT(BW125,",")))),IF(BY125="",TRUE,IF(input_enews_announcement_type="",TRUE,SUMPRODUCT(--ISNUMBER(SEARCH(","&amp;TRIM(TEXTSPLIT(BY125,","))&amp;",",","&amp;SUBSTITUTE(input_enews_announcement_type," ","")&amp;",")))=0)),IF(CA125="",TRUE,IF(input_enews_announcement_type="",FALSE,SUMPRODUCT(--ISNUMBER(SEARCH(","&amp;TRIM(TEXTSPLIT(CA125,","))&amp;",",","&amp;SUBSTITUTE(input_enews_announcement_type," ","")&amp;",")))&gt;0)),IF(CC125="",TRUE,IF(input_enews_announcement_type="",FALSE,SUMPRODUCT(--ISNUMBER(SEARCH(","&amp;TRIM(TEXTSPLIT(CC125,","))&amp;",",","&amp;SUBSTITUTE(input_enews_announcement_type," ","")&amp;",")))=COUNTA(TEXTSPLIT(CC125,",")))))</f>
        <v/>
      </c>
      <c r="JA125" s="19">
        <f>AND(IF(CE125="",TRUE,IF(input_enews_audience="",FALSE,SUMPRODUCT(--ISNUMBER(SEARCH(","&amp;TRIM(TEXTSPLIT(CE125,","))&amp;",",","&amp;SUBSTITUTE(input_enews_audience," ","")&amp;",")))&gt;0)),IF(CG125="",TRUE,IF(input_enews_audience="",FALSE,SUMPRODUCT(--ISNUMBER(SEARCH(","&amp;TRIM(TEXTSPLIT(CG125,","))&amp;",",","&amp;SUBSTITUTE(input_enews_audience," ","")&amp;",")))=COUNTA(TEXTSPLIT(CG125,",")))),IF(CI125="",TRUE,IF(input_enews_audience="",TRUE,SUMPRODUCT(--ISNUMBER(SEARCH(","&amp;TRIM(TEXTSPLIT(CI125,","))&amp;",",","&amp;SUBSTITUTE(input_enews_audience," ","")&amp;",")))=0)),IF(CK125="",TRUE,IF(input_enews_audience="",FALSE,SUMPRODUCT(--ISNUMBER(SEARCH(","&amp;TRIM(TEXTSPLIT(CK125,","))&amp;",",","&amp;SUBSTITUTE(input_enews_audience," ","")&amp;",")))&gt;0)),IF(CM125="",TRUE,IF(input_enews_audience="",FALSE,SUMPRODUCT(--ISNUMBER(SEARCH(","&amp;TRIM(TEXTSPLIT(CM125,","))&amp;",",","&amp;SUBSTITUTE(input_enews_audience," ","")&amp;",")))=COUNTA(TEXTSPLIT(CM125,",")))))</f>
        <v/>
      </c>
      <c r="JB125" s="19">
        <f>AND(IF(CO125="",TRUE,IF(input_event_location="",FALSE,SUMPRODUCT(--ISNUMBER(SEARCH(","&amp;TRIM(TEXTSPLIT(CO125,","))&amp;",",","&amp;SUBSTITUTE(input_event_location," ","")&amp;",")))&gt;0)),IF(CQ125="",TRUE,IF(input_event_location="",FALSE,SUMPRODUCT(--ISNUMBER(SEARCH(","&amp;TRIM(TEXTSPLIT(CQ125,","))&amp;",",","&amp;SUBSTITUTE(input_event_location," ","")&amp;",")))=COUNTA(TEXTSPLIT(CQ125,",")))),IF(CS125="",TRUE,IF(input_event_location="",TRUE,SUMPRODUCT(--ISNUMBER(SEARCH(","&amp;TRIM(TEXTSPLIT(CS125,","))&amp;",",","&amp;SUBSTITUTE(input_event_location," ","")&amp;",")))=0)),IF(CU125="",TRUE,IF(input_event_location="",FALSE,SUMPRODUCT(--ISNUMBER(SEARCH(","&amp;TRIM(TEXTSPLIT(CU125,","))&amp;",",","&amp;SUBSTITUTE(input_event_location," ","")&amp;",")))&gt;0)),IF(CW125="",TRUE,IF(input_event_location="",FALSE,SUMPRODUCT(--ISNUMBER(SEARCH(","&amp;TRIM(TEXTSPLIT(CW125,","))&amp;",",","&amp;SUBSTITUTE(input_event_location," ","")&amp;",")))=COUNTA(TEXTSPLIT(CW125,",")))))</f>
        <v/>
      </c>
      <c r="JC125" s="19">
        <f>AND(IF(CY125="",TRUE,IF(input_event_type="",FALSE,SUMPRODUCT(--ISNUMBER(SEARCH(","&amp;TRIM(TEXTSPLIT(CY125,","))&amp;",",","&amp;SUBSTITUTE(input_event_type," ","")&amp;",")))&gt;0)),IF(DA125="",TRUE,IF(input_event_type="",FALSE,SUMPRODUCT(--ISNUMBER(SEARCH(","&amp;TRIM(TEXTSPLIT(DA125,","))&amp;",",","&amp;SUBSTITUTE(input_event_type," ","")&amp;",")))=COUNTA(TEXTSPLIT(DA125,",")))),IF(DC125="",TRUE,IF(input_event_type="",TRUE,SUMPRODUCT(--ISNUMBER(SEARCH(","&amp;TRIM(TEXTSPLIT(DC125,","))&amp;",",","&amp;SUBSTITUTE(input_event_type," ","")&amp;",")))=0)),IF(DE125="",TRUE,IF(input_event_type="",FALSE,SUMPRODUCT(--ISNUMBER(SEARCH(","&amp;TRIM(TEXTSPLIT(DE125,","))&amp;",",","&amp;SUBSTITUTE(input_event_type," ","")&amp;",")))&gt;0)),IF(DG125="",TRUE,IF(input_event_type="",FALSE,SUMPRODUCT(--ISNUMBER(SEARCH(","&amp;TRIM(TEXTSPLIT(DG125,","))&amp;",",","&amp;SUBSTITUTE(input_event_type," ","")&amp;",")))=COUNTA(TEXTSPLIT(DG125,",")))))</f>
        <v/>
      </c>
      <c r="JD125" s="19">
        <f>AND(IF(DI125="",TRUE,IF(input_executive_education_focus="",FALSE,SUMPRODUCT(--ISNUMBER(SEARCH(","&amp;TRIM(TEXTSPLIT(DI125,","))&amp;",",","&amp;SUBSTITUTE(input_executive_education_focus," ","")&amp;",")))&gt;0)),IF(DK125="",TRUE,IF(input_executive_education_focus="",FALSE,SUMPRODUCT(--ISNUMBER(SEARCH(","&amp;TRIM(TEXTSPLIT(DK125,","))&amp;",",","&amp;SUBSTITUTE(input_executive_education_focus," ","")&amp;",")))=COUNTA(TEXTSPLIT(DK125,",")))),IF(DM125="",TRUE,IF(input_executive_education_focus="",TRUE,SUMPRODUCT(--ISNUMBER(SEARCH(","&amp;TRIM(TEXTSPLIT(DM125,","))&amp;",",","&amp;SUBSTITUTE(input_executive_education_focus," ","")&amp;",")))=0)),IF(DO125="",TRUE,IF(input_executive_education_focus="",FALSE,SUMPRODUCT(--ISNUMBER(SEARCH(","&amp;TRIM(TEXTSPLIT(DO125,","))&amp;",",","&amp;SUBSTITUTE(input_executive_education_focus," ","")&amp;",")))&gt;0)),IF(DQ125="",TRUE,IF(input_executive_education_focus="",FALSE,SUMPRODUCT(--ISNUMBER(SEARCH(","&amp;TRIM(TEXTSPLIT(DQ125,","))&amp;",",","&amp;SUBSTITUTE(input_executive_education_focus," ","")&amp;",")))=COUNTA(TEXTSPLIT(DQ125,",")))))</f>
        <v/>
      </c>
      <c r="JE125" s="19">
        <f>AND(IF(DS125="",TRUE,IF(input_faculty_category="",FALSE,SUMPRODUCT(--ISNUMBER(SEARCH(","&amp;TRIM(TEXTSPLIT(DS125,","))&amp;",",","&amp;SUBSTITUTE(input_faculty_category," ","")&amp;",")))&gt;0)),IF(DU125="",TRUE,IF(input_faculty_category="",FALSE,SUMPRODUCT(--ISNUMBER(SEARCH(","&amp;TRIM(TEXTSPLIT(DU125,","))&amp;",",","&amp;SUBSTITUTE(input_faculty_category," ","")&amp;",")))=COUNTA(TEXTSPLIT(DU125,",")))),IF(DW125="",TRUE,IF(input_faculty_category="",TRUE,SUMPRODUCT(--ISNUMBER(SEARCH(","&amp;TRIM(TEXTSPLIT(DW125,","))&amp;",",","&amp;SUBSTITUTE(input_faculty_category," ","")&amp;",")))=0)),IF(DY125="",TRUE,IF(input_faculty_category="",FALSE,SUMPRODUCT(--ISNUMBER(SEARCH(","&amp;TRIM(TEXTSPLIT(DY125,","))&amp;",",","&amp;SUBSTITUTE(input_faculty_category," ","")&amp;",")))&gt;0)),IF(EA125="",TRUE,IF(input_faculty_category="",FALSE,SUMPRODUCT(--ISNUMBER(SEARCH(","&amp;TRIM(TEXTSPLIT(EA125,","))&amp;",",","&amp;SUBSTITUTE(input_faculty_category," ","")&amp;",")))=COUNTA(TEXTSPLIT(EA125,",")))))</f>
        <v/>
      </c>
      <c r="JF125" s="19">
        <f>AND(IF(EC125="",TRUE,IF(input_faculty_discipline="",FALSE,SUMPRODUCT(--ISNUMBER(SEARCH(","&amp;TRIM(TEXTSPLIT(EC125,","))&amp;",",","&amp;SUBSTITUTE(input_faculty_discipline," ","")&amp;",")))&gt;0)),IF(EE125="",TRUE,IF(input_faculty_discipline="",FALSE,SUMPRODUCT(--ISNUMBER(SEARCH(","&amp;TRIM(TEXTSPLIT(EE125,","))&amp;",",","&amp;SUBSTITUTE(input_faculty_discipline," ","")&amp;",")))=COUNTA(TEXTSPLIT(EE125,",")))),IF(EG125="",TRUE,IF(input_faculty_discipline="",TRUE,SUMPRODUCT(--ISNUMBER(SEARCH(","&amp;TRIM(TEXTSPLIT(EG125,","))&amp;",",","&amp;SUBSTITUTE(input_faculty_discipline," ","")&amp;",")))=0)),IF(EI125="",TRUE,IF(input_faculty_discipline="",FALSE,SUMPRODUCT(--ISNUMBER(SEARCH(","&amp;TRIM(TEXTSPLIT(EI125,","))&amp;",",","&amp;SUBSTITUTE(input_faculty_discipline," ","")&amp;",")))&gt;0)),IF(EK125="",TRUE,IF(input_faculty_discipline="",FALSE,SUMPRODUCT(--ISNUMBER(SEARCH(","&amp;TRIM(TEXTSPLIT(EK125,","))&amp;",",","&amp;SUBSTITUTE(input_faculty_discipline," ","")&amp;",")))=COUNTA(TEXTSPLIT(EK125,",")))))</f>
        <v/>
      </c>
      <c r="JG125" s="19">
        <f>AND(IF(EM125="",TRUE,IF(input_faculty_expertise="",FALSE,SUMPRODUCT(--ISNUMBER(SEARCH(","&amp;TRIM(TEXTSPLIT(EM125,","))&amp;",",","&amp;SUBSTITUTE(input_faculty_expertise," ","")&amp;",")))&gt;0)),IF(EO125="",TRUE,IF(input_faculty_expertise="",FALSE,SUMPRODUCT(--ISNUMBER(SEARCH(","&amp;TRIM(TEXTSPLIT(EO125,","))&amp;",",","&amp;SUBSTITUTE(input_faculty_expertise," ","")&amp;",")))=COUNTA(TEXTSPLIT(EO125,",")))),IF(EQ125="",TRUE,IF(input_faculty_expertise="",TRUE,SUMPRODUCT(--ISNUMBER(SEARCH(","&amp;TRIM(TEXTSPLIT(EQ125,","))&amp;",",","&amp;SUBSTITUTE(input_faculty_expertise," ","")&amp;",")))=0)),IF(ES125="",TRUE,IF(input_faculty_expertise="",FALSE,SUMPRODUCT(--ISNUMBER(SEARCH(","&amp;TRIM(TEXTSPLIT(ES125,","))&amp;",",","&amp;SUBSTITUTE(input_faculty_expertise," ","")&amp;",")))&gt;0)),IF(EU125="",TRUE,IF(input_faculty_expertise="",FALSE,SUMPRODUCT(--ISNUMBER(SEARCH(","&amp;TRIM(TEXTSPLIT(EU125,","))&amp;",",","&amp;SUBSTITUTE(input_faculty_expertise," ","")&amp;",")))=COUNTA(TEXTSPLIT(EU125,",")))))</f>
        <v/>
      </c>
      <c r="JH125" s="19">
        <f>AND(IF(EW125="",TRUE,IF(input_global_network_school="",FALSE,SUMPRODUCT(--ISNUMBER(SEARCH(","&amp;TRIM(TEXTSPLIT(EW125,","))&amp;",",","&amp;SUBSTITUTE(input_global_network_school," ","")&amp;",")))&gt;0)),IF(EY125="",TRUE,IF(input_global_network_school="",FALSE,SUMPRODUCT(--ISNUMBER(SEARCH(","&amp;TRIM(TEXTSPLIT(EY125,","))&amp;",",","&amp;SUBSTITUTE(input_global_network_school," ","")&amp;",")))=COUNTA(TEXTSPLIT(EY125,",")))),IF(FA125="",TRUE,IF(input_global_network_school="",TRUE,SUMPRODUCT(--ISNUMBER(SEARCH(","&amp;TRIM(TEXTSPLIT(FA125,","))&amp;",",","&amp;SUBSTITUTE(input_global_network_school," ","")&amp;",")))=0)),IF(FC125="",TRUE,IF(input_global_network_school="",FALSE,SUMPRODUCT(--ISNUMBER(SEARCH(","&amp;TRIM(TEXTSPLIT(FC125,","))&amp;",",","&amp;SUBSTITUTE(input_global_network_school," ","")&amp;",")))&gt;0)),IF(FE125="",TRUE,IF(input_global_network_school="",FALSE,SUMPRODUCT(--ISNUMBER(SEARCH(","&amp;TRIM(TEXTSPLIT(FE125,","))&amp;",",","&amp;SUBSTITUTE(input_global_network_school," ","")&amp;",")))=COUNTA(TEXTSPLIT(FE125,",")))))</f>
        <v/>
      </c>
      <c r="JI125" s="19">
        <f>AND(IF(FG125="",TRUE,IF(input_industry="",FALSE,SUMPRODUCT(--ISNUMBER(SEARCH(","&amp;TRIM(TEXTSPLIT(FG125,","))&amp;",",","&amp;SUBSTITUTE(input_industry," ","")&amp;",")))&gt;0)),IF(FI125="",TRUE,IF(input_industry="",FALSE,SUMPRODUCT(--ISNUMBER(SEARCH(","&amp;TRIM(TEXTSPLIT(FI125,","))&amp;",",","&amp;SUBSTITUTE(input_industry," ","")&amp;",")))=COUNTA(TEXTSPLIT(FI125,",")))),IF(FK125="",TRUE,IF(input_industry="",TRUE,SUMPRODUCT(--ISNUMBER(SEARCH(","&amp;TRIM(TEXTSPLIT(FK125,","))&amp;",",","&amp;SUBSTITUTE(input_industry," ","")&amp;",")))=0)),IF(FM125="",TRUE,IF(input_industry="",FALSE,SUMPRODUCT(--ISNUMBER(SEARCH(","&amp;TRIM(TEXTSPLIT(FM125,","))&amp;",",","&amp;SUBSTITUTE(input_industry," ","")&amp;",")))&gt;0)),IF(FO125="",TRUE,IF(input_industry="",FALSE,SUMPRODUCT(--ISNUMBER(SEARCH(","&amp;TRIM(TEXTSPLIT(FO125,","))&amp;",",","&amp;SUBSTITUTE(input_industry," ","")&amp;",")))=COUNTA(TEXTSPLIT(FO125,",")))))</f>
        <v/>
      </c>
      <c r="JJ125" s="19">
        <f>AND(IF(FQ125="",TRUE,IF(input_location="",FALSE,SUMPRODUCT(--ISNUMBER(SEARCH(","&amp;TRIM(TEXTSPLIT(FQ125,","))&amp;",",","&amp;SUBSTITUTE(input_location," ","")&amp;",")))&gt;0)),IF(FS125="",TRUE,IF(input_location="",FALSE,SUMPRODUCT(--ISNUMBER(SEARCH(","&amp;TRIM(TEXTSPLIT(FS125,","))&amp;",",","&amp;SUBSTITUTE(input_location," ","")&amp;",")))=COUNTA(TEXTSPLIT(FS125,",")))),IF(FU125="",TRUE,IF(input_location="",TRUE,SUMPRODUCT(--ISNUMBER(SEARCH(","&amp;TRIM(TEXTSPLIT(FU125,","))&amp;",",","&amp;SUBSTITUTE(input_location," ","")&amp;",")))=0)),IF(FW125="",TRUE,IF(input_location="",FALSE,SUMPRODUCT(--ISNUMBER(SEARCH(","&amp;TRIM(TEXTSPLIT(FW125,","))&amp;",",","&amp;SUBSTITUTE(input_location," ","")&amp;",")))&gt;0)),IF(FY125="",TRUE,IF(input_location="",FALSE,SUMPRODUCT(--ISNUMBER(SEARCH(","&amp;TRIM(TEXTSPLIT(FY125,","))&amp;",",","&amp;SUBSTITUTE(input_location," ","")&amp;",")))=COUNTA(TEXTSPLIT(FY125,",")))))</f>
        <v/>
      </c>
      <c r="JK125" s="19">
        <f>AND(IF(GA125="",TRUE,IF(input_modality="",FALSE,SUMPRODUCT(--ISNUMBER(SEARCH(","&amp;TRIM(TEXTSPLIT(GA125,","))&amp;",",","&amp;SUBSTITUTE(input_modality," ","")&amp;",")))&gt;0)),IF(GC125="",TRUE,IF(input_modality="",FALSE,SUMPRODUCT(--ISNUMBER(SEARCH(","&amp;TRIM(TEXTSPLIT(GC125,","))&amp;",",","&amp;SUBSTITUTE(input_modality," ","")&amp;",")))=COUNTA(TEXTSPLIT(GC125,",")))),IF(GE125="",TRUE,IF(input_modality="",TRUE,SUMPRODUCT(--ISNUMBER(SEARCH(","&amp;TRIM(TEXTSPLIT(GE125,","))&amp;",",","&amp;SUBSTITUTE(input_modality," ","")&amp;",")))=0)),IF(GG125="",TRUE,IF(input_modality="",FALSE,SUMPRODUCT(--ISNUMBER(SEARCH(","&amp;TRIM(TEXTSPLIT(GG125,","))&amp;",",","&amp;SUBSTITUTE(input_modality," ","")&amp;",")))&gt;0)),IF(GI125="",TRUE,IF(input_modality="",FALSE,SUMPRODUCT(--ISNUMBER(SEARCH(","&amp;TRIM(TEXTSPLIT(GI125,","))&amp;",",","&amp;SUBSTITUTE(input_modality," ","")&amp;",")))=COUNTA(TEXTSPLIT(GI125,",")))))</f>
        <v/>
      </c>
      <c r="JL125" s="19">
        <f>AND(IF(GK125="",TRUE,IF(input_organizer="",FALSE,SUMPRODUCT(--ISNUMBER(SEARCH(","&amp;TRIM(TEXTSPLIT(GK125,","))&amp;",",","&amp;SUBSTITUTE(input_organizer," ","")&amp;",")))&gt;0)),IF(GM125="",TRUE,IF(input_organizer="",FALSE,SUMPRODUCT(--ISNUMBER(SEARCH(","&amp;TRIM(TEXTSPLIT(GM125,","))&amp;",",","&amp;SUBSTITUTE(input_organizer," ","")&amp;",")))=COUNTA(TEXTSPLIT(GM125,",")))),IF(GO125="",TRUE,IF(input_organizer="",TRUE,SUMPRODUCT(--ISNUMBER(SEARCH(","&amp;TRIM(TEXTSPLIT(GO125,","))&amp;",",","&amp;SUBSTITUTE(input_organizer," ","")&amp;",")))=0)),IF(GQ125="",TRUE,IF(input_organizer="",FALSE,SUMPRODUCT(--ISNUMBER(SEARCH(","&amp;TRIM(TEXTSPLIT(GQ125,","))&amp;",",","&amp;SUBSTITUTE(input_organizer," ","")&amp;",")))&gt;0)),IF(GS125="",TRUE,IF(input_organizer="",FALSE,SUMPRODUCT(--ISNUMBER(SEARCH(","&amp;TRIM(TEXTSPLIT(GS125,","))&amp;",",","&amp;SUBSTITUTE(input_organizer," ","")&amp;",")))=COUNTA(TEXTSPLIT(GS125,",")))))</f>
        <v/>
      </c>
      <c r="JM125" s="19">
        <f>AND(IF(GU125="",TRUE,IF(input_profile_type="",FALSE,SUMPRODUCT(--ISNUMBER(SEARCH(","&amp;TRIM(TEXTSPLIT(GU125,","))&amp;",",","&amp;SUBSTITUTE(input_profile_type," ","")&amp;",")))&gt;0)),IF(GW125="",TRUE,IF(input_profile_type="",FALSE,SUMPRODUCT(--ISNUMBER(SEARCH(","&amp;TRIM(TEXTSPLIT(GW125,","))&amp;",",","&amp;SUBSTITUTE(input_profile_type," ","")&amp;",")))=COUNTA(TEXTSPLIT(GW125,",")))),IF(GY125="",TRUE,IF(input_profile_type="",TRUE,SUMPRODUCT(--ISNUMBER(SEARCH(","&amp;TRIM(TEXTSPLIT(GY125,","))&amp;",",","&amp;SUBSTITUTE(input_profile_type," ","")&amp;",")))=0)),IF(HA125="",TRUE,IF(input_profile_type="",FALSE,SUMPRODUCT(--ISNUMBER(SEARCH(","&amp;TRIM(TEXTSPLIT(HA125,","))&amp;",",","&amp;SUBSTITUTE(input_profile_type," ","")&amp;",")))&gt;0)),IF(HC125="",TRUE,IF(input_profile_type="",FALSE,SUMPRODUCT(--ISNUMBER(SEARCH(","&amp;TRIM(TEXTSPLIT(HC125,","))&amp;",",","&amp;SUBSTITUTE(input_profile_type," ","")&amp;",")))=COUNTA(TEXTSPLIT(HC125,",")))))</f>
        <v/>
      </c>
      <c r="JN125" s="19">
        <f>AND(IF(HE125="",TRUE,IF(input_program="",FALSE,SUMPRODUCT(--ISNUMBER(SEARCH(","&amp;TRIM(TEXTSPLIT(HE125,","))&amp;",",","&amp;SUBSTITUTE(input_program," ","")&amp;",")))&gt;0)),IF(HG125="",TRUE,IF(input_program="",FALSE,SUMPRODUCT(--ISNUMBER(SEARCH(","&amp;TRIM(TEXTSPLIT(HG125,","))&amp;",",","&amp;SUBSTITUTE(input_program," ","")&amp;",")))=COUNTA(TEXTSPLIT(HG125,",")))),IF(HI125="",TRUE,IF(input_program="",TRUE,SUMPRODUCT(--ISNUMBER(SEARCH(","&amp;TRIM(TEXTSPLIT(HI125,","))&amp;",",","&amp;SUBSTITUTE(input_program," ","")&amp;",")))=0)),IF(HK125="",TRUE,IF(input_program="",FALSE,SUMPRODUCT(--ISNUMBER(SEARCH(","&amp;TRIM(TEXTSPLIT(HK125,","))&amp;",",","&amp;SUBSTITUTE(input_program," ","")&amp;",")))&gt;0)),IF(HM125="",TRUE,IF(input_program="",FALSE,SUMPRODUCT(--ISNUMBER(SEARCH(","&amp;TRIM(TEXTSPLIT(HM125,","))&amp;",",","&amp;SUBSTITUTE(input_program," ","")&amp;",")))=COUNTA(TEXTSPLIT(HM125,",")))))</f>
        <v/>
      </c>
      <c r="JO125" s="19">
        <f>AND(IF(HO125="",TRUE,IF(input_story_categories="",FALSE,SUMPRODUCT(--ISNUMBER(SEARCH(","&amp;TRIM(TEXTSPLIT(HO125,","))&amp;",",","&amp;SUBSTITUTE(input_story_categories," ","")&amp;",")))&gt;0)),IF(HQ125="",TRUE,IF(input_story_categories="",FALSE,SUMPRODUCT(--ISNUMBER(SEARCH(","&amp;TRIM(TEXTSPLIT(HQ125,","))&amp;",",","&amp;SUBSTITUTE(input_story_categories," ","")&amp;",")))=COUNTA(TEXTSPLIT(HQ125,",")))),IF(HS125="",TRUE,IF(input_story_categories="",TRUE,SUMPRODUCT(--ISNUMBER(SEARCH(","&amp;TRIM(TEXTSPLIT(HS125,","))&amp;",",","&amp;SUBSTITUTE(input_story_categories," ","")&amp;",")))=0)),IF(HU125="",TRUE,IF(input_story_categories="",FALSE,SUMPRODUCT(--ISNUMBER(SEARCH(","&amp;TRIM(TEXTSPLIT(HU125,","))&amp;",",","&amp;SUBSTITUTE(input_story_categories," ","")&amp;",")))&gt;0)),IF(HW125="",TRUE,IF(input_story_categories="",FALSE,SUMPRODUCT(--ISNUMBER(SEARCH(","&amp;TRIM(TEXTSPLIT(HW125,","))&amp;",",","&amp;SUBSTITUTE(input_story_categories," ","")&amp;",")))=COUNTA(TEXTSPLIT(HW125,",")))))</f>
        <v/>
      </c>
      <c r="JP125" s="19">
        <f>AND(IF(HY125="",TRUE,IF(input_story_type="",FALSE,SUMPRODUCT(--ISNUMBER(SEARCH(","&amp;TRIM(TEXTSPLIT(HY125,","))&amp;",",","&amp;SUBSTITUTE(input_story_type," ","")&amp;",")))&gt;0)),IF(IA125="",TRUE,IF(input_story_type="",FALSE,SUMPRODUCT(--ISNUMBER(SEARCH(","&amp;TRIM(TEXTSPLIT(IA125,","))&amp;",",","&amp;SUBSTITUTE(input_story_type," ","")&amp;",")))=COUNTA(TEXTSPLIT(IA125,",")))),IF(IC125="",TRUE,IF(input_story_type="",TRUE,SUMPRODUCT(--ISNUMBER(SEARCH(","&amp;TRIM(TEXTSPLIT(IC125,","))&amp;",",","&amp;SUBSTITUTE(input_story_type," ","")&amp;",")))=0)),IF(IE125="",TRUE,IF(input_story_type="",FALSE,SUMPRODUCT(--ISNUMBER(SEARCH(","&amp;TRIM(TEXTSPLIT(IE125,","))&amp;",",","&amp;SUBSTITUTE(input_story_type," ","")&amp;",")))&gt;0)),IF(IG125="",TRUE,IF(input_story_type="",FALSE,SUMPRODUCT(--ISNUMBER(SEARCH(","&amp;TRIM(TEXTSPLIT(IG125,","))&amp;",",","&amp;SUBSTITUTE(input_story_type," ","")&amp;",")))=COUNTA(TEXTSPLIT(IG125,",")))))</f>
        <v/>
      </c>
      <c r="JQ125" s="19">
        <f>AND(IF(II125="",TRUE,IF(input_topics="",FALSE,SUMPRODUCT(--ISNUMBER(SEARCH(","&amp;TRIM(TEXTSPLIT(II125,","))&amp;",",","&amp;SUBSTITUTE(input_topics," ","")&amp;",")))&gt;0)),IF(IK125="",TRUE,IF(input_topics="",FALSE,SUMPRODUCT(--ISNUMBER(SEARCH(","&amp;TRIM(TEXTSPLIT(IK125,","))&amp;",",","&amp;SUBSTITUTE(input_topics," ","")&amp;",")))=COUNTA(TEXTSPLIT(IK125,",")))),IF(IM125="",TRUE,IF(input_topics="",TRUE,SUMPRODUCT(--ISNUMBER(SEARCH(","&amp;TRIM(TEXTSPLIT(IM125,","))&amp;",",","&amp;SUBSTITUTE(input_topics," ","")&amp;",")))=0)),IF(IO125="",TRUE,IF(input_topics="",FALSE,SUMPRODUCT(--ISNUMBER(SEARCH(","&amp;TRIM(TEXTSPLIT(IO125,","))&amp;",",","&amp;SUBSTITUTE(input_topics," ","")&amp;",")))&gt;0)),IF(IQ125="",TRUE,IF(input_topics="",FALSE,SUMPRODUCT(--ISNUMBER(SEARCH(","&amp;TRIM(TEXTSPLIT(IQ125,","))&amp;",",","&amp;SUBSTITUTE(input_topics," ","")&amp;",")))=COUNTA(TEXTSPLIT(IQ125,",")))))</f>
        <v/>
      </c>
    </row>
    <row r="126">
      <c r="A126" s="24">
        <f>IF(NOT(IS126),"Excluded",IF(AND(IT126,IU126,IV126,IW126,IX126,IY126,IZ126,JA126,JB126,JC126,JD126,JE126,JF126,JG126,JH126,JI126,JJ126,JK126,JL126,JM126,JN126,JO126,JP126,JQ126),IF(I126&gt;0,"Eligible but limited","Will appear"),"Excluded"))</f>
        <v/>
      </c>
      <c r="B126" s="24" t="inlineStr">
        <is>
          <t>Master’s in Asset Management Blog &amp; News</t>
        </is>
      </c>
      <c r="C126" s="27" t="inlineStr">
        <is>
          <t>/programs/mms-asset-management/blog-news</t>
        </is>
      </c>
      <c r="D126" s="24" t="inlineStr">
        <is>
          <t>/programs/mms-asset-management/blog-news</t>
        </is>
      </c>
      <c r="E126" s="24" t="n">
        <v>1</v>
      </c>
      <c r="F126" s="24" t="inlineStr">
        <is>
          <t>story</t>
        </is>
      </c>
      <c r="G126" s="24" t="inlineStr">
        <is>
          <t>stories_list</t>
        </is>
      </c>
      <c r="H126" s="24" t="inlineStr">
        <is>
          <t>embed_1</t>
        </is>
      </c>
      <c r="I126" s="24" t="n">
        <v>10</v>
      </c>
      <c r="J126" s="28" t="inlineStr">
        <is>
          <t>Explicit args</t>
        </is>
      </c>
      <c r="K126" s="24" t="inlineStr">
        <is>
          <t>Page placement</t>
        </is>
      </c>
      <c r="L126" s="24" t="inlineStr">
        <is>
          <t>Content type: story; Context uses Courses Context: Master's Degree in Asset Management (930), Residential master's programs (1571), Programs (94); Limited to 10 item(s); Source: Explicit args</t>
        </is>
      </c>
      <c r="BQ126" s="19" t="inlineStr">
        <is>
          <t>930, 1571, 94</t>
        </is>
      </c>
      <c r="BR126" s="19" t="inlineStr">
        <is>
          <t>Master's Degree in Asset Management (930), Residential master's programs (1571), Programs (94)</t>
        </is>
      </c>
      <c r="IS126" s="19">
        <f>IF(input_content_type="",FALSE,ISNUMBER(SEARCH(","&amp;LOWER(input_content_type)&amp;",",","&amp;LOWER(SUBSTITUTE(F126," ",""))&amp;",")))</f>
        <v/>
      </c>
      <c r="IT126" s="19">
        <f>AND(IF(M126="",TRUE,IF(input_affiliations="",FALSE,SUMPRODUCT(--ISNUMBER(SEARCH(","&amp;TRIM(TEXTSPLIT(M126,","))&amp;",",","&amp;SUBSTITUTE(input_affiliations," ","")&amp;",")))&gt;0)),IF(O126="",TRUE,IF(input_affiliations="",FALSE,SUMPRODUCT(--ISNUMBER(SEARCH(","&amp;TRIM(TEXTSPLIT(O126,","))&amp;",",","&amp;SUBSTITUTE(input_affiliations," ","")&amp;",")))=COUNTA(TEXTSPLIT(O126,",")))),IF(Q126="",TRUE,IF(input_affiliations="",TRUE,SUMPRODUCT(--ISNUMBER(SEARCH(","&amp;TRIM(TEXTSPLIT(Q126,","))&amp;",",","&amp;SUBSTITUTE(input_affiliations," ","")&amp;",")))=0)),IF(S126="",TRUE,IF(input_affiliations="",FALSE,SUMPRODUCT(--ISNUMBER(SEARCH(","&amp;TRIM(TEXTSPLIT(S126,","))&amp;",",","&amp;SUBSTITUTE(input_affiliations," ","")&amp;",")))&gt;0)),IF(U126="",TRUE,IF(input_affiliations="",FALSE,SUMPRODUCT(--ISNUMBER(SEARCH(","&amp;TRIM(TEXTSPLIT(U126,","))&amp;",",","&amp;SUBSTITUTE(input_affiliations," ","")&amp;",")))=COUNTA(TEXTSPLIT(U126,",")))))</f>
        <v/>
      </c>
      <c r="IU126" s="19">
        <f>AND(IF(W126="",TRUE,IF(input_announcement_category="",FALSE,SUMPRODUCT(--ISNUMBER(SEARCH(","&amp;TRIM(TEXTSPLIT(W126,","))&amp;",",","&amp;SUBSTITUTE(input_announcement_category," ","")&amp;",")))&gt;0)),IF(Y126="",TRUE,IF(input_announcement_category="",FALSE,SUMPRODUCT(--ISNUMBER(SEARCH(","&amp;TRIM(TEXTSPLIT(Y126,","))&amp;",",","&amp;SUBSTITUTE(input_announcement_category," ","")&amp;",")))=COUNTA(TEXTSPLIT(Y126,",")))),IF(AA126="",TRUE,IF(input_announcement_category="",TRUE,SUMPRODUCT(--ISNUMBER(SEARCH(","&amp;TRIM(TEXTSPLIT(AA126,","))&amp;",",","&amp;SUBSTITUTE(input_announcement_category," ","")&amp;",")))=0)),IF(AC126="",TRUE,IF(input_announcement_category="",FALSE,SUMPRODUCT(--ISNUMBER(SEARCH(","&amp;TRIM(TEXTSPLIT(AC126,","))&amp;",",","&amp;SUBSTITUTE(input_announcement_category," ","")&amp;",")))&gt;0)),IF(AE126="",TRUE,IF(input_announcement_category="",FALSE,SUMPRODUCT(--ISNUMBER(SEARCH(","&amp;TRIM(TEXTSPLIT(AE126,","))&amp;",",","&amp;SUBSTITUTE(input_announcement_category," ","")&amp;",")))=COUNTA(TEXTSPLIT(AE126,",")))))</f>
        <v/>
      </c>
      <c r="IV126" s="19">
        <f>AND(IF(AG126="",TRUE,IF(input_area_of_focus="",FALSE,SUMPRODUCT(--ISNUMBER(SEARCH(","&amp;TRIM(TEXTSPLIT(AG126,","))&amp;",",","&amp;SUBSTITUTE(input_area_of_focus," ","")&amp;",")))&gt;0)),IF(AI126="",TRUE,IF(input_area_of_focus="",FALSE,SUMPRODUCT(--ISNUMBER(SEARCH(","&amp;TRIM(TEXTSPLIT(AI126,","))&amp;",",","&amp;SUBSTITUTE(input_area_of_focus," ","")&amp;",")))=COUNTA(TEXTSPLIT(AI126,",")))),IF(AK126="",TRUE,IF(input_area_of_focus="",TRUE,SUMPRODUCT(--ISNUMBER(SEARCH(","&amp;TRIM(TEXTSPLIT(AK126,","))&amp;",",","&amp;SUBSTITUTE(input_area_of_focus," ","")&amp;",")))=0)),IF(AM126="",TRUE,IF(input_area_of_focus="",FALSE,SUMPRODUCT(--ISNUMBER(SEARCH(","&amp;TRIM(TEXTSPLIT(AM126,","))&amp;",",","&amp;SUBSTITUTE(input_area_of_focus," ","")&amp;",")))&gt;0)),IF(AO126="",TRUE,IF(input_area_of_focus="",FALSE,SUMPRODUCT(--ISNUMBER(SEARCH(","&amp;TRIM(TEXTSPLIT(AO126,","))&amp;",",","&amp;SUBSTITUTE(input_area_of_focus," ","")&amp;",")))=COUNTA(TEXTSPLIT(AO126,",")))))</f>
        <v/>
      </c>
      <c r="IW126" s="19">
        <f>AND(IF(AQ126="",TRUE,IF(input_audience="",FALSE,SUMPRODUCT(--ISNUMBER(SEARCH(","&amp;TRIM(TEXTSPLIT(AQ126,","))&amp;",",","&amp;SUBSTITUTE(input_audience," ","")&amp;",")))&gt;0)),IF(AS126="",TRUE,IF(input_audience="",FALSE,SUMPRODUCT(--ISNUMBER(SEARCH(","&amp;TRIM(TEXTSPLIT(AS126,","))&amp;",",","&amp;SUBSTITUTE(input_audience," ","")&amp;",")))=COUNTA(TEXTSPLIT(AS126,",")))),IF(AU126="",TRUE,IF(input_audience="",TRUE,SUMPRODUCT(--ISNUMBER(SEARCH(","&amp;TRIM(TEXTSPLIT(AU126,","))&amp;",",","&amp;SUBSTITUTE(input_audience," ","")&amp;",")))=0)),IF(AW126="",TRUE,IF(input_audience="",FALSE,SUMPRODUCT(--ISNUMBER(SEARCH(","&amp;TRIM(TEXTSPLIT(AW126,","))&amp;",",","&amp;SUBSTITUTE(input_audience," ","")&amp;",")))&gt;0)),IF(AY126="",TRUE,IF(input_audience="",FALSE,SUMPRODUCT(--ISNUMBER(SEARCH(","&amp;TRIM(TEXTSPLIT(AY126,","))&amp;",",","&amp;SUBSTITUTE(input_audience," ","")&amp;",")))=COUNTA(TEXTSPLIT(AY126,",")))))</f>
        <v/>
      </c>
      <c r="IX126" s="19">
        <f>AND(IF(BA126="",TRUE,IF(input_challenge_opportunities="",FALSE,SUMPRODUCT(--ISNUMBER(SEARCH(","&amp;TRIM(TEXTSPLIT(BA126,","))&amp;",",","&amp;SUBSTITUTE(input_challenge_opportunities," ","")&amp;",")))&gt;0)),IF(BC126="",TRUE,IF(input_challenge_opportunities="",FALSE,SUMPRODUCT(--ISNUMBER(SEARCH(","&amp;TRIM(TEXTSPLIT(BC126,","))&amp;",",","&amp;SUBSTITUTE(input_challenge_opportunities," ","")&amp;",")))=COUNTA(TEXTSPLIT(BC126,",")))),IF(BE126="",TRUE,IF(input_challenge_opportunities="",TRUE,SUMPRODUCT(--ISNUMBER(SEARCH(","&amp;TRIM(TEXTSPLIT(BE126,","))&amp;",",","&amp;SUBSTITUTE(input_challenge_opportunities," ","")&amp;",")))=0)),IF(BG126="",TRUE,IF(input_challenge_opportunities="",FALSE,SUMPRODUCT(--ISNUMBER(SEARCH(","&amp;TRIM(TEXTSPLIT(BG126,","))&amp;",",","&amp;SUBSTITUTE(input_challenge_opportunities," ","")&amp;",")))&gt;0)),IF(BI126="",TRUE,IF(input_challenge_opportunities="",FALSE,SUMPRODUCT(--ISNUMBER(SEARCH(","&amp;TRIM(TEXTSPLIT(BI126,","))&amp;",",","&amp;SUBSTITUTE(input_challenge_opportunities," ","")&amp;",")))=COUNTA(TEXTSPLIT(BI126,",")))))</f>
        <v/>
      </c>
      <c r="IY126" s="19">
        <f>AND(IF(BK126="",TRUE,IF(input_context="",FALSE,SUMPRODUCT(--ISNUMBER(SEARCH(","&amp;TRIM(TEXTSPLIT(BK126,","))&amp;",",","&amp;SUBSTITUTE(input_context," ","")&amp;",")))&gt;0)),IF(BM126="",TRUE,IF(input_context="",FALSE,SUMPRODUCT(--ISNUMBER(SEARCH(","&amp;TRIM(TEXTSPLIT(BM126,","))&amp;",",","&amp;SUBSTITUTE(input_context," ","")&amp;",")))=COUNTA(TEXTSPLIT(BM126,",")))),IF(BO126="",TRUE,IF(input_context="",TRUE,SUMPRODUCT(--ISNUMBER(SEARCH(","&amp;TRIM(TEXTSPLIT(BO126,","))&amp;",",","&amp;SUBSTITUTE(input_context," ","")&amp;",")))=0)),IF(BQ126="",TRUE,IF(input_context="",FALSE,SUMPRODUCT(--ISNUMBER(SEARCH(","&amp;TRIM(TEXTSPLIT(BQ126,","))&amp;",",","&amp;SUBSTITUTE(input_context," ","")&amp;",")))&gt;0)),IF(BS126="",TRUE,IF(input_context="",FALSE,SUMPRODUCT(--ISNUMBER(SEARCH(","&amp;TRIM(TEXTSPLIT(BS126,","))&amp;",",","&amp;SUBSTITUTE(input_context," ","")&amp;",")))=COUNTA(TEXTSPLIT(BS126,",")))))</f>
        <v/>
      </c>
      <c r="IZ126" s="19">
        <f>AND(IF(BU126="",TRUE,IF(input_enews_announcement_type="",FALSE,SUMPRODUCT(--ISNUMBER(SEARCH(","&amp;TRIM(TEXTSPLIT(BU126,","))&amp;",",","&amp;SUBSTITUTE(input_enews_announcement_type," ","")&amp;",")))&gt;0)),IF(BW126="",TRUE,IF(input_enews_announcement_type="",FALSE,SUMPRODUCT(--ISNUMBER(SEARCH(","&amp;TRIM(TEXTSPLIT(BW126,","))&amp;",",","&amp;SUBSTITUTE(input_enews_announcement_type," ","")&amp;",")))=COUNTA(TEXTSPLIT(BW126,",")))),IF(BY126="",TRUE,IF(input_enews_announcement_type="",TRUE,SUMPRODUCT(--ISNUMBER(SEARCH(","&amp;TRIM(TEXTSPLIT(BY126,","))&amp;",",","&amp;SUBSTITUTE(input_enews_announcement_type," ","")&amp;",")))=0)),IF(CA126="",TRUE,IF(input_enews_announcement_type="",FALSE,SUMPRODUCT(--ISNUMBER(SEARCH(","&amp;TRIM(TEXTSPLIT(CA126,","))&amp;",",","&amp;SUBSTITUTE(input_enews_announcement_type," ","")&amp;",")))&gt;0)),IF(CC126="",TRUE,IF(input_enews_announcement_type="",FALSE,SUMPRODUCT(--ISNUMBER(SEARCH(","&amp;TRIM(TEXTSPLIT(CC126,","))&amp;",",","&amp;SUBSTITUTE(input_enews_announcement_type," ","")&amp;",")))=COUNTA(TEXTSPLIT(CC126,",")))))</f>
        <v/>
      </c>
      <c r="JA126" s="19">
        <f>AND(IF(CE126="",TRUE,IF(input_enews_audience="",FALSE,SUMPRODUCT(--ISNUMBER(SEARCH(","&amp;TRIM(TEXTSPLIT(CE126,","))&amp;",",","&amp;SUBSTITUTE(input_enews_audience," ","")&amp;",")))&gt;0)),IF(CG126="",TRUE,IF(input_enews_audience="",FALSE,SUMPRODUCT(--ISNUMBER(SEARCH(","&amp;TRIM(TEXTSPLIT(CG126,","))&amp;",",","&amp;SUBSTITUTE(input_enews_audience," ","")&amp;",")))=COUNTA(TEXTSPLIT(CG126,",")))),IF(CI126="",TRUE,IF(input_enews_audience="",TRUE,SUMPRODUCT(--ISNUMBER(SEARCH(","&amp;TRIM(TEXTSPLIT(CI126,","))&amp;",",","&amp;SUBSTITUTE(input_enews_audience," ","")&amp;",")))=0)),IF(CK126="",TRUE,IF(input_enews_audience="",FALSE,SUMPRODUCT(--ISNUMBER(SEARCH(","&amp;TRIM(TEXTSPLIT(CK126,","))&amp;",",","&amp;SUBSTITUTE(input_enews_audience," ","")&amp;",")))&gt;0)),IF(CM126="",TRUE,IF(input_enews_audience="",FALSE,SUMPRODUCT(--ISNUMBER(SEARCH(","&amp;TRIM(TEXTSPLIT(CM126,","))&amp;",",","&amp;SUBSTITUTE(input_enews_audience," ","")&amp;",")))=COUNTA(TEXTSPLIT(CM126,",")))))</f>
        <v/>
      </c>
      <c r="JB126" s="19">
        <f>AND(IF(CO126="",TRUE,IF(input_event_location="",FALSE,SUMPRODUCT(--ISNUMBER(SEARCH(","&amp;TRIM(TEXTSPLIT(CO126,","))&amp;",",","&amp;SUBSTITUTE(input_event_location," ","")&amp;",")))&gt;0)),IF(CQ126="",TRUE,IF(input_event_location="",FALSE,SUMPRODUCT(--ISNUMBER(SEARCH(","&amp;TRIM(TEXTSPLIT(CQ126,","))&amp;",",","&amp;SUBSTITUTE(input_event_location," ","")&amp;",")))=COUNTA(TEXTSPLIT(CQ126,",")))),IF(CS126="",TRUE,IF(input_event_location="",TRUE,SUMPRODUCT(--ISNUMBER(SEARCH(","&amp;TRIM(TEXTSPLIT(CS126,","))&amp;",",","&amp;SUBSTITUTE(input_event_location," ","")&amp;",")))=0)),IF(CU126="",TRUE,IF(input_event_location="",FALSE,SUMPRODUCT(--ISNUMBER(SEARCH(","&amp;TRIM(TEXTSPLIT(CU126,","))&amp;",",","&amp;SUBSTITUTE(input_event_location," ","")&amp;",")))&gt;0)),IF(CW126="",TRUE,IF(input_event_location="",FALSE,SUMPRODUCT(--ISNUMBER(SEARCH(","&amp;TRIM(TEXTSPLIT(CW126,","))&amp;",",","&amp;SUBSTITUTE(input_event_location," ","")&amp;",")))=COUNTA(TEXTSPLIT(CW126,",")))))</f>
        <v/>
      </c>
      <c r="JC126" s="19">
        <f>AND(IF(CY126="",TRUE,IF(input_event_type="",FALSE,SUMPRODUCT(--ISNUMBER(SEARCH(","&amp;TRIM(TEXTSPLIT(CY126,","))&amp;",",","&amp;SUBSTITUTE(input_event_type," ","")&amp;",")))&gt;0)),IF(DA126="",TRUE,IF(input_event_type="",FALSE,SUMPRODUCT(--ISNUMBER(SEARCH(","&amp;TRIM(TEXTSPLIT(DA126,","))&amp;",",","&amp;SUBSTITUTE(input_event_type," ","")&amp;",")))=COUNTA(TEXTSPLIT(DA126,",")))),IF(DC126="",TRUE,IF(input_event_type="",TRUE,SUMPRODUCT(--ISNUMBER(SEARCH(","&amp;TRIM(TEXTSPLIT(DC126,","))&amp;",",","&amp;SUBSTITUTE(input_event_type," ","")&amp;",")))=0)),IF(DE126="",TRUE,IF(input_event_type="",FALSE,SUMPRODUCT(--ISNUMBER(SEARCH(","&amp;TRIM(TEXTSPLIT(DE126,","))&amp;",",","&amp;SUBSTITUTE(input_event_type," ","")&amp;",")))&gt;0)),IF(DG126="",TRUE,IF(input_event_type="",FALSE,SUMPRODUCT(--ISNUMBER(SEARCH(","&amp;TRIM(TEXTSPLIT(DG126,","))&amp;",",","&amp;SUBSTITUTE(input_event_type," ","")&amp;",")))=COUNTA(TEXTSPLIT(DG126,",")))))</f>
        <v/>
      </c>
      <c r="JD126" s="19">
        <f>AND(IF(DI126="",TRUE,IF(input_executive_education_focus="",FALSE,SUMPRODUCT(--ISNUMBER(SEARCH(","&amp;TRIM(TEXTSPLIT(DI126,","))&amp;",",","&amp;SUBSTITUTE(input_executive_education_focus," ","")&amp;",")))&gt;0)),IF(DK126="",TRUE,IF(input_executive_education_focus="",FALSE,SUMPRODUCT(--ISNUMBER(SEARCH(","&amp;TRIM(TEXTSPLIT(DK126,","))&amp;",",","&amp;SUBSTITUTE(input_executive_education_focus," ","")&amp;",")))=COUNTA(TEXTSPLIT(DK126,",")))),IF(DM126="",TRUE,IF(input_executive_education_focus="",TRUE,SUMPRODUCT(--ISNUMBER(SEARCH(","&amp;TRIM(TEXTSPLIT(DM126,","))&amp;",",","&amp;SUBSTITUTE(input_executive_education_focus," ","")&amp;",")))=0)),IF(DO126="",TRUE,IF(input_executive_education_focus="",FALSE,SUMPRODUCT(--ISNUMBER(SEARCH(","&amp;TRIM(TEXTSPLIT(DO126,","))&amp;",",","&amp;SUBSTITUTE(input_executive_education_focus," ","")&amp;",")))&gt;0)),IF(DQ126="",TRUE,IF(input_executive_education_focus="",FALSE,SUMPRODUCT(--ISNUMBER(SEARCH(","&amp;TRIM(TEXTSPLIT(DQ126,","))&amp;",",","&amp;SUBSTITUTE(input_executive_education_focus," ","")&amp;",")))=COUNTA(TEXTSPLIT(DQ126,",")))))</f>
        <v/>
      </c>
      <c r="JE126" s="19">
        <f>AND(IF(DS126="",TRUE,IF(input_faculty_category="",FALSE,SUMPRODUCT(--ISNUMBER(SEARCH(","&amp;TRIM(TEXTSPLIT(DS126,","))&amp;",",","&amp;SUBSTITUTE(input_faculty_category," ","")&amp;",")))&gt;0)),IF(DU126="",TRUE,IF(input_faculty_category="",FALSE,SUMPRODUCT(--ISNUMBER(SEARCH(","&amp;TRIM(TEXTSPLIT(DU126,","))&amp;",",","&amp;SUBSTITUTE(input_faculty_category," ","")&amp;",")))=COUNTA(TEXTSPLIT(DU126,",")))),IF(DW126="",TRUE,IF(input_faculty_category="",TRUE,SUMPRODUCT(--ISNUMBER(SEARCH(","&amp;TRIM(TEXTSPLIT(DW126,","))&amp;",",","&amp;SUBSTITUTE(input_faculty_category," ","")&amp;",")))=0)),IF(DY126="",TRUE,IF(input_faculty_category="",FALSE,SUMPRODUCT(--ISNUMBER(SEARCH(","&amp;TRIM(TEXTSPLIT(DY126,","))&amp;",",","&amp;SUBSTITUTE(input_faculty_category," ","")&amp;",")))&gt;0)),IF(EA126="",TRUE,IF(input_faculty_category="",FALSE,SUMPRODUCT(--ISNUMBER(SEARCH(","&amp;TRIM(TEXTSPLIT(EA126,","))&amp;",",","&amp;SUBSTITUTE(input_faculty_category," ","")&amp;",")))=COUNTA(TEXTSPLIT(EA126,",")))))</f>
        <v/>
      </c>
      <c r="JF126" s="19">
        <f>AND(IF(EC126="",TRUE,IF(input_faculty_discipline="",FALSE,SUMPRODUCT(--ISNUMBER(SEARCH(","&amp;TRIM(TEXTSPLIT(EC126,","))&amp;",",","&amp;SUBSTITUTE(input_faculty_discipline," ","")&amp;",")))&gt;0)),IF(EE126="",TRUE,IF(input_faculty_discipline="",FALSE,SUMPRODUCT(--ISNUMBER(SEARCH(","&amp;TRIM(TEXTSPLIT(EE126,","))&amp;",",","&amp;SUBSTITUTE(input_faculty_discipline," ","")&amp;",")))=COUNTA(TEXTSPLIT(EE126,",")))),IF(EG126="",TRUE,IF(input_faculty_discipline="",TRUE,SUMPRODUCT(--ISNUMBER(SEARCH(","&amp;TRIM(TEXTSPLIT(EG126,","))&amp;",",","&amp;SUBSTITUTE(input_faculty_discipline," ","")&amp;",")))=0)),IF(EI126="",TRUE,IF(input_faculty_discipline="",FALSE,SUMPRODUCT(--ISNUMBER(SEARCH(","&amp;TRIM(TEXTSPLIT(EI126,","))&amp;",",","&amp;SUBSTITUTE(input_faculty_discipline," ","")&amp;",")))&gt;0)),IF(EK126="",TRUE,IF(input_faculty_discipline="",FALSE,SUMPRODUCT(--ISNUMBER(SEARCH(","&amp;TRIM(TEXTSPLIT(EK126,","))&amp;",",","&amp;SUBSTITUTE(input_faculty_discipline," ","")&amp;",")))=COUNTA(TEXTSPLIT(EK126,",")))))</f>
        <v/>
      </c>
      <c r="JG126" s="19">
        <f>AND(IF(EM126="",TRUE,IF(input_faculty_expertise="",FALSE,SUMPRODUCT(--ISNUMBER(SEARCH(","&amp;TRIM(TEXTSPLIT(EM126,","))&amp;",",","&amp;SUBSTITUTE(input_faculty_expertise," ","")&amp;",")))&gt;0)),IF(EO126="",TRUE,IF(input_faculty_expertise="",FALSE,SUMPRODUCT(--ISNUMBER(SEARCH(","&amp;TRIM(TEXTSPLIT(EO126,","))&amp;",",","&amp;SUBSTITUTE(input_faculty_expertise," ","")&amp;",")))=COUNTA(TEXTSPLIT(EO126,",")))),IF(EQ126="",TRUE,IF(input_faculty_expertise="",TRUE,SUMPRODUCT(--ISNUMBER(SEARCH(","&amp;TRIM(TEXTSPLIT(EQ126,","))&amp;",",","&amp;SUBSTITUTE(input_faculty_expertise," ","")&amp;",")))=0)),IF(ES126="",TRUE,IF(input_faculty_expertise="",FALSE,SUMPRODUCT(--ISNUMBER(SEARCH(","&amp;TRIM(TEXTSPLIT(ES126,","))&amp;",",","&amp;SUBSTITUTE(input_faculty_expertise," ","")&amp;",")))&gt;0)),IF(EU126="",TRUE,IF(input_faculty_expertise="",FALSE,SUMPRODUCT(--ISNUMBER(SEARCH(","&amp;TRIM(TEXTSPLIT(EU126,","))&amp;",",","&amp;SUBSTITUTE(input_faculty_expertise," ","")&amp;",")))=COUNTA(TEXTSPLIT(EU126,",")))))</f>
        <v/>
      </c>
      <c r="JH126" s="19">
        <f>AND(IF(EW126="",TRUE,IF(input_global_network_school="",FALSE,SUMPRODUCT(--ISNUMBER(SEARCH(","&amp;TRIM(TEXTSPLIT(EW126,","))&amp;",",","&amp;SUBSTITUTE(input_global_network_school," ","")&amp;",")))&gt;0)),IF(EY126="",TRUE,IF(input_global_network_school="",FALSE,SUMPRODUCT(--ISNUMBER(SEARCH(","&amp;TRIM(TEXTSPLIT(EY126,","))&amp;",",","&amp;SUBSTITUTE(input_global_network_school," ","")&amp;",")))=COUNTA(TEXTSPLIT(EY126,",")))),IF(FA126="",TRUE,IF(input_global_network_school="",TRUE,SUMPRODUCT(--ISNUMBER(SEARCH(","&amp;TRIM(TEXTSPLIT(FA126,","))&amp;",",","&amp;SUBSTITUTE(input_global_network_school," ","")&amp;",")))=0)),IF(FC126="",TRUE,IF(input_global_network_school="",FALSE,SUMPRODUCT(--ISNUMBER(SEARCH(","&amp;TRIM(TEXTSPLIT(FC126,","))&amp;",",","&amp;SUBSTITUTE(input_global_network_school," ","")&amp;",")))&gt;0)),IF(FE126="",TRUE,IF(input_global_network_school="",FALSE,SUMPRODUCT(--ISNUMBER(SEARCH(","&amp;TRIM(TEXTSPLIT(FE126,","))&amp;",",","&amp;SUBSTITUTE(input_global_network_school," ","")&amp;",")))=COUNTA(TEXTSPLIT(FE126,",")))))</f>
        <v/>
      </c>
      <c r="JI126" s="19">
        <f>AND(IF(FG126="",TRUE,IF(input_industry="",FALSE,SUMPRODUCT(--ISNUMBER(SEARCH(","&amp;TRIM(TEXTSPLIT(FG126,","))&amp;",",","&amp;SUBSTITUTE(input_industry," ","")&amp;",")))&gt;0)),IF(FI126="",TRUE,IF(input_industry="",FALSE,SUMPRODUCT(--ISNUMBER(SEARCH(","&amp;TRIM(TEXTSPLIT(FI126,","))&amp;",",","&amp;SUBSTITUTE(input_industry," ","")&amp;",")))=COUNTA(TEXTSPLIT(FI126,",")))),IF(FK126="",TRUE,IF(input_industry="",TRUE,SUMPRODUCT(--ISNUMBER(SEARCH(","&amp;TRIM(TEXTSPLIT(FK126,","))&amp;",",","&amp;SUBSTITUTE(input_industry," ","")&amp;",")))=0)),IF(FM126="",TRUE,IF(input_industry="",FALSE,SUMPRODUCT(--ISNUMBER(SEARCH(","&amp;TRIM(TEXTSPLIT(FM126,","))&amp;",",","&amp;SUBSTITUTE(input_industry," ","")&amp;",")))&gt;0)),IF(FO126="",TRUE,IF(input_industry="",FALSE,SUMPRODUCT(--ISNUMBER(SEARCH(","&amp;TRIM(TEXTSPLIT(FO126,","))&amp;",",","&amp;SUBSTITUTE(input_industry," ","")&amp;",")))=COUNTA(TEXTSPLIT(FO126,",")))))</f>
        <v/>
      </c>
      <c r="JJ126" s="19">
        <f>AND(IF(FQ126="",TRUE,IF(input_location="",FALSE,SUMPRODUCT(--ISNUMBER(SEARCH(","&amp;TRIM(TEXTSPLIT(FQ126,","))&amp;",",","&amp;SUBSTITUTE(input_location," ","")&amp;",")))&gt;0)),IF(FS126="",TRUE,IF(input_location="",FALSE,SUMPRODUCT(--ISNUMBER(SEARCH(","&amp;TRIM(TEXTSPLIT(FS126,","))&amp;",",","&amp;SUBSTITUTE(input_location," ","")&amp;",")))=COUNTA(TEXTSPLIT(FS126,",")))),IF(FU126="",TRUE,IF(input_location="",TRUE,SUMPRODUCT(--ISNUMBER(SEARCH(","&amp;TRIM(TEXTSPLIT(FU126,","))&amp;",",","&amp;SUBSTITUTE(input_location," ","")&amp;",")))=0)),IF(FW126="",TRUE,IF(input_location="",FALSE,SUMPRODUCT(--ISNUMBER(SEARCH(","&amp;TRIM(TEXTSPLIT(FW126,","))&amp;",",","&amp;SUBSTITUTE(input_location," ","")&amp;",")))&gt;0)),IF(FY126="",TRUE,IF(input_location="",FALSE,SUMPRODUCT(--ISNUMBER(SEARCH(","&amp;TRIM(TEXTSPLIT(FY126,","))&amp;",",","&amp;SUBSTITUTE(input_location," ","")&amp;",")))=COUNTA(TEXTSPLIT(FY126,",")))))</f>
        <v/>
      </c>
      <c r="JK126" s="19">
        <f>AND(IF(GA126="",TRUE,IF(input_modality="",FALSE,SUMPRODUCT(--ISNUMBER(SEARCH(","&amp;TRIM(TEXTSPLIT(GA126,","))&amp;",",","&amp;SUBSTITUTE(input_modality," ","")&amp;",")))&gt;0)),IF(GC126="",TRUE,IF(input_modality="",FALSE,SUMPRODUCT(--ISNUMBER(SEARCH(","&amp;TRIM(TEXTSPLIT(GC126,","))&amp;",",","&amp;SUBSTITUTE(input_modality," ","")&amp;",")))=COUNTA(TEXTSPLIT(GC126,",")))),IF(GE126="",TRUE,IF(input_modality="",TRUE,SUMPRODUCT(--ISNUMBER(SEARCH(","&amp;TRIM(TEXTSPLIT(GE126,","))&amp;",",","&amp;SUBSTITUTE(input_modality," ","")&amp;",")))=0)),IF(GG126="",TRUE,IF(input_modality="",FALSE,SUMPRODUCT(--ISNUMBER(SEARCH(","&amp;TRIM(TEXTSPLIT(GG126,","))&amp;",",","&amp;SUBSTITUTE(input_modality," ","")&amp;",")))&gt;0)),IF(GI126="",TRUE,IF(input_modality="",FALSE,SUMPRODUCT(--ISNUMBER(SEARCH(","&amp;TRIM(TEXTSPLIT(GI126,","))&amp;",",","&amp;SUBSTITUTE(input_modality," ","")&amp;",")))=COUNTA(TEXTSPLIT(GI126,",")))))</f>
        <v/>
      </c>
      <c r="JL126" s="19">
        <f>AND(IF(GK126="",TRUE,IF(input_organizer="",FALSE,SUMPRODUCT(--ISNUMBER(SEARCH(","&amp;TRIM(TEXTSPLIT(GK126,","))&amp;",",","&amp;SUBSTITUTE(input_organizer," ","")&amp;",")))&gt;0)),IF(GM126="",TRUE,IF(input_organizer="",FALSE,SUMPRODUCT(--ISNUMBER(SEARCH(","&amp;TRIM(TEXTSPLIT(GM126,","))&amp;",",","&amp;SUBSTITUTE(input_organizer," ","")&amp;",")))=COUNTA(TEXTSPLIT(GM126,",")))),IF(GO126="",TRUE,IF(input_organizer="",TRUE,SUMPRODUCT(--ISNUMBER(SEARCH(","&amp;TRIM(TEXTSPLIT(GO126,","))&amp;",",","&amp;SUBSTITUTE(input_organizer," ","")&amp;",")))=0)),IF(GQ126="",TRUE,IF(input_organizer="",FALSE,SUMPRODUCT(--ISNUMBER(SEARCH(","&amp;TRIM(TEXTSPLIT(GQ126,","))&amp;",",","&amp;SUBSTITUTE(input_organizer," ","")&amp;",")))&gt;0)),IF(GS126="",TRUE,IF(input_organizer="",FALSE,SUMPRODUCT(--ISNUMBER(SEARCH(","&amp;TRIM(TEXTSPLIT(GS126,","))&amp;",",","&amp;SUBSTITUTE(input_organizer," ","")&amp;",")))=COUNTA(TEXTSPLIT(GS126,",")))))</f>
        <v/>
      </c>
      <c r="JM126" s="19">
        <f>AND(IF(GU126="",TRUE,IF(input_profile_type="",FALSE,SUMPRODUCT(--ISNUMBER(SEARCH(","&amp;TRIM(TEXTSPLIT(GU126,","))&amp;",",","&amp;SUBSTITUTE(input_profile_type," ","")&amp;",")))&gt;0)),IF(GW126="",TRUE,IF(input_profile_type="",FALSE,SUMPRODUCT(--ISNUMBER(SEARCH(","&amp;TRIM(TEXTSPLIT(GW126,","))&amp;",",","&amp;SUBSTITUTE(input_profile_type," ","")&amp;",")))=COUNTA(TEXTSPLIT(GW126,",")))),IF(GY126="",TRUE,IF(input_profile_type="",TRUE,SUMPRODUCT(--ISNUMBER(SEARCH(","&amp;TRIM(TEXTSPLIT(GY126,","))&amp;",",","&amp;SUBSTITUTE(input_profile_type," ","")&amp;",")))=0)),IF(HA126="",TRUE,IF(input_profile_type="",FALSE,SUMPRODUCT(--ISNUMBER(SEARCH(","&amp;TRIM(TEXTSPLIT(HA126,","))&amp;",",","&amp;SUBSTITUTE(input_profile_type," ","")&amp;",")))&gt;0)),IF(HC126="",TRUE,IF(input_profile_type="",FALSE,SUMPRODUCT(--ISNUMBER(SEARCH(","&amp;TRIM(TEXTSPLIT(HC126,","))&amp;",",","&amp;SUBSTITUTE(input_profile_type," ","")&amp;",")))=COUNTA(TEXTSPLIT(HC126,",")))))</f>
        <v/>
      </c>
      <c r="JN126" s="19">
        <f>AND(IF(HE126="",TRUE,IF(input_program="",FALSE,SUMPRODUCT(--ISNUMBER(SEARCH(","&amp;TRIM(TEXTSPLIT(HE126,","))&amp;",",","&amp;SUBSTITUTE(input_program," ","")&amp;",")))&gt;0)),IF(HG126="",TRUE,IF(input_program="",FALSE,SUMPRODUCT(--ISNUMBER(SEARCH(","&amp;TRIM(TEXTSPLIT(HG126,","))&amp;",",","&amp;SUBSTITUTE(input_program," ","")&amp;",")))=COUNTA(TEXTSPLIT(HG126,",")))),IF(HI126="",TRUE,IF(input_program="",TRUE,SUMPRODUCT(--ISNUMBER(SEARCH(","&amp;TRIM(TEXTSPLIT(HI126,","))&amp;",",","&amp;SUBSTITUTE(input_program," ","")&amp;",")))=0)),IF(HK126="",TRUE,IF(input_program="",FALSE,SUMPRODUCT(--ISNUMBER(SEARCH(","&amp;TRIM(TEXTSPLIT(HK126,","))&amp;",",","&amp;SUBSTITUTE(input_program," ","")&amp;",")))&gt;0)),IF(HM126="",TRUE,IF(input_program="",FALSE,SUMPRODUCT(--ISNUMBER(SEARCH(","&amp;TRIM(TEXTSPLIT(HM126,","))&amp;",",","&amp;SUBSTITUTE(input_program," ","")&amp;",")))=COUNTA(TEXTSPLIT(HM126,",")))))</f>
        <v/>
      </c>
      <c r="JO126" s="19">
        <f>AND(IF(HO126="",TRUE,IF(input_story_categories="",FALSE,SUMPRODUCT(--ISNUMBER(SEARCH(","&amp;TRIM(TEXTSPLIT(HO126,","))&amp;",",","&amp;SUBSTITUTE(input_story_categories," ","")&amp;",")))&gt;0)),IF(HQ126="",TRUE,IF(input_story_categories="",FALSE,SUMPRODUCT(--ISNUMBER(SEARCH(","&amp;TRIM(TEXTSPLIT(HQ126,","))&amp;",",","&amp;SUBSTITUTE(input_story_categories," ","")&amp;",")))=COUNTA(TEXTSPLIT(HQ126,",")))),IF(HS126="",TRUE,IF(input_story_categories="",TRUE,SUMPRODUCT(--ISNUMBER(SEARCH(","&amp;TRIM(TEXTSPLIT(HS126,","))&amp;",",","&amp;SUBSTITUTE(input_story_categories," ","")&amp;",")))=0)),IF(HU126="",TRUE,IF(input_story_categories="",FALSE,SUMPRODUCT(--ISNUMBER(SEARCH(","&amp;TRIM(TEXTSPLIT(HU126,","))&amp;",",","&amp;SUBSTITUTE(input_story_categories," ","")&amp;",")))&gt;0)),IF(HW126="",TRUE,IF(input_story_categories="",FALSE,SUMPRODUCT(--ISNUMBER(SEARCH(","&amp;TRIM(TEXTSPLIT(HW126,","))&amp;",",","&amp;SUBSTITUTE(input_story_categories," ","")&amp;",")))=COUNTA(TEXTSPLIT(HW126,",")))))</f>
        <v/>
      </c>
      <c r="JP126" s="19">
        <f>AND(IF(HY126="",TRUE,IF(input_story_type="",FALSE,SUMPRODUCT(--ISNUMBER(SEARCH(","&amp;TRIM(TEXTSPLIT(HY126,","))&amp;",",","&amp;SUBSTITUTE(input_story_type," ","")&amp;",")))&gt;0)),IF(IA126="",TRUE,IF(input_story_type="",FALSE,SUMPRODUCT(--ISNUMBER(SEARCH(","&amp;TRIM(TEXTSPLIT(IA126,","))&amp;",",","&amp;SUBSTITUTE(input_story_type," ","")&amp;",")))=COUNTA(TEXTSPLIT(IA126,",")))),IF(IC126="",TRUE,IF(input_story_type="",TRUE,SUMPRODUCT(--ISNUMBER(SEARCH(","&amp;TRIM(TEXTSPLIT(IC126,","))&amp;",",","&amp;SUBSTITUTE(input_story_type," ","")&amp;",")))=0)),IF(IE126="",TRUE,IF(input_story_type="",FALSE,SUMPRODUCT(--ISNUMBER(SEARCH(","&amp;TRIM(TEXTSPLIT(IE126,","))&amp;",",","&amp;SUBSTITUTE(input_story_type," ","")&amp;",")))&gt;0)),IF(IG126="",TRUE,IF(input_story_type="",FALSE,SUMPRODUCT(--ISNUMBER(SEARCH(","&amp;TRIM(TEXTSPLIT(IG126,","))&amp;",",","&amp;SUBSTITUTE(input_story_type," ","")&amp;",")))=COUNTA(TEXTSPLIT(IG126,",")))))</f>
        <v/>
      </c>
      <c r="JQ126" s="19">
        <f>AND(IF(II126="",TRUE,IF(input_topics="",FALSE,SUMPRODUCT(--ISNUMBER(SEARCH(","&amp;TRIM(TEXTSPLIT(II126,","))&amp;",",","&amp;SUBSTITUTE(input_topics," ","")&amp;",")))&gt;0)),IF(IK126="",TRUE,IF(input_topics="",FALSE,SUMPRODUCT(--ISNUMBER(SEARCH(","&amp;TRIM(TEXTSPLIT(IK126,","))&amp;",",","&amp;SUBSTITUTE(input_topics," ","")&amp;",")))=COUNTA(TEXTSPLIT(IK126,",")))),IF(IM126="",TRUE,IF(input_topics="",TRUE,SUMPRODUCT(--ISNUMBER(SEARCH(","&amp;TRIM(TEXTSPLIT(IM126,","))&amp;",",","&amp;SUBSTITUTE(input_topics," ","")&amp;",")))=0)),IF(IO126="",TRUE,IF(input_topics="",FALSE,SUMPRODUCT(--ISNUMBER(SEARCH(","&amp;TRIM(TEXTSPLIT(IO126,","))&amp;",",","&amp;SUBSTITUTE(input_topics," ","")&amp;",")))&gt;0)),IF(IQ126="",TRUE,IF(input_topics="",FALSE,SUMPRODUCT(--ISNUMBER(SEARCH(","&amp;TRIM(TEXTSPLIT(IQ126,","))&amp;",",","&amp;SUBSTITUTE(input_topics," ","")&amp;",")))=COUNTA(TEXTSPLIT(IQ126,",")))))</f>
        <v/>
      </c>
    </row>
    <row r="127">
      <c r="A127" s="24">
        <f>IF(NOT(IS127),"Excluded",IF(AND(IT127,IU127,IV127,IW127,IX127,IY127,IZ127,JA127,JB127,JC127,JD127,JE127,JF127,JG127,JH127,JI127,JJ127,JK127,JL127,JM127,JN127,JO127,JP127,JQ127),IF(I127&gt;0,"Eligible but limited","Will appear"),"Excluded"))</f>
        <v/>
      </c>
      <c r="B127" s="24" t="inlineStr">
        <is>
          <t>MBA Admissions Events</t>
        </is>
      </c>
      <c r="C127" s="27" t="inlineStr">
        <is>
          <t>/programs/mba/admissions/mba-admissions-events</t>
        </is>
      </c>
      <c r="D127" s="24" t="inlineStr">
        <is>
          <t>/programs/mba/admissions/mba-admissions-events</t>
        </is>
      </c>
      <c r="E127" s="24" t="n">
        <v>1</v>
      </c>
      <c r="F127" s="24" t="inlineStr">
        <is>
          <t>event</t>
        </is>
      </c>
      <c r="G127" s="24" t="inlineStr">
        <is>
          <t>external_event_list</t>
        </is>
      </c>
      <c r="H127" s="24" t="inlineStr">
        <is>
          <t>embed_mba_admissions_events</t>
        </is>
      </c>
      <c r="I127" s="24" t="n">
        <v>8</v>
      </c>
      <c r="J127" s="28" t="inlineStr">
        <is>
          <t>Explicit args</t>
        </is>
      </c>
      <c r="K127" s="24" t="inlineStr">
        <is>
          <t>Page placement</t>
        </is>
      </c>
      <c r="L127" s="24" t="inlineStr">
        <is>
          <t>Content type: event; Context uses Courses Context: MBA (92); Needs any Event Type: Diversity Events (999), Campus Visit (1149), Admissions Officer-hosted Event (1206), Student-hosted Events (1207), Current College Seniors (1208), Off-campus Events (1210), Joint Degree (1211), Admissions Events (994); Needs any Modality: In-Person (1293), Online (1295); Limited to 8 item(s); Source: Explicit args</t>
        </is>
      </c>
      <c r="BQ127" s="19" t="inlineStr">
        <is>
          <t>92</t>
        </is>
      </c>
      <c r="BR127" s="19" t="inlineStr">
        <is>
          <t>MBA (92)</t>
        </is>
      </c>
      <c r="CY127" s="19" t="inlineStr">
        <is>
          <t>999, 1149, 1206, 1207, 1208, 1210, 1211, 994</t>
        </is>
      </c>
      <c r="CZ127" s="19" t="inlineStr">
        <is>
          <t>Diversity Events (999), Campus Visit (1149), Admissions Officer-hosted Event (1206), Student-hosted Events (1207), Current College Seniors (1208), Off-campus Events (1210), Joint Degree (1211), Admissions Events (994)</t>
        </is>
      </c>
      <c r="GA127" s="19" t="inlineStr">
        <is>
          <t>1293, 1295</t>
        </is>
      </c>
      <c r="GB127" s="19" t="inlineStr">
        <is>
          <t>In-Person (1293), Online (1295)</t>
        </is>
      </c>
      <c r="IS127" s="19">
        <f>IF(input_content_type="",FALSE,ISNUMBER(SEARCH(","&amp;LOWER(input_content_type)&amp;",",","&amp;LOWER(SUBSTITUTE(F127," ",""))&amp;",")))</f>
        <v/>
      </c>
      <c r="IT127" s="19">
        <f>AND(IF(M127="",TRUE,IF(input_affiliations="",FALSE,SUMPRODUCT(--ISNUMBER(SEARCH(","&amp;TRIM(TEXTSPLIT(M127,","))&amp;",",","&amp;SUBSTITUTE(input_affiliations," ","")&amp;",")))&gt;0)),IF(O127="",TRUE,IF(input_affiliations="",FALSE,SUMPRODUCT(--ISNUMBER(SEARCH(","&amp;TRIM(TEXTSPLIT(O127,","))&amp;",",","&amp;SUBSTITUTE(input_affiliations," ","")&amp;",")))=COUNTA(TEXTSPLIT(O127,",")))),IF(Q127="",TRUE,IF(input_affiliations="",TRUE,SUMPRODUCT(--ISNUMBER(SEARCH(","&amp;TRIM(TEXTSPLIT(Q127,","))&amp;",",","&amp;SUBSTITUTE(input_affiliations," ","")&amp;",")))=0)),IF(S127="",TRUE,IF(input_affiliations="",FALSE,SUMPRODUCT(--ISNUMBER(SEARCH(","&amp;TRIM(TEXTSPLIT(S127,","))&amp;",",","&amp;SUBSTITUTE(input_affiliations," ","")&amp;",")))&gt;0)),IF(U127="",TRUE,IF(input_affiliations="",FALSE,SUMPRODUCT(--ISNUMBER(SEARCH(","&amp;TRIM(TEXTSPLIT(U127,","))&amp;",",","&amp;SUBSTITUTE(input_affiliations," ","")&amp;",")))=COUNTA(TEXTSPLIT(U127,",")))))</f>
        <v/>
      </c>
      <c r="IU127" s="19">
        <f>AND(IF(W127="",TRUE,IF(input_announcement_category="",FALSE,SUMPRODUCT(--ISNUMBER(SEARCH(","&amp;TRIM(TEXTSPLIT(W127,","))&amp;",",","&amp;SUBSTITUTE(input_announcement_category," ","")&amp;",")))&gt;0)),IF(Y127="",TRUE,IF(input_announcement_category="",FALSE,SUMPRODUCT(--ISNUMBER(SEARCH(","&amp;TRIM(TEXTSPLIT(Y127,","))&amp;",",","&amp;SUBSTITUTE(input_announcement_category," ","")&amp;",")))=COUNTA(TEXTSPLIT(Y127,",")))),IF(AA127="",TRUE,IF(input_announcement_category="",TRUE,SUMPRODUCT(--ISNUMBER(SEARCH(","&amp;TRIM(TEXTSPLIT(AA127,","))&amp;",",","&amp;SUBSTITUTE(input_announcement_category," ","")&amp;",")))=0)),IF(AC127="",TRUE,IF(input_announcement_category="",FALSE,SUMPRODUCT(--ISNUMBER(SEARCH(","&amp;TRIM(TEXTSPLIT(AC127,","))&amp;",",","&amp;SUBSTITUTE(input_announcement_category," ","")&amp;",")))&gt;0)),IF(AE127="",TRUE,IF(input_announcement_category="",FALSE,SUMPRODUCT(--ISNUMBER(SEARCH(","&amp;TRIM(TEXTSPLIT(AE127,","))&amp;",",","&amp;SUBSTITUTE(input_announcement_category," ","")&amp;",")))=COUNTA(TEXTSPLIT(AE127,",")))))</f>
        <v/>
      </c>
      <c r="IV127" s="19">
        <f>AND(IF(AG127="",TRUE,IF(input_area_of_focus="",FALSE,SUMPRODUCT(--ISNUMBER(SEARCH(","&amp;TRIM(TEXTSPLIT(AG127,","))&amp;",",","&amp;SUBSTITUTE(input_area_of_focus," ","")&amp;",")))&gt;0)),IF(AI127="",TRUE,IF(input_area_of_focus="",FALSE,SUMPRODUCT(--ISNUMBER(SEARCH(","&amp;TRIM(TEXTSPLIT(AI127,","))&amp;",",","&amp;SUBSTITUTE(input_area_of_focus," ","")&amp;",")))=COUNTA(TEXTSPLIT(AI127,",")))),IF(AK127="",TRUE,IF(input_area_of_focus="",TRUE,SUMPRODUCT(--ISNUMBER(SEARCH(","&amp;TRIM(TEXTSPLIT(AK127,","))&amp;",",","&amp;SUBSTITUTE(input_area_of_focus," ","")&amp;",")))=0)),IF(AM127="",TRUE,IF(input_area_of_focus="",FALSE,SUMPRODUCT(--ISNUMBER(SEARCH(","&amp;TRIM(TEXTSPLIT(AM127,","))&amp;",",","&amp;SUBSTITUTE(input_area_of_focus," ","")&amp;",")))&gt;0)),IF(AO127="",TRUE,IF(input_area_of_focus="",FALSE,SUMPRODUCT(--ISNUMBER(SEARCH(","&amp;TRIM(TEXTSPLIT(AO127,","))&amp;",",","&amp;SUBSTITUTE(input_area_of_focus," ","")&amp;",")))=COUNTA(TEXTSPLIT(AO127,",")))))</f>
        <v/>
      </c>
      <c r="IW127" s="19">
        <f>AND(IF(AQ127="",TRUE,IF(input_audience="",FALSE,SUMPRODUCT(--ISNUMBER(SEARCH(","&amp;TRIM(TEXTSPLIT(AQ127,","))&amp;",",","&amp;SUBSTITUTE(input_audience," ","")&amp;",")))&gt;0)),IF(AS127="",TRUE,IF(input_audience="",FALSE,SUMPRODUCT(--ISNUMBER(SEARCH(","&amp;TRIM(TEXTSPLIT(AS127,","))&amp;",",","&amp;SUBSTITUTE(input_audience," ","")&amp;",")))=COUNTA(TEXTSPLIT(AS127,",")))),IF(AU127="",TRUE,IF(input_audience="",TRUE,SUMPRODUCT(--ISNUMBER(SEARCH(","&amp;TRIM(TEXTSPLIT(AU127,","))&amp;",",","&amp;SUBSTITUTE(input_audience," ","")&amp;",")))=0)),IF(AW127="",TRUE,IF(input_audience="",FALSE,SUMPRODUCT(--ISNUMBER(SEARCH(","&amp;TRIM(TEXTSPLIT(AW127,","))&amp;",",","&amp;SUBSTITUTE(input_audience," ","")&amp;",")))&gt;0)),IF(AY127="",TRUE,IF(input_audience="",FALSE,SUMPRODUCT(--ISNUMBER(SEARCH(","&amp;TRIM(TEXTSPLIT(AY127,","))&amp;",",","&amp;SUBSTITUTE(input_audience," ","")&amp;",")))=COUNTA(TEXTSPLIT(AY127,",")))))</f>
        <v/>
      </c>
      <c r="IX127" s="19">
        <f>AND(IF(BA127="",TRUE,IF(input_challenge_opportunities="",FALSE,SUMPRODUCT(--ISNUMBER(SEARCH(","&amp;TRIM(TEXTSPLIT(BA127,","))&amp;",",","&amp;SUBSTITUTE(input_challenge_opportunities," ","")&amp;",")))&gt;0)),IF(BC127="",TRUE,IF(input_challenge_opportunities="",FALSE,SUMPRODUCT(--ISNUMBER(SEARCH(","&amp;TRIM(TEXTSPLIT(BC127,","))&amp;",",","&amp;SUBSTITUTE(input_challenge_opportunities," ","")&amp;",")))=COUNTA(TEXTSPLIT(BC127,",")))),IF(BE127="",TRUE,IF(input_challenge_opportunities="",TRUE,SUMPRODUCT(--ISNUMBER(SEARCH(","&amp;TRIM(TEXTSPLIT(BE127,","))&amp;",",","&amp;SUBSTITUTE(input_challenge_opportunities," ","")&amp;",")))=0)),IF(BG127="",TRUE,IF(input_challenge_opportunities="",FALSE,SUMPRODUCT(--ISNUMBER(SEARCH(","&amp;TRIM(TEXTSPLIT(BG127,","))&amp;",",","&amp;SUBSTITUTE(input_challenge_opportunities," ","")&amp;",")))&gt;0)),IF(BI127="",TRUE,IF(input_challenge_opportunities="",FALSE,SUMPRODUCT(--ISNUMBER(SEARCH(","&amp;TRIM(TEXTSPLIT(BI127,","))&amp;",",","&amp;SUBSTITUTE(input_challenge_opportunities," ","")&amp;",")))=COUNTA(TEXTSPLIT(BI127,",")))))</f>
        <v/>
      </c>
      <c r="IY127" s="19">
        <f>AND(IF(BK127="",TRUE,IF(input_context="",FALSE,SUMPRODUCT(--ISNUMBER(SEARCH(","&amp;TRIM(TEXTSPLIT(BK127,","))&amp;",",","&amp;SUBSTITUTE(input_context," ","")&amp;",")))&gt;0)),IF(BM127="",TRUE,IF(input_context="",FALSE,SUMPRODUCT(--ISNUMBER(SEARCH(","&amp;TRIM(TEXTSPLIT(BM127,","))&amp;",",","&amp;SUBSTITUTE(input_context," ","")&amp;",")))=COUNTA(TEXTSPLIT(BM127,",")))),IF(BO127="",TRUE,IF(input_context="",TRUE,SUMPRODUCT(--ISNUMBER(SEARCH(","&amp;TRIM(TEXTSPLIT(BO127,","))&amp;",",","&amp;SUBSTITUTE(input_context," ","")&amp;",")))=0)),IF(BQ127="",TRUE,IF(input_context="",FALSE,SUMPRODUCT(--ISNUMBER(SEARCH(","&amp;TRIM(TEXTSPLIT(BQ127,","))&amp;",",","&amp;SUBSTITUTE(input_context," ","")&amp;",")))&gt;0)),IF(BS127="",TRUE,IF(input_context="",FALSE,SUMPRODUCT(--ISNUMBER(SEARCH(","&amp;TRIM(TEXTSPLIT(BS127,","))&amp;",",","&amp;SUBSTITUTE(input_context," ","")&amp;",")))=COUNTA(TEXTSPLIT(BS127,",")))))</f>
        <v/>
      </c>
      <c r="IZ127" s="19">
        <f>AND(IF(BU127="",TRUE,IF(input_enews_announcement_type="",FALSE,SUMPRODUCT(--ISNUMBER(SEARCH(","&amp;TRIM(TEXTSPLIT(BU127,","))&amp;",",","&amp;SUBSTITUTE(input_enews_announcement_type," ","")&amp;",")))&gt;0)),IF(BW127="",TRUE,IF(input_enews_announcement_type="",FALSE,SUMPRODUCT(--ISNUMBER(SEARCH(","&amp;TRIM(TEXTSPLIT(BW127,","))&amp;",",","&amp;SUBSTITUTE(input_enews_announcement_type," ","")&amp;",")))=COUNTA(TEXTSPLIT(BW127,",")))),IF(BY127="",TRUE,IF(input_enews_announcement_type="",TRUE,SUMPRODUCT(--ISNUMBER(SEARCH(","&amp;TRIM(TEXTSPLIT(BY127,","))&amp;",",","&amp;SUBSTITUTE(input_enews_announcement_type," ","")&amp;",")))=0)),IF(CA127="",TRUE,IF(input_enews_announcement_type="",FALSE,SUMPRODUCT(--ISNUMBER(SEARCH(","&amp;TRIM(TEXTSPLIT(CA127,","))&amp;",",","&amp;SUBSTITUTE(input_enews_announcement_type," ","")&amp;",")))&gt;0)),IF(CC127="",TRUE,IF(input_enews_announcement_type="",FALSE,SUMPRODUCT(--ISNUMBER(SEARCH(","&amp;TRIM(TEXTSPLIT(CC127,","))&amp;",",","&amp;SUBSTITUTE(input_enews_announcement_type," ","")&amp;",")))=COUNTA(TEXTSPLIT(CC127,",")))))</f>
        <v/>
      </c>
      <c r="JA127" s="19">
        <f>AND(IF(CE127="",TRUE,IF(input_enews_audience="",FALSE,SUMPRODUCT(--ISNUMBER(SEARCH(","&amp;TRIM(TEXTSPLIT(CE127,","))&amp;",",","&amp;SUBSTITUTE(input_enews_audience," ","")&amp;",")))&gt;0)),IF(CG127="",TRUE,IF(input_enews_audience="",FALSE,SUMPRODUCT(--ISNUMBER(SEARCH(","&amp;TRIM(TEXTSPLIT(CG127,","))&amp;",",","&amp;SUBSTITUTE(input_enews_audience," ","")&amp;",")))=COUNTA(TEXTSPLIT(CG127,",")))),IF(CI127="",TRUE,IF(input_enews_audience="",TRUE,SUMPRODUCT(--ISNUMBER(SEARCH(","&amp;TRIM(TEXTSPLIT(CI127,","))&amp;",",","&amp;SUBSTITUTE(input_enews_audience," ","")&amp;",")))=0)),IF(CK127="",TRUE,IF(input_enews_audience="",FALSE,SUMPRODUCT(--ISNUMBER(SEARCH(","&amp;TRIM(TEXTSPLIT(CK127,","))&amp;",",","&amp;SUBSTITUTE(input_enews_audience," ","")&amp;",")))&gt;0)),IF(CM127="",TRUE,IF(input_enews_audience="",FALSE,SUMPRODUCT(--ISNUMBER(SEARCH(","&amp;TRIM(TEXTSPLIT(CM127,","))&amp;",",","&amp;SUBSTITUTE(input_enews_audience," ","")&amp;",")))=COUNTA(TEXTSPLIT(CM127,",")))))</f>
        <v/>
      </c>
      <c r="JB127" s="19">
        <f>AND(IF(CO127="",TRUE,IF(input_event_location="",FALSE,SUMPRODUCT(--ISNUMBER(SEARCH(","&amp;TRIM(TEXTSPLIT(CO127,","))&amp;",",","&amp;SUBSTITUTE(input_event_location," ","")&amp;",")))&gt;0)),IF(CQ127="",TRUE,IF(input_event_location="",FALSE,SUMPRODUCT(--ISNUMBER(SEARCH(","&amp;TRIM(TEXTSPLIT(CQ127,","))&amp;",",","&amp;SUBSTITUTE(input_event_location," ","")&amp;",")))=COUNTA(TEXTSPLIT(CQ127,",")))),IF(CS127="",TRUE,IF(input_event_location="",TRUE,SUMPRODUCT(--ISNUMBER(SEARCH(","&amp;TRIM(TEXTSPLIT(CS127,","))&amp;",",","&amp;SUBSTITUTE(input_event_location," ","")&amp;",")))=0)),IF(CU127="",TRUE,IF(input_event_location="",FALSE,SUMPRODUCT(--ISNUMBER(SEARCH(","&amp;TRIM(TEXTSPLIT(CU127,","))&amp;",",","&amp;SUBSTITUTE(input_event_location," ","")&amp;",")))&gt;0)),IF(CW127="",TRUE,IF(input_event_location="",FALSE,SUMPRODUCT(--ISNUMBER(SEARCH(","&amp;TRIM(TEXTSPLIT(CW127,","))&amp;",",","&amp;SUBSTITUTE(input_event_location," ","")&amp;",")))=COUNTA(TEXTSPLIT(CW127,",")))))</f>
        <v/>
      </c>
      <c r="JC127" s="19">
        <f>AND(IF(CY127="",TRUE,IF(input_event_type="",FALSE,SUMPRODUCT(--ISNUMBER(SEARCH(","&amp;TRIM(TEXTSPLIT(CY127,","))&amp;",",","&amp;SUBSTITUTE(input_event_type," ","")&amp;",")))&gt;0)),IF(DA127="",TRUE,IF(input_event_type="",FALSE,SUMPRODUCT(--ISNUMBER(SEARCH(","&amp;TRIM(TEXTSPLIT(DA127,","))&amp;",",","&amp;SUBSTITUTE(input_event_type," ","")&amp;",")))=COUNTA(TEXTSPLIT(DA127,",")))),IF(DC127="",TRUE,IF(input_event_type="",TRUE,SUMPRODUCT(--ISNUMBER(SEARCH(","&amp;TRIM(TEXTSPLIT(DC127,","))&amp;",",","&amp;SUBSTITUTE(input_event_type," ","")&amp;",")))=0)),IF(DE127="",TRUE,IF(input_event_type="",FALSE,SUMPRODUCT(--ISNUMBER(SEARCH(","&amp;TRIM(TEXTSPLIT(DE127,","))&amp;",",","&amp;SUBSTITUTE(input_event_type," ","")&amp;",")))&gt;0)),IF(DG127="",TRUE,IF(input_event_type="",FALSE,SUMPRODUCT(--ISNUMBER(SEARCH(","&amp;TRIM(TEXTSPLIT(DG127,","))&amp;",",","&amp;SUBSTITUTE(input_event_type," ","")&amp;",")))=COUNTA(TEXTSPLIT(DG127,",")))))</f>
        <v/>
      </c>
      <c r="JD127" s="19">
        <f>AND(IF(DI127="",TRUE,IF(input_executive_education_focus="",FALSE,SUMPRODUCT(--ISNUMBER(SEARCH(","&amp;TRIM(TEXTSPLIT(DI127,","))&amp;",",","&amp;SUBSTITUTE(input_executive_education_focus," ","")&amp;",")))&gt;0)),IF(DK127="",TRUE,IF(input_executive_education_focus="",FALSE,SUMPRODUCT(--ISNUMBER(SEARCH(","&amp;TRIM(TEXTSPLIT(DK127,","))&amp;",",","&amp;SUBSTITUTE(input_executive_education_focus," ","")&amp;",")))=COUNTA(TEXTSPLIT(DK127,",")))),IF(DM127="",TRUE,IF(input_executive_education_focus="",TRUE,SUMPRODUCT(--ISNUMBER(SEARCH(","&amp;TRIM(TEXTSPLIT(DM127,","))&amp;",",","&amp;SUBSTITUTE(input_executive_education_focus," ","")&amp;",")))=0)),IF(DO127="",TRUE,IF(input_executive_education_focus="",FALSE,SUMPRODUCT(--ISNUMBER(SEARCH(","&amp;TRIM(TEXTSPLIT(DO127,","))&amp;",",","&amp;SUBSTITUTE(input_executive_education_focus," ","")&amp;",")))&gt;0)),IF(DQ127="",TRUE,IF(input_executive_education_focus="",FALSE,SUMPRODUCT(--ISNUMBER(SEARCH(","&amp;TRIM(TEXTSPLIT(DQ127,","))&amp;",",","&amp;SUBSTITUTE(input_executive_education_focus," ","")&amp;",")))=COUNTA(TEXTSPLIT(DQ127,",")))))</f>
        <v/>
      </c>
      <c r="JE127" s="19">
        <f>AND(IF(DS127="",TRUE,IF(input_faculty_category="",FALSE,SUMPRODUCT(--ISNUMBER(SEARCH(","&amp;TRIM(TEXTSPLIT(DS127,","))&amp;",",","&amp;SUBSTITUTE(input_faculty_category," ","")&amp;",")))&gt;0)),IF(DU127="",TRUE,IF(input_faculty_category="",FALSE,SUMPRODUCT(--ISNUMBER(SEARCH(","&amp;TRIM(TEXTSPLIT(DU127,","))&amp;",",","&amp;SUBSTITUTE(input_faculty_category," ","")&amp;",")))=COUNTA(TEXTSPLIT(DU127,",")))),IF(DW127="",TRUE,IF(input_faculty_category="",TRUE,SUMPRODUCT(--ISNUMBER(SEARCH(","&amp;TRIM(TEXTSPLIT(DW127,","))&amp;",",","&amp;SUBSTITUTE(input_faculty_category," ","")&amp;",")))=0)),IF(DY127="",TRUE,IF(input_faculty_category="",FALSE,SUMPRODUCT(--ISNUMBER(SEARCH(","&amp;TRIM(TEXTSPLIT(DY127,","))&amp;",",","&amp;SUBSTITUTE(input_faculty_category," ","")&amp;",")))&gt;0)),IF(EA127="",TRUE,IF(input_faculty_category="",FALSE,SUMPRODUCT(--ISNUMBER(SEARCH(","&amp;TRIM(TEXTSPLIT(EA127,","))&amp;",",","&amp;SUBSTITUTE(input_faculty_category," ","")&amp;",")))=COUNTA(TEXTSPLIT(EA127,",")))))</f>
        <v/>
      </c>
      <c r="JF127" s="19">
        <f>AND(IF(EC127="",TRUE,IF(input_faculty_discipline="",FALSE,SUMPRODUCT(--ISNUMBER(SEARCH(","&amp;TRIM(TEXTSPLIT(EC127,","))&amp;",",","&amp;SUBSTITUTE(input_faculty_discipline," ","")&amp;",")))&gt;0)),IF(EE127="",TRUE,IF(input_faculty_discipline="",FALSE,SUMPRODUCT(--ISNUMBER(SEARCH(","&amp;TRIM(TEXTSPLIT(EE127,","))&amp;",",","&amp;SUBSTITUTE(input_faculty_discipline," ","")&amp;",")))=COUNTA(TEXTSPLIT(EE127,",")))),IF(EG127="",TRUE,IF(input_faculty_discipline="",TRUE,SUMPRODUCT(--ISNUMBER(SEARCH(","&amp;TRIM(TEXTSPLIT(EG127,","))&amp;",",","&amp;SUBSTITUTE(input_faculty_discipline," ","")&amp;",")))=0)),IF(EI127="",TRUE,IF(input_faculty_discipline="",FALSE,SUMPRODUCT(--ISNUMBER(SEARCH(","&amp;TRIM(TEXTSPLIT(EI127,","))&amp;",",","&amp;SUBSTITUTE(input_faculty_discipline," ","")&amp;",")))&gt;0)),IF(EK127="",TRUE,IF(input_faculty_discipline="",FALSE,SUMPRODUCT(--ISNUMBER(SEARCH(","&amp;TRIM(TEXTSPLIT(EK127,","))&amp;",",","&amp;SUBSTITUTE(input_faculty_discipline," ","")&amp;",")))=COUNTA(TEXTSPLIT(EK127,",")))))</f>
        <v/>
      </c>
      <c r="JG127" s="19">
        <f>AND(IF(EM127="",TRUE,IF(input_faculty_expertise="",FALSE,SUMPRODUCT(--ISNUMBER(SEARCH(","&amp;TRIM(TEXTSPLIT(EM127,","))&amp;",",","&amp;SUBSTITUTE(input_faculty_expertise," ","")&amp;",")))&gt;0)),IF(EO127="",TRUE,IF(input_faculty_expertise="",FALSE,SUMPRODUCT(--ISNUMBER(SEARCH(","&amp;TRIM(TEXTSPLIT(EO127,","))&amp;",",","&amp;SUBSTITUTE(input_faculty_expertise," ","")&amp;",")))=COUNTA(TEXTSPLIT(EO127,",")))),IF(EQ127="",TRUE,IF(input_faculty_expertise="",TRUE,SUMPRODUCT(--ISNUMBER(SEARCH(","&amp;TRIM(TEXTSPLIT(EQ127,","))&amp;",",","&amp;SUBSTITUTE(input_faculty_expertise," ","")&amp;",")))=0)),IF(ES127="",TRUE,IF(input_faculty_expertise="",FALSE,SUMPRODUCT(--ISNUMBER(SEARCH(","&amp;TRIM(TEXTSPLIT(ES127,","))&amp;",",","&amp;SUBSTITUTE(input_faculty_expertise," ","")&amp;",")))&gt;0)),IF(EU127="",TRUE,IF(input_faculty_expertise="",FALSE,SUMPRODUCT(--ISNUMBER(SEARCH(","&amp;TRIM(TEXTSPLIT(EU127,","))&amp;",",","&amp;SUBSTITUTE(input_faculty_expertise," ","")&amp;",")))=COUNTA(TEXTSPLIT(EU127,",")))))</f>
        <v/>
      </c>
      <c r="JH127" s="19">
        <f>AND(IF(EW127="",TRUE,IF(input_global_network_school="",FALSE,SUMPRODUCT(--ISNUMBER(SEARCH(","&amp;TRIM(TEXTSPLIT(EW127,","))&amp;",",","&amp;SUBSTITUTE(input_global_network_school," ","")&amp;",")))&gt;0)),IF(EY127="",TRUE,IF(input_global_network_school="",FALSE,SUMPRODUCT(--ISNUMBER(SEARCH(","&amp;TRIM(TEXTSPLIT(EY127,","))&amp;",",","&amp;SUBSTITUTE(input_global_network_school," ","")&amp;",")))=COUNTA(TEXTSPLIT(EY127,",")))),IF(FA127="",TRUE,IF(input_global_network_school="",TRUE,SUMPRODUCT(--ISNUMBER(SEARCH(","&amp;TRIM(TEXTSPLIT(FA127,","))&amp;",",","&amp;SUBSTITUTE(input_global_network_school," ","")&amp;",")))=0)),IF(FC127="",TRUE,IF(input_global_network_school="",FALSE,SUMPRODUCT(--ISNUMBER(SEARCH(","&amp;TRIM(TEXTSPLIT(FC127,","))&amp;",",","&amp;SUBSTITUTE(input_global_network_school," ","")&amp;",")))&gt;0)),IF(FE127="",TRUE,IF(input_global_network_school="",FALSE,SUMPRODUCT(--ISNUMBER(SEARCH(","&amp;TRIM(TEXTSPLIT(FE127,","))&amp;",",","&amp;SUBSTITUTE(input_global_network_school," ","")&amp;",")))=COUNTA(TEXTSPLIT(FE127,",")))))</f>
        <v/>
      </c>
      <c r="JI127" s="19">
        <f>AND(IF(FG127="",TRUE,IF(input_industry="",FALSE,SUMPRODUCT(--ISNUMBER(SEARCH(","&amp;TRIM(TEXTSPLIT(FG127,","))&amp;",",","&amp;SUBSTITUTE(input_industry," ","")&amp;",")))&gt;0)),IF(FI127="",TRUE,IF(input_industry="",FALSE,SUMPRODUCT(--ISNUMBER(SEARCH(","&amp;TRIM(TEXTSPLIT(FI127,","))&amp;",",","&amp;SUBSTITUTE(input_industry," ","")&amp;",")))=COUNTA(TEXTSPLIT(FI127,",")))),IF(FK127="",TRUE,IF(input_industry="",TRUE,SUMPRODUCT(--ISNUMBER(SEARCH(","&amp;TRIM(TEXTSPLIT(FK127,","))&amp;",",","&amp;SUBSTITUTE(input_industry," ","")&amp;",")))=0)),IF(FM127="",TRUE,IF(input_industry="",FALSE,SUMPRODUCT(--ISNUMBER(SEARCH(","&amp;TRIM(TEXTSPLIT(FM127,","))&amp;",",","&amp;SUBSTITUTE(input_industry," ","")&amp;",")))&gt;0)),IF(FO127="",TRUE,IF(input_industry="",FALSE,SUMPRODUCT(--ISNUMBER(SEARCH(","&amp;TRIM(TEXTSPLIT(FO127,","))&amp;",",","&amp;SUBSTITUTE(input_industry," ","")&amp;",")))=COUNTA(TEXTSPLIT(FO127,",")))))</f>
        <v/>
      </c>
      <c r="JJ127" s="19">
        <f>AND(IF(FQ127="",TRUE,IF(input_location="",FALSE,SUMPRODUCT(--ISNUMBER(SEARCH(","&amp;TRIM(TEXTSPLIT(FQ127,","))&amp;",",","&amp;SUBSTITUTE(input_location," ","")&amp;",")))&gt;0)),IF(FS127="",TRUE,IF(input_location="",FALSE,SUMPRODUCT(--ISNUMBER(SEARCH(","&amp;TRIM(TEXTSPLIT(FS127,","))&amp;",",","&amp;SUBSTITUTE(input_location," ","")&amp;",")))=COUNTA(TEXTSPLIT(FS127,",")))),IF(FU127="",TRUE,IF(input_location="",TRUE,SUMPRODUCT(--ISNUMBER(SEARCH(","&amp;TRIM(TEXTSPLIT(FU127,","))&amp;",",","&amp;SUBSTITUTE(input_location," ","")&amp;",")))=0)),IF(FW127="",TRUE,IF(input_location="",FALSE,SUMPRODUCT(--ISNUMBER(SEARCH(","&amp;TRIM(TEXTSPLIT(FW127,","))&amp;",",","&amp;SUBSTITUTE(input_location," ","")&amp;",")))&gt;0)),IF(FY127="",TRUE,IF(input_location="",FALSE,SUMPRODUCT(--ISNUMBER(SEARCH(","&amp;TRIM(TEXTSPLIT(FY127,","))&amp;",",","&amp;SUBSTITUTE(input_location," ","")&amp;",")))=COUNTA(TEXTSPLIT(FY127,",")))))</f>
        <v/>
      </c>
      <c r="JK127" s="19">
        <f>AND(IF(GA127="",TRUE,IF(input_modality="",FALSE,SUMPRODUCT(--ISNUMBER(SEARCH(","&amp;TRIM(TEXTSPLIT(GA127,","))&amp;",",","&amp;SUBSTITUTE(input_modality," ","")&amp;",")))&gt;0)),IF(GC127="",TRUE,IF(input_modality="",FALSE,SUMPRODUCT(--ISNUMBER(SEARCH(","&amp;TRIM(TEXTSPLIT(GC127,","))&amp;",",","&amp;SUBSTITUTE(input_modality," ","")&amp;",")))=COUNTA(TEXTSPLIT(GC127,",")))),IF(GE127="",TRUE,IF(input_modality="",TRUE,SUMPRODUCT(--ISNUMBER(SEARCH(","&amp;TRIM(TEXTSPLIT(GE127,","))&amp;",",","&amp;SUBSTITUTE(input_modality," ","")&amp;",")))=0)),IF(GG127="",TRUE,IF(input_modality="",FALSE,SUMPRODUCT(--ISNUMBER(SEARCH(","&amp;TRIM(TEXTSPLIT(GG127,","))&amp;",",","&amp;SUBSTITUTE(input_modality," ","")&amp;",")))&gt;0)),IF(GI127="",TRUE,IF(input_modality="",FALSE,SUMPRODUCT(--ISNUMBER(SEARCH(","&amp;TRIM(TEXTSPLIT(GI127,","))&amp;",",","&amp;SUBSTITUTE(input_modality," ","")&amp;",")))=COUNTA(TEXTSPLIT(GI127,",")))))</f>
        <v/>
      </c>
      <c r="JL127" s="19">
        <f>AND(IF(GK127="",TRUE,IF(input_organizer="",FALSE,SUMPRODUCT(--ISNUMBER(SEARCH(","&amp;TRIM(TEXTSPLIT(GK127,","))&amp;",",","&amp;SUBSTITUTE(input_organizer," ","")&amp;",")))&gt;0)),IF(GM127="",TRUE,IF(input_organizer="",FALSE,SUMPRODUCT(--ISNUMBER(SEARCH(","&amp;TRIM(TEXTSPLIT(GM127,","))&amp;",",","&amp;SUBSTITUTE(input_organizer," ","")&amp;",")))=COUNTA(TEXTSPLIT(GM127,",")))),IF(GO127="",TRUE,IF(input_organizer="",TRUE,SUMPRODUCT(--ISNUMBER(SEARCH(","&amp;TRIM(TEXTSPLIT(GO127,","))&amp;",",","&amp;SUBSTITUTE(input_organizer," ","")&amp;",")))=0)),IF(GQ127="",TRUE,IF(input_organizer="",FALSE,SUMPRODUCT(--ISNUMBER(SEARCH(","&amp;TRIM(TEXTSPLIT(GQ127,","))&amp;",",","&amp;SUBSTITUTE(input_organizer," ","")&amp;",")))&gt;0)),IF(GS127="",TRUE,IF(input_organizer="",FALSE,SUMPRODUCT(--ISNUMBER(SEARCH(","&amp;TRIM(TEXTSPLIT(GS127,","))&amp;",",","&amp;SUBSTITUTE(input_organizer," ","")&amp;",")))=COUNTA(TEXTSPLIT(GS127,",")))))</f>
        <v/>
      </c>
      <c r="JM127" s="19">
        <f>AND(IF(GU127="",TRUE,IF(input_profile_type="",FALSE,SUMPRODUCT(--ISNUMBER(SEARCH(","&amp;TRIM(TEXTSPLIT(GU127,","))&amp;",",","&amp;SUBSTITUTE(input_profile_type," ","")&amp;",")))&gt;0)),IF(GW127="",TRUE,IF(input_profile_type="",FALSE,SUMPRODUCT(--ISNUMBER(SEARCH(","&amp;TRIM(TEXTSPLIT(GW127,","))&amp;",",","&amp;SUBSTITUTE(input_profile_type," ","")&amp;",")))=COUNTA(TEXTSPLIT(GW127,",")))),IF(GY127="",TRUE,IF(input_profile_type="",TRUE,SUMPRODUCT(--ISNUMBER(SEARCH(","&amp;TRIM(TEXTSPLIT(GY127,","))&amp;",",","&amp;SUBSTITUTE(input_profile_type," ","")&amp;",")))=0)),IF(HA127="",TRUE,IF(input_profile_type="",FALSE,SUMPRODUCT(--ISNUMBER(SEARCH(","&amp;TRIM(TEXTSPLIT(HA127,","))&amp;",",","&amp;SUBSTITUTE(input_profile_type," ","")&amp;",")))&gt;0)),IF(HC127="",TRUE,IF(input_profile_type="",FALSE,SUMPRODUCT(--ISNUMBER(SEARCH(","&amp;TRIM(TEXTSPLIT(HC127,","))&amp;",",","&amp;SUBSTITUTE(input_profile_type," ","")&amp;",")))=COUNTA(TEXTSPLIT(HC127,",")))))</f>
        <v/>
      </c>
      <c r="JN127" s="19">
        <f>AND(IF(HE127="",TRUE,IF(input_program="",FALSE,SUMPRODUCT(--ISNUMBER(SEARCH(","&amp;TRIM(TEXTSPLIT(HE127,","))&amp;",",","&amp;SUBSTITUTE(input_program," ","")&amp;",")))&gt;0)),IF(HG127="",TRUE,IF(input_program="",FALSE,SUMPRODUCT(--ISNUMBER(SEARCH(","&amp;TRIM(TEXTSPLIT(HG127,","))&amp;",",","&amp;SUBSTITUTE(input_program," ","")&amp;",")))=COUNTA(TEXTSPLIT(HG127,",")))),IF(HI127="",TRUE,IF(input_program="",TRUE,SUMPRODUCT(--ISNUMBER(SEARCH(","&amp;TRIM(TEXTSPLIT(HI127,","))&amp;",",","&amp;SUBSTITUTE(input_program," ","")&amp;",")))=0)),IF(HK127="",TRUE,IF(input_program="",FALSE,SUMPRODUCT(--ISNUMBER(SEARCH(","&amp;TRIM(TEXTSPLIT(HK127,","))&amp;",",","&amp;SUBSTITUTE(input_program," ","")&amp;",")))&gt;0)),IF(HM127="",TRUE,IF(input_program="",FALSE,SUMPRODUCT(--ISNUMBER(SEARCH(","&amp;TRIM(TEXTSPLIT(HM127,","))&amp;",",","&amp;SUBSTITUTE(input_program," ","")&amp;",")))=COUNTA(TEXTSPLIT(HM127,",")))))</f>
        <v/>
      </c>
      <c r="JO127" s="19">
        <f>AND(IF(HO127="",TRUE,IF(input_story_categories="",FALSE,SUMPRODUCT(--ISNUMBER(SEARCH(","&amp;TRIM(TEXTSPLIT(HO127,","))&amp;",",","&amp;SUBSTITUTE(input_story_categories," ","")&amp;",")))&gt;0)),IF(HQ127="",TRUE,IF(input_story_categories="",FALSE,SUMPRODUCT(--ISNUMBER(SEARCH(","&amp;TRIM(TEXTSPLIT(HQ127,","))&amp;",",","&amp;SUBSTITUTE(input_story_categories," ","")&amp;",")))=COUNTA(TEXTSPLIT(HQ127,",")))),IF(HS127="",TRUE,IF(input_story_categories="",TRUE,SUMPRODUCT(--ISNUMBER(SEARCH(","&amp;TRIM(TEXTSPLIT(HS127,","))&amp;",",","&amp;SUBSTITUTE(input_story_categories," ","")&amp;",")))=0)),IF(HU127="",TRUE,IF(input_story_categories="",FALSE,SUMPRODUCT(--ISNUMBER(SEARCH(","&amp;TRIM(TEXTSPLIT(HU127,","))&amp;",",","&amp;SUBSTITUTE(input_story_categories," ","")&amp;",")))&gt;0)),IF(HW127="",TRUE,IF(input_story_categories="",FALSE,SUMPRODUCT(--ISNUMBER(SEARCH(","&amp;TRIM(TEXTSPLIT(HW127,","))&amp;",",","&amp;SUBSTITUTE(input_story_categories," ","")&amp;",")))=COUNTA(TEXTSPLIT(HW127,",")))))</f>
        <v/>
      </c>
      <c r="JP127" s="19">
        <f>AND(IF(HY127="",TRUE,IF(input_story_type="",FALSE,SUMPRODUCT(--ISNUMBER(SEARCH(","&amp;TRIM(TEXTSPLIT(HY127,","))&amp;",",","&amp;SUBSTITUTE(input_story_type," ","")&amp;",")))&gt;0)),IF(IA127="",TRUE,IF(input_story_type="",FALSE,SUMPRODUCT(--ISNUMBER(SEARCH(","&amp;TRIM(TEXTSPLIT(IA127,","))&amp;",",","&amp;SUBSTITUTE(input_story_type," ","")&amp;",")))=COUNTA(TEXTSPLIT(IA127,",")))),IF(IC127="",TRUE,IF(input_story_type="",TRUE,SUMPRODUCT(--ISNUMBER(SEARCH(","&amp;TRIM(TEXTSPLIT(IC127,","))&amp;",",","&amp;SUBSTITUTE(input_story_type," ","")&amp;",")))=0)),IF(IE127="",TRUE,IF(input_story_type="",FALSE,SUMPRODUCT(--ISNUMBER(SEARCH(","&amp;TRIM(TEXTSPLIT(IE127,","))&amp;",",","&amp;SUBSTITUTE(input_story_type," ","")&amp;",")))&gt;0)),IF(IG127="",TRUE,IF(input_story_type="",FALSE,SUMPRODUCT(--ISNUMBER(SEARCH(","&amp;TRIM(TEXTSPLIT(IG127,","))&amp;",",","&amp;SUBSTITUTE(input_story_type," ","")&amp;",")))=COUNTA(TEXTSPLIT(IG127,",")))))</f>
        <v/>
      </c>
      <c r="JQ127" s="19">
        <f>AND(IF(II127="",TRUE,IF(input_topics="",FALSE,SUMPRODUCT(--ISNUMBER(SEARCH(","&amp;TRIM(TEXTSPLIT(II127,","))&amp;",",","&amp;SUBSTITUTE(input_topics," ","")&amp;",")))&gt;0)),IF(IK127="",TRUE,IF(input_topics="",FALSE,SUMPRODUCT(--ISNUMBER(SEARCH(","&amp;TRIM(TEXTSPLIT(IK127,","))&amp;",",","&amp;SUBSTITUTE(input_topics," ","")&amp;",")))=COUNTA(TEXTSPLIT(IK127,",")))),IF(IM127="",TRUE,IF(input_topics="",TRUE,SUMPRODUCT(--ISNUMBER(SEARCH(","&amp;TRIM(TEXTSPLIT(IM127,","))&amp;",",","&amp;SUBSTITUTE(input_topics," ","")&amp;",")))=0)),IF(IO127="",TRUE,IF(input_topics="",FALSE,SUMPRODUCT(--ISNUMBER(SEARCH(","&amp;TRIM(TEXTSPLIT(IO127,","))&amp;",",","&amp;SUBSTITUTE(input_topics," ","")&amp;",")))&gt;0)),IF(IQ127="",TRUE,IF(input_topics="",FALSE,SUMPRODUCT(--ISNUMBER(SEARCH(","&amp;TRIM(TEXTSPLIT(IQ127,","))&amp;",",","&amp;SUBSTITUTE(input_topics," ","")&amp;",")))=COUNTA(TEXTSPLIT(IQ127,",")))))</f>
        <v/>
      </c>
    </row>
    <row r="128">
      <c r="A128" s="24">
        <f>IF(NOT(IS128),"Excluded",IF(AND(IT128,IU128,IV128,IW128,IX128,IY128,IZ128,JA128,JB128,JC128,JD128,JE128,JF128,JG128,JH128,JI128,JJ128,JK128,JL128,JM128,JN128,JO128,JP128,JQ128),IF(I128&gt;0,"Eligible but limited","Will appear"),"Excluded"))</f>
        <v/>
      </c>
      <c r="B128" s="24" t="inlineStr">
        <is>
          <t>MBA Blog &amp; News</t>
        </is>
      </c>
      <c r="C128" s="27" t="inlineStr">
        <is>
          <t>/programs/mba/blog-news</t>
        </is>
      </c>
      <c r="D128" s="24" t="inlineStr">
        <is>
          <t>/programs/mba/blog-news</t>
        </is>
      </c>
      <c r="E128" s="24" t="n">
        <v>1</v>
      </c>
      <c r="F128" s="24" t="inlineStr">
        <is>
          <t>story</t>
        </is>
      </c>
      <c r="G128" s="24" t="inlineStr">
        <is>
          <t>stories_list</t>
        </is>
      </c>
      <c r="H128" s="24" t="inlineStr">
        <is>
          <t>embed_1</t>
        </is>
      </c>
      <c r="I128" s="24" t="n">
        <v>10</v>
      </c>
      <c r="J128" s="28" t="inlineStr">
        <is>
          <t>Explicit args</t>
        </is>
      </c>
      <c r="K128" s="24" t="inlineStr">
        <is>
          <t>Page placement</t>
        </is>
      </c>
      <c r="L128" s="24" t="inlineStr">
        <is>
          <t>Content type: story; Context uses Courses Context: MBA (92), Programs (94), Residential master's programs (1571); Limited to 10 item(s); Source: Explicit args</t>
        </is>
      </c>
      <c r="BQ128" s="19" t="inlineStr">
        <is>
          <t>92, 94, 1571</t>
        </is>
      </c>
      <c r="BR128" s="19" t="inlineStr">
        <is>
          <t>MBA (92), Programs (94), Residential master's programs (1571)</t>
        </is>
      </c>
      <c r="IS128" s="19">
        <f>IF(input_content_type="",FALSE,ISNUMBER(SEARCH(","&amp;LOWER(input_content_type)&amp;",",","&amp;LOWER(SUBSTITUTE(F128," ",""))&amp;",")))</f>
        <v/>
      </c>
      <c r="IT128" s="19">
        <f>AND(IF(M128="",TRUE,IF(input_affiliations="",FALSE,SUMPRODUCT(--ISNUMBER(SEARCH(","&amp;TRIM(TEXTSPLIT(M128,","))&amp;",",","&amp;SUBSTITUTE(input_affiliations," ","")&amp;",")))&gt;0)),IF(O128="",TRUE,IF(input_affiliations="",FALSE,SUMPRODUCT(--ISNUMBER(SEARCH(","&amp;TRIM(TEXTSPLIT(O128,","))&amp;",",","&amp;SUBSTITUTE(input_affiliations," ","")&amp;",")))=COUNTA(TEXTSPLIT(O128,",")))),IF(Q128="",TRUE,IF(input_affiliations="",TRUE,SUMPRODUCT(--ISNUMBER(SEARCH(","&amp;TRIM(TEXTSPLIT(Q128,","))&amp;",",","&amp;SUBSTITUTE(input_affiliations," ","")&amp;",")))=0)),IF(S128="",TRUE,IF(input_affiliations="",FALSE,SUMPRODUCT(--ISNUMBER(SEARCH(","&amp;TRIM(TEXTSPLIT(S128,","))&amp;",",","&amp;SUBSTITUTE(input_affiliations," ","")&amp;",")))&gt;0)),IF(U128="",TRUE,IF(input_affiliations="",FALSE,SUMPRODUCT(--ISNUMBER(SEARCH(","&amp;TRIM(TEXTSPLIT(U128,","))&amp;",",","&amp;SUBSTITUTE(input_affiliations," ","")&amp;",")))=COUNTA(TEXTSPLIT(U128,",")))))</f>
        <v/>
      </c>
      <c r="IU128" s="19">
        <f>AND(IF(W128="",TRUE,IF(input_announcement_category="",FALSE,SUMPRODUCT(--ISNUMBER(SEARCH(","&amp;TRIM(TEXTSPLIT(W128,","))&amp;",",","&amp;SUBSTITUTE(input_announcement_category," ","")&amp;",")))&gt;0)),IF(Y128="",TRUE,IF(input_announcement_category="",FALSE,SUMPRODUCT(--ISNUMBER(SEARCH(","&amp;TRIM(TEXTSPLIT(Y128,","))&amp;",",","&amp;SUBSTITUTE(input_announcement_category," ","")&amp;",")))=COUNTA(TEXTSPLIT(Y128,",")))),IF(AA128="",TRUE,IF(input_announcement_category="",TRUE,SUMPRODUCT(--ISNUMBER(SEARCH(","&amp;TRIM(TEXTSPLIT(AA128,","))&amp;",",","&amp;SUBSTITUTE(input_announcement_category," ","")&amp;",")))=0)),IF(AC128="",TRUE,IF(input_announcement_category="",FALSE,SUMPRODUCT(--ISNUMBER(SEARCH(","&amp;TRIM(TEXTSPLIT(AC128,","))&amp;",",","&amp;SUBSTITUTE(input_announcement_category," ","")&amp;",")))&gt;0)),IF(AE128="",TRUE,IF(input_announcement_category="",FALSE,SUMPRODUCT(--ISNUMBER(SEARCH(","&amp;TRIM(TEXTSPLIT(AE128,","))&amp;",",","&amp;SUBSTITUTE(input_announcement_category," ","")&amp;",")))=COUNTA(TEXTSPLIT(AE128,",")))))</f>
        <v/>
      </c>
      <c r="IV128" s="19">
        <f>AND(IF(AG128="",TRUE,IF(input_area_of_focus="",FALSE,SUMPRODUCT(--ISNUMBER(SEARCH(","&amp;TRIM(TEXTSPLIT(AG128,","))&amp;",",","&amp;SUBSTITUTE(input_area_of_focus," ","")&amp;",")))&gt;0)),IF(AI128="",TRUE,IF(input_area_of_focus="",FALSE,SUMPRODUCT(--ISNUMBER(SEARCH(","&amp;TRIM(TEXTSPLIT(AI128,","))&amp;",",","&amp;SUBSTITUTE(input_area_of_focus," ","")&amp;",")))=COUNTA(TEXTSPLIT(AI128,",")))),IF(AK128="",TRUE,IF(input_area_of_focus="",TRUE,SUMPRODUCT(--ISNUMBER(SEARCH(","&amp;TRIM(TEXTSPLIT(AK128,","))&amp;",",","&amp;SUBSTITUTE(input_area_of_focus," ","")&amp;",")))=0)),IF(AM128="",TRUE,IF(input_area_of_focus="",FALSE,SUMPRODUCT(--ISNUMBER(SEARCH(","&amp;TRIM(TEXTSPLIT(AM128,","))&amp;",",","&amp;SUBSTITUTE(input_area_of_focus," ","")&amp;",")))&gt;0)),IF(AO128="",TRUE,IF(input_area_of_focus="",FALSE,SUMPRODUCT(--ISNUMBER(SEARCH(","&amp;TRIM(TEXTSPLIT(AO128,","))&amp;",",","&amp;SUBSTITUTE(input_area_of_focus," ","")&amp;",")))=COUNTA(TEXTSPLIT(AO128,",")))))</f>
        <v/>
      </c>
      <c r="IW128" s="19">
        <f>AND(IF(AQ128="",TRUE,IF(input_audience="",FALSE,SUMPRODUCT(--ISNUMBER(SEARCH(","&amp;TRIM(TEXTSPLIT(AQ128,","))&amp;",",","&amp;SUBSTITUTE(input_audience," ","")&amp;",")))&gt;0)),IF(AS128="",TRUE,IF(input_audience="",FALSE,SUMPRODUCT(--ISNUMBER(SEARCH(","&amp;TRIM(TEXTSPLIT(AS128,","))&amp;",",","&amp;SUBSTITUTE(input_audience," ","")&amp;",")))=COUNTA(TEXTSPLIT(AS128,",")))),IF(AU128="",TRUE,IF(input_audience="",TRUE,SUMPRODUCT(--ISNUMBER(SEARCH(","&amp;TRIM(TEXTSPLIT(AU128,","))&amp;",",","&amp;SUBSTITUTE(input_audience," ","")&amp;",")))=0)),IF(AW128="",TRUE,IF(input_audience="",FALSE,SUMPRODUCT(--ISNUMBER(SEARCH(","&amp;TRIM(TEXTSPLIT(AW128,","))&amp;",",","&amp;SUBSTITUTE(input_audience," ","")&amp;",")))&gt;0)),IF(AY128="",TRUE,IF(input_audience="",FALSE,SUMPRODUCT(--ISNUMBER(SEARCH(","&amp;TRIM(TEXTSPLIT(AY128,","))&amp;",",","&amp;SUBSTITUTE(input_audience," ","")&amp;",")))=COUNTA(TEXTSPLIT(AY128,",")))))</f>
        <v/>
      </c>
      <c r="IX128" s="19">
        <f>AND(IF(BA128="",TRUE,IF(input_challenge_opportunities="",FALSE,SUMPRODUCT(--ISNUMBER(SEARCH(","&amp;TRIM(TEXTSPLIT(BA128,","))&amp;",",","&amp;SUBSTITUTE(input_challenge_opportunities," ","")&amp;",")))&gt;0)),IF(BC128="",TRUE,IF(input_challenge_opportunities="",FALSE,SUMPRODUCT(--ISNUMBER(SEARCH(","&amp;TRIM(TEXTSPLIT(BC128,","))&amp;",",","&amp;SUBSTITUTE(input_challenge_opportunities," ","")&amp;",")))=COUNTA(TEXTSPLIT(BC128,",")))),IF(BE128="",TRUE,IF(input_challenge_opportunities="",TRUE,SUMPRODUCT(--ISNUMBER(SEARCH(","&amp;TRIM(TEXTSPLIT(BE128,","))&amp;",",","&amp;SUBSTITUTE(input_challenge_opportunities," ","")&amp;",")))=0)),IF(BG128="",TRUE,IF(input_challenge_opportunities="",FALSE,SUMPRODUCT(--ISNUMBER(SEARCH(","&amp;TRIM(TEXTSPLIT(BG128,","))&amp;",",","&amp;SUBSTITUTE(input_challenge_opportunities," ","")&amp;",")))&gt;0)),IF(BI128="",TRUE,IF(input_challenge_opportunities="",FALSE,SUMPRODUCT(--ISNUMBER(SEARCH(","&amp;TRIM(TEXTSPLIT(BI128,","))&amp;",",","&amp;SUBSTITUTE(input_challenge_opportunities," ","")&amp;",")))=COUNTA(TEXTSPLIT(BI128,",")))))</f>
        <v/>
      </c>
      <c r="IY128" s="19">
        <f>AND(IF(BK128="",TRUE,IF(input_context="",FALSE,SUMPRODUCT(--ISNUMBER(SEARCH(","&amp;TRIM(TEXTSPLIT(BK128,","))&amp;",",","&amp;SUBSTITUTE(input_context," ","")&amp;",")))&gt;0)),IF(BM128="",TRUE,IF(input_context="",FALSE,SUMPRODUCT(--ISNUMBER(SEARCH(","&amp;TRIM(TEXTSPLIT(BM128,","))&amp;",",","&amp;SUBSTITUTE(input_context," ","")&amp;",")))=COUNTA(TEXTSPLIT(BM128,",")))),IF(BO128="",TRUE,IF(input_context="",TRUE,SUMPRODUCT(--ISNUMBER(SEARCH(","&amp;TRIM(TEXTSPLIT(BO128,","))&amp;",",","&amp;SUBSTITUTE(input_context," ","")&amp;",")))=0)),IF(BQ128="",TRUE,IF(input_context="",FALSE,SUMPRODUCT(--ISNUMBER(SEARCH(","&amp;TRIM(TEXTSPLIT(BQ128,","))&amp;",",","&amp;SUBSTITUTE(input_context," ","")&amp;",")))&gt;0)),IF(BS128="",TRUE,IF(input_context="",FALSE,SUMPRODUCT(--ISNUMBER(SEARCH(","&amp;TRIM(TEXTSPLIT(BS128,","))&amp;",",","&amp;SUBSTITUTE(input_context," ","")&amp;",")))=COUNTA(TEXTSPLIT(BS128,",")))))</f>
        <v/>
      </c>
      <c r="IZ128" s="19">
        <f>AND(IF(BU128="",TRUE,IF(input_enews_announcement_type="",FALSE,SUMPRODUCT(--ISNUMBER(SEARCH(","&amp;TRIM(TEXTSPLIT(BU128,","))&amp;",",","&amp;SUBSTITUTE(input_enews_announcement_type," ","")&amp;",")))&gt;0)),IF(BW128="",TRUE,IF(input_enews_announcement_type="",FALSE,SUMPRODUCT(--ISNUMBER(SEARCH(","&amp;TRIM(TEXTSPLIT(BW128,","))&amp;",",","&amp;SUBSTITUTE(input_enews_announcement_type," ","")&amp;",")))=COUNTA(TEXTSPLIT(BW128,",")))),IF(BY128="",TRUE,IF(input_enews_announcement_type="",TRUE,SUMPRODUCT(--ISNUMBER(SEARCH(","&amp;TRIM(TEXTSPLIT(BY128,","))&amp;",",","&amp;SUBSTITUTE(input_enews_announcement_type," ","")&amp;",")))=0)),IF(CA128="",TRUE,IF(input_enews_announcement_type="",FALSE,SUMPRODUCT(--ISNUMBER(SEARCH(","&amp;TRIM(TEXTSPLIT(CA128,","))&amp;",",","&amp;SUBSTITUTE(input_enews_announcement_type," ","")&amp;",")))&gt;0)),IF(CC128="",TRUE,IF(input_enews_announcement_type="",FALSE,SUMPRODUCT(--ISNUMBER(SEARCH(","&amp;TRIM(TEXTSPLIT(CC128,","))&amp;",",","&amp;SUBSTITUTE(input_enews_announcement_type," ","")&amp;",")))=COUNTA(TEXTSPLIT(CC128,",")))))</f>
        <v/>
      </c>
      <c r="JA128" s="19">
        <f>AND(IF(CE128="",TRUE,IF(input_enews_audience="",FALSE,SUMPRODUCT(--ISNUMBER(SEARCH(","&amp;TRIM(TEXTSPLIT(CE128,","))&amp;",",","&amp;SUBSTITUTE(input_enews_audience," ","")&amp;",")))&gt;0)),IF(CG128="",TRUE,IF(input_enews_audience="",FALSE,SUMPRODUCT(--ISNUMBER(SEARCH(","&amp;TRIM(TEXTSPLIT(CG128,","))&amp;",",","&amp;SUBSTITUTE(input_enews_audience," ","")&amp;",")))=COUNTA(TEXTSPLIT(CG128,",")))),IF(CI128="",TRUE,IF(input_enews_audience="",TRUE,SUMPRODUCT(--ISNUMBER(SEARCH(","&amp;TRIM(TEXTSPLIT(CI128,","))&amp;",",","&amp;SUBSTITUTE(input_enews_audience," ","")&amp;",")))=0)),IF(CK128="",TRUE,IF(input_enews_audience="",FALSE,SUMPRODUCT(--ISNUMBER(SEARCH(","&amp;TRIM(TEXTSPLIT(CK128,","))&amp;",",","&amp;SUBSTITUTE(input_enews_audience," ","")&amp;",")))&gt;0)),IF(CM128="",TRUE,IF(input_enews_audience="",FALSE,SUMPRODUCT(--ISNUMBER(SEARCH(","&amp;TRIM(TEXTSPLIT(CM128,","))&amp;",",","&amp;SUBSTITUTE(input_enews_audience," ","")&amp;",")))=COUNTA(TEXTSPLIT(CM128,",")))))</f>
        <v/>
      </c>
      <c r="JB128" s="19">
        <f>AND(IF(CO128="",TRUE,IF(input_event_location="",FALSE,SUMPRODUCT(--ISNUMBER(SEARCH(","&amp;TRIM(TEXTSPLIT(CO128,","))&amp;",",","&amp;SUBSTITUTE(input_event_location," ","")&amp;",")))&gt;0)),IF(CQ128="",TRUE,IF(input_event_location="",FALSE,SUMPRODUCT(--ISNUMBER(SEARCH(","&amp;TRIM(TEXTSPLIT(CQ128,","))&amp;",",","&amp;SUBSTITUTE(input_event_location," ","")&amp;",")))=COUNTA(TEXTSPLIT(CQ128,",")))),IF(CS128="",TRUE,IF(input_event_location="",TRUE,SUMPRODUCT(--ISNUMBER(SEARCH(","&amp;TRIM(TEXTSPLIT(CS128,","))&amp;",",","&amp;SUBSTITUTE(input_event_location," ","")&amp;",")))=0)),IF(CU128="",TRUE,IF(input_event_location="",FALSE,SUMPRODUCT(--ISNUMBER(SEARCH(","&amp;TRIM(TEXTSPLIT(CU128,","))&amp;",",","&amp;SUBSTITUTE(input_event_location," ","")&amp;",")))&gt;0)),IF(CW128="",TRUE,IF(input_event_location="",FALSE,SUMPRODUCT(--ISNUMBER(SEARCH(","&amp;TRIM(TEXTSPLIT(CW128,","))&amp;",",","&amp;SUBSTITUTE(input_event_location," ","")&amp;",")))=COUNTA(TEXTSPLIT(CW128,",")))))</f>
        <v/>
      </c>
      <c r="JC128" s="19">
        <f>AND(IF(CY128="",TRUE,IF(input_event_type="",FALSE,SUMPRODUCT(--ISNUMBER(SEARCH(","&amp;TRIM(TEXTSPLIT(CY128,","))&amp;",",","&amp;SUBSTITUTE(input_event_type," ","")&amp;",")))&gt;0)),IF(DA128="",TRUE,IF(input_event_type="",FALSE,SUMPRODUCT(--ISNUMBER(SEARCH(","&amp;TRIM(TEXTSPLIT(DA128,","))&amp;",",","&amp;SUBSTITUTE(input_event_type," ","")&amp;",")))=COUNTA(TEXTSPLIT(DA128,",")))),IF(DC128="",TRUE,IF(input_event_type="",TRUE,SUMPRODUCT(--ISNUMBER(SEARCH(","&amp;TRIM(TEXTSPLIT(DC128,","))&amp;",",","&amp;SUBSTITUTE(input_event_type," ","")&amp;",")))=0)),IF(DE128="",TRUE,IF(input_event_type="",FALSE,SUMPRODUCT(--ISNUMBER(SEARCH(","&amp;TRIM(TEXTSPLIT(DE128,","))&amp;",",","&amp;SUBSTITUTE(input_event_type," ","")&amp;",")))&gt;0)),IF(DG128="",TRUE,IF(input_event_type="",FALSE,SUMPRODUCT(--ISNUMBER(SEARCH(","&amp;TRIM(TEXTSPLIT(DG128,","))&amp;",",","&amp;SUBSTITUTE(input_event_type," ","")&amp;",")))=COUNTA(TEXTSPLIT(DG128,",")))))</f>
        <v/>
      </c>
      <c r="JD128" s="19">
        <f>AND(IF(DI128="",TRUE,IF(input_executive_education_focus="",FALSE,SUMPRODUCT(--ISNUMBER(SEARCH(","&amp;TRIM(TEXTSPLIT(DI128,","))&amp;",",","&amp;SUBSTITUTE(input_executive_education_focus," ","")&amp;",")))&gt;0)),IF(DK128="",TRUE,IF(input_executive_education_focus="",FALSE,SUMPRODUCT(--ISNUMBER(SEARCH(","&amp;TRIM(TEXTSPLIT(DK128,","))&amp;",",","&amp;SUBSTITUTE(input_executive_education_focus," ","")&amp;",")))=COUNTA(TEXTSPLIT(DK128,",")))),IF(DM128="",TRUE,IF(input_executive_education_focus="",TRUE,SUMPRODUCT(--ISNUMBER(SEARCH(","&amp;TRIM(TEXTSPLIT(DM128,","))&amp;",",","&amp;SUBSTITUTE(input_executive_education_focus," ","")&amp;",")))=0)),IF(DO128="",TRUE,IF(input_executive_education_focus="",FALSE,SUMPRODUCT(--ISNUMBER(SEARCH(","&amp;TRIM(TEXTSPLIT(DO128,","))&amp;",",","&amp;SUBSTITUTE(input_executive_education_focus," ","")&amp;",")))&gt;0)),IF(DQ128="",TRUE,IF(input_executive_education_focus="",FALSE,SUMPRODUCT(--ISNUMBER(SEARCH(","&amp;TRIM(TEXTSPLIT(DQ128,","))&amp;",",","&amp;SUBSTITUTE(input_executive_education_focus," ","")&amp;",")))=COUNTA(TEXTSPLIT(DQ128,",")))))</f>
        <v/>
      </c>
      <c r="JE128" s="19">
        <f>AND(IF(DS128="",TRUE,IF(input_faculty_category="",FALSE,SUMPRODUCT(--ISNUMBER(SEARCH(","&amp;TRIM(TEXTSPLIT(DS128,","))&amp;",",","&amp;SUBSTITUTE(input_faculty_category," ","")&amp;",")))&gt;0)),IF(DU128="",TRUE,IF(input_faculty_category="",FALSE,SUMPRODUCT(--ISNUMBER(SEARCH(","&amp;TRIM(TEXTSPLIT(DU128,","))&amp;",",","&amp;SUBSTITUTE(input_faculty_category," ","")&amp;",")))=COUNTA(TEXTSPLIT(DU128,",")))),IF(DW128="",TRUE,IF(input_faculty_category="",TRUE,SUMPRODUCT(--ISNUMBER(SEARCH(","&amp;TRIM(TEXTSPLIT(DW128,","))&amp;",",","&amp;SUBSTITUTE(input_faculty_category," ","")&amp;",")))=0)),IF(DY128="",TRUE,IF(input_faculty_category="",FALSE,SUMPRODUCT(--ISNUMBER(SEARCH(","&amp;TRIM(TEXTSPLIT(DY128,","))&amp;",",","&amp;SUBSTITUTE(input_faculty_category," ","")&amp;",")))&gt;0)),IF(EA128="",TRUE,IF(input_faculty_category="",FALSE,SUMPRODUCT(--ISNUMBER(SEARCH(","&amp;TRIM(TEXTSPLIT(EA128,","))&amp;",",","&amp;SUBSTITUTE(input_faculty_category," ","")&amp;",")))=COUNTA(TEXTSPLIT(EA128,",")))))</f>
        <v/>
      </c>
      <c r="JF128" s="19">
        <f>AND(IF(EC128="",TRUE,IF(input_faculty_discipline="",FALSE,SUMPRODUCT(--ISNUMBER(SEARCH(","&amp;TRIM(TEXTSPLIT(EC128,","))&amp;",",","&amp;SUBSTITUTE(input_faculty_discipline," ","")&amp;",")))&gt;0)),IF(EE128="",TRUE,IF(input_faculty_discipline="",FALSE,SUMPRODUCT(--ISNUMBER(SEARCH(","&amp;TRIM(TEXTSPLIT(EE128,","))&amp;",",","&amp;SUBSTITUTE(input_faculty_discipline," ","")&amp;",")))=COUNTA(TEXTSPLIT(EE128,",")))),IF(EG128="",TRUE,IF(input_faculty_discipline="",TRUE,SUMPRODUCT(--ISNUMBER(SEARCH(","&amp;TRIM(TEXTSPLIT(EG128,","))&amp;",",","&amp;SUBSTITUTE(input_faculty_discipline," ","")&amp;",")))=0)),IF(EI128="",TRUE,IF(input_faculty_discipline="",FALSE,SUMPRODUCT(--ISNUMBER(SEARCH(","&amp;TRIM(TEXTSPLIT(EI128,","))&amp;",",","&amp;SUBSTITUTE(input_faculty_discipline," ","")&amp;",")))&gt;0)),IF(EK128="",TRUE,IF(input_faculty_discipline="",FALSE,SUMPRODUCT(--ISNUMBER(SEARCH(","&amp;TRIM(TEXTSPLIT(EK128,","))&amp;",",","&amp;SUBSTITUTE(input_faculty_discipline," ","")&amp;",")))=COUNTA(TEXTSPLIT(EK128,",")))))</f>
        <v/>
      </c>
      <c r="JG128" s="19">
        <f>AND(IF(EM128="",TRUE,IF(input_faculty_expertise="",FALSE,SUMPRODUCT(--ISNUMBER(SEARCH(","&amp;TRIM(TEXTSPLIT(EM128,","))&amp;",",","&amp;SUBSTITUTE(input_faculty_expertise," ","")&amp;",")))&gt;0)),IF(EO128="",TRUE,IF(input_faculty_expertise="",FALSE,SUMPRODUCT(--ISNUMBER(SEARCH(","&amp;TRIM(TEXTSPLIT(EO128,","))&amp;",",","&amp;SUBSTITUTE(input_faculty_expertise," ","")&amp;",")))=COUNTA(TEXTSPLIT(EO128,",")))),IF(EQ128="",TRUE,IF(input_faculty_expertise="",TRUE,SUMPRODUCT(--ISNUMBER(SEARCH(","&amp;TRIM(TEXTSPLIT(EQ128,","))&amp;",",","&amp;SUBSTITUTE(input_faculty_expertise," ","")&amp;",")))=0)),IF(ES128="",TRUE,IF(input_faculty_expertise="",FALSE,SUMPRODUCT(--ISNUMBER(SEARCH(","&amp;TRIM(TEXTSPLIT(ES128,","))&amp;",",","&amp;SUBSTITUTE(input_faculty_expertise," ","")&amp;",")))&gt;0)),IF(EU128="",TRUE,IF(input_faculty_expertise="",FALSE,SUMPRODUCT(--ISNUMBER(SEARCH(","&amp;TRIM(TEXTSPLIT(EU128,","))&amp;",",","&amp;SUBSTITUTE(input_faculty_expertise," ","")&amp;",")))=COUNTA(TEXTSPLIT(EU128,",")))))</f>
        <v/>
      </c>
      <c r="JH128" s="19">
        <f>AND(IF(EW128="",TRUE,IF(input_global_network_school="",FALSE,SUMPRODUCT(--ISNUMBER(SEARCH(","&amp;TRIM(TEXTSPLIT(EW128,","))&amp;",",","&amp;SUBSTITUTE(input_global_network_school," ","")&amp;",")))&gt;0)),IF(EY128="",TRUE,IF(input_global_network_school="",FALSE,SUMPRODUCT(--ISNUMBER(SEARCH(","&amp;TRIM(TEXTSPLIT(EY128,","))&amp;",",","&amp;SUBSTITUTE(input_global_network_school," ","")&amp;",")))=COUNTA(TEXTSPLIT(EY128,",")))),IF(FA128="",TRUE,IF(input_global_network_school="",TRUE,SUMPRODUCT(--ISNUMBER(SEARCH(","&amp;TRIM(TEXTSPLIT(FA128,","))&amp;",",","&amp;SUBSTITUTE(input_global_network_school," ","")&amp;",")))=0)),IF(FC128="",TRUE,IF(input_global_network_school="",FALSE,SUMPRODUCT(--ISNUMBER(SEARCH(","&amp;TRIM(TEXTSPLIT(FC128,","))&amp;",",","&amp;SUBSTITUTE(input_global_network_school," ","")&amp;",")))&gt;0)),IF(FE128="",TRUE,IF(input_global_network_school="",FALSE,SUMPRODUCT(--ISNUMBER(SEARCH(","&amp;TRIM(TEXTSPLIT(FE128,","))&amp;",",","&amp;SUBSTITUTE(input_global_network_school," ","")&amp;",")))=COUNTA(TEXTSPLIT(FE128,",")))))</f>
        <v/>
      </c>
      <c r="JI128" s="19">
        <f>AND(IF(FG128="",TRUE,IF(input_industry="",FALSE,SUMPRODUCT(--ISNUMBER(SEARCH(","&amp;TRIM(TEXTSPLIT(FG128,","))&amp;",",","&amp;SUBSTITUTE(input_industry," ","")&amp;",")))&gt;0)),IF(FI128="",TRUE,IF(input_industry="",FALSE,SUMPRODUCT(--ISNUMBER(SEARCH(","&amp;TRIM(TEXTSPLIT(FI128,","))&amp;",",","&amp;SUBSTITUTE(input_industry," ","")&amp;",")))=COUNTA(TEXTSPLIT(FI128,",")))),IF(FK128="",TRUE,IF(input_industry="",TRUE,SUMPRODUCT(--ISNUMBER(SEARCH(","&amp;TRIM(TEXTSPLIT(FK128,","))&amp;",",","&amp;SUBSTITUTE(input_industry," ","")&amp;",")))=0)),IF(FM128="",TRUE,IF(input_industry="",FALSE,SUMPRODUCT(--ISNUMBER(SEARCH(","&amp;TRIM(TEXTSPLIT(FM128,","))&amp;",",","&amp;SUBSTITUTE(input_industry," ","")&amp;",")))&gt;0)),IF(FO128="",TRUE,IF(input_industry="",FALSE,SUMPRODUCT(--ISNUMBER(SEARCH(","&amp;TRIM(TEXTSPLIT(FO128,","))&amp;",",","&amp;SUBSTITUTE(input_industry," ","")&amp;",")))=COUNTA(TEXTSPLIT(FO128,",")))))</f>
        <v/>
      </c>
      <c r="JJ128" s="19">
        <f>AND(IF(FQ128="",TRUE,IF(input_location="",FALSE,SUMPRODUCT(--ISNUMBER(SEARCH(","&amp;TRIM(TEXTSPLIT(FQ128,","))&amp;",",","&amp;SUBSTITUTE(input_location," ","")&amp;",")))&gt;0)),IF(FS128="",TRUE,IF(input_location="",FALSE,SUMPRODUCT(--ISNUMBER(SEARCH(","&amp;TRIM(TEXTSPLIT(FS128,","))&amp;",",","&amp;SUBSTITUTE(input_location," ","")&amp;",")))=COUNTA(TEXTSPLIT(FS128,",")))),IF(FU128="",TRUE,IF(input_location="",TRUE,SUMPRODUCT(--ISNUMBER(SEARCH(","&amp;TRIM(TEXTSPLIT(FU128,","))&amp;",",","&amp;SUBSTITUTE(input_location," ","")&amp;",")))=0)),IF(FW128="",TRUE,IF(input_location="",FALSE,SUMPRODUCT(--ISNUMBER(SEARCH(","&amp;TRIM(TEXTSPLIT(FW128,","))&amp;",",","&amp;SUBSTITUTE(input_location," ","")&amp;",")))&gt;0)),IF(FY128="",TRUE,IF(input_location="",FALSE,SUMPRODUCT(--ISNUMBER(SEARCH(","&amp;TRIM(TEXTSPLIT(FY128,","))&amp;",",","&amp;SUBSTITUTE(input_location," ","")&amp;",")))=COUNTA(TEXTSPLIT(FY128,",")))))</f>
        <v/>
      </c>
      <c r="JK128" s="19">
        <f>AND(IF(GA128="",TRUE,IF(input_modality="",FALSE,SUMPRODUCT(--ISNUMBER(SEARCH(","&amp;TRIM(TEXTSPLIT(GA128,","))&amp;",",","&amp;SUBSTITUTE(input_modality," ","")&amp;",")))&gt;0)),IF(GC128="",TRUE,IF(input_modality="",FALSE,SUMPRODUCT(--ISNUMBER(SEARCH(","&amp;TRIM(TEXTSPLIT(GC128,","))&amp;",",","&amp;SUBSTITUTE(input_modality," ","")&amp;",")))=COUNTA(TEXTSPLIT(GC128,",")))),IF(GE128="",TRUE,IF(input_modality="",TRUE,SUMPRODUCT(--ISNUMBER(SEARCH(","&amp;TRIM(TEXTSPLIT(GE128,","))&amp;",",","&amp;SUBSTITUTE(input_modality," ","")&amp;",")))=0)),IF(GG128="",TRUE,IF(input_modality="",FALSE,SUMPRODUCT(--ISNUMBER(SEARCH(","&amp;TRIM(TEXTSPLIT(GG128,","))&amp;",",","&amp;SUBSTITUTE(input_modality," ","")&amp;",")))&gt;0)),IF(GI128="",TRUE,IF(input_modality="",FALSE,SUMPRODUCT(--ISNUMBER(SEARCH(","&amp;TRIM(TEXTSPLIT(GI128,","))&amp;",",","&amp;SUBSTITUTE(input_modality," ","")&amp;",")))=COUNTA(TEXTSPLIT(GI128,",")))))</f>
        <v/>
      </c>
      <c r="JL128" s="19">
        <f>AND(IF(GK128="",TRUE,IF(input_organizer="",FALSE,SUMPRODUCT(--ISNUMBER(SEARCH(","&amp;TRIM(TEXTSPLIT(GK128,","))&amp;",",","&amp;SUBSTITUTE(input_organizer," ","")&amp;",")))&gt;0)),IF(GM128="",TRUE,IF(input_organizer="",FALSE,SUMPRODUCT(--ISNUMBER(SEARCH(","&amp;TRIM(TEXTSPLIT(GM128,","))&amp;",",","&amp;SUBSTITUTE(input_organizer," ","")&amp;",")))=COUNTA(TEXTSPLIT(GM128,",")))),IF(GO128="",TRUE,IF(input_organizer="",TRUE,SUMPRODUCT(--ISNUMBER(SEARCH(","&amp;TRIM(TEXTSPLIT(GO128,","))&amp;",",","&amp;SUBSTITUTE(input_organizer," ","")&amp;",")))=0)),IF(GQ128="",TRUE,IF(input_organizer="",FALSE,SUMPRODUCT(--ISNUMBER(SEARCH(","&amp;TRIM(TEXTSPLIT(GQ128,","))&amp;",",","&amp;SUBSTITUTE(input_organizer," ","")&amp;",")))&gt;0)),IF(GS128="",TRUE,IF(input_organizer="",FALSE,SUMPRODUCT(--ISNUMBER(SEARCH(","&amp;TRIM(TEXTSPLIT(GS128,","))&amp;",",","&amp;SUBSTITUTE(input_organizer," ","")&amp;",")))=COUNTA(TEXTSPLIT(GS128,",")))))</f>
        <v/>
      </c>
      <c r="JM128" s="19">
        <f>AND(IF(GU128="",TRUE,IF(input_profile_type="",FALSE,SUMPRODUCT(--ISNUMBER(SEARCH(","&amp;TRIM(TEXTSPLIT(GU128,","))&amp;",",","&amp;SUBSTITUTE(input_profile_type," ","")&amp;",")))&gt;0)),IF(GW128="",TRUE,IF(input_profile_type="",FALSE,SUMPRODUCT(--ISNUMBER(SEARCH(","&amp;TRIM(TEXTSPLIT(GW128,","))&amp;",",","&amp;SUBSTITUTE(input_profile_type," ","")&amp;",")))=COUNTA(TEXTSPLIT(GW128,",")))),IF(GY128="",TRUE,IF(input_profile_type="",TRUE,SUMPRODUCT(--ISNUMBER(SEARCH(","&amp;TRIM(TEXTSPLIT(GY128,","))&amp;",",","&amp;SUBSTITUTE(input_profile_type," ","")&amp;",")))=0)),IF(HA128="",TRUE,IF(input_profile_type="",FALSE,SUMPRODUCT(--ISNUMBER(SEARCH(","&amp;TRIM(TEXTSPLIT(HA128,","))&amp;",",","&amp;SUBSTITUTE(input_profile_type," ","")&amp;",")))&gt;0)),IF(HC128="",TRUE,IF(input_profile_type="",FALSE,SUMPRODUCT(--ISNUMBER(SEARCH(","&amp;TRIM(TEXTSPLIT(HC128,","))&amp;",",","&amp;SUBSTITUTE(input_profile_type," ","")&amp;",")))=COUNTA(TEXTSPLIT(HC128,",")))))</f>
        <v/>
      </c>
      <c r="JN128" s="19">
        <f>AND(IF(HE128="",TRUE,IF(input_program="",FALSE,SUMPRODUCT(--ISNUMBER(SEARCH(","&amp;TRIM(TEXTSPLIT(HE128,","))&amp;",",","&amp;SUBSTITUTE(input_program," ","")&amp;",")))&gt;0)),IF(HG128="",TRUE,IF(input_program="",FALSE,SUMPRODUCT(--ISNUMBER(SEARCH(","&amp;TRIM(TEXTSPLIT(HG128,","))&amp;",",","&amp;SUBSTITUTE(input_program," ","")&amp;",")))=COUNTA(TEXTSPLIT(HG128,",")))),IF(HI128="",TRUE,IF(input_program="",TRUE,SUMPRODUCT(--ISNUMBER(SEARCH(","&amp;TRIM(TEXTSPLIT(HI128,","))&amp;",",","&amp;SUBSTITUTE(input_program," ","")&amp;",")))=0)),IF(HK128="",TRUE,IF(input_program="",FALSE,SUMPRODUCT(--ISNUMBER(SEARCH(","&amp;TRIM(TEXTSPLIT(HK128,","))&amp;",",","&amp;SUBSTITUTE(input_program," ","")&amp;",")))&gt;0)),IF(HM128="",TRUE,IF(input_program="",FALSE,SUMPRODUCT(--ISNUMBER(SEARCH(","&amp;TRIM(TEXTSPLIT(HM128,","))&amp;",",","&amp;SUBSTITUTE(input_program," ","")&amp;",")))=COUNTA(TEXTSPLIT(HM128,",")))))</f>
        <v/>
      </c>
      <c r="JO128" s="19">
        <f>AND(IF(HO128="",TRUE,IF(input_story_categories="",FALSE,SUMPRODUCT(--ISNUMBER(SEARCH(","&amp;TRIM(TEXTSPLIT(HO128,","))&amp;",",","&amp;SUBSTITUTE(input_story_categories," ","")&amp;",")))&gt;0)),IF(HQ128="",TRUE,IF(input_story_categories="",FALSE,SUMPRODUCT(--ISNUMBER(SEARCH(","&amp;TRIM(TEXTSPLIT(HQ128,","))&amp;",",","&amp;SUBSTITUTE(input_story_categories," ","")&amp;",")))=COUNTA(TEXTSPLIT(HQ128,",")))),IF(HS128="",TRUE,IF(input_story_categories="",TRUE,SUMPRODUCT(--ISNUMBER(SEARCH(","&amp;TRIM(TEXTSPLIT(HS128,","))&amp;",",","&amp;SUBSTITUTE(input_story_categories," ","")&amp;",")))=0)),IF(HU128="",TRUE,IF(input_story_categories="",FALSE,SUMPRODUCT(--ISNUMBER(SEARCH(","&amp;TRIM(TEXTSPLIT(HU128,","))&amp;",",","&amp;SUBSTITUTE(input_story_categories," ","")&amp;",")))&gt;0)),IF(HW128="",TRUE,IF(input_story_categories="",FALSE,SUMPRODUCT(--ISNUMBER(SEARCH(","&amp;TRIM(TEXTSPLIT(HW128,","))&amp;",",","&amp;SUBSTITUTE(input_story_categories," ","")&amp;",")))=COUNTA(TEXTSPLIT(HW128,",")))))</f>
        <v/>
      </c>
      <c r="JP128" s="19">
        <f>AND(IF(HY128="",TRUE,IF(input_story_type="",FALSE,SUMPRODUCT(--ISNUMBER(SEARCH(","&amp;TRIM(TEXTSPLIT(HY128,","))&amp;",",","&amp;SUBSTITUTE(input_story_type," ","")&amp;",")))&gt;0)),IF(IA128="",TRUE,IF(input_story_type="",FALSE,SUMPRODUCT(--ISNUMBER(SEARCH(","&amp;TRIM(TEXTSPLIT(IA128,","))&amp;",",","&amp;SUBSTITUTE(input_story_type," ","")&amp;",")))=COUNTA(TEXTSPLIT(IA128,",")))),IF(IC128="",TRUE,IF(input_story_type="",TRUE,SUMPRODUCT(--ISNUMBER(SEARCH(","&amp;TRIM(TEXTSPLIT(IC128,","))&amp;",",","&amp;SUBSTITUTE(input_story_type," ","")&amp;",")))=0)),IF(IE128="",TRUE,IF(input_story_type="",FALSE,SUMPRODUCT(--ISNUMBER(SEARCH(","&amp;TRIM(TEXTSPLIT(IE128,","))&amp;",",","&amp;SUBSTITUTE(input_story_type," ","")&amp;",")))&gt;0)),IF(IG128="",TRUE,IF(input_story_type="",FALSE,SUMPRODUCT(--ISNUMBER(SEARCH(","&amp;TRIM(TEXTSPLIT(IG128,","))&amp;",",","&amp;SUBSTITUTE(input_story_type," ","")&amp;",")))=COUNTA(TEXTSPLIT(IG128,",")))))</f>
        <v/>
      </c>
      <c r="JQ128" s="19">
        <f>AND(IF(II128="",TRUE,IF(input_topics="",FALSE,SUMPRODUCT(--ISNUMBER(SEARCH(","&amp;TRIM(TEXTSPLIT(II128,","))&amp;",",","&amp;SUBSTITUTE(input_topics," ","")&amp;",")))&gt;0)),IF(IK128="",TRUE,IF(input_topics="",FALSE,SUMPRODUCT(--ISNUMBER(SEARCH(","&amp;TRIM(TEXTSPLIT(IK128,","))&amp;",",","&amp;SUBSTITUTE(input_topics," ","")&amp;",")))=COUNTA(TEXTSPLIT(IK128,",")))),IF(IM128="",TRUE,IF(input_topics="",TRUE,SUMPRODUCT(--ISNUMBER(SEARCH(","&amp;TRIM(TEXTSPLIT(IM128,","))&amp;",",","&amp;SUBSTITUTE(input_topics," ","")&amp;",")))=0)),IF(IO128="",TRUE,IF(input_topics="",FALSE,SUMPRODUCT(--ISNUMBER(SEARCH(","&amp;TRIM(TEXTSPLIT(IO128,","))&amp;",",","&amp;SUBSTITUTE(input_topics," ","")&amp;",")))&gt;0)),IF(IQ128="",TRUE,IF(input_topics="",FALSE,SUMPRODUCT(--ISNUMBER(SEARCH(","&amp;TRIM(TEXTSPLIT(IQ128,","))&amp;",",","&amp;SUBSTITUTE(input_topics," ","")&amp;",")))=COUNTA(TEXTSPLIT(IQ128,",")))))</f>
        <v/>
      </c>
    </row>
    <row r="129">
      <c r="A129" s="24">
        <f>IF(NOT(IS129),"Excluded",IF(AND(IT129,IU129,IV129,IW129,IX129,IY129,IZ129,JA129,JB129,JC129,JD129,JE129,JF129,JG129,JH129,JI129,JJ129,JK129,JL129,JM129,JN129,JO129,JP129,JQ129),IF(I129&gt;0,"Eligible but limited","Will appear"),"Excluded"))</f>
        <v/>
      </c>
      <c r="B129" s="24" t="inlineStr">
        <is>
          <t>MBA for Executives Admissions Events</t>
        </is>
      </c>
      <c r="C129" s="27" t="inlineStr">
        <is>
          <t>/programs/emba/admissions/events</t>
        </is>
      </c>
      <c r="D129" s="24" t="inlineStr">
        <is>
          <t>/programs/emba/admissions/events</t>
        </is>
      </c>
      <c r="E129" s="24" t="n">
        <v>1</v>
      </c>
      <c r="F129" s="24" t="inlineStr">
        <is>
          <t>event</t>
        </is>
      </c>
      <c r="G129" s="24" t="inlineStr">
        <is>
          <t>external_event_list</t>
        </is>
      </c>
      <c r="H129" s="24" t="inlineStr">
        <is>
          <t>embed_filter_modality</t>
        </is>
      </c>
      <c r="I129" s="24" t="n">
        <v>8</v>
      </c>
      <c r="J129" s="28" t="inlineStr">
        <is>
          <t>Explicit args</t>
        </is>
      </c>
      <c r="K129" s="24" t="inlineStr">
        <is>
          <t>Page placement</t>
        </is>
      </c>
      <c r="L129" s="24" t="inlineStr">
        <is>
          <t>Content type: event; Context uses Courses Context: MBA For Executives (928); Needs any Event Type: Admissions Events (994); Limited to 8 item(s); Source: Explicit args</t>
        </is>
      </c>
      <c r="BQ129" s="19" t="inlineStr">
        <is>
          <t>928</t>
        </is>
      </c>
      <c r="BR129" s="19" t="inlineStr">
        <is>
          <t>MBA For Executives (928)</t>
        </is>
      </c>
      <c r="CY129" s="19" t="inlineStr">
        <is>
          <t>994</t>
        </is>
      </c>
      <c r="CZ129" s="19" t="inlineStr">
        <is>
          <t>Admissions Events (994)</t>
        </is>
      </c>
      <c r="IS129" s="19">
        <f>IF(input_content_type="",FALSE,ISNUMBER(SEARCH(","&amp;LOWER(input_content_type)&amp;",",","&amp;LOWER(SUBSTITUTE(F129," ",""))&amp;",")))</f>
        <v/>
      </c>
      <c r="IT129" s="19">
        <f>AND(IF(M129="",TRUE,IF(input_affiliations="",FALSE,SUMPRODUCT(--ISNUMBER(SEARCH(","&amp;TRIM(TEXTSPLIT(M129,","))&amp;",",","&amp;SUBSTITUTE(input_affiliations," ","")&amp;",")))&gt;0)),IF(O129="",TRUE,IF(input_affiliations="",FALSE,SUMPRODUCT(--ISNUMBER(SEARCH(","&amp;TRIM(TEXTSPLIT(O129,","))&amp;",",","&amp;SUBSTITUTE(input_affiliations," ","")&amp;",")))=COUNTA(TEXTSPLIT(O129,",")))),IF(Q129="",TRUE,IF(input_affiliations="",TRUE,SUMPRODUCT(--ISNUMBER(SEARCH(","&amp;TRIM(TEXTSPLIT(Q129,","))&amp;",",","&amp;SUBSTITUTE(input_affiliations," ","")&amp;",")))=0)),IF(S129="",TRUE,IF(input_affiliations="",FALSE,SUMPRODUCT(--ISNUMBER(SEARCH(","&amp;TRIM(TEXTSPLIT(S129,","))&amp;",",","&amp;SUBSTITUTE(input_affiliations," ","")&amp;",")))&gt;0)),IF(U129="",TRUE,IF(input_affiliations="",FALSE,SUMPRODUCT(--ISNUMBER(SEARCH(","&amp;TRIM(TEXTSPLIT(U129,","))&amp;",",","&amp;SUBSTITUTE(input_affiliations," ","")&amp;",")))=COUNTA(TEXTSPLIT(U129,",")))))</f>
        <v/>
      </c>
      <c r="IU129" s="19">
        <f>AND(IF(W129="",TRUE,IF(input_announcement_category="",FALSE,SUMPRODUCT(--ISNUMBER(SEARCH(","&amp;TRIM(TEXTSPLIT(W129,","))&amp;",",","&amp;SUBSTITUTE(input_announcement_category," ","")&amp;",")))&gt;0)),IF(Y129="",TRUE,IF(input_announcement_category="",FALSE,SUMPRODUCT(--ISNUMBER(SEARCH(","&amp;TRIM(TEXTSPLIT(Y129,","))&amp;",",","&amp;SUBSTITUTE(input_announcement_category," ","")&amp;",")))=COUNTA(TEXTSPLIT(Y129,",")))),IF(AA129="",TRUE,IF(input_announcement_category="",TRUE,SUMPRODUCT(--ISNUMBER(SEARCH(","&amp;TRIM(TEXTSPLIT(AA129,","))&amp;",",","&amp;SUBSTITUTE(input_announcement_category," ","")&amp;",")))=0)),IF(AC129="",TRUE,IF(input_announcement_category="",FALSE,SUMPRODUCT(--ISNUMBER(SEARCH(","&amp;TRIM(TEXTSPLIT(AC129,","))&amp;",",","&amp;SUBSTITUTE(input_announcement_category," ","")&amp;",")))&gt;0)),IF(AE129="",TRUE,IF(input_announcement_category="",FALSE,SUMPRODUCT(--ISNUMBER(SEARCH(","&amp;TRIM(TEXTSPLIT(AE129,","))&amp;",",","&amp;SUBSTITUTE(input_announcement_category," ","")&amp;",")))=COUNTA(TEXTSPLIT(AE129,",")))))</f>
        <v/>
      </c>
      <c r="IV129" s="19">
        <f>AND(IF(AG129="",TRUE,IF(input_area_of_focus="",FALSE,SUMPRODUCT(--ISNUMBER(SEARCH(","&amp;TRIM(TEXTSPLIT(AG129,","))&amp;",",","&amp;SUBSTITUTE(input_area_of_focus," ","")&amp;",")))&gt;0)),IF(AI129="",TRUE,IF(input_area_of_focus="",FALSE,SUMPRODUCT(--ISNUMBER(SEARCH(","&amp;TRIM(TEXTSPLIT(AI129,","))&amp;",",","&amp;SUBSTITUTE(input_area_of_focus," ","")&amp;",")))=COUNTA(TEXTSPLIT(AI129,",")))),IF(AK129="",TRUE,IF(input_area_of_focus="",TRUE,SUMPRODUCT(--ISNUMBER(SEARCH(","&amp;TRIM(TEXTSPLIT(AK129,","))&amp;",",","&amp;SUBSTITUTE(input_area_of_focus," ","")&amp;",")))=0)),IF(AM129="",TRUE,IF(input_area_of_focus="",FALSE,SUMPRODUCT(--ISNUMBER(SEARCH(","&amp;TRIM(TEXTSPLIT(AM129,","))&amp;",",","&amp;SUBSTITUTE(input_area_of_focus," ","")&amp;",")))&gt;0)),IF(AO129="",TRUE,IF(input_area_of_focus="",FALSE,SUMPRODUCT(--ISNUMBER(SEARCH(","&amp;TRIM(TEXTSPLIT(AO129,","))&amp;",",","&amp;SUBSTITUTE(input_area_of_focus," ","")&amp;",")))=COUNTA(TEXTSPLIT(AO129,",")))))</f>
        <v/>
      </c>
      <c r="IW129" s="19">
        <f>AND(IF(AQ129="",TRUE,IF(input_audience="",FALSE,SUMPRODUCT(--ISNUMBER(SEARCH(","&amp;TRIM(TEXTSPLIT(AQ129,","))&amp;",",","&amp;SUBSTITUTE(input_audience," ","")&amp;",")))&gt;0)),IF(AS129="",TRUE,IF(input_audience="",FALSE,SUMPRODUCT(--ISNUMBER(SEARCH(","&amp;TRIM(TEXTSPLIT(AS129,","))&amp;",",","&amp;SUBSTITUTE(input_audience," ","")&amp;",")))=COUNTA(TEXTSPLIT(AS129,",")))),IF(AU129="",TRUE,IF(input_audience="",TRUE,SUMPRODUCT(--ISNUMBER(SEARCH(","&amp;TRIM(TEXTSPLIT(AU129,","))&amp;",",","&amp;SUBSTITUTE(input_audience," ","")&amp;",")))=0)),IF(AW129="",TRUE,IF(input_audience="",FALSE,SUMPRODUCT(--ISNUMBER(SEARCH(","&amp;TRIM(TEXTSPLIT(AW129,","))&amp;",",","&amp;SUBSTITUTE(input_audience," ","")&amp;",")))&gt;0)),IF(AY129="",TRUE,IF(input_audience="",FALSE,SUMPRODUCT(--ISNUMBER(SEARCH(","&amp;TRIM(TEXTSPLIT(AY129,","))&amp;",",","&amp;SUBSTITUTE(input_audience," ","")&amp;",")))=COUNTA(TEXTSPLIT(AY129,",")))))</f>
        <v/>
      </c>
      <c r="IX129" s="19">
        <f>AND(IF(BA129="",TRUE,IF(input_challenge_opportunities="",FALSE,SUMPRODUCT(--ISNUMBER(SEARCH(","&amp;TRIM(TEXTSPLIT(BA129,","))&amp;",",","&amp;SUBSTITUTE(input_challenge_opportunities," ","")&amp;",")))&gt;0)),IF(BC129="",TRUE,IF(input_challenge_opportunities="",FALSE,SUMPRODUCT(--ISNUMBER(SEARCH(","&amp;TRIM(TEXTSPLIT(BC129,","))&amp;",",","&amp;SUBSTITUTE(input_challenge_opportunities," ","")&amp;",")))=COUNTA(TEXTSPLIT(BC129,",")))),IF(BE129="",TRUE,IF(input_challenge_opportunities="",TRUE,SUMPRODUCT(--ISNUMBER(SEARCH(","&amp;TRIM(TEXTSPLIT(BE129,","))&amp;",",","&amp;SUBSTITUTE(input_challenge_opportunities," ","")&amp;",")))=0)),IF(BG129="",TRUE,IF(input_challenge_opportunities="",FALSE,SUMPRODUCT(--ISNUMBER(SEARCH(","&amp;TRIM(TEXTSPLIT(BG129,","))&amp;",",","&amp;SUBSTITUTE(input_challenge_opportunities," ","")&amp;",")))&gt;0)),IF(BI129="",TRUE,IF(input_challenge_opportunities="",FALSE,SUMPRODUCT(--ISNUMBER(SEARCH(","&amp;TRIM(TEXTSPLIT(BI129,","))&amp;",",","&amp;SUBSTITUTE(input_challenge_opportunities," ","")&amp;",")))=COUNTA(TEXTSPLIT(BI129,",")))))</f>
        <v/>
      </c>
      <c r="IY129" s="19">
        <f>AND(IF(BK129="",TRUE,IF(input_context="",FALSE,SUMPRODUCT(--ISNUMBER(SEARCH(","&amp;TRIM(TEXTSPLIT(BK129,","))&amp;",",","&amp;SUBSTITUTE(input_context," ","")&amp;",")))&gt;0)),IF(BM129="",TRUE,IF(input_context="",FALSE,SUMPRODUCT(--ISNUMBER(SEARCH(","&amp;TRIM(TEXTSPLIT(BM129,","))&amp;",",","&amp;SUBSTITUTE(input_context," ","")&amp;",")))=COUNTA(TEXTSPLIT(BM129,",")))),IF(BO129="",TRUE,IF(input_context="",TRUE,SUMPRODUCT(--ISNUMBER(SEARCH(","&amp;TRIM(TEXTSPLIT(BO129,","))&amp;",",","&amp;SUBSTITUTE(input_context," ","")&amp;",")))=0)),IF(BQ129="",TRUE,IF(input_context="",FALSE,SUMPRODUCT(--ISNUMBER(SEARCH(","&amp;TRIM(TEXTSPLIT(BQ129,","))&amp;",",","&amp;SUBSTITUTE(input_context," ","")&amp;",")))&gt;0)),IF(BS129="",TRUE,IF(input_context="",FALSE,SUMPRODUCT(--ISNUMBER(SEARCH(","&amp;TRIM(TEXTSPLIT(BS129,","))&amp;",",","&amp;SUBSTITUTE(input_context," ","")&amp;",")))=COUNTA(TEXTSPLIT(BS129,",")))))</f>
        <v/>
      </c>
      <c r="IZ129" s="19">
        <f>AND(IF(BU129="",TRUE,IF(input_enews_announcement_type="",FALSE,SUMPRODUCT(--ISNUMBER(SEARCH(","&amp;TRIM(TEXTSPLIT(BU129,","))&amp;",",","&amp;SUBSTITUTE(input_enews_announcement_type," ","")&amp;",")))&gt;0)),IF(BW129="",TRUE,IF(input_enews_announcement_type="",FALSE,SUMPRODUCT(--ISNUMBER(SEARCH(","&amp;TRIM(TEXTSPLIT(BW129,","))&amp;",",","&amp;SUBSTITUTE(input_enews_announcement_type," ","")&amp;",")))=COUNTA(TEXTSPLIT(BW129,",")))),IF(BY129="",TRUE,IF(input_enews_announcement_type="",TRUE,SUMPRODUCT(--ISNUMBER(SEARCH(","&amp;TRIM(TEXTSPLIT(BY129,","))&amp;",",","&amp;SUBSTITUTE(input_enews_announcement_type," ","")&amp;",")))=0)),IF(CA129="",TRUE,IF(input_enews_announcement_type="",FALSE,SUMPRODUCT(--ISNUMBER(SEARCH(","&amp;TRIM(TEXTSPLIT(CA129,","))&amp;",",","&amp;SUBSTITUTE(input_enews_announcement_type," ","")&amp;",")))&gt;0)),IF(CC129="",TRUE,IF(input_enews_announcement_type="",FALSE,SUMPRODUCT(--ISNUMBER(SEARCH(","&amp;TRIM(TEXTSPLIT(CC129,","))&amp;",",","&amp;SUBSTITUTE(input_enews_announcement_type," ","")&amp;",")))=COUNTA(TEXTSPLIT(CC129,",")))))</f>
        <v/>
      </c>
      <c r="JA129" s="19">
        <f>AND(IF(CE129="",TRUE,IF(input_enews_audience="",FALSE,SUMPRODUCT(--ISNUMBER(SEARCH(","&amp;TRIM(TEXTSPLIT(CE129,","))&amp;",",","&amp;SUBSTITUTE(input_enews_audience," ","")&amp;",")))&gt;0)),IF(CG129="",TRUE,IF(input_enews_audience="",FALSE,SUMPRODUCT(--ISNUMBER(SEARCH(","&amp;TRIM(TEXTSPLIT(CG129,","))&amp;",",","&amp;SUBSTITUTE(input_enews_audience," ","")&amp;",")))=COUNTA(TEXTSPLIT(CG129,",")))),IF(CI129="",TRUE,IF(input_enews_audience="",TRUE,SUMPRODUCT(--ISNUMBER(SEARCH(","&amp;TRIM(TEXTSPLIT(CI129,","))&amp;",",","&amp;SUBSTITUTE(input_enews_audience," ","")&amp;",")))=0)),IF(CK129="",TRUE,IF(input_enews_audience="",FALSE,SUMPRODUCT(--ISNUMBER(SEARCH(","&amp;TRIM(TEXTSPLIT(CK129,","))&amp;",",","&amp;SUBSTITUTE(input_enews_audience," ","")&amp;",")))&gt;0)),IF(CM129="",TRUE,IF(input_enews_audience="",FALSE,SUMPRODUCT(--ISNUMBER(SEARCH(","&amp;TRIM(TEXTSPLIT(CM129,","))&amp;",",","&amp;SUBSTITUTE(input_enews_audience," ","")&amp;",")))=COUNTA(TEXTSPLIT(CM129,",")))))</f>
        <v/>
      </c>
      <c r="JB129" s="19">
        <f>AND(IF(CO129="",TRUE,IF(input_event_location="",FALSE,SUMPRODUCT(--ISNUMBER(SEARCH(","&amp;TRIM(TEXTSPLIT(CO129,","))&amp;",",","&amp;SUBSTITUTE(input_event_location," ","")&amp;",")))&gt;0)),IF(CQ129="",TRUE,IF(input_event_location="",FALSE,SUMPRODUCT(--ISNUMBER(SEARCH(","&amp;TRIM(TEXTSPLIT(CQ129,","))&amp;",",","&amp;SUBSTITUTE(input_event_location," ","")&amp;",")))=COUNTA(TEXTSPLIT(CQ129,",")))),IF(CS129="",TRUE,IF(input_event_location="",TRUE,SUMPRODUCT(--ISNUMBER(SEARCH(","&amp;TRIM(TEXTSPLIT(CS129,","))&amp;",",","&amp;SUBSTITUTE(input_event_location," ","")&amp;",")))=0)),IF(CU129="",TRUE,IF(input_event_location="",FALSE,SUMPRODUCT(--ISNUMBER(SEARCH(","&amp;TRIM(TEXTSPLIT(CU129,","))&amp;",",","&amp;SUBSTITUTE(input_event_location," ","")&amp;",")))&gt;0)),IF(CW129="",TRUE,IF(input_event_location="",FALSE,SUMPRODUCT(--ISNUMBER(SEARCH(","&amp;TRIM(TEXTSPLIT(CW129,","))&amp;",",","&amp;SUBSTITUTE(input_event_location," ","")&amp;",")))=COUNTA(TEXTSPLIT(CW129,",")))))</f>
        <v/>
      </c>
      <c r="JC129" s="19">
        <f>AND(IF(CY129="",TRUE,IF(input_event_type="",FALSE,SUMPRODUCT(--ISNUMBER(SEARCH(","&amp;TRIM(TEXTSPLIT(CY129,","))&amp;",",","&amp;SUBSTITUTE(input_event_type," ","")&amp;",")))&gt;0)),IF(DA129="",TRUE,IF(input_event_type="",FALSE,SUMPRODUCT(--ISNUMBER(SEARCH(","&amp;TRIM(TEXTSPLIT(DA129,","))&amp;",",","&amp;SUBSTITUTE(input_event_type," ","")&amp;",")))=COUNTA(TEXTSPLIT(DA129,",")))),IF(DC129="",TRUE,IF(input_event_type="",TRUE,SUMPRODUCT(--ISNUMBER(SEARCH(","&amp;TRIM(TEXTSPLIT(DC129,","))&amp;",",","&amp;SUBSTITUTE(input_event_type," ","")&amp;",")))=0)),IF(DE129="",TRUE,IF(input_event_type="",FALSE,SUMPRODUCT(--ISNUMBER(SEARCH(","&amp;TRIM(TEXTSPLIT(DE129,","))&amp;",",","&amp;SUBSTITUTE(input_event_type," ","")&amp;",")))&gt;0)),IF(DG129="",TRUE,IF(input_event_type="",FALSE,SUMPRODUCT(--ISNUMBER(SEARCH(","&amp;TRIM(TEXTSPLIT(DG129,","))&amp;",",","&amp;SUBSTITUTE(input_event_type," ","")&amp;",")))=COUNTA(TEXTSPLIT(DG129,",")))))</f>
        <v/>
      </c>
      <c r="JD129" s="19">
        <f>AND(IF(DI129="",TRUE,IF(input_executive_education_focus="",FALSE,SUMPRODUCT(--ISNUMBER(SEARCH(","&amp;TRIM(TEXTSPLIT(DI129,","))&amp;",",","&amp;SUBSTITUTE(input_executive_education_focus," ","")&amp;",")))&gt;0)),IF(DK129="",TRUE,IF(input_executive_education_focus="",FALSE,SUMPRODUCT(--ISNUMBER(SEARCH(","&amp;TRIM(TEXTSPLIT(DK129,","))&amp;",",","&amp;SUBSTITUTE(input_executive_education_focus," ","")&amp;",")))=COUNTA(TEXTSPLIT(DK129,",")))),IF(DM129="",TRUE,IF(input_executive_education_focus="",TRUE,SUMPRODUCT(--ISNUMBER(SEARCH(","&amp;TRIM(TEXTSPLIT(DM129,","))&amp;",",","&amp;SUBSTITUTE(input_executive_education_focus," ","")&amp;",")))=0)),IF(DO129="",TRUE,IF(input_executive_education_focus="",FALSE,SUMPRODUCT(--ISNUMBER(SEARCH(","&amp;TRIM(TEXTSPLIT(DO129,","))&amp;",",","&amp;SUBSTITUTE(input_executive_education_focus," ","")&amp;",")))&gt;0)),IF(DQ129="",TRUE,IF(input_executive_education_focus="",FALSE,SUMPRODUCT(--ISNUMBER(SEARCH(","&amp;TRIM(TEXTSPLIT(DQ129,","))&amp;",",","&amp;SUBSTITUTE(input_executive_education_focus," ","")&amp;",")))=COUNTA(TEXTSPLIT(DQ129,",")))))</f>
        <v/>
      </c>
      <c r="JE129" s="19">
        <f>AND(IF(DS129="",TRUE,IF(input_faculty_category="",FALSE,SUMPRODUCT(--ISNUMBER(SEARCH(","&amp;TRIM(TEXTSPLIT(DS129,","))&amp;",",","&amp;SUBSTITUTE(input_faculty_category," ","")&amp;",")))&gt;0)),IF(DU129="",TRUE,IF(input_faculty_category="",FALSE,SUMPRODUCT(--ISNUMBER(SEARCH(","&amp;TRIM(TEXTSPLIT(DU129,","))&amp;",",","&amp;SUBSTITUTE(input_faculty_category," ","")&amp;",")))=COUNTA(TEXTSPLIT(DU129,",")))),IF(DW129="",TRUE,IF(input_faculty_category="",TRUE,SUMPRODUCT(--ISNUMBER(SEARCH(","&amp;TRIM(TEXTSPLIT(DW129,","))&amp;",",","&amp;SUBSTITUTE(input_faculty_category," ","")&amp;",")))=0)),IF(DY129="",TRUE,IF(input_faculty_category="",FALSE,SUMPRODUCT(--ISNUMBER(SEARCH(","&amp;TRIM(TEXTSPLIT(DY129,","))&amp;",",","&amp;SUBSTITUTE(input_faculty_category," ","")&amp;",")))&gt;0)),IF(EA129="",TRUE,IF(input_faculty_category="",FALSE,SUMPRODUCT(--ISNUMBER(SEARCH(","&amp;TRIM(TEXTSPLIT(EA129,","))&amp;",",","&amp;SUBSTITUTE(input_faculty_category," ","")&amp;",")))=COUNTA(TEXTSPLIT(EA129,",")))))</f>
        <v/>
      </c>
      <c r="JF129" s="19">
        <f>AND(IF(EC129="",TRUE,IF(input_faculty_discipline="",FALSE,SUMPRODUCT(--ISNUMBER(SEARCH(","&amp;TRIM(TEXTSPLIT(EC129,","))&amp;",",","&amp;SUBSTITUTE(input_faculty_discipline," ","")&amp;",")))&gt;0)),IF(EE129="",TRUE,IF(input_faculty_discipline="",FALSE,SUMPRODUCT(--ISNUMBER(SEARCH(","&amp;TRIM(TEXTSPLIT(EE129,","))&amp;",",","&amp;SUBSTITUTE(input_faculty_discipline," ","")&amp;",")))=COUNTA(TEXTSPLIT(EE129,",")))),IF(EG129="",TRUE,IF(input_faculty_discipline="",TRUE,SUMPRODUCT(--ISNUMBER(SEARCH(","&amp;TRIM(TEXTSPLIT(EG129,","))&amp;",",","&amp;SUBSTITUTE(input_faculty_discipline," ","")&amp;",")))=0)),IF(EI129="",TRUE,IF(input_faculty_discipline="",FALSE,SUMPRODUCT(--ISNUMBER(SEARCH(","&amp;TRIM(TEXTSPLIT(EI129,","))&amp;",",","&amp;SUBSTITUTE(input_faculty_discipline," ","")&amp;",")))&gt;0)),IF(EK129="",TRUE,IF(input_faculty_discipline="",FALSE,SUMPRODUCT(--ISNUMBER(SEARCH(","&amp;TRIM(TEXTSPLIT(EK129,","))&amp;",",","&amp;SUBSTITUTE(input_faculty_discipline," ","")&amp;",")))=COUNTA(TEXTSPLIT(EK129,",")))))</f>
        <v/>
      </c>
      <c r="JG129" s="19">
        <f>AND(IF(EM129="",TRUE,IF(input_faculty_expertise="",FALSE,SUMPRODUCT(--ISNUMBER(SEARCH(","&amp;TRIM(TEXTSPLIT(EM129,","))&amp;",",","&amp;SUBSTITUTE(input_faculty_expertise," ","")&amp;",")))&gt;0)),IF(EO129="",TRUE,IF(input_faculty_expertise="",FALSE,SUMPRODUCT(--ISNUMBER(SEARCH(","&amp;TRIM(TEXTSPLIT(EO129,","))&amp;",",","&amp;SUBSTITUTE(input_faculty_expertise," ","")&amp;",")))=COUNTA(TEXTSPLIT(EO129,",")))),IF(EQ129="",TRUE,IF(input_faculty_expertise="",TRUE,SUMPRODUCT(--ISNUMBER(SEARCH(","&amp;TRIM(TEXTSPLIT(EQ129,","))&amp;",",","&amp;SUBSTITUTE(input_faculty_expertise," ","")&amp;",")))=0)),IF(ES129="",TRUE,IF(input_faculty_expertise="",FALSE,SUMPRODUCT(--ISNUMBER(SEARCH(","&amp;TRIM(TEXTSPLIT(ES129,","))&amp;",",","&amp;SUBSTITUTE(input_faculty_expertise," ","")&amp;",")))&gt;0)),IF(EU129="",TRUE,IF(input_faculty_expertise="",FALSE,SUMPRODUCT(--ISNUMBER(SEARCH(","&amp;TRIM(TEXTSPLIT(EU129,","))&amp;",",","&amp;SUBSTITUTE(input_faculty_expertise," ","")&amp;",")))=COUNTA(TEXTSPLIT(EU129,",")))))</f>
        <v/>
      </c>
      <c r="JH129" s="19">
        <f>AND(IF(EW129="",TRUE,IF(input_global_network_school="",FALSE,SUMPRODUCT(--ISNUMBER(SEARCH(","&amp;TRIM(TEXTSPLIT(EW129,","))&amp;",",","&amp;SUBSTITUTE(input_global_network_school," ","")&amp;",")))&gt;0)),IF(EY129="",TRUE,IF(input_global_network_school="",FALSE,SUMPRODUCT(--ISNUMBER(SEARCH(","&amp;TRIM(TEXTSPLIT(EY129,","))&amp;",",","&amp;SUBSTITUTE(input_global_network_school," ","")&amp;",")))=COUNTA(TEXTSPLIT(EY129,",")))),IF(FA129="",TRUE,IF(input_global_network_school="",TRUE,SUMPRODUCT(--ISNUMBER(SEARCH(","&amp;TRIM(TEXTSPLIT(FA129,","))&amp;",",","&amp;SUBSTITUTE(input_global_network_school," ","")&amp;",")))=0)),IF(FC129="",TRUE,IF(input_global_network_school="",FALSE,SUMPRODUCT(--ISNUMBER(SEARCH(","&amp;TRIM(TEXTSPLIT(FC129,","))&amp;",",","&amp;SUBSTITUTE(input_global_network_school," ","")&amp;",")))&gt;0)),IF(FE129="",TRUE,IF(input_global_network_school="",FALSE,SUMPRODUCT(--ISNUMBER(SEARCH(","&amp;TRIM(TEXTSPLIT(FE129,","))&amp;",",","&amp;SUBSTITUTE(input_global_network_school," ","")&amp;",")))=COUNTA(TEXTSPLIT(FE129,",")))))</f>
        <v/>
      </c>
      <c r="JI129" s="19">
        <f>AND(IF(FG129="",TRUE,IF(input_industry="",FALSE,SUMPRODUCT(--ISNUMBER(SEARCH(","&amp;TRIM(TEXTSPLIT(FG129,","))&amp;",",","&amp;SUBSTITUTE(input_industry," ","")&amp;",")))&gt;0)),IF(FI129="",TRUE,IF(input_industry="",FALSE,SUMPRODUCT(--ISNUMBER(SEARCH(","&amp;TRIM(TEXTSPLIT(FI129,","))&amp;",",","&amp;SUBSTITUTE(input_industry," ","")&amp;",")))=COUNTA(TEXTSPLIT(FI129,",")))),IF(FK129="",TRUE,IF(input_industry="",TRUE,SUMPRODUCT(--ISNUMBER(SEARCH(","&amp;TRIM(TEXTSPLIT(FK129,","))&amp;",",","&amp;SUBSTITUTE(input_industry," ","")&amp;",")))=0)),IF(FM129="",TRUE,IF(input_industry="",FALSE,SUMPRODUCT(--ISNUMBER(SEARCH(","&amp;TRIM(TEXTSPLIT(FM129,","))&amp;",",","&amp;SUBSTITUTE(input_industry," ","")&amp;",")))&gt;0)),IF(FO129="",TRUE,IF(input_industry="",FALSE,SUMPRODUCT(--ISNUMBER(SEARCH(","&amp;TRIM(TEXTSPLIT(FO129,","))&amp;",",","&amp;SUBSTITUTE(input_industry," ","")&amp;",")))=COUNTA(TEXTSPLIT(FO129,",")))))</f>
        <v/>
      </c>
      <c r="JJ129" s="19">
        <f>AND(IF(FQ129="",TRUE,IF(input_location="",FALSE,SUMPRODUCT(--ISNUMBER(SEARCH(","&amp;TRIM(TEXTSPLIT(FQ129,","))&amp;",",","&amp;SUBSTITUTE(input_location," ","")&amp;",")))&gt;0)),IF(FS129="",TRUE,IF(input_location="",FALSE,SUMPRODUCT(--ISNUMBER(SEARCH(","&amp;TRIM(TEXTSPLIT(FS129,","))&amp;",",","&amp;SUBSTITUTE(input_location," ","")&amp;",")))=COUNTA(TEXTSPLIT(FS129,",")))),IF(FU129="",TRUE,IF(input_location="",TRUE,SUMPRODUCT(--ISNUMBER(SEARCH(","&amp;TRIM(TEXTSPLIT(FU129,","))&amp;",",","&amp;SUBSTITUTE(input_location," ","")&amp;",")))=0)),IF(FW129="",TRUE,IF(input_location="",FALSE,SUMPRODUCT(--ISNUMBER(SEARCH(","&amp;TRIM(TEXTSPLIT(FW129,","))&amp;",",","&amp;SUBSTITUTE(input_location," ","")&amp;",")))&gt;0)),IF(FY129="",TRUE,IF(input_location="",FALSE,SUMPRODUCT(--ISNUMBER(SEARCH(","&amp;TRIM(TEXTSPLIT(FY129,","))&amp;",",","&amp;SUBSTITUTE(input_location," ","")&amp;",")))=COUNTA(TEXTSPLIT(FY129,",")))))</f>
        <v/>
      </c>
      <c r="JK129" s="19">
        <f>AND(IF(GA129="",TRUE,IF(input_modality="",FALSE,SUMPRODUCT(--ISNUMBER(SEARCH(","&amp;TRIM(TEXTSPLIT(GA129,","))&amp;",",","&amp;SUBSTITUTE(input_modality," ","")&amp;",")))&gt;0)),IF(GC129="",TRUE,IF(input_modality="",FALSE,SUMPRODUCT(--ISNUMBER(SEARCH(","&amp;TRIM(TEXTSPLIT(GC129,","))&amp;",",","&amp;SUBSTITUTE(input_modality," ","")&amp;",")))=COUNTA(TEXTSPLIT(GC129,",")))),IF(GE129="",TRUE,IF(input_modality="",TRUE,SUMPRODUCT(--ISNUMBER(SEARCH(","&amp;TRIM(TEXTSPLIT(GE129,","))&amp;",",","&amp;SUBSTITUTE(input_modality," ","")&amp;",")))=0)),IF(GG129="",TRUE,IF(input_modality="",FALSE,SUMPRODUCT(--ISNUMBER(SEARCH(","&amp;TRIM(TEXTSPLIT(GG129,","))&amp;",",","&amp;SUBSTITUTE(input_modality," ","")&amp;",")))&gt;0)),IF(GI129="",TRUE,IF(input_modality="",FALSE,SUMPRODUCT(--ISNUMBER(SEARCH(","&amp;TRIM(TEXTSPLIT(GI129,","))&amp;",",","&amp;SUBSTITUTE(input_modality," ","")&amp;",")))=COUNTA(TEXTSPLIT(GI129,",")))))</f>
        <v/>
      </c>
      <c r="JL129" s="19">
        <f>AND(IF(GK129="",TRUE,IF(input_organizer="",FALSE,SUMPRODUCT(--ISNUMBER(SEARCH(","&amp;TRIM(TEXTSPLIT(GK129,","))&amp;",",","&amp;SUBSTITUTE(input_organizer," ","")&amp;",")))&gt;0)),IF(GM129="",TRUE,IF(input_organizer="",FALSE,SUMPRODUCT(--ISNUMBER(SEARCH(","&amp;TRIM(TEXTSPLIT(GM129,","))&amp;",",","&amp;SUBSTITUTE(input_organizer," ","")&amp;",")))=COUNTA(TEXTSPLIT(GM129,",")))),IF(GO129="",TRUE,IF(input_organizer="",TRUE,SUMPRODUCT(--ISNUMBER(SEARCH(","&amp;TRIM(TEXTSPLIT(GO129,","))&amp;",",","&amp;SUBSTITUTE(input_organizer," ","")&amp;",")))=0)),IF(GQ129="",TRUE,IF(input_organizer="",FALSE,SUMPRODUCT(--ISNUMBER(SEARCH(","&amp;TRIM(TEXTSPLIT(GQ129,","))&amp;",",","&amp;SUBSTITUTE(input_organizer," ","")&amp;",")))&gt;0)),IF(GS129="",TRUE,IF(input_organizer="",FALSE,SUMPRODUCT(--ISNUMBER(SEARCH(","&amp;TRIM(TEXTSPLIT(GS129,","))&amp;",",","&amp;SUBSTITUTE(input_organizer," ","")&amp;",")))=COUNTA(TEXTSPLIT(GS129,",")))))</f>
        <v/>
      </c>
      <c r="JM129" s="19">
        <f>AND(IF(GU129="",TRUE,IF(input_profile_type="",FALSE,SUMPRODUCT(--ISNUMBER(SEARCH(","&amp;TRIM(TEXTSPLIT(GU129,","))&amp;",",","&amp;SUBSTITUTE(input_profile_type," ","")&amp;",")))&gt;0)),IF(GW129="",TRUE,IF(input_profile_type="",FALSE,SUMPRODUCT(--ISNUMBER(SEARCH(","&amp;TRIM(TEXTSPLIT(GW129,","))&amp;",",","&amp;SUBSTITUTE(input_profile_type," ","")&amp;",")))=COUNTA(TEXTSPLIT(GW129,",")))),IF(GY129="",TRUE,IF(input_profile_type="",TRUE,SUMPRODUCT(--ISNUMBER(SEARCH(","&amp;TRIM(TEXTSPLIT(GY129,","))&amp;",",","&amp;SUBSTITUTE(input_profile_type," ","")&amp;",")))=0)),IF(HA129="",TRUE,IF(input_profile_type="",FALSE,SUMPRODUCT(--ISNUMBER(SEARCH(","&amp;TRIM(TEXTSPLIT(HA129,","))&amp;",",","&amp;SUBSTITUTE(input_profile_type," ","")&amp;",")))&gt;0)),IF(HC129="",TRUE,IF(input_profile_type="",FALSE,SUMPRODUCT(--ISNUMBER(SEARCH(","&amp;TRIM(TEXTSPLIT(HC129,","))&amp;",",","&amp;SUBSTITUTE(input_profile_type," ","")&amp;",")))=COUNTA(TEXTSPLIT(HC129,",")))))</f>
        <v/>
      </c>
      <c r="JN129" s="19">
        <f>AND(IF(HE129="",TRUE,IF(input_program="",FALSE,SUMPRODUCT(--ISNUMBER(SEARCH(","&amp;TRIM(TEXTSPLIT(HE129,","))&amp;",",","&amp;SUBSTITUTE(input_program," ","")&amp;",")))&gt;0)),IF(HG129="",TRUE,IF(input_program="",FALSE,SUMPRODUCT(--ISNUMBER(SEARCH(","&amp;TRIM(TEXTSPLIT(HG129,","))&amp;",",","&amp;SUBSTITUTE(input_program," ","")&amp;",")))=COUNTA(TEXTSPLIT(HG129,",")))),IF(HI129="",TRUE,IF(input_program="",TRUE,SUMPRODUCT(--ISNUMBER(SEARCH(","&amp;TRIM(TEXTSPLIT(HI129,","))&amp;",",","&amp;SUBSTITUTE(input_program," ","")&amp;",")))=0)),IF(HK129="",TRUE,IF(input_program="",FALSE,SUMPRODUCT(--ISNUMBER(SEARCH(","&amp;TRIM(TEXTSPLIT(HK129,","))&amp;",",","&amp;SUBSTITUTE(input_program," ","")&amp;",")))&gt;0)),IF(HM129="",TRUE,IF(input_program="",FALSE,SUMPRODUCT(--ISNUMBER(SEARCH(","&amp;TRIM(TEXTSPLIT(HM129,","))&amp;",",","&amp;SUBSTITUTE(input_program," ","")&amp;",")))=COUNTA(TEXTSPLIT(HM129,",")))))</f>
        <v/>
      </c>
      <c r="JO129" s="19">
        <f>AND(IF(HO129="",TRUE,IF(input_story_categories="",FALSE,SUMPRODUCT(--ISNUMBER(SEARCH(","&amp;TRIM(TEXTSPLIT(HO129,","))&amp;",",","&amp;SUBSTITUTE(input_story_categories," ","")&amp;",")))&gt;0)),IF(HQ129="",TRUE,IF(input_story_categories="",FALSE,SUMPRODUCT(--ISNUMBER(SEARCH(","&amp;TRIM(TEXTSPLIT(HQ129,","))&amp;",",","&amp;SUBSTITUTE(input_story_categories," ","")&amp;",")))=COUNTA(TEXTSPLIT(HQ129,",")))),IF(HS129="",TRUE,IF(input_story_categories="",TRUE,SUMPRODUCT(--ISNUMBER(SEARCH(","&amp;TRIM(TEXTSPLIT(HS129,","))&amp;",",","&amp;SUBSTITUTE(input_story_categories," ","")&amp;",")))=0)),IF(HU129="",TRUE,IF(input_story_categories="",FALSE,SUMPRODUCT(--ISNUMBER(SEARCH(","&amp;TRIM(TEXTSPLIT(HU129,","))&amp;",",","&amp;SUBSTITUTE(input_story_categories," ","")&amp;",")))&gt;0)),IF(HW129="",TRUE,IF(input_story_categories="",FALSE,SUMPRODUCT(--ISNUMBER(SEARCH(","&amp;TRIM(TEXTSPLIT(HW129,","))&amp;",",","&amp;SUBSTITUTE(input_story_categories," ","")&amp;",")))=COUNTA(TEXTSPLIT(HW129,",")))))</f>
        <v/>
      </c>
      <c r="JP129" s="19">
        <f>AND(IF(HY129="",TRUE,IF(input_story_type="",FALSE,SUMPRODUCT(--ISNUMBER(SEARCH(","&amp;TRIM(TEXTSPLIT(HY129,","))&amp;",",","&amp;SUBSTITUTE(input_story_type," ","")&amp;",")))&gt;0)),IF(IA129="",TRUE,IF(input_story_type="",FALSE,SUMPRODUCT(--ISNUMBER(SEARCH(","&amp;TRIM(TEXTSPLIT(IA129,","))&amp;",",","&amp;SUBSTITUTE(input_story_type," ","")&amp;",")))=COUNTA(TEXTSPLIT(IA129,",")))),IF(IC129="",TRUE,IF(input_story_type="",TRUE,SUMPRODUCT(--ISNUMBER(SEARCH(","&amp;TRIM(TEXTSPLIT(IC129,","))&amp;",",","&amp;SUBSTITUTE(input_story_type," ","")&amp;",")))=0)),IF(IE129="",TRUE,IF(input_story_type="",FALSE,SUMPRODUCT(--ISNUMBER(SEARCH(","&amp;TRIM(TEXTSPLIT(IE129,","))&amp;",",","&amp;SUBSTITUTE(input_story_type," ","")&amp;",")))&gt;0)),IF(IG129="",TRUE,IF(input_story_type="",FALSE,SUMPRODUCT(--ISNUMBER(SEARCH(","&amp;TRIM(TEXTSPLIT(IG129,","))&amp;",",","&amp;SUBSTITUTE(input_story_type," ","")&amp;",")))=COUNTA(TEXTSPLIT(IG129,",")))))</f>
        <v/>
      </c>
      <c r="JQ129" s="19">
        <f>AND(IF(II129="",TRUE,IF(input_topics="",FALSE,SUMPRODUCT(--ISNUMBER(SEARCH(","&amp;TRIM(TEXTSPLIT(II129,","))&amp;",",","&amp;SUBSTITUTE(input_topics," ","")&amp;",")))&gt;0)),IF(IK129="",TRUE,IF(input_topics="",FALSE,SUMPRODUCT(--ISNUMBER(SEARCH(","&amp;TRIM(TEXTSPLIT(IK129,","))&amp;",",","&amp;SUBSTITUTE(input_topics," ","")&amp;",")))=COUNTA(TEXTSPLIT(IK129,",")))),IF(IM129="",TRUE,IF(input_topics="",TRUE,SUMPRODUCT(--ISNUMBER(SEARCH(","&amp;TRIM(TEXTSPLIT(IM129,","))&amp;",",","&amp;SUBSTITUTE(input_topics," ","")&amp;",")))=0)),IF(IO129="",TRUE,IF(input_topics="",FALSE,SUMPRODUCT(--ISNUMBER(SEARCH(","&amp;TRIM(TEXTSPLIT(IO129,","))&amp;",",","&amp;SUBSTITUTE(input_topics," ","")&amp;",")))&gt;0)),IF(IQ129="",TRUE,IF(input_topics="",FALSE,SUMPRODUCT(--ISNUMBER(SEARCH(","&amp;TRIM(TEXTSPLIT(IQ129,","))&amp;",",","&amp;SUBSTITUTE(input_topics," ","")&amp;",")))=COUNTA(TEXTSPLIT(IQ129,",")))))</f>
        <v/>
      </c>
    </row>
    <row r="130">
      <c r="A130" s="24">
        <f>IF(NOT(IS130),"Excluded",IF(AND(IT130,IU130,IV130,IW130,IX130,IY130,IZ130,JA130,JB130,JC130,JD130,JE130,JF130,JG130,JH130,JI130,JJ130,JK130,JL130,JM130,JN130,JO130,JP130,JQ130),IF(I130&gt;0,"Eligible but limited","Will appear"),"Excluded"))</f>
        <v/>
      </c>
      <c r="B130" s="24" t="inlineStr">
        <is>
          <t>MBA for Executives Blog &amp; News</t>
        </is>
      </c>
      <c r="C130" s="27" t="inlineStr">
        <is>
          <t>/programs/emba/blog-news</t>
        </is>
      </c>
      <c r="D130" s="24" t="inlineStr">
        <is>
          <t>/programs/emba/blog-news</t>
        </is>
      </c>
      <c r="E130" s="24" t="n">
        <v>1</v>
      </c>
      <c r="F130" s="24" t="inlineStr">
        <is>
          <t>story</t>
        </is>
      </c>
      <c r="G130" s="24" t="inlineStr">
        <is>
          <t>stories_list</t>
        </is>
      </c>
      <c r="H130" s="24" t="inlineStr">
        <is>
          <t>embed_1</t>
        </is>
      </c>
      <c r="I130" s="24" t="n">
        <v>10</v>
      </c>
      <c r="J130" s="28" t="inlineStr">
        <is>
          <t>Explicit args</t>
        </is>
      </c>
      <c r="K130" s="24" t="inlineStr">
        <is>
          <t>Page placement</t>
        </is>
      </c>
      <c r="L130" s="24" t="inlineStr">
        <is>
          <t>Content type: story; Context uses Courses Context: MBA For Executives (928), Programs (94); Limited to 10 item(s); Source: Explicit args</t>
        </is>
      </c>
      <c r="BQ130" s="19" t="inlineStr">
        <is>
          <t>928, 94</t>
        </is>
      </c>
      <c r="BR130" s="19" t="inlineStr">
        <is>
          <t>MBA For Executives (928), Programs (94)</t>
        </is>
      </c>
      <c r="IS130" s="19">
        <f>IF(input_content_type="",FALSE,ISNUMBER(SEARCH(","&amp;LOWER(input_content_type)&amp;",",","&amp;LOWER(SUBSTITUTE(F130," ",""))&amp;",")))</f>
        <v/>
      </c>
      <c r="IT130" s="19">
        <f>AND(IF(M130="",TRUE,IF(input_affiliations="",FALSE,SUMPRODUCT(--ISNUMBER(SEARCH(","&amp;TRIM(TEXTSPLIT(M130,","))&amp;",",","&amp;SUBSTITUTE(input_affiliations," ","")&amp;",")))&gt;0)),IF(O130="",TRUE,IF(input_affiliations="",FALSE,SUMPRODUCT(--ISNUMBER(SEARCH(","&amp;TRIM(TEXTSPLIT(O130,","))&amp;",",","&amp;SUBSTITUTE(input_affiliations," ","")&amp;",")))=COUNTA(TEXTSPLIT(O130,",")))),IF(Q130="",TRUE,IF(input_affiliations="",TRUE,SUMPRODUCT(--ISNUMBER(SEARCH(","&amp;TRIM(TEXTSPLIT(Q130,","))&amp;",",","&amp;SUBSTITUTE(input_affiliations," ","")&amp;",")))=0)),IF(S130="",TRUE,IF(input_affiliations="",FALSE,SUMPRODUCT(--ISNUMBER(SEARCH(","&amp;TRIM(TEXTSPLIT(S130,","))&amp;",",","&amp;SUBSTITUTE(input_affiliations," ","")&amp;",")))&gt;0)),IF(U130="",TRUE,IF(input_affiliations="",FALSE,SUMPRODUCT(--ISNUMBER(SEARCH(","&amp;TRIM(TEXTSPLIT(U130,","))&amp;",",","&amp;SUBSTITUTE(input_affiliations," ","")&amp;",")))=COUNTA(TEXTSPLIT(U130,",")))))</f>
        <v/>
      </c>
      <c r="IU130" s="19">
        <f>AND(IF(W130="",TRUE,IF(input_announcement_category="",FALSE,SUMPRODUCT(--ISNUMBER(SEARCH(","&amp;TRIM(TEXTSPLIT(W130,","))&amp;",",","&amp;SUBSTITUTE(input_announcement_category," ","")&amp;",")))&gt;0)),IF(Y130="",TRUE,IF(input_announcement_category="",FALSE,SUMPRODUCT(--ISNUMBER(SEARCH(","&amp;TRIM(TEXTSPLIT(Y130,","))&amp;",",","&amp;SUBSTITUTE(input_announcement_category," ","")&amp;",")))=COUNTA(TEXTSPLIT(Y130,",")))),IF(AA130="",TRUE,IF(input_announcement_category="",TRUE,SUMPRODUCT(--ISNUMBER(SEARCH(","&amp;TRIM(TEXTSPLIT(AA130,","))&amp;",",","&amp;SUBSTITUTE(input_announcement_category," ","")&amp;",")))=0)),IF(AC130="",TRUE,IF(input_announcement_category="",FALSE,SUMPRODUCT(--ISNUMBER(SEARCH(","&amp;TRIM(TEXTSPLIT(AC130,","))&amp;",",","&amp;SUBSTITUTE(input_announcement_category," ","")&amp;",")))&gt;0)),IF(AE130="",TRUE,IF(input_announcement_category="",FALSE,SUMPRODUCT(--ISNUMBER(SEARCH(","&amp;TRIM(TEXTSPLIT(AE130,","))&amp;",",","&amp;SUBSTITUTE(input_announcement_category," ","")&amp;",")))=COUNTA(TEXTSPLIT(AE130,",")))))</f>
        <v/>
      </c>
      <c r="IV130" s="19">
        <f>AND(IF(AG130="",TRUE,IF(input_area_of_focus="",FALSE,SUMPRODUCT(--ISNUMBER(SEARCH(","&amp;TRIM(TEXTSPLIT(AG130,","))&amp;",",","&amp;SUBSTITUTE(input_area_of_focus," ","")&amp;",")))&gt;0)),IF(AI130="",TRUE,IF(input_area_of_focus="",FALSE,SUMPRODUCT(--ISNUMBER(SEARCH(","&amp;TRIM(TEXTSPLIT(AI130,","))&amp;",",","&amp;SUBSTITUTE(input_area_of_focus," ","")&amp;",")))=COUNTA(TEXTSPLIT(AI130,",")))),IF(AK130="",TRUE,IF(input_area_of_focus="",TRUE,SUMPRODUCT(--ISNUMBER(SEARCH(","&amp;TRIM(TEXTSPLIT(AK130,","))&amp;",",","&amp;SUBSTITUTE(input_area_of_focus," ","")&amp;",")))=0)),IF(AM130="",TRUE,IF(input_area_of_focus="",FALSE,SUMPRODUCT(--ISNUMBER(SEARCH(","&amp;TRIM(TEXTSPLIT(AM130,","))&amp;",",","&amp;SUBSTITUTE(input_area_of_focus," ","")&amp;",")))&gt;0)),IF(AO130="",TRUE,IF(input_area_of_focus="",FALSE,SUMPRODUCT(--ISNUMBER(SEARCH(","&amp;TRIM(TEXTSPLIT(AO130,","))&amp;",",","&amp;SUBSTITUTE(input_area_of_focus," ","")&amp;",")))=COUNTA(TEXTSPLIT(AO130,",")))))</f>
        <v/>
      </c>
      <c r="IW130" s="19">
        <f>AND(IF(AQ130="",TRUE,IF(input_audience="",FALSE,SUMPRODUCT(--ISNUMBER(SEARCH(","&amp;TRIM(TEXTSPLIT(AQ130,","))&amp;",",","&amp;SUBSTITUTE(input_audience," ","")&amp;",")))&gt;0)),IF(AS130="",TRUE,IF(input_audience="",FALSE,SUMPRODUCT(--ISNUMBER(SEARCH(","&amp;TRIM(TEXTSPLIT(AS130,","))&amp;",",","&amp;SUBSTITUTE(input_audience," ","")&amp;",")))=COUNTA(TEXTSPLIT(AS130,",")))),IF(AU130="",TRUE,IF(input_audience="",TRUE,SUMPRODUCT(--ISNUMBER(SEARCH(","&amp;TRIM(TEXTSPLIT(AU130,","))&amp;",",","&amp;SUBSTITUTE(input_audience," ","")&amp;",")))=0)),IF(AW130="",TRUE,IF(input_audience="",FALSE,SUMPRODUCT(--ISNUMBER(SEARCH(","&amp;TRIM(TEXTSPLIT(AW130,","))&amp;",",","&amp;SUBSTITUTE(input_audience," ","")&amp;",")))&gt;0)),IF(AY130="",TRUE,IF(input_audience="",FALSE,SUMPRODUCT(--ISNUMBER(SEARCH(","&amp;TRIM(TEXTSPLIT(AY130,","))&amp;",",","&amp;SUBSTITUTE(input_audience," ","")&amp;",")))=COUNTA(TEXTSPLIT(AY130,",")))))</f>
        <v/>
      </c>
      <c r="IX130" s="19">
        <f>AND(IF(BA130="",TRUE,IF(input_challenge_opportunities="",FALSE,SUMPRODUCT(--ISNUMBER(SEARCH(","&amp;TRIM(TEXTSPLIT(BA130,","))&amp;",",","&amp;SUBSTITUTE(input_challenge_opportunities," ","")&amp;",")))&gt;0)),IF(BC130="",TRUE,IF(input_challenge_opportunities="",FALSE,SUMPRODUCT(--ISNUMBER(SEARCH(","&amp;TRIM(TEXTSPLIT(BC130,","))&amp;",",","&amp;SUBSTITUTE(input_challenge_opportunities," ","")&amp;",")))=COUNTA(TEXTSPLIT(BC130,",")))),IF(BE130="",TRUE,IF(input_challenge_opportunities="",TRUE,SUMPRODUCT(--ISNUMBER(SEARCH(","&amp;TRIM(TEXTSPLIT(BE130,","))&amp;",",","&amp;SUBSTITUTE(input_challenge_opportunities," ","")&amp;",")))=0)),IF(BG130="",TRUE,IF(input_challenge_opportunities="",FALSE,SUMPRODUCT(--ISNUMBER(SEARCH(","&amp;TRIM(TEXTSPLIT(BG130,","))&amp;",",","&amp;SUBSTITUTE(input_challenge_opportunities," ","")&amp;",")))&gt;0)),IF(BI130="",TRUE,IF(input_challenge_opportunities="",FALSE,SUMPRODUCT(--ISNUMBER(SEARCH(","&amp;TRIM(TEXTSPLIT(BI130,","))&amp;",",","&amp;SUBSTITUTE(input_challenge_opportunities," ","")&amp;",")))=COUNTA(TEXTSPLIT(BI130,",")))))</f>
        <v/>
      </c>
      <c r="IY130" s="19">
        <f>AND(IF(BK130="",TRUE,IF(input_context="",FALSE,SUMPRODUCT(--ISNUMBER(SEARCH(","&amp;TRIM(TEXTSPLIT(BK130,","))&amp;",",","&amp;SUBSTITUTE(input_context," ","")&amp;",")))&gt;0)),IF(BM130="",TRUE,IF(input_context="",FALSE,SUMPRODUCT(--ISNUMBER(SEARCH(","&amp;TRIM(TEXTSPLIT(BM130,","))&amp;",",","&amp;SUBSTITUTE(input_context," ","")&amp;",")))=COUNTA(TEXTSPLIT(BM130,",")))),IF(BO130="",TRUE,IF(input_context="",TRUE,SUMPRODUCT(--ISNUMBER(SEARCH(","&amp;TRIM(TEXTSPLIT(BO130,","))&amp;",",","&amp;SUBSTITUTE(input_context," ","")&amp;",")))=0)),IF(BQ130="",TRUE,IF(input_context="",FALSE,SUMPRODUCT(--ISNUMBER(SEARCH(","&amp;TRIM(TEXTSPLIT(BQ130,","))&amp;",",","&amp;SUBSTITUTE(input_context," ","")&amp;",")))&gt;0)),IF(BS130="",TRUE,IF(input_context="",FALSE,SUMPRODUCT(--ISNUMBER(SEARCH(","&amp;TRIM(TEXTSPLIT(BS130,","))&amp;",",","&amp;SUBSTITUTE(input_context," ","")&amp;",")))=COUNTA(TEXTSPLIT(BS130,",")))))</f>
        <v/>
      </c>
      <c r="IZ130" s="19">
        <f>AND(IF(BU130="",TRUE,IF(input_enews_announcement_type="",FALSE,SUMPRODUCT(--ISNUMBER(SEARCH(","&amp;TRIM(TEXTSPLIT(BU130,","))&amp;",",","&amp;SUBSTITUTE(input_enews_announcement_type," ","")&amp;",")))&gt;0)),IF(BW130="",TRUE,IF(input_enews_announcement_type="",FALSE,SUMPRODUCT(--ISNUMBER(SEARCH(","&amp;TRIM(TEXTSPLIT(BW130,","))&amp;",",","&amp;SUBSTITUTE(input_enews_announcement_type," ","")&amp;",")))=COUNTA(TEXTSPLIT(BW130,",")))),IF(BY130="",TRUE,IF(input_enews_announcement_type="",TRUE,SUMPRODUCT(--ISNUMBER(SEARCH(","&amp;TRIM(TEXTSPLIT(BY130,","))&amp;",",","&amp;SUBSTITUTE(input_enews_announcement_type," ","")&amp;",")))=0)),IF(CA130="",TRUE,IF(input_enews_announcement_type="",FALSE,SUMPRODUCT(--ISNUMBER(SEARCH(","&amp;TRIM(TEXTSPLIT(CA130,","))&amp;",",","&amp;SUBSTITUTE(input_enews_announcement_type," ","")&amp;",")))&gt;0)),IF(CC130="",TRUE,IF(input_enews_announcement_type="",FALSE,SUMPRODUCT(--ISNUMBER(SEARCH(","&amp;TRIM(TEXTSPLIT(CC130,","))&amp;",",","&amp;SUBSTITUTE(input_enews_announcement_type," ","")&amp;",")))=COUNTA(TEXTSPLIT(CC130,",")))))</f>
        <v/>
      </c>
      <c r="JA130" s="19">
        <f>AND(IF(CE130="",TRUE,IF(input_enews_audience="",FALSE,SUMPRODUCT(--ISNUMBER(SEARCH(","&amp;TRIM(TEXTSPLIT(CE130,","))&amp;",",","&amp;SUBSTITUTE(input_enews_audience," ","")&amp;",")))&gt;0)),IF(CG130="",TRUE,IF(input_enews_audience="",FALSE,SUMPRODUCT(--ISNUMBER(SEARCH(","&amp;TRIM(TEXTSPLIT(CG130,","))&amp;",",","&amp;SUBSTITUTE(input_enews_audience," ","")&amp;",")))=COUNTA(TEXTSPLIT(CG130,",")))),IF(CI130="",TRUE,IF(input_enews_audience="",TRUE,SUMPRODUCT(--ISNUMBER(SEARCH(","&amp;TRIM(TEXTSPLIT(CI130,","))&amp;",",","&amp;SUBSTITUTE(input_enews_audience," ","")&amp;",")))=0)),IF(CK130="",TRUE,IF(input_enews_audience="",FALSE,SUMPRODUCT(--ISNUMBER(SEARCH(","&amp;TRIM(TEXTSPLIT(CK130,","))&amp;",",","&amp;SUBSTITUTE(input_enews_audience," ","")&amp;",")))&gt;0)),IF(CM130="",TRUE,IF(input_enews_audience="",FALSE,SUMPRODUCT(--ISNUMBER(SEARCH(","&amp;TRIM(TEXTSPLIT(CM130,","))&amp;",",","&amp;SUBSTITUTE(input_enews_audience," ","")&amp;",")))=COUNTA(TEXTSPLIT(CM130,",")))))</f>
        <v/>
      </c>
      <c r="JB130" s="19">
        <f>AND(IF(CO130="",TRUE,IF(input_event_location="",FALSE,SUMPRODUCT(--ISNUMBER(SEARCH(","&amp;TRIM(TEXTSPLIT(CO130,","))&amp;",",","&amp;SUBSTITUTE(input_event_location," ","")&amp;",")))&gt;0)),IF(CQ130="",TRUE,IF(input_event_location="",FALSE,SUMPRODUCT(--ISNUMBER(SEARCH(","&amp;TRIM(TEXTSPLIT(CQ130,","))&amp;",",","&amp;SUBSTITUTE(input_event_location," ","")&amp;",")))=COUNTA(TEXTSPLIT(CQ130,",")))),IF(CS130="",TRUE,IF(input_event_location="",TRUE,SUMPRODUCT(--ISNUMBER(SEARCH(","&amp;TRIM(TEXTSPLIT(CS130,","))&amp;",",","&amp;SUBSTITUTE(input_event_location," ","")&amp;",")))=0)),IF(CU130="",TRUE,IF(input_event_location="",FALSE,SUMPRODUCT(--ISNUMBER(SEARCH(","&amp;TRIM(TEXTSPLIT(CU130,","))&amp;",",","&amp;SUBSTITUTE(input_event_location," ","")&amp;",")))&gt;0)),IF(CW130="",TRUE,IF(input_event_location="",FALSE,SUMPRODUCT(--ISNUMBER(SEARCH(","&amp;TRIM(TEXTSPLIT(CW130,","))&amp;",",","&amp;SUBSTITUTE(input_event_location," ","")&amp;",")))=COUNTA(TEXTSPLIT(CW130,",")))))</f>
        <v/>
      </c>
      <c r="JC130" s="19">
        <f>AND(IF(CY130="",TRUE,IF(input_event_type="",FALSE,SUMPRODUCT(--ISNUMBER(SEARCH(","&amp;TRIM(TEXTSPLIT(CY130,","))&amp;",",","&amp;SUBSTITUTE(input_event_type," ","")&amp;",")))&gt;0)),IF(DA130="",TRUE,IF(input_event_type="",FALSE,SUMPRODUCT(--ISNUMBER(SEARCH(","&amp;TRIM(TEXTSPLIT(DA130,","))&amp;",",","&amp;SUBSTITUTE(input_event_type," ","")&amp;",")))=COUNTA(TEXTSPLIT(DA130,",")))),IF(DC130="",TRUE,IF(input_event_type="",TRUE,SUMPRODUCT(--ISNUMBER(SEARCH(","&amp;TRIM(TEXTSPLIT(DC130,","))&amp;",",","&amp;SUBSTITUTE(input_event_type," ","")&amp;",")))=0)),IF(DE130="",TRUE,IF(input_event_type="",FALSE,SUMPRODUCT(--ISNUMBER(SEARCH(","&amp;TRIM(TEXTSPLIT(DE130,","))&amp;",",","&amp;SUBSTITUTE(input_event_type," ","")&amp;",")))&gt;0)),IF(DG130="",TRUE,IF(input_event_type="",FALSE,SUMPRODUCT(--ISNUMBER(SEARCH(","&amp;TRIM(TEXTSPLIT(DG130,","))&amp;",",","&amp;SUBSTITUTE(input_event_type," ","")&amp;",")))=COUNTA(TEXTSPLIT(DG130,",")))))</f>
        <v/>
      </c>
      <c r="JD130" s="19">
        <f>AND(IF(DI130="",TRUE,IF(input_executive_education_focus="",FALSE,SUMPRODUCT(--ISNUMBER(SEARCH(","&amp;TRIM(TEXTSPLIT(DI130,","))&amp;",",","&amp;SUBSTITUTE(input_executive_education_focus," ","")&amp;",")))&gt;0)),IF(DK130="",TRUE,IF(input_executive_education_focus="",FALSE,SUMPRODUCT(--ISNUMBER(SEARCH(","&amp;TRIM(TEXTSPLIT(DK130,","))&amp;",",","&amp;SUBSTITUTE(input_executive_education_focus," ","")&amp;",")))=COUNTA(TEXTSPLIT(DK130,",")))),IF(DM130="",TRUE,IF(input_executive_education_focus="",TRUE,SUMPRODUCT(--ISNUMBER(SEARCH(","&amp;TRIM(TEXTSPLIT(DM130,","))&amp;",",","&amp;SUBSTITUTE(input_executive_education_focus," ","")&amp;",")))=0)),IF(DO130="",TRUE,IF(input_executive_education_focus="",FALSE,SUMPRODUCT(--ISNUMBER(SEARCH(","&amp;TRIM(TEXTSPLIT(DO130,","))&amp;",",","&amp;SUBSTITUTE(input_executive_education_focus," ","")&amp;",")))&gt;0)),IF(DQ130="",TRUE,IF(input_executive_education_focus="",FALSE,SUMPRODUCT(--ISNUMBER(SEARCH(","&amp;TRIM(TEXTSPLIT(DQ130,","))&amp;",",","&amp;SUBSTITUTE(input_executive_education_focus," ","")&amp;",")))=COUNTA(TEXTSPLIT(DQ130,",")))))</f>
        <v/>
      </c>
      <c r="JE130" s="19">
        <f>AND(IF(DS130="",TRUE,IF(input_faculty_category="",FALSE,SUMPRODUCT(--ISNUMBER(SEARCH(","&amp;TRIM(TEXTSPLIT(DS130,","))&amp;",",","&amp;SUBSTITUTE(input_faculty_category," ","")&amp;",")))&gt;0)),IF(DU130="",TRUE,IF(input_faculty_category="",FALSE,SUMPRODUCT(--ISNUMBER(SEARCH(","&amp;TRIM(TEXTSPLIT(DU130,","))&amp;",",","&amp;SUBSTITUTE(input_faculty_category," ","")&amp;",")))=COUNTA(TEXTSPLIT(DU130,",")))),IF(DW130="",TRUE,IF(input_faculty_category="",TRUE,SUMPRODUCT(--ISNUMBER(SEARCH(","&amp;TRIM(TEXTSPLIT(DW130,","))&amp;",",","&amp;SUBSTITUTE(input_faculty_category," ","")&amp;",")))=0)),IF(DY130="",TRUE,IF(input_faculty_category="",FALSE,SUMPRODUCT(--ISNUMBER(SEARCH(","&amp;TRIM(TEXTSPLIT(DY130,","))&amp;",",","&amp;SUBSTITUTE(input_faculty_category," ","")&amp;",")))&gt;0)),IF(EA130="",TRUE,IF(input_faculty_category="",FALSE,SUMPRODUCT(--ISNUMBER(SEARCH(","&amp;TRIM(TEXTSPLIT(EA130,","))&amp;",",","&amp;SUBSTITUTE(input_faculty_category," ","")&amp;",")))=COUNTA(TEXTSPLIT(EA130,",")))))</f>
        <v/>
      </c>
      <c r="JF130" s="19">
        <f>AND(IF(EC130="",TRUE,IF(input_faculty_discipline="",FALSE,SUMPRODUCT(--ISNUMBER(SEARCH(","&amp;TRIM(TEXTSPLIT(EC130,","))&amp;",",","&amp;SUBSTITUTE(input_faculty_discipline," ","")&amp;",")))&gt;0)),IF(EE130="",TRUE,IF(input_faculty_discipline="",FALSE,SUMPRODUCT(--ISNUMBER(SEARCH(","&amp;TRIM(TEXTSPLIT(EE130,","))&amp;",",","&amp;SUBSTITUTE(input_faculty_discipline," ","")&amp;",")))=COUNTA(TEXTSPLIT(EE130,",")))),IF(EG130="",TRUE,IF(input_faculty_discipline="",TRUE,SUMPRODUCT(--ISNUMBER(SEARCH(","&amp;TRIM(TEXTSPLIT(EG130,","))&amp;",",","&amp;SUBSTITUTE(input_faculty_discipline," ","")&amp;",")))=0)),IF(EI130="",TRUE,IF(input_faculty_discipline="",FALSE,SUMPRODUCT(--ISNUMBER(SEARCH(","&amp;TRIM(TEXTSPLIT(EI130,","))&amp;",",","&amp;SUBSTITUTE(input_faculty_discipline," ","")&amp;",")))&gt;0)),IF(EK130="",TRUE,IF(input_faculty_discipline="",FALSE,SUMPRODUCT(--ISNUMBER(SEARCH(","&amp;TRIM(TEXTSPLIT(EK130,","))&amp;",",","&amp;SUBSTITUTE(input_faculty_discipline," ","")&amp;",")))=COUNTA(TEXTSPLIT(EK130,",")))))</f>
        <v/>
      </c>
      <c r="JG130" s="19">
        <f>AND(IF(EM130="",TRUE,IF(input_faculty_expertise="",FALSE,SUMPRODUCT(--ISNUMBER(SEARCH(","&amp;TRIM(TEXTSPLIT(EM130,","))&amp;",",","&amp;SUBSTITUTE(input_faculty_expertise," ","")&amp;",")))&gt;0)),IF(EO130="",TRUE,IF(input_faculty_expertise="",FALSE,SUMPRODUCT(--ISNUMBER(SEARCH(","&amp;TRIM(TEXTSPLIT(EO130,","))&amp;",",","&amp;SUBSTITUTE(input_faculty_expertise," ","")&amp;",")))=COUNTA(TEXTSPLIT(EO130,",")))),IF(EQ130="",TRUE,IF(input_faculty_expertise="",TRUE,SUMPRODUCT(--ISNUMBER(SEARCH(","&amp;TRIM(TEXTSPLIT(EQ130,","))&amp;",",","&amp;SUBSTITUTE(input_faculty_expertise," ","")&amp;",")))=0)),IF(ES130="",TRUE,IF(input_faculty_expertise="",FALSE,SUMPRODUCT(--ISNUMBER(SEARCH(","&amp;TRIM(TEXTSPLIT(ES130,","))&amp;",",","&amp;SUBSTITUTE(input_faculty_expertise," ","")&amp;",")))&gt;0)),IF(EU130="",TRUE,IF(input_faculty_expertise="",FALSE,SUMPRODUCT(--ISNUMBER(SEARCH(","&amp;TRIM(TEXTSPLIT(EU130,","))&amp;",",","&amp;SUBSTITUTE(input_faculty_expertise," ","")&amp;",")))=COUNTA(TEXTSPLIT(EU130,",")))))</f>
        <v/>
      </c>
      <c r="JH130" s="19">
        <f>AND(IF(EW130="",TRUE,IF(input_global_network_school="",FALSE,SUMPRODUCT(--ISNUMBER(SEARCH(","&amp;TRIM(TEXTSPLIT(EW130,","))&amp;",",","&amp;SUBSTITUTE(input_global_network_school," ","")&amp;",")))&gt;0)),IF(EY130="",TRUE,IF(input_global_network_school="",FALSE,SUMPRODUCT(--ISNUMBER(SEARCH(","&amp;TRIM(TEXTSPLIT(EY130,","))&amp;",",","&amp;SUBSTITUTE(input_global_network_school," ","")&amp;",")))=COUNTA(TEXTSPLIT(EY130,",")))),IF(FA130="",TRUE,IF(input_global_network_school="",TRUE,SUMPRODUCT(--ISNUMBER(SEARCH(","&amp;TRIM(TEXTSPLIT(FA130,","))&amp;",",","&amp;SUBSTITUTE(input_global_network_school," ","")&amp;",")))=0)),IF(FC130="",TRUE,IF(input_global_network_school="",FALSE,SUMPRODUCT(--ISNUMBER(SEARCH(","&amp;TRIM(TEXTSPLIT(FC130,","))&amp;",",","&amp;SUBSTITUTE(input_global_network_school," ","")&amp;",")))&gt;0)),IF(FE130="",TRUE,IF(input_global_network_school="",FALSE,SUMPRODUCT(--ISNUMBER(SEARCH(","&amp;TRIM(TEXTSPLIT(FE130,","))&amp;",",","&amp;SUBSTITUTE(input_global_network_school," ","")&amp;",")))=COUNTA(TEXTSPLIT(FE130,",")))))</f>
        <v/>
      </c>
      <c r="JI130" s="19">
        <f>AND(IF(FG130="",TRUE,IF(input_industry="",FALSE,SUMPRODUCT(--ISNUMBER(SEARCH(","&amp;TRIM(TEXTSPLIT(FG130,","))&amp;",",","&amp;SUBSTITUTE(input_industry," ","")&amp;",")))&gt;0)),IF(FI130="",TRUE,IF(input_industry="",FALSE,SUMPRODUCT(--ISNUMBER(SEARCH(","&amp;TRIM(TEXTSPLIT(FI130,","))&amp;",",","&amp;SUBSTITUTE(input_industry," ","")&amp;",")))=COUNTA(TEXTSPLIT(FI130,",")))),IF(FK130="",TRUE,IF(input_industry="",TRUE,SUMPRODUCT(--ISNUMBER(SEARCH(","&amp;TRIM(TEXTSPLIT(FK130,","))&amp;",",","&amp;SUBSTITUTE(input_industry," ","")&amp;",")))=0)),IF(FM130="",TRUE,IF(input_industry="",FALSE,SUMPRODUCT(--ISNUMBER(SEARCH(","&amp;TRIM(TEXTSPLIT(FM130,","))&amp;",",","&amp;SUBSTITUTE(input_industry," ","")&amp;",")))&gt;0)),IF(FO130="",TRUE,IF(input_industry="",FALSE,SUMPRODUCT(--ISNUMBER(SEARCH(","&amp;TRIM(TEXTSPLIT(FO130,","))&amp;",",","&amp;SUBSTITUTE(input_industry," ","")&amp;",")))=COUNTA(TEXTSPLIT(FO130,",")))))</f>
        <v/>
      </c>
      <c r="JJ130" s="19">
        <f>AND(IF(FQ130="",TRUE,IF(input_location="",FALSE,SUMPRODUCT(--ISNUMBER(SEARCH(","&amp;TRIM(TEXTSPLIT(FQ130,","))&amp;",",","&amp;SUBSTITUTE(input_location," ","")&amp;",")))&gt;0)),IF(FS130="",TRUE,IF(input_location="",FALSE,SUMPRODUCT(--ISNUMBER(SEARCH(","&amp;TRIM(TEXTSPLIT(FS130,","))&amp;",",","&amp;SUBSTITUTE(input_location," ","")&amp;",")))=COUNTA(TEXTSPLIT(FS130,",")))),IF(FU130="",TRUE,IF(input_location="",TRUE,SUMPRODUCT(--ISNUMBER(SEARCH(","&amp;TRIM(TEXTSPLIT(FU130,","))&amp;",",","&amp;SUBSTITUTE(input_location," ","")&amp;",")))=0)),IF(FW130="",TRUE,IF(input_location="",FALSE,SUMPRODUCT(--ISNUMBER(SEARCH(","&amp;TRIM(TEXTSPLIT(FW130,","))&amp;",",","&amp;SUBSTITUTE(input_location," ","")&amp;",")))&gt;0)),IF(FY130="",TRUE,IF(input_location="",FALSE,SUMPRODUCT(--ISNUMBER(SEARCH(","&amp;TRIM(TEXTSPLIT(FY130,","))&amp;",",","&amp;SUBSTITUTE(input_location," ","")&amp;",")))=COUNTA(TEXTSPLIT(FY130,",")))))</f>
        <v/>
      </c>
      <c r="JK130" s="19">
        <f>AND(IF(GA130="",TRUE,IF(input_modality="",FALSE,SUMPRODUCT(--ISNUMBER(SEARCH(","&amp;TRIM(TEXTSPLIT(GA130,","))&amp;",",","&amp;SUBSTITUTE(input_modality," ","")&amp;",")))&gt;0)),IF(GC130="",TRUE,IF(input_modality="",FALSE,SUMPRODUCT(--ISNUMBER(SEARCH(","&amp;TRIM(TEXTSPLIT(GC130,","))&amp;",",","&amp;SUBSTITUTE(input_modality," ","")&amp;",")))=COUNTA(TEXTSPLIT(GC130,",")))),IF(GE130="",TRUE,IF(input_modality="",TRUE,SUMPRODUCT(--ISNUMBER(SEARCH(","&amp;TRIM(TEXTSPLIT(GE130,","))&amp;",",","&amp;SUBSTITUTE(input_modality," ","")&amp;",")))=0)),IF(GG130="",TRUE,IF(input_modality="",FALSE,SUMPRODUCT(--ISNUMBER(SEARCH(","&amp;TRIM(TEXTSPLIT(GG130,","))&amp;",",","&amp;SUBSTITUTE(input_modality," ","")&amp;",")))&gt;0)),IF(GI130="",TRUE,IF(input_modality="",FALSE,SUMPRODUCT(--ISNUMBER(SEARCH(","&amp;TRIM(TEXTSPLIT(GI130,","))&amp;",",","&amp;SUBSTITUTE(input_modality," ","")&amp;",")))=COUNTA(TEXTSPLIT(GI130,",")))))</f>
        <v/>
      </c>
      <c r="JL130" s="19">
        <f>AND(IF(GK130="",TRUE,IF(input_organizer="",FALSE,SUMPRODUCT(--ISNUMBER(SEARCH(","&amp;TRIM(TEXTSPLIT(GK130,","))&amp;",",","&amp;SUBSTITUTE(input_organizer," ","")&amp;",")))&gt;0)),IF(GM130="",TRUE,IF(input_organizer="",FALSE,SUMPRODUCT(--ISNUMBER(SEARCH(","&amp;TRIM(TEXTSPLIT(GM130,","))&amp;",",","&amp;SUBSTITUTE(input_organizer," ","")&amp;",")))=COUNTA(TEXTSPLIT(GM130,",")))),IF(GO130="",TRUE,IF(input_organizer="",TRUE,SUMPRODUCT(--ISNUMBER(SEARCH(","&amp;TRIM(TEXTSPLIT(GO130,","))&amp;",",","&amp;SUBSTITUTE(input_organizer," ","")&amp;",")))=0)),IF(GQ130="",TRUE,IF(input_organizer="",FALSE,SUMPRODUCT(--ISNUMBER(SEARCH(","&amp;TRIM(TEXTSPLIT(GQ130,","))&amp;",",","&amp;SUBSTITUTE(input_organizer," ","")&amp;",")))&gt;0)),IF(GS130="",TRUE,IF(input_organizer="",FALSE,SUMPRODUCT(--ISNUMBER(SEARCH(","&amp;TRIM(TEXTSPLIT(GS130,","))&amp;",",","&amp;SUBSTITUTE(input_organizer," ","")&amp;",")))=COUNTA(TEXTSPLIT(GS130,",")))))</f>
        <v/>
      </c>
      <c r="JM130" s="19">
        <f>AND(IF(GU130="",TRUE,IF(input_profile_type="",FALSE,SUMPRODUCT(--ISNUMBER(SEARCH(","&amp;TRIM(TEXTSPLIT(GU130,","))&amp;",",","&amp;SUBSTITUTE(input_profile_type," ","")&amp;",")))&gt;0)),IF(GW130="",TRUE,IF(input_profile_type="",FALSE,SUMPRODUCT(--ISNUMBER(SEARCH(","&amp;TRIM(TEXTSPLIT(GW130,","))&amp;",",","&amp;SUBSTITUTE(input_profile_type," ","")&amp;",")))=COUNTA(TEXTSPLIT(GW130,",")))),IF(GY130="",TRUE,IF(input_profile_type="",TRUE,SUMPRODUCT(--ISNUMBER(SEARCH(","&amp;TRIM(TEXTSPLIT(GY130,","))&amp;",",","&amp;SUBSTITUTE(input_profile_type," ","")&amp;",")))=0)),IF(HA130="",TRUE,IF(input_profile_type="",FALSE,SUMPRODUCT(--ISNUMBER(SEARCH(","&amp;TRIM(TEXTSPLIT(HA130,","))&amp;",",","&amp;SUBSTITUTE(input_profile_type," ","")&amp;",")))&gt;0)),IF(HC130="",TRUE,IF(input_profile_type="",FALSE,SUMPRODUCT(--ISNUMBER(SEARCH(","&amp;TRIM(TEXTSPLIT(HC130,","))&amp;",",","&amp;SUBSTITUTE(input_profile_type," ","")&amp;",")))=COUNTA(TEXTSPLIT(HC130,",")))))</f>
        <v/>
      </c>
      <c r="JN130" s="19">
        <f>AND(IF(HE130="",TRUE,IF(input_program="",FALSE,SUMPRODUCT(--ISNUMBER(SEARCH(","&amp;TRIM(TEXTSPLIT(HE130,","))&amp;",",","&amp;SUBSTITUTE(input_program," ","")&amp;",")))&gt;0)),IF(HG130="",TRUE,IF(input_program="",FALSE,SUMPRODUCT(--ISNUMBER(SEARCH(","&amp;TRIM(TEXTSPLIT(HG130,","))&amp;",",","&amp;SUBSTITUTE(input_program," ","")&amp;",")))=COUNTA(TEXTSPLIT(HG130,",")))),IF(HI130="",TRUE,IF(input_program="",TRUE,SUMPRODUCT(--ISNUMBER(SEARCH(","&amp;TRIM(TEXTSPLIT(HI130,","))&amp;",",","&amp;SUBSTITUTE(input_program," ","")&amp;",")))=0)),IF(HK130="",TRUE,IF(input_program="",FALSE,SUMPRODUCT(--ISNUMBER(SEARCH(","&amp;TRIM(TEXTSPLIT(HK130,","))&amp;",",","&amp;SUBSTITUTE(input_program," ","")&amp;",")))&gt;0)),IF(HM130="",TRUE,IF(input_program="",FALSE,SUMPRODUCT(--ISNUMBER(SEARCH(","&amp;TRIM(TEXTSPLIT(HM130,","))&amp;",",","&amp;SUBSTITUTE(input_program," ","")&amp;",")))=COUNTA(TEXTSPLIT(HM130,",")))))</f>
        <v/>
      </c>
      <c r="JO130" s="19">
        <f>AND(IF(HO130="",TRUE,IF(input_story_categories="",FALSE,SUMPRODUCT(--ISNUMBER(SEARCH(","&amp;TRIM(TEXTSPLIT(HO130,","))&amp;",",","&amp;SUBSTITUTE(input_story_categories," ","")&amp;",")))&gt;0)),IF(HQ130="",TRUE,IF(input_story_categories="",FALSE,SUMPRODUCT(--ISNUMBER(SEARCH(","&amp;TRIM(TEXTSPLIT(HQ130,","))&amp;",",","&amp;SUBSTITUTE(input_story_categories," ","")&amp;",")))=COUNTA(TEXTSPLIT(HQ130,",")))),IF(HS130="",TRUE,IF(input_story_categories="",TRUE,SUMPRODUCT(--ISNUMBER(SEARCH(","&amp;TRIM(TEXTSPLIT(HS130,","))&amp;",",","&amp;SUBSTITUTE(input_story_categories," ","")&amp;",")))=0)),IF(HU130="",TRUE,IF(input_story_categories="",FALSE,SUMPRODUCT(--ISNUMBER(SEARCH(","&amp;TRIM(TEXTSPLIT(HU130,","))&amp;",",","&amp;SUBSTITUTE(input_story_categories," ","")&amp;",")))&gt;0)),IF(HW130="",TRUE,IF(input_story_categories="",FALSE,SUMPRODUCT(--ISNUMBER(SEARCH(","&amp;TRIM(TEXTSPLIT(HW130,","))&amp;",",","&amp;SUBSTITUTE(input_story_categories," ","")&amp;",")))=COUNTA(TEXTSPLIT(HW130,",")))))</f>
        <v/>
      </c>
      <c r="JP130" s="19">
        <f>AND(IF(HY130="",TRUE,IF(input_story_type="",FALSE,SUMPRODUCT(--ISNUMBER(SEARCH(","&amp;TRIM(TEXTSPLIT(HY130,","))&amp;",",","&amp;SUBSTITUTE(input_story_type," ","")&amp;",")))&gt;0)),IF(IA130="",TRUE,IF(input_story_type="",FALSE,SUMPRODUCT(--ISNUMBER(SEARCH(","&amp;TRIM(TEXTSPLIT(IA130,","))&amp;",",","&amp;SUBSTITUTE(input_story_type," ","")&amp;",")))=COUNTA(TEXTSPLIT(IA130,",")))),IF(IC130="",TRUE,IF(input_story_type="",TRUE,SUMPRODUCT(--ISNUMBER(SEARCH(","&amp;TRIM(TEXTSPLIT(IC130,","))&amp;",",","&amp;SUBSTITUTE(input_story_type," ","")&amp;",")))=0)),IF(IE130="",TRUE,IF(input_story_type="",FALSE,SUMPRODUCT(--ISNUMBER(SEARCH(","&amp;TRIM(TEXTSPLIT(IE130,","))&amp;",",","&amp;SUBSTITUTE(input_story_type," ","")&amp;",")))&gt;0)),IF(IG130="",TRUE,IF(input_story_type="",FALSE,SUMPRODUCT(--ISNUMBER(SEARCH(","&amp;TRIM(TEXTSPLIT(IG130,","))&amp;",",","&amp;SUBSTITUTE(input_story_type," ","")&amp;",")))=COUNTA(TEXTSPLIT(IG130,",")))))</f>
        <v/>
      </c>
      <c r="JQ130" s="19">
        <f>AND(IF(II130="",TRUE,IF(input_topics="",FALSE,SUMPRODUCT(--ISNUMBER(SEARCH(","&amp;TRIM(TEXTSPLIT(II130,","))&amp;",",","&amp;SUBSTITUTE(input_topics," ","")&amp;",")))&gt;0)),IF(IK130="",TRUE,IF(input_topics="",FALSE,SUMPRODUCT(--ISNUMBER(SEARCH(","&amp;TRIM(TEXTSPLIT(IK130,","))&amp;",",","&amp;SUBSTITUTE(input_topics," ","")&amp;",")))=COUNTA(TEXTSPLIT(IK130,",")))),IF(IM130="",TRUE,IF(input_topics="",TRUE,SUMPRODUCT(--ISNUMBER(SEARCH(","&amp;TRIM(TEXTSPLIT(IM130,","))&amp;",",","&amp;SUBSTITUTE(input_topics," ","")&amp;",")))=0)),IF(IO130="",TRUE,IF(input_topics="",FALSE,SUMPRODUCT(--ISNUMBER(SEARCH(","&amp;TRIM(TEXTSPLIT(IO130,","))&amp;",",","&amp;SUBSTITUTE(input_topics," ","")&amp;",")))&gt;0)),IF(IQ130="",TRUE,IF(input_topics="",FALSE,SUMPRODUCT(--ISNUMBER(SEARCH(","&amp;TRIM(TEXTSPLIT(IQ130,","))&amp;",",","&amp;SUBSTITUTE(input_topics," ","")&amp;",")))=COUNTA(TEXTSPLIT(IQ130,",")))))</f>
        <v/>
      </c>
    </row>
    <row r="131">
      <c r="A131" s="24">
        <f>IF(NOT(IS131),"Excluded",IF(AND(IT131,IU131,IV131,IW131,IX131,IY131,IZ131,JA131,JB131,JC131,JD131,JE131,JF131,JG131,JH131,JI131,JJ131,JK131,JL131,JM131,JN131,JO131,JP131,JQ131),IF(I131&gt;0,"Eligible but limited","Will appear"),"Excluded"))</f>
        <v/>
      </c>
      <c r="B131" s="24" t="inlineStr">
        <is>
          <t>Media</t>
        </is>
      </c>
      <c r="C131" s="27" t="inlineStr">
        <is>
          <t>/centers/chief-executive-leadership-institute/media</t>
        </is>
      </c>
      <c r="D131" s="24" t="inlineStr">
        <is>
          <t>/centers/chief-executive-leadership-institute/media</t>
        </is>
      </c>
      <c r="E131" s="24" t="n">
        <v>1</v>
      </c>
      <c r="F131" s="24" t="inlineStr">
        <is>
          <t>story</t>
        </is>
      </c>
      <c r="G131" s="24" t="inlineStr">
        <is>
          <t>stories_list</t>
        </is>
      </c>
      <c r="H131" s="24" t="inlineStr">
        <is>
          <t>embed_1</t>
        </is>
      </c>
      <c r="I131" s="24" t="n">
        <v>10</v>
      </c>
      <c r="J131" s="28" t="inlineStr">
        <is>
          <t>Explicit args</t>
        </is>
      </c>
      <c r="K131" s="24" t="inlineStr">
        <is>
          <t>Page placement</t>
        </is>
      </c>
      <c r="L131" s="24" t="inlineStr">
        <is>
          <t>Content type: story; Context uses Courses Context: Media Appearance (1189); Limited to 10 item(s); Source: Explicit args</t>
        </is>
      </c>
      <c r="BQ131" s="19" t="inlineStr">
        <is>
          <t>1189</t>
        </is>
      </c>
      <c r="BR131" s="19" t="inlineStr">
        <is>
          <t>Media Appearance (1189)</t>
        </is>
      </c>
      <c r="IS131" s="19">
        <f>IF(input_content_type="",FALSE,ISNUMBER(SEARCH(","&amp;LOWER(input_content_type)&amp;",",","&amp;LOWER(SUBSTITUTE(F131," ",""))&amp;",")))</f>
        <v/>
      </c>
      <c r="IT131" s="19">
        <f>AND(IF(M131="",TRUE,IF(input_affiliations="",FALSE,SUMPRODUCT(--ISNUMBER(SEARCH(","&amp;TRIM(TEXTSPLIT(M131,","))&amp;",",","&amp;SUBSTITUTE(input_affiliations," ","")&amp;",")))&gt;0)),IF(O131="",TRUE,IF(input_affiliations="",FALSE,SUMPRODUCT(--ISNUMBER(SEARCH(","&amp;TRIM(TEXTSPLIT(O131,","))&amp;",",","&amp;SUBSTITUTE(input_affiliations," ","")&amp;",")))=COUNTA(TEXTSPLIT(O131,",")))),IF(Q131="",TRUE,IF(input_affiliations="",TRUE,SUMPRODUCT(--ISNUMBER(SEARCH(","&amp;TRIM(TEXTSPLIT(Q131,","))&amp;",",","&amp;SUBSTITUTE(input_affiliations," ","")&amp;",")))=0)),IF(S131="",TRUE,IF(input_affiliations="",FALSE,SUMPRODUCT(--ISNUMBER(SEARCH(","&amp;TRIM(TEXTSPLIT(S131,","))&amp;",",","&amp;SUBSTITUTE(input_affiliations," ","")&amp;",")))&gt;0)),IF(U131="",TRUE,IF(input_affiliations="",FALSE,SUMPRODUCT(--ISNUMBER(SEARCH(","&amp;TRIM(TEXTSPLIT(U131,","))&amp;",",","&amp;SUBSTITUTE(input_affiliations," ","")&amp;",")))=COUNTA(TEXTSPLIT(U131,",")))))</f>
        <v/>
      </c>
      <c r="IU131" s="19">
        <f>AND(IF(W131="",TRUE,IF(input_announcement_category="",FALSE,SUMPRODUCT(--ISNUMBER(SEARCH(","&amp;TRIM(TEXTSPLIT(W131,","))&amp;",",","&amp;SUBSTITUTE(input_announcement_category," ","")&amp;",")))&gt;0)),IF(Y131="",TRUE,IF(input_announcement_category="",FALSE,SUMPRODUCT(--ISNUMBER(SEARCH(","&amp;TRIM(TEXTSPLIT(Y131,","))&amp;",",","&amp;SUBSTITUTE(input_announcement_category," ","")&amp;",")))=COUNTA(TEXTSPLIT(Y131,",")))),IF(AA131="",TRUE,IF(input_announcement_category="",TRUE,SUMPRODUCT(--ISNUMBER(SEARCH(","&amp;TRIM(TEXTSPLIT(AA131,","))&amp;",",","&amp;SUBSTITUTE(input_announcement_category," ","")&amp;",")))=0)),IF(AC131="",TRUE,IF(input_announcement_category="",FALSE,SUMPRODUCT(--ISNUMBER(SEARCH(","&amp;TRIM(TEXTSPLIT(AC131,","))&amp;",",","&amp;SUBSTITUTE(input_announcement_category," ","")&amp;",")))&gt;0)),IF(AE131="",TRUE,IF(input_announcement_category="",FALSE,SUMPRODUCT(--ISNUMBER(SEARCH(","&amp;TRIM(TEXTSPLIT(AE131,","))&amp;",",","&amp;SUBSTITUTE(input_announcement_category," ","")&amp;",")))=COUNTA(TEXTSPLIT(AE131,",")))))</f>
        <v/>
      </c>
      <c r="IV131" s="19">
        <f>AND(IF(AG131="",TRUE,IF(input_area_of_focus="",FALSE,SUMPRODUCT(--ISNUMBER(SEARCH(","&amp;TRIM(TEXTSPLIT(AG131,","))&amp;",",","&amp;SUBSTITUTE(input_area_of_focus," ","")&amp;",")))&gt;0)),IF(AI131="",TRUE,IF(input_area_of_focus="",FALSE,SUMPRODUCT(--ISNUMBER(SEARCH(","&amp;TRIM(TEXTSPLIT(AI131,","))&amp;",",","&amp;SUBSTITUTE(input_area_of_focus," ","")&amp;",")))=COUNTA(TEXTSPLIT(AI131,",")))),IF(AK131="",TRUE,IF(input_area_of_focus="",TRUE,SUMPRODUCT(--ISNUMBER(SEARCH(","&amp;TRIM(TEXTSPLIT(AK131,","))&amp;",",","&amp;SUBSTITUTE(input_area_of_focus," ","")&amp;",")))=0)),IF(AM131="",TRUE,IF(input_area_of_focus="",FALSE,SUMPRODUCT(--ISNUMBER(SEARCH(","&amp;TRIM(TEXTSPLIT(AM131,","))&amp;",",","&amp;SUBSTITUTE(input_area_of_focus," ","")&amp;",")))&gt;0)),IF(AO131="",TRUE,IF(input_area_of_focus="",FALSE,SUMPRODUCT(--ISNUMBER(SEARCH(","&amp;TRIM(TEXTSPLIT(AO131,","))&amp;",",","&amp;SUBSTITUTE(input_area_of_focus," ","")&amp;",")))=COUNTA(TEXTSPLIT(AO131,",")))))</f>
        <v/>
      </c>
      <c r="IW131" s="19">
        <f>AND(IF(AQ131="",TRUE,IF(input_audience="",FALSE,SUMPRODUCT(--ISNUMBER(SEARCH(","&amp;TRIM(TEXTSPLIT(AQ131,","))&amp;",",","&amp;SUBSTITUTE(input_audience," ","")&amp;",")))&gt;0)),IF(AS131="",TRUE,IF(input_audience="",FALSE,SUMPRODUCT(--ISNUMBER(SEARCH(","&amp;TRIM(TEXTSPLIT(AS131,","))&amp;",",","&amp;SUBSTITUTE(input_audience," ","")&amp;",")))=COUNTA(TEXTSPLIT(AS131,",")))),IF(AU131="",TRUE,IF(input_audience="",TRUE,SUMPRODUCT(--ISNUMBER(SEARCH(","&amp;TRIM(TEXTSPLIT(AU131,","))&amp;",",","&amp;SUBSTITUTE(input_audience," ","")&amp;",")))=0)),IF(AW131="",TRUE,IF(input_audience="",FALSE,SUMPRODUCT(--ISNUMBER(SEARCH(","&amp;TRIM(TEXTSPLIT(AW131,","))&amp;",",","&amp;SUBSTITUTE(input_audience," ","")&amp;",")))&gt;0)),IF(AY131="",TRUE,IF(input_audience="",FALSE,SUMPRODUCT(--ISNUMBER(SEARCH(","&amp;TRIM(TEXTSPLIT(AY131,","))&amp;",",","&amp;SUBSTITUTE(input_audience," ","")&amp;",")))=COUNTA(TEXTSPLIT(AY131,",")))))</f>
        <v/>
      </c>
      <c r="IX131" s="19">
        <f>AND(IF(BA131="",TRUE,IF(input_challenge_opportunities="",FALSE,SUMPRODUCT(--ISNUMBER(SEARCH(","&amp;TRIM(TEXTSPLIT(BA131,","))&amp;",",","&amp;SUBSTITUTE(input_challenge_opportunities," ","")&amp;",")))&gt;0)),IF(BC131="",TRUE,IF(input_challenge_opportunities="",FALSE,SUMPRODUCT(--ISNUMBER(SEARCH(","&amp;TRIM(TEXTSPLIT(BC131,","))&amp;",",","&amp;SUBSTITUTE(input_challenge_opportunities," ","")&amp;",")))=COUNTA(TEXTSPLIT(BC131,",")))),IF(BE131="",TRUE,IF(input_challenge_opportunities="",TRUE,SUMPRODUCT(--ISNUMBER(SEARCH(","&amp;TRIM(TEXTSPLIT(BE131,","))&amp;",",","&amp;SUBSTITUTE(input_challenge_opportunities," ","")&amp;",")))=0)),IF(BG131="",TRUE,IF(input_challenge_opportunities="",FALSE,SUMPRODUCT(--ISNUMBER(SEARCH(","&amp;TRIM(TEXTSPLIT(BG131,","))&amp;",",","&amp;SUBSTITUTE(input_challenge_opportunities," ","")&amp;",")))&gt;0)),IF(BI131="",TRUE,IF(input_challenge_opportunities="",FALSE,SUMPRODUCT(--ISNUMBER(SEARCH(","&amp;TRIM(TEXTSPLIT(BI131,","))&amp;",",","&amp;SUBSTITUTE(input_challenge_opportunities," ","")&amp;",")))=COUNTA(TEXTSPLIT(BI131,",")))))</f>
        <v/>
      </c>
      <c r="IY131" s="19">
        <f>AND(IF(BK131="",TRUE,IF(input_context="",FALSE,SUMPRODUCT(--ISNUMBER(SEARCH(","&amp;TRIM(TEXTSPLIT(BK131,","))&amp;",",","&amp;SUBSTITUTE(input_context," ","")&amp;",")))&gt;0)),IF(BM131="",TRUE,IF(input_context="",FALSE,SUMPRODUCT(--ISNUMBER(SEARCH(","&amp;TRIM(TEXTSPLIT(BM131,","))&amp;",",","&amp;SUBSTITUTE(input_context," ","")&amp;",")))=COUNTA(TEXTSPLIT(BM131,",")))),IF(BO131="",TRUE,IF(input_context="",TRUE,SUMPRODUCT(--ISNUMBER(SEARCH(","&amp;TRIM(TEXTSPLIT(BO131,","))&amp;",",","&amp;SUBSTITUTE(input_context," ","")&amp;",")))=0)),IF(BQ131="",TRUE,IF(input_context="",FALSE,SUMPRODUCT(--ISNUMBER(SEARCH(","&amp;TRIM(TEXTSPLIT(BQ131,","))&amp;",",","&amp;SUBSTITUTE(input_context," ","")&amp;",")))&gt;0)),IF(BS131="",TRUE,IF(input_context="",FALSE,SUMPRODUCT(--ISNUMBER(SEARCH(","&amp;TRIM(TEXTSPLIT(BS131,","))&amp;",",","&amp;SUBSTITUTE(input_context," ","")&amp;",")))=COUNTA(TEXTSPLIT(BS131,",")))))</f>
        <v/>
      </c>
      <c r="IZ131" s="19">
        <f>AND(IF(BU131="",TRUE,IF(input_enews_announcement_type="",FALSE,SUMPRODUCT(--ISNUMBER(SEARCH(","&amp;TRIM(TEXTSPLIT(BU131,","))&amp;",",","&amp;SUBSTITUTE(input_enews_announcement_type," ","")&amp;",")))&gt;0)),IF(BW131="",TRUE,IF(input_enews_announcement_type="",FALSE,SUMPRODUCT(--ISNUMBER(SEARCH(","&amp;TRIM(TEXTSPLIT(BW131,","))&amp;",",","&amp;SUBSTITUTE(input_enews_announcement_type," ","")&amp;",")))=COUNTA(TEXTSPLIT(BW131,",")))),IF(BY131="",TRUE,IF(input_enews_announcement_type="",TRUE,SUMPRODUCT(--ISNUMBER(SEARCH(","&amp;TRIM(TEXTSPLIT(BY131,","))&amp;",",","&amp;SUBSTITUTE(input_enews_announcement_type," ","")&amp;",")))=0)),IF(CA131="",TRUE,IF(input_enews_announcement_type="",FALSE,SUMPRODUCT(--ISNUMBER(SEARCH(","&amp;TRIM(TEXTSPLIT(CA131,","))&amp;",",","&amp;SUBSTITUTE(input_enews_announcement_type," ","")&amp;",")))&gt;0)),IF(CC131="",TRUE,IF(input_enews_announcement_type="",FALSE,SUMPRODUCT(--ISNUMBER(SEARCH(","&amp;TRIM(TEXTSPLIT(CC131,","))&amp;",",","&amp;SUBSTITUTE(input_enews_announcement_type," ","")&amp;",")))=COUNTA(TEXTSPLIT(CC131,",")))))</f>
        <v/>
      </c>
      <c r="JA131" s="19">
        <f>AND(IF(CE131="",TRUE,IF(input_enews_audience="",FALSE,SUMPRODUCT(--ISNUMBER(SEARCH(","&amp;TRIM(TEXTSPLIT(CE131,","))&amp;",",","&amp;SUBSTITUTE(input_enews_audience," ","")&amp;",")))&gt;0)),IF(CG131="",TRUE,IF(input_enews_audience="",FALSE,SUMPRODUCT(--ISNUMBER(SEARCH(","&amp;TRIM(TEXTSPLIT(CG131,","))&amp;",",","&amp;SUBSTITUTE(input_enews_audience," ","")&amp;",")))=COUNTA(TEXTSPLIT(CG131,",")))),IF(CI131="",TRUE,IF(input_enews_audience="",TRUE,SUMPRODUCT(--ISNUMBER(SEARCH(","&amp;TRIM(TEXTSPLIT(CI131,","))&amp;",",","&amp;SUBSTITUTE(input_enews_audience," ","")&amp;",")))=0)),IF(CK131="",TRUE,IF(input_enews_audience="",FALSE,SUMPRODUCT(--ISNUMBER(SEARCH(","&amp;TRIM(TEXTSPLIT(CK131,","))&amp;",",","&amp;SUBSTITUTE(input_enews_audience," ","")&amp;",")))&gt;0)),IF(CM131="",TRUE,IF(input_enews_audience="",FALSE,SUMPRODUCT(--ISNUMBER(SEARCH(","&amp;TRIM(TEXTSPLIT(CM131,","))&amp;",",","&amp;SUBSTITUTE(input_enews_audience," ","")&amp;",")))=COUNTA(TEXTSPLIT(CM131,",")))))</f>
        <v/>
      </c>
      <c r="JB131" s="19">
        <f>AND(IF(CO131="",TRUE,IF(input_event_location="",FALSE,SUMPRODUCT(--ISNUMBER(SEARCH(","&amp;TRIM(TEXTSPLIT(CO131,","))&amp;",",","&amp;SUBSTITUTE(input_event_location," ","")&amp;",")))&gt;0)),IF(CQ131="",TRUE,IF(input_event_location="",FALSE,SUMPRODUCT(--ISNUMBER(SEARCH(","&amp;TRIM(TEXTSPLIT(CQ131,","))&amp;",",","&amp;SUBSTITUTE(input_event_location," ","")&amp;",")))=COUNTA(TEXTSPLIT(CQ131,",")))),IF(CS131="",TRUE,IF(input_event_location="",TRUE,SUMPRODUCT(--ISNUMBER(SEARCH(","&amp;TRIM(TEXTSPLIT(CS131,","))&amp;",",","&amp;SUBSTITUTE(input_event_location," ","")&amp;",")))=0)),IF(CU131="",TRUE,IF(input_event_location="",FALSE,SUMPRODUCT(--ISNUMBER(SEARCH(","&amp;TRIM(TEXTSPLIT(CU131,","))&amp;",",","&amp;SUBSTITUTE(input_event_location," ","")&amp;",")))&gt;0)),IF(CW131="",TRUE,IF(input_event_location="",FALSE,SUMPRODUCT(--ISNUMBER(SEARCH(","&amp;TRIM(TEXTSPLIT(CW131,","))&amp;",",","&amp;SUBSTITUTE(input_event_location," ","")&amp;",")))=COUNTA(TEXTSPLIT(CW131,",")))))</f>
        <v/>
      </c>
      <c r="JC131" s="19">
        <f>AND(IF(CY131="",TRUE,IF(input_event_type="",FALSE,SUMPRODUCT(--ISNUMBER(SEARCH(","&amp;TRIM(TEXTSPLIT(CY131,","))&amp;",",","&amp;SUBSTITUTE(input_event_type," ","")&amp;",")))&gt;0)),IF(DA131="",TRUE,IF(input_event_type="",FALSE,SUMPRODUCT(--ISNUMBER(SEARCH(","&amp;TRIM(TEXTSPLIT(DA131,","))&amp;",",","&amp;SUBSTITUTE(input_event_type," ","")&amp;",")))=COUNTA(TEXTSPLIT(DA131,",")))),IF(DC131="",TRUE,IF(input_event_type="",TRUE,SUMPRODUCT(--ISNUMBER(SEARCH(","&amp;TRIM(TEXTSPLIT(DC131,","))&amp;",",","&amp;SUBSTITUTE(input_event_type," ","")&amp;",")))=0)),IF(DE131="",TRUE,IF(input_event_type="",FALSE,SUMPRODUCT(--ISNUMBER(SEARCH(","&amp;TRIM(TEXTSPLIT(DE131,","))&amp;",",","&amp;SUBSTITUTE(input_event_type," ","")&amp;",")))&gt;0)),IF(DG131="",TRUE,IF(input_event_type="",FALSE,SUMPRODUCT(--ISNUMBER(SEARCH(","&amp;TRIM(TEXTSPLIT(DG131,","))&amp;",",","&amp;SUBSTITUTE(input_event_type," ","")&amp;",")))=COUNTA(TEXTSPLIT(DG131,",")))))</f>
        <v/>
      </c>
      <c r="JD131" s="19">
        <f>AND(IF(DI131="",TRUE,IF(input_executive_education_focus="",FALSE,SUMPRODUCT(--ISNUMBER(SEARCH(","&amp;TRIM(TEXTSPLIT(DI131,","))&amp;",",","&amp;SUBSTITUTE(input_executive_education_focus," ","")&amp;",")))&gt;0)),IF(DK131="",TRUE,IF(input_executive_education_focus="",FALSE,SUMPRODUCT(--ISNUMBER(SEARCH(","&amp;TRIM(TEXTSPLIT(DK131,","))&amp;",",","&amp;SUBSTITUTE(input_executive_education_focus," ","")&amp;",")))=COUNTA(TEXTSPLIT(DK131,",")))),IF(DM131="",TRUE,IF(input_executive_education_focus="",TRUE,SUMPRODUCT(--ISNUMBER(SEARCH(","&amp;TRIM(TEXTSPLIT(DM131,","))&amp;",",","&amp;SUBSTITUTE(input_executive_education_focus," ","")&amp;",")))=0)),IF(DO131="",TRUE,IF(input_executive_education_focus="",FALSE,SUMPRODUCT(--ISNUMBER(SEARCH(","&amp;TRIM(TEXTSPLIT(DO131,","))&amp;",",","&amp;SUBSTITUTE(input_executive_education_focus," ","")&amp;",")))&gt;0)),IF(DQ131="",TRUE,IF(input_executive_education_focus="",FALSE,SUMPRODUCT(--ISNUMBER(SEARCH(","&amp;TRIM(TEXTSPLIT(DQ131,","))&amp;",",","&amp;SUBSTITUTE(input_executive_education_focus," ","")&amp;",")))=COUNTA(TEXTSPLIT(DQ131,",")))))</f>
        <v/>
      </c>
      <c r="JE131" s="19">
        <f>AND(IF(DS131="",TRUE,IF(input_faculty_category="",FALSE,SUMPRODUCT(--ISNUMBER(SEARCH(","&amp;TRIM(TEXTSPLIT(DS131,","))&amp;",",","&amp;SUBSTITUTE(input_faculty_category," ","")&amp;",")))&gt;0)),IF(DU131="",TRUE,IF(input_faculty_category="",FALSE,SUMPRODUCT(--ISNUMBER(SEARCH(","&amp;TRIM(TEXTSPLIT(DU131,","))&amp;",",","&amp;SUBSTITUTE(input_faculty_category," ","")&amp;",")))=COUNTA(TEXTSPLIT(DU131,",")))),IF(DW131="",TRUE,IF(input_faculty_category="",TRUE,SUMPRODUCT(--ISNUMBER(SEARCH(","&amp;TRIM(TEXTSPLIT(DW131,","))&amp;",",","&amp;SUBSTITUTE(input_faculty_category," ","")&amp;",")))=0)),IF(DY131="",TRUE,IF(input_faculty_category="",FALSE,SUMPRODUCT(--ISNUMBER(SEARCH(","&amp;TRIM(TEXTSPLIT(DY131,","))&amp;",",","&amp;SUBSTITUTE(input_faculty_category," ","")&amp;",")))&gt;0)),IF(EA131="",TRUE,IF(input_faculty_category="",FALSE,SUMPRODUCT(--ISNUMBER(SEARCH(","&amp;TRIM(TEXTSPLIT(EA131,","))&amp;",",","&amp;SUBSTITUTE(input_faculty_category," ","")&amp;",")))=COUNTA(TEXTSPLIT(EA131,",")))))</f>
        <v/>
      </c>
      <c r="JF131" s="19">
        <f>AND(IF(EC131="",TRUE,IF(input_faculty_discipline="",FALSE,SUMPRODUCT(--ISNUMBER(SEARCH(","&amp;TRIM(TEXTSPLIT(EC131,","))&amp;",",","&amp;SUBSTITUTE(input_faculty_discipline," ","")&amp;",")))&gt;0)),IF(EE131="",TRUE,IF(input_faculty_discipline="",FALSE,SUMPRODUCT(--ISNUMBER(SEARCH(","&amp;TRIM(TEXTSPLIT(EE131,","))&amp;",",","&amp;SUBSTITUTE(input_faculty_discipline," ","")&amp;",")))=COUNTA(TEXTSPLIT(EE131,",")))),IF(EG131="",TRUE,IF(input_faculty_discipline="",TRUE,SUMPRODUCT(--ISNUMBER(SEARCH(","&amp;TRIM(TEXTSPLIT(EG131,","))&amp;",",","&amp;SUBSTITUTE(input_faculty_discipline," ","")&amp;",")))=0)),IF(EI131="",TRUE,IF(input_faculty_discipline="",FALSE,SUMPRODUCT(--ISNUMBER(SEARCH(","&amp;TRIM(TEXTSPLIT(EI131,","))&amp;",",","&amp;SUBSTITUTE(input_faculty_discipline," ","")&amp;",")))&gt;0)),IF(EK131="",TRUE,IF(input_faculty_discipline="",FALSE,SUMPRODUCT(--ISNUMBER(SEARCH(","&amp;TRIM(TEXTSPLIT(EK131,","))&amp;",",","&amp;SUBSTITUTE(input_faculty_discipline," ","")&amp;",")))=COUNTA(TEXTSPLIT(EK131,",")))))</f>
        <v/>
      </c>
      <c r="JG131" s="19">
        <f>AND(IF(EM131="",TRUE,IF(input_faculty_expertise="",FALSE,SUMPRODUCT(--ISNUMBER(SEARCH(","&amp;TRIM(TEXTSPLIT(EM131,","))&amp;",",","&amp;SUBSTITUTE(input_faculty_expertise," ","")&amp;",")))&gt;0)),IF(EO131="",TRUE,IF(input_faculty_expertise="",FALSE,SUMPRODUCT(--ISNUMBER(SEARCH(","&amp;TRIM(TEXTSPLIT(EO131,","))&amp;",",","&amp;SUBSTITUTE(input_faculty_expertise," ","")&amp;",")))=COUNTA(TEXTSPLIT(EO131,",")))),IF(EQ131="",TRUE,IF(input_faculty_expertise="",TRUE,SUMPRODUCT(--ISNUMBER(SEARCH(","&amp;TRIM(TEXTSPLIT(EQ131,","))&amp;",",","&amp;SUBSTITUTE(input_faculty_expertise," ","")&amp;",")))=0)),IF(ES131="",TRUE,IF(input_faculty_expertise="",FALSE,SUMPRODUCT(--ISNUMBER(SEARCH(","&amp;TRIM(TEXTSPLIT(ES131,","))&amp;",",","&amp;SUBSTITUTE(input_faculty_expertise," ","")&amp;",")))&gt;0)),IF(EU131="",TRUE,IF(input_faculty_expertise="",FALSE,SUMPRODUCT(--ISNUMBER(SEARCH(","&amp;TRIM(TEXTSPLIT(EU131,","))&amp;",",","&amp;SUBSTITUTE(input_faculty_expertise," ","")&amp;",")))=COUNTA(TEXTSPLIT(EU131,",")))))</f>
        <v/>
      </c>
      <c r="JH131" s="19">
        <f>AND(IF(EW131="",TRUE,IF(input_global_network_school="",FALSE,SUMPRODUCT(--ISNUMBER(SEARCH(","&amp;TRIM(TEXTSPLIT(EW131,","))&amp;",",","&amp;SUBSTITUTE(input_global_network_school," ","")&amp;",")))&gt;0)),IF(EY131="",TRUE,IF(input_global_network_school="",FALSE,SUMPRODUCT(--ISNUMBER(SEARCH(","&amp;TRIM(TEXTSPLIT(EY131,","))&amp;",",","&amp;SUBSTITUTE(input_global_network_school," ","")&amp;",")))=COUNTA(TEXTSPLIT(EY131,",")))),IF(FA131="",TRUE,IF(input_global_network_school="",TRUE,SUMPRODUCT(--ISNUMBER(SEARCH(","&amp;TRIM(TEXTSPLIT(FA131,","))&amp;",",","&amp;SUBSTITUTE(input_global_network_school," ","")&amp;",")))=0)),IF(FC131="",TRUE,IF(input_global_network_school="",FALSE,SUMPRODUCT(--ISNUMBER(SEARCH(","&amp;TRIM(TEXTSPLIT(FC131,","))&amp;",",","&amp;SUBSTITUTE(input_global_network_school," ","")&amp;",")))&gt;0)),IF(FE131="",TRUE,IF(input_global_network_school="",FALSE,SUMPRODUCT(--ISNUMBER(SEARCH(","&amp;TRIM(TEXTSPLIT(FE131,","))&amp;",",","&amp;SUBSTITUTE(input_global_network_school," ","")&amp;",")))=COUNTA(TEXTSPLIT(FE131,",")))))</f>
        <v/>
      </c>
      <c r="JI131" s="19">
        <f>AND(IF(FG131="",TRUE,IF(input_industry="",FALSE,SUMPRODUCT(--ISNUMBER(SEARCH(","&amp;TRIM(TEXTSPLIT(FG131,","))&amp;",",","&amp;SUBSTITUTE(input_industry," ","")&amp;",")))&gt;0)),IF(FI131="",TRUE,IF(input_industry="",FALSE,SUMPRODUCT(--ISNUMBER(SEARCH(","&amp;TRIM(TEXTSPLIT(FI131,","))&amp;",",","&amp;SUBSTITUTE(input_industry," ","")&amp;",")))=COUNTA(TEXTSPLIT(FI131,",")))),IF(FK131="",TRUE,IF(input_industry="",TRUE,SUMPRODUCT(--ISNUMBER(SEARCH(","&amp;TRIM(TEXTSPLIT(FK131,","))&amp;",",","&amp;SUBSTITUTE(input_industry," ","")&amp;",")))=0)),IF(FM131="",TRUE,IF(input_industry="",FALSE,SUMPRODUCT(--ISNUMBER(SEARCH(","&amp;TRIM(TEXTSPLIT(FM131,","))&amp;",",","&amp;SUBSTITUTE(input_industry," ","")&amp;",")))&gt;0)),IF(FO131="",TRUE,IF(input_industry="",FALSE,SUMPRODUCT(--ISNUMBER(SEARCH(","&amp;TRIM(TEXTSPLIT(FO131,","))&amp;",",","&amp;SUBSTITUTE(input_industry," ","")&amp;",")))=COUNTA(TEXTSPLIT(FO131,",")))))</f>
        <v/>
      </c>
      <c r="JJ131" s="19">
        <f>AND(IF(FQ131="",TRUE,IF(input_location="",FALSE,SUMPRODUCT(--ISNUMBER(SEARCH(","&amp;TRIM(TEXTSPLIT(FQ131,","))&amp;",",","&amp;SUBSTITUTE(input_location," ","")&amp;",")))&gt;0)),IF(FS131="",TRUE,IF(input_location="",FALSE,SUMPRODUCT(--ISNUMBER(SEARCH(","&amp;TRIM(TEXTSPLIT(FS131,","))&amp;",",","&amp;SUBSTITUTE(input_location," ","")&amp;",")))=COUNTA(TEXTSPLIT(FS131,",")))),IF(FU131="",TRUE,IF(input_location="",TRUE,SUMPRODUCT(--ISNUMBER(SEARCH(","&amp;TRIM(TEXTSPLIT(FU131,","))&amp;",",","&amp;SUBSTITUTE(input_location," ","")&amp;",")))=0)),IF(FW131="",TRUE,IF(input_location="",FALSE,SUMPRODUCT(--ISNUMBER(SEARCH(","&amp;TRIM(TEXTSPLIT(FW131,","))&amp;",",","&amp;SUBSTITUTE(input_location," ","")&amp;",")))&gt;0)),IF(FY131="",TRUE,IF(input_location="",FALSE,SUMPRODUCT(--ISNUMBER(SEARCH(","&amp;TRIM(TEXTSPLIT(FY131,","))&amp;",",","&amp;SUBSTITUTE(input_location," ","")&amp;",")))=COUNTA(TEXTSPLIT(FY131,",")))))</f>
        <v/>
      </c>
      <c r="JK131" s="19">
        <f>AND(IF(GA131="",TRUE,IF(input_modality="",FALSE,SUMPRODUCT(--ISNUMBER(SEARCH(","&amp;TRIM(TEXTSPLIT(GA131,","))&amp;",",","&amp;SUBSTITUTE(input_modality," ","")&amp;",")))&gt;0)),IF(GC131="",TRUE,IF(input_modality="",FALSE,SUMPRODUCT(--ISNUMBER(SEARCH(","&amp;TRIM(TEXTSPLIT(GC131,","))&amp;",",","&amp;SUBSTITUTE(input_modality," ","")&amp;",")))=COUNTA(TEXTSPLIT(GC131,",")))),IF(GE131="",TRUE,IF(input_modality="",TRUE,SUMPRODUCT(--ISNUMBER(SEARCH(","&amp;TRIM(TEXTSPLIT(GE131,","))&amp;",",","&amp;SUBSTITUTE(input_modality," ","")&amp;",")))=0)),IF(GG131="",TRUE,IF(input_modality="",FALSE,SUMPRODUCT(--ISNUMBER(SEARCH(","&amp;TRIM(TEXTSPLIT(GG131,","))&amp;",",","&amp;SUBSTITUTE(input_modality," ","")&amp;",")))&gt;0)),IF(GI131="",TRUE,IF(input_modality="",FALSE,SUMPRODUCT(--ISNUMBER(SEARCH(","&amp;TRIM(TEXTSPLIT(GI131,","))&amp;",",","&amp;SUBSTITUTE(input_modality," ","")&amp;",")))=COUNTA(TEXTSPLIT(GI131,",")))))</f>
        <v/>
      </c>
      <c r="JL131" s="19">
        <f>AND(IF(GK131="",TRUE,IF(input_organizer="",FALSE,SUMPRODUCT(--ISNUMBER(SEARCH(","&amp;TRIM(TEXTSPLIT(GK131,","))&amp;",",","&amp;SUBSTITUTE(input_organizer," ","")&amp;",")))&gt;0)),IF(GM131="",TRUE,IF(input_organizer="",FALSE,SUMPRODUCT(--ISNUMBER(SEARCH(","&amp;TRIM(TEXTSPLIT(GM131,","))&amp;",",","&amp;SUBSTITUTE(input_organizer," ","")&amp;",")))=COUNTA(TEXTSPLIT(GM131,",")))),IF(GO131="",TRUE,IF(input_organizer="",TRUE,SUMPRODUCT(--ISNUMBER(SEARCH(","&amp;TRIM(TEXTSPLIT(GO131,","))&amp;",",","&amp;SUBSTITUTE(input_organizer," ","")&amp;",")))=0)),IF(GQ131="",TRUE,IF(input_organizer="",FALSE,SUMPRODUCT(--ISNUMBER(SEARCH(","&amp;TRIM(TEXTSPLIT(GQ131,","))&amp;",",","&amp;SUBSTITUTE(input_organizer," ","")&amp;",")))&gt;0)),IF(GS131="",TRUE,IF(input_organizer="",FALSE,SUMPRODUCT(--ISNUMBER(SEARCH(","&amp;TRIM(TEXTSPLIT(GS131,","))&amp;",",","&amp;SUBSTITUTE(input_organizer," ","")&amp;",")))=COUNTA(TEXTSPLIT(GS131,",")))))</f>
        <v/>
      </c>
      <c r="JM131" s="19">
        <f>AND(IF(GU131="",TRUE,IF(input_profile_type="",FALSE,SUMPRODUCT(--ISNUMBER(SEARCH(","&amp;TRIM(TEXTSPLIT(GU131,","))&amp;",",","&amp;SUBSTITUTE(input_profile_type," ","")&amp;",")))&gt;0)),IF(GW131="",TRUE,IF(input_profile_type="",FALSE,SUMPRODUCT(--ISNUMBER(SEARCH(","&amp;TRIM(TEXTSPLIT(GW131,","))&amp;",",","&amp;SUBSTITUTE(input_profile_type," ","")&amp;",")))=COUNTA(TEXTSPLIT(GW131,",")))),IF(GY131="",TRUE,IF(input_profile_type="",TRUE,SUMPRODUCT(--ISNUMBER(SEARCH(","&amp;TRIM(TEXTSPLIT(GY131,","))&amp;",",","&amp;SUBSTITUTE(input_profile_type," ","")&amp;",")))=0)),IF(HA131="",TRUE,IF(input_profile_type="",FALSE,SUMPRODUCT(--ISNUMBER(SEARCH(","&amp;TRIM(TEXTSPLIT(HA131,","))&amp;",",","&amp;SUBSTITUTE(input_profile_type," ","")&amp;",")))&gt;0)),IF(HC131="",TRUE,IF(input_profile_type="",FALSE,SUMPRODUCT(--ISNUMBER(SEARCH(","&amp;TRIM(TEXTSPLIT(HC131,","))&amp;",",","&amp;SUBSTITUTE(input_profile_type," ","")&amp;",")))=COUNTA(TEXTSPLIT(HC131,",")))))</f>
        <v/>
      </c>
      <c r="JN131" s="19">
        <f>AND(IF(HE131="",TRUE,IF(input_program="",FALSE,SUMPRODUCT(--ISNUMBER(SEARCH(","&amp;TRIM(TEXTSPLIT(HE131,","))&amp;",",","&amp;SUBSTITUTE(input_program," ","")&amp;",")))&gt;0)),IF(HG131="",TRUE,IF(input_program="",FALSE,SUMPRODUCT(--ISNUMBER(SEARCH(","&amp;TRIM(TEXTSPLIT(HG131,","))&amp;",",","&amp;SUBSTITUTE(input_program," ","")&amp;",")))=COUNTA(TEXTSPLIT(HG131,",")))),IF(HI131="",TRUE,IF(input_program="",TRUE,SUMPRODUCT(--ISNUMBER(SEARCH(","&amp;TRIM(TEXTSPLIT(HI131,","))&amp;",",","&amp;SUBSTITUTE(input_program," ","")&amp;",")))=0)),IF(HK131="",TRUE,IF(input_program="",FALSE,SUMPRODUCT(--ISNUMBER(SEARCH(","&amp;TRIM(TEXTSPLIT(HK131,","))&amp;",",","&amp;SUBSTITUTE(input_program," ","")&amp;",")))&gt;0)),IF(HM131="",TRUE,IF(input_program="",FALSE,SUMPRODUCT(--ISNUMBER(SEARCH(","&amp;TRIM(TEXTSPLIT(HM131,","))&amp;",",","&amp;SUBSTITUTE(input_program," ","")&amp;",")))=COUNTA(TEXTSPLIT(HM131,",")))))</f>
        <v/>
      </c>
      <c r="JO131" s="19">
        <f>AND(IF(HO131="",TRUE,IF(input_story_categories="",FALSE,SUMPRODUCT(--ISNUMBER(SEARCH(","&amp;TRIM(TEXTSPLIT(HO131,","))&amp;",",","&amp;SUBSTITUTE(input_story_categories," ","")&amp;",")))&gt;0)),IF(HQ131="",TRUE,IF(input_story_categories="",FALSE,SUMPRODUCT(--ISNUMBER(SEARCH(","&amp;TRIM(TEXTSPLIT(HQ131,","))&amp;",",","&amp;SUBSTITUTE(input_story_categories," ","")&amp;",")))=COUNTA(TEXTSPLIT(HQ131,",")))),IF(HS131="",TRUE,IF(input_story_categories="",TRUE,SUMPRODUCT(--ISNUMBER(SEARCH(","&amp;TRIM(TEXTSPLIT(HS131,","))&amp;",",","&amp;SUBSTITUTE(input_story_categories," ","")&amp;",")))=0)),IF(HU131="",TRUE,IF(input_story_categories="",FALSE,SUMPRODUCT(--ISNUMBER(SEARCH(","&amp;TRIM(TEXTSPLIT(HU131,","))&amp;",",","&amp;SUBSTITUTE(input_story_categories," ","")&amp;",")))&gt;0)),IF(HW131="",TRUE,IF(input_story_categories="",FALSE,SUMPRODUCT(--ISNUMBER(SEARCH(","&amp;TRIM(TEXTSPLIT(HW131,","))&amp;",",","&amp;SUBSTITUTE(input_story_categories," ","")&amp;",")))=COUNTA(TEXTSPLIT(HW131,",")))))</f>
        <v/>
      </c>
      <c r="JP131" s="19">
        <f>AND(IF(HY131="",TRUE,IF(input_story_type="",FALSE,SUMPRODUCT(--ISNUMBER(SEARCH(","&amp;TRIM(TEXTSPLIT(HY131,","))&amp;",",","&amp;SUBSTITUTE(input_story_type," ","")&amp;",")))&gt;0)),IF(IA131="",TRUE,IF(input_story_type="",FALSE,SUMPRODUCT(--ISNUMBER(SEARCH(","&amp;TRIM(TEXTSPLIT(IA131,","))&amp;",",","&amp;SUBSTITUTE(input_story_type," ","")&amp;",")))=COUNTA(TEXTSPLIT(IA131,",")))),IF(IC131="",TRUE,IF(input_story_type="",TRUE,SUMPRODUCT(--ISNUMBER(SEARCH(","&amp;TRIM(TEXTSPLIT(IC131,","))&amp;",",","&amp;SUBSTITUTE(input_story_type," ","")&amp;",")))=0)),IF(IE131="",TRUE,IF(input_story_type="",FALSE,SUMPRODUCT(--ISNUMBER(SEARCH(","&amp;TRIM(TEXTSPLIT(IE131,","))&amp;",",","&amp;SUBSTITUTE(input_story_type," ","")&amp;",")))&gt;0)),IF(IG131="",TRUE,IF(input_story_type="",FALSE,SUMPRODUCT(--ISNUMBER(SEARCH(","&amp;TRIM(TEXTSPLIT(IG131,","))&amp;",",","&amp;SUBSTITUTE(input_story_type," ","")&amp;",")))=COUNTA(TEXTSPLIT(IG131,",")))))</f>
        <v/>
      </c>
      <c r="JQ131" s="19">
        <f>AND(IF(II131="",TRUE,IF(input_topics="",FALSE,SUMPRODUCT(--ISNUMBER(SEARCH(","&amp;TRIM(TEXTSPLIT(II131,","))&amp;",",","&amp;SUBSTITUTE(input_topics," ","")&amp;",")))&gt;0)),IF(IK131="",TRUE,IF(input_topics="",FALSE,SUMPRODUCT(--ISNUMBER(SEARCH(","&amp;TRIM(TEXTSPLIT(IK131,","))&amp;",",","&amp;SUBSTITUTE(input_topics," ","")&amp;",")))=COUNTA(TEXTSPLIT(IK131,",")))),IF(IM131="",TRUE,IF(input_topics="",TRUE,SUMPRODUCT(--ISNUMBER(SEARCH(","&amp;TRIM(TEXTSPLIT(IM131,","))&amp;",",","&amp;SUBSTITUTE(input_topics," ","")&amp;",")))=0)),IF(IO131="",TRUE,IF(input_topics="",FALSE,SUMPRODUCT(--ISNUMBER(SEARCH(","&amp;TRIM(TEXTSPLIT(IO131,","))&amp;",",","&amp;SUBSTITUTE(input_topics," ","")&amp;",")))&gt;0)),IF(IQ131="",TRUE,IF(input_topics="",FALSE,SUMPRODUCT(--ISNUMBER(SEARCH(","&amp;TRIM(TEXTSPLIT(IQ131,","))&amp;",",","&amp;SUBSTITUTE(input_topics," ","")&amp;",")))=COUNTA(TEXTSPLIT(IQ131,",")))))</f>
        <v/>
      </c>
    </row>
    <row r="132">
      <c r="A132" s="24">
        <f>IF(NOT(IS132),"Excluded",IF(AND(IT132,IU132,IV132,IW132,IX132,IY132,IZ132,JA132,JB132,JC132,JD132,JE132,JF132,JG132,JH132,JI132,JJ132,JK132,JL132,JM132,JN132,JO132,JP132,JQ132),IF(I132&gt;0,"Eligible but limited","Will appear"),"Excluded"))</f>
        <v/>
      </c>
      <c r="B132" s="24" t="inlineStr">
        <is>
          <t>Middle East</t>
        </is>
      </c>
      <c r="C132" s="27" t="inlineStr">
        <is>
          <t>/centers/chief-executive-leadership-institute/media/middle-east</t>
        </is>
      </c>
      <c r="D132" s="24" t="inlineStr">
        <is>
          <t>/centers/chief-executive-leadership-institute/media/middle-east</t>
        </is>
      </c>
      <c r="E132" s="24" t="n">
        <v>1</v>
      </c>
      <c r="F132" s="24" t="inlineStr">
        <is>
          <t>story</t>
        </is>
      </c>
      <c r="G132" s="24" t="inlineStr">
        <is>
          <t>stories_list</t>
        </is>
      </c>
      <c r="H132" s="24" t="inlineStr">
        <is>
          <t>embed_1</t>
        </is>
      </c>
      <c r="I132" s="24" t="n">
        <v>10</v>
      </c>
      <c r="J132" s="28" t="inlineStr">
        <is>
          <t>Explicit args</t>
        </is>
      </c>
      <c r="K132" s="24" t="inlineStr">
        <is>
          <t>Page placement</t>
        </is>
      </c>
      <c r="L132" s="24" t="inlineStr">
        <is>
          <t>Content type: story; Context uses Courses Context: Middle East (1359); Limited to 10 item(s); Source: Explicit args</t>
        </is>
      </c>
      <c r="BQ132" s="19" t="inlineStr">
        <is>
          <t>1359</t>
        </is>
      </c>
      <c r="BR132" s="19" t="inlineStr">
        <is>
          <t>Middle East (1359)</t>
        </is>
      </c>
      <c r="IS132" s="19">
        <f>IF(input_content_type="",FALSE,ISNUMBER(SEARCH(","&amp;LOWER(input_content_type)&amp;",",","&amp;LOWER(SUBSTITUTE(F132," ",""))&amp;",")))</f>
        <v/>
      </c>
      <c r="IT132" s="19">
        <f>AND(IF(M132="",TRUE,IF(input_affiliations="",FALSE,SUMPRODUCT(--ISNUMBER(SEARCH(","&amp;TRIM(TEXTSPLIT(M132,","))&amp;",",","&amp;SUBSTITUTE(input_affiliations," ","")&amp;",")))&gt;0)),IF(O132="",TRUE,IF(input_affiliations="",FALSE,SUMPRODUCT(--ISNUMBER(SEARCH(","&amp;TRIM(TEXTSPLIT(O132,","))&amp;",",","&amp;SUBSTITUTE(input_affiliations," ","")&amp;",")))=COUNTA(TEXTSPLIT(O132,",")))),IF(Q132="",TRUE,IF(input_affiliations="",TRUE,SUMPRODUCT(--ISNUMBER(SEARCH(","&amp;TRIM(TEXTSPLIT(Q132,","))&amp;",",","&amp;SUBSTITUTE(input_affiliations," ","")&amp;",")))=0)),IF(S132="",TRUE,IF(input_affiliations="",FALSE,SUMPRODUCT(--ISNUMBER(SEARCH(","&amp;TRIM(TEXTSPLIT(S132,","))&amp;",",","&amp;SUBSTITUTE(input_affiliations," ","")&amp;",")))&gt;0)),IF(U132="",TRUE,IF(input_affiliations="",FALSE,SUMPRODUCT(--ISNUMBER(SEARCH(","&amp;TRIM(TEXTSPLIT(U132,","))&amp;",",","&amp;SUBSTITUTE(input_affiliations," ","")&amp;",")))=COUNTA(TEXTSPLIT(U132,",")))))</f>
        <v/>
      </c>
      <c r="IU132" s="19">
        <f>AND(IF(W132="",TRUE,IF(input_announcement_category="",FALSE,SUMPRODUCT(--ISNUMBER(SEARCH(","&amp;TRIM(TEXTSPLIT(W132,","))&amp;",",","&amp;SUBSTITUTE(input_announcement_category," ","")&amp;",")))&gt;0)),IF(Y132="",TRUE,IF(input_announcement_category="",FALSE,SUMPRODUCT(--ISNUMBER(SEARCH(","&amp;TRIM(TEXTSPLIT(Y132,","))&amp;",",","&amp;SUBSTITUTE(input_announcement_category," ","")&amp;",")))=COUNTA(TEXTSPLIT(Y132,",")))),IF(AA132="",TRUE,IF(input_announcement_category="",TRUE,SUMPRODUCT(--ISNUMBER(SEARCH(","&amp;TRIM(TEXTSPLIT(AA132,","))&amp;",",","&amp;SUBSTITUTE(input_announcement_category," ","")&amp;",")))=0)),IF(AC132="",TRUE,IF(input_announcement_category="",FALSE,SUMPRODUCT(--ISNUMBER(SEARCH(","&amp;TRIM(TEXTSPLIT(AC132,","))&amp;",",","&amp;SUBSTITUTE(input_announcement_category," ","")&amp;",")))&gt;0)),IF(AE132="",TRUE,IF(input_announcement_category="",FALSE,SUMPRODUCT(--ISNUMBER(SEARCH(","&amp;TRIM(TEXTSPLIT(AE132,","))&amp;",",","&amp;SUBSTITUTE(input_announcement_category," ","")&amp;",")))=COUNTA(TEXTSPLIT(AE132,",")))))</f>
        <v/>
      </c>
      <c r="IV132" s="19">
        <f>AND(IF(AG132="",TRUE,IF(input_area_of_focus="",FALSE,SUMPRODUCT(--ISNUMBER(SEARCH(","&amp;TRIM(TEXTSPLIT(AG132,","))&amp;",",","&amp;SUBSTITUTE(input_area_of_focus," ","")&amp;",")))&gt;0)),IF(AI132="",TRUE,IF(input_area_of_focus="",FALSE,SUMPRODUCT(--ISNUMBER(SEARCH(","&amp;TRIM(TEXTSPLIT(AI132,","))&amp;",",","&amp;SUBSTITUTE(input_area_of_focus," ","")&amp;",")))=COUNTA(TEXTSPLIT(AI132,",")))),IF(AK132="",TRUE,IF(input_area_of_focus="",TRUE,SUMPRODUCT(--ISNUMBER(SEARCH(","&amp;TRIM(TEXTSPLIT(AK132,","))&amp;",",","&amp;SUBSTITUTE(input_area_of_focus," ","")&amp;",")))=0)),IF(AM132="",TRUE,IF(input_area_of_focus="",FALSE,SUMPRODUCT(--ISNUMBER(SEARCH(","&amp;TRIM(TEXTSPLIT(AM132,","))&amp;",",","&amp;SUBSTITUTE(input_area_of_focus," ","")&amp;",")))&gt;0)),IF(AO132="",TRUE,IF(input_area_of_focus="",FALSE,SUMPRODUCT(--ISNUMBER(SEARCH(","&amp;TRIM(TEXTSPLIT(AO132,","))&amp;",",","&amp;SUBSTITUTE(input_area_of_focus," ","")&amp;",")))=COUNTA(TEXTSPLIT(AO132,",")))))</f>
        <v/>
      </c>
      <c r="IW132" s="19">
        <f>AND(IF(AQ132="",TRUE,IF(input_audience="",FALSE,SUMPRODUCT(--ISNUMBER(SEARCH(","&amp;TRIM(TEXTSPLIT(AQ132,","))&amp;",",","&amp;SUBSTITUTE(input_audience," ","")&amp;",")))&gt;0)),IF(AS132="",TRUE,IF(input_audience="",FALSE,SUMPRODUCT(--ISNUMBER(SEARCH(","&amp;TRIM(TEXTSPLIT(AS132,","))&amp;",",","&amp;SUBSTITUTE(input_audience," ","")&amp;",")))=COUNTA(TEXTSPLIT(AS132,",")))),IF(AU132="",TRUE,IF(input_audience="",TRUE,SUMPRODUCT(--ISNUMBER(SEARCH(","&amp;TRIM(TEXTSPLIT(AU132,","))&amp;",",","&amp;SUBSTITUTE(input_audience," ","")&amp;",")))=0)),IF(AW132="",TRUE,IF(input_audience="",FALSE,SUMPRODUCT(--ISNUMBER(SEARCH(","&amp;TRIM(TEXTSPLIT(AW132,","))&amp;",",","&amp;SUBSTITUTE(input_audience," ","")&amp;",")))&gt;0)),IF(AY132="",TRUE,IF(input_audience="",FALSE,SUMPRODUCT(--ISNUMBER(SEARCH(","&amp;TRIM(TEXTSPLIT(AY132,","))&amp;",",","&amp;SUBSTITUTE(input_audience," ","")&amp;",")))=COUNTA(TEXTSPLIT(AY132,",")))))</f>
        <v/>
      </c>
      <c r="IX132" s="19">
        <f>AND(IF(BA132="",TRUE,IF(input_challenge_opportunities="",FALSE,SUMPRODUCT(--ISNUMBER(SEARCH(","&amp;TRIM(TEXTSPLIT(BA132,","))&amp;",",","&amp;SUBSTITUTE(input_challenge_opportunities," ","")&amp;",")))&gt;0)),IF(BC132="",TRUE,IF(input_challenge_opportunities="",FALSE,SUMPRODUCT(--ISNUMBER(SEARCH(","&amp;TRIM(TEXTSPLIT(BC132,","))&amp;",",","&amp;SUBSTITUTE(input_challenge_opportunities," ","")&amp;",")))=COUNTA(TEXTSPLIT(BC132,",")))),IF(BE132="",TRUE,IF(input_challenge_opportunities="",TRUE,SUMPRODUCT(--ISNUMBER(SEARCH(","&amp;TRIM(TEXTSPLIT(BE132,","))&amp;",",","&amp;SUBSTITUTE(input_challenge_opportunities," ","")&amp;",")))=0)),IF(BG132="",TRUE,IF(input_challenge_opportunities="",FALSE,SUMPRODUCT(--ISNUMBER(SEARCH(","&amp;TRIM(TEXTSPLIT(BG132,","))&amp;",",","&amp;SUBSTITUTE(input_challenge_opportunities," ","")&amp;",")))&gt;0)),IF(BI132="",TRUE,IF(input_challenge_opportunities="",FALSE,SUMPRODUCT(--ISNUMBER(SEARCH(","&amp;TRIM(TEXTSPLIT(BI132,","))&amp;",",","&amp;SUBSTITUTE(input_challenge_opportunities," ","")&amp;",")))=COUNTA(TEXTSPLIT(BI132,",")))))</f>
        <v/>
      </c>
      <c r="IY132" s="19">
        <f>AND(IF(BK132="",TRUE,IF(input_context="",FALSE,SUMPRODUCT(--ISNUMBER(SEARCH(","&amp;TRIM(TEXTSPLIT(BK132,","))&amp;",",","&amp;SUBSTITUTE(input_context," ","")&amp;",")))&gt;0)),IF(BM132="",TRUE,IF(input_context="",FALSE,SUMPRODUCT(--ISNUMBER(SEARCH(","&amp;TRIM(TEXTSPLIT(BM132,","))&amp;",",","&amp;SUBSTITUTE(input_context," ","")&amp;",")))=COUNTA(TEXTSPLIT(BM132,",")))),IF(BO132="",TRUE,IF(input_context="",TRUE,SUMPRODUCT(--ISNUMBER(SEARCH(","&amp;TRIM(TEXTSPLIT(BO132,","))&amp;",",","&amp;SUBSTITUTE(input_context," ","")&amp;",")))=0)),IF(BQ132="",TRUE,IF(input_context="",FALSE,SUMPRODUCT(--ISNUMBER(SEARCH(","&amp;TRIM(TEXTSPLIT(BQ132,","))&amp;",",","&amp;SUBSTITUTE(input_context," ","")&amp;",")))&gt;0)),IF(BS132="",TRUE,IF(input_context="",FALSE,SUMPRODUCT(--ISNUMBER(SEARCH(","&amp;TRIM(TEXTSPLIT(BS132,","))&amp;",",","&amp;SUBSTITUTE(input_context," ","")&amp;",")))=COUNTA(TEXTSPLIT(BS132,",")))))</f>
        <v/>
      </c>
      <c r="IZ132" s="19">
        <f>AND(IF(BU132="",TRUE,IF(input_enews_announcement_type="",FALSE,SUMPRODUCT(--ISNUMBER(SEARCH(","&amp;TRIM(TEXTSPLIT(BU132,","))&amp;",",","&amp;SUBSTITUTE(input_enews_announcement_type," ","")&amp;",")))&gt;0)),IF(BW132="",TRUE,IF(input_enews_announcement_type="",FALSE,SUMPRODUCT(--ISNUMBER(SEARCH(","&amp;TRIM(TEXTSPLIT(BW132,","))&amp;",",","&amp;SUBSTITUTE(input_enews_announcement_type," ","")&amp;",")))=COUNTA(TEXTSPLIT(BW132,",")))),IF(BY132="",TRUE,IF(input_enews_announcement_type="",TRUE,SUMPRODUCT(--ISNUMBER(SEARCH(","&amp;TRIM(TEXTSPLIT(BY132,","))&amp;",",","&amp;SUBSTITUTE(input_enews_announcement_type," ","")&amp;",")))=0)),IF(CA132="",TRUE,IF(input_enews_announcement_type="",FALSE,SUMPRODUCT(--ISNUMBER(SEARCH(","&amp;TRIM(TEXTSPLIT(CA132,","))&amp;",",","&amp;SUBSTITUTE(input_enews_announcement_type," ","")&amp;",")))&gt;0)),IF(CC132="",TRUE,IF(input_enews_announcement_type="",FALSE,SUMPRODUCT(--ISNUMBER(SEARCH(","&amp;TRIM(TEXTSPLIT(CC132,","))&amp;",",","&amp;SUBSTITUTE(input_enews_announcement_type," ","")&amp;",")))=COUNTA(TEXTSPLIT(CC132,",")))))</f>
        <v/>
      </c>
      <c r="JA132" s="19">
        <f>AND(IF(CE132="",TRUE,IF(input_enews_audience="",FALSE,SUMPRODUCT(--ISNUMBER(SEARCH(","&amp;TRIM(TEXTSPLIT(CE132,","))&amp;",",","&amp;SUBSTITUTE(input_enews_audience," ","")&amp;",")))&gt;0)),IF(CG132="",TRUE,IF(input_enews_audience="",FALSE,SUMPRODUCT(--ISNUMBER(SEARCH(","&amp;TRIM(TEXTSPLIT(CG132,","))&amp;",",","&amp;SUBSTITUTE(input_enews_audience," ","")&amp;",")))=COUNTA(TEXTSPLIT(CG132,",")))),IF(CI132="",TRUE,IF(input_enews_audience="",TRUE,SUMPRODUCT(--ISNUMBER(SEARCH(","&amp;TRIM(TEXTSPLIT(CI132,","))&amp;",",","&amp;SUBSTITUTE(input_enews_audience," ","")&amp;",")))=0)),IF(CK132="",TRUE,IF(input_enews_audience="",FALSE,SUMPRODUCT(--ISNUMBER(SEARCH(","&amp;TRIM(TEXTSPLIT(CK132,","))&amp;",",","&amp;SUBSTITUTE(input_enews_audience," ","")&amp;",")))&gt;0)),IF(CM132="",TRUE,IF(input_enews_audience="",FALSE,SUMPRODUCT(--ISNUMBER(SEARCH(","&amp;TRIM(TEXTSPLIT(CM132,","))&amp;",",","&amp;SUBSTITUTE(input_enews_audience," ","")&amp;",")))=COUNTA(TEXTSPLIT(CM132,",")))))</f>
        <v/>
      </c>
      <c r="JB132" s="19">
        <f>AND(IF(CO132="",TRUE,IF(input_event_location="",FALSE,SUMPRODUCT(--ISNUMBER(SEARCH(","&amp;TRIM(TEXTSPLIT(CO132,","))&amp;",",","&amp;SUBSTITUTE(input_event_location," ","")&amp;",")))&gt;0)),IF(CQ132="",TRUE,IF(input_event_location="",FALSE,SUMPRODUCT(--ISNUMBER(SEARCH(","&amp;TRIM(TEXTSPLIT(CQ132,","))&amp;",",","&amp;SUBSTITUTE(input_event_location," ","")&amp;",")))=COUNTA(TEXTSPLIT(CQ132,",")))),IF(CS132="",TRUE,IF(input_event_location="",TRUE,SUMPRODUCT(--ISNUMBER(SEARCH(","&amp;TRIM(TEXTSPLIT(CS132,","))&amp;",",","&amp;SUBSTITUTE(input_event_location," ","")&amp;",")))=0)),IF(CU132="",TRUE,IF(input_event_location="",FALSE,SUMPRODUCT(--ISNUMBER(SEARCH(","&amp;TRIM(TEXTSPLIT(CU132,","))&amp;",",","&amp;SUBSTITUTE(input_event_location," ","")&amp;",")))&gt;0)),IF(CW132="",TRUE,IF(input_event_location="",FALSE,SUMPRODUCT(--ISNUMBER(SEARCH(","&amp;TRIM(TEXTSPLIT(CW132,","))&amp;",",","&amp;SUBSTITUTE(input_event_location," ","")&amp;",")))=COUNTA(TEXTSPLIT(CW132,",")))))</f>
        <v/>
      </c>
      <c r="JC132" s="19">
        <f>AND(IF(CY132="",TRUE,IF(input_event_type="",FALSE,SUMPRODUCT(--ISNUMBER(SEARCH(","&amp;TRIM(TEXTSPLIT(CY132,","))&amp;",",","&amp;SUBSTITUTE(input_event_type," ","")&amp;",")))&gt;0)),IF(DA132="",TRUE,IF(input_event_type="",FALSE,SUMPRODUCT(--ISNUMBER(SEARCH(","&amp;TRIM(TEXTSPLIT(DA132,","))&amp;",",","&amp;SUBSTITUTE(input_event_type," ","")&amp;",")))=COUNTA(TEXTSPLIT(DA132,",")))),IF(DC132="",TRUE,IF(input_event_type="",TRUE,SUMPRODUCT(--ISNUMBER(SEARCH(","&amp;TRIM(TEXTSPLIT(DC132,","))&amp;",",","&amp;SUBSTITUTE(input_event_type," ","")&amp;",")))=0)),IF(DE132="",TRUE,IF(input_event_type="",FALSE,SUMPRODUCT(--ISNUMBER(SEARCH(","&amp;TRIM(TEXTSPLIT(DE132,","))&amp;",",","&amp;SUBSTITUTE(input_event_type," ","")&amp;",")))&gt;0)),IF(DG132="",TRUE,IF(input_event_type="",FALSE,SUMPRODUCT(--ISNUMBER(SEARCH(","&amp;TRIM(TEXTSPLIT(DG132,","))&amp;",",","&amp;SUBSTITUTE(input_event_type," ","")&amp;",")))=COUNTA(TEXTSPLIT(DG132,",")))))</f>
        <v/>
      </c>
      <c r="JD132" s="19">
        <f>AND(IF(DI132="",TRUE,IF(input_executive_education_focus="",FALSE,SUMPRODUCT(--ISNUMBER(SEARCH(","&amp;TRIM(TEXTSPLIT(DI132,","))&amp;",",","&amp;SUBSTITUTE(input_executive_education_focus," ","")&amp;",")))&gt;0)),IF(DK132="",TRUE,IF(input_executive_education_focus="",FALSE,SUMPRODUCT(--ISNUMBER(SEARCH(","&amp;TRIM(TEXTSPLIT(DK132,","))&amp;",",","&amp;SUBSTITUTE(input_executive_education_focus," ","")&amp;",")))=COUNTA(TEXTSPLIT(DK132,",")))),IF(DM132="",TRUE,IF(input_executive_education_focus="",TRUE,SUMPRODUCT(--ISNUMBER(SEARCH(","&amp;TRIM(TEXTSPLIT(DM132,","))&amp;",",","&amp;SUBSTITUTE(input_executive_education_focus," ","")&amp;",")))=0)),IF(DO132="",TRUE,IF(input_executive_education_focus="",FALSE,SUMPRODUCT(--ISNUMBER(SEARCH(","&amp;TRIM(TEXTSPLIT(DO132,","))&amp;",",","&amp;SUBSTITUTE(input_executive_education_focus," ","")&amp;",")))&gt;0)),IF(DQ132="",TRUE,IF(input_executive_education_focus="",FALSE,SUMPRODUCT(--ISNUMBER(SEARCH(","&amp;TRIM(TEXTSPLIT(DQ132,","))&amp;",",","&amp;SUBSTITUTE(input_executive_education_focus," ","")&amp;",")))=COUNTA(TEXTSPLIT(DQ132,",")))))</f>
        <v/>
      </c>
      <c r="JE132" s="19">
        <f>AND(IF(DS132="",TRUE,IF(input_faculty_category="",FALSE,SUMPRODUCT(--ISNUMBER(SEARCH(","&amp;TRIM(TEXTSPLIT(DS132,","))&amp;",",","&amp;SUBSTITUTE(input_faculty_category," ","")&amp;",")))&gt;0)),IF(DU132="",TRUE,IF(input_faculty_category="",FALSE,SUMPRODUCT(--ISNUMBER(SEARCH(","&amp;TRIM(TEXTSPLIT(DU132,","))&amp;",",","&amp;SUBSTITUTE(input_faculty_category," ","")&amp;",")))=COUNTA(TEXTSPLIT(DU132,",")))),IF(DW132="",TRUE,IF(input_faculty_category="",TRUE,SUMPRODUCT(--ISNUMBER(SEARCH(","&amp;TRIM(TEXTSPLIT(DW132,","))&amp;",",","&amp;SUBSTITUTE(input_faculty_category," ","")&amp;",")))=0)),IF(DY132="",TRUE,IF(input_faculty_category="",FALSE,SUMPRODUCT(--ISNUMBER(SEARCH(","&amp;TRIM(TEXTSPLIT(DY132,","))&amp;",",","&amp;SUBSTITUTE(input_faculty_category," ","")&amp;",")))&gt;0)),IF(EA132="",TRUE,IF(input_faculty_category="",FALSE,SUMPRODUCT(--ISNUMBER(SEARCH(","&amp;TRIM(TEXTSPLIT(EA132,","))&amp;",",","&amp;SUBSTITUTE(input_faculty_category," ","")&amp;",")))=COUNTA(TEXTSPLIT(EA132,",")))))</f>
        <v/>
      </c>
      <c r="JF132" s="19">
        <f>AND(IF(EC132="",TRUE,IF(input_faculty_discipline="",FALSE,SUMPRODUCT(--ISNUMBER(SEARCH(","&amp;TRIM(TEXTSPLIT(EC132,","))&amp;",",","&amp;SUBSTITUTE(input_faculty_discipline," ","")&amp;",")))&gt;0)),IF(EE132="",TRUE,IF(input_faculty_discipline="",FALSE,SUMPRODUCT(--ISNUMBER(SEARCH(","&amp;TRIM(TEXTSPLIT(EE132,","))&amp;",",","&amp;SUBSTITUTE(input_faculty_discipline," ","")&amp;",")))=COUNTA(TEXTSPLIT(EE132,",")))),IF(EG132="",TRUE,IF(input_faculty_discipline="",TRUE,SUMPRODUCT(--ISNUMBER(SEARCH(","&amp;TRIM(TEXTSPLIT(EG132,","))&amp;",",","&amp;SUBSTITUTE(input_faculty_discipline," ","")&amp;",")))=0)),IF(EI132="",TRUE,IF(input_faculty_discipline="",FALSE,SUMPRODUCT(--ISNUMBER(SEARCH(","&amp;TRIM(TEXTSPLIT(EI132,","))&amp;",",","&amp;SUBSTITUTE(input_faculty_discipline," ","")&amp;",")))&gt;0)),IF(EK132="",TRUE,IF(input_faculty_discipline="",FALSE,SUMPRODUCT(--ISNUMBER(SEARCH(","&amp;TRIM(TEXTSPLIT(EK132,","))&amp;",",","&amp;SUBSTITUTE(input_faculty_discipline," ","")&amp;",")))=COUNTA(TEXTSPLIT(EK132,",")))))</f>
        <v/>
      </c>
      <c r="JG132" s="19">
        <f>AND(IF(EM132="",TRUE,IF(input_faculty_expertise="",FALSE,SUMPRODUCT(--ISNUMBER(SEARCH(","&amp;TRIM(TEXTSPLIT(EM132,","))&amp;",",","&amp;SUBSTITUTE(input_faculty_expertise," ","")&amp;",")))&gt;0)),IF(EO132="",TRUE,IF(input_faculty_expertise="",FALSE,SUMPRODUCT(--ISNUMBER(SEARCH(","&amp;TRIM(TEXTSPLIT(EO132,","))&amp;",",","&amp;SUBSTITUTE(input_faculty_expertise," ","")&amp;",")))=COUNTA(TEXTSPLIT(EO132,",")))),IF(EQ132="",TRUE,IF(input_faculty_expertise="",TRUE,SUMPRODUCT(--ISNUMBER(SEARCH(","&amp;TRIM(TEXTSPLIT(EQ132,","))&amp;",",","&amp;SUBSTITUTE(input_faculty_expertise," ","")&amp;",")))=0)),IF(ES132="",TRUE,IF(input_faculty_expertise="",FALSE,SUMPRODUCT(--ISNUMBER(SEARCH(","&amp;TRIM(TEXTSPLIT(ES132,","))&amp;",",","&amp;SUBSTITUTE(input_faculty_expertise," ","")&amp;",")))&gt;0)),IF(EU132="",TRUE,IF(input_faculty_expertise="",FALSE,SUMPRODUCT(--ISNUMBER(SEARCH(","&amp;TRIM(TEXTSPLIT(EU132,","))&amp;",",","&amp;SUBSTITUTE(input_faculty_expertise," ","")&amp;",")))=COUNTA(TEXTSPLIT(EU132,",")))))</f>
        <v/>
      </c>
      <c r="JH132" s="19">
        <f>AND(IF(EW132="",TRUE,IF(input_global_network_school="",FALSE,SUMPRODUCT(--ISNUMBER(SEARCH(","&amp;TRIM(TEXTSPLIT(EW132,","))&amp;",",","&amp;SUBSTITUTE(input_global_network_school," ","")&amp;",")))&gt;0)),IF(EY132="",TRUE,IF(input_global_network_school="",FALSE,SUMPRODUCT(--ISNUMBER(SEARCH(","&amp;TRIM(TEXTSPLIT(EY132,","))&amp;",",","&amp;SUBSTITUTE(input_global_network_school," ","")&amp;",")))=COUNTA(TEXTSPLIT(EY132,",")))),IF(FA132="",TRUE,IF(input_global_network_school="",TRUE,SUMPRODUCT(--ISNUMBER(SEARCH(","&amp;TRIM(TEXTSPLIT(FA132,","))&amp;",",","&amp;SUBSTITUTE(input_global_network_school," ","")&amp;",")))=0)),IF(FC132="",TRUE,IF(input_global_network_school="",FALSE,SUMPRODUCT(--ISNUMBER(SEARCH(","&amp;TRIM(TEXTSPLIT(FC132,","))&amp;",",","&amp;SUBSTITUTE(input_global_network_school," ","")&amp;",")))&gt;0)),IF(FE132="",TRUE,IF(input_global_network_school="",FALSE,SUMPRODUCT(--ISNUMBER(SEARCH(","&amp;TRIM(TEXTSPLIT(FE132,","))&amp;",",","&amp;SUBSTITUTE(input_global_network_school," ","")&amp;",")))=COUNTA(TEXTSPLIT(FE132,",")))))</f>
        <v/>
      </c>
      <c r="JI132" s="19">
        <f>AND(IF(FG132="",TRUE,IF(input_industry="",FALSE,SUMPRODUCT(--ISNUMBER(SEARCH(","&amp;TRIM(TEXTSPLIT(FG132,","))&amp;",",","&amp;SUBSTITUTE(input_industry," ","")&amp;",")))&gt;0)),IF(FI132="",TRUE,IF(input_industry="",FALSE,SUMPRODUCT(--ISNUMBER(SEARCH(","&amp;TRIM(TEXTSPLIT(FI132,","))&amp;",",","&amp;SUBSTITUTE(input_industry," ","")&amp;",")))=COUNTA(TEXTSPLIT(FI132,",")))),IF(FK132="",TRUE,IF(input_industry="",TRUE,SUMPRODUCT(--ISNUMBER(SEARCH(","&amp;TRIM(TEXTSPLIT(FK132,","))&amp;",",","&amp;SUBSTITUTE(input_industry," ","")&amp;",")))=0)),IF(FM132="",TRUE,IF(input_industry="",FALSE,SUMPRODUCT(--ISNUMBER(SEARCH(","&amp;TRIM(TEXTSPLIT(FM132,","))&amp;",",","&amp;SUBSTITUTE(input_industry," ","")&amp;",")))&gt;0)),IF(FO132="",TRUE,IF(input_industry="",FALSE,SUMPRODUCT(--ISNUMBER(SEARCH(","&amp;TRIM(TEXTSPLIT(FO132,","))&amp;",",","&amp;SUBSTITUTE(input_industry," ","")&amp;",")))=COUNTA(TEXTSPLIT(FO132,",")))))</f>
        <v/>
      </c>
      <c r="JJ132" s="19">
        <f>AND(IF(FQ132="",TRUE,IF(input_location="",FALSE,SUMPRODUCT(--ISNUMBER(SEARCH(","&amp;TRIM(TEXTSPLIT(FQ132,","))&amp;",",","&amp;SUBSTITUTE(input_location," ","")&amp;",")))&gt;0)),IF(FS132="",TRUE,IF(input_location="",FALSE,SUMPRODUCT(--ISNUMBER(SEARCH(","&amp;TRIM(TEXTSPLIT(FS132,","))&amp;",",","&amp;SUBSTITUTE(input_location," ","")&amp;",")))=COUNTA(TEXTSPLIT(FS132,",")))),IF(FU132="",TRUE,IF(input_location="",TRUE,SUMPRODUCT(--ISNUMBER(SEARCH(","&amp;TRIM(TEXTSPLIT(FU132,","))&amp;",",","&amp;SUBSTITUTE(input_location," ","")&amp;",")))=0)),IF(FW132="",TRUE,IF(input_location="",FALSE,SUMPRODUCT(--ISNUMBER(SEARCH(","&amp;TRIM(TEXTSPLIT(FW132,","))&amp;",",","&amp;SUBSTITUTE(input_location," ","")&amp;",")))&gt;0)),IF(FY132="",TRUE,IF(input_location="",FALSE,SUMPRODUCT(--ISNUMBER(SEARCH(","&amp;TRIM(TEXTSPLIT(FY132,","))&amp;",",","&amp;SUBSTITUTE(input_location," ","")&amp;",")))=COUNTA(TEXTSPLIT(FY132,",")))))</f>
        <v/>
      </c>
      <c r="JK132" s="19">
        <f>AND(IF(GA132="",TRUE,IF(input_modality="",FALSE,SUMPRODUCT(--ISNUMBER(SEARCH(","&amp;TRIM(TEXTSPLIT(GA132,","))&amp;",",","&amp;SUBSTITUTE(input_modality," ","")&amp;",")))&gt;0)),IF(GC132="",TRUE,IF(input_modality="",FALSE,SUMPRODUCT(--ISNUMBER(SEARCH(","&amp;TRIM(TEXTSPLIT(GC132,","))&amp;",",","&amp;SUBSTITUTE(input_modality," ","")&amp;",")))=COUNTA(TEXTSPLIT(GC132,",")))),IF(GE132="",TRUE,IF(input_modality="",TRUE,SUMPRODUCT(--ISNUMBER(SEARCH(","&amp;TRIM(TEXTSPLIT(GE132,","))&amp;",",","&amp;SUBSTITUTE(input_modality," ","")&amp;",")))=0)),IF(GG132="",TRUE,IF(input_modality="",FALSE,SUMPRODUCT(--ISNUMBER(SEARCH(","&amp;TRIM(TEXTSPLIT(GG132,","))&amp;",",","&amp;SUBSTITUTE(input_modality," ","")&amp;",")))&gt;0)),IF(GI132="",TRUE,IF(input_modality="",FALSE,SUMPRODUCT(--ISNUMBER(SEARCH(","&amp;TRIM(TEXTSPLIT(GI132,","))&amp;",",","&amp;SUBSTITUTE(input_modality," ","")&amp;",")))=COUNTA(TEXTSPLIT(GI132,",")))))</f>
        <v/>
      </c>
      <c r="JL132" s="19">
        <f>AND(IF(GK132="",TRUE,IF(input_organizer="",FALSE,SUMPRODUCT(--ISNUMBER(SEARCH(","&amp;TRIM(TEXTSPLIT(GK132,","))&amp;",",","&amp;SUBSTITUTE(input_organizer," ","")&amp;",")))&gt;0)),IF(GM132="",TRUE,IF(input_organizer="",FALSE,SUMPRODUCT(--ISNUMBER(SEARCH(","&amp;TRIM(TEXTSPLIT(GM132,","))&amp;",",","&amp;SUBSTITUTE(input_organizer," ","")&amp;",")))=COUNTA(TEXTSPLIT(GM132,",")))),IF(GO132="",TRUE,IF(input_organizer="",TRUE,SUMPRODUCT(--ISNUMBER(SEARCH(","&amp;TRIM(TEXTSPLIT(GO132,","))&amp;",",","&amp;SUBSTITUTE(input_organizer," ","")&amp;",")))=0)),IF(GQ132="",TRUE,IF(input_organizer="",FALSE,SUMPRODUCT(--ISNUMBER(SEARCH(","&amp;TRIM(TEXTSPLIT(GQ132,","))&amp;",",","&amp;SUBSTITUTE(input_organizer," ","")&amp;",")))&gt;0)),IF(GS132="",TRUE,IF(input_organizer="",FALSE,SUMPRODUCT(--ISNUMBER(SEARCH(","&amp;TRIM(TEXTSPLIT(GS132,","))&amp;",",","&amp;SUBSTITUTE(input_organizer," ","")&amp;",")))=COUNTA(TEXTSPLIT(GS132,",")))))</f>
        <v/>
      </c>
      <c r="JM132" s="19">
        <f>AND(IF(GU132="",TRUE,IF(input_profile_type="",FALSE,SUMPRODUCT(--ISNUMBER(SEARCH(","&amp;TRIM(TEXTSPLIT(GU132,","))&amp;",",","&amp;SUBSTITUTE(input_profile_type," ","")&amp;",")))&gt;0)),IF(GW132="",TRUE,IF(input_profile_type="",FALSE,SUMPRODUCT(--ISNUMBER(SEARCH(","&amp;TRIM(TEXTSPLIT(GW132,","))&amp;",",","&amp;SUBSTITUTE(input_profile_type," ","")&amp;",")))=COUNTA(TEXTSPLIT(GW132,",")))),IF(GY132="",TRUE,IF(input_profile_type="",TRUE,SUMPRODUCT(--ISNUMBER(SEARCH(","&amp;TRIM(TEXTSPLIT(GY132,","))&amp;",",","&amp;SUBSTITUTE(input_profile_type," ","")&amp;",")))=0)),IF(HA132="",TRUE,IF(input_profile_type="",FALSE,SUMPRODUCT(--ISNUMBER(SEARCH(","&amp;TRIM(TEXTSPLIT(HA132,","))&amp;",",","&amp;SUBSTITUTE(input_profile_type," ","")&amp;",")))&gt;0)),IF(HC132="",TRUE,IF(input_profile_type="",FALSE,SUMPRODUCT(--ISNUMBER(SEARCH(","&amp;TRIM(TEXTSPLIT(HC132,","))&amp;",",","&amp;SUBSTITUTE(input_profile_type," ","")&amp;",")))=COUNTA(TEXTSPLIT(HC132,",")))))</f>
        <v/>
      </c>
      <c r="JN132" s="19">
        <f>AND(IF(HE132="",TRUE,IF(input_program="",FALSE,SUMPRODUCT(--ISNUMBER(SEARCH(","&amp;TRIM(TEXTSPLIT(HE132,","))&amp;",",","&amp;SUBSTITUTE(input_program," ","")&amp;",")))&gt;0)),IF(HG132="",TRUE,IF(input_program="",FALSE,SUMPRODUCT(--ISNUMBER(SEARCH(","&amp;TRIM(TEXTSPLIT(HG132,","))&amp;",",","&amp;SUBSTITUTE(input_program," ","")&amp;",")))=COUNTA(TEXTSPLIT(HG132,",")))),IF(HI132="",TRUE,IF(input_program="",TRUE,SUMPRODUCT(--ISNUMBER(SEARCH(","&amp;TRIM(TEXTSPLIT(HI132,","))&amp;",",","&amp;SUBSTITUTE(input_program," ","")&amp;",")))=0)),IF(HK132="",TRUE,IF(input_program="",FALSE,SUMPRODUCT(--ISNUMBER(SEARCH(","&amp;TRIM(TEXTSPLIT(HK132,","))&amp;",",","&amp;SUBSTITUTE(input_program," ","")&amp;",")))&gt;0)),IF(HM132="",TRUE,IF(input_program="",FALSE,SUMPRODUCT(--ISNUMBER(SEARCH(","&amp;TRIM(TEXTSPLIT(HM132,","))&amp;",",","&amp;SUBSTITUTE(input_program," ","")&amp;",")))=COUNTA(TEXTSPLIT(HM132,",")))))</f>
        <v/>
      </c>
      <c r="JO132" s="19">
        <f>AND(IF(HO132="",TRUE,IF(input_story_categories="",FALSE,SUMPRODUCT(--ISNUMBER(SEARCH(","&amp;TRIM(TEXTSPLIT(HO132,","))&amp;",",","&amp;SUBSTITUTE(input_story_categories," ","")&amp;",")))&gt;0)),IF(HQ132="",TRUE,IF(input_story_categories="",FALSE,SUMPRODUCT(--ISNUMBER(SEARCH(","&amp;TRIM(TEXTSPLIT(HQ132,","))&amp;",",","&amp;SUBSTITUTE(input_story_categories," ","")&amp;",")))=COUNTA(TEXTSPLIT(HQ132,",")))),IF(HS132="",TRUE,IF(input_story_categories="",TRUE,SUMPRODUCT(--ISNUMBER(SEARCH(","&amp;TRIM(TEXTSPLIT(HS132,","))&amp;",",","&amp;SUBSTITUTE(input_story_categories," ","")&amp;",")))=0)),IF(HU132="",TRUE,IF(input_story_categories="",FALSE,SUMPRODUCT(--ISNUMBER(SEARCH(","&amp;TRIM(TEXTSPLIT(HU132,","))&amp;",",","&amp;SUBSTITUTE(input_story_categories," ","")&amp;",")))&gt;0)),IF(HW132="",TRUE,IF(input_story_categories="",FALSE,SUMPRODUCT(--ISNUMBER(SEARCH(","&amp;TRIM(TEXTSPLIT(HW132,","))&amp;",",","&amp;SUBSTITUTE(input_story_categories," ","")&amp;",")))=COUNTA(TEXTSPLIT(HW132,",")))))</f>
        <v/>
      </c>
      <c r="JP132" s="19">
        <f>AND(IF(HY132="",TRUE,IF(input_story_type="",FALSE,SUMPRODUCT(--ISNUMBER(SEARCH(","&amp;TRIM(TEXTSPLIT(HY132,","))&amp;",",","&amp;SUBSTITUTE(input_story_type," ","")&amp;",")))&gt;0)),IF(IA132="",TRUE,IF(input_story_type="",FALSE,SUMPRODUCT(--ISNUMBER(SEARCH(","&amp;TRIM(TEXTSPLIT(IA132,","))&amp;",",","&amp;SUBSTITUTE(input_story_type," ","")&amp;",")))=COUNTA(TEXTSPLIT(IA132,",")))),IF(IC132="",TRUE,IF(input_story_type="",TRUE,SUMPRODUCT(--ISNUMBER(SEARCH(","&amp;TRIM(TEXTSPLIT(IC132,","))&amp;",",","&amp;SUBSTITUTE(input_story_type," ","")&amp;",")))=0)),IF(IE132="",TRUE,IF(input_story_type="",FALSE,SUMPRODUCT(--ISNUMBER(SEARCH(","&amp;TRIM(TEXTSPLIT(IE132,","))&amp;",",","&amp;SUBSTITUTE(input_story_type," ","")&amp;",")))&gt;0)),IF(IG132="",TRUE,IF(input_story_type="",FALSE,SUMPRODUCT(--ISNUMBER(SEARCH(","&amp;TRIM(TEXTSPLIT(IG132,","))&amp;",",","&amp;SUBSTITUTE(input_story_type," ","")&amp;",")))=COUNTA(TEXTSPLIT(IG132,",")))))</f>
        <v/>
      </c>
      <c r="JQ132" s="19">
        <f>AND(IF(II132="",TRUE,IF(input_topics="",FALSE,SUMPRODUCT(--ISNUMBER(SEARCH(","&amp;TRIM(TEXTSPLIT(II132,","))&amp;",",","&amp;SUBSTITUTE(input_topics," ","")&amp;",")))&gt;0)),IF(IK132="",TRUE,IF(input_topics="",FALSE,SUMPRODUCT(--ISNUMBER(SEARCH(","&amp;TRIM(TEXTSPLIT(IK132,","))&amp;",",","&amp;SUBSTITUTE(input_topics," ","")&amp;",")))=COUNTA(TEXTSPLIT(IK132,",")))),IF(IM132="",TRUE,IF(input_topics="",TRUE,SUMPRODUCT(--ISNUMBER(SEARCH(","&amp;TRIM(TEXTSPLIT(IM132,","))&amp;",",","&amp;SUBSTITUTE(input_topics," ","")&amp;",")))=0)),IF(IO132="",TRUE,IF(input_topics="",FALSE,SUMPRODUCT(--ISNUMBER(SEARCH(","&amp;TRIM(TEXTSPLIT(IO132,","))&amp;",",","&amp;SUBSTITUTE(input_topics," ","")&amp;",")))&gt;0)),IF(IQ132="",TRUE,IF(input_topics="",FALSE,SUMPRODUCT(--ISNUMBER(SEARCH(","&amp;TRIM(TEXTSPLIT(IQ132,","))&amp;",",","&amp;SUBSTITUTE(input_topics," ","")&amp;",")))=COUNTA(TEXTSPLIT(IQ132,",")))))</f>
        <v/>
      </c>
    </row>
    <row r="133">
      <c r="A133" s="24">
        <f>IF(NOT(IS133),"Excluded",IF(AND(IT133,IU133,IV133,IW133,IX133,IY133,IZ133,JA133,JB133,JC133,JD133,JE133,JF133,JG133,JH133,JI133,JJ133,JK133,JL133,JM133,JN133,JO133,JP133,JQ133),IF(I133&gt;0,"Eligible but limited","Will appear"),"Excluded"))</f>
        <v/>
      </c>
      <c r="B133" s="24" t="inlineStr">
        <is>
          <t>News</t>
        </is>
      </c>
      <c r="C133" s="27" t="inlineStr">
        <is>
          <t>/about/headlines/news</t>
        </is>
      </c>
      <c r="D133" s="24" t="inlineStr">
        <is>
          <t>/about/headlines/news</t>
        </is>
      </c>
      <c r="E133" s="24" t="n">
        <v>1</v>
      </c>
      <c r="F133" s="24" t="inlineStr">
        <is>
          <t>story</t>
        </is>
      </c>
      <c r="G133" s="24" t="inlineStr">
        <is>
          <t>stories_list</t>
        </is>
      </c>
      <c r="H133" s="24" t="inlineStr">
        <is>
          <t>embed_news</t>
        </is>
      </c>
      <c r="I133" s="24" t="n">
        <v>10</v>
      </c>
      <c r="J133" s="28" t="inlineStr">
        <is>
          <t>Explicit args</t>
        </is>
      </c>
      <c r="K133" s="24" t="inlineStr">
        <is>
          <t>Page placement</t>
        </is>
      </c>
      <c r="L133" s="24" t="inlineStr">
        <is>
          <t>Content type: story; Context uses Courses Context: Executive Education (967), Doctoral Programs (962), Joint Degrees (973), Master of Advanced Management (932), Master's Degree in Asset Management (930), Master's Degree in Global Business and Society (950), Master's Degree in Systemic Risk (949), MBA (92), MBA For Executives (928), 93, Yale Global Executive Leadership Program (968), All SOM (77), Headlines (1390); Needs any Story Type: News (924); Limited to 10 item(s); Source: Explicit args</t>
        </is>
      </c>
      <c r="BQ133" s="19" t="inlineStr">
        <is>
          <t>967, 962, 973, 932, 930, 950, 949, 92, 928, 93, 968, 77, 1390</t>
        </is>
      </c>
      <c r="BR133" s="19" t="inlineStr">
        <is>
          <t>Executive Education (967), Doctoral Programs (962), Joint Degrees (973), Master of Advanced Management (932), Master's Degree in Asset Management (930), Master's Degree in Global Business and Society (950), Master's Degree in Systemic Risk (949), MBA (92), MBA For Executives (928), 93, Yale Global Executive Leadership Program (968), All SOM (77), Headlines (1390)</t>
        </is>
      </c>
      <c r="HY133" s="19" t="inlineStr">
        <is>
          <t>924</t>
        </is>
      </c>
      <c r="HZ133" s="19" t="inlineStr">
        <is>
          <t>News (924)</t>
        </is>
      </c>
      <c r="IS133" s="19">
        <f>IF(input_content_type="",FALSE,ISNUMBER(SEARCH(","&amp;LOWER(input_content_type)&amp;",",","&amp;LOWER(SUBSTITUTE(F133," ",""))&amp;",")))</f>
        <v/>
      </c>
      <c r="IT133" s="19">
        <f>AND(IF(M133="",TRUE,IF(input_affiliations="",FALSE,SUMPRODUCT(--ISNUMBER(SEARCH(","&amp;TRIM(TEXTSPLIT(M133,","))&amp;",",","&amp;SUBSTITUTE(input_affiliations," ","")&amp;",")))&gt;0)),IF(O133="",TRUE,IF(input_affiliations="",FALSE,SUMPRODUCT(--ISNUMBER(SEARCH(","&amp;TRIM(TEXTSPLIT(O133,","))&amp;",",","&amp;SUBSTITUTE(input_affiliations," ","")&amp;",")))=COUNTA(TEXTSPLIT(O133,",")))),IF(Q133="",TRUE,IF(input_affiliations="",TRUE,SUMPRODUCT(--ISNUMBER(SEARCH(","&amp;TRIM(TEXTSPLIT(Q133,","))&amp;",",","&amp;SUBSTITUTE(input_affiliations," ","")&amp;",")))=0)),IF(S133="",TRUE,IF(input_affiliations="",FALSE,SUMPRODUCT(--ISNUMBER(SEARCH(","&amp;TRIM(TEXTSPLIT(S133,","))&amp;",",","&amp;SUBSTITUTE(input_affiliations," ","")&amp;",")))&gt;0)),IF(U133="",TRUE,IF(input_affiliations="",FALSE,SUMPRODUCT(--ISNUMBER(SEARCH(","&amp;TRIM(TEXTSPLIT(U133,","))&amp;",",","&amp;SUBSTITUTE(input_affiliations," ","")&amp;",")))=COUNTA(TEXTSPLIT(U133,",")))))</f>
        <v/>
      </c>
      <c r="IU133" s="19">
        <f>AND(IF(W133="",TRUE,IF(input_announcement_category="",FALSE,SUMPRODUCT(--ISNUMBER(SEARCH(","&amp;TRIM(TEXTSPLIT(W133,","))&amp;",",","&amp;SUBSTITUTE(input_announcement_category," ","")&amp;",")))&gt;0)),IF(Y133="",TRUE,IF(input_announcement_category="",FALSE,SUMPRODUCT(--ISNUMBER(SEARCH(","&amp;TRIM(TEXTSPLIT(Y133,","))&amp;",",","&amp;SUBSTITUTE(input_announcement_category," ","")&amp;",")))=COUNTA(TEXTSPLIT(Y133,",")))),IF(AA133="",TRUE,IF(input_announcement_category="",TRUE,SUMPRODUCT(--ISNUMBER(SEARCH(","&amp;TRIM(TEXTSPLIT(AA133,","))&amp;",",","&amp;SUBSTITUTE(input_announcement_category," ","")&amp;",")))=0)),IF(AC133="",TRUE,IF(input_announcement_category="",FALSE,SUMPRODUCT(--ISNUMBER(SEARCH(","&amp;TRIM(TEXTSPLIT(AC133,","))&amp;",",","&amp;SUBSTITUTE(input_announcement_category," ","")&amp;",")))&gt;0)),IF(AE133="",TRUE,IF(input_announcement_category="",FALSE,SUMPRODUCT(--ISNUMBER(SEARCH(","&amp;TRIM(TEXTSPLIT(AE133,","))&amp;",",","&amp;SUBSTITUTE(input_announcement_category," ","")&amp;",")))=COUNTA(TEXTSPLIT(AE133,",")))))</f>
        <v/>
      </c>
      <c r="IV133" s="19">
        <f>AND(IF(AG133="",TRUE,IF(input_area_of_focus="",FALSE,SUMPRODUCT(--ISNUMBER(SEARCH(","&amp;TRIM(TEXTSPLIT(AG133,","))&amp;",",","&amp;SUBSTITUTE(input_area_of_focus," ","")&amp;",")))&gt;0)),IF(AI133="",TRUE,IF(input_area_of_focus="",FALSE,SUMPRODUCT(--ISNUMBER(SEARCH(","&amp;TRIM(TEXTSPLIT(AI133,","))&amp;",",","&amp;SUBSTITUTE(input_area_of_focus," ","")&amp;",")))=COUNTA(TEXTSPLIT(AI133,",")))),IF(AK133="",TRUE,IF(input_area_of_focus="",TRUE,SUMPRODUCT(--ISNUMBER(SEARCH(","&amp;TRIM(TEXTSPLIT(AK133,","))&amp;",",","&amp;SUBSTITUTE(input_area_of_focus," ","")&amp;",")))=0)),IF(AM133="",TRUE,IF(input_area_of_focus="",FALSE,SUMPRODUCT(--ISNUMBER(SEARCH(","&amp;TRIM(TEXTSPLIT(AM133,","))&amp;",",","&amp;SUBSTITUTE(input_area_of_focus," ","")&amp;",")))&gt;0)),IF(AO133="",TRUE,IF(input_area_of_focus="",FALSE,SUMPRODUCT(--ISNUMBER(SEARCH(","&amp;TRIM(TEXTSPLIT(AO133,","))&amp;",",","&amp;SUBSTITUTE(input_area_of_focus," ","")&amp;",")))=COUNTA(TEXTSPLIT(AO133,",")))))</f>
        <v/>
      </c>
      <c r="IW133" s="19">
        <f>AND(IF(AQ133="",TRUE,IF(input_audience="",FALSE,SUMPRODUCT(--ISNUMBER(SEARCH(","&amp;TRIM(TEXTSPLIT(AQ133,","))&amp;",",","&amp;SUBSTITUTE(input_audience," ","")&amp;",")))&gt;0)),IF(AS133="",TRUE,IF(input_audience="",FALSE,SUMPRODUCT(--ISNUMBER(SEARCH(","&amp;TRIM(TEXTSPLIT(AS133,","))&amp;",",","&amp;SUBSTITUTE(input_audience," ","")&amp;",")))=COUNTA(TEXTSPLIT(AS133,",")))),IF(AU133="",TRUE,IF(input_audience="",TRUE,SUMPRODUCT(--ISNUMBER(SEARCH(","&amp;TRIM(TEXTSPLIT(AU133,","))&amp;",",","&amp;SUBSTITUTE(input_audience," ","")&amp;",")))=0)),IF(AW133="",TRUE,IF(input_audience="",FALSE,SUMPRODUCT(--ISNUMBER(SEARCH(","&amp;TRIM(TEXTSPLIT(AW133,","))&amp;",",","&amp;SUBSTITUTE(input_audience," ","")&amp;",")))&gt;0)),IF(AY133="",TRUE,IF(input_audience="",FALSE,SUMPRODUCT(--ISNUMBER(SEARCH(","&amp;TRIM(TEXTSPLIT(AY133,","))&amp;",",","&amp;SUBSTITUTE(input_audience," ","")&amp;",")))=COUNTA(TEXTSPLIT(AY133,",")))))</f>
        <v/>
      </c>
      <c r="IX133" s="19">
        <f>AND(IF(BA133="",TRUE,IF(input_challenge_opportunities="",FALSE,SUMPRODUCT(--ISNUMBER(SEARCH(","&amp;TRIM(TEXTSPLIT(BA133,","))&amp;",",","&amp;SUBSTITUTE(input_challenge_opportunities," ","")&amp;",")))&gt;0)),IF(BC133="",TRUE,IF(input_challenge_opportunities="",FALSE,SUMPRODUCT(--ISNUMBER(SEARCH(","&amp;TRIM(TEXTSPLIT(BC133,","))&amp;",",","&amp;SUBSTITUTE(input_challenge_opportunities," ","")&amp;",")))=COUNTA(TEXTSPLIT(BC133,",")))),IF(BE133="",TRUE,IF(input_challenge_opportunities="",TRUE,SUMPRODUCT(--ISNUMBER(SEARCH(","&amp;TRIM(TEXTSPLIT(BE133,","))&amp;",",","&amp;SUBSTITUTE(input_challenge_opportunities," ","")&amp;",")))=0)),IF(BG133="",TRUE,IF(input_challenge_opportunities="",FALSE,SUMPRODUCT(--ISNUMBER(SEARCH(","&amp;TRIM(TEXTSPLIT(BG133,","))&amp;",",","&amp;SUBSTITUTE(input_challenge_opportunities," ","")&amp;",")))&gt;0)),IF(BI133="",TRUE,IF(input_challenge_opportunities="",FALSE,SUMPRODUCT(--ISNUMBER(SEARCH(","&amp;TRIM(TEXTSPLIT(BI133,","))&amp;",",","&amp;SUBSTITUTE(input_challenge_opportunities," ","")&amp;",")))=COUNTA(TEXTSPLIT(BI133,",")))))</f>
        <v/>
      </c>
      <c r="IY133" s="19">
        <f>AND(IF(BK133="",TRUE,IF(input_context="",FALSE,SUMPRODUCT(--ISNUMBER(SEARCH(","&amp;TRIM(TEXTSPLIT(BK133,","))&amp;",",","&amp;SUBSTITUTE(input_context," ","")&amp;",")))&gt;0)),IF(BM133="",TRUE,IF(input_context="",FALSE,SUMPRODUCT(--ISNUMBER(SEARCH(","&amp;TRIM(TEXTSPLIT(BM133,","))&amp;",",","&amp;SUBSTITUTE(input_context," ","")&amp;",")))=COUNTA(TEXTSPLIT(BM133,",")))),IF(BO133="",TRUE,IF(input_context="",TRUE,SUMPRODUCT(--ISNUMBER(SEARCH(","&amp;TRIM(TEXTSPLIT(BO133,","))&amp;",",","&amp;SUBSTITUTE(input_context," ","")&amp;",")))=0)),IF(BQ133="",TRUE,IF(input_context="",FALSE,SUMPRODUCT(--ISNUMBER(SEARCH(","&amp;TRIM(TEXTSPLIT(BQ133,","))&amp;",",","&amp;SUBSTITUTE(input_context," ","")&amp;",")))&gt;0)),IF(BS133="",TRUE,IF(input_context="",FALSE,SUMPRODUCT(--ISNUMBER(SEARCH(","&amp;TRIM(TEXTSPLIT(BS133,","))&amp;",",","&amp;SUBSTITUTE(input_context," ","")&amp;",")))=COUNTA(TEXTSPLIT(BS133,",")))))</f>
        <v/>
      </c>
      <c r="IZ133" s="19">
        <f>AND(IF(BU133="",TRUE,IF(input_enews_announcement_type="",FALSE,SUMPRODUCT(--ISNUMBER(SEARCH(","&amp;TRIM(TEXTSPLIT(BU133,","))&amp;",",","&amp;SUBSTITUTE(input_enews_announcement_type," ","")&amp;",")))&gt;0)),IF(BW133="",TRUE,IF(input_enews_announcement_type="",FALSE,SUMPRODUCT(--ISNUMBER(SEARCH(","&amp;TRIM(TEXTSPLIT(BW133,","))&amp;",",","&amp;SUBSTITUTE(input_enews_announcement_type," ","")&amp;",")))=COUNTA(TEXTSPLIT(BW133,",")))),IF(BY133="",TRUE,IF(input_enews_announcement_type="",TRUE,SUMPRODUCT(--ISNUMBER(SEARCH(","&amp;TRIM(TEXTSPLIT(BY133,","))&amp;",",","&amp;SUBSTITUTE(input_enews_announcement_type," ","")&amp;",")))=0)),IF(CA133="",TRUE,IF(input_enews_announcement_type="",FALSE,SUMPRODUCT(--ISNUMBER(SEARCH(","&amp;TRIM(TEXTSPLIT(CA133,","))&amp;",",","&amp;SUBSTITUTE(input_enews_announcement_type," ","")&amp;",")))&gt;0)),IF(CC133="",TRUE,IF(input_enews_announcement_type="",FALSE,SUMPRODUCT(--ISNUMBER(SEARCH(","&amp;TRIM(TEXTSPLIT(CC133,","))&amp;",",","&amp;SUBSTITUTE(input_enews_announcement_type," ","")&amp;",")))=COUNTA(TEXTSPLIT(CC133,",")))))</f>
        <v/>
      </c>
      <c r="JA133" s="19">
        <f>AND(IF(CE133="",TRUE,IF(input_enews_audience="",FALSE,SUMPRODUCT(--ISNUMBER(SEARCH(","&amp;TRIM(TEXTSPLIT(CE133,","))&amp;",",","&amp;SUBSTITUTE(input_enews_audience," ","")&amp;",")))&gt;0)),IF(CG133="",TRUE,IF(input_enews_audience="",FALSE,SUMPRODUCT(--ISNUMBER(SEARCH(","&amp;TRIM(TEXTSPLIT(CG133,","))&amp;",",","&amp;SUBSTITUTE(input_enews_audience," ","")&amp;",")))=COUNTA(TEXTSPLIT(CG133,",")))),IF(CI133="",TRUE,IF(input_enews_audience="",TRUE,SUMPRODUCT(--ISNUMBER(SEARCH(","&amp;TRIM(TEXTSPLIT(CI133,","))&amp;",",","&amp;SUBSTITUTE(input_enews_audience," ","")&amp;",")))=0)),IF(CK133="",TRUE,IF(input_enews_audience="",FALSE,SUMPRODUCT(--ISNUMBER(SEARCH(","&amp;TRIM(TEXTSPLIT(CK133,","))&amp;",",","&amp;SUBSTITUTE(input_enews_audience," ","")&amp;",")))&gt;0)),IF(CM133="",TRUE,IF(input_enews_audience="",FALSE,SUMPRODUCT(--ISNUMBER(SEARCH(","&amp;TRIM(TEXTSPLIT(CM133,","))&amp;",",","&amp;SUBSTITUTE(input_enews_audience," ","")&amp;",")))=COUNTA(TEXTSPLIT(CM133,",")))))</f>
        <v/>
      </c>
      <c r="JB133" s="19">
        <f>AND(IF(CO133="",TRUE,IF(input_event_location="",FALSE,SUMPRODUCT(--ISNUMBER(SEARCH(","&amp;TRIM(TEXTSPLIT(CO133,","))&amp;",",","&amp;SUBSTITUTE(input_event_location," ","")&amp;",")))&gt;0)),IF(CQ133="",TRUE,IF(input_event_location="",FALSE,SUMPRODUCT(--ISNUMBER(SEARCH(","&amp;TRIM(TEXTSPLIT(CQ133,","))&amp;",",","&amp;SUBSTITUTE(input_event_location," ","")&amp;",")))=COUNTA(TEXTSPLIT(CQ133,",")))),IF(CS133="",TRUE,IF(input_event_location="",TRUE,SUMPRODUCT(--ISNUMBER(SEARCH(","&amp;TRIM(TEXTSPLIT(CS133,","))&amp;",",","&amp;SUBSTITUTE(input_event_location," ","")&amp;",")))=0)),IF(CU133="",TRUE,IF(input_event_location="",FALSE,SUMPRODUCT(--ISNUMBER(SEARCH(","&amp;TRIM(TEXTSPLIT(CU133,","))&amp;",",","&amp;SUBSTITUTE(input_event_location," ","")&amp;",")))&gt;0)),IF(CW133="",TRUE,IF(input_event_location="",FALSE,SUMPRODUCT(--ISNUMBER(SEARCH(","&amp;TRIM(TEXTSPLIT(CW133,","))&amp;",",","&amp;SUBSTITUTE(input_event_location," ","")&amp;",")))=COUNTA(TEXTSPLIT(CW133,",")))))</f>
        <v/>
      </c>
      <c r="JC133" s="19">
        <f>AND(IF(CY133="",TRUE,IF(input_event_type="",FALSE,SUMPRODUCT(--ISNUMBER(SEARCH(","&amp;TRIM(TEXTSPLIT(CY133,","))&amp;",",","&amp;SUBSTITUTE(input_event_type," ","")&amp;",")))&gt;0)),IF(DA133="",TRUE,IF(input_event_type="",FALSE,SUMPRODUCT(--ISNUMBER(SEARCH(","&amp;TRIM(TEXTSPLIT(DA133,","))&amp;",",","&amp;SUBSTITUTE(input_event_type," ","")&amp;",")))=COUNTA(TEXTSPLIT(DA133,",")))),IF(DC133="",TRUE,IF(input_event_type="",TRUE,SUMPRODUCT(--ISNUMBER(SEARCH(","&amp;TRIM(TEXTSPLIT(DC133,","))&amp;",",","&amp;SUBSTITUTE(input_event_type," ","")&amp;",")))=0)),IF(DE133="",TRUE,IF(input_event_type="",FALSE,SUMPRODUCT(--ISNUMBER(SEARCH(","&amp;TRIM(TEXTSPLIT(DE133,","))&amp;",",","&amp;SUBSTITUTE(input_event_type," ","")&amp;",")))&gt;0)),IF(DG133="",TRUE,IF(input_event_type="",FALSE,SUMPRODUCT(--ISNUMBER(SEARCH(","&amp;TRIM(TEXTSPLIT(DG133,","))&amp;",",","&amp;SUBSTITUTE(input_event_type," ","")&amp;",")))=COUNTA(TEXTSPLIT(DG133,",")))))</f>
        <v/>
      </c>
      <c r="JD133" s="19">
        <f>AND(IF(DI133="",TRUE,IF(input_executive_education_focus="",FALSE,SUMPRODUCT(--ISNUMBER(SEARCH(","&amp;TRIM(TEXTSPLIT(DI133,","))&amp;",",","&amp;SUBSTITUTE(input_executive_education_focus," ","")&amp;",")))&gt;0)),IF(DK133="",TRUE,IF(input_executive_education_focus="",FALSE,SUMPRODUCT(--ISNUMBER(SEARCH(","&amp;TRIM(TEXTSPLIT(DK133,","))&amp;",",","&amp;SUBSTITUTE(input_executive_education_focus," ","")&amp;",")))=COUNTA(TEXTSPLIT(DK133,",")))),IF(DM133="",TRUE,IF(input_executive_education_focus="",TRUE,SUMPRODUCT(--ISNUMBER(SEARCH(","&amp;TRIM(TEXTSPLIT(DM133,","))&amp;",",","&amp;SUBSTITUTE(input_executive_education_focus," ","")&amp;",")))=0)),IF(DO133="",TRUE,IF(input_executive_education_focus="",FALSE,SUMPRODUCT(--ISNUMBER(SEARCH(","&amp;TRIM(TEXTSPLIT(DO133,","))&amp;",",","&amp;SUBSTITUTE(input_executive_education_focus," ","")&amp;",")))&gt;0)),IF(DQ133="",TRUE,IF(input_executive_education_focus="",FALSE,SUMPRODUCT(--ISNUMBER(SEARCH(","&amp;TRIM(TEXTSPLIT(DQ133,","))&amp;",",","&amp;SUBSTITUTE(input_executive_education_focus," ","")&amp;",")))=COUNTA(TEXTSPLIT(DQ133,",")))))</f>
        <v/>
      </c>
      <c r="JE133" s="19">
        <f>AND(IF(DS133="",TRUE,IF(input_faculty_category="",FALSE,SUMPRODUCT(--ISNUMBER(SEARCH(","&amp;TRIM(TEXTSPLIT(DS133,","))&amp;",",","&amp;SUBSTITUTE(input_faculty_category," ","")&amp;",")))&gt;0)),IF(DU133="",TRUE,IF(input_faculty_category="",FALSE,SUMPRODUCT(--ISNUMBER(SEARCH(","&amp;TRIM(TEXTSPLIT(DU133,","))&amp;",",","&amp;SUBSTITUTE(input_faculty_category," ","")&amp;",")))=COUNTA(TEXTSPLIT(DU133,",")))),IF(DW133="",TRUE,IF(input_faculty_category="",TRUE,SUMPRODUCT(--ISNUMBER(SEARCH(","&amp;TRIM(TEXTSPLIT(DW133,","))&amp;",",","&amp;SUBSTITUTE(input_faculty_category," ","")&amp;",")))=0)),IF(DY133="",TRUE,IF(input_faculty_category="",FALSE,SUMPRODUCT(--ISNUMBER(SEARCH(","&amp;TRIM(TEXTSPLIT(DY133,","))&amp;",",","&amp;SUBSTITUTE(input_faculty_category," ","")&amp;",")))&gt;0)),IF(EA133="",TRUE,IF(input_faculty_category="",FALSE,SUMPRODUCT(--ISNUMBER(SEARCH(","&amp;TRIM(TEXTSPLIT(EA133,","))&amp;",",","&amp;SUBSTITUTE(input_faculty_category," ","")&amp;",")))=COUNTA(TEXTSPLIT(EA133,",")))))</f>
        <v/>
      </c>
      <c r="JF133" s="19">
        <f>AND(IF(EC133="",TRUE,IF(input_faculty_discipline="",FALSE,SUMPRODUCT(--ISNUMBER(SEARCH(","&amp;TRIM(TEXTSPLIT(EC133,","))&amp;",",","&amp;SUBSTITUTE(input_faculty_discipline," ","")&amp;",")))&gt;0)),IF(EE133="",TRUE,IF(input_faculty_discipline="",FALSE,SUMPRODUCT(--ISNUMBER(SEARCH(","&amp;TRIM(TEXTSPLIT(EE133,","))&amp;",",","&amp;SUBSTITUTE(input_faculty_discipline," ","")&amp;",")))=COUNTA(TEXTSPLIT(EE133,",")))),IF(EG133="",TRUE,IF(input_faculty_discipline="",TRUE,SUMPRODUCT(--ISNUMBER(SEARCH(","&amp;TRIM(TEXTSPLIT(EG133,","))&amp;",",","&amp;SUBSTITUTE(input_faculty_discipline," ","")&amp;",")))=0)),IF(EI133="",TRUE,IF(input_faculty_discipline="",FALSE,SUMPRODUCT(--ISNUMBER(SEARCH(","&amp;TRIM(TEXTSPLIT(EI133,","))&amp;",",","&amp;SUBSTITUTE(input_faculty_discipline," ","")&amp;",")))&gt;0)),IF(EK133="",TRUE,IF(input_faculty_discipline="",FALSE,SUMPRODUCT(--ISNUMBER(SEARCH(","&amp;TRIM(TEXTSPLIT(EK133,","))&amp;",",","&amp;SUBSTITUTE(input_faculty_discipline," ","")&amp;",")))=COUNTA(TEXTSPLIT(EK133,",")))))</f>
        <v/>
      </c>
      <c r="JG133" s="19">
        <f>AND(IF(EM133="",TRUE,IF(input_faculty_expertise="",FALSE,SUMPRODUCT(--ISNUMBER(SEARCH(","&amp;TRIM(TEXTSPLIT(EM133,","))&amp;",",","&amp;SUBSTITUTE(input_faculty_expertise," ","")&amp;",")))&gt;0)),IF(EO133="",TRUE,IF(input_faculty_expertise="",FALSE,SUMPRODUCT(--ISNUMBER(SEARCH(","&amp;TRIM(TEXTSPLIT(EO133,","))&amp;",",","&amp;SUBSTITUTE(input_faculty_expertise," ","")&amp;",")))=COUNTA(TEXTSPLIT(EO133,",")))),IF(EQ133="",TRUE,IF(input_faculty_expertise="",TRUE,SUMPRODUCT(--ISNUMBER(SEARCH(","&amp;TRIM(TEXTSPLIT(EQ133,","))&amp;",",","&amp;SUBSTITUTE(input_faculty_expertise," ","")&amp;",")))=0)),IF(ES133="",TRUE,IF(input_faculty_expertise="",FALSE,SUMPRODUCT(--ISNUMBER(SEARCH(","&amp;TRIM(TEXTSPLIT(ES133,","))&amp;",",","&amp;SUBSTITUTE(input_faculty_expertise," ","")&amp;",")))&gt;0)),IF(EU133="",TRUE,IF(input_faculty_expertise="",FALSE,SUMPRODUCT(--ISNUMBER(SEARCH(","&amp;TRIM(TEXTSPLIT(EU133,","))&amp;",",","&amp;SUBSTITUTE(input_faculty_expertise," ","")&amp;",")))=COUNTA(TEXTSPLIT(EU133,",")))))</f>
        <v/>
      </c>
      <c r="JH133" s="19">
        <f>AND(IF(EW133="",TRUE,IF(input_global_network_school="",FALSE,SUMPRODUCT(--ISNUMBER(SEARCH(","&amp;TRIM(TEXTSPLIT(EW133,","))&amp;",",","&amp;SUBSTITUTE(input_global_network_school," ","")&amp;",")))&gt;0)),IF(EY133="",TRUE,IF(input_global_network_school="",FALSE,SUMPRODUCT(--ISNUMBER(SEARCH(","&amp;TRIM(TEXTSPLIT(EY133,","))&amp;",",","&amp;SUBSTITUTE(input_global_network_school," ","")&amp;",")))=COUNTA(TEXTSPLIT(EY133,",")))),IF(FA133="",TRUE,IF(input_global_network_school="",TRUE,SUMPRODUCT(--ISNUMBER(SEARCH(","&amp;TRIM(TEXTSPLIT(FA133,","))&amp;",",","&amp;SUBSTITUTE(input_global_network_school," ","")&amp;",")))=0)),IF(FC133="",TRUE,IF(input_global_network_school="",FALSE,SUMPRODUCT(--ISNUMBER(SEARCH(","&amp;TRIM(TEXTSPLIT(FC133,","))&amp;",",","&amp;SUBSTITUTE(input_global_network_school," ","")&amp;",")))&gt;0)),IF(FE133="",TRUE,IF(input_global_network_school="",FALSE,SUMPRODUCT(--ISNUMBER(SEARCH(","&amp;TRIM(TEXTSPLIT(FE133,","))&amp;",",","&amp;SUBSTITUTE(input_global_network_school," ","")&amp;",")))=COUNTA(TEXTSPLIT(FE133,",")))))</f>
        <v/>
      </c>
      <c r="JI133" s="19">
        <f>AND(IF(FG133="",TRUE,IF(input_industry="",FALSE,SUMPRODUCT(--ISNUMBER(SEARCH(","&amp;TRIM(TEXTSPLIT(FG133,","))&amp;",",","&amp;SUBSTITUTE(input_industry," ","")&amp;",")))&gt;0)),IF(FI133="",TRUE,IF(input_industry="",FALSE,SUMPRODUCT(--ISNUMBER(SEARCH(","&amp;TRIM(TEXTSPLIT(FI133,","))&amp;",",","&amp;SUBSTITUTE(input_industry," ","")&amp;",")))=COUNTA(TEXTSPLIT(FI133,",")))),IF(FK133="",TRUE,IF(input_industry="",TRUE,SUMPRODUCT(--ISNUMBER(SEARCH(","&amp;TRIM(TEXTSPLIT(FK133,","))&amp;",",","&amp;SUBSTITUTE(input_industry," ","")&amp;",")))=0)),IF(FM133="",TRUE,IF(input_industry="",FALSE,SUMPRODUCT(--ISNUMBER(SEARCH(","&amp;TRIM(TEXTSPLIT(FM133,","))&amp;",",","&amp;SUBSTITUTE(input_industry," ","")&amp;",")))&gt;0)),IF(FO133="",TRUE,IF(input_industry="",FALSE,SUMPRODUCT(--ISNUMBER(SEARCH(","&amp;TRIM(TEXTSPLIT(FO133,","))&amp;",",","&amp;SUBSTITUTE(input_industry," ","")&amp;",")))=COUNTA(TEXTSPLIT(FO133,",")))))</f>
        <v/>
      </c>
      <c r="JJ133" s="19">
        <f>AND(IF(FQ133="",TRUE,IF(input_location="",FALSE,SUMPRODUCT(--ISNUMBER(SEARCH(","&amp;TRIM(TEXTSPLIT(FQ133,","))&amp;",",","&amp;SUBSTITUTE(input_location," ","")&amp;",")))&gt;0)),IF(FS133="",TRUE,IF(input_location="",FALSE,SUMPRODUCT(--ISNUMBER(SEARCH(","&amp;TRIM(TEXTSPLIT(FS133,","))&amp;",",","&amp;SUBSTITUTE(input_location," ","")&amp;",")))=COUNTA(TEXTSPLIT(FS133,",")))),IF(FU133="",TRUE,IF(input_location="",TRUE,SUMPRODUCT(--ISNUMBER(SEARCH(","&amp;TRIM(TEXTSPLIT(FU133,","))&amp;",",","&amp;SUBSTITUTE(input_location," ","")&amp;",")))=0)),IF(FW133="",TRUE,IF(input_location="",FALSE,SUMPRODUCT(--ISNUMBER(SEARCH(","&amp;TRIM(TEXTSPLIT(FW133,","))&amp;",",","&amp;SUBSTITUTE(input_location," ","")&amp;",")))&gt;0)),IF(FY133="",TRUE,IF(input_location="",FALSE,SUMPRODUCT(--ISNUMBER(SEARCH(","&amp;TRIM(TEXTSPLIT(FY133,","))&amp;",",","&amp;SUBSTITUTE(input_location," ","")&amp;",")))=COUNTA(TEXTSPLIT(FY133,",")))))</f>
        <v/>
      </c>
      <c r="JK133" s="19">
        <f>AND(IF(GA133="",TRUE,IF(input_modality="",FALSE,SUMPRODUCT(--ISNUMBER(SEARCH(","&amp;TRIM(TEXTSPLIT(GA133,","))&amp;",",","&amp;SUBSTITUTE(input_modality," ","")&amp;",")))&gt;0)),IF(GC133="",TRUE,IF(input_modality="",FALSE,SUMPRODUCT(--ISNUMBER(SEARCH(","&amp;TRIM(TEXTSPLIT(GC133,","))&amp;",",","&amp;SUBSTITUTE(input_modality," ","")&amp;",")))=COUNTA(TEXTSPLIT(GC133,",")))),IF(GE133="",TRUE,IF(input_modality="",TRUE,SUMPRODUCT(--ISNUMBER(SEARCH(","&amp;TRIM(TEXTSPLIT(GE133,","))&amp;",",","&amp;SUBSTITUTE(input_modality," ","")&amp;",")))=0)),IF(GG133="",TRUE,IF(input_modality="",FALSE,SUMPRODUCT(--ISNUMBER(SEARCH(","&amp;TRIM(TEXTSPLIT(GG133,","))&amp;",",","&amp;SUBSTITUTE(input_modality," ","")&amp;",")))&gt;0)),IF(GI133="",TRUE,IF(input_modality="",FALSE,SUMPRODUCT(--ISNUMBER(SEARCH(","&amp;TRIM(TEXTSPLIT(GI133,","))&amp;",",","&amp;SUBSTITUTE(input_modality," ","")&amp;",")))=COUNTA(TEXTSPLIT(GI133,",")))))</f>
        <v/>
      </c>
      <c r="JL133" s="19">
        <f>AND(IF(GK133="",TRUE,IF(input_organizer="",FALSE,SUMPRODUCT(--ISNUMBER(SEARCH(","&amp;TRIM(TEXTSPLIT(GK133,","))&amp;",",","&amp;SUBSTITUTE(input_organizer," ","")&amp;",")))&gt;0)),IF(GM133="",TRUE,IF(input_organizer="",FALSE,SUMPRODUCT(--ISNUMBER(SEARCH(","&amp;TRIM(TEXTSPLIT(GM133,","))&amp;",",","&amp;SUBSTITUTE(input_organizer," ","")&amp;",")))=COUNTA(TEXTSPLIT(GM133,",")))),IF(GO133="",TRUE,IF(input_organizer="",TRUE,SUMPRODUCT(--ISNUMBER(SEARCH(","&amp;TRIM(TEXTSPLIT(GO133,","))&amp;",",","&amp;SUBSTITUTE(input_organizer," ","")&amp;",")))=0)),IF(GQ133="",TRUE,IF(input_organizer="",FALSE,SUMPRODUCT(--ISNUMBER(SEARCH(","&amp;TRIM(TEXTSPLIT(GQ133,","))&amp;",",","&amp;SUBSTITUTE(input_organizer," ","")&amp;",")))&gt;0)),IF(GS133="",TRUE,IF(input_organizer="",FALSE,SUMPRODUCT(--ISNUMBER(SEARCH(","&amp;TRIM(TEXTSPLIT(GS133,","))&amp;",",","&amp;SUBSTITUTE(input_organizer," ","")&amp;",")))=COUNTA(TEXTSPLIT(GS133,",")))))</f>
        <v/>
      </c>
      <c r="JM133" s="19">
        <f>AND(IF(GU133="",TRUE,IF(input_profile_type="",FALSE,SUMPRODUCT(--ISNUMBER(SEARCH(","&amp;TRIM(TEXTSPLIT(GU133,","))&amp;",",","&amp;SUBSTITUTE(input_profile_type," ","")&amp;",")))&gt;0)),IF(GW133="",TRUE,IF(input_profile_type="",FALSE,SUMPRODUCT(--ISNUMBER(SEARCH(","&amp;TRIM(TEXTSPLIT(GW133,","))&amp;",",","&amp;SUBSTITUTE(input_profile_type," ","")&amp;",")))=COUNTA(TEXTSPLIT(GW133,",")))),IF(GY133="",TRUE,IF(input_profile_type="",TRUE,SUMPRODUCT(--ISNUMBER(SEARCH(","&amp;TRIM(TEXTSPLIT(GY133,","))&amp;",",","&amp;SUBSTITUTE(input_profile_type," ","")&amp;",")))=0)),IF(HA133="",TRUE,IF(input_profile_type="",FALSE,SUMPRODUCT(--ISNUMBER(SEARCH(","&amp;TRIM(TEXTSPLIT(HA133,","))&amp;",",","&amp;SUBSTITUTE(input_profile_type," ","")&amp;",")))&gt;0)),IF(HC133="",TRUE,IF(input_profile_type="",FALSE,SUMPRODUCT(--ISNUMBER(SEARCH(","&amp;TRIM(TEXTSPLIT(HC133,","))&amp;",",","&amp;SUBSTITUTE(input_profile_type," ","")&amp;",")))=COUNTA(TEXTSPLIT(HC133,",")))))</f>
        <v/>
      </c>
      <c r="JN133" s="19">
        <f>AND(IF(HE133="",TRUE,IF(input_program="",FALSE,SUMPRODUCT(--ISNUMBER(SEARCH(","&amp;TRIM(TEXTSPLIT(HE133,","))&amp;",",","&amp;SUBSTITUTE(input_program," ","")&amp;",")))&gt;0)),IF(HG133="",TRUE,IF(input_program="",FALSE,SUMPRODUCT(--ISNUMBER(SEARCH(","&amp;TRIM(TEXTSPLIT(HG133,","))&amp;",",","&amp;SUBSTITUTE(input_program," ","")&amp;",")))=COUNTA(TEXTSPLIT(HG133,",")))),IF(HI133="",TRUE,IF(input_program="",TRUE,SUMPRODUCT(--ISNUMBER(SEARCH(","&amp;TRIM(TEXTSPLIT(HI133,","))&amp;",",","&amp;SUBSTITUTE(input_program," ","")&amp;",")))=0)),IF(HK133="",TRUE,IF(input_program="",FALSE,SUMPRODUCT(--ISNUMBER(SEARCH(","&amp;TRIM(TEXTSPLIT(HK133,","))&amp;",",","&amp;SUBSTITUTE(input_program," ","")&amp;",")))&gt;0)),IF(HM133="",TRUE,IF(input_program="",FALSE,SUMPRODUCT(--ISNUMBER(SEARCH(","&amp;TRIM(TEXTSPLIT(HM133,","))&amp;",",","&amp;SUBSTITUTE(input_program," ","")&amp;",")))=COUNTA(TEXTSPLIT(HM133,",")))))</f>
        <v/>
      </c>
      <c r="JO133" s="19">
        <f>AND(IF(HO133="",TRUE,IF(input_story_categories="",FALSE,SUMPRODUCT(--ISNUMBER(SEARCH(","&amp;TRIM(TEXTSPLIT(HO133,","))&amp;",",","&amp;SUBSTITUTE(input_story_categories," ","")&amp;",")))&gt;0)),IF(HQ133="",TRUE,IF(input_story_categories="",FALSE,SUMPRODUCT(--ISNUMBER(SEARCH(","&amp;TRIM(TEXTSPLIT(HQ133,","))&amp;",",","&amp;SUBSTITUTE(input_story_categories," ","")&amp;",")))=COUNTA(TEXTSPLIT(HQ133,",")))),IF(HS133="",TRUE,IF(input_story_categories="",TRUE,SUMPRODUCT(--ISNUMBER(SEARCH(","&amp;TRIM(TEXTSPLIT(HS133,","))&amp;",",","&amp;SUBSTITUTE(input_story_categories," ","")&amp;",")))=0)),IF(HU133="",TRUE,IF(input_story_categories="",FALSE,SUMPRODUCT(--ISNUMBER(SEARCH(","&amp;TRIM(TEXTSPLIT(HU133,","))&amp;",",","&amp;SUBSTITUTE(input_story_categories," ","")&amp;",")))&gt;0)),IF(HW133="",TRUE,IF(input_story_categories="",FALSE,SUMPRODUCT(--ISNUMBER(SEARCH(","&amp;TRIM(TEXTSPLIT(HW133,","))&amp;",",","&amp;SUBSTITUTE(input_story_categories," ","")&amp;",")))=COUNTA(TEXTSPLIT(HW133,",")))))</f>
        <v/>
      </c>
      <c r="JP133" s="19">
        <f>AND(IF(HY133="",TRUE,IF(input_story_type="",FALSE,SUMPRODUCT(--ISNUMBER(SEARCH(","&amp;TRIM(TEXTSPLIT(HY133,","))&amp;",",","&amp;SUBSTITUTE(input_story_type," ","")&amp;",")))&gt;0)),IF(IA133="",TRUE,IF(input_story_type="",FALSE,SUMPRODUCT(--ISNUMBER(SEARCH(","&amp;TRIM(TEXTSPLIT(IA133,","))&amp;",",","&amp;SUBSTITUTE(input_story_type," ","")&amp;",")))=COUNTA(TEXTSPLIT(IA133,",")))),IF(IC133="",TRUE,IF(input_story_type="",TRUE,SUMPRODUCT(--ISNUMBER(SEARCH(","&amp;TRIM(TEXTSPLIT(IC133,","))&amp;",",","&amp;SUBSTITUTE(input_story_type," ","")&amp;",")))=0)),IF(IE133="",TRUE,IF(input_story_type="",FALSE,SUMPRODUCT(--ISNUMBER(SEARCH(","&amp;TRIM(TEXTSPLIT(IE133,","))&amp;",",","&amp;SUBSTITUTE(input_story_type," ","")&amp;",")))&gt;0)),IF(IG133="",TRUE,IF(input_story_type="",FALSE,SUMPRODUCT(--ISNUMBER(SEARCH(","&amp;TRIM(TEXTSPLIT(IG133,","))&amp;",",","&amp;SUBSTITUTE(input_story_type," ","")&amp;",")))=COUNTA(TEXTSPLIT(IG133,",")))))</f>
        <v/>
      </c>
      <c r="JQ133" s="19">
        <f>AND(IF(II133="",TRUE,IF(input_topics="",FALSE,SUMPRODUCT(--ISNUMBER(SEARCH(","&amp;TRIM(TEXTSPLIT(II133,","))&amp;",",","&amp;SUBSTITUTE(input_topics," ","")&amp;",")))&gt;0)),IF(IK133="",TRUE,IF(input_topics="",FALSE,SUMPRODUCT(--ISNUMBER(SEARCH(","&amp;TRIM(TEXTSPLIT(IK133,","))&amp;",",","&amp;SUBSTITUTE(input_topics," ","")&amp;",")))=COUNTA(TEXTSPLIT(IK133,",")))),IF(IM133="",TRUE,IF(input_topics="",TRUE,SUMPRODUCT(--ISNUMBER(SEARCH(","&amp;TRIM(TEXTSPLIT(IM133,","))&amp;",",","&amp;SUBSTITUTE(input_topics," ","")&amp;",")))=0)),IF(IO133="",TRUE,IF(input_topics="",FALSE,SUMPRODUCT(--ISNUMBER(SEARCH(","&amp;TRIM(TEXTSPLIT(IO133,","))&amp;",",","&amp;SUBSTITUTE(input_topics," ","")&amp;",")))&gt;0)),IF(IQ133="",TRUE,IF(input_topics="",FALSE,SUMPRODUCT(--ISNUMBER(SEARCH(","&amp;TRIM(TEXTSPLIT(IQ133,","))&amp;",",","&amp;SUBSTITUTE(input_topics," ","")&amp;",")))=COUNTA(TEXTSPLIT(IQ133,",")))))</f>
        <v/>
      </c>
    </row>
    <row r="134">
      <c r="A134" s="24">
        <f>IF(NOT(IS134),"Excluded",IF(AND(IT134,IU134,IV134,IW134,IX134,IY134,IZ134,JA134,JB134,JC134,JD134,JE134,JF134,JG134,JH134,JI134,JJ134,JK134,JL134,JM134,JN134,JO134,JP134,JQ134),IF(I134&gt;0,"Eligible but limited","Will appear"),"Excluded"))</f>
        <v/>
      </c>
      <c r="B134" s="24" t="inlineStr">
        <is>
          <t>News</t>
        </is>
      </c>
      <c r="C134" s="27" t="inlineStr">
        <is>
          <t>/centers/chief-executive-leadership-institute/celi-news</t>
        </is>
      </c>
      <c r="D134" s="24" t="inlineStr">
        <is>
          <t>/centers/chief-executive-leadership-institute/celi-news</t>
        </is>
      </c>
      <c r="E134" s="24" t="n">
        <v>1</v>
      </c>
      <c r="F134" s="24" t="inlineStr">
        <is>
          <t>story</t>
        </is>
      </c>
      <c r="G134" s="24" t="inlineStr">
        <is>
          <t>stories_list</t>
        </is>
      </c>
      <c r="H134" s="24" t="inlineStr">
        <is>
          <t>embed_1</t>
        </is>
      </c>
      <c r="I134" s="24" t="n">
        <v>10</v>
      </c>
      <c r="J134" s="28" t="inlineStr">
        <is>
          <t>Explicit args</t>
        </is>
      </c>
      <c r="K134" s="24" t="inlineStr">
        <is>
          <t>Page placement</t>
        </is>
      </c>
      <c r="L134" s="24" t="inlineStr">
        <is>
          <t>Content type: story; Context uses Courses Context: Chief Executive Leadership Institute (925); Limited to 10 item(s); Source: Explicit args</t>
        </is>
      </c>
      <c r="BQ134" s="19" t="inlineStr">
        <is>
          <t>925</t>
        </is>
      </c>
      <c r="BR134" s="19" t="inlineStr">
        <is>
          <t>Chief Executive Leadership Institute (925)</t>
        </is>
      </c>
      <c r="IS134" s="19">
        <f>IF(input_content_type="",FALSE,ISNUMBER(SEARCH(","&amp;LOWER(input_content_type)&amp;",",","&amp;LOWER(SUBSTITUTE(F134," ",""))&amp;",")))</f>
        <v/>
      </c>
      <c r="IT134" s="19">
        <f>AND(IF(M134="",TRUE,IF(input_affiliations="",FALSE,SUMPRODUCT(--ISNUMBER(SEARCH(","&amp;TRIM(TEXTSPLIT(M134,","))&amp;",",","&amp;SUBSTITUTE(input_affiliations," ","")&amp;",")))&gt;0)),IF(O134="",TRUE,IF(input_affiliations="",FALSE,SUMPRODUCT(--ISNUMBER(SEARCH(","&amp;TRIM(TEXTSPLIT(O134,","))&amp;",",","&amp;SUBSTITUTE(input_affiliations," ","")&amp;",")))=COUNTA(TEXTSPLIT(O134,",")))),IF(Q134="",TRUE,IF(input_affiliations="",TRUE,SUMPRODUCT(--ISNUMBER(SEARCH(","&amp;TRIM(TEXTSPLIT(Q134,","))&amp;",",","&amp;SUBSTITUTE(input_affiliations," ","")&amp;",")))=0)),IF(S134="",TRUE,IF(input_affiliations="",FALSE,SUMPRODUCT(--ISNUMBER(SEARCH(","&amp;TRIM(TEXTSPLIT(S134,","))&amp;",",","&amp;SUBSTITUTE(input_affiliations," ","")&amp;",")))&gt;0)),IF(U134="",TRUE,IF(input_affiliations="",FALSE,SUMPRODUCT(--ISNUMBER(SEARCH(","&amp;TRIM(TEXTSPLIT(U134,","))&amp;",",","&amp;SUBSTITUTE(input_affiliations," ","")&amp;",")))=COUNTA(TEXTSPLIT(U134,",")))))</f>
        <v/>
      </c>
      <c r="IU134" s="19">
        <f>AND(IF(W134="",TRUE,IF(input_announcement_category="",FALSE,SUMPRODUCT(--ISNUMBER(SEARCH(","&amp;TRIM(TEXTSPLIT(W134,","))&amp;",",","&amp;SUBSTITUTE(input_announcement_category," ","")&amp;",")))&gt;0)),IF(Y134="",TRUE,IF(input_announcement_category="",FALSE,SUMPRODUCT(--ISNUMBER(SEARCH(","&amp;TRIM(TEXTSPLIT(Y134,","))&amp;",",","&amp;SUBSTITUTE(input_announcement_category," ","")&amp;",")))=COUNTA(TEXTSPLIT(Y134,",")))),IF(AA134="",TRUE,IF(input_announcement_category="",TRUE,SUMPRODUCT(--ISNUMBER(SEARCH(","&amp;TRIM(TEXTSPLIT(AA134,","))&amp;",",","&amp;SUBSTITUTE(input_announcement_category," ","")&amp;",")))=0)),IF(AC134="",TRUE,IF(input_announcement_category="",FALSE,SUMPRODUCT(--ISNUMBER(SEARCH(","&amp;TRIM(TEXTSPLIT(AC134,","))&amp;",",","&amp;SUBSTITUTE(input_announcement_category," ","")&amp;",")))&gt;0)),IF(AE134="",TRUE,IF(input_announcement_category="",FALSE,SUMPRODUCT(--ISNUMBER(SEARCH(","&amp;TRIM(TEXTSPLIT(AE134,","))&amp;",",","&amp;SUBSTITUTE(input_announcement_category," ","")&amp;",")))=COUNTA(TEXTSPLIT(AE134,",")))))</f>
        <v/>
      </c>
      <c r="IV134" s="19">
        <f>AND(IF(AG134="",TRUE,IF(input_area_of_focus="",FALSE,SUMPRODUCT(--ISNUMBER(SEARCH(","&amp;TRIM(TEXTSPLIT(AG134,","))&amp;",",","&amp;SUBSTITUTE(input_area_of_focus," ","")&amp;",")))&gt;0)),IF(AI134="",TRUE,IF(input_area_of_focus="",FALSE,SUMPRODUCT(--ISNUMBER(SEARCH(","&amp;TRIM(TEXTSPLIT(AI134,","))&amp;",",","&amp;SUBSTITUTE(input_area_of_focus," ","")&amp;",")))=COUNTA(TEXTSPLIT(AI134,",")))),IF(AK134="",TRUE,IF(input_area_of_focus="",TRUE,SUMPRODUCT(--ISNUMBER(SEARCH(","&amp;TRIM(TEXTSPLIT(AK134,","))&amp;",",","&amp;SUBSTITUTE(input_area_of_focus," ","")&amp;",")))=0)),IF(AM134="",TRUE,IF(input_area_of_focus="",FALSE,SUMPRODUCT(--ISNUMBER(SEARCH(","&amp;TRIM(TEXTSPLIT(AM134,","))&amp;",",","&amp;SUBSTITUTE(input_area_of_focus," ","")&amp;",")))&gt;0)),IF(AO134="",TRUE,IF(input_area_of_focus="",FALSE,SUMPRODUCT(--ISNUMBER(SEARCH(","&amp;TRIM(TEXTSPLIT(AO134,","))&amp;",",","&amp;SUBSTITUTE(input_area_of_focus," ","")&amp;",")))=COUNTA(TEXTSPLIT(AO134,",")))))</f>
        <v/>
      </c>
      <c r="IW134" s="19">
        <f>AND(IF(AQ134="",TRUE,IF(input_audience="",FALSE,SUMPRODUCT(--ISNUMBER(SEARCH(","&amp;TRIM(TEXTSPLIT(AQ134,","))&amp;",",","&amp;SUBSTITUTE(input_audience," ","")&amp;",")))&gt;0)),IF(AS134="",TRUE,IF(input_audience="",FALSE,SUMPRODUCT(--ISNUMBER(SEARCH(","&amp;TRIM(TEXTSPLIT(AS134,","))&amp;",",","&amp;SUBSTITUTE(input_audience," ","")&amp;",")))=COUNTA(TEXTSPLIT(AS134,",")))),IF(AU134="",TRUE,IF(input_audience="",TRUE,SUMPRODUCT(--ISNUMBER(SEARCH(","&amp;TRIM(TEXTSPLIT(AU134,","))&amp;",",","&amp;SUBSTITUTE(input_audience," ","")&amp;",")))=0)),IF(AW134="",TRUE,IF(input_audience="",FALSE,SUMPRODUCT(--ISNUMBER(SEARCH(","&amp;TRIM(TEXTSPLIT(AW134,","))&amp;",",","&amp;SUBSTITUTE(input_audience," ","")&amp;",")))&gt;0)),IF(AY134="",TRUE,IF(input_audience="",FALSE,SUMPRODUCT(--ISNUMBER(SEARCH(","&amp;TRIM(TEXTSPLIT(AY134,","))&amp;",",","&amp;SUBSTITUTE(input_audience," ","")&amp;",")))=COUNTA(TEXTSPLIT(AY134,",")))))</f>
        <v/>
      </c>
      <c r="IX134" s="19">
        <f>AND(IF(BA134="",TRUE,IF(input_challenge_opportunities="",FALSE,SUMPRODUCT(--ISNUMBER(SEARCH(","&amp;TRIM(TEXTSPLIT(BA134,","))&amp;",",","&amp;SUBSTITUTE(input_challenge_opportunities," ","")&amp;",")))&gt;0)),IF(BC134="",TRUE,IF(input_challenge_opportunities="",FALSE,SUMPRODUCT(--ISNUMBER(SEARCH(","&amp;TRIM(TEXTSPLIT(BC134,","))&amp;",",","&amp;SUBSTITUTE(input_challenge_opportunities," ","")&amp;",")))=COUNTA(TEXTSPLIT(BC134,",")))),IF(BE134="",TRUE,IF(input_challenge_opportunities="",TRUE,SUMPRODUCT(--ISNUMBER(SEARCH(","&amp;TRIM(TEXTSPLIT(BE134,","))&amp;",",","&amp;SUBSTITUTE(input_challenge_opportunities," ","")&amp;",")))=0)),IF(BG134="",TRUE,IF(input_challenge_opportunities="",FALSE,SUMPRODUCT(--ISNUMBER(SEARCH(","&amp;TRIM(TEXTSPLIT(BG134,","))&amp;",",","&amp;SUBSTITUTE(input_challenge_opportunities," ","")&amp;",")))&gt;0)),IF(BI134="",TRUE,IF(input_challenge_opportunities="",FALSE,SUMPRODUCT(--ISNUMBER(SEARCH(","&amp;TRIM(TEXTSPLIT(BI134,","))&amp;",",","&amp;SUBSTITUTE(input_challenge_opportunities," ","")&amp;",")))=COUNTA(TEXTSPLIT(BI134,",")))))</f>
        <v/>
      </c>
      <c r="IY134" s="19">
        <f>AND(IF(BK134="",TRUE,IF(input_context="",FALSE,SUMPRODUCT(--ISNUMBER(SEARCH(","&amp;TRIM(TEXTSPLIT(BK134,","))&amp;",",","&amp;SUBSTITUTE(input_context," ","")&amp;",")))&gt;0)),IF(BM134="",TRUE,IF(input_context="",FALSE,SUMPRODUCT(--ISNUMBER(SEARCH(","&amp;TRIM(TEXTSPLIT(BM134,","))&amp;",",","&amp;SUBSTITUTE(input_context," ","")&amp;",")))=COUNTA(TEXTSPLIT(BM134,",")))),IF(BO134="",TRUE,IF(input_context="",TRUE,SUMPRODUCT(--ISNUMBER(SEARCH(","&amp;TRIM(TEXTSPLIT(BO134,","))&amp;",",","&amp;SUBSTITUTE(input_context," ","")&amp;",")))=0)),IF(BQ134="",TRUE,IF(input_context="",FALSE,SUMPRODUCT(--ISNUMBER(SEARCH(","&amp;TRIM(TEXTSPLIT(BQ134,","))&amp;",",","&amp;SUBSTITUTE(input_context," ","")&amp;",")))&gt;0)),IF(BS134="",TRUE,IF(input_context="",FALSE,SUMPRODUCT(--ISNUMBER(SEARCH(","&amp;TRIM(TEXTSPLIT(BS134,","))&amp;",",","&amp;SUBSTITUTE(input_context," ","")&amp;",")))=COUNTA(TEXTSPLIT(BS134,",")))))</f>
        <v/>
      </c>
      <c r="IZ134" s="19">
        <f>AND(IF(BU134="",TRUE,IF(input_enews_announcement_type="",FALSE,SUMPRODUCT(--ISNUMBER(SEARCH(","&amp;TRIM(TEXTSPLIT(BU134,","))&amp;",",","&amp;SUBSTITUTE(input_enews_announcement_type," ","")&amp;",")))&gt;0)),IF(BW134="",TRUE,IF(input_enews_announcement_type="",FALSE,SUMPRODUCT(--ISNUMBER(SEARCH(","&amp;TRIM(TEXTSPLIT(BW134,","))&amp;",",","&amp;SUBSTITUTE(input_enews_announcement_type," ","")&amp;",")))=COUNTA(TEXTSPLIT(BW134,",")))),IF(BY134="",TRUE,IF(input_enews_announcement_type="",TRUE,SUMPRODUCT(--ISNUMBER(SEARCH(","&amp;TRIM(TEXTSPLIT(BY134,","))&amp;",",","&amp;SUBSTITUTE(input_enews_announcement_type," ","")&amp;",")))=0)),IF(CA134="",TRUE,IF(input_enews_announcement_type="",FALSE,SUMPRODUCT(--ISNUMBER(SEARCH(","&amp;TRIM(TEXTSPLIT(CA134,","))&amp;",",","&amp;SUBSTITUTE(input_enews_announcement_type," ","")&amp;",")))&gt;0)),IF(CC134="",TRUE,IF(input_enews_announcement_type="",FALSE,SUMPRODUCT(--ISNUMBER(SEARCH(","&amp;TRIM(TEXTSPLIT(CC134,","))&amp;",",","&amp;SUBSTITUTE(input_enews_announcement_type," ","")&amp;",")))=COUNTA(TEXTSPLIT(CC134,",")))))</f>
        <v/>
      </c>
      <c r="JA134" s="19">
        <f>AND(IF(CE134="",TRUE,IF(input_enews_audience="",FALSE,SUMPRODUCT(--ISNUMBER(SEARCH(","&amp;TRIM(TEXTSPLIT(CE134,","))&amp;",",","&amp;SUBSTITUTE(input_enews_audience," ","")&amp;",")))&gt;0)),IF(CG134="",TRUE,IF(input_enews_audience="",FALSE,SUMPRODUCT(--ISNUMBER(SEARCH(","&amp;TRIM(TEXTSPLIT(CG134,","))&amp;",",","&amp;SUBSTITUTE(input_enews_audience," ","")&amp;",")))=COUNTA(TEXTSPLIT(CG134,",")))),IF(CI134="",TRUE,IF(input_enews_audience="",TRUE,SUMPRODUCT(--ISNUMBER(SEARCH(","&amp;TRIM(TEXTSPLIT(CI134,","))&amp;",",","&amp;SUBSTITUTE(input_enews_audience," ","")&amp;",")))=0)),IF(CK134="",TRUE,IF(input_enews_audience="",FALSE,SUMPRODUCT(--ISNUMBER(SEARCH(","&amp;TRIM(TEXTSPLIT(CK134,","))&amp;",",","&amp;SUBSTITUTE(input_enews_audience," ","")&amp;",")))&gt;0)),IF(CM134="",TRUE,IF(input_enews_audience="",FALSE,SUMPRODUCT(--ISNUMBER(SEARCH(","&amp;TRIM(TEXTSPLIT(CM134,","))&amp;",",","&amp;SUBSTITUTE(input_enews_audience," ","")&amp;",")))=COUNTA(TEXTSPLIT(CM134,",")))))</f>
        <v/>
      </c>
      <c r="JB134" s="19">
        <f>AND(IF(CO134="",TRUE,IF(input_event_location="",FALSE,SUMPRODUCT(--ISNUMBER(SEARCH(","&amp;TRIM(TEXTSPLIT(CO134,","))&amp;",",","&amp;SUBSTITUTE(input_event_location," ","")&amp;",")))&gt;0)),IF(CQ134="",TRUE,IF(input_event_location="",FALSE,SUMPRODUCT(--ISNUMBER(SEARCH(","&amp;TRIM(TEXTSPLIT(CQ134,","))&amp;",",","&amp;SUBSTITUTE(input_event_location," ","")&amp;",")))=COUNTA(TEXTSPLIT(CQ134,",")))),IF(CS134="",TRUE,IF(input_event_location="",TRUE,SUMPRODUCT(--ISNUMBER(SEARCH(","&amp;TRIM(TEXTSPLIT(CS134,","))&amp;",",","&amp;SUBSTITUTE(input_event_location," ","")&amp;",")))=0)),IF(CU134="",TRUE,IF(input_event_location="",FALSE,SUMPRODUCT(--ISNUMBER(SEARCH(","&amp;TRIM(TEXTSPLIT(CU134,","))&amp;",",","&amp;SUBSTITUTE(input_event_location," ","")&amp;",")))&gt;0)),IF(CW134="",TRUE,IF(input_event_location="",FALSE,SUMPRODUCT(--ISNUMBER(SEARCH(","&amp;TRIM(TEXTSPLIT(CW134,","))&amp;",",","&amp;SUBSTITUTE(input_event_location," ","")&amp;",")))=COUNTA(TEXTSPLIT(CW134,",")))))</f>
        <v/>
      </c>
      <c r="JC134" s="19">
        <f>AND(IF(CY134="",TRUE,IF(input_event_type="",FALSE,SUMPRODUCT(--ISNUMBER(SEARCH(","&amp;TRIM(TEXTSPLIT(CY134,","))&amp;",",","&amp;SUBSTITUTE(input_event_type," ","")&amp;",")))&gt;0)),IF(DA134="",TRUE,IF(input_event_type="",FALSE,SUMPRODUCT(--ISNUMBER(SEARCH(","&amp;TRIM(TEXTSPLIT(DA134,","))&amp;",",","&amp;SUBSTITUTE(input_event_type," ","")&amp;",")))=COUNTA(TEXTSPLIT(DA134,",")))),IF(DC134="",TRUE,IF(input_event_type="",TRUE,SUMPRODUCT(--ISNUMBER(SEARCH(","&amp;TRIM(TEXTSPLIT(DC134,","))&amp;",",","&amp;SUBSTITUTE(input_event_type," ","")&amp;",")))=0)),IF(DE134="",TRUE,IF(input_event_type="",FALSE,SUMPRODUCT(--ISNUMBER(SEARCH(","&amp;TRIM(TEXTSPLIT(DE134,","))&amp;",",","&amp;SUBSTITUTE(input_event_type," ","")&amp;",")))&gt;0)),IF(DG134="",TRUE,IF(input_event_type="",FALSE,SUMPRODUCT(--ISNUMBER(SEARCH(","&amp;TRIM(TEXTSPLIT(DG134,","))&amp;",",","&amp;SUBSTITUTE(input_event_type," ","")&amp;",")))=COUNTA(TEXTSPLIT(DG134,",")))))</f>
        <v/>
      </c>
      <c r="JD134" s="19">
        <f>AND(IF(DI134="",TRUE,IF(input_executive_education_focus="",FALSE,SUMPRODUCT(--ISNUMBER(SEARCH(","&amp;TRIM(TEXTSPLIT(DI134,","))&amp;",",","&amp;SUBSTITUTE(input_executive_education_focus," ","")&amp;",")))&gt;0)),IF(DK134="",TRUE,IF(input_executive_education_focus="",FALSE,SUMPRODUCT(--ISNUMBER(SEARCH(","&amp;TRIM(TEXTSPLIT(DK134,","))&amp;",",","&amp;SUBSTITUTE(input_executive_education_focus," ","")&amp;",")))=COUNTA(TEXTSPLIT(DK134,",")))),IF(DM134="",TRUE,IF(input_executive_education_focus="",TRUE,SUMPRODUCT(--ISNUMBER(SEARCH(","&amp;TRIM(TEXTSPLIT(DM134,","))&amp;",",","&amp;SUBSTITUTE(input_executive_education_focus," ","")&amp;",")))=0)),IF(DO134="",TRUE,IF(input_executive_education_focus="",FALSE,SUMPRODUCT(--ISNUMBER(SEARCH(","&amp;TRIM(TEXTSPLIT(DO134,","))&amp;",",","&amp;SUBSTITUTE(input_executive_education_focus," ","")&amp;",")))&gt;0)),IF(DQ134="",TRUE,IF(input_executive_education_focus="",FALSE,SUMPRODUCT(--ISNUMBER(SEARCH(","&amp;TRIM(TEXTSPLIT(DQ134,","))&amp;",",","&amp;SUBSTITUTE(input_executive_education_focus," ","")&amp;",")))=COUNTA(TEXTSPLIT(DQ134,",")))))</f>
        <v/>
      </c>
      <c r="JE134" s="19">
        <f>AND(IF(DS134="",TRUE,IF(input_faculty_category="",FALSE,SUMPRODUCT(--ISNUMBER(SEARCH(","&amp;TRIM(TEXTSPLIT(DS134,","))&amp;",",","&amp;SUBSTITUTE(input_faculty_category," ","")&amp;",")))&gt;0)),IF(DU134="",TRUE,IF(input_faculty_category="",FALSE,SUMPRODUCT(--ISNUMBER(SEARCH(","&amp;TRIM(TEXTSPLIT(DU134,","))&amp;",",","&amp;SUBSTITUTE(input_faculty_category," ","")&amp;",")))=COUNTA(TEXTSPLIT(DU134,",")))),IF(DW134="",TRUE,IF(input_faculty_category="",TRUE,SUMPRODUCT(--ISNUMBER(SEARCH(","&amp;TRIM(TEXTSPLIT(DW134,","))&amp;",",","&amp;SUBSTITUTE(input_faculty_category," ","")&amp;",")))=0)),IF(DY134="",TRUE,IF(input_faculty_category="",FALSE,SUMPRODUCT(--ISNUMBER(SEARCH(","&amp;TRIM(TEXTSPLIT(DY134,","))&amp;",",","&amp;SUBSTITUTE(input_faculty_category," ","")&amp;",")))&gt;0)),IF(EA134="",TRUE,IF(input_faculty_category="",FALSE,SUMPRODUCT(--ISNUMBER(SEARCH(","&amp;TRIM(TEXTSPLIT(EA134,","))&amp;",",","&amp;SUBSTITUTE(input_faculty_category," ","")&amp;",")))=COUNTA(TEXTSPLIT(EA134,",")))))</f>
        <v/>
      </c>
      <c r="JF134" s="19">
        <f>AND(IF(EC134="",TRUE,IF(input_faculty_discipline="",FALSE,SUMPRODUCT(--ISNUMBER(SEARCH(","&amp;TRIM(TEXTSPLIT(EC134,","))&amp;",",","&amp;SUBSTITUTE(input_faculty_discipline," ","")&amp;",")))&gt;0)),IF(EE134="",TRUE,IF(input_faculty_discipline="",FALSE,SUMPRODUCT(--ISNUMBER(SEARCH(","&amp;TRIM(TEXTSPLIT(EE134,","))&amp;",",","&amp;SUBSTITUTE(input_faculty_discipline," ","")&amp;",")))=COUNTA(TEXTSPLIT(EE134,",")))),IF(EG134="",TRUE,IF(input_faculty_discipline="",TRUE,SUMPRODUCT(--ISNUMBER(SEARCH(","&amp;TRIM(TEXTSPLIT(EG134,","))&amp;",",","&amp;SUBSTITUTE(input_faculty_discipline," ","")&amp;",")))=0)),IF(EI134="",TRUE,IF(input_faculty_discipline="",FALSE,SUMPRODUCT(--ISNUMBER(SEARCH(","&amp;TRIM(TEXTSPLIT(EI134,","))&amp;",",","&amp;SUBSTITUTE(input_faculty_discipline," ","")&amp;",")))&gt;0)),IF(EK134="",TRUE,IF(input_faculty_discipline="",FALSE,SUMPRODUCT(--ISNUMBER(SEARCH(","&amp;TRIM(TEXTSPLIT(EK134,","))&amp;",",","&amp;SUBSTITUTE(input_faculty_discipline," ","")&amp;",")))=COUNTA(TEXTSPLIT(EK134,",")))))</f>
        <v/>
      </c>
      <c r="JG134" s="19">
        <f>AND(IF(EM134="",TRUE,IF(input_faculty_expertise="",FALSE,SUMPRODUCT(--ISNUMBER(SEARCH(","&amp;TRIM(TEXTSPLIT(EM134,","))&amp;",",","&amp;SUBSTITUTE(input_faculty_expertise," ","")&amp;",")))&gt;0)),IF(EO134="",TRUE,IF(input_faculty_expertise="",FALSE,SUMPRODUCT(--ISNUMBER(SEARCH(","&amp;TRIM(TEXTSPLIT(EO134,","))&amp;",",","&amp;SUBSTITUTE(input_faculty_expertise," ","")&amp;",")))=COUNTA(TEXTSPLIT(EO134,",")))),IF(EQ134="",TRUE,IF(input_faculty_expertise="",TRUE,SUMPRODUCT(--ISNUMBER(SEARCH(","&amp;TRIM(TEXTSPLIT(EQ134,","))&amp;",",","&amp;SUBSTITUTE(input_faculty_expertise," ","")&amp;",")))=0)),IF(ES134="",TRUE,IF(input_faculty_expertise="",FALSE,SUMPRODUCT(--ISNUMBER(SEARCH(","&amp;TRIM(TEXTSPLIT(ES134,","))&amp;",",","&amp;SUBSTITUTE(input_faculty_expertise," ","")&amp;",")))&gt;0)),IF(EU134="",TRUE,IF(input_faculty_expertise="",FALSE,SUMPRODUCT(--ISNUMBER(SEARCH(","&amp;TRIM(TEXTSPLIT(EU134,","))&amp;",",","&amp;SUBSTITUTE(input_faculty_expertise," ","")&amp;",")))=COUNTA(TEXTSPLIT(EU134,",")))))</f>
        <v/>
      </c>
      <c r="JH134" s="19">
        <f>AND(IF(EW134="",TRUE,IF(input_global_network_school="",FALSE,SUMPRODUCT(--ISNUMBER(SEARCH(","&amp;TRIM(TEXTSPLIT(EW134,","))&amp;",",","&amp;SUBSTITUTE(input_global_network_school," ","")&amp;",")))&gt;0)),IF(EY134="",TRUE,IF(input_global_network_school="",FALSE,SUMPRODUCT(--ISNUMBER(SEARCH(","&amp;TRIM(TEXTSPLIT(EY134,","))&amp;",",","&amp;SUBSTITUTE(input_global_network_school," ","")&amp;",")))=COUNTA(TEXTSPLIT(EY134,",")))),IF(FA134="",TRUE,IF(input_global_network_school="",TRUE,SUMPRODUCT(--ISNUMBER(SEARCH(","&amp;TRIM(TEXTSPLIT(FA134,","))&amp;",",","&amp;SUBSTITUTE(input_global_network_school," ","")&amp;",")))=0)),IF(FC134="",TRUE,IF(input_global_network_school="",FALSE,SUMPRODUCT(--ISNUMBER(SEARCH(","&amp;TRIM(TEXTSPLIT(FC134,","))&amp;",",","&amp;SUBSTITUTE(input_global_network_school," ","")&amp;",")))&gt;0)),IF(FE134="",TRUE,IF(input_global_network_school="",FALSE,SUMPRODUCT(--ISNUMBER(SEARCH(","&amp;TRIM(TEXTSPLIT(FE134,","))&amp;",",","&amp;SUBSTITUTE(input_global_network_school," ","")&amp;",")))=COUNTA(TEXTSPLIT(FE134,",")))))</f>
        <v/>
      </c>
      <c r="JI134" s="19">
        <f>AND(IF(FG134="",TRUE,IF(input_industry="",FALSE,SUMPRODUCT(--ISNUMBER(SEARCH(","&amp;TRIM(TEXTSPLIT(FG134,","))&amp;",",","&amp;SUBSTITUTE(input_industry," ","")&amp;",")))&gt;0)),IF(FI134="",TRUE,IF(input_industry="",FALSE,SUMPRODUCT(--ISNUMBER(SEARCH(","&amp;TRIM(TEXTSPLIT(FI134,","))&amp;",",","&amp;SUBSTITUTE(input_industry," ","")&amp;",")))=COUNTA(TEXTSPLIT(FI134,",")))),IF(FK134="",TRUE,IF(input_industry="",TRUE,SUMPRODUCT(--ISNUMBER(SEARCH(","&amp;TRIM(TEXTSPLIT(FK134,","))&amp;",",","&amp;SUBSTITUTE(input_industry," ","")&amp;",")))=0)),IF(FM134="",TRUE,IF(input_industry="",FALSE,SUMPRODUCT(--ISNUMBER(SEARCH(","&amp;TRIM(TEXTSPLIT(FM134,","))&amp;",",","&amp;SUBSTITUTE(input_industry," ","")&amp;",")))&gt;0)),IF(FO134="",TRUE,IF(input_industry="",FALSE,SUMPRODUCT(--ISNUMBER(SEARCH(","&amp;TRIM(TEXTSPLIT(FO134,","))&amp;",",","&amp;SUBSTITUTE(input_industry," ","")&amp;",")))=COUNTA(TEXTSPLIT(FO134,",")))))</f>
        <v/>
      </c>
      <c r="JJ134" s="19">
        <f>AND(IF(FQ134="",TRUE,IF(input_location="",FALSE,SUMPRODUCT(--ISNUMBER(SEARCH(","&amp;TRIM(TEXTSPLIT(FQ134,","))&amp;",",","&amp;SUBSTITUTE(input_location," ","")&amp;",")))&gt;0)),IF(FS134="",TRUE,IF(input_location="",FALSE,SUMPRODUCT(--ISNUMBER(SEARCH(","&amp;TRIM(TEXTSPLIT(FS134,","))&amp;",",","&amp;SUBSTITUTE(input_location," ","")&amp;",")))=COUNTA(TEXTSPLIT(FS134,",")))),IF(FU134="",TRUE,IF(input_location="",TRUE,SUMPRODUCT(--ISNUMBER(SEARCH(","&amp;TRIM(TEXTSPLIT(FU134,","))&amp;",",","&amp;SUBSTITUTE(input_location," ","")&amp;",")))=0)),IF(FW134="",TRUE,IF(input_location="",FALSE,SUMPRODUCT(--ISNUMBER(SEARCH(","&amp;TRIM(TEXTSPLIT(FW134,","))&amp;",",","&amp;SUBSTITUTE(input_location," ","")&amp;",")))&gt;0)),IF(FY134="",TRUE,IF(input_location="",FALSE,SUMPRODUCT(--ISNUMBER(SEARCH(","&amp;TRIM(TEXTSPLIT(FY134,","))&amp;",",","&amp;SUBSTITUTE(input_location," ","")&amp;",")))=COUNTA(TEXTSPLIT(FY134,",")))))</f>
        <v/>
      </c>
      <c r="JK134" s="19">
        <f>AND(IF(GA134="",TRUE,IF(input_modality="",FALSE,SUMPRODUCT(--ISNUMBER(SEARCH(","&amp;TRIM(TEXTSPLIT(GA134,","))&amp;",",","&amp;SUBSTITUTE(input_modality," ","")&amp;",")))&gt;0)),IF(GC134="",TRUE,IF(input_modality="",FALSE,SUMPRODUCT(--ISNUMBER(SEARCH(","&amp;TRIM(TEXTSPLIT(GC134,","))&amp;",",","&amp;SUBSTITUTE(input_modality," ","")&amp;",")))=COUNTA(TEXTSPLIT(GC134,",")))),IF(GE134="",TRUE,IF(input_modality="",TRUE,SUMPRODUCT(--ISNUMBER(SEARCH(","&amp;TRIM(TEXTSPLIT(GE134,","))&amp;",",","&amp;SUBSTITUTE(input_modality," ","")&amp;",")))=0)),IF(GG134="",TRUE,IF(input_modality="",FALSE,SUMPRODUCT(--ISNUMBER(SEARCH(","&amp;TRIM(TEXTSPLIT(GG134,","))&amp;",",","&amp;SUBSTITUTE(input_modality," ","")&amp;",")))&gt;0)),IF(GI134="",TRUE,IF(input_modality="",FALSE,SUMPRODUCT(--ISNUMBER(SEARCH(","&amp;TRIM(TEXTSPLIT(GI134,","))&amp;",",","&amp;SUBSTITUTE(input_modality," ","")&amp;",")))=COUNTA(TEXTSPLIT(GI134,",")))))</f>
        <v/>
      </c>
      <c r="JL134" s="19">
        <f>AND(IF(GK134="",TRUE,IF(input_organizer="",FALSE,SUMPRODUCT(--ISNUMBER(SEARCH(","&amp;TRIM(TEXTSPLIT(GK134,","))&amp;",",","&amp;SUBSTITUTE(input_organizer," ","")&amp;",")))&gt;0)),IF(GM134="",TRUE,IF(input_organizer="",FALSE,SUMPRODUCT(--ISNUMBER(SEARCH(","&amp;TRIM(TEXTSPLIT(GM134,","))&amp;",",","&amp;SUBSTITUTE(input_organizer," ","")&amp;",")))=COUNTA(TEXTSPLIT(GM134,",")))),IF(GO134="",TRUE,IF(input_organizer="",TRUE,SUMPRODUCT(--ISNUMBER(SEARCH(","&amp;TRIM(TEXTSPLIT(GO134,","))&amp;",",","&amp;SUBSTITUTE(input_organizer," ","")&amp;",")))=0)),IF(GQ134="",TRUE,IF(input_organizer="",FALSE,SUMPRODUCT(--ISNUMBER(SEARCH(","&amp;TRIM(TEXTSPLIT(GQ134,","))&amp;",",","&amp;SUBSTITUTE(input_organizer," ","")&amp;",")))&gt;0)),IF(GS134="",TRUE,IF(input_organizer="",FALSE,SUMPRODUCT(--ISNUMBER(SEARCH(","&amp;TRIM(TEXTSPLIT(GS134,","))&amp;",",","&amp;SUBSTITUTE(input_organizer," ","")&amp;",")))=COUNTA(TEXTSPLIT(GS134,",")))))</f>
        <v/>
      </c>
      <c r="JM134" s="19">
        <f>AND(IF(GU134="",TRUE,IF(input_profile_type="",FALSE,SUMPRODUCT(--ISNUMBER(SEARCH(","&amp;TRIM(TEXTSPLIT(GU134,","))&amp;",",","&amp;SUBSTITUTE(input_profile_type," ","")&amp;",")))&gt;0)),IF(GW134="",TRUE,IF(input_profile_type="",FALSE,SUMPRODUCT(--ISNUMBER(SEARCH(","&amp;TRIM(TEXTSPLIT(GW134,","))&amp;",",","&amp;SUBSTITUTE(input_profile_type," ","")&amp;",")))=COUNTA(TEXTSPLIT(GW134,",")))),IF(GY134="",TRUE,IF(input_profile_type="",TRUE,SUMPRODUCT(--ISNUMBER(SEARCH(","&amp;TRIM(TEXTSPLIT(GY134,","))&amp;",",","&amp;SUBSTITUTE(input_profile_type," ","")&amp;",")))=0)),IF(HA134="",TRUE,IF(input_profile_type="",FALSE,SUMPRODUCT(--ISNUMBER(SEARCH(","&amp;TRIM(TEXTSPLIT(HA134,","))&amp;",",","&amp;SUBSTITUTE(input_profile_type," ","")&amp;",")))&gt;0)),IF(HC134="",TRUE,IF(input_profile_type="",FALSE,SUMPRODUCT(--ISNUMBER(SEARCH(","&amp;TRIM(TEXTSPLIT(HC134,","))&amp;",",","&amp;SUBSTITUTE(input_profile_type," ","")&amp;",")))=COUNTA(TEXTSPLIT(HC134,",")))))</f>
        <v/>
      </c>
      <c r="JN134" s="19">
        <f>AND(IF(HE134="",TRUE,IF(input_program="",FALSE,SUMPRODUCT(--ISNUMBER(SEARCH(","&amp;TRIM(TEXTSPLIT(HE134,","))&amp;",",","&amp;SUBSTITUTE(input_program," ","")&amp;",")))&gt;0)),IF(HG134="",TRUE,IF(input_program="",FALSE,SUMPRODUCT(--ISNUMBER(SEARCH(","&amp;TRIM(TEXTSPLIT(HG134,","))&amp;",",","&amp;SUBSTITUTE(input_program," ","")&amp;",")))=COUNTA(TEXTSPLIT(HG134,",")))),IF(HI134="",TRUE,IF(input_program="",TRUE,SUMPRODUCT(--ISNUMBER(SEARCH(","&amp;TRIM(TEXTSPLIT(HI134,","))&amp;",",","&amp;SUBSTITUTE(input_program," ","")&amp;",")))=0)),IF(HK134="",TRUE,IF(input_program="",FALSE,SUMPRODUCT(--ISNUMBER(SEARCH(","&amp;TRIM(TEXTSPLIT(HK134,","))&amp;",",","&amp;SUBSTITUTE(input_program," ","")&amp;",")))&gt;0)),IF(HM134="",TRUE,IF(input_program="",FALSE,SUMPRODUCT(--ISNUMBER(SEARCH(","&amp;TRIM(TEXTSPLIT(HM134,","))&amp;",",","&amp;SUBSTITUTE(input_program," ","")&amp;",")))=COUNTA(TEXTSPLIT(HM134,",")))))</f>
        <v/>
      </c>
      <c r="JO134" s="19">
        <f>AND(IF(HO134="",TRUE,IF(input_story_categories="",FALSE,SUMPRODUCT(--ISNUMBER(SEARCH(","&amp;TRIM(TEXTSPLIT(HO134,","))&amp;",",","&amp;SUBSTITUTE(input_story_categories," ","")&amp;",")))&gt;0)),IF(HQ134="",TRUE,IF(input_story_categories="",FALSE,SUMPRODUCT(--ISNUMBER(SEARCH(","&amp;TRIM(TEXTSPLIT(HQ134,","))&amp;",",","&amp;SUBSTITUTE(input_story_categories," ","")&amp;",")))=COUNTA(TEXTSPLIT(HQ134,",")))),IF(HS134="",TRUE,IF(input_story_categories="",TRUE,SUMPRODUCT(--ISNUMBER(SEARCH(","&amp;TRIM(TEXTSPLIT(HS134,","))&amp;",",","&amp;SUBSTITUTE(input_story_categories," ","")&amp;",")))=0)),IF(HU134="",TRUE,IF(input_story_categories="",FALSE,SUMPRODUCT(--ISNUMBER(SEARCH(","&amp;TRIM(TEXTSPLIT(HU134,","))&amp;",",","&amp;SUBSTITUTE(input_story_categories," ","")&amp;",")))&gt;0)),IF(HW134="",TRUE,IF(input_story_categories="",FALSE,SUMPRODUCT(--ISNUMBER(SEARCH(","&amp;TRIM(TEXTSPLIT(HW134,","))&amp;",",","&amp;SUBSTITUTE(input_story_categories," ","")&amp;",")))=COUNTA(TEXTSPLIT(HW134,",")))))</f>
        <v/>
      </c>
      <c r="JP134" s="19">
        <f>AND(IF(HY134="",TRUE,IF(input_story_type="",FALSE,SUMPRODUCT(--ISNUMBER(SEARCH(","&amp;TRIM(TEXTSPLIT(HY134,","))&amp;",",","&amp;SUBSTITUTE(input_story_type," ","")&amp;",")))&gt;0)),IF(IA134="",TRUE,IF(input_story_type="",FALSE,SUMPRODUCT(--ISNUMBER(SEARCH(","&amp;TRIM(TEXTSPLIT(IA134,","))&amp;",",","&amp;SUBSTITUTE(input_story_type," ","")&amp;",")))=COUNTA(TEXTSPLIT(IA134,",")))),IF(IC134="",TRUE,IF(input_story_type="",TRUE,SUMPRODUCT(--ISNUMBER(SEARCH(","&amp;TRIM(TEXTSPLIT(IC134,","))&amp;",",","&amp;SUBSTITUTE(input_story_type," ","")&amp;",")))=0)),IF(IE134="",TRUE,IF(input_story_type="",FALSE,SUMPRODUCT(--ISNUMBER(SEARCH(","&amp;TRIM(TEXTSPLIT(IE134,","))&amp;",",","&amp;SUBSTITUTE(input_story_type," ","")&amp;",")))&gt;0)),IF(IG134="",TRUE,IF(input_story_type="",FALSE,SUMPRODUCT(--ISNUMBER(SEARCH(","&amp;TRIM(TEXTSPLIT(IG134,","))&amp;",",","&amp;SUBSTITUTE(input_story_type," ","")&amp;",")))=COUNTA(TEXTSPLIT(IG134,",")))))</f>
        <v/>
      </c>
      <c r="JQ134" s="19">
        <f>AND(IF(II134="",TRUE,IF(input_topics="",FALSE,SUMPRODUCT(--ISNUMBER(SEARCH(","&amp;TRIM(TEXTSPLIT(II134,","))&amp;",",","&amp;SUBSTITUTE(input_topics," ","")&amp;",")))&gt;0)),IF(IK134="",TRUE,IF(input_topics="",FALSE,SUMPRODUCT(--ISNUMBER(SEARCH(","&amp;TRIM(TEXTSPLIT(IK134,","))&amp;",",","&amp;SUBSTITUTE(input_topics," ","")&amp;",")))=COUNTA(TEXTSPLIT(IK134,",")))),IF(IM134="",TRUE,IF(input_topics="",TRUE,SUMPRODUCT(--ISNUMBER(SEARCH(","&amp;TRIM(TEXTSPLIT(IM134,","))&amp;",",","&amp;SUBSTITUTE(input_topics," ","")&amp;",")))=0)),IF(IO134="",TRUE,IF(input_topics="",FALSE,SUMPRODUCT(--ISNUMBER(SEARCH(","&amp;TRIM(TEXTSPLIT(IO134,","))&amp;",",","&amp;SUBSTITUTE(input_topics," ","")&amp;",")))&gt;0)),IF(IQ134="",TRUE,IF(input_topics="",FALSE,SUMPRODUCT(--ISNUMBER(SEARCH(","&amp;TRIM(TEXTSPLIT(IQ134,","))&amp;",",","&amp;SUBSTITUTE(input_topics," ","")&amp;",")))=COUNTA(TEXTSPLIT(IQ134,",")))))</f>
        <v/>
      </c>
    </row>
    <row r="135">
      <c r="A135" s="24">
        <f>IF(NOT(IS135),"Excluded",IF(AND(IT135,IU135,IV135,IW135,IX135,IY135,IZ135,JA135,JB135,JC135,JD135,JE135,JF135,JG135,JH135,JI135,JJ135,JK135,JL135,JM135,JN135,JO135,JP135,JQ135),IF(I135&gt;0,"Eligible but limited","Will appear"),"Excluded"))</f>
        <v/>
      </c>
      <c r="B135" s="24" t="inlineStr">
        <is>
          <t>News</t>
        </is>
      </c>
      <c r="C135" s="27" t="inlineStr">
        <is>
          <t>/centers/program-stakeholder-innovation-and-management/news/news</t>
        </is>
      </c>
      <c r="D135" s="24" t="inlineStr">
        <is>
          <t>/centers/program-stakeholder-innovation-and-management/news/news</t>
        </is>
      </c>
      <c r="E135" s="24" t="n">
        <v>1</v>
      </c>
      <c r="F135" s="24" t="inlineStr">
        <is>
          <t>story</t>
        </is>
      </c>
      <c r="G135" s="24" t="inlineStr">
        <is>
          <t>stories_list</t>
        </is>
      </c>
      <c r="H135" s="24" t="inlineStr">
        <is>
          <t>embed_news</t>
        </is>
      </c>
      <c r="I135" s="24" t="n">
        <v>10</v>
      </c>
      <c r="J135" s="28" t="inlineStr">
        <is>
          <t>Explicit args</t>
        </is>
      </c>
      <c r="K135" s="24" t="inlineStr">
        <is>
          <t>Page placement</t>
        </is>
      </c>
      <c r="L135" s="24" t="inlineStr">
        <is>
          <t>Content type: story; Context uses Courses Context: Program on Stakeholder Innovation and Management (1161); Needs any Story Type: News (924); Limited to 10 item(s); Source: Explicit args</t>
        </is>
      </c>
      <c r="BQ135" s="19" t="inlineStr">
        <is>
          <t>1161</t>
        </is>
      </c>
      <c r="BR135" s="19" t="inlineStr">
        <is>
          <t>Program on Stakeholder Innovation and Management (1161)</t>
        </is>
      </c>
      <c r="HY135" s="19" t="inlineStr">
        <is>
          <t>924</t>
        </is>
      </c>
      <c r="HZ135" s="19" t="inlineStr">
        <is>
          <t>News (924)</t>
        </is>
      </c>
      <c r="IS135" s="19">
        <f>IF(input_content_type="",FALSE,ISNUMBER(SEARCH(","&amp;LOWER(input_content_type)&amp;",",","&amp;LOWER(SUBSTITUTE(F135," ",""))&amp;",")))</f>
        <v/>
      </c>
      <c r="IT135" s="19">
        <f>AND(IF(M135="",TRUE,IF(input_affiliations="",FALSE,SUMPRODUCT(--ISNUMBER(SEARCH(","&amp;TRIM(TEXTSPLIT(M135,","))&amp;",",","&amp;SUBSTITUTE(input_affiliations," ","")&amp;",")))&gt;0)),IF(O135="",TRUE,IF(input_affiliations="",FALSE,SUMPRODUCT(--ISNUMBER(SEARCH(","&amp;TRIM(TEXTSPLIT(O135,","))&amp;",",","&amp;SUBSTITUTE(input_affiliations," ","")&amp;",")))=COUNTA(TEXTSPLIT(O135,",")))),IF(Q135="",TRUE,IF(input_affiliations="",TRUE,SUMPRODUCT(--ISNUMBER(SEARCH(","&amp;TRIM(TEXTSPLIT(Q135,","))&amp;",",","&amp;SUBSTITUTE(input_affiliations," ","")&amp;",")))=0)),IF(S135="",TRUE,IF(input_affiliations="",FALSE,SUMPRODUCT(--ISNUMBER(SEARCH(","&amp;TRIM(TEXTSPLIT(S135,","))&amp;",",","&amp;SUBSTITUTE(input_affiliations," ","")&amp;",")))&gt;0)),IF(U135="",TRUE,IF(input_affiliations="",FALSE,SUMPRODUCT(--ISNUMBER(SEARCH(","&amp;TRIM(TEXTSPLIT(U135,","))&amp;",",","&amp;SUBSTITUTE(input_affiliations," ","")&amp;",")))=COUNTA(TEXTSPLIT(U135,",")))))</f>
        <v/>
      </c>
      <c r="IU135" s="19">
        <f>AND(IF(W135="",TRUE,IF(input_announcement_category="",FALSE,SUMPRODUCT(--ISNUMBER(SEARCH(","&amp;TRIM(TEXTSPLIT(W135,","))&amp;",",","&amp;SUBSTITUTE(input_announcement_category," ","")&amp;",")))&gt;0)),IF(Y135="",TRUE,IF(input_announcement_category="",FALSE,SUMPRODUCT(--ISNUMBER(SEARCH(","&amp;TRIM(TEXTSPLIT(Y135,","))&amp;",",","&amp;SUBSTITUTE(input_announcement_category," ","")&amp;",")))=COUNTA(TEXTSPLIT(Y135,",")))),IF(AA135="",TRUE,IF(input_announcement_category="",TRUE,SUMPRODUCT(--ISNUMBER(SEARCH(","&amp;TRIM(TEXTSPLIT(AA135,","))&amp;",",","&amp;SUBSTITUTE(input_announcement_category," ","")&amp;",")))=0)),IF(AC135="",TRUE,IF(input_announcement_category="",FALSE,SUMPRODUCT(--ISNUMBER(SEARCH(","&amp;TRIM(TEXTSPLIT(AC135,","))&amp;",",","&amp;SUBSTITUTE(input_announcement_category," ","")&amp;",")))&gt;0)),IF(AE135="",TRUE,IF(input_announcement_category="",FALSE,SUMPRODUCT(--ISNUMBER(SEARCH(","&amp;TRIM(TEXTSPLIT(AE135,","))&amp;",",","&amp;SUBSTITUTE(input_announcement_category," ","")&amp;",")))=COUNTA(TEXTSPLIT(AE135,",")))))</f>
        <v/>
      </c>
      <c r="IV135" s="19">
        <f>AND(IF(AG135="",TRUE,IF(input_area_of_focus="",FALSE,SUMPRODUCT(--ISNUMBER(SEARCH(","&amp;TRIM(TEXTSPLIT(AG135,","))&amp;",",","&amp;SUBSTITUTE(input_area_of_focus," ","")&amp;",")))&gt;0)),IF(AI135="",TRUE,IF(input_area_of_focus="",FALSE,SUMPRODUCT(--ISNUMBER(SEARCH(","&amp;TRIM(TEXTSPLIT(AI135,","))&amp;",",","&amp;SUBSTITUTE(input_area_of_focus," ","")&amp;",")))=COUNTA(TEXTSPLIT(AI135,",")))),IF(AK135="",TRUE,IF(input_area_of_focus="",TRUE,SUMPRODUCT(--ISNUMBER(SEARCH(","&amp;TRIM(TEXTSPLIT(AK135,","))&amp;",",","&amp;SUBSTITUTE(input_area_of_focus," ","")&amp;",")))=0)),IF(AM135="",TRUE,IF(input_area_of_focus="",FALSE,SUMPRODUCT(--ISNUMBER(SEARCH(","&amp;TRIM(TEXTSPLIT(AM135,","))&amp;",",","&amp;SUBSTITUTE(input_area_of_focus," ","")&amp;",")))&gt;0)),IF(AO135="",TRUE,IF(input_area_of_focus="",FALSE,SUMPRODUCT(--ISNUMBER(SEARCH(","&amp;TRIM(TEXTSPLIT(AO135,","))&amp;",",","&amp;SUBSTITUTE(input_area_of_focus," ","")&amp;",")))=COUNTA(TEXTSPLIT(AO135,",")))))</f>
        <v/>
      </c>
      <c r="IW135" s="19">
        <f>AND(IF(AQ135="",TRUE,IF(input_audience="",FALSE,SUMPRODUCT(--ISNUMBER(SEARCH(","&amp;TRIM(TEXTSPLIT(AQ135,","))&amp;",",","&amp;SUBSTITUTE(input_audience," ","")&amp;",")))&gt;0)),IF(AS135="",TRUE,IF(input_audience="",FALSE,SUMPRODUCT(--ISNUMBER(SEARCH(","&amp;TRIM(TEXTSPLIT(AS135,","))&amp;",",","&amp;SUBSTITUTE(input_audience," ","")&amp;",")))=COUNTA(TEXTSPLIT(AS135,",")))),IF(AU135="",TRUE,IF(input_audience="",TRUE,SUMPRODUCT(--ISNUMBER(SEARCH(","&amp;TRIM(TEXTSPLIT(AU135,","))&amp;",",","&amp;SUBSTITUTE(input_audience," ","")&amp;",")))=0)),IF(AW135="",TRUE,IF(input_audience="",FALSE,SUMPRODUCT(--ISNUMBER(SEARCH(","&amp;TRIM(TEXTSPLIT(AW135,","))&amp;",",","&amp;SUBSTITUTE(input_audience," ","")&amp;",")))&gt;0)),IF(AY135="",TRUE,IF(input_audience="",FALSE,SUMPRODUCT(--ISNUMBER(SEARCH(","&amp;TRIM(TEXTSPLIT(AY135,","))&amp;",",","&amp;SUBSTITUTE(input_audience," ","")&amp;",")))=COUNTA(TEXTSPLIT(AY135,",")))))</f>
        <v/>
      </c>
      <c r="IX135" s="19">
        <f>AND(IF(BA135="",TRUE,IF(input_challenge_opportunities="",FALSE,SUMPRODUCT(--ISNUMBER(SEARCH(","&amp;TRIM(TEXTSPLIT(BA135,","))&amp;",",","&amp;SUBSTITUTE(input_challenge_opportunities," ","")&amp;",")))&gt;0)),IF(BC135="",TRUE,IF(input_challenge_opportunities="",FALSE,SUMPRODUCT(--ISNUMBER(SEARCH(","&amp;TRIM(TEXTSPLIT(BC135,","))&amp;",",","&amp;SUBSTITUTE(input_challenge_opportunities," ","")&amp;",")))=COUNTA(TEXTSPLIT(BC135,",")))),IF(BE135="",TRUE,IF(input_challenge_opportunities="",TRUE,SUMPRODUCT(--ISNUMBER(SEARCH(","&amp;TRIM(TEXTSPLIT(BE135,","))&amp;",",","&amp;SUBSTITUTE(input_challenge_opportunities," ","")&amp;",")))=0)),IF(BG135="",TRUE,IF(input_challenge_opportunities="",FALSE,SUMPRODUCT(--ISNUMBER(SEARCH(","&amp;TRIM(TEXTSPLIT(BG135,","))&amp;",",","&amp;SUBSTITUTE(input_challenge_opportunities," ","")&amp;",")))&gt;0)),IF(BI135="",TRUE,IF(input_challenge_opportunities="",FALSE,SUMPRODUCT(--ISNUMBER(SEARCH(","&amp;TRIM(TEXTSPLIT(BI135,","))&amp;",",","&amp;SUBSTITUTE(input_challenge_opportunities," ","")&amp;",")))=COUNTA(TEXTSPLIT(BI135,",")))))</f>
        <v/>
      </c>
      <c r="IY135" s="19">
        <f>AND(IF(BK135="",TRUE,IF(input_context="",FALSE,SUMPRODUCT(--ISNUMBER(SEARCH(","&amp;TRIM(TEXTSPLIT(BK135,","))&amp;",",","&amp;SUBSTITUTE(input_context," ","")&amp;",")))&gt;0)),IF(BM135="",TRUE,IF(input_context="",FALSE,SUMPRODUCT(--ISNUMBER(SEARCH(","&amp;TRIM(TEXTSPLIT(BM135,","))&amp;",",","&amp;SUBSTITUTE(input_context," ","")&amp;",")))=COUNTA(TEXTSPLIT(BM135,",")))),IF(BO135="",TRUE,IF(input_context="",TRUE,SUMPRODUCT(--ISNUMBER(SEARCH(","&amp;TRIM(TEXTSPLIT(BO135,","))&amp;",",","&amp;SUBSTITUTE(input_context," ","")&amp;",")))=0)),IF(BQ135="",TRUE,IF(input_context="",FALSE,SUMPRODUCT(--ISNUMBER(SEARCH(","&amp;TRIM(TEXTSPLIT(BQ135,","))&amp;",",","&amp;SUBSTITUTE(input_context," ","")&amp;",")))&gt;0)),IF(BS135="",TRUE,IF(input_context="",FALSE,SUMPRODUCT(--ISNUMBER(SEARCH(","&amp;TRIM(TEXTSPLIT(BS135,","))&amp;",",","&amp;SUBSTITUTE(input_context," ","")&amp;",")))=COUNTA(TEXTSPLIT(BS135,",")))))</f>
        <v/>
      </c>
      <c r="IZ135" s="19">
        <f>AND(IF(BU135="",TRUE,IF(input_enews_announcement_type="",FALSE,SUMPRODUCT(--ISNUMBER(SEARCH(","&amp;TRIM(TEXTSPLIT(BU135,","))&amp;",",","&amp;SUBSTITUTE(input_enews_announcement_type," ","")&amp;",")))&gt;0)),IF(BW135="",TRUE,IF(input_enews_announcement_type="",FALSE,SUMPRODUCT(--ISNUMBER(SEARCH(","&amp;TRIM(TEXTSPLIT(BW135,","))&amp;",",","&amp;SUBSTITUTE(input_enews_announcement_type," ","")&amp;",")))=COUNTA(TEXTSPLIT(BW135,",")))),IF(BY135="",TRUE,IF(input_enews_announcement_type="",TRUE,SUMPRODUCT(--ISNUMBER(SEARCH(","&amp;TRIM(TEXTSPLIT(BY135,","))&amp;",",","&amp;SUBSTITUTE(input_enews_announcement_type," ","")&amp;",")))=0)),IF(CA135="",TRUE,IF(input_enews_announcement_type="",FALSE,SUMPRODUCT(--ISNUMBER(SEARCH(","&amp;TRIM(TEXTSPLIT(CA135,","))&amp;",",","&amp;SUBSTITUTE(input_enews_announcement_type," ","")&amp;",")))&gt;0)),IF(CC135="",TRUE,IF(input_enews_announcement_type="",FALSE,SUMPRODUCT(--ISNUMBER(SEARCH(","&amp;TRIM(TEXTSPLIT(CC135,","))&amp;",",","&amp;SUBSTITUTE(input_enews_announcement_type," ","")&amp;",")))=COUNTA(TEXTSPLIT(CC135,",")))))</f>
        <v/>
      </c>
      <c r="JA135" s="19">
        <f>AND(IF(CE135="",TRUE,IF(input_enews_audience="",FALSE,SUMPRODUCT(--ISNUMBER(SEARCH(","&amp;TRIM(TEXTSPLIT(CE135,","))&amp;",",","&amp;SUBSTITUTE(input_enews_audience," ","")&amp;",")))&gt;0)),IF(CG135="",TRUE,IF(input_enews_audience="",FALSE,SUMPRODUCT(--ISNUMBER(SEARCH(","&amp;TRIM(TEXTSPLIT(CG135,","))&amp;",",","&amp;SUBSTITUTE(input_enews_audience," ","")&amp;",")))=COUNTA(TEXTSPLIT(CG135,",")))),IF(CI135="",TRUE,IF(input_enews_audience="",TRUE,SUMPRODUCT(--ISNUMBER(SEARCH(","&amp;TRIM(TEXTSPLIT(CI135,","))&amp;",",","&amp;SUBSTITUTE(input_enews_audience," ","")&amp;",")))=0)),IF(CK135="",TRUE,IF(input_enews_audience="",FALSE,SUMPRODUCT(--ISNUMBER(SEARCH(","&amp;TRIM(TEXTSPLIT(CK135,","))&amp;",",","&amp;SUBSTITUTE(input_enews_audience," ","")&amp;",")))&gt;0)),IF(CM135="",TRUE,IF(input_enews_audience="",FALSE,SUMPRODUCT(--ISNUMBER(SEARCH(","&amp;TRIM(TEXTSPLIT(CM135,","))&amp;",",","&amp;SUBSTITUTE(input_enews_audience," ","")&amp;",")))=COUNTA(TEXTSPLIT(CM135,",")))))</f>
        <v/>
      </c>
      <c r="JB135" s="19">
        <f>AND(IF(CO135="",TRUE,IF(input_event_location="",FALSE,SUMPRODUCT(--ISNUMBER(SEARCH(","&amp;TRIM(TEXTSPLIT(CO135,","))&amp;",",","&amp;SUBSTITUTE(input_event_location," ","")&amp;",")))&gt;0)),IF(CQ135="",TRUE,IF(input_event_location="",FALSE,SUMPRODUCT(--ISNUMBER(SEARCH(","&amp;TRIM(TEXTSPLIT(CQ135,","))&amp;",",","&amp;SUBSTITUTE(input_event_location," ","")&amp;",")))=COUNTA(TEXTSPLIT(CQ135,",")))),IF(CS135="",TRUE,IF(input_event_location="",TRUE,SUMPRODUCT(--ISNUMBER(SEARCH(","&amp;TRIM(TEXTSPLIT(CS135,","))&amp;",",","&amp;SUBSTITUTE(input_event_location," ","")&amp;",")))=0)),IF(CU135="",TRUE,IF(input_event_location="",FALSE,SUMPRODUCT(--ISNUMBER(SEARCH(","&amp;TRIM(TEXTSPLIT(CU135,","))&amp;",",","&amp;SUBSTITUTE(input_event_location," ","")&amp;",")))&gt;0)),IF(CW135="",TRUE,IF(input_event_location="",FALSE,SUMPRODUCT(--ISNUMBER(SEARCH(","&amp;TRIM(TEXTSPLIT(CW135,","))&amp;",",","&amp;SUBSTITUTE(input_event_location," ","")&amp;",")))=COUNTA(TEXTSPLIT(CW135,",")))))</f>
        <v/>
      </c>
      <c r="JC135" s="19">
        <f>AND(IF(CY135="",TRUE,IF(input_event_type="",FALSE,SUMPRODUCT(--ISNUMBER(SEARCH(","&amp;TRIM(TEXTSPLIT(CY135,","))&amp;",",","&amp;SUBSTITUTE(input_event_type," ","")&amp;",")))&gt;0)),IF(DA135="",TRUE,IF(input_event_type="",FALSE,SUMPRODUCT(--ISNUMBER(SEARCH(","&amp;TRIM(TEXTSPLIT(DA135,","))&amp;",",","&amp;SUBSTITUTE(input_event_type," ","")&amp;",")))=COUNTA(TEXTSPLIT(DA135,",")))),IF(DC135="",TRUE,IF(input_event_type="",TRUE,SUMPRODUCT(--ISNUMBER(SEARCH(","&amp;TRIM(TEXTSPLIT(DC135,","))&amp;",",","&amp;SUBSTITUTE(input_event_type," ","")&amp;",")))=0)),IF(DE135="",TRUE,IF(input_event_type="",FALSE,SUMPRODUCT(--ISNUMBER(SEARCH(","&amp;TRIM(TEXTSPLIT(DE135,","))&amp;",",","&amp;SUBSTITUTE(input_event_type," ","")&amp;",")))&gt;0)),IF(DG135="",TRUE,IF(input_event_type="",FALSE,SUMPRODUCT(--ISNUMBER(SEARCH(","&amp;TRIM(TEXTSPLIT(DG135,","))&amp;",",","&amp;SUBSTITUTE(input_event_type," ","")&amp;",")))=COUNTA(TEXTSPLIT(DG135,",")))))</f>
        <v/>
      </c>
      <c r="JD135" s="19">
        <f>AND(IF(DI135="",TRUE,IF(input_executive_education_focus="",FALSE,SUMPRODUCT(--ISNUMBER(SEARCH(","&amp;TRIM(TEXTSPLIT(DI135,","))&amp;",",","&amp;SUBSTITUTE(input_executive_education_focus," ","")&amp;",")))&gt;0)),IF(DK135="",TRUE,IF(input_executive_education_focus="",FALSE,SUMPRODUCT(--ISNUMBER(SEARCH(","&amp;TRIM(TEXTSPLIT(DK135,","))&amp;",",","&amp;SUBSTITUTE(input_executive_education_focus," ","")&amp;",")))=COUNTA(TEXTSPLIT(DK135,",")))),IF(DM135="",TRUE,IF(input_executive_education_focus="",TRUE,SUMPRODUCT(--ISNUMBER(SEARCH(","&amp;TRIM(TEXTSPLIT(DM135,","))&amp;",",","&amp;SUBSTITUTE(input_executive_education_focus," ","")&amp;",")))=0)),IF(DO135="",TRUE,IF(input_executive_education_focus="",FALSE,SUMPRODUCT(--ISNUMBER(SEARCH(","&amp;TRIM(TEXTSPLIT(DO135,","))&amp;",",","&amp;SUBSTITUTE(input_executive_education_focus," ","")&amp;",")))&gt;0)),IF(DQ135="",TRUE,IF(input_executive_education_focus="",FALSE,SUMPRODUCT(--ISNUMBER(SEARCH(","&amp;TRIM(TEXTSPLIT(DQ135,","))&amp;",",","&amp;SUBSTITUTE(input_executive_education_focus," ","")&amp;",")))=COUNTA(TEXTSPLIT(DQ135,",")))))</f>
        <v/>
      </c>
      <c r="JE135" s="19">
        <f>AND(IF(DS135="",TRUE,IF(input_faculty_category="",FALSE,SUMPRODUCT(--ISNUMBER(SEARCH(","&amp;TRIM(TEXTSPLIT(DS135,","))&amp;",",","&amp;SUBSTITUTE(input_faculty_category," ","")&amp;",")))&gt;0)),IF(DU135="",TRUE,IF(input_faculty_category="",FALSE,SUMPRODUCT(--ISNUMBER(SEARCH(","&amp;TRIM(TEXTSPLIT(DU135,","))&amp;",",","&amp;SUBSTITUTE(input_faculty_category," ","")&amp;",")))=COUNTA(TEXTSPLIT(DU135,",")))),IF(DW135="",TRUE,IF(input_faculty_category="",TRUE,SUMPRODUCT(--ISNUMBER(SEARCH(","&amp;TRIM(TEXTSPLIT(DW135,","))&amp;",",","&amp;SUBSTITUTE(input_faculty_category," ","")&amp;",")))=0)),IF(DY135="",TRUE,IF(input_faculty_category="",FALSE,SUMPRODUCT(--ISNUMBER(SEARCH(","&amp;TRIM(TEXTSPLIT(DY135,","))&amp;",",","&amp;SUBSTITUTE(input_faculty_category," ","")&amp;",")))&gt;0)),IF(EA135="",TRUE,IF(input_faculty_category="",FALSE,SUMPRODUCT(--ISNUMBER(SEARCH(","&amp;TRIM(TEXTSPLIT(EA135,","))&amp;",",","&amp;SUBSTITUTE(input_faculty_category," ","")&amp;",")))=COUNTA(TEXTSPLIT(EA135,",")))))</f>
        <v/>
      </c>
      <c r="JF135" s="19">
        <f>AND(IF(EC135="",TRUE,IF(input_faculty_discipline="",FALSE,SUMPRODUCT(--ISNUMBER(SEARCH(","&amp;TRIM(TEXTSPLIT(EC135,","))&amp;",",","&amp;SUBSTITUTE(input_faculty_discipline," ","")&amp;",")))&gt;0)),IF(EE135="",TRUE,IF(input_faculty_discipline="",FALSE,SUMPRODUCT(--ISNUMBER(SEARCH(","&amp;TRIM(TEXTSPLIT(EE135,","))&amp;",",","&amp;SUBSTITUTE(input_faculty_discipline," ","")&amp;",")))=COUNTA(TEXTSPLIT(EE135,",")))),IF(EG135="",TRUE,IF(input_faculty_discipline="",TRUE,SUMPRODUCT(--ISNUMBER(SEARCH(","&amp;TRIM(TEXTSPLIT(EG135,","))&amp;",",","&amp;SUBSTITUTE(input_faculty_discipline," ","")&amp;",")))=0)),IF(EI135="",TRUE,IF(input_faculty_discipline="",FALSE,SUMPRODUCT(--ISNUMBER(SEARCH(","&amp;TRIM(TEXTSPLIT(EI135,","))&amp;",",","&amp;SUBSTITUTE(input_faculty_discipline," ","")&amp;",")))&gt;0)),IF(EK135="",TRUE,IF(input_faculty_discipline="",FALSE,SUMPRODUCT(--ISNUMBER(SEARCH(","&amp;TRIM(TEXTSPLIT(EK135,","))&amp;",",","&amp;SUBSTITUTE(input_faculty_discipline," ","")&amp;",")))=COUNTA(TEXTSPLIT(EK135,",")))))</f>
        <v/>
      </c>
      <c r="JG135" s="19">
        <f>AND(IF(EM135="",TRUE,IF(input_faculty_expertise="",FALSE,SUMPRODUCT(--ISNUMBER(SEARCH(","&amp;TRIM(TEXTSPLIT(EM135,","))&amp;",",","&amp;SUBSTITUTE(input_faculty_expertise," ","")&amp;",")))&gt;0)),IF(EO135="",TRUE,IF(input_faculty_expertise="",FALSE,SUMPRODUCT(--ISNUMBER(SEARCH(","&amp;TRIM(TEXTSPLIT(EO135,","))&amp;",",","&amp;SUBSTITUTE(input_faculty_expertise," ","")&amp;",")))=COUNTA(TEXTSPLIT(EO135,",")))),IF(EQ135="",TRUE,IF(input_faculty_expertise="",TRUE,SUMPRODUCT(--ISNUMBER(SEARCH(","&amp;TRIM(TEXTSPLIT(EQ135,","))&amp;",",","&amp;SUBSTITUTE(input_faculty_expertise," ","")&amp;",")))=0)),IF(ES135="",TRUE,IF(input_faculty_expertise="",FALSE,SUMPRODUCT(--ISNUMBER(SEARCH(","&amp;TRIM(TEXTSPLIT(ES135,","))&amp;",",","&amp;SUBSTITUTE(input_faculty_expertise," ","")&amp;",")))&gt;0)),IF(EU135="",TRUE,IF(input_faculty_expertise="",FALSE,SUMPRODUCT(--ISNUMBER(SEARCH(","&amp;TRIM(TEXTSPLIT(EU135,","))&amp;",",","&amp;SUBSTITUTE(input_faculty_expertise," ","")&amp;",")))=COUNTA(TEXTSPLIT(EU135,",")))))</f>
        <v/>
      </c>
      <c r="JH135" s="19">
        <f>AND(IF(EW135="",TRUE,IF(input_global_network_school="",FALSE,SUMPRODUCT(--ISNUMBER(SEARCH(","&amp;TRIM(TEXTSPLIT(EW135,","))&amp;",",","&amp;SUBSTITUTE(input_global_network_school," ","")&amp;",")))&gt;0)),IF(EY135="",TRUE,IF(input_global_network_school="",FALSE,SUMPRODUCT(--ISNUMBER(SEARCH(","&amp;TRIM(TEXTSPLIT(EY135,","))&amp;",",","&amp;SUBSTITUTE(input_global_network_school," ","")&amp;",")))=COUNTA(TEXTSPLIT(EY135,",")))),IF(FA135="",TRUE,IF(input_global_network_school="",TRUE,SUMPRODUCT(--ISNUMBER(SEARCH(","&amp;TRIM(TEXTSPLIT(FA135,","))&amp;",",","&amp;SUBSTITUTE(input_global_network_school," ","")&amp;",")))=0)),IF(FC135="",TRUE,IF(input_global_network_school="",FALSE,SUMPRODUCT(--ISNUMBER(SEARCH(","&amp;TRIM(TEXTSPLIT(FC135,","))&amp;",",","&amp;SUBSTITUTE(input_global_network_school," ","")&amp;",")))&gt;0)),IF(FE135="",TRUE,IF(input_global_network_school="",FALSE,SUMPRODUCT(--ISNUMBER(SEARCH(","&amp;TRIM(TEXTSPLIT(FE135,","))&amp;",",","&amp;SUBSTITUTE(input_global_network_school," ","")&amp;",")))=COUNTA(TEXTSPLIT(FE135,",")))))</f>
        <v/>
      </c>
      <c r="JI135" s="19">
        <f>AND(IF(FG135="",TRUE,IF(input_industry="",FALSE,SUMPRODUCT(--ISNUMBER(SEARCH(","&amp;TRIM(TEXTSPLIT(FG135,","))&amp;",",","&amp;SUBSTITUTE(input_industry," ","")&amp;",")))&gt;0)),IF(FI135="",TRUE,IF(input_industry="",FALSE,SUMPRODUCT(--ISNUMBER(SEARCH(","&amp;TRIM(TEXTSPLIT(FI135,","))&amp;",",","&amp;SUBSTITUTE(input_industry," ","")&amp;",")))=COUNTA(TEXTSPLIT(FI135,",")))),IF(FK135="",TRUE,IF(input_industry="",TRUE,SUMPRODUCT(--ISNUMBER(SEARCH(","&amp;TRIM(TEXTSPLIT(FK135,","))&amp;",",","&amp;SUBSTITUTE(input_industry," ","")&amp;",")))=0)),IF(FM135="",TRUE,IF(input_industry="",FALSE,SUMPRODUCT(--ISNUMBER(SEARCH(","&amp;TRIM(TEXTSPLIT(FM135,","))&amp;",",","&amp;SUBSTITUTE(input_industry," ","")&amp;",")))&gt;0)),IF(FO135="",TRUE,IF(input_industry="",FALSE,SUMPRODUCT(--ISNUMBER(SEARCH(","&amp;TRIM(TEXTSPLIT(FO135,","))&amp;",",","&amp;SUBSTITUTE(input_industry," ","")&amp;",")))=COUNTA(TEXTSPLIT(FO135,",")))))</f>
        <v/>
      </c>
      <c r="JJ135" s="19">
        <f>AND(IF(FQ135="",TRUE,IF(input_location="",FALSE,SUMPRODUCT(--ISNUMBER(SEARCH(","&amp;TRIM(TEXTSPLIT(FQ135,","))&amp;",",","&amp;SUBSTITUTE(input_location," ","")&amp;",")))&gt;0)),IF(FS135="",TRUE,IF(input_location="",FALSE,SUMPRODUCT(--ISNUMBER(SEARCH(","&amp;TRIM(TEXTSPLIT(FS135,","))&amp;",",","&amp;SUBSTITUTE(input_location," ","")&amp;",")))=COUNTA(TEXTSPLIT(FS135,",")))),IF(FU135="",TRUE,IF(input_location="",TRUE,SUMPRODUCT(--ISNUMBER(SEARCH(","&amp;TRIM(TEXTSPLIT(FU135,","))&amp;",",","&amp;SUBSTITUTE(input_location," ","")&amp;",")))=0)),IF(FW135="",TRUE,IF(input_location="",FALSE,SUMPRODUCT(--ISNUMBER(SEARCH(","&amp;TRIM(TEXTSPLIT(FW135,","))&amp;",",","&amp;SUBSTITUTE(input_location," ","")&amp;",")))&gt;0)),IF(FY135="",TRUE,IF(input_location="",FALSE,SUMPRODUCT(--ISNUMBER(SEARCH(","&amp;TRIM(TEXTSPLIT(FY135,","))&amp;",",","&amp;SUBSTITUTE(input_location," ","")&amp;",")))=COUNTA(TEXTSPLIT(FY135,",")))))</f>
        <v/>
      </c>
      <c r="JK135" s="19">
        <f>AND(IF(GA135="",TRUE,IF(input_modality="",FALSE,SUMPRODUCT(--ISNUMBER(SEARCH(","&amp;TRIM(TEXTSPLIT(GA135,","))&amp;",",","&amp;SUBSTITUTE(input_modality," ","")&amp;",")))&gt;0)),IF(GC135="",TRUE,IF(input_modality="",FALSE,SUMPRODUCT(--ISNUMBER(SEARCH(","&amp;TRIM(TEXTSPLIT(GC135,","))&amp;",",","&amp;SUBSTITUTE(input_modality," ","")&amp;",")))=COUNTA(TEXTSPLIT(GC135,",")))),IF(GE135="",TRUE,IF(input_modality="",TRUE,SUMPRODUCT(--ISNUMBER(SEARCH(","&amp;TRIM(TEXTSPLIT(GE135,","))&amp;",",","&amp;SUBSTITUTE(input_modality," ","")&amp;",")))=0)),IF(GG135="",TRUE,IF(input_modality="",FALSE,SUMPRODUCT(--ISNUMBER(SEARCH(","&amp;TRIM(TEXTSPLIT(GG135,","))&amp;",",","&amp;SUBSTITUTE(input_modality," ","")&amp;",")))&gt;0)),IF(GI135="",TRUE,IF(input_modality="",FALSE,SUMPRODUCT(--ISNUMBER(SEARCH(","&amp;TRIM(TEXTSPLIT(GI135,","))&amp;",",","&amp;SUBSTITUTE(input_modality," ","")&amp;",")))=COUNTA(TEXTSPLIT(GI135,",")))))</f>
        <v/>
      </c>
      <c r="JL135" s="19">
        <f>AND(IF(GK135="",TRUE,IF(input_organizer="",FALSE,SUMPRODUCT(--ISNUMBER(SEARCH(","&amp;TRIM(TEXTSPLIT(GK135,","))&amp;",",","&amp;SUBSTITUTE(input_organizer," ","")&amp;",")))&gt;0)),IF(GM135="",TRUE,IF(input_organizer="",FALSE,SUMPRODUCT(--ISNUMBER(SEARCH(","&amp;TRIM(TEXTSPLIT(GM135,","))&amp;",",","&amp;SUBSTITUTE(input_organizer," ","")&amp;",")))=COUNTA(TEXTSPLIT(GM135,",")))),IF(GO135="",TRUE,IF(input_organizer="",TRUE,SUMPRODUCT(--ISNUMBER(SEARCH(","&amp;TRIM(TEXTSPLIT(GO135,","))&amp;",",","&amp;SUBSTITUTE(input_organizer," ","")&amp;",")))=0)),IF(GQ135="",TRUE,IF(input_organizer="",FALSE,SUMPRODUCT(--ISNUMBER(SEARCH(","&amp;TRIM(TEXTSPLIT(GQ135,","))&amp;",",","&amp;SUBSTITUTE(input_organizer," ","")&amp;",")))&gt;0)),IF(GS135="",TRUE,IF(input_organizer="",FALSE,SUMPRODUCT(--ISNUMBER(SEARCH(","&amp;TRIM(TEXTSPLIT(GS135,","))&amp;",",","&amp;SUBSTITUTE(input_organizer," ","")&amp;",")))=COUNTA(TEXTSPLIT(GS135,",")))))</f>
        <v/>
      </c>
      <c r="JM135" s="19">
        <f>AND(IF(GU135="",TRUE,IF(input_profile_type="",FALSE,SUMPRODUCT(--ISNUMBER(SEARCH(","&amp;TRIM(TEXTSPLIT(GU135,","))&amp;",",","&amp;SUBSTITUTE(input_profile_type," ","")&amp;",")))&gt;0)),IF(GW135="",TRUE,IF(input_profile_type="",FALSE,SUMPRODUCT(--ISNUMBER(SEARCH(","&amp;TRIM(TEXTSPLIT(GW135,","))&amp;",",","&amp;SUBSTITUTE(input_profile_type," ","")&amp;",")))=COUNTA(TEXTSPLIT(GW135,",")))),IF(GY135="",TRUE,IF(input_profile_type="",TRUE,SUMPRODUCT(--ISNUMBER(SEARCH(","&amp;TRIM(TEXTSPLIT(GY135,","))&amp;",",","&amp;SUBSTITUTE(input_profile_type," ","")&amp;",")))=0)),IF(HA135="",TRUE,IF(input_profile_type="",FALSE,SUMPRODUCT(--ISNUMBER(SEARCH(","&amp;TRIM(TEXTSPLIT(HA135,","))&amp;",",","&amp;SUBSTITUTE(input_profile_type," ","")&amp;",")))&gt;0)),IF(HC135="",TRUE,IF(input_profile_type="",FALSE,SUMPRODUCT(--ISNUMBER(SEARCH(","&amp;TRIM(TEXTSPLIT(HC135,","))&amp;",",","&amp;SUBSTITUTE(input_profile_type," ","")&amp;",")))=COUNTA(TEXTSPLIT(HC135,",")))))</f>
        <v/>
      </c>
      <c r="JN135" s="19">
        <f>AND(IF(HE135="",TRUE,IF(input_program="",FALSE,SUMPRODUCT(--ISNUMBER(SEARCH(","&amp;TRIM(TEXTSPLIT(HE135,","))&amp;",",","&amp;SUBSTITUTE(input_program," ","")&amp;",")))&gt;0)),IF(HG135="",TRUE,IF(input_program="",FALSE,SUMPRODUCT(--ISNUMBER(SEARCH(","&amp;TRIM(TEXTSPLIT(HG135,","))&amp;",",","&amp;SUBSTITUTE(input_program," ","")&amp;",")))=COUNTA(TEXTSPLIT(HG135,",")))),IF(HI135="",TRUE,IF(input_program="",TRUE,SUMPRODUCT(--ISNUMBER(SEARCH(","&amp;TRIM(TEXTSPLIT(HI135,","))&amp;",",","&amp;SUBSTITUTE(input_program," ","")&amp;",")))=0)),IF(HK135="",TRUE,IF(input_program="",FALSE,SUMPRODUCT(--ISNUMBER(SEARCH(","&amp;TRIM(TEXTSPLIT(HK135,","))&amp;",",","&amp;SUBSTITUTE(input_program," ","")&amp;",")))&gt;0)),IF(HM135="",TRUE,IF(input_program="",FALSE,SUMPRODUCT(--ISNUMBER(SEARCH(","&amp;TRIM(TEXTSPLIT(HM135,","))&amp;",",","&amp;SUBSTITUTE(input_program," ","")&amp;",")))=COUNTA(TEXTSPLIT(HM135,",")))))</f>
        <v/>
      </c>
      <c r="JO135" s="19">
        <f>AND(IF(HO135="",TRUE,IF(input_story_categories="",FALSE,SUMPRODUCT(--ISNUMBER(SEARCH(","&amp;TRIM(TEXTSPLIT(HO135,","))&amp;",",","&amp;SUBSTITUTE(input_story_categories," ","")&amp;",")))&gt;0)),IF(HQ135="",TRUE,IF(input_story_categories="",FALSE,SUMPRODUCT(--ISNUMBER(SEARCH(","&amp;TRIM(TEXTSPLIT(HQ135,","))&amp;",",","&amp;SUBSTITUTE(input_story_categories," ","")&amp;",")))=COUNTA(TEXTSPLIT(HQ135,",")))),IF(HS135="",TRUE,IF(input_story_categories="",TRUE,SUMPRODUCT(--ISNUMBER(SEARCH(","&amp;TRIM(TEXTSPLIT(HS135,","))&amp;",",","&amp;SUBSTITUTE(input_story_categories," ","")&amp;",")))=0)),IF(HU135="",TRUE,IF(input_story_categories="",FALSE,SUMPRODUCT(--ISNUMBER(SEARCH(","&amp;TRIM(TEXTSPLIT(HU135,","))&amp;",",","&amp;SUBSTITUTE(input_story_categories," ","")&amp;",")))&gt;0)),IF(HW135="",TRUE,IF(input_story_categories="",FALSE,SUMPRODUCT(--ISNUMBER(SEARCH(","&amp;TRIM(TEXTSPLIT(HW135,","))&amp;",",","&amp;SUBSTITUTE(input_story_categories," ","")&amp;",")))=COUNTA(TEXTSPLIT(HW135,",")))))</f>
        <v/>
      </c>
      <c r="JP135" s="19">
        <f>AND(IF(HY135="",TRUE,IF(input_story_type="",FALSE,SUMPRODUCT(--ISNUMBER(SEARCH(","&amp;TRIM(TEXTSPLIT(HY135,","))&amp;",",","&amp;SUBSTITUTE(input_story_type," ","")&amp;",")))&gt;0)),IF(IA135="",TRUE,IF(input_story_type="",FALSE,SUMPRODUCT(--ISNUMBER(SEARCH(","&amp;TRIM(TEXTSPLIT(IA135,","))&amp;",",","&amp;SUBSTITUTE(input_story_type," ","")&amp;",")))=COUNTA(TEXTSPLIT(IA135,",")))),IF(IC135="",TRUE,IF(input_story_type="",TRUE,SUMPRODUCT(--ISNUMBER(SEARCH(","&amp;TRIM(TEXTSPLIT(IC135,","))&amp;",",","&amp;SUBSTITUTE(input_story_type," ","")&amp;",")))=0)),IF(IE135="",TRUE,IF(input_story_type="",FALSE,SUMPRODUCT(--ISNUMBER(SEARCH(","&amp;TRIM(TEXTSPLIT(IE135,","))&amp;",",","&amp;SUBSTITUTE(input_story_type," ","")&amp;",")))&gt;0)),IF(IG135="",TRUE,IF(input_story_type="",FALSE,SUMPRODUCT(--ISNUMBER(SEARCH(","&amp;TRIM(TEXTSPLIT(IG135,","))&amp;",",","&amp;SUBSTITUTE(input_story_type," ","")&amp;",")))=COUNTA(TEXTSPLIT(IG135,",")))))</f>
        <v/>
      </c>
      <c r="JQ135" s="19">
        <f>AND(IF(II135="",TRUE,IF(input_topics="",FALSE,SUMPRODUCT(--ISNUMBER(SEARCH(","&amp;TRIM(TEXTSPLIT(II135,","))&amp;",",","&amp;SUBSTITUTE(input_topics," ","")&amp;",")))&gt;0)),IF(IK135="",TRUE,IF(input_topics="",FALSE,SUMPRODUCT(--ISNUMBER(SEARCH(","&amp;TRIM(TEXTSPLIT(IK135,","))&amp;",",","&amp;SUBSTITUTE(input_topics," ","")&amp;",")))=COUNTA(TEXTSPLIT(IK135,",")))),IF(IM135="",TRUE,IF(input_topics="",TRUE,SUMPRODUCT(--ISNUMBER(SEARCH(","&amp;TRIM(TEXTSPLIT(IM135,","))&amp;",",","&amp;SUBSTITUTE(input_topics," ","")&amp;",")))=0)),IF(IO135="",TRUE,IF(input_topics="",FALSE,SUMPRODUCT(--ISNUMBER(SEARCH(","&amp;TRIM(TEXTSPLIT(IO135,","))&amp;",",","&amp;SUBSTITUTE(input_topics," ","")&amp;",")))&gt;0)),IF(IQ135="",TRUE,IF(input_topics="",FALSE,SUMPRODUCT(--ISNUMBER(SEARCH(","&amp;TRIM(TEXTSPLIT(IQ135,","))&amp;",",","&amp;SUBSTITUTE(input_topics," ","")&amp;",")))=COUNTA(TEXTSPLIT(IQ135,",")))))</f>
        <v/>
      </c>
    </row>
    <row r="136">
      <c r="A136" s="24">
        <f>IF(NOT(IS136),"Excluded",IF(AND(IT136,IU136,IV136,IW136,IX136,IY136,IZ136,JA136,JB136,JC136,JD136,JE136,JF136,JG136,JH136,JI136,JJ136,JK136,JL136,JM136,JN136,JO136,JP136,JQ136),IF(I136&gt;0,"Eligible but limited","Will appear"),"Excluded"))</f>
        <v/>
      </c>
      <c r="B136" s="24" t="inlineStr">
        <is>
          <t>News &amp; Events</t>
        </is>
      </c>
      <c r="C136" s="27" t="inlineStr">
        <is>
          <t>/centers/the-broad-center/events</t>
        </is>
      </c>
      <c r="D136" s="24" t="inlineStr">
        <is>
          <t>/centers/the-broad-center/events</t>
        </is>
      </c>
      <c r="E136" s="24" t="n">
        <v>1</v>
      </c>
      <c r="F136" s="24" t="inlineStr">
        <is>
          <t>story</t>
        </is>
      </c>
      <c r="G136" s="24" t="inlineStr">
        <is>
          <t>stories_list</t>
        </is>
      </c>
      <c r="H136" s="24" t="inlineStr">
        <is>
          <t>embed_1</t>
        </is>
      </c>
      <c r="I136" s="24" t="n">
        <v>10</v>
      </c>
      <c r="J136" s="28" t="inlineStr">
        <is>
          <t>Explicit args</t>
        </is>
      </c>
      <c r="K136" s="24" t="inlineStr">
        <is>
          <t>Page placement</t>
        </is>
      </c>
      <c r="L136" s="24" t="inlineStr">
        <is>
          <t>Content type: story; Context uses Courses Context: The Broad Center (926); Limited to 10 item(s); Source: Explicit args</t>
        </is>
      </c>
      <c r="BQ136" s="19" t="inlineStr">
        <is>
          <t>926</t>
        </is>
      </c>
      <c r="BR136" s="19" t="inlineStr">
        <is>
          <t>The Broad Center (926)</t>
        </is>
      </c>
      <c r="IS136" s="19">
        <f>IF(input_content_type="",FALSE,ISNUMBER(SEARCH(","&amp;LOWER(input_content_type)&amp;",",","&amp;LOWER(SUBSTITUTE(F136," ",""))&amp;",")))</f>
        <v/>
      </c>
      <c r="IT136" s="19">
        <f>AND(IF(M136="",TRUE,IF(input_affiliations="",FALSE,SUMPRODUCT(--ISNUMBER(SEARCH(","&amp;TRIM(TEXTSPLIT(M136,","))&amp;",",","&amp;SUBSTITUTE(input_affiliations," ","")&amp;",")))&gt;0)),IF(O136="",TRUE,IF(input_affiliations="",FALSE,SUMPRODUCT(--ISNUMBER(SEARCH(","&amp;TRIM(TEXTSPLIT(O136,","))&amp;",",","&amp;SUBSTITUTE(input_affiliations," ","")&amp;",")))=COUNTA(TEXTSPLIT(O136,",")))),IF(Q136="",TRUE,IF(input_affiliations="",TRUE,SUMPRODUCT(--ISNUMBER(SEARCH(","&amp;TRIM(TEXTSPLIT(Q136,","))&amp;",",","&amp;SUBSTITUTE(input_affiliations," ","")&amp;",")))=0)),IF(S136="",TRUE,IF(input_affiliations="",FALSE,SUMPRODUCT(--ISNUMBER(SEARCH(","&amp;TRIM(TEXTSPLIT(S136,","))&amp;",",","&amp;SUBSTITUTE(input_affiliations," ","")&amp;",")))&gt;0)),IF(U136="",TRUE,IF(input_affiliations="",FALSE,SUMPRODUCT(--ISNUMBER(SEARCH(","&amp;TRIM(TEXTSPLIT(U136,","))&amp;",",","&amp;SUBSTITUTE(input_affiliations," ","")&amp;",")))=COUNTA(TEXTSPLIT(U136,",")))))</f>
        <v/>
      </c>
      <c r="IU136" s="19">
        <f>AND(IF(W136="",TRUE,IF(input_announcement_category="",FALSE,SUMPRODUCT(--ISNUMBER(SEARCH(","&amp;TRIM(TEXTSPLIT(W136,","))&amp;",",","&amp;SUBSTITUTE(input_announcement_category," ","")&amp;",")))&gt;0)),IF(Y136="",TRUE,IF(input_announcement_category="",FALSE,SUMPRODUCT(--ISNUMBER(SEARCH(","&amp;TRIM(TEXTSPLIT(Y136,","))&amp;",",","&amp;SUBSTITUTE(input_announcement_category," ","")&amp;",")))=COUNTA(TEXTSPLIT(Y136,",")))),IF(AA136="",TRUE,IF(input_announcement_category="",TRUE,SUMPRODUCT(--ISNUMBER(SEARCH(","&amp;TRIM(TEXTSPLIT(AA136,","))&amp;",",","&amp;SUBSTITUTE(input_announcement_category," ","")&amp;",")))=0)),IF(AC136="",TRUE,IF(input_announcement_category="",FALSE,SUMPRODUCT(--ISNUMBER(SEARCH(","&amp;TRIM(TEXTSPLIT(AC136,","))&amp;",",","&amp;SUBSTITUTE(input_announcement_category," ","")&amp;",")))&gt;0)),IF(AE136="",TRUE,IF(input_announcement_category="",FALSE,SUMPRODUCT(--ISNUMBER(SEARCH(","&amp;TRIM(TEXTSPLIT(AE136,","))&amp;",",","&amp;SUBSTITUTE(input_announcement_category," ","")&amp;",")))=COUNTA(TEXTSPLIT(AE136,",")))))</f>
        <v/>
      </c>
      <c r="IV136" s="19">
        <f>AND(IF(AG136="",TRUE,IF(input_area_of_focus="",FALSE,SUMPRODUCT(--ISNUMBER(SEARCH(","&amp;TRIM(TEXTSPLIT(AG136,","))&amp;",",","&amp;SUBSTITUTE(input_area_of_focus," ","")&amp;",")))&gt;0)),IF(AI136="",TRUE,IF(input_area_of_focus="",FALSE,SUMPRODUCT(--ISNUMBER(SEARCH(","&amp;TRIM(TEXTSPLIT(AI136,","))&amp;",",","&amp;SUBSTITUTE(input_area_of_focus," ","")&amp;",")))=COUNTA(TEXTSPLIT(AI136,",")))),IF(AK136="",TRUE,IF(input_area_of_focus="",TRUE,SUMPRODUCT(--ISNUMBER(SEARCH(","&amp;TRIM(TEXTSPLIT(AK136,","))&amp;",",","&amp;SUBSTITUTE(input_area_of_focus," ","")&amp;",")))=0)),IF(AM136="",TRUE,IF(input_area_of_focus="",FALSE,SUMPRODUCT(--ISNUMBER(SEARCH(","&amp;TRIM(TEXTSPLIT(AM136,","))&amp;",",","&amp;SUBSTITUTE(input_area_of_focus," ","")&amp;",")))&gt;0)),IF(AO136="",TRUE,IF(input_area_of_focus="",FALSE,SUMPRODUCT(--ISNUMBER(SEARCH(","&amp;TRIM(TEXTSPLIT(AO136,","))&amp;",",","&amp;SUBSTITUTE(input_area_of_focus," ","")&amp;",")))=COUNTA(TEXTSPLIT(AO136,",")))))</f>
        <v/>
      </c>
      <c r="IW136" s="19">
        <f>AND(IF(AQ136="",TRUE,IF(input_audience="",FALSE,SUMPRODUCT(--ISNUMBER(SEARCH(","&amp;TRIM(TEXTSPLIT(AQ136,","))&amp;",",","&amp;SUBSTITUTE(input_audience," ","")&amp;",")))&gt;0)),IF(AS136="",TRUE,IF(input_audience="",FALSE,SUMPRODUCT(--ISNUMBER(SEARCH(","&amp;TRIM(TEXTSPLIT(AS136,","))&amp;",",","&amp;SUBSTITUTE(input_audience," ","")&amp;",")))=COUNTA(TEXTSPLIT(AS136,",")))),IF(AU136="",TRUE,IF(input_audience="",TRUE,SUMPRODUCT(--ISNUMBER(SEARCH(","&amp;TRIM(TEXTSPLIT(AU136,","))&amp;",",","&amp;SUBSTITUTE(input_audience," ","")&amp;",")))=0)),IF(AW136="",TRUE,IF(input_audience="",FALSE,SUMPRODUCT(--ISNUMBER(SEARCH(","&amp;TRIM(TEXTSPLIT(AW136,","))&amp;",",","&amp;SUBSTITUTE(input_audience," ","")&amp;",")))&gt;0)),IF(AY136="",TRUE,IF(input_audience="",FALSE,SUMPRODUCT(--ISNUMBER(SEARCH(","&amp;TRIM(TEXTSPLIT(AY136,","))&amp;",",","&amp;SUBSTITUTE(input_audience," ","")&amp;",")))=COUNTA(TEXTSPLIT(AY136,",")))))</f>
        <v/>
      </c>
      <c r="IX136" s="19">
        <f>AND(IF(BA136="",TRUE,IF(input_challenge_opportunities="",FALSE,SUMPRODUCT(--ISNUMBER(SEARCH(","&amp;TRIM(TEXTSPLIT(BA136,","))&amp;",",","&amp;SUBSTITUTE(input_challenge_opportunities," ","")&amp;",")))&gt;0)),IF(BC136="",TRUE,IF(input_challenge_opportunities="",FALSE,SUMPRODUCT(--ISNUMBER(SEARCH(","&amp;TRIM(TEXTSPLIT(BC136,","))&amp;",",","&amp;SUBSTITUTE(input_challenge_opportunities," ","")&amp;",")))=COUNTA(TEXTSPLIT(BC136,",")))),IF(BE136="",TRUE,IF(input_challenge_opportunities="",TRUE,SUMPRODUCT(--ISNUMBER(SEARCH(","&amp;TRIM(TEXTSPLIT(BE136,","))&amp;",",","&amp;SUBSTITUTE(input_challenge_opportunities," ","")&amp;",")))=0)),IF(BG136="",TRUE,IF(input_challenge_opportunities="",FALSE,SUMPRODUCT(--ISNUMBER(SEARCH(","&amp;TRIM(TEXTSPLIT(BG136,","))&amp;",",","&amp;SUBSTITUTE(input_challenge_opportunities," ","")&amp;",")))&gt;0)),IF(BI136="",TRUE,IF(input_challenge_opportunities="",FALSE,SUMPRODUCT(--ISNUMBER(SEARCH(","&amp;TRIM(TEXTSPLIT(BI136,","))&amp;",",","&amp;SUBSTITUTE(input_challenge_opportunities," ","")&amp;",")))=COUNTA(TEXTSPLIT(BI136,",")))))</f>
        <v/>
      </c>
      <c r="IY136" s="19">
        <f>AND(IF(BK136="",TRUE,IF(input_context="",FALSE,SUMPRODUCT(--ISNUMBER(SEARCH(","&amp;TRIM(TEXTSPLIT(BK136,","))&amp;",",","&amp;SUBSTITUTE(input_context," ","")&amp;",")))&gt;0)),IF(BM136="",TRUE,IF(input_context="",FALSE,SUMPRODUCT(--ISNUMBER(SEARCH(","&amp;TRIM(TEXTSPLIT(BM136,","))&amp;",",","&amp;SUBSTITUTE(input_context," ","")&amp;",")))=COUNTA(TEXTSPLIT(BM136,",")))),IF(BO136="",TRUE,IF(input_context="",TRUE,SUMPRODUCT(--ISNUMBER(SEARCH(","&amp;TRIM(TEXTSPLIT(BO136,","))&amp;",",","&amp;SUBSTITUTE(input_context," ","")&amp;",")))=0)),IF(BQ136="",TRUE,IF(input_context="",FALSE,SUMPRODUCT(--ISNUMBER(SEARCH(","&amp;TRIM(TEXTSPLIT(BQ136,","))&amp;",",","&amp;SUBSTITUTE(input_context," ","")&amp;",")))&gt;0)),IF(BS136="",TRUE,IF(input_context="",FALSE,SUMPRODUCT(--ISNUMBER(SEARCH(","&amp;TRIM(TEXTSPLIT(BS136,","))&amp;",",","&amp;SUBSTITUTE(input_context," ","")&amp;",")))=COUNTA(TEXTSPLIT(BS136,",")))))</f>
        <v/>
      </c>
      <c r="IZ136" s="19">
        <f>AND(IF(BU136="",TRUE,IF(input_enews_announcement_type="",FALSE,SUMPRODUCT(--ISNUMBER(SEARCH(","&amp;TRIM(TEXTSPLIT(BU136,","))&amp;",",","&amp;SUBSTITUTE(input_enews_announcement_type," ","")&amp;",")))&gt;0)),IF(BW136="",TRUE,IF(input_enews_announcement_type="",FALSE,SUMPRODUCT(--ISNUMBER(SEARCH(","&amp;TRIM(TEXTSPLIT(BW136,","))&amp;",",","&amp;SUBSTITUTE(input_enews_announcement_type," ","")&amp;",")))=COUNTA(TEXTSPLIT(BW136,",")))),IF(BY136="",TRUE,IF(input_enews_announcement_type="",TRUE,SUMPRODUCT(--ISNUMBER(SEARCH(","&amp;TRIM(TEXTSPLIT(BY136,","))&amp;",",","&amp;SUBSTITUTE(input_enews_announcement_type," ","")&amp;",")))=0)),IF(CA136="",TRUE,IF(input_enews_announcement_type="",FALSE,SUMPRODUCT(--ISNUMBER(SEARCH(","&amp;TRIM(TEXTSPLIT(CA136,","))&amp;",",","&amp;SUBSTITUTE(input_enews_announcement_type," ","")&amp;",")))&gt;0)),IF(CC136="",TRUE,IF(input_enews_announcement_type="",FALSE,SUMPRODUCT(--ISNUMBER(SEARCH(","&amp;TRIM(TEXTSPLIT(CC136,","))&amp;",",","&amp;SUBSTITUTE(input_enews_announcement_type," ","")&amp;",")))=COUNTA(TEXTSPLIT(CC136,",")))))</f>
        <v/>
      </c>
      <c r="JA136" s="19">
        <f>AND(IF(CE136="",TRUE,IF(input_enews_audience="",FALSE,SUMPRODUCT(--ISNUMBER(SEARCH(","&amp;TRIM(TEXTSPLIT(CE136,","))&amp;",",","&amp;SUBSTITUTE(input_enews_audience," ","")&amp;",")))&gt;0)),IF(CG136="",TRUE,IF(input_enews_audience="",FALSE,SUMPRODUCT(--ISNUMBER(SEARCH(","&amp;TRIM(TEXTSPLIT(CG136,","))&amp;",",","&amp;SUBSTITUTE(input_enews_audience," ","")&amp;",")))=COUNTA(TEXTSPLIT(CG136,",")))),IF(CI136="",TRUE,IF(input_enews_audience="",TRUE,SUMPRODUCT(--ISNUMBER(SEARCH(","&amp;TRIM(TEXTSPLIT(CI136,","))&amp;",",","&amp;SUBSTITUTE(input_enews_audience," ","")&amp;",")))=0)),IF(CK136="",TRUE,IF(input_enews_audience="",FALSE,SUMPRODUCT(--ISNUMBER(SEARCH(","&amp;TRIM(TEXTSPLIT(CK136,","))&amp;",",","&amp;SUBSTITUTE(input_enews_audience," ","")&amp;",")))&gt;0)),IF(CM136="",TRUE,IF(input_enews_audience="",FALSE,SUMPRODUCT(--ISNUMBER(SEARCH(","&amp;TRIM(TEXTSPLIT(CM136,","))&amp;",",","&amp;SUBSTITUTE(input_enews_audience," ","")&amp;",")))=COUNTA(TEXTSPLIT(CM136,",")))))</f>
        <v/>
      </c>
      <c r="JB136" s="19">
        <f>AND(IF(CO136="",TRUE,IF(input_event_location="",FALSE,SUMPRODUCT(--ISNUMBER(SEARCH(","&amp;TRIM(TEXTSPLIT(CO136,","))&amp;",",","&amp;SUBSTITUTE(input_event_location," ","")&amp;",")))&gt;0)),IF(CQ136="",TRUE,IF(input_event_location="",FALSE,SUMPRODUCT(--ISNUMBER(SEARCH(","&amp;TRIM(TEXTSPLIT(CQ136,","))&amp;",",","&amp;SUBSTITUTE(input_event_location," ","")&amp;",")))=COUNTA(TEXTSPLIT(CQ136,",")))),IF(CS136="",TRUE,IF(input_event_location="",TRUE,SUMPRODUCT(--ISNUMBER(SEARCH(","&amp;TRIM(TEXTSPLIT(CS136,","))&amp;",",","&amp;SUBSTITUTE(input_event_location," ","")&amp;",")))=0)),IF(CU136="",TRUE,IF(input_event_location="",FALSE,SUMPRODUCT(--ISNUMBER(SEARCH(","&amp;TRIM(TEXTSPLIT(CU136,","))&amp;",",","&amp;SUBSTITUTE(input_event_location," ","")&amp;",")))&gt;0)),IF(CW136="",TRUE,IF(input_event_location="",FALSE,SUMPRODUCT(--ISNUMBER(SEARCH(","&amp;TRIM(TEXTSPLIT(CW136,","))&amp;",",","&amp;SUBSTITUTE(input_event_location," ","")&amp;",")))=COUNTA(TEXTSPLIT(CW136,",")))))</f>
        <v/>
      </c>
      <c r="JC136" s="19">
        <f>AND(IF(CY136="",TRUE,IF(input_event_type="",FALSE,SUMPRODUCT(--ISNUMBER(SEARCH(","&amp;TRIM(TEXTSPLIT(CY136,","))&amp;",",","&amp;SUBSTITUTE(input_event_type," ","")&amp;",")))&gt;0)),IF(DA136="",TRUE,IF(input_event_type="",FALSE,SUMPRODUCT(--ISNUMBER(SEARCH(","&amp;TRIM(TEXTSPLIT(DA136,","))&amp;",",","&amp;SUBSTITUTE(input_event_type," ","")&amp;",")))=COUNTA(TEXTSPLIT(DA136,",")))),IF(DC136="",TRUE,IF(input_event_type="",TRUE,SUMPRODUCT(--ISNUMBER(SEARCH(","&amp;TRIM(TEXTSPLIT(DC136,","))&amp;",",","&amp;SUBSTITUTE(input_event_type," ","")&amp;",")))=0)),IF(DE136="",TRUE,IF(input_event_type="",FALSE,SUMPRODUCT(--ISNUMBER(SEARCH(","&amp;TRIM(TEXTSPLIT(DE136,","))&amp;",",","&amp;SUBSTITUTE(input_event_type," ","")&amp;",")))&gt;0)),IF(DG136="",TRUE,IF(input_event_type="",FALSE,SUMPRODUCT(--ISNUMBER(SEARCH(","&amp;TRIM(TEXTSPLIT(DG136,","))&amp;",",","&amp;SUBSTITUTE(input_event_type," ","")&amp;",")))=COUNTA(TEXTSPLIT(DG136,",")))))</f>
        <v/>
      </c>
      <c r="JD136" s="19">
        <f>AND(IF(DI136="",TRUE,IF(input_executive_education_focus="",FALSE,SUMPRODUCT(--ISNUMBER(SEARCH(","&amp;TRIM(TEXTSPLIT(DI136,","))&amp;",",","&amp;SUBSTITUTE(input_executive_education_focus," ","")&amp;",")))&gt;0)),IF(DK136="",TRUE,IF(input_executive_education_focus="",FALSE,SUMPRODUCT(--ISNUMBER(SEARCH(","&amp;TRIM(TEXTSPLIT(DK136,","))&amp;",",","&amp;SUBSTITUTE(input_executive_education_focus," ","")&amp;",")))=COUNTA(TEXTSPLIT(DK136,",")))),IF(DM136="",TRUE,IF(input_executive_education_focus="",TRUE,SUMPRODUCT(--ISNUMBER(SEARCH(","&amp;TRIM(TEXTSPLIT(DM136,","))&amp;",",","&amp;SUBSTITUTE(input_executive_education_focus," ","")&amp;",")))=0)),IF(DO136="",TRUE,IF(input_executive_education_focus="",FALSE,SUMPRODUCT(--ISNUMBER(SEARCH(","&amp;TRIM(TEXTSPLIT(DO136,","))&amp;",",","&amp;SUBSTITUTE(input_executive_education_focus," ","")&amp;",")))&gt;0)),IF(DQ136="",TRUE,IF(input_executive_education_focus="",FALSE,SUMPRODUCT(--ISNUMBER(SEARCH(","&amp;TRIM(TEXTSPLIT(DQ136,","))&amp;",",","&amp;SUBSTITUTE(input_executive_education_focus," ","")&amp;",")))=COUNTA(TEXTSPLIT(DQ136,",")))))</f>
        <v/>
      </c>
      <c r="JE136" s="19">
        <f>AND(IF(DS136="",TRUE,IF(input_faculty_category="",FALSE,SUMPRODUCT(--ISNUMBER(SEARCH(","&amp;TRIM(TEXTSPLIT(DS136,","))&amp;",",","&amp;SUBSTITUTE(input_faculty_category," ","")&amp;",")))&gt;0)),IF(DU136="",TRUE,IF(input_faculty_category="",FALSE,SUMPRODUCT(--ISNUMBER(SEARCH(","&amp;TRIM(TEXTSPLIT(DU136,","))&amp;",",","&amp;SUBSTITUTE(input_faculty_category," ","")&amp;",")))=COUNTA(TEXTSPLIT(DU136,",")))),IF(DW136="",TRUE,IF(input_faculty_category="",TRUE,SUMPRODUCT(--ISNUMBER(SEARCH(","&amp;TRIM(TEXTSPLIT(DW136,","))&amp;",",","&amp;SUBSTITUTE(input_faculty_category," ","")&amp;",")))=0)),IF(DY136="",TRUE,IF(input_faculty_category="",FALSE,SUMPRODUCT(--ISNUMBER(SEARCH(","&amp;TRIM(TEXTSPLIT(DY136,","))&amp;",",","&amp;SUBSTITUTE(input_faculty_category," ","")&amp;",")))&gt;0)),IF(EA136="",TRUE,IF(input_faculty_category="",FALSE,SUMPRODUCT(--ISNUMBER(SEARCH(","&amp;TRIM(TEXTSPLIT(EA136,","))&amp;",",","&amp;SUBSTITUTE(input_faculty_category," ","")&amp;",")))=COUNTA(TEXTSPLIT(EA136,",")))))</f>
        <v/>
      </c>
      <c r="JF136" s="19">
        <f>AND(IF(EC136="",TRUE,IF(input_faculty_discipline="",FALSE,SUMPRODUCT(--ISNUMBER(SEARCH(","&amp;TRIM(TEXTSPLIT(EC136,","))&amp;",",","&amp;SUBSTITUTE(input_faculty_discipline," ","")&amp;",")))&gt;0)),IF(EE136="",TRUE,IF(input_faculty_discipline="",FALSE,SUMPRODUCT(--ISNUMBER(SEARCH(","&amp;TRIM(TEXTSPLIT(EE136,","))&amp;",",","&amp;SUBSTITUTE(input_faculty_discipline," ","")&amp;",")))=COUNTA(TEXTSPLIT(EE136,",")))),IF(EG136="",TRUE,IF(input_faculty_discipline="",TRUE,SUMPRODUCT(--ISNUMBER(SEARCH(","&amp;TRIM(TEXTSPLIT(EG136,","))&amp;",",","&amp;SUBSTITUTE(input_faculty_discipline," ","")&amp;",")))=0)),IF(EI136="",TRUE,IF(input_faculty_discipline="",FALSE,SUMPRODUCT(--ISNUMBER(SEARCH(","&amp;TRIM(TEXTSPLIT(EI136,","))&amp;",",","&amp;SUBSTITUTE(input_faculty_discipline," ","")&amp;",")))&gt;0)),IF(EK136="",TRUE,IF(input_faculty_discipline="",FALSE,SUMPRODUCT(--ISNUMBER(SEARCH(","&amp;TRIM(TEXTSPLIT(EK136,","))&amp;",",","&amp;SUBSTITUTE(input_faculty_discipline," ","")&amp;",")))=COUNTA(TEXTSPLIT(EK136,",")))))</f>
        <v/>
      </c>
      <c r="JG136" s="19">
        <f>AND(IF(EM136="",TRUE,IF(input_faculty_expertise="",FALSE,SUMPRODUCT(--ISNUMBER(SEARCH(","&amp;TRIM(TEXTSPLIT(EM136,","))&amp;",",","&amp;SUBSTITUTE(input_faculty_expertise," ","")&amp;",")))&gt;0)),IF(EO136="",TRUE,IF(input_faculty_expertise="",FALSE,SUMPRODUCT(--ISNUMBER(SEARCH(","&amp;TRIM(TEXTSPLIT(EO136,","))&amp;",",","&amp;SUBSTITUTE(input_faculty_expertise," ","")&amp;",")))=COUNTA(TEXTSPLIT(EO136,",")))),IF(EQ136="",TRUE,IF(input_faculty_expertise="",TRUE,SUMPRODUCT(--ISNUMBER(SEARCH(","&amp;TRIM(TEXTSPLIT(EQ136,","))&amp;",",","&amp;SUBSTITUTE(input_faculty_expertise," ","")&amp;",")))=0)),IF(ES136="",TRUE,IF(input_faculty_expertise="",FALSE,SUMPRODUCT(--ISNUMBER(SEARCH(","&amp;TRIM(TEXTSPLIT(ES136,","))&amp;",",","&amp;SUBSTITUTE(input_faculty_expertise," ","")&amp;",")))&gt;0)),IF(EU136="",TRUE,IF(input_faculty_expertise="",FALSE,SUMPRODUCT(--ISNUMBER(SEARCH(","&amp;TRIM(TEXTSPLIT(EU136,","))&amp;",",","&amp;SUBSTITUTE(input_faculty_expertise," ","")&amp;",")))=COUNTA(TEXTSPLIT(EU136,",")))))</f>
        <v/>
      </c>
      <c r="JH136" s="19">
        <f>AND(IF(EW136="",TRUE,IF(input_global_network_school="",FALSE,SUMPRODUCT(--ISNUMBER(SEARCH(","&amp;TRIM(TEXTSPLIT(EW136,","))&amp;",",","&amp;SUBSTITUTE(input_global_network_school," ","")&amp;",")))&gt;0)),IF(EY136="",TRUE,IF(input_global_network_school="",FALSE,SUMPRODUCT(--ISNUMBER(SEARCH(","&amp;TRIM(TEXTSPLIT(EY136,","))&amp;",",","&amp;SUBSTITUTE(input_global_network_school," ","")&amp;",")))=COUNTA(TEXTSPLIT(EY136,",")))),IF(FA136="",TRUE,IF(input_global_network_school="",TRUE,SUMPRODUCT(--ISNUMBER(SEARCH(","&amp;TRIM(TEXTSPLIT(FA136,","))&amp;",",","&amp;SUBSTITUTE(input_global_network_school," ","")&amp;",")))=0)),IF(FC136="",TRUE,IF(input_global_network_school="",FALSE,SUMPRODUCT(--ISNUMBER(SEARCH(","&amp;TRIM(TEXTSPLIT(FC136,","))&amp;",",","&amp;SUBSTITUTE(input_global_network_school," ","")&amp;",")))&gt;0)),IF(FE136="",TRUE,IF(input_global_network_school="",FALSE,SUMPRODUCT(--ISNUMBER(SEARCH(","&amp;TRIM(TEXTSPLIT(FE136,","))&amp;",",","&amp;SUBSTITUTE(input_global_network_school," ","")&amp;",")))=COUNTA(TEXTSPLIT(FE136,",")))))</f>
        <v/>
      </c>
      <c r="JI136" s="19">
        <f>AND(IF(FG136="",TRUE,IF(input_industry="",FALSE,SUMPRODUCT(--ISNUMBER(SEARCH(","&amp;TRIM(TEXTSPLIT(FG136,","))&amp;",",","&amp;SUBSTITUTE(input_industry," ","")&amp;",")))&gt;0)),IF(FI136="",TRUE,IF(input_industry="",FALSE,SUMPRODUCT(--ISNUMBER(SEARCH(","&amp;TRIM(TEXTSPLIT(FI136,","))&amp;",",","&amp;SUBSTITUTE(input_industry," ","")&amp;",")))=COUNTA(TEXTSPLIT(FI136,",")))),IF(FK136="",TRUE,IF(input_industry="",TRUE,SUMPRODUCT(--ISNUMBER(SEARCH(","&amp;TRIM(TEXTSPLIT(FK136,","))&amp;",",","&amp;SUBSTITUTE(input_industry," ","")&amp;",")))=0)),IF(FM136="",TRUE,IF(input_industry="",FALSE,SUMPRODUCT(--ISNUMBER(SEARCH(","&amp;TRIM(TEXTSPLIT(FM136,","))&amp;",",","&amp;SUBSTITUTE(input_industry," ","")&amp;",")))&gt;0)),IF(FO136="",TRUE,IF(input_industry="",FALSE,SUMPRODUCT(--ISNUMBER(SEARCH(","&amp;TRIM(TEXTSPLIT(FO136,","))&amp;",",","&amp;SUBSTITUTE(input_industry," ","")&amp;",")))=COUNTA(TEXTSPLIT(FO136,",")))))</f>
        <v/>
      </c>
      <c r="JJ136" s="19">
        <f>AND(IF(FQ136="",TRUE,IF(input_location="",FALSE,SUMPRODUCT(--ISNUMBER(SEARCH(","&amp;TRIM(TEXTSPLIT(FQ136,","))&amp;",",","&amp;SUBSTITUTE(input_location," ","")&amp;",")))&gt;0)),IF(FS136="",TRUE,IF(input_location="",FALSE,SUMPRODUCT(--ISNUMBER(SEARCH(","&amp;TRIM(TEXTSPLIT(FS136,","))&amp;",",","&amp;SUBSTITUTE(input_location," ","")&amp;",")))=COUNTA(TEXTSPLIT(FS136,",")))),IF(FU136="",TRUE,IF(input_location="",TRUE,SUMPRODUCT(--ISNUMBER(SEARCH(","&amp;TRIM(TEXTSPLIT(FU136,","))&amp;",",","&amp;SUBSTITUTE(input_location," ","")&amp;",")))=0)),IF(FW136="",TRUE,IF(input_location="",FALSE,SUMPRODUCT(--ISNUMBER(SEARCH(","&amp;TRIM(TEXTSPLIT(FW136,","))&amp;",",","&amp;SUBSTITUTE(input_location," ","")&amp;",")))&gt;0)),IF(FY136="",TRUE,IF(input_location="",FALSE,SUMPRODUCT(--ISNUMBER(SEARCH(","&amp;TRIM(TEXTSPLIT(FY136,","))&amp;",",","&amp;SUBSTITUTE(input_location," ","")&amp;",")))=COUNTA(TEXTSPLIT(FY136,",")))))</f>
        <v/>
      </c>
      <c r="JK136" s="19">
        <f>AND(IF(GA136="",TRUE,IF(input_modality="",FALSE,SUMPRODUCT(--ISNUMBER(SEARCH(","&amp;TRIM(TEXTSPLIT(GA136,","))&amp;",",","&amp;SUBSTITUTE(input_modality," ","")&amp;",")))&gt;0)),IF(GC136="",TRUE,IF(input_modality="",FALSE,SUMPRODUCT(--ISNUMBER(SEARCH(","&amp;TRIM(TEXTSPLIT(GC136,","))&amp;",",","&amp;SUBSTITUTE(input_modality," ","")&amp;",")))=COUNTA(TEXTSPLIT(GC136,",")))),IF(GE136="",TRUE,IF(input_modality="",TRUE,SUMPRODUCT(--ISNUMBER(SEARCH(","&amp;TRIM(TEXTSPLIT(GE136,","))&amp;",",","&amp;SUBSTITUTE(input_modality," ","")&amp;",")))=0)),IF(GG136="",TRUE,IF(input_modality="",FALSE,SUMPRODUCT(--ISNUMBER(SEARCH(","&amp;TRIM(TEXTSPLIT(GG136,","))&amp;",",","&amp;SUBSTITUTE(input_modality," ","")&amp;",")))&gt;0)),IF(GI136="",TRUE,IF(input_modality="",FALSE,SUMPRODUCT(--ISNUMBER(SEARCH(","&amp;TRIM(TEXTSPLIT(GI136,","))&amp;",",","&amp;SUBSTITUTE(input_modality," ","")&amp;",")))=COUNTA(TEXTSPLIT(GI136,",")))))</f>
        <v/>
      </c>
      <c r="JL136" s="19">
        <f>AND(IF(GK136="",TRUE,IF(input_organizer="",FALSE,SUMPRODUCT(--ISNUMBER(SEARCH(","&amp;TRIM(TEXTSPLIT(GK136,","))&amp;",",","&amp;SUBSTITUTE(input_organizer," ","")&amp;",")))&gt;0)),IF(GM136="",TRUE,IF(input_organizer="",FALSE,SUMPRODUCT(--ISNUMBER(SEARCH(","&amp;TRIM(TEXTSPLIT(GM136,","))&amp;",",","&amp;SUBSTITUTE(input_organizer," ","")&amp;",")))=COUNTA(TEXTSPLIT(GM136,",")))),IF(GO136="",TRUE,IF(input_organizer="",TRUE,SUMPRODUCT(--ISNUMBER(SEARCH(","&amp;TRIM(TEXTSPLIT(GO136,","))&amp;",",","&amp;SUBSTITUTE(input_organizer," ","")&amp;",")))=0)),IF(GQ136="",TRUE,IF(input_organizer="",FALSE,SUMPRODUCT(--ISNUMBER(SEARCH(","&amp;TRIM(TEXTSPLIT(GQ136,","))&amp;",",","&amp;SUBSTITUTE(input_organizer," ","")&amp;",")))&gt;0)),IF(GS136="",TRUE,IF(input_organizer="",FALSE,SUMPRODUCT(--ISNUMBER(SEARCH(","&amp;TRIM(TEXTSPLIT(GS136,","))&amp;",",","&amp;SUBSTITUTE(input_organizer," ","")&amp;",")))=COUNTA(TEXTSPLIT(GS136,",")))))</f>
        <v/>
      </c>
      <c r="JM136" s="19">
        <f>AND(IF(GU136="",TRUE,IF(input_profile_type="",FALSE,SUMPRODUCT(--ISNUMBER(SEARCH(","&amp;TRIM(TEXTSPLIT(GU136,","))&amp;",",","&amp;SUBSTITUTE(input_profile_type," ","")&amp;",")))&gt;0)),IF(GW136="",TRUE,IF(input_profile_type="",FALSE,SUMPRODUCT(--ISNUMBER(SEARCH(","&amp;TRIM(TEXTSPLIT(GW136,","))&amp;",",","&amp;SUBSTITUTE(input_profile_type," ","")&amp;",")))=COUNTA(TEXTSPLIT(GW136,",")))),IF(GY136="",TRUE,IF(input_profile_type="",TRUE,SUMPRODUCT(--ISNUMBER(SEARCH(","&amp;TRIM(TEXTSPLIT(GY136,","))&amp;",",","&amp;SUBSTITUTE(input_profile_type," ","")&amp;",")))=0)),IF(HA136="",TRUE,IF(input_profile_type="",FALSE,SUMPRODUCT(--ISNUMBER(SEARCH(","&amp;TRIM(TEXTSPLIT(HA136,","))&amp;",",","&amp;SUBSTITUTE(input_profile_type," ","")&amp;",")))&gt;0)),IF(HC136="",TRUE,IF(input_profile_type="",FALSE,SUMPRODUCT(--ISNUMBER(SEARCH(","&amp;TRIM(TEXTSPLIT(HC136,","))&amp;",",","&amp;SUBSTITUTE(input_profile_type," ","")&amp;",")))=COUNTA(TEXTSPLIT(HC136,",")))))</f>
        <v/>
      </c>
      <c r="JN136" s="19">
        <f>AND(IF(HE136="",TRUE,IF(input_program="",FALSE,SUMPRODUCT(--ISNUMBER(SEARCH(","&amp;TRIM(TEXTSPLIT(HE136,","))&amp;",",","&amp;SUBSTITUTE(input_program," ","")&amp;",")))&gt;0)),IF(HG136="",TRUE,IF(input_program="",FALSE,SUMPRODUCT(--ISNUMBER(SEARCH(","&amp;TRIM(TEXTSPLIT(HG136,","))&amp;",",","&amp;SUBSTITUTE(input_program," ","")&amp;",")))=COUNTA(TEXTSPLIT(HG136,",")))),IF(HI136="",TRUE,IF(input_program="",TRUE,SUMPRODUCT(--ISNUMBER(SEARCH(","&amp;TRIM(TEXTSPLIT(HI136,","))&amp;",",","&amp;SUBSTITUTE(input_program," ","")&amp;",")))=0)),IF(HK136="",TRUE,IF(input_program="",FALSE,SUMPRODUCT(--ISNUMBER(SEARCH(","&amp;TRIM(TEXTSPLIT(HK136,","))&amp;",",","&amp;SUBSTITUTE(input_program," ","")&amp;",")))&gt;0)),IF(HM136="",TRUE,IF(input_program="",FALSE,SUMPRODUCT(--ISNUMBER(SEARCH(","&amp;TRIM(TEXTSPLIT(HM136,","))&amp;",",","&amp;SUBSTITUTE(input_program," ","")&amp;",")))=COUNTA(TEXTSPLIT(HM136,",")))))</f>
        <v/>
      </c>
      <c r="JO136" s="19">
        <f>AND(IF(HO136="",TRUE,IF(input_story_categories="",FALSE,SUMPRODUCT(--ISNUMBER(SEARCH(","&amp;TRIM(TEXTSPLIT(HO136,","))&amp;",",","&amp;SUBSTITUTE(input_story_categories," ","")&amp;",")))&gt;0)),IF(HQ136="",TRUE,IF(input_story_categories="",FALSE,SUMPRODUCT(--ISNUMBER(SEARCH(","&amp;TRIM(TEXTSPLIT(HQ136,","))&amp;",",","&amp;SUBSTITUTE(input_story_categories," ","")&amp;",")))=COUNTA(TEXTSPLIT(HQ136,",")))),IF(HS136="",TRUE,IF(input_story_categories="",TRUE,SUMPRODUCT(--ISNUMBER(SEARCH(","&amp;TRIM(TEXTSPLIT(HS136,","))&amp;",",","&amp;SUBSTITUTE(input_story_categories," ","")&amp;",")))=0)),IF(HU136="",TRUE,IF(input_story_categories="",FALSE,SUMPRODUCT(--ISNUMBER(SEARCH(","&amp;TRIM(TEXTSPLIT(HU136,","))&amp;",",","&amp;SUBSTITUTE(input_story_categories," ","")&amp;",")))&gt;0)),IF(HW136="",TRUE,IF(input_story_categories="",FALSE,SUMPRODUCT(--ISNUMBER(SEARCH(","&amp;TRIM(TEXTSPLIT(HW136,","))&amp;",",","&amp;SUBSTITUTE(input_story_categories," ","")&amp;",")))=COUNTA(TEXTSPLIT(HW136,",")))))</f>
        <v/>
      </c>
      <c r="JP136" s="19">
        <f>AND(IF(HY136="",TRUE,IF(input_story_type="",FALSE,SUMPRODUCT(--ISNUMBER(SEARCH(","&amp;TRIM(TEXTSPLIT(HY136,","))&amp;",",","&amp;SUBSTITUTE(input_story_type," ","")&amp;",")))&gt;0)),IF(IA136="",TRUE,IF(input_story_type="",FALSE,SUMPRODUCT(--ISNUMBER(SEARCH(","&amp;TRIM(TEXTSPLIT(IA136,","))&amp;",",","&amp;SUBSTITUTE(input_story_type," ","")&amp;",")))=COUNTA(TEXTSPLIT(IA136,",")))),IF(IC136="",TRUE,IF(input_story_type="",TRUE,SUMPRODUCT(--ISNUMBER(SEARCH(","&amp;TRIM(TEXTSPLIT(IC136,","))&amp;",",","&amp;SUBSTITUTE(input_story_type," ","")&amp;",")))=0)),IF(IE136="",TRUE,IF(input_story_type="",FALSE,SUMPRODUCT(--ISNUMBER(SEARCH(","&amp;TRIM(TEXTSPLIT(IE136,","))&amp;",",","&amp;SUBSTITUTE(input_story_type," ","")&amp;",")))&gt;0)),IF(IG136="",TRUE,IF(input_story_type="",FALSE,SUMPRODUCT(--ISNUMBER(SEARCH(","&amp;TRIM(TEXTSPLIT(IG136,","))&amp;",",","&amp;SUBSTITUTE(input_story_type," ","")&amp;",")))=COUNTA(TEXTSPLIT(IG136,",")))))</f>
        <v/>
      </c>
      <c r="JQ136" s="19">
        <f>AND(IF(II136="",TRUE,IF(input_topics="",FALSE,SUMPRODUCT(--ISNUMBER(SEARCH(","&amp;TRIM(TEXTSPLIT(II136,","))&amp;",",","&amp;SUBSTITUTE(input_topics," ","")&amp;",")))&gt;0)),IF(IK136="",TRUE,IF(input_topics="",FALSE,SUMPRODUCT(--ISNUMBER(SEARCH(","&amp;TRIM(TEXTSPLIT(IK136,","))&amp;",",","&amp;SUBSTITUTE(input_topics," ","")&amp;",")))=COUNTA(TEXTSPLIT(IK136,",")))),IF(IM136="",TRUE,IF(input_topics="",TRUE,SUMPRODUCT(--ISNUMBER(SEARCH(","&amp;TRIM(TEXTSPLIT(IM136,","))&amp;",",","&amp;SUBSTITUTE(input_topics," ","")&amp;",")))=0)),IF(IO136="",TRUE,IF(input_topics="",FALSE,SUMPRODUCT(--ISNUMBER(SEARCH(","&amp;TRIM(TEXTSPLIT(IO136,","))&amp;",",","&amp;SUBSTITUTE(input_topics," ","")&amp;",")))&gt;0)),IF(IQ136="",TRUE,IF(input_topics="",FALSE,SUMPRODUCT(--ISNUMBER(SEARCH(","&amp;TRIM(TEXTSPLIT(IQ136,","))&amp;",",","&amp;SUBSTITUTE(input_topics," ","")&amp;",")))=COUNTA(TEXTSPLIT(IQ136,",")))))</f>
        <v/>
      </c>
    </row>
    <row r="137">
      <c r="A137" s="24">
        <f>IF(NOT(IS137),"Excluded",IF(AND(IT137,IU137,IV137,IW137,IX137,IY137,IZ137,JA137,JB137,JC137,JD137,JE137,JF137,JG137,JH137,JI137,JJ137,JK137,JL137,JM137,JN137,JO137,JP137,JQ137),IF(I137&gt;0,"Eligible but limited","Will appear"),"Excluded"))</f>
        <v/>
      </c>
      <c r="B137" s="24" t="inlineStr">
        <is>
          <t>News - Summary</t>
        </is>
      </c>
      <c r="C137" s="27" t="inlineStr">
        <is>
          <t>/</t>
        </is>
      </c>
      <c r="D137" s="24" t="inlineStr">
        <is>
          <t>/</t>
        </is>
      </c>
      <c r="E137" s="24" t="n">
        <v>1</v>
      </c>
      <c r="F137" s="24" t="inlineStr">
        <is>
          <t>story</t>
        </is>
      </c>
      <c r="G137" s="24" t="inlineStr">
        <is>
          <t>stories_mosaic_grid</t>
        </is>
      </c>
      <c r="H137" s="24" t="inlineStr">
        <is>
          <t>embed_news_summary</t>
        </is>
      </c>
      <c r="I137" s="24" t="n">
        <v>1</v>
      </c>
      <c r="J137" s="24" t="inlineStr">
        <is>
          <t>View/config rules</t>
        </is>
      </c>
      <c r="K137" s="24" t="inlineStr">
        <is>
          <t>Page placement</t>
        </is>
      </c>
      <c r="L137" s="24" t="inlineStr">
        <is>
          <t>Content type: story; Needs any Story Type: News (924); Limited to 1 item(s); Source: View/config rules</t>
        </is>
      </c>
      <c r="HY137" s="19" t="inlineStr">
        <is>
          <t>924</t>
        </is>
      </c>
      <c r="HZ137" s="19" t="inlineStr">
        <is>
          <t>News (924)</t>
        </is>
      </c>
      <c r="IS137" s="19">
        <f>IF(input_content_type="",FALSE,ISNUMBER(SEARCH(","&amp;LOWER(input_content_type)&amp;",",","&amp;LOWER(SUBSTITUTE(F137," ",""))&amp;",")))</f>
        <v/>
      </c>
      <c r="IT137" s="19">
        <f>AND(IF(M137="",TRUE,IF(input_affiliations="",FALSE,SUMPRODUCT(--ISNUMBER(SEARCH(","&amp;TRIM(TEXTSPLIT(M137,","))&amp;",",","&amp;SUBSTITUTE(input_affiliations," ","")&amp;",")))&gt;0)),IF(O137="",TRUE,IF(input_affiliations="",FALSE,SUMPRODUCT(--ISNUMBER(SEARCH(","&amp;TRIM(TEXTSPLIT(O137,","))&amp;",",","&amp;SUBSTITUTE(input_affiliations," ","")&amp;",")))=COUNTA(TEXTSPLIT(O137,",")))),IF(Q137="",TRUE,IF(input_affiliations="",TRUE,SUMPRODUCT(--ISNUMBER(SEARCH(","&amp;TRIM(TEXTSPLIT(Q137,","))&amp;",",","&amp;SUBSTITUTE(input_affiliations," ","")&amp;",")))=0)),IF(S137="",TRUE,IF(input_affiliations="",FALSE,SUMPRODUCT(--ISNUMBER(SEARCH(","&amp;TRIM(TEXTSPLIT(S137,","))&amp;",",","&amp;SUBSTITUTE(input_affiliations," ","")&amp;",")))&gt;0)),IF(U137="",TRUE,IF(input_affiliations="",FALSE,SUMPRODUCT(--ISNUMBER(SEARCH(","&amp;TRIM(TEXTSPLIT(U137,","))&amp;",",","&amp;SUBSTITUTE(input_affiliations," ","")&amp;",")))=COUNTA(TEXTSPLIT(U137,",")))))</f>
        <v/>
      </c>
      <c r="IU137" s="19">
        <f>AND(IF(W137="",TRUE,IF(input_announcement_category="",FALSE,SUMPRODUCT(--ISNUMBER(SEARCH(","&amp;TRIM(TEXTSPLIT(W137,","))&amp;",",","&amp;SUBSTITUTE(input_announcement_category," ","")&amp;",")))&gt;0)),IF(Y137="",TRUE,IF(input_announcement_category="",FALSE,SUMPRODUCT(--ISNUMBER(SEARCH(","&amp;TRIM(TEXTSPLIT(Y137,","))&amp;",",","&amp;SUBSTITUTE(input_announcement_category," ","")&amp;",")))=COUNTA(TEXTSPLIT(Y137,",")))),IF(AA137="",TRUE,IF(input_announcement_category="",TRUE,SUMPRODUCT(--ISNUMBER(SEARCH(","&amp;TRIM(TEXTSPLIT(AA137,","))&amp;",",","&amp;SUBSTITUTE(input_announcement_category," ","")&amp;",")))=0)),IF(AC137="",TRUE,IF(input_announcement_category="",FALSE,SUMPRODUCT(--ISNUMBER(SEARCH(","&amp;TRIM(TEXTSPLIT(AC137,","))&amp;",",","&amp;SUBSTITUTE(input_announcement_category," ","")&amp;",")))&gt;0)),IF(AE137="",TRUE,IF(input_announcement_category="",FALSE,SUMPRODUCT(--ISNUMBER(SEARCH(","&amp;TRIM(TEXTSPLIT(AE137,","))&amp;",",","&amp;SUBSTITUTE(input_announcement_category," ","")&amp;",")))=COUNTA(TEXTSPLIT(AE137,",")))))</f>
        <v/>
      </c>
      <c r="IV137" s="19">
        <f>AND(IF(AG137="",TRUE,IF(input_area_of_focus="",FALSE,SUMPRODUCT(--ISNUMBER(SEARCH(","&amp;TRIM(TEXTSPLIT(AG137,","))&amp;",",","&amp;SUBSTITUTE(input_area_of_focus," ","")&amp;",")))&gt;0)),IF(AI137="",TRUE,IF(input_area_of_focus="",FALSE,SUMPRODUCT(--ISNUMBER(SEARCH(","&amp;TRIM(TEXTSPLIT(AI137,","))&amp;",",","&amp;SUBSTITUTE(input_area_of_focus," ","")&amp;",")))=COUNTA(TEXTSPLIT(AI137,",")))),IF(AK137="",TRUE,IF(input_area_of_focus="",TRUE,SUMPRODUCT(--ISNUMBER(SEARCH(","&amp;TRIM(TEXTSPLIT(AK137,","))&amp;",",","&amp;SUBSTITUTE(input_area_of_focus," ","")&amp;",")))=0)),IF(AM137="",TRUE,IF(input_area_of_focus="",FALSE,SUMPRODUCT(--ISNUMBER(SEARCH(","&amp;TRIM(TEXTSPLIT(AM137,","))&amp;",",","&amp;SUBSTITUTE(input_area_of_focus," ","")&amp;",")))&gt;0)),IF(AO137="",TRUE,IF(input_area_of_focus="",FALSE,SUMPRODUCT(--ISNUMBER(SEARCH(","&amp;TRIM(TEXTSPLIT(AO137,","))&amp;",",","&amp;SUBSTITUTE(input_area_of_focus," ","")&amp;",")))=COUNTA(TEXTSPLIT(AO137,",")))))</f>
        <v/>
      </c>
      <c r="IW137" s="19">
        <f>AND(IF(AQ137="",TRUE,IF(input_audience="",FALSE,SUMPRODUCT(--ISNUMBER(SEARCH(","&amp;TRIM(TEXTSPLIT(AQ137,","))&amp;",",","&amp;SUBSTITUTE(input_audience," ","")&amp;",")))&gt;0)),IF(AS137="",TRUE,IF(input_audience="",FALSE,SUMPRODUCT(--ISNUMBER(SEARCH(","&amp;TRIM(TEXTSPLIT(AS137,","))&amp;",",","&amp;SUBSTITUTE(input_audience," ","")&amp;",")))=COUNTA(TEXTSPLIT(AS137,",")))),IF(AU137="",TRUE,IF(input_audience="",TRUE,SUMPRODUCT(--ISNUMBER(SEARCH(","&amp;TRIM(TEXTSPLIT(AU137,","))&amp;",",","&amp;SUBSTITUTE(input_audience," ","")&amp;",")))=0)),IF(AW137="",TRUE,IF(input_audience="",FALSE,SUMPRODUCT(--ISNUMBER(SEARCH(","&amp;TRIM(TEXTSPLIT(AW137,","))&amp;",",","&amp;SUBSTITUTE(input_audience," ","")&amp;",")))&gt;0)),IF(AY137="",TRUE,IF(input_audience="",FALSE,SUMPRODUCT(--ISNUMBER(SEARCH(","&amp;TRIM(TEXTSPLIT(AY137,","))&amp;",",","&amp;SUBSTITUTE(input_audience," ","")&amp;",")))=COUNTA(TEXTSPLIT(AY137,",")))))</f>
        <v/>
      </c>
      <c r="IX137" s="19">
        <f>AND(IF(BA137="",TRUE,IF(input_challenge_opportunities="",FALSE,SUMPRODUCT(--ISNUMBER(SEARCH(","&amp;TRIM(TEXTSPLIT(BA137,","))&amp;",",","&amp;SUBSTITUTE(input_challenge_opportunities," ","")&amp;",")))&gt;0)),IF(BC137="",TRUE,IF(input_challenge_opportunities="",FALSE,SUMPRODUCT(--ISNUMBER(SEARCH(","&amp;TRIM(TEXTSPLIT(BC137,","))&amp;",",","&amp;SUBSTITUTE(input_challenge_opportunities," ","")&amp;",")))=COUNTA(TEXTSPLIT(BC137,",")))),IF(BE137="",TRUE,IF(input_challenge_opportunities="",TRUE,SUMPRODUCT(--ISNUMBER(SEARCH(","&amp;TRIM(TEXTSPLIT(BE137,","))&amp;",",","&amp;SUBSTITUTE(input_challenge_opportunities," ","")&amp;",")))=0)),IF(BG137="",TRUE,IF(input_challenge_opportunities="",FALSE,SUMPRODUCT(--ISNUMBER(SEARCH(","&amp;TRIM(TEXTSPLIT(BG137,","))&amp;",",","&amp;SUBSTITUTE(input_challenge_opportunities," ","")&amp;",")))&gt;0)),IF(BI137="",TRUE,IF(input_challenge_opportunities="",FALSE,SUMPRODUCT(--ISNUMBER(SEARCH(","&amp;TRIM(TEXTSPLIT(BI137,","))&amp;",",","&amp;SUBSTITUTE(input_challenge_opportunities," ","")&amp;",")))=COUNTA(TEXTSPLIT(BI137,",")))))</f>
        <v/>
      </c>
      <c r="IY137" s="19">
        <f>AND(IF(BK137="",TRUE,IF(input_context="",FALSE,SUMPRODUCT(--ISNUMBER(SEARCH(","&amp;TRIM(TEXTSPLIT(BK137,","))&amp;",",","&amp;SUBSTITUTE(input_context," ","")&amp;",")))&gt;0)),IF(BM137="",TRUE,IF(input_context="",FALSE,SUMPRODUCT(--ISNUMBER(SEARCH(","&amp;TRIM(TEXTSPLIT(BM137,","))&amp;",",","&amp;SUBSTITUTE(input_context," ","")&amp;",")))=COUNTA(TEXTSPLIT(BM137,",")))),IF(BO137="",TRUE,IF(input_context="",TRUE,SUMPRODUCT(--ISNUMBER(SEARCH(","&amp;TRIM(TEXTSPLIT(BO137,","))&amp;",",","&amp;SUBSTITUTE(input_context," ","")&amp;",")))=0)),IF(BQ137="",TRUE,IF(input_context="",FALSE,SUMPRODUCT(--ISNUMBER(SEARCH(","&amp;TRIM(TEXTSPLIT(BQ137,","))&amp;",",","&amp;SUBSTITUTE(input_context," ","")&amp;",")))&gt;0)),IF(BS137="",TRUE,IF(input_context="",FALSE,SUMPRODUCT(--ISNUMBER(SEARCH(","&amp;TRIM(TEXTSPLIT(BS137,","))&amp;",",","&amp;SUBSTITUTE(input_context," ","")&amp;",")))=COUNTA(TEXTSPLIT(BS137,",")))))</f>
        <v/>
      </c>
      <c r="IZ137" s="19">
        <f>AND(IF(BU137="",TRUE,IF(input_enews_announcement_type="",FALSE,SUMPRODUCT(--ISNUMBER(SEARCH(","&amp;TRIM(TEXTSPLIT(BU137,","))&amp;",",","&amp;SUBSTITUTE(input_enews_announcement_type," ","")&amp;",")))&gt;0)),IF(BW137="",TRUE,IF(input_enews_announcement_type="",FALSE,SUMPRODUCT(--ISNUMBER(SEARCH(","&amp;TRIM(TEXTSPLIT(BW137,","))&amp;",",","&amp;SUBSTITUTE(input_enews_announcement_type," ","")&amp;",")))=COUNTA(TEXTSPLIT(BW137,",")))),IF(BY137="",TRUE,IF(input_enews_announcement_type="",TRUE,SUMPRODUCT(--ISNUMBER(SEARCH(","&amp;TRIM(TEXTSPLIT(BY137,","))&amp;",",","&amp;SUBSTITUTE(input_enews_announcement_type," ","")&amp;",")))=0)),IF(CA137="",TRUE,IF(input_enews_announcement_type="",FALSE,SUMPRODUCT(--ISNUMBER(SEARCH(","&amp;TRIM(TEXTSPLIT(CA137,","))&amp;",",","&amp;SUBSTITUTE(input_enews_announcement_type," ","")&amp;",")))&gt;0)),IF(CC137="",TRUE,IF(input_enews_announcement_type="",FALSE,SUMPRODUCT(--ISNUMBER(SEARCH(","&amp;TRIM(TEXTSPLIT(CC137,","))&amp;",",","&amp;SUBSTITUTE(input_enews_announcement_type," ","")&amp;",")))=COUNTA(TEXTSPLIT(CC137,",")))))</f>
        <v/>
      </c>
      <c r="JA137" s="19">
        <f>AND(IF(CE137="",TRUE,IF(input_enews_audience="",FALSE,SUMPRODUCT(--ISNUMBER(SEARCH(","&amp;TRIM(TEXTSPLIT(CE137,","))&amp;",",","&amp;SUBSTITUTE(input_enews_audience," ","")&amp;",")))&gt;0)),IF(CG137="",TRUE,IF(input_enews_audience="",FALSE,SUMPRODUCT(--ISNUMBER(SEARCH(","&amp;TRIM(TEXTSPLIT(CG137,","))&amp;",",","&amp;SUBSTITUTE(input_enews_audience," ","")&amp;",")))=COUNTA(TEXTSPLIT(CG137,",")))),IF(CI137="",TRUE,IF(input_enews_audience="",TRUE,SUMPRODUCT(--ISNUMBER(SEARCH(","&amp;TRIM(TEXTSPLIT(CI137,","))&amp;",",","&amp;SUBSTITUTE(input_enews_audience," ","")&amp;",")))=0)),IF(CK137="",TRUE,IF(input_enews_audience="",FALSE,SUMPRODUCT(--ISNUMBER(SEARCH(","&amp;TRIM(TEXTSPLIT(CK137,","))&amp;",",","&amp;SUBSTITUTE(input_enews_audience," ","")&amp;",")))&gt;0)),IF(CM137="",TRUE,IF(input_enews_audience="",FALSE,SUMPRODUCT(--ISNUMBER(SEARCH(","&amp;TRIM(TEXTSPLIT(CM137,","))&amp;",",","&amp;SUBSTITUTE(input_enews_audience," ","")&amp;",")))=COUNTA(TEXTSPLIT(CM137,",")))))</f>
        <v/>
      </c>
      <c r="JB137" s="19">
        <f>AND(IF(CO137="",TRUE,IF(input_event_location="",FALSE,SUMPRODUCT(--ISNUMBER(SEARCH(","&amp;TRIM(TEXTSPLIT(CO137,","))&amp;",",","&amp;SUBSTITUTE(input_event_location," ","")&amp;",")))&gt;0)),IF(CQ137="",TRUE,IF(input_event_location="",FALSE,SUMPRODUCT(--ISNUMBER(SEARCH(","&amp;TRIM(TEXTSPLIT(CQ137,","))&amp;",",","&amp;SUBSTITUTE(input_event_location," ","")&amp;",")))=COUNTA(TEXTSPLIT(CQ137,",")))),IF(CS137="",TRUE,IF(input_event_location="",TRUE,SUMPRODUCT(--ISNUMBER(SEARCH(","&amp;TRIM(TEXTSPLIT(CS137,","))&amp;",",","&amp;SUBSTITUTE(input_event_location," ","")&amp;",")))=0)),IF(CU137="",TRUE,IF(input_event_location="",FALSE,SUMPRODUCT(--ISNUMBER(SEARCH(","&amp;TRIM(TEXTSPLIT(CU137,","))&amp;",",","&amp;SUBSTITUTE(input_event_location," ","")&amp;",")))&gt;0)),IF(CW137="",TRUE,IF(input_event_location="",FALSE,SUMPRODUCT(--ISNUMBER(SEARCH(","&amp;TRIM(TEXTSPLIT(CW137,","))&amp;",",","&amp;SUBSTITUTE(input_event_location," ","")&amp;",")))=COUNTA(TEXTSPLIT(CW137,",")))))</f>
        <v/>
      </c>
      <c r="JC137" s="19">
        <f>AND(IF(CY137="",TRUE,IF(input_event_type="",FALSE,SUMPRODUCT(--ISNUMBER(SEARCH(","&amp;TRIM(TEXTSPLIT(CY137,","))&amp;",",","&amp;SUBSTITUTE(input_event_type," ","")&amp;",")))&gt;0)),IF(DA137="",TRUE,IF(input_event_type="",FALSE,SUMPRODUCT(--ISNUMBER(SEARCH(","&amp;TRIM(TEXTSPLIT(DA137,","))&amp;",",","&amp;SUBSTITUTE(input_event_type," ","")&amp;",")))=COUNTA(TEXTSPLIT(DA137,",")))),IF(DC137="",TRUE,IF(input_event_type="",TRUE,SUMPRODUCT(--ISNUMBER(SEARCH(","&amp;TRIM(TEXTSPLIT(DC137,","))&amp;",",","&amp;SUBSTITUTE(input_event_type," ","")&amp;",")))=0)),IF(DE137="",TRUE,IF(input_event_type="",FALSE,SUMPRODUCT(--ISNUMBER(SEARCH(","&amp;TRIM(TEXTSPLIT(DE137,","))&amp;",",","&amp;SUBSTITUTE(input_event_type," ","")&amp;",")))&gt;0)),IF(DG137="",TRUE,IF(input_event_type="",FALSE,SUMPRODUCT(--ISNUMBER(SEARCH(","&amp;TRIM(TEXTSPLIT(DG137,","))&amp;",",","&amp;SUBSTITUTE(input_event_type," ","")&amp;",")))=COUNTA(TEXTSPLIT(DG137,",")))))</f>
        <v/>
      </c>
      <c r="JD137" s="19">
        <f>AND(IF(DI137="",TRUE,IF(input_executive_education_focus="",FALSE,SUMPRODUCT(--ISNUMBER(SEARCH(","&amp;TRIM(TEXTSPLIT(DI137,","))&amp;",",","&amp;SUBSTITUTE(input_executive_education_focus," ","")&amp;",")))&gt;0)),IF(DK137="",TRUE,IF(input_executive_education_focus="",FALSE,SUMPRODUCT(--ISNUMBER(SEARCH(","&amp;TRIM(TEXTSPLIT(DK137,","))&amp;",",","&amp;SUBSTITUTE(input_executive_education_focus," ","")&amp;",")))=COUNTA(TEXTSPLIT(DK137,",")))),IF(DM137="",TRUE,IF(input_executive_education_focus="",TRUE,SUMPRODUCT(--ISNUMBER(SEARCH(","&amp;TRIM(TEXTSPLIT(DM137,","))&amp;",",","&amp;SUBSTITUTE(input_executive_education_focus," ","")&amp;",")))=0)),IF(DO137="",TRUE,IF(input_executive_education_focus="",FALSE,SUMPRODUCT(--ISNUMBER(SEARCH(","&amp;TRIM(TEXTSPLIT(DO137,","))&amp;",",","&amp;SUBSTITUTE(input_executive_education_focus," ","")&amp;",")))&gt;0)),IF(DQ137="",TRUE,IF(input_executive_education_focus="",FALSE,SUMPRODUCT(--ISNUMBER(SEARCH(","&amp;TRIM(TEXTSPLIT(DQ137,","))&amp;",",","&amp;SUBSTITUTE(input_executive_education_focus," ","")&amp;",")))=COUNTA(TEXTSPLIT(DQ137,",")))))</f>
        <v/>
      </c>
      <c r="JE137" s="19">
        <f>AND(IF(DS137="",TRUE,IF(input_faculty_category="",FALSE,SUMPRODUCT(--ISNUMBER(SEARCH(","&amp;TRIM(TEXTSPLIT(DS137,","))&amp;",",","&amp;SUBSTITUTE(input_faculty_category," ","")&amp;",")))&gt;0)),IF(DU137="",TRUE,IF(input_faculty_category="",FALSE,SUMPRODUCT(--ISNUMBER(SEARCH(","&amp;TRIM(TEXTSPLIT(DU137,","))&amp;",",","&amp;SUBSTITUTE(input_faculty_category," ","")&amp;",")))=COUNTA(TEXTSPLIT(DU137,",")))),IF(DW137="",TRUE,IF(input_faculty_category="",TRUE,SUMPRODUCT(--ISNUMBER(SEARCH(","&amp;TRIM(TEXTSPLIT(DW137,","))&amp;",",","&amp;SUBSTITUTE(input_faculty_category," ","")&amp;",")))=0)),IF(DY137="",TRUE,IF(input_faculty_category="",FALSE,SUMPRODUCT(--ISNUMBER(SEARCH(","&amp;TRIM(TEXTSPLIT(DY137,","))&amp;",",","&amp;SUBSTITUTE(input_faculty_category," ","")&amp;",")))&gt;0)),IF(EA137="",TRUE,IF(input_faculty_category="",FALSE,SUMPRODUCT(--ISNUMBER(SEARCH(","&amp;TRIM(TEXTSPLIT(EA137,","))&amp;",",","&amp;SUBSTITUTE(input_faculty_category," ","")&amp;",")))=COUNTA(TEXTSPLIT(EA137,",")))))</f>
        <v/>
      </c>
      <c r="JF137" s="19">
        <f>AND(IF(EC137="",TRUE,IF(input_faculty_discipline="",FALSE,SUMPRODUCT(--ISNUMBER(SEARCH(","&amp;TRIM(TEXTSPLIT(EC137,","))&amp;",",","&amp;SUBSTITUTE(input_faculty_discipline," ","")&amp;",")))&gt;0)),IF(EE137="",TRUE,IF(input_faculty_discipline="",FALSE,SUMPRODUCT(--ISNUMBER(SEARCH(","&amp;TRIM(TEXTSPLIT(EE137,","))&amp;",",","&amp;SUBSTITUTE(input_faculty_discipline," ","")&amp;",")))=COUNTA(TEXTSPLIT(EE137,",")))),IF(EG137="",TRUE,IF(input_faculty_discipline="",TRUE,SUMPRODUCT(--ISNUMBER(SEARCH(","&amp;TRIM(TEXTSPLIT(EG137,","))&amp;",",","&amp;SUBSTITUTE(input_faculty_discipline," ","")&amp;",")))=0)),IF(EI137="",TRUE,IF(input_faculty_discipline="",FALSE,SUMPRODUCT(--ISNUMBER(SEARCH(","&amp;TRIM(TEXTSPLIT(EI137,","))&amp;",",","&amp;SUBSTITUTE(input_faculty_discipline," ","")&amp;",")))&gt;0)),IF(EK137="",TRUE,IF(input_faculty_discipline="",FALSE,SUMPRODUCT(--ISNUMBER(SEARCH(","&amp;TRIM(TEXTSPLIT(EK137,","))&amp;",",","&amp;SUBSTITUTE(input_faculty_discipline," ","")&amp;",")))=COUNTA(TEXTSPLIT(EK137,",")))))</f>
        <v/>
      </c>
      <c r="JG137" s="19">
        <f>AND(IF(EM137="",TRUE,IF(input_faculty_expertise="",FALSE,SUMPRODUCT(--ISNUMBER(SEARCH(","&amp;TRIM(TEXTSPLIT(EM137,","))&amp;",",","&amp;SUBSTITUTE(input_faculty_expertise," ","")&amp;",")))&gt;0)),IF(EO137="",TRUE,IF(input_faculty_expertise="",FALSE,SUMPRODUCT(--ISNUMBER(SEARCH(","&amp;TRIM(TEXTSPLIT(EO137,","))&amp;",",","&amp;SUBSTITUTE(input_faculty_expertise," ","")&amp;",")))=COUNTA(TEXTSPLIT(EO137,",")))),IF(EQ137="",TRUE,IF(input_faculty_expertise="",TRUE,SUMPRODUCT(--ISNUMBER(SEARCH(","&amp;TRIM(TEXTSPLIT(EQ137,","))&amp;",",","&amp;SUBSTITUTE(input_faculty_expertise," ","")&amp;",")))=0)),IF(ES137="",TRUE,IF(input_faculty_expertise="",FALSE,SUMPRODUCT(--ISNUMBER(SEARCH(","&amp;TRIM(TEXTSPLIT(ES137,","))&amp;",",","&amp;SUBSTITUTE(input_faculty_expertise," ","")&amp;",")))&gt;0)),IF(EU137="",TRUE,IF(input_faculty_expertise="",FALSE,SUMPRODUCT(--ISNUMBER(SEARCH(","&amp;TRIM(TEXTSPLIT(EU137,","))&amp;",",","&amp;SUBSTITUTE(input_faculty_expertise," ","")&amp;",")))=COUNTA(TEXTSPLIT(EU137,",")))))</f>
        <v/>
      </c>
      <c r="JH137" s="19">
        <f>AND(IF(EW137="",TRUE,IF(input_global_network_school="",FALSE,SUMPRODUCT(--ISNUMBER(SEARCH(","&amp;TRIM(TEXTSPLIT(EW137,","))&amp;",",","&amp;SUBSTITUTE(input_global_network_school," ","")&amp;",")))&gt;0)),IF(EY137="",TRUE,IF(input_global_network_school="",FALSE,SUMPRODUCT(--ISNUMBER(SEARCH(","&amp;TRIM(TEXTSPLIT(EY137,","))&amp;",",","&amp;SUBSTITUTE(input_global_network_school," ","")&amp;",")))=COUNTA(TEXTSPLIT(EY137,",")))),IF(FA137="",TRUE,IF(input_global_network_school="",TRUE,SUMPRODUCT(--ISNUMBER(SEARCH(","&amp;TRIM(TEXTSPLIT(FA137,","))&amp;",",","&amp;SUBSTITUTE(input_global_network_school," ","")&amp;",")))=0)),IF(FC137="",TRUE,IF(input_global_network_school="",FALSE,SUMPRODUCT(--ISNUMBER(SEARCH(","&amp;TRIM(TEXTSPLIT(FC137,","))&amp;",",","&amp;SUBSTITUTE(input_global_network_school," ","")&amp;",")))&gt;0)),IF(FE137="",TRUE,IF(input_global_network_school="",FALSE,SUMPRODUCT(--ISNUMBER(SEARCH(","&amp;TRIM(TEXTSPLIT(FE137,","))&amp;",",","&amp;SUBSTITUTE(input_global_network_school," ","")&amp;",")))=COUNTA(TEXTSPLIT(FE137,",")))))</f>
        <v/>
      </c>
      <c r="JI137" s="19">
        <f>AND(IF(FG137="",TRUE,IF(input_industry="",FALSE,SUMPRODUCT(--ISNUMBER(SEARCH(","&amp;TRIM(TEXTSPLIT(FG137,","))&amp;",",","&amp;SUBSTITUTE(input_industry," ","")&amp;",")))&gt;0)),IF(FI137="",TRUE,IF(input_industry="",FALSE,SUMPRODUCT(--ISNUMBER(SEARCH(","&amp;TRIM(TEXTSPLIT(FI137,","))&amp;",",","&amp;SUBSTITUTE(input_industry," ","")&amp;",")))=COUNTA(TEXTSPLIT(FI137,",")))),IF(FK137="",TRUE,IF(input_industry="",TRUE,SUMPRODUCT(--ISNUMBER(SEARCH(","&amp;TRIM(TEXTSPLIT(FK137,","))&amp;",",","&amp;SUBSTITUTE(input_industry," ","")&amp;",")))=0)),IF(FM137="",TRUE,IF(input_industry="",FALSE,SUMPRODUCT(--ISNUMBER(SEARCH(","&amp;TRIM(TEXTSPLIT(FM137,","))&amp;",",","&amp;SUBSTITUTE(input_industry," ","")&amp;",")))&gt;0)),IF(FO137="",TRUE,IF(input_industry="",FALSE,SUMPRODUCT(--ISNUMBER(SEARCH(","&amp;TRIM(TEXTSPLIT(FO137,","))&amp;",",","&amp;SUBSTITUTE(input_industry," ","")&amp;",")))=COUNTA(TEXTSPLIT(FO137,",")))))</f>
        <v/>
      </c>
      <c r="JJ137" s="19">
        <f>AND(IF(FQ137="",TRUE,IF(input_location="",FALSE,SUMPRODUCT(--ISNUMBER(SEARCH(","&amp;TRIM(TEXTSPLIT(FQ137,","))&amp;",",","&amp;SUBSTITUTE(input_location," ","")&amp;",")))&gt;0)),IF(FS137="",TRUE,IF(input_location="",FALSE,SUMPRODUCT(--ISNUMBER(SEARCH(","&amp;TRIM(TEXTSPLIT(FS137,","))&amp;",",","&amp;SUBSTITUTE(input_location," ","")&amp;",")))=COUNTA(TEXTSPLIT(FS137,",")))),IF(FU137="",TRUE,IF(input_location="",TRUE,SUMPRODUCT(--ISNUMBER(SEARCH(","&amp;TRIM(TEXTSPLIT(FU137,","))&amp;",",","&amp;SUBSTITUTE(input_location," ","")&amp;",")))=0)),IF(FW137="",TRUE,IF(input_location="",FALSE,SUMPRODUCT(--ISNUMBER(SEARCH(","&amp;TRIM(TEXTSPLIT(FW137,","))&amp;",",","&amp;SUBSTITUTE(input_location," ","")&amp;",")))&gt;0)),IF(FY137="",TRUE,IF(input_location="",FALSE,SUMPRODUCT(--ISNUMBER(SEARCH(","&amp;TRIM(TEXTSPLIT(FY137,","))&amp;",",","&amp;SUBSTITUTE(input_location," ","")&amp;",")))=COUNTA(TEXTSPLIT(FY137,",")))))</f>
        <v/>
      </c>
      <c r="JK137" s="19">
        <f>AND(IF(GA137="",TRUE,IF(input_modality="",FALSE,SUMPRODUCT(--ISNUMBER(SEARCH(","&amp;TRIM(TEXTSPLIT(GA137,","))&amp;",",","&amp;SUBSTITUTE(input_modality," ","")&amp;",")))&gt;0)),IF(GC137="",TRUE,IF(input_modality="",FALSE,SUMPRODUCT(--ISNUMBER(SEARCH(","&amp;TRIM(TEXTSPLIT(GC137,","))&amp;",",","&amp;SUBSTITUTE(input_modality," ","")&amp;",")))=COUNTA(TEXTSPLIT(GC137,",")))),IF(GE137="",TRUE,IF(input_modality="",TRUE,SUMPRODUCT(--ISNUMBER(SEARCH(","&amp;TRIM(TEXTSPLIT(GE137,","))&amp;",",","&amp;SUBSTITUTE(input_modality," ","")&amp;",")))=0)),IF(GG137="",TRUE,IF(input_modality="",FALSE,SUMPRODUCT(--ISNUMBER(SEARCH(","&amp;TRIM(TEXTSPLIT(GG137,","))&amp;",",","&amp;SUBSTITUTE(input_modality," ","")&amp;",")))&gt;0)),IF(GI137="",TRUE,IF(input_modality="",FALSE,SUMPRODUCT(--ISNUMBER(SEARCH(","&amp;TRIM(TEXTSPLIT(GI137,","))&amp;",",","&amp;SUBSTITUTE(input_modality," ","")&amp;",")))=COUNTA(TEXTSPLIT(GI137,",")))))</f>
        <v/>
      </c>
      <c r="JL137" s="19">
        <f>AND(IF(GK137="",TRUE,IF(input_organizer="",FALSE,SUMPRODUCT(--ISNUMBER(SEARCH(","&amp;TRIM(TEXTSPLIT(GK137,","))&amp;",",","&amp;SUBSTITUTE(input_organizer," ","")&amp;",")))&gt;0)),IF(GM137="",TRUE,IF(input_organizer="",FALSE,SUMPRODUCT(--ISNUMBER(SEARCH(","&amp;TRIM(TEXTSPLIT(GM137,","))&amp;",",","&amp;SUBSTITUTE(input_organizer," ","")&amp;",")))=COUNTA(TEXTSPLIT(GM137,",")))),IF(GO137="",TRUE,IF(input_organizer="",TRUE,SUMPRODUCT(--ISNUMBER(SEARCH(","&amp;TRIM(TEXTSPLIT(GO137,","))&amp;",",","&amp;SUBSTITUTE(input_organizer," ","")&amp;",")))=0)),IF(GQ137="",TRUE,IF(input_organizer="",FALSE,SUMPRODUCT(--ISNUMBER(SEARCH(","&amp;TRIM(TEXTSPLIT(GQ137,","))&amp;",",","&amp;SUBSTITUTE(input_organizer," ","")&amp;",")))&gt;0)),IF(GS137="",TRUE,IF(input_organizer="",FALSE,SUMPRODUCT(--ISNUMBER(SEARCH(","&amp;TRIM(TEXTSPLIT(GS137,","))&amp;",",","&amp;SUBSTITUTE(input_organizer," ","")&amp;",")))=COUNTA(TEXTSPLIT(GS137,",")))))</f>
        <v/>
      </c>
      <c r="JM137" s="19">
        <f>AND(IF(GU137="",TRUE,IF(input_profile_type="",FALSE,SUMPRODUCT(--ISNUMBER(SEARCH(","&amp;TRIM(TEXTSPLIT(GU137,","))&amp;",",","&amp;SUBSTITUTE(input_profile_type," ","")&amp;",")))&gt;0)),IF(GW137="",TRUE,IF(input_profile_type="",FALSE,SUMPRODUCT(--ISNUMBER(SEARCH(","&amp;TRIM(TEXTSPLIT(GW137,","))&amp;",",","&amp;SUBSTITUTE(input_profile_type," ","")&amp;",")))=COUNTA(TEXTSPLIT(GW137,",")))),IF(GY137="",TRUE,IF(input_profile_type="",TRUE,SUMPRODUCT(--ISNUMBER(SEARCH(","&amp;TRIM(TEXTSPLIT(GY137,","))&amp;",",","&amp;SUBSTITUTE(input_profile_type," ","")&amp;",")))=0)),IF(HA137="",TRUE,IF(input_profile_type="",FALSE,SUMPRODUCT(--ISNUMBER(SEARCH(","&amp;TRIM(TEXTSPLIT(HA137,","))&amp;",",","&amp;SUBSTITUTE(input_profile_type," ","")&amp;",")))&gt;0)),IF(HC137="",TRUE,IF(input_profile_type="",FALSE,SUMPRODUCT(--ISNUMBER(SEARCH(","&amp;TRIM(TEXTSPLIT(HC137,","))&amp;",",","&amp;SUBSTITUTE(input_profile_type," ","")&amp;",")))=COUNTA(TEXTSPLIT(HC137,",")))))</f>
        <v/>
      </c>
      <c r="JN137" s="19">
        <f>AND(IF(HE137="",TRUE,IF(input_program="",FALSE,SUMPRODUCT(--ISNUMBER(SEARCH(","&amp;TRIM(TEXTSPLIT(HE137,","))&amp;",",","&amp;SUBSTITUTE(input_program," ","")&amp;",")))&gt;0)),IF(HG137="",TRUE,IF(input_program="",FALSE,SUMPRODUCT(--ISNUMBER(SEARCH(","&amp;TRIM(TEXTSPLIT(HG137,","))&amp;",",","&amp;SUBSTITUTE(input_program," ","")&amp;",")))=COUNTA(TEXTSPLIT(HG137,",")))),IF(HI137="",TRUE,IF(input_program="",TRUE,SUMPRODUCT(--ISNUMBER(SEARCH(","&amp;TRIM(TEXTSPLIT(HI137,","))&amp;",",","&amp;SUBSTITUTE(input_program," ","")&amp;",")))=0)),IF(HK137="",TRUE,IF(input_program="",FALSE,SUMPRODUCT(--ISNUMBER(SEARCH(","&amp;TRIM(TEXTSPLIT(HK137,","))&amp;",",","&amp;SUBSTITUTE(input_program," ","")&amp;",")))&gt;0)),IF(HM137="",TRUE,IF(input_program="",FALSE,SUMPRODUCT(--ISNUMBER(SEARCH(","&amp;TRIM(TEXTSPLIT(HM137,","))&amp;",",","&amp;SUBSTITUTE(input_program," ","")&amp;",")))=COUNTA(TEXTSPLIT(HM137,",")))))</f>
        <v/>
      </c>
      <c r="JO137" s="19">
        <f>AND(IF(HO137="",TRUE,IF(input_story_categories="",FALSE,SUMPRODUCT(--ISNUMBER(SEARCH(","&amp;TRIM(TEXTSPLIT(HO137,","))&amp;",",","&amp;SUBSTITUTE(input_story_categories," ","")&amp;",")))&gt;0)),IF(HQ137="",TRUE,IF(input_story_categories="",FALSE,SUMPRODUCT(--ISNUMBER(SEARCH(","&amp;TRIM(TEXTSPLIT(HQ137,","))&amp;",",","&amp;SUBSTITUTE(input_story_categories," ","")&amp;",")))=COUNTA(TEXTSPLIT(HQ137,",")))),IF(HS137="",TRUE,IF(input_story_categories="",TRUE,SUMPRODUCT(--ISNUMBER(SEARCH(","&amp;TRIM(TEXTSPLIT(HS137,","))&amp;",",","&amp;SUBSTITUTE(input_story_categories," ","")&amp;",")))=0)),IF(HU137="",TRUE,IF(input_story_categories="",FALSE,SUMPRODUCT(--ISNUMBER(SEARCH(","&amp;TRIM(TEXTSPLIT(HU137,","))&amp;",",","&amp;SUBSTITUTE(input_story_categories," ","")&amp;",")))&gt;0)),IF(HW137="",TRUE,IF(input_story_categories="",FALSE,SUMPRODUCT(--ISNUMBER(SEARCH(","&amp;TRIM(TEXTSPLIT(HW137,","))&amp;",",","&amp;SUBSTITUTE(input_story_categories," ","")&amp;",")))=COUNTA(TEXTSPLIT(HW137,",")))))</f>
        <v/>
      </c>
      <c r="JP137" s="19">
        <f>AND(IF(HY137="",TRUE,IF(input_story_type="",FALSE,SUMPRODUCT(--ISNUMBER(SEARCH(","&amp;TRIM(TEXTSPLIT(HY137,","))&amp;",",","&amp;SUBSTITUTE(input_story_type," ","")&amp;",")))&gt;0)),IF(IA137="",TRUE,IF(input_story_type="",FALSE,SUMPRODUCT(--ISNUMBER(SEARCH(","&amp;TRIM(TEXTSPLIT(IA137,","))&amp;",",","&amp;SUBSTITUTE(input_story_type," ","")&amp;",")))=COUNTA(TEXTSPLIT(IA137,",")))),IF(IC137="",TRUE,IF(input_story_type="",TRUE,SUMPRODUCT(--ISNUMBER(SEARCH(","&amp;TRIM(TEXTSPLIT(IC137,","))&amp;",",","&amp;SUBSTITUTE(input_story_type," ","")&amp;",")))=0)),IF(IE137="",TRUE,IF(input_story_type="",FALSE,SUMPRODUCT(--ISNUMBER(SEARCH(","&amp;TRIM(TEXTSPLIT(IE137,","))&amp;",",","&amp;SUBSTITUTE(input_story_type," ","")&amp;",")))&gt;0)),IF(IG137="",TRUE,IF(input_story_type="",FALSE,SUMPRODUCT(--ISNUMBER(SEARCH(","&amp;TRIM(TEXTSPLIT(IG137,","))&amp;",",","&amp;SUBSTITUTE(input_story_type," ","")&amp;",")))=COUNTA(TEXTSPLIT(IG137,",")))))</f>
        <v/>
      </c>
      <c r="JQ137" s="19">
        <f>AND(IF(II137="",TRUE,IF(input_topics="",FALSE,SUMPRODUCT(--ISNUMBER(SEARCH(","&amp;TRIM(TEXTSPLIT(II137,","))&amp;",",","&amp;SUBSTITUTE(input_topics," ","")&amp;",")))&gt;0)),IF(IK137="",TRUE,IF(input_topics="",FALSE,SUMPRODUCT(--ISNUMBER(SEARCH(","&amp;TRIM(TEXTSPLIT(IK137,","))&amp;",",","&amp;SUBSTITUTE(input_topics," ","")&amp;",")))=COUNTA(TEXTSPLIT(IK137,",")))),IF(IM137="",TRUE,IF(input_topics="",TRUE,SUMPRODUCT(--ISNUMBER(SEARCH(","&amp;TRIM(TEXTSPLIT(IM137,","))&amp;",",","&amp;SUBSTITUTE(input_topics," ","")&amp;",")))=0)),IF(IO137="",TRUE,IF(input_topics="",FALSE,SUMPRODUCT(--ISNUMBER(SEARCH(","&amp;TRIM(TEXTSPLIT(IO137,","))&amp;",",","&amp;SUBSTITUTE(input_topics," ","")&amp;",")))&gt;0)),IF(IQ137="",TRUE,IF(input_topics="",FALSE,SUMPRODUCT(--ISNUMBER(SEARCH(","&amp;TRIM(TEXTSPLIT(IQ137,","))&amp;",",","&amp;SUBSTITUTE(input_topics," ","")&amp;",")))=COUNTA(TEXTSPLIT(IQ137,",")))))</f>
        <v/>
      </c>
    </row>
    <row r="138">
      <c r="A138" s="24">
        <f>IF(NOT(IS138),"Excluded",IF(AND(IT138,IU138,IV138,IW138,IX138,IY138,IZ138,JA138,JB138,JC138,JD138,JE138,JF138,JG138,JH138,JI138,JJ138,JK138,JL138,JM138,JN138,JO138,JP138,JQ138),IF(I138&gt;0,"Eligible but limited","Will appear"),"Excluded"))</f>
        <v/>
      </c>
      <c r="B138" s="24" t="inlineStr">
        <is>
          <t>News - Summary</t>
        </is>
      </c>
      <c r="C138" s="27" t="inlineStr">
        <is>
          <t>/the-som-experience/interests-and-industries/ai-data-analytics</t>
        </is>
      </c>
      <c r="D138" s="24" t="inlineStr">
        <is>
          <t>/the-som-experience/interests-and-industries/ai-data-analytics</t>
        </is>
      </c>
      <c r="E138" s="24" t="n">
        <v>1</v>
      </c>
      <c r="F138" s="24" t="inlineStr">
        <is>
          <t>story</t>
        </is>
      </c>
      <c r="G138" s="24" t="inlineStr">
        <is>
          <t>stories_mosaic_grid</t>
        </is>
      </c>
      <c r="H138" s="24" t="inlineStr">
        <is>
          <t>embed_news_summary</t>
        </is>
      </c>
      <c r="I138" s="24" t="n">
        <v>1</v>
      </c>
      <c r="J138" s="24" t="inlineStr">
        <is>
          <t>View/config rules</t>
        </is>
      </c>
      <c r="K138" s="24" t="inlineStr">
        <is>
          <t>Page placement</t>
        </is>
      </c>
      <c r="L138" s="24" t="inlineStr">
        <is>
          <t>Content type: story; Needs any Story Type: News (924); Limited to 1 item(s); Source: View/config rules</t>
        </is>
      </c>
      <c r="HY138" s="19" t="inlineStr">
        <is>
          <t>924</t>
        </is>
      </c>
      <c r="HZ138" s="19" t="inlineStr">
        <is>
          <t>News (924)</t>
        </is>
      </c>
      <c r="IS138" s="19">
        <f>IF(input_content_type="",FALSE,ISNUMBER(SEARCH(","&amp;LOWER(input_content_type)&amp;",",","&amp;LOWER(SUBSTITUTE(F138," ",""))&amp;",")))</f>
        <v/>
      </c>
      <c r="IT138" s="19">
        <f>AND(IF(M138="",TRUE,IF(input_affiliations="",FALSE,SUMPRODUCT(--ISNUMBER(SEARCH(","&amp;TRIM(TEXTSPLIT(M138,","))&amp;",",","&amp;SUBSTITUTE(input_affiliations," ","")&amp;",")))&gt;0)),IF(O138="",TRUE,IF(input_affiliations="",FALSE,SUMPRODUCT(--ISNUMBER(SEARCH(","&amp;TRIM(TEXTSPLIT(O138,","))&amp;",",","&amp;SUBSTITUTE(input_affiliations," ","")&amp;",")))=COUNTA(TEXTSPLIT(O138,",")))),IF(Q138="",TRUE,IF(input_affiliations="",TRUE,SUMPRODUCT(--ISNUMBER(SEARCH(","&amp;TRIM(TEXTSPLIT(Q138,","))&amp;",",","&amp;SUBSTITUTE(input_affiliations," ","")&amp;",")))=0)),IF(S138="",TRUE,IF(input_affiliations="",FALSE,SUMPRODUCT(--ISNUMBER(SEARCH(","&amp;TRIM(TEXTSPLIT(S138,","))&amp;",",","&amp;SUBSTITUTE(input_affiliations," ","")&amp;",")))&gt;0)),IF(U138="",TRUE,IF(input_affiliations="",FALSE,SUMPRODUCT(--ISNUMBER(SEARCH(","&amp;TRIM(TEXTSPLIT(U138,","))&amp;",",","&amp;SUBSTITUTE(input_affiliations," ","")&amp;",")))=COUNTA(TEXTSPLIT(U138,",")))))</f>
        <v/>
      </c>
      <c r="IU138" s="19">
        <f>AND(IF(W138="",TRUE,IF(input_announcement_category="",FALSE,SUMPRODUCT(--ISNUMBER(SEARCH(","&amp;TRIM(TEXTSPLIT(W138,","))&amp;",",","&amp;SUBSTITUTE(input_announcement_category," ","")&amp;",")))&gt;0)),IF(Y138="",TRUE,IF(input_announcement_category="",FALSE,SUMPRODUCT(--ISNUMBER(SEARCH(","&amp;TRIM(TEXTSPLIT(Y138,","))&amp;",",","&amp;SUBSTITUTE(input_announcement_category," ","")&amp;",")))=COUNTA(TEXTSPLIT(Y138,",")))),IF(AA138="",TRUE,IF(input_announcement_category="",TRUE,SUMPRODUCT(--ISNUMBER(SEARCH(","&amp;TRIM(TEXTSPLIT(AA138,","))&amp;",",","&amp;SUBSTITUTE(input_announcement_category," ","")&amp;",")))=0)),IF(AC138="",TRUE,IF(input_announcement_category="",FALSE,SUMPRODUCT(--ISNUMBER(SEARCH(","&amp;TRIM(TEXTSPLIT(AC138,","))&amp;",",","&amp;SUBSTITUTE(input_announcement_category," ","")&amp;",")))&gt;0)),IF(AE138="",TRUE,IF(input_announcement_category="",FALSE,SUMPRODUCT(--ISNUMBER(SEARCH(","&amp;TRIM(TEXTSPLIT(AE138,","))&amp;",",","&amp;SUBSTITUTE(input_announcement_category," ","")&amp;",")))=COUNTA(TEXTSPLIT(AE138,",")))))</f>
        <v/>
      </c>
      <c r="IV138" s="19">
        <f>AND(IF(AG138="",TRUE,IF(input_area_of_focus="",FALSE,SUMPRODUCT(--ISNUMBER(SEARCH(","&amp;TRIM(TEXTSPLIT(AG138,","))&amp;",",","&amp;SUBSTITUTE(input_area_of_focus," ","")&amp;",")))&gt;0)),IF(AI138="",TRUE,IF(input_area_of_focus="",FALSE,SUMPRODUCT(--ISNUMBER(SEARCH(","&amp;TRIM(TEXTSPLIT(AI138,","))&amp;",",","&amp;SUBSTITUTE(input_area_of_focus," ","")&amp;",")))=COUNTA(TEXTSPLIT(AI138,",")))),IF(AK138="",TRUE,IF(input_area_of_focus="",TRUE,SUMPRODUCT(--ISNUMBER(SEARCH(","&amp;TRIM(TEXTSPLIT(AK138,","))&amp;",",","&amp;SUBSTITUTE(input_area_of_focus," ","")&amp;",")))=0)),IF(AM138="",TRUE,IF(input_area_of_focus="",FALSE,SUMPRODUCT(--ISNUMBER(SEARCH(","&amp;TRIM(TEXTSPLIT(AM138,","))&amp;",",","&amp;SUBSTITUTE(input_area_of_focus," ","")&amp;",")))&gt;0)),IF(AO138="",TRUE,IF(input_area_of_focus="",FALSE,SUMPRODUCT(--ISNUMBER(SEARCH(","&amp;TRIM(TEXTSPLIT(AO138,","))&amp;",",","&amp;SUBSTITUTE(input_area_of_focus," ","")&amp;",")))=COUNTA(TEXTSPLIT(AO138,",")))))</f>
        <v/>
      </c>
      <c r="IW138" s="19">
        <f>AND(IF(AQ138="",TRUE,IF(input_audience="",FALSE,SUMPRODUCT(--ISNUMBER(SEARCH(","&amp;TRIM(TEXTSPLIT(AQ138,","))&amp;",",","&amp;SUBSTITUTE(input_audience," ","")&amp;",")))&gt;0)),IF(AS138="",TRUE,IF(input_audience="",FALSE,SUMPRODUCT(--ISNUMBER(SEARCH(","&amp;TRIM(TEXTSPLIT(AS138,","))&amp;",",","&amp;SUBSTITUTE(input_audience," ","")&amp;",")))=COUNTA(TEXTSPLIT(AS138,",")))),IF(AU138="",TRUE,IF(input_audience="",TRUE,SUMPRODUCT(--ISNUMBER(SEARCH(","&amp;TRIM(TEXTSPLIT(AU138,","))&amp;",",","&amp;SUBSTITUTE(input_audience," ","")&amp;",")))=0)),IF(AW138="",TRUE,IF(input_audience="",FALSE,SUMPRODUCT(--ISNUMBER(SEARCH(","&amp;TRIM(TEXTSPLIT(AW138,","))&amp;",",","&amp;SUBSTITUTE(input_audience," ","")&amp;",")))&gt;0)),IF(AY138="",TRUE,IF(input_audience="",FALSE,SUMPRODUCT(--ISNUMBER(SEARCH(","&amp;TRIM(TEXTSPLIT(AY138,","))&amp;",",","&amp;SUBSTITUTE(input_audience," ","")&amp;",")))=COUNTA(TEXTSPLIT(AY138,",")))))</f>
        <v/>
      </c>
      <c r="IX138" s="19">
        <f>AND(IF(BA138="",TRUE,IF(input_challenge_opportunities="",FALSE,SUMPRODUCT(--ISNUMBER(SEARCH(","&amp;TRIM(TEXTSPLIT(BA138,","))&amp;",",","&amp;SUBSTITUTE(input_challenge_opportunities," ","")&amp;",")))&gt;0)),IF(BC138="",TRUE,IF(input_challenge_opportunities="",FALSE,SUMPRODUCT(--ISNUMBER(SEARCH(","&amp;TRIM(TEXTSPLIT(BC138,","))&amp;",",","&amp;SUBSTITUTE(input_challenge_opportunities," ","")&amp;",")))=COUNTA(TEXTSPLIT(BC138,",")))),IF(BE138="",TRUE,IF(input_challenge_opportunities="",TRUE,SUMPRODUCT(--ISNUMBER(SEARCH(","&amp;TRIM(TEXTSPLIT(BE138,","))&amp;",",","&amp;SUBSTITUTE(input_challenge_opportunities," ","")&amp;",")))=0)),IF(BG138="",TRUE,IF(input_challenge_opportunities="",FALSE,SUMPRODUCT(--ISNUMBER(SEARCH(","&amp;TRIM(TEXTSPLIT(BG138,","))&amp;",",","&amp;SUBSTITUTE(input_challenge_opportunities," ","")&amp;",")))&gt;0)),IF(BI138="",TRUE,IF(input_challenge_opportunities="",FALSE,SUMPRODUCT(--ISNUMBER(SEARCH(","&amp;TRIM(TEXTSPLIT(BI138,","))&amp;",",","&amp;SUBSTITUTE(input_challenge_opportunities," ","")&amp;",")))=COUNTA(TEXTSPLIT(BI138,",")))))</f>
        <v/>
      </c>
      <c r="IY138" s="19">
        <f>AND(IF(BK138="",TRUE,IF(input_context="",FALSE,SUMPRODUCT(--ISNUMBER(SEARCH(","&amp;TRIM(TEXTSPLIT(BK138,","))&amp;",",","&amp;SUBSTITUTE(input_context," ","")&amp;",")))&gt;0)),IF(BM138="",TRUE,IF(input_context="",FALSE,SUMPRODUCT(--ISNUMBER(SEARCH(","&amp;TRIM(TEXTSPLIT(BM138,","))&amp;",",","&amp;SUBSTITUTE(input_context," ","")&amp;",")))=COUNTA(TEXTSPLIT(BM138,",")))),IF(BO138="",TRUE,IF(input_context="",TRUE,SUMPRODUCT(--ISNUMBER(SEARCH(","&amp;TRIM(TEXTSPLIT(BO138,","))&amp;",",","&amp;SUBSTITUTE(input_context," ","")&amp;",")))=0)),IF(BQ138="",TRUE,IF(input_context="",FALSE,SUMPRODUCT(--ISNUMBER(SEARCH(","&amp;TRIM(TEXTSPLIT(BQ138,","))&amp;",",","&amp;SUBSTITUTE(input_context," ","")&amp;",")))&gt;0)),IF(BS138="",TRUE,IF(input_context="",FALSE,SUMPRODUCT(--ISNUMBER(SEARCH(","&amp;TRIM(TEXTSPLIT(BS138,","))&amp;",",","&amp;SUBSTITUTE(input_context," ","")&amp;",")))=COUNTA(TEXTSPLIT(BS138,",")))))</f>
        <v/>
      </c>
      <c r="IZ138" s="19">
        <f>AND(IF(BU138="",TRUE,IF(input_enews_announcement_type="",FALSE,SUMPRODUCT(--ISNUMBER(SEARCH(","&amp;TRIM(TEXTSPLIT(BU138,","))&amp;",",","&amp;SUBSTITUTE(input_enews_announcement_type," ","")&amp;",")))&gt;0)),IF(BW138="",TRUE,IF(input_enews_announcement_type="",FALSE,SUMPRODUCT(--ISNUMBER(SEARCH(","&amp;TRIM(TEXTSPLIT(BW138,","))&amp;",",","&amp;SUBSTITUTE(input_enews_announcement_type," ","")&amp;",")))=COUNTA(TEXTSPLIT(BW138,",")))),IF(BY138="",TRUE,IF(input_enews_announcement_type="",TRUE,SUMPRODUCT(--ISNUMBER(SEARCH(","&amp;TRIM(TEXTSPLIT(BY138,","))&amp;",",","&amp;SUBSTITUTE(input_enews_announcement_type," ","")&amp;",")))=0)),IF(CA138="",TRUE,IF(input_enews_announcement_type="",FALSE,SUMPRODUCT(--ISNUMBER(SEARCH(","&amp;TRIM(TEXTSPLIT(CA138,","))&amp;",",","&amp;SUBSTITUTE(input_enews_announcement_type," ","")&amp;",")))&gt;0)),IF(CC138="",TRUE,IF(input_enews_announcement_type="",FALSE,SUMPRODUCT(--ISNUMBER(SEARCH(","&amp;TRIM(TEXTSPLIT(CC138,","))&amp;",",","&amp;SUBSTITUTE(input_enews_announcement_type," ","")&amp;",")))=COUNTA(TEXTSPLIT(CC138,",")))))</f>
        <v/>
      </c>
      <c r="JA138" s="19">
        <f>AND(IF(CE138="",TRUE,IF(input_enews_audience="",FALSE,SUMPRODUCT(--ISNUMBER(SEARCH(","&amp;TRIM(TEXTSPLIT(CE138,","))&amp;",",","&amp;SUBSTITUTE(input_enews_audience," ","")&amp;",")))&gt;0)),IF(CG138="",TRUE,IF(input_enews_audience="",FALSE,SUMPRODUCT(--ISNUMBER(SEARCH(","&amp;TRIM(TEXTSPLIT(CG138,","))&amp;",",","&amp;SUBSTITUTE(input_enews_audience," ","")&amp;",")))=COUNTA(TEXTSPLIT(CG138,",")))),IF(CI138="",TRUE,IF(input_enews_audience="",TRUE,SUMPRODUCT(--ISNUMBER(SEARCH(","&amp;TRIM(TEXTSPLIT(CI138,","))&amp;",",","&amp;SUBSTITUTE(input_enews_audience," ","")&amp;",")))=0)),IF(CK138="",TRUE,IF(input_enews_audience="",FALSE,SUMPRODUCT(--ISNUMBER(SEARCH(","&amp;TRIM(TEXTSPLIT(CK138,","))&amp;",",","&amp;SUBSTITUTE(input_enews_audience," ","")&amp;",")))&gt;0)),IF(CM138="",TRUE,IF(input_enews_audience="",FALSE,SUMPRODUCT(--ISNUMBER(SEARCH(","&amp;TRIM(TEXTSPLIT(CM138,","))&amp;",",","&amp;SUBSTITUTE(input_enews_audience," ","")&amp;",")))=COUNTA(TEXTSPLIT(CM138,",")))))</f>
        <v/>
      </c>
      <c r="JB138" s="19">
        <f>AND(IF(CO138="",TRUE,IF(input_event_location="",FALSE,SUMPRODUCT(--ISNUMBER(SEARCH(","&amp;TRIM(TEXTSPLIT(CO138,","))&amp;",",","&amp;SUBSTITUTE(input_event_location," ","")&amp;",")))&gt;0)),IF(CQ138="",TRUE,IF(input_event_location="",FALSE,SUMPRODUCT(--ISNUMBER(SEARCH(","&amp;TRIM(TEXTSPLIT(CQ138,","))&amp;",",","&amp;SUBSTITUTE(input_event_location," ","")&amp;",")))=COUNTA(TEXTSPLIT(CQ138,",")))),IF(CS138="",TRUE,IF(input_event_location="",TRUE,SUMPRODUCT(--ISNUMBER(SEARCH(","&amp;TRIM(TEXTSPLIT(CS138,","))&amp;",",","&amp;SUBSTITUTE(input_event_location," ","")&amp;",")))=0)),IF(CU138="",TRUE,IF(input_event_location="",FALSE,SUMPRODUCT(--ISNUMBER(SEARCH(","&amp;TRIM(TEXTSPLIT(CU138,","))&amp;",",","&amp;SUBSTITUTE(input_event_location," ","")&amp;",")))&gt;0)),IF(CW138="",TRUE,IF(input_event_location="",FALSE,SUMPRODUCT(--ISNUMBER(SEARCH(","&amp;TRIM(TEXTSPLIT(CW138,","))&amp;",",","&amp;SUBSTITUTE(input_event_location," ","")&amp;",")))=COUNTA(TEXTSPLIT(CW138,",")))))</f>
        <v/>
      </c>
      <c r="JC138" s="19">
        <f>AND(IF(CY138="",TRUE,IF(input_event_type="",FALSE,SUMPRODUCT(--ISNUMBER(SEARCH(","&amp;TRIM(TEXTSPLIT(CY138,","))&amp;",",","&amp;SUBSTITUTE(input_event_type," ","")&amp;",")))&gt;0)),IF(DA138="",TRUE,IF(input_event_type="",FALSE,SUMPRODUCT(--ISNUMBER(SEARCH(","&amp;TRIM(TEXTSPLIT(DA138,","))&amp;",",","&amp;SUBSTITUTE(input_event_type," ","")&amp;",")))=COUNTA(TEXTSPLIT(DA138,",")))),IF(DC138="",TRUE,IF(input_event_type="",TRUE,SUMPRODUCT(--ISNUMBER(SEARCH(","&amp;TRIM(TEXTSPLIT(DC138,","))&amp;",",","&amp;SUBSTITUTE(input_event_type," ","")&amp;",")))=0)),IF(DE138="",TRUE,IF(input_event_type="",FALSE,SUMPRODUCT(--ISNUMBER(SEARCH(","&amp;TRIM(TEXTSPLIT(DE138,","))&amp;",",","&amp;SUBSTITUTE(input_event_type," ","")&amp;",")))&gt;0)),IF(DG138="",TRUE,IF(input_event_type="",FALSE,SUMPRODUCT(--ISNUMBER(SEARCH(","&amp;TRIM(TEXTSPLIT(DG138,","))&amp;",",","&amp;SUBSTITUTE(input_event_type," ","")&amp;",")))=COUNTA(TEXTSPLIT(DG138,",")))))</f>
        <v/>
      </c>
      <c r="JD138" s="19">
        <f>AND(IF(DI138="",TRUE,IF(input_executive_education_focus="",FALSE,SUMPRODUCT(--ISNUMBER(SEARCH(","&amp;TRIM(TEXTSPLIT(DI138,","))&amp;",",","&amp;SUBSTITUTE(input_executive_education_focus," ","")&amp;",")))&gt;0)),IF(DK138="",TRUE,IF(input_executive_education_focus="",FALSE,SUMPRODUCT(--ISNUMBER(SEARCH(","&amp;TRIM(TEXTSPLIT(DK138,","))&amp;",",","&amp;SUBSTITUTE(input_executive_education_focus," ","")&amp;",")))=COUNTA(TEXTSPLIT(DK138,",")))),IF(DM138="",TRUE,IF(input_executive_education_focus="",TRUE,SUMPRODUCT(--ISNUMBER(SEARCH(","&amp;TRIM(TEXTSPLIT(DM138,","))&amp;",",","&amp;SUBSTITUTE(input_executive_education_focus," ","")&amp;",")))=0)),IF(DO138="",TRUE,IF(input_executive_education_focus="",FALSE,SUMPRODUCT(--ISNUMBER(SEARCH(","&amp;TRIM(TEXTSPLIT(DO138,","))&amp;",",","&amp;SUBSTITUTE(input_executive_education_focus," ","")&amp;",")))&gt;0)),IF(DQ138="",TRUE,IF(input_executive_education_focus="",FALSE,SUMPRODUCT(--ISNUMBER(SEARCH(","&amp;TRIM(TEXTSPLIT(DQ138,","))&amp;",",","&amp;SUBSTITUTE(input_executive_education_focus," ","")&amp;",")))=COUNTA(TEXTSPLIT(DQ138,",")))))</f>
        <v/>
      </c>
      <c r="JE138" s="19">
        <f>AND(IF(DS138="",TRUE,IF(input_faculty_category="",FALSE,SUMPRODUCT(--ISNUMBER(SEARCH(","&amp;TRIM(TEXTSPLIT(DS138,","))&amp;",",","&amp;SUBSTITUTE(input_faculty_category," ","")&amp;",")))&gt;0)),IF(DU138="",TRUE,IF(input_faculty_category="",FALSE,SUMPRODUCT(--ISNUMBER(SEARCH(","&amp;TRIM(TEXTSPLIT(DU138,","))&amp;",",","&amp;SUBSTITUTE(input_faculty_category," ","")&amp;",")))=COUNTA(TEXTSPLIT(DU138,",")))),IF(DW138="",TRUE,IF(input_faculty_category="",TRUE,SUMPRODUCT(--ISNUMBER(SEARCH(","&amp;TRIM(TEXTSPLIT(DW138,","))&amp;",",","&amp;SUBSTITUTE(input_faculty_category," ","")&amp;",")))=0)),IF(DY138="",TRUE,IF(input_faculty_category="",FALSE,SUMPRODUCT(--ISNUMBER(SEARCH(","&amp;TRIM(TEXTSPLIT(DY138,","))&amp;",",","&amp;SUBSTITUTE(input_faculty_category," ","")&amp;",")))&gt;0)),IF(EA138="",TRUE,IF(input_faculty_category="",FALSE,SUMPRODUCT(--ISNUMBER(SEARCH(","&amp;TRIM(TEXTSPLIT(EA138,","))&amp;",",","&amp;SUBSTITUTE(input_faculty_category," ","")&amp;",")))=COUNTA(TEXTSPLIT(EA138,",")))))</f>
        <v/>
      </c>
      <c r="JF138" s="19">
        <f>AND(IF(EC138="",TRUE,IF(input_faculty_discipline="",FALSE,SUMPRODUCT(--ISNUMBER(SEARCH(","&amp;TRIM(TEXTSPLIT(EC138,","))&amp;",",","&amp;SUBSTITUTE(input_faculty_discipline," ","")&amp;",")))&gt;0)),IF(EE138="",TRUE,IF(input_faculty_discipline="",FALSE,SUMPRODUCT(--ISNUMBER(SEARCH(","&amp;TRIM(TEXTSPLIT(EE138,","))&amp;",",","&amp;SUBSTITUTE(input_faculty_discipline," ","")&amp;",")))=COUNTA(TEXTSPLIT(EE138,",")))),IF(EG138="",TRUE,IF(input_faculty_discipline="",TRUE,SUMPRODUCT(--ISNUMBER(SEARCH(","&amp;TRIM(TEXTSPLIT(EG138,","))&amp;",",","&amp;SUBSTITUTE(input_faculty_discipline," ","")&amp;",")))=0)),IF(EI138="",TRUE,IF(input_faculty_discipline="",FALSE,SUMPRODUCT(--ISNUMBER(SEARCH(","&amp;TRIM(TEXTSPLIT(EI138,","))&amp;",",","&amp;SUBSTITUTE(input_faculty_discipline," ","")&amp;",")))&gt;0)),IF(EK138="",TRUE,IF(input_faculty_discipline="",FALSE,SUMPRODUCT(--ISNUMBER(SEARCH(","&amp;TRIM(TEXTSPLIT(EK138,","))&amp;",",","&amp;SUBSTITUTE(input_faculty_discipline," ","")&amp;",")))=COUNTA(TEXTSPLIT(EK138,",")))))</f>
        <v/>
      </c>
      <c r="JG138" s="19">
        <f>AND(IF(EM138="",TRUE,IF(input_faculty_expertise="",FALSE,SUMPRODUCT(--ISNUMBER(SEARCH(","&amp;TRIM(TEXTSPLIT(EM138,","))&amp;",",","&amp;SUBSTITUTE(input_faculty_expertise," ","")&amp;",")))&gt;0)),IF(EO138="",TRUE,IF(input_faculty_expertise="",FALSE,SUMPRODUCT(--ISNUMBER(SEARCH(","&amp;TRIM(TEXTSPLIT(EO138,","))&amp;",",","&amp;SUBSTITUTE(input_faculty_expertise," ","")&amp;",")))=COUNTA(TEXTSPLIT(EO138,",")))),IF(EQ138="",TRUE,IF(input_faculty_expertise="",TRUE,SUMPRODUCT(--ISNUMBER(SEARCH(","&amp;TRIM(TEXTSPLIT(EQ138,","))&amp;",",","&amp;SUBSTITUTE(input_faculty_expertise," ","")&amp;",")))=0)),IF(ES138="",TRUE,IF(input_faculty_expertise="",FALSE,SUMPRODUCT(--ISNUMBER(SEARCH(","&amp;TRIM(TEXTSPLIT(ES138,","))&amp;",",","&amp;SUBSTITUTE(input_faculty_expertise," ","")&amp;",")))&gt;0)),IF(EU138="",TRUE,IF(input_faculty_expertise="",FALSE,SUMPRODUCT(--ISNUMBER(SEARCH(","&amp;TRIM(TEXTSPLIT(EU138,","))&amp;",",","&amp;SUBSTITUTE(input_faculty_expertise," ","")&amp;",")))=COUNTA(TEXTSPLIT(EU138,",")))))</f>
        <v/>
      </c>
      <c r="JH138" s="19">
        <f>AND(IF(EW138="",TRUE,IF(input_global_network_school="",FALSE,SUMPRODUCT(--ISNUMBER(SEARCH(","&amp;TRIM(TEXTSPLIT(EW138,","))&amp;",",","&amp;SUBSTITUTE(input_global_network_school," ","")&amp;",")))&gt;0)),IF(EY138="",TRUE,IF(input_global_network_school="",FALSE,SUMPRODUCT(--ISNUMBER(SEARCH(","&amp;TRIM(TEXTSPLIT(EY138,","))&amp;",",","&amp;SUBSTITUTE(input_global_network_school," ","")&amp;",")))=COUNTA(TEXTSPLIT(EY138,",")))),IF(FA138="",TRUE,IF(input_global_network_school="",TRUE,SUMPRODUCT(--ISNUMBER(SEARCH(","&amp;TRIM(TEXTSPLIT(FA138,","))&amp;",",","&amp;SUBSTITUTE(input_global_network_school," ","")&amp;",")))=0)),IF(FC138="",TRUE,IF(input_global_network_school="",FALSE,SUMPRODUCT(--ISNUMBER(SEARCH(","&amp;TRIM(TEXTSPLIT(FC138,","))&amp;",",","&amp;SUBSTITUTE(input_global_network_school," ","")&amp;",")))&gt;0)),IF(FE138="",TRUE,IF(input_global_network_school="",FALSE,SUMPRODUCT(--ISNUMBER(SEARCH(","&amp;TRIM(TEXTSPLIT(FE138,","))&amp;",",","&amp;SUBSTITUTE(input_global_network_school," ","")&amp;",")))=COUNTA(TEXTSPLIT(FE138,",")))))</f>
        <v/>
      </c>
      <c r="JI138" s="19">
        <f>AND(IF(FG138="",TRUE,IF(input_industry="",FALSE,SUMPRODUCT(--ISNUMBER(SEARCH(","&amp;TRIM(TEXTSPLIT(FG138,","))&amp;",",","&amp;SUBSTITUTE(input_industry," ","")&amp;",")))&gt;0)),IF(FI138="",TRUE,IF(input_industry="",FALSE,SUMPRODUCT(--ISNUMBER(SEARCH(","&amp;TRIM(TEXTSPLIT(FI138,","))&amp;",",","&amp;SUBSTITUTE(input_industry," ","")&amp;",")))=COUNTA(TEXTSPLIT(FI138,",")))),IF(FK138="",TRUE,IF(input_industry="",TRUE,SUMPRODUCT(--ISNUMBER(SEARCH(","&amp;TRIM(TEXTSPLIT(FK138,","))&amp;",",","&amp;SUBSTITUTE(input_industry," ","")&amp;",")))=0)),IF(FM138="",TRUE,IF(input_industry="",FALSE,SUMPRODUCT(--ISNUMBER(SEARCH(","&amp;TRIM(TEXTSPLIT(FM138,","))&amp;",",","&amp;SUBSTITUTE(input_industry," ","")&amp;",")))&gt;0)),IF(FO138="",TRUE,IF(input_industry="",FALSE,SUMPRODUCT(--ISNUMBER(SEARCH(","&amp;TRIM(TEXTSPLIT(FO138,","))&amp;",",","&amp;SUBSTITUTE(input_industry," ","")&amp;",")))=COUNTA(TEXTSPLIT(FO138,",")))))</f>
        <v/>
      </c>
      <c r="JJ138" s="19">
        <f>AND(IF(FQ138="",TRUE,IF(input_location="",FALSE,SUMPRODUCT(--ISNUMBER(SEARCH(","&amp;TRIM(TEXTSPLIT(FQ138,","))&amp;",",","&amp;SUBSTITUTE(input_location," ","")&amp;",")))&gt;0)),IF(FS138="",TRUE,IF(input_location="",FALSE,SUMPRODUCT(--ISNUMBER(SEARCH(","&amp;TRIM(TEXTSPLIT(FS138,","))&amp;",",","&amp;SUBSTITUTE(input_location," ","")&amp;",")))=COUNTA(TEXTSPLIT(FS138,",")))),IF(FU138="",TRUE,IF(input_location="",TRUE,SUMPRODUCT(--ISNUMBER(SEARCH(","&amp;TRIM(TEXTSPLIT(FU138,","))&amp;",",","&amp;SUBSTITUTE(input_location," ","")&amp;",")))=0)),IF(FW138="",TRUE,IF(input_location="",FALSE,SUMPRODUCT(--ISNUMBER(SEARCH(","&amp;TRIM(TEXTSPLIT(FW138,","))&amp;",",","&amp;SUBSTITUTE(input_location," ","")&amp;",")))&gt;0)),IF(FY138="",TRUE,IF(input_location="",FALSE,SUMPRODUCT(--ISNUMBER(SEARCH(","&amp;TRIM(TEXTSPLIT(FY138,","))&amp;",",","&amp;SUBSTITUTE(input_location," ","")&amp;",")))=COUNTA(TEXTSPLIT(FY138,",")))))</f>
        <v/>
      </c>
      <c r="JK138" s="19">
        <f>AND(IF(GA138="",TRUE,IF(input_modality="",FALSE,SUMPRODUCT(--ISNUMBER(SEARCH(","&amp;TRIM(TEXTSPLIT(GA138,","))&amp;",",","&amp;SUBSTITUTE(input_modality," ","")&amp;",")))&gt;0)),IF(GC138="",TRUE,IF(input_modality="",FALSE,SUMPRODUCT(--ISNUMBER(SEARCH(","&amp;TRIM(TEXTSPLIT(GC138,","))&amp;",",","&amp;SUBSTITUTE(input_modality," ","")&amp;",")))=COUNTA(TEXTSPLIT(GC138,",")))),IF(GE138="",TRUE,IF(input_modality="",TRUE,SUMPRODUCT(--ISNUMBER(SEARCH(","&amp;TRIM(TEXTSPLIT(GE138,","))&amp;",",","&amp;SUBSTITUTE(input_modality," ","")&amp;",")))=0)),IF(GG138="",TRUE,IF(input_modality="",FALSE,SUMPRODUCT(--ISNUMBER(SEARCH(","&amp;TRIM(TEXTSPLIT(GG138,","))&amp;",",","&amp;SUBSTITUTE(input_modality," ","")&amp;",")))&gt;0)),IF(GI138="",TRUE,IF(input_modality="",FALSE,SUMPRODUCT(--ISNUMBER(SEARCH(","&amp;TRIM(TEXTSPLIT(GI138,","))&amp;",",","&amp;SUBSTITUTE(input_modality," ","")&amp;",")))=COUNTA(TEXTSPLIT(GI138,",")))))</f>
        <v/>
      </c>
      <c r="JL138" s="19">
        <f>AND(IF(GK138="",TRUE,IF(input_organizer="",FALSE,SUMPRODUCT(--ISNUMBER(SEARCH(","&amp;TRIM(TEXTSPLIT(GK138,","))&amp;",",","&amp;SUBSTITUTE(input_organizer," ","")&amp;",")))&gt;0)),IF(GM138="",TRUE,IF(input_organizer="",FALSE,SUMPRODUCT(--ISNUMBER(SEARCH(","&amp;TRIM(TEXTSPLIT(GM138,","))&amp;",",","&amp;SUBSTITUTE(input_organizer," ","")&amp;",")))=COUNTA(TEXTSPLIT(GM138,",")))),IF(GO138="",TRUE,IF(input_organizer="",TRUE,SUMPRODUCT(--ISNUMBER(SEARCH(","&amp;TRIM(TEXTSPLIT(GO138,","))&amp;",",","&amp;SUBSTITUTE(input_organizer," ","")&amp;",")))=0)),IF(GQ138="",TRUE,IF(input_organizer="",FALSE,SUMPRODUCT(--ISNUMBER(SEARCH(","&amp;TRIM(TEXTSPLIT(GQ138,","))&amp;",",","&amp;SUBSTITUTE(input_organizer," ","")&amp;",")))&gt;0)),IF(GS138="",TRUE,IF(input_organizer="",FALSE,SUMPRODUCT(--ISNUMBER(SEARCH(","&amp;TRIM(TEXTSPLIT(GS138,","))&amp;",",","&amp;SUBSTITUTE(input_organizer," ","")&amp;",")))=COUNTA(TEXTSPLIT(GS138,",")))))</f>
        <v/>
      </c>
      <c r="JM138" s="19">
        <f>AND(IF(GU138="",TRUE,IF(input_profile_type="",FALSE,SUMPRODUCT(--ISNUMBER(SEARCH(","&amp;TRIM(TEXTSPLIT(GU138,","))&amp;",",","&amp;SUBSTITUTE(input_profile_type," ","")&amp;",")))&gt;0)),IF(GW138="",TRUE,IF(input_profile_type="",FALSE,SUMPRODUCT(--ISNUMBER(SEARCH(","&amp;TRIM(TEXTSPLIT(GW138,","))&amp;",",","&amp;SUBSTITUTE(input_profile_type," ","")&amp;",")))=COUNTA(TEXTSPLIT(GW138,",")))),IF(GY138="",TRUE,IF(input_profile_type="",TRUE,SUMPRODUCT(--ISNUMBER(SEARCH(","&amp;TRIM(TEXTSPLIT(GY138,","))&amp;",",","&amp;SUBSTITUTE(input_profile_type," ","")&amp;",")))=0)),IF(HA138="",TRUE,IF(input_profile_type="",FALSE,SUMPRODUCT(--ISNUMBER(SEARCH(","&amp;TRIM(TEXTSPLIT(HA138,","))&amp;",",","&amp;SUBSTITUTE(input_profile_type," ","")&amp;",")))&gt;0)),IF(HC138="",TRUE,IF(input_profile_type="",FALSE,SUMPRODUCT(--ISNUMBER(SEARCH(","&amp;TRIM(TEXTSPLIT(HC138,","))&amp;",",","&amp;SUBSTITUTE(input_profile_type," ","")&amp;",")))=COUNTA(TEXTSPLIT(HC138,",")))))</f>
        <v/>
      </c>
      <c r="JN138" s="19">
        <f>AND(IF(HE138="",TRUE,IF(input_program="",FALSE,SUMPRODUCT(--ISNUMBER(SEARCH(","&amp;TRIM(TEXTSPLIT(HE138,","))&amp;",",","&amp;SUBSTITUTE(input_program," ","")&amp;",")))&gt;0)),IF(HG138="",TRUE,IF(input_program="",FALSE,SUMPRODUCT(--ISNUMBER(SEARCH(","&amp;TRIM(TEXTSPLIT(HG138,","))&amp;",",","&amp;SUBSTITUTE(input_program," ","")&amp;",")))=COUNTA(TEXTSPLIT(HG138,",")))),IF(HI138="",TRUE,IF(input_program="",TRUE,SUMPRODUCT(--ISNUMBER(SEARCH(","&amp;TRIM(TEXTSPLIT(HI138,","))&amp;",",","&amp;SUBSTITUTE(input_program," ","")&amp;",")))=0)),IF(HK138="",TRUE,IF(input_program="",FALSE,SUMPRODUCT(--ISNUMBER(SEARCH(","&amp;TRIM(TEXTSPLIT(HK138,","))&amp;",",","&amp;SUBSTITUTE(input_program," ","")&amp;",")))&gt;0)),IF(HM138="",TRUE,IF(input_program="",FALSE,SUMPRODUCT(--ISNUMBER(SEARCH(","&amp;TRIM(TEXTSPLIT(HM138,","))&amp;",",","&amp;SUBSTITUTE(input_program," ","")&amp;",")))=COUNTA(TEXTSPLIT(HM138,",")))))</f>
        <v/>
      </c>
      <c r="JO138" s="19">
        <f>AND(IF(HO138="",TRUE,IF(input_story_categories="",FALSE,SUMPRODUCT(--ISNUMBER(SEARCH(","&amp;TRIM(TEXTSPLIT(HO138,","))&amp;",",","&amp;SUBSTITUTE(input_story_categories," ","")&amp;",")))&gt;0)),IF(HQ138="",TRUE,IF(input_story_categories="",FALSE,SUMPRODUCT(--ISNUMBER(SEARCH(","&amp;TRIM(TEXTSPLIT(HQ138,","))&amp;",",","&amp;SUBSTITUTE(input_story_categories," ","")&amp;",")))=COUNTA(TEXTSPLIT(HQ138,",")))),IF(HS138="",TRUE,IF(input_story_categories="",TRUE,SUMPRODUCT(--ISNUMBER(SEARCH(","&amp;TRIM(TEXTSPLIT(HS138,","))&amp;",",","&amp;SUBSTITUTE(input_story_categories," ","")&amp;",")))=0)),IF(HU138="",TRUE,IF(input_story_categories="",FALSE,SUMPRODUCT(--ISNUMBER(SEARCH(","&amp;TRIM(TEXTSPLIT(HU138,","))&amp;",",","&amp;SUBSTITUTE(input_story_categories," ","")&amp;",")))&gt;0)),IF(HW138="",TRUE,IF(input_story_categories="",FALSE,SUMPRODUCT(--ISNUMBER(SEARCH(","&amp;TRIM(TEXTSPLIT(HW138,","))&amp;",",","&amp;SUBSTITUTE(input_story_categories," ","")&amp;",")))=COUNTA(TEXTSPLIT(HW138,",")))))</f>
        <v/>
      </c>
      <c r="JP138" s="19">
        <f>AND(IF(HY138="",TRUE,IF(input_story_type="",FALSE,SUMPRODUCT(--ISNUMBER(SEARCH(","&amp;TRIM(TEXTSPLIT(HY138,","))&amp;",",","&amp;SUBSTITUTE(input_story_type," ","")&amp;",")))&gt;0)),IF(IA138="",TRUE,IF(input_story_type="",FALSE,SUMPRODUCT(--ISNUMBER(SEARCH(","&amp;TRIM(TEXTSPLIT(IA138,","))&amp;",",","&amp;SUBSTITUTE(input_story_type," ","")&amp;",")))=COUNTA(TEXTSPLIT(IA138,",")))),IF(IC138="",TRUE,IF(input_story_type="",TRUE,SUMPRODUCT(--ISNUMBER(SEARCH(","&amp;TRIM(TEXTSPLIT(IC138,","))&amp;",",","&amp;SUBSTITUTE(input_story_type," ","")&amp;",")))=0)),IF(IE138="",TRUE,IF(input_story_type="",FALSE,SUMPRODUCT(--ISNUMBER(SEARCH(","&amp;TRIM(TEXTSPLIT(IE138,","))&amp;",",","&amp;SUBSTITUTE(input_story_type," ","")&amp;",")))&gt;0)),IF(IG138="",TRUE,IF(input_story_type="",FALSE,SUMPRODUCT(--ISNUMBER(SEARCH(","&amp;TRIM(TEXTSPLIT(IG138,","))&amp;",",","&amp;SUBSTITUTE(input_story_type," ","")&amp;",")))=COUNTA(TEXTSPLIT(IG138,",")))))</f>
        <v/>
      </c>
      <c r="JQ138" s="19">
        <f>AND(IF(II138="",TRUE,IF(input_topics="",FALSE,SUMPRODUCT(--ISNUMBER(SEARCH(","&amp;TRIM(TEXTSPLIT(II138,","))&amp;",",","&amp;SUBSTITUTE(input_topics," ","")&amp;",")))&gt;0)),IF(IK138="",TRUE,IF(input_topics="",FALSE,SUMPRODUCT(--ISNUMBER(SEARCH(","&amp;TRIM(TEXTSPLIT(IK138,","))&amp;",",","&amp;SUBSTITUTE(input_topics," ","")&amp;",")))=COUNTA(TEXTSPLIT(IK138,",")))),IF(IM138="",TRUE,IF(input_topics="",TRUE,SUMPRODUCT(--ISNUMBER(SEARCH(","&amp;TRIM(TEXTSPLIT(IM138,","))&amp;",",","&amp;SUBSTITUTE(input_topics," ","")&amp;",")))=0)),IF(IO138="",TRUE,IF(input_topics="",FALSE,SUMPRODUCT(--ISNUMBER(SEARCH(","&amp;TRIM(TEXTSPLIT(IO138,","))&amp;",",","&amp;SUBSTITUTE(input_topics," ","")&amp;",")))&gt;0)),IF(IQ138="",TRUE,IF(input_topics="",FALSE,SUMPRODUCT(--ISNUMBER(SEARCH(","&amp;TRIM(TEXTSPLIT(IQ138,","))&amp;",",","&amp;SUBSTITUTE(input_topics," ","")&amp;",")))=COUNTA(TEXTSPLIT(IQ138,",")))))</f>
        <v/>
      </c>
    </row>
    <row r="139">
      <c r="A139" s="24">
        <f>IF(NOT(IS139),"Excluded",IF(AND(IT139,IU139,IV139,IW139,IX139,IY139,IZ139,JA139,JB139,JC139,JD139,JE139,JF139,JG139,JH139,JI139,JJ139,JK139,JL139,JM139,JN139,JO139,JP139,JQ139),IF(I139&gt;0,"Eligible but limited","Will appear"),"Excluded"))</f>
        <v/>
      </c>
      <c r="B139" s="24" t="inlineStr">
        <is>
          <t>News - Summary</t>
        </is>
      </c>
      <c r="C139" s="27" t="inlineStr">
        <is>
          <t>/the-som-experience/interests-and-industries/consulting</t>
        </is>
      </c>
      <c r="D139" s="24" t="inlineStr">
        <is>
          <t>/the-som-experience/interests-and-industries/consulting</t>
        </is>
      </c>
      <c r="E139" s="24" t="n">
        <v>1</v>
      </c>
      <c r="F139" s="24" t="inlineStr">
        <is>
          <t>story</t>
        </is>
      </c>
      <c r="G139" s="24" t="inlineStr">
        <is>
          <t>stories_mosaic_grid</t>
        </is>
      </c>
      <c r="H139" s="24" t="inlineStr">
        <is>
          <t>embed_news_summary</t>
        </is>
      </c>
      <c r="I139" s="24" t="n">
        <v>1</v>
      </c>
      <c r="J139" s="24" t="inlineStr">
        <is>
          <t>View/config rules</t>
        </is>
      </c>
      <c r="K139" s="24" t="inlineStr">
        <is>
          <t>Page placement</t>
        </is>
      </c>
      <c r="L139" s="24" t="inlineStr">
        <is>
          <t>Content type: story; Needs any Story Type: News (924); Limited to 1 item(s); Source: View/config rules</t>
        </is>
      </c>
      <c r="HY139" s="19" t="inlineStr">
        <is>
          <t>924</t>
        </is>
      </c>
      <c r="HZ139" s="19" t="inlineStr">
        <is>
          <t>News (924)</t>
        </is>
      </c>
      <c r="IS139" s="19">
        <f>IF(input_content_type="",FALSE,ISNUMBER(SEARCH(","&amp;LOWER(input_content_type)&amp;",",","&amp;LOWER(SUBSTITUTE(F139," ",""))&amp;",")))</f>
        <v/>
      </c>
      <c r="IT139" s="19">
        <f>AND(IF(M139="",TRUE,IF(input_affiliations="",FALSE,SUMPRODUCT(--ISNUMBER(SEARCH(","&amp;TRIM(TEXTSPLIT(M139,","))&amp;",",","&amp;SUBSTITUTE(input_affiliations," ","")&amp;",")))&gt;0)),IF(O139="",TRUE,IF(input_affiliations="",FALSE,SUMPRODUCT(--ISNUMBER(SEARCH(","&amp;TRIM(TEXTSPLIT(O139,","))&amp;",",","&amp;SUBSTITUTE(input_affiliations," ","")&amp;",")))=COUNTA(TEXTSPLIT(O139,",")))),IF(Q139="",TRUE,IF(input_affiliations="",TRUE,SUMPRODUCT(--ISNUMBER(SEARCH(","&amp;TRIM(TEXTSPLIT(Q139,","))&amp;",",","&amp;SUBSTITUTE(input_affiliations," ","")&amp;",")))=0)),IF(S139="",TRUE,IF(input_affiliations="",FALSE,SUMPRODUCT(--ISNUMBER(SEARCH(","&amp;TRIM(TEXTSPLIT(S139,","))&amp;",",","&amp;SUBSTITUTE(input_affiliations," ","")&amp;",")))&gt;0)),IF(U139="",TRUE,IF(input_affiliations="",FALSE,SUMPRODUCT(--ISNUMBER(SEARCH(","&amp;TRIM(TEXTSPLIT(U139,","))&amp;",",","&amp;SUBSTITUTE(input_affiliations," ","")&amp;",")))=COUNTA(TEXTSPLIT(U139,",")))))</f>
        <v/>
      </c>
      <c r="IU139" s="19">
        <f>AND(IF(W139="",TRUE,IF(input_announcement_category="",FALSE,SUMPRODUCT(--ISNUMBER(SEARCH(","&amp;TRIM(TEXTSPLIT(W139,","))&amp;",",","&amp;SUBSTITUTE(input_announcement_category," ","")&amp;",")))&gt;0)),IF(Y139="",TRUE,IF(input_announcement_category="",FALSE,SUMPRODUCT(--ISNUMBER(SEARCH(","&amp;TRIM(TEXTSPLIT(Y139,","))&amp;",",","&amp;SUBSTITUTE(input_announcement_category," ","")&amp;",")))=COUNTA(TEXTSPLIT(Y139,",")))),IF(AA139="",TRUE,IF(input_announcement_category="",TRUE,SUMPRODUCT(--ISNUMBER(SEARCH(","&amp;TRIM(TEXTSPLIT(AA139,","))&amp;",",","&amp;SUBSTITUTE(input_announcement_category," ","")&amp;",")))=0)),IF(AC139="",TRUE,IF(input_announcement_category="",FALSE,SUMPRODUCT(--ISNUMBER(SEARCH(","&amp;TRIM(TEXTSPLIT(AC139,","))&amp;",",","&amp;SUBSTITUTE(input_announcement_category," ","")&amp;",")))&gt;0)),IF(AE139="",TRUE,IF(input_announcement_category="",FALSE,SUMPRODUCT(--ISNUMBER(SEARCH(","&amp;TRIM(TEXTSPLIT(AE139,","))&amp;",",","&amp;SUBSTITUTE(input_announcement_category," ","")&amp;",")))=COUNTA(TEXTSPLIT(AE139,",")))))</f>
        <v/>
      </c>
      <c r="IV139" s="19">
        <f>AND(IF(AG139="",TRUE,IF(input_area_of_focus="",FALSE,SUMPRODUCT(--ISNUMBER(SEARCH(","&amp;TRIM(TEXTSPLIT(AG139,","))&amp;",",","&amp;SUBSTITUTE(input_area_of_focus," ","")&amp;",")))&gt;0)),IF(AI139="",TRUE,IF(input_area_of_focus="",FALSE,SUMPRODUCT(--ISNUMBER(SEARCH(","&amp;TRIM(TEXTSPLIT(AI139,","))&amp;",",","&amp;SUBSTITUTE(input_area_of_focus," ","")&amp;",")))=COUNTA(TEXTSPLIT(AI139,",")))),IF(AK139="",TRUE,IF(input_area_of_focus="",TRUE,SUMPRODUCT(--ISNUMBER(SEARCH(","&amp;TRIM(TEXTSPLIT(AK139,","))&amp;",",","&amp;SUBSTITUTE(input_area_of_focus," ","")&amp;",")))=0)),IF(AM139="",TRUE,IF(input_area_of_focus="",FALSE,SUMPRODUCT(--ISNUMBER(SEARCH(","&amp;TRIM(TEXTSPLIT(AM139,","))&amp;",",","&amp;SUBSTITUTE(input_area_of_focus," ","")&amp;",")))&gt;0)),IF(AO139="",TRUE,IF(input_area_of_focus="",FALSE,SUMPRODUCT(--ISNUMBER(SEARCH(","&amp;TRIM(TEXTSPLIT(AO139,","))&amp;",",","&amp;SUBSTITUTE(input_area_of_focus," ","")&amp;",")))=COUNTA(TEXTSPLIT(AO139,",")))))</f>
        <v/>
      </c>
      <c r="IW139" s="19">
        <f>AND(IF(AQ139="",TRUE,IF(input_audience="",FALSE,SUMPRODUCT(--ISNUMBER(SEARCH(","&amp;TRIM(TEXTSPLIT(AQ139,","))&amp;",",","&amp;SUBSTITUTE(input_audience," ","")&amp;",")))&gt;0)),IF(AS139="",TRUE,IF(input_audience="",FALSE,SUMPRODUCT(--ISNUMBER(SEARCH(","&amp;TRIM(TEXTSPLIT(AS139,","))&amp;",",","&amp;SUBSTITUTE(input_audience," ","")&amp;",")))=COUNTA(TEXTSPLIT(AS139,",")))),IF(AU139="",TRUE,IF(input_audience="",TRUE,SUMPRODUCT(--ISNUMBER(SEARCH(","&amp;TRIM(TEXTSPLIT(AU139,","))&amp;",",","&amp;SUBSTITUTE(input_audience," ","")&amp;",")))=0)),IF(AW139="",TRUE,IF(input_audience="",FALSE,SUMPRODUCT(--ISNUMBER(SEARCH(","&amp;TRIM(TEXTSPLIT(AW139,","))&amp;",",","&amp;SUBSTITUTE(input_audience," ","")&amp;",")))&gt;0)),IF(AY139="",TRUE,IF(input_audience="",FALSE,SUMPRODUCT(--ISNUMBER(SEARCH(","&amp;TRIM(TEXTSPLIT(AY139,","))&amp;",",","&amp;SUBSTITUTE(input_audience," ","")&amp;",")))=COUNTA(TEXTSPLIT(AY139,",")))))</f>
        <v/>
      </c>
      <c r="IX139" s="19">
        <f>AND(IF(BA139="",TRUE,IF(input_challenge_opportunities="",FALSE,SUMPRODUCT(--ISNUMBER(SEARCH(","&amp;TRIM(TEXTSPLIT(BA139,","))&amp;",",","&amp;SUBSTITUTE(input_challenge_opportunities," ","")&amp;",")))&gt;0)),IF(BC139="",TRUE,IF(input_challenge_opportunities="",FALSE,SUMPRODUCT(--ISNUMBER(SEARCH(","&amp;TRIM(TEXTSPLIT(BC139,","))&amp;",",","&amp;SUBSTITUTE(input_challenge_opportunities," ","")&amp;",")))=COUNTA(TEXTSPLIT(BC139,",")))),IF(BE139="",TRUE,IF(input_challenge_opportunities="",TRUE,SUMPRODUCT(--ISNUMBER(SEARCH(","&amp;TRIM(TEXTSPLIT(BE139,","))&amp;",",","&amp;SUBSTITUTE(input_challenge_opportunities," ","")&amp;",")))=0)),IF(BG139="",TRUE,IF(input_challenge_opportunities="",FALSE,SUMPRODUCT(--ISNUMBER(SEARCH(","&amp;TRIM(TEXTSPLIT(BG139,","))&amp;",",","&amp;SUBSTITUTE(input_challenge_opportunities," ","")&amp;",")))&gt;0)),IF(BI139="",TRUE,IF(input_challenge_opportunities="",FALSE,SUMPRODUCT(--ISNUMBER(SEARCH(","&amp;TRIM(TEXTSPLIT(BI139,","))&amp;",",","&amp;SUBSTITUTE(input_challenge_opportunities," ","")&amp;",")))=COUNTA(TEXTSPLIT(BI139,",")))))</f>
        <v/>
      </c>
      <c r="IY139" s="19">
        <f>AND(IF(BK139="",TRUE,IF(input_context="",FALSE,SUMPRODUCT(--ISNUMBER(SEARCH(","&amp;TRIM(TEXTSPLIT(BK139,","))&amp;",",","&amp;SUBSTITUTE(input_context," ","")&amp;",")))&gt;0)),IF(BM139="",TRUE,IF(input_context="",FALSE,SUMPRODUCT(--ISNUMBER(SEARCH(","&amp;TRIM(TEXTSPLIT(BM139,","))&amp;",",","&amp;SUBSTITUTE(input_context," ","")&amp;",")))=COUNTA(TEXTSPLIT(BM139,",")))),IF(BO139="",TRUE,IF(input_context="",TRUE,SUMPRODUCT(--ISNUMBER(SEARCH(","&amp;TRIM(TEXTSPLIT(BO139,","))&amp;",",","&amp;SUBSTITUTE(input_context," ","")&amp;",")))=0)),IF(BQ139="",TRUE,IF(input_context="",FALSE,SUMPRODUCT(--ISNUMBER(SEARCH(","&amp;TRIM(TEXTSPLIT(BQ139,","))&amp;",",","&amp;SUBSTITUTE(input_context," ","")&amp;",")))&gt;0)),IF(BS139="",TRUE,IF(input_context="",FALSE,SUMPRODUCT(--ISNUMBER(SEARCH(","&amp;TRIM(TEXTSPLIT(BS139,","))&amp;",",","&amp;SUBSTITUTE(input_context," ","")&amp;",")))=COUNTA(TEXTSPLIT(BS139,",")))))</f>
        <v/>
      </c>
      <c r="IZ139" s="19">
        <f>AND(IF(BU139="",TRUE,IF(input_enews_announcement_type="",FALSE,SUMPRODUCT(--ISNUMBER(SEARCH(","&amp;TRIM(TEXTSPLIT(BU139,","))&amp;",",","&amp;SUBSTITUTE(input_enews_announcement_type," ","")&amp;",")))&gt;0)),IF(BW139="",TRUE,IF(input_enews_announcement_type="",FALSE,SUMPRODUCT(--ISNUMBER(SEARCH(","&amp;TRIM(TEXTSPLIT(BW139,","))&amp;",",","&amp;SUBSTITUTE(input_enews_announcement_type," ","")&amp;",")))=COUNTA(TEXTSPLIT(BW139,",")))),IF(BY139="",TRUE,IF(input_enews_announcement_type="",TRUE,SUMPRODUCT(--ISNUMBER(SEARCH(","&amp;TRIM(TEXTSPLIT(BY139,","))&amp;",",","&amp;SUBSTITUTE(input_enews_announcement_type," ","")&amp;",")))=0)),IF(CA139="",TRUE,IF(input_enews_announcement_type="",FALSE,SUMPRODUCT(--ISNUMBER(SEARCH(","&amp;TRIM(TEXTSPLIT(CA139,","))&amp;",",","&amp;SUBSTITUTE(input_enews_announcement_type," ","")&amp;",")))&gt;0)),IF(CC139="",TRUE,IF(input_enews_announcement_type="",FALSE,SUMPRODUCT(--ISNUMBER(SEARCH(","&amp;TRIM(TEXTSPLIT(CC139,","))&amp;",",","&amp;SUBSTITUTE(input_enews_announcement_type," ","")&amp;",")))=COUNTA(TEXTSPLIT(CC139,",")))))</f>
        <v/>
      </c>
      <c r="JA139" s="19">
        <f>AND(IF(CE139="",TRUE,IF(input_enews_audience="",FALSE,SUMPRODUCT(--ISNUMBER(SEARCH(","&amp;TRIM(TEXTSPLIT(CE139,","))&amp;",",","&amp;SUBSTITUTE(input_enews_audience," ","")&amp;",")))&gt;0)),IF(CG139="",TRUE,IF(input_enews_audience="",FALSE,SUMPRODUCT(--ISNUMBER(SEARCH(","&amp;TRIM(TEXTSPLIT(CG139,","))&amp;",",","&amp;SUBSTITUTE(input_enews_audience," ","")&amp;",")))=COUNTA(TEXTSPLIT(CG139,",")))),IF(CI139="",TRUE,IF(input_enews_audience="",TRUE,SUMPRODUCT(--ISNUMBER(SEARCH(","&amp;TRIM(TEXTSPLIT(CI139,","))&amp;",",","&amp;SUBSTITUTE(input_enews_audience," ","")&amp;",")))=0)),IF(CK139="",TRUE,IF(input_enews_audience="",FALSE,SUMPRODUCT(--ISNUMBER(SEARCH(","&amp;TRIM(TEXTSPLIT(CK139,","))&amp;",",","&amp;SUBSTITUTE(input_enews_audience," ","")&amp;",")))&gt;0)),IF(CM139="",TRUE,IF(input_enews_audience="",FALSE,SUMPRODUCT(--ISNUMBER(SEARCH(","&amp;TRIM(TEXTSPLIT(CM139,","))&amp;",",","&amp;SUBSTITUTE(input_enews_audience," ","")&amp;",")))=COUNTA(TEXTSPLIT(CM139,",")))))</f>
        <v/>
      </c>
      <c r="JB139" s="19">
        <f>AND(IF(CO139="",TRUE,IF(input_event_location="",FALSE,SUMPRODUCT(--ISNUMBER(SEARCH(","&amp;TRIM(TEXTSPLIT(CO139,","))&amp;",",","&amp;SUBSTITUTE(input_event_location," ","")&amp;",")))&gt;0)),IF(CQ139="",TRUE,IF(input_event_location="",FALSE,SUMPRODUCT(--ISNUMBER(SEARCH(","&amp;TRIM(TEXTSPLIT(CQ139,","))&amp;",",","&amp;SUBSTITUTE(input_event_location," ","")&amp;",")))=COUNTA(TEXTSPLIT(CQ139,",")))),IF(CS139="",TRUE,IF(input_event_location="",TRUE,SUMPRODUCT(--ISNUMBER(SEARCH(","&amp;TRIM(TEXTSPLIT(CS139,","))&amp;",",","&amp;SUBSTITUTE(input_event_location," ","")&amp;",")))=0)),IF(CU139="",TRUE,IF(input_event_location="",FALSE,SUMPRODUCT(--ISNUMBER(SEARCH(","&amp;TRIM(TEXTSPLIT(CU139,","))&amp;",",","&amp;SUBSTITUTE(input_event_location," ","")&amp;",")))&gt;0)),IF(CW139="",TRUE,IF(input_event_location="",FALSE,SUMPRODUCT(--ISNUMBER(SEARCH(","&amp;TRIM(TEXTSPLIT(CW139,","))&amp;",",","&amp;SUBSTITUTE(input_event_location," ","")&amp;",")))=COUNTA(TEXTSPLIT(CW139,",")))))</f>
        <v/>
      </c>
      <c r="JC139" s="19">
        <f>AND(IF(CY139="",TRUE,IF(input_event_type="",FALSE,SUMPRODUCT(--ISNUMBER(SEARCH(","&amp;TRIM(TEXTSPLIT(CY139,","))&amp;",",","&amp;SUBSTITUTE(input_event_type," ","")&amp;",")))&gt;0)),IF(DA139="",TRUE,IF(input_event_type="",FALSE,SUMPRODUCT(--ISNUMBER(SEARCH(","&amp;TRIM(TEXTSPLIT(DA139,","))&amp;",",","&amp;SUBSTITUTE(input_event_type," ","")&amp;",")))=COUNTA(TEXTSPLIT(DA139,",")))),IF(DC139="",TRUE,IF(input_event_type="",TRUE,SUMPRODUCT(--ISNUMBER(SEARCH(","&amp;TRIM(TEXTSPLIT(DC139,","))&amp;",",","&amp;SUBSTITUTE(input_event_type," ","")&amp;",")))=0)),IF(DE139="",TRUE,IF(input_event_type="",FALSE,SUMPRODUCT(--ISNUMBER(SEARCH(","&amp;TRIM(TEXTSPLIT(DE139,","))&amp;",",","&amp;SUBSTITUTE(input_event_type," ","")&amp;",")))&gt;0)),IF(DG139="",TRUE,IF(input_event_type="",FALSE,SUMPRODUCT(--ISNUMBER(SEARCH(","&amp;TRIM(TEXTSPLIT(DG139,","))&amp;",",","&amp;SUBSTITUTE(input_event_type," ","")&amp;",")))=COUNTA(TEXTSPLIT(DG139,",")))))</f>
        <v/>
      </c>
      <c r="JD139" s="19">
        <f>AND(IF(DI139="",TRUE,IF(input_executive_education_focus="",FALSE,SUMPRODUCT(--ISNUMBER(SEARCH(","&amp;TRIM(TEXTSPLIT(DI139,","))&amp;",",","&amp;SUBSTITUTE(input_executive_education_focus," ","")&amp;",")))&gt;0)),IF(DK139="",TRUE,IF(input_executive_education_focus="",FALSE,SUMPRODUCT(--ISNUMBER(SEARCH(","&amp;TRIM(TEXTSPLIT(DK139,","))&amp;",",","&amp;SUBSTITUTE(input_executive_education_focus," ","")&amp;",")))=COUNTA(TEXTSPLIT(DK139,",")))),IF(DM139="",TRUE,IF(input_executive_education_focus="",TRUE,SUMPRODUCT(--ISNUMBER(SEARCH(","&amp;TRIM(TEXTSPLIT(DM139,","))&amp;",",","&amp;SUBSTITUTE(input_executive_education_focus," ","")&amp;",")))=0)),IF(DO139="",TRUE,IF(input_executive_education_focus="",FALSE,SUMPRODUCT(--ISNUMBER(SEARCH(","&amp;TRIM(TEXTSPLIT(DO139,","))&amp;",",","&amp;SUBSTITUTE(input_executive_education_focus," ","")&amp;",")))&gt;0)),IF(DQ139="",TRUE,IF(input_executive_education_focus="",FALSE,SUMPRODUCT(--ISNUMBER(SEARCH(","&amp;TRIM(TEXTSPLIT(DQ139,","))&amp;",",","&amp;SUBSTITUTE(input_executive_education_focus," ","")&amp;",")))=COUNTA(TEXTSPLIT(DQ139,",")))))</f>
        <v/>
      </c>
      <c r="JE139" s="19">
        <f>AND(IF(DS139="",TRUE,IF(input_faculty_category="",FALSE,SUMPRODUCT(--ISNUMBER(SEARCH(","&amp;TRIM(TEXTSPLIT(DS139,","))&amp;",",","&amp;SUBSTITUTE(input_faculty_category," ","")&amp;",")))&gt;0)),IF(DU139="",TRUE,IF(input_faculty_category="",FALSE,SUMPRODUCT(--ISNUMBER(SEARCH(","&amp;TRIM(TEXTSPLIT(DU139,","))&amp;",",","&amp;SUBSTITUTE(input_faculty_category," ","")&amp;",")))=COUNTA(TEXTSPLIT(DU139,",")))),IF(DW139="",TRUE,IF(input_faculty_category="",TRUE,SUMPRODUCT(--ISNUMBER(SEARCH(","&amp;TRIM(TEXTSPLIT(DW139,","))&amp;",",","&amp;SUBSTITUTE(input_faculty_category," ","")&amp;",")))=0)),IF(DY139="",TRUE,IF(input_faculty_category="",FALSE,SUMPRODUCT(--ISNUMBER(SEARCH(","&amp;TRIM(TEXTSPLIT(DY139,","))&amp;",",","&amp;SUBSTITUTE(input_faculty_category," ","")&amp;",")))&gt;0)),IF(EA139="",TRUE,IF(input_faculty_category="",FALSE,SUMPRODUCT(--ISNUMBER(SEARCH(","&amp;TRIM(TEXTSPLIT(EA139,","))&amp;",",","&amp;SUBSTITUTE(input_faculty_category," ","")&amp;",")))=COUNTA(TEXTSPLIT(EA139,",")))))</f>
        <v/>
      </c>
      <c r="JF139" s="19">
        <f>AND(IF(EC139="",TRUE,IF(input_faculty_discipline="",FALSE,SUMPRODUCT(--ISNUMBER(SEARCH(","&amp;TRIM(TEXTSPLIT(EC139,","))&amp;",",","&amp;SUBSTITUTE(input_faculty_discipline," ","")&amp;",")))&gt;0)),IF(EE139="",TRUE,IF(input_faculty_discipline="",FALSE,SUMPRODUCT(--ISNUMBER(SEARCH(","&amp;TRIM(TEXTSPLIT(EE139,","))&amp;",",","&amp;SUBSTITUTE(input_faculty_discipline," ","")&amp;",")))=COUNTA(TEXTSPLIT(EE139,",")))),IF(EG139="",TRUE,IF(input_faculty_discipline="",TRUE,SUMPRODUCT(--ISNUMBER(SEARCH(","&amp;TRIM(TEXTSPLIT(EG139,","))&amp;",",","&amp;SUBSTITUTE(input_faculty_discipline," ","")&amp;",")))=0)),IF(EI139="",TRUE,IF(input_faculty_discipline="",FALSE,SUMPRODUCT(--ISNUMBER(SEARCH(","&amp;TRIM(TEXTSPLIT(EI139,","))&amp;",",","&amp;SUBSTITUTE(input_faculty_discipline," ","")&amp;",")))&gt;0)),IF(EK139="",TRUE,IF(input_faculty_discipline="",FALSE,SUMPRODUCT(--ISNUMBER(SEARCH(","&amp;TRIM(TEXTSPLIT(EK139,","))&amp;",",","&amp;SUBSTITUTE(input_faculty_discipline," ","")&amp;",")))=COUNTA(TEXTSPLIT(EK139,",")))))</f>
        <v/>
      </c>
      <c r="JG139" s="19">
        <f>AND(IF(EM139="",TRUE,IF(input_faculty_expertise="",FALSE,SUMPRODUCT(--ISNUMBER(SEARCH(","&amp;TRIM(TEXTSPLIT(EM139,","))&amp;",",","&amp;SUBSTITUTE(input_faculty_expertise," ","")&amp;",")))&gt;0)),IF(EO139="",TRUE,IF(input_faculty_expertise="",FALSE,SUMPRODUCT(--ISNUMBER(SEARCH(","&amp;TRIM(TEXTSPLIT(EO139,","))&amp;",",","&amp;SUBSTITUTE(input_faculty_expertise," ","")&amp;",")))=COUNTA(TEXTSPLIT(EO139,",")))),IF(EQ139="",TRUE,IF(input_faculty_expertise="",TRUE,SUMPRODUCT(--ISNUMBER(SEARCH(","&amp;TRIM(TEXTSPLIT(EQ139,","))&amp;",",","&amp;SUBSTITUTE(input_faculty_expertise," ","")&amp;",")))=0)),IF(ES139="",TRUE,IF(input_faculty_expertise="",FALSE,SUMPRODUCT(--ISNUMBER(SEARCH(","&amp;TRIM(TEXTSPLIT(ES139,","))&amp;",",","&amp;SUBSTITUTE(input_faculty_expertise," ","")&amp;",")))&gt;0)),IF(EU139="",TRUE,IF(input_faculty_expertise="",FALSE,SUMPRODUCT(--ISNUMBER(SEARCH(","&amp;TRIM(TEXTSPLIT(EU139,","))&amp;",",","&amp;SUBSTITUTE(input_faculty_expertise," ","")&amp;",")))=COUNTA(TEXTSPLIT(EU139,",")))))</f>
        <v/>
      </c>
      <c r="JH139" s="19">
        <f>AND(IF(EW139="",TRUE,IF(input_global_network_school="",FALSE,SUMPRODUCT(--ISNUMBER(SEARCH(","&amp;TRIM(TEXTSPLIT(EW139,","))&amp;",",","&amp;SUBSTITUTE(input_global_network_school," ","")&amp;",")))&gt;0)),IF(EY139="",TRUE,IF(input_global_network_school="",FALSE,SUMPRODUCT(--ISNUMBER(SEARCH(","&amp;TRIM(TEXTSPLIT(EY139,","))&amp;",",","&amp;SUBSTITUTE(input_global_network_school," ","")&amp;",")))=COUNTA(TEXTSPLIT(EY139,",")))),IF(FA139="",TRUE,IF(input_global_network_school="",TRUE,SUMPRODUCT(--ISNUMBER(SEARCH(","&amp;TRIM(TEXTSPLIT(FA139,","))&amp;",",","&amp;SUBSTITUTE(input_global_network_school," ","")&amp;",")))=0)),IF(FC139="",TRUE,IF(input_global_network_school="",FALSE,SUMPRODUCT(--ISNUMBER(SEARCH(","&amp;TRIM(TEXTSPLIT(FC139,","))&amp;",",","&amp;SUBSTITUTE(input_global_network_school," ","")&amp;",")))&gt;0)),IF(FE139="",TRUE,IF(input_global_network_school="",FALSE,SUMPRODUCT(--ISNUMBER(SEARCH(","&amp;TRIM(TEXTSPLIT(FE139,","))&amp;",",","&amp;SUBSTITUTE(input_global_network_school," ","")&amp;",")))=COUNTA(TEXTSPLIT(FE139,",")))))</f>
        <v/>
      </c>
      <c r="JI139" s="19">
        <f>AND(IF(FG139="",TRUE,IF(input_industry="",FALSE,SUMPRODUCT(--ISNUMBER(SEARCH(","&amp;TRIM(TEXTSPLIT(FG139,","))&amp;",",","&amp;SUBSTITUTE(input_industry," ","")&amp;",")))&gt;0)),IF(FI139="",TRUE,IF(input_industry="",FALSE,SUMPRODUCT(--ISNUMBER(SEARCH(","&amp;TRIM(TEXTSPLIT(FI139,","))&amp;",",","&amp;SUBSTITUTE(input_industry," ","")&amp;",")))=COUNTA(TEXTSPLIT(FI139,",")))),IF(FK139="",TRUE,IF(input_industry="",TRUE,SUMPRODUCT(--ISNUMBER(SEARCH(","&amp;TRIM(TEXTSPLIT(FK139,","))&amp;",",","&amp;SUBSTITUTE(input_industry," ","")&amp;",")))=0)),IF(FM139="",TRUE,IF(input_industry="",FALSE,SUMPRODUCT(--ISNUMBER(SEARCH(","&amp;TRIM(TEXTSPLIT(FM139,","))&amp;",",","&amp;SUBSTITUTE(input_industry," ","")&amp;",")))&gt;0)),IF(FO139="",TRUE,IF(input_industry="",FALSE,SUMPRODUCT(--ISNUMBER(SEARCH(","&amp;TRIM(TEXTSPLIT(FO139,","))&amp;",",","&amp;SUBSTITUTE(input_industry," ","")&amp;",")))=COUNTA(TEXTSPLIT(FO139,",")))))</f>
        <v/>
      </c>
      <c r="JJ139" s="19">
        <f>AND(IF(FQ139="",TRUE,IF(input_location="",FALSE,SUMPRODUCT(--ISNUMBER(SEARCH(","&amp;TRIM(TEXTSPLIT(FQ139,","))&amp;",",","&amp;SUBSTITUTE(input_location," ","")&amp;",")))&gt;0)),IF(FS139="",TRUE,IF(input_location="",FALSE,SUMPRODUCT(--ISNUMBER(SEARCH(","&amp;TRIM(TEXTSPLIT(FS139,","))&amp;",",","&amp;SUBSTITUTE(input_location," ","")&amp;",")))=COUNTA(TEXTSPLIT(FS139,",")))),IF(FU139="",TRUE,IF(input_location="",TRUE,SUMPRODUCT(--ISNUMBER(SEARCH(","&amp;TRIM(TEXTSPLIT(FU139,","))&amp;",",","&amp;SUBSTITUTE(input_location," ","")&amp;",")))=0)),IF(FW139="",TRUE,IF(input_location="",FALSE,SUMPRODUCT(--ISNUMBER(SEARCH(","&amp;TRIM(TEXTSPLIT(FW139,","))&amp;",",","&amp;SUBSTITUTE(input_location," ","")&amp;",")))&gt;0)),IF(FY139="",TRUE,IF(input_location="",FALSE,SUMPRODUCT(--ISNUMBER(SEARCH(","&amp;TRIM(TEXTSPLIT(FY139,","))&amp;",",","&amp;SUBSTITUTE(input_location," ","")&amp;",")))=COUNTA(TEXTSPLIT(FY139,",")))))</f>
        <v/>
      </c>
      <c r="JK139" s="19">
        <f>AND(IF(GA139="",TRUE,IF(input_modality="",FALSE,SUMPRODUCT(--ISNUMBER(SEARCH(","&amp;TRIM(TEXTSPLIT(GA139,","))&amp;",",","&amp;SUBSTITUTE(input_modality," ","")&amp;",")))&gt;0)),IF(GC139="",TRUE,IF(input_modality="",FALSE,SUMPRODUCT(--ISNUMBER(SEARCH(","&amp;TRIM(TEXTSPLIT(GC139,","))&amp;",",","&amp;SUBSTITUTE(input_modality," ","")&amp;",")))=COUNTA(TEXTSPLIT(GC139,",")))),IF(GE139="",TRUE,IF(input_modality="",TRUE,SUMPRODUCT(--ISNUMBER(SEARCH(","&amp;TRIM(TEXTSPLIT(GE139,","))&amp;",",","&amp;SUBSTITUTE(input_modality," ","")&amp;",")))=0)),IF(GG139="",TRUE,IF(input_modality="",FALSE,SUMPRODUCT(--ISNUMBER(SEARCH(","&amp;TRIM(TEXTSPLIT(GG139,","))&amp;",",","&amp;SUBSTITUTE(input_modality," ","")&amp;",")))&gt;0)),IF(GI139="",TRUE,IF(input_modality="",FALSE,SUMPRODUCT(--ISNUMBER(SEARCH(","&amp;TRIM(TEXTSPLIT(GI139,","))&amp;",",","&amp;SUBSTITUTE(input_modality," ","")&amp;",")))=COUNTA(TEXTSPLIT(GI139,",")))))</f>
        <v/>
      </c>
      <c r="JL139" s="19">
        <f>AND(IF(GK139="",TRUE,IF(input_organizer="",FALSE,SUMPRODUCT(--ISNUMBER(SEARCH(","&amp;TRIM(TEXTSPLIT(GK139,","))&amp;",",","&amp;SUBSTITUTE(input_organizer," ","")&amp;",")))&gt;0)),IF(GM139="",TRUE,IF(input_organizer="",FALSE,SUMPRODUCT(--ISNUMBER(SEARCH(","&amp;TRIM(TEXTSPLIT(GM139,","))&amp;",",","&amp;SUBSTITUTE(input_organizer," ","")&amp;",")))=COUNTA(TEXTSPLIT(GM139,",")))),IF(GO139="",TRUE,IF(input_organizer="",TRUE,SUMPRODUCT(--ISNUMBER(SEARCH(","&amp;TRIM(TEXTSPLIT(GO139,","))&amp;",",","&amp;SUBSTITUTE(input_organizer," ","")&amp;",")))=0)),IF(GQ139="",TRUE,IF(input_organizer="",FALSE,SUMPRODUCT(--ISNUMBER(SEARCH(","&amp;TRIM(TEXTSPLIT(GQ139,","))&amp;",",","&amp;SUBSTITUTE(input_organizer," ","")&amp;",")))&gt;0)),IF(GS139="",TRUE,IF(input_organizer="",FALSE,SUMPRODUCT(--ISNUMBER(SEARCH(","&amp;TRIM(TEXTSPLIT(GS139,","))&amp;",",","&amp;SUBSTITUTE(input_organizer," ","")&amp;",")))=COUNTA(TEXTSPLIT(GS139,",")))))</f>
        <v/>
      </c>
      <c r="JM139" s="19">
        <f>AND(IF(GU139="",TRUE,IF(input_profile_type="",FALSE,SUMPRODUCT(--ISNUMBER(SEARCH(","&amp;TRIM(TEXTSPLIT(GU139,","))&amp;",",","&amp;SUBSTITUTE(input_profile_type," ","")&amp;",")))&gt;0)),IF(GW139="",TRUE,IF(input_profile_type="",FALSE,SUMPRODUCT(--ISNUMBER(SEARCH(","&amp;TRIM(TEXTSPLIT(GW139,","))&amp;",",","&amp;SUBSTITUTE(input_profile_type," ","")&amp;",")))=COUNTA(TEXTSPLIT(GW139,",")))),IF(GY139="",TRUE,IF(input_profile_type="",TRUE,SUMPRODUCT(--ISNUMBER(SEARCH(","&amp;TRIM(TEXTSPLIT(GY139,","))&amp;",",","&amp;SUBSTITUTE(input_profile_type," ","")&amp;",")))=0)),IF(HA139="",TRUE,IF(input_profile_type="",FALSE,SUMPRODUCT(--ISNUMBER(SEARCH(","&amp;TRIM(TEXTSPLIT(HA139,","))&amp;",",","&amp;SUBSTITUTE(input_profile_type," ","")&amp;",")))&gt;0)),IF(HC139="",TRUE,IF(input_profile_type="",FALSE,SUMPRODUCT(--ISNUMBER(SEARCH(","&amp;TRIM(TEXTSPLIT(HC139,","))&amp;",",","&amp;SUBSTITUTE(input_profile_type," ","")&amp;",")))=COUNTA(TEXTSPLIT(HC139,",")))))</f>
        <v/>
      </c>
      <c r="JN139" s="19">
        <f>AND(IF(HE139="",TRUE,IF(input_program="",FALSE,SUMPRODUCT(--ISNUMBER(SEARCH(","&amp;TRIM(TEXTSPLIT(HE139,","))&amp;",",","&amp;SUBSTITUTE(input_program," ","")&amp;",")))&gt;0)),IF(HG139="",TRUE,IF(input_program="",FALSE,SUMPRODUCT(--ISNUMBER(SEARCH(","&amp;TRIM(TEXTSPLIT(HG139,","))&amp;",",","&amp;SUBSTITUTE(input_program," ","")&amp;",")))=COUNTA(TEXTSPLIT(HG139,",")))),IF(HI139="",TRUE,IF(input_program="",TRUE,SUMPRODUCT(--ISNUMBER(SEARCH(","&amp;TRIM(TEXTSPLIT(HI139,","))&amp;",",","&amp;SUBSTITUTE(input_program," ","")&amp;",")))=0)),IF(HK139="",TRUE,IF(input_program="",FALSE,SUMPRODUCT(--ISNUMBER(SEARCH(","&amp;TRIM(TEXTSPLIT(HK139,","))&amp;",",","&amp;SUBSTITUTE(input_program," ","")&amp;",")))&gt;0)),IF(HM139="",TRUE,IF(input_program="",FALSE,SUMPRODUCT(--ISNUMBER(SEARCH(","&amp;TRIM(TEXTSPLIT(HM139,","))&amp;",",","&amp;SUBSTITUTE(input_program," ","")&amp;",")))=COUNTA(TEXTSPLIT(HM139,",")))))</f>
        <v/>
      </c>
      <c r="JO139" s="19">
        <f>AND(IF(HO139="",TRUE,IF(input_story_categories="",FALSE,SUMPRODUCT(--ISNUMBER(SEARCH(","&amp;TRIM(TEXTSPLIT(HO139,","))&amp;",",","&amp;SUBSTITUTE(input_story_categories," ","")&amp;",")))&gt;0)),IF(HQ139="",TRUE,IF(input_story_categories="",FALSE,SUMPRODUCT(--ISNUMBER(SEARCH(","&amp;TRIM(TEXTSPLIT(HQ139,","))&amp;",",","&amp;SUBSTITUTE(input_story_categories," ","")&amp;",")))=COUNTA(TEXTSPLIT(HQ139,",")))),IF(HS139="",TRUE,IF(input_story_categories="",TRUE,SUMPRODUCT(--ISNUMBER(SEARCH(","&amp;TRIM(TEXTSPLIT(HS139,","))&amp;",",","&amp;SUBSTITUTE(input_story_categories," ","")&amp;",")))=0)),IF(HU139="",TRUE,IF(input_story_categories="",FALSE,SUMPRODUCT(--ISNUMBER(SEARCH(","&amp;TRIM(TEXTSPLIT(HU139,","))&amp;",",","&amp;SUBSTITUTE(input_story_categories," ","")&amp;",")))&gt;0)),IF(HW139="",TRUE,IF(input_story_categories="",FALSE,SUMPRODUCT(--ISNUMBER(SEARCH(","&amp;TRIM(TEXTSPLIT(HW139,","))&amp;",",","&amp;SUBSTITUTE(input_story_categories," ","")&amp;",")))=COUNTA(TEXTSPLIT(HW139,",")))))</f>
        <v/>
      </c>
      <c r="JP139" s="19">
        <f>AND(IF(HY139="",TRUE,IF(input_story_type="",FALSE,SUMPRODUCT(--ISNUMBER(SEARCH(","&amp;TRIM(TEXTSPLIT(HY139,","))&amp;",",","&amp;SUBSTITUTE(input_story_type," ","")&amp;",")))&gt;0)),IF(IA139="",TRUE,IF(input_story_type="",FALSE,SUMPRODUCT(--ISNUMBER(SEARCH(","&amp;TRIM(TEXTSPLIT(IA139,","))&amp;",",","&amp;SUBSTITUTE(input_story_type," ","")&amp;",")))=COUNTA(TEXTSPLIT(IA139,",")))),IF(IC139="",TRUE,IF(input_story_type="",TRUE,SUMPRODUCT(--ISNUMBER(SEARCH(","&amp;TRIM(TEXTSPLIT(IC139,","))&amp;",",","&amp;SUBSTITUTE(input_story_type," ","")&amp;",")))=0)),IF(IE139="",TRUE,IF(input_story_type="",FALSE,SUMPRODUCT(--ISNUMBER(SEARCH(","&amp;TRIM(TEXTSPLIT(IE139,","))&amp;",",","&amp;SUBSTITUTE(input_story_type," ","")&amp;",")))&gt;0)),IF(IG139="",TRUE,IF(input_story_type="",FALSE,SUMPRODUCT(--ISNUMBER(SEARCH(","&amp;TRIM(TEXTSPLIT(IG139,","))&amp;",",","&amp;SUBSTITUTE(input_story_type," ","")&amp;",")))=COUNTA(TEXTSPLIT(IG139,",")))))</f>
        <v/>
      </c>
      <c r="JQ139" s="19">
        <f>AND(IF(II139="",TRUE,IF(input_topics="",FALSE,SUMPRODUCT(--ISNUMBER(SEARCH(","&amp;TRIM(TEXTSPLIT(II139,","))&amp;",",","&amp;SUBSTITUTE(input_topics," ","")&amp;",")))&gt;0)),IF(IK139="",TRUE,IF(input_topics="",FALSE,SUMPRODUCT(--ISNUMBER(SEARCH(","&amp;TRIM(TEXTSPLIT(IK139,","))&amp;",",","&amp;SUBSTITUTE(input_topics," ","")&amp;",")))=COUNTA(TEXTSPLIT(IK139,",")))),IF(IM139="",TRUE,IF(input_topics="",TRUE,SUMPRODUCT(--ISNUMBER(SEARCH(","&amp;TRIM(TEXTSPLIT(IM139,","))&amp;",",","&amp;SUBSTITUTE(input_topics," ","")&amp;",")))=0)),IF(IO139="",TRUE,IF(input_topics="",FALSE,SUMPRODUCT(--ISNUMBER(SEARCH(","&amp;TRIM(TEXTSPLIT(IO139,","))&amp;",",","&amp;SUBSTITUTE(input_topics," ","")&amp;",")))&gt;0)),IF(IQ139="",TRUE,IF(input_topics="",FALSE,SUMPRODUCT(--ISNUMBER(SEARCH(","&amp;TRIM(TEXTSPLIT(IQ139,","))&amp;",",","&amp;SUBSTITUTE(input_topics," ","")&amp;",")))=COUNTA(TEXTSPLIT(IQ139,",")))))</f>
        <v/>
      </c>
    </row>
    <row r="140">
      <c r="A140" s="24">
        <f>IF(NOT(IS140),"Excluded",IF(AND(IT140,IU140,IV140,IW140,IX140,IY140,IZ140,JA140,JB140,JC140,JD140,JE140,JF140,JG140,JH140,JI140,JJ140,JK140,JL140,JM140,JN140,JO140,JP140,JQ140),IF(I140&gt;0,"Eligible but limited","Will appear"),"Excluded"))</f>
        <v/>
      </c>
      <c r="B140" s="24" t="inlineStr">
        <is>
          <t>News - Summary</t>
        </is>
      </c>
      <c r="C140" s="27" t="inlineStr">
        <is>
          <t>/the-som-experience/interests-and-industries/entrepreneurship</t>
        </is>
      </c>
      <c r="D140" s="24" t="inlineStr">
        <is>
          <t>/the-som-experience/interests-and-industries/entrepreneurship</t>
        </is>
      </c>
      <c r="E140" s="24" t="n">
        <v>1</v>
      </c>
      <c r="F140" s="24" t="inlineStr">
        <is>
          <t>story</t>
        </is>
      </c>
      <c r="G140" s="24" t="inlineStr">
        <is>
          <t>stories_mosaic_grid</t>
        </is>
      </c>
      <c r="H140" s="24" t="inlineStr">
        <is>
          <t>embed_news_summary</t>
        </is>
      </c>
      <c r="I140" s="24" t="n">
        <v>1</v>
      </c>
      <c r="J140" s="24" t="inlineStr">
        <is>
          <t>View/config rules</t>
        </is>
      </c>
      <c r="K140" s="24" t="inlineStr">
        <is>
          <t>Page placement</t>
        </is>
      </c>
      <c r="L140" s="24" t="inlineStr">
        <is>
          <t>Content type: story; Needs any Story Type: News (924); Limited to 1 item(s); Source: View/config rules</t>
        </is>
      </c>
      <c r="HY140" s="19" t="inlineStr">
        <is>
          <t>924</t>
        </is>
      </c>
      <c r="HZ140" s="19" t="inlineStr">
        <is>
          <t>News (924)</t>
        </is>
      </c>
      <c r="IS140" s="19">
        <f>IF(input_content_type="",FALSE,ISNUMBER(SEARCH(","&amp;LOWER(input_content_type)&amp;",",","&amp;LOWER(SUBSTITUTE(F140," ",""))&amp;",")))</f>
        <v/>
      </c>
      <c r="IT140" s="19">
        <f>AND(IF(M140="",TRUE,IF(input_affiliations="",FALSE,SUMPRODUCT(--ISNUMBER(SEARCH(","&amp;TRIM(TEXTSPLIT(M140,","))&amp;",",","&amp;SUBSTITUTE(input_affiliations," ","")&amp;",")))&gt;0)),IF(O140="",TRUE,IF(input_affiliations="",FALSE,SUMPRODUCT(--ISNUMBER(SEARCH(","&amp;TRIM(TEXTSPLIT(O140,","))&amp;",",","&amp;SUBSTITUTE(input_affiliations," ","")&amp;",")))=COUNTA(TEXTSPLIT(O140,",")))),IF(Q140="",TRUE,IF(input_affiliations="",TRUE,SUMPRODUCT(--ISNUMBER(SEARCH(","&amp;TRIM(TEXTSPLIT(Q140,","))&amp;",",","&amp;SUBSTITUTE(input_affiliations," ","")&amp;",")))=0)),IF(S140="",TRUE,IF(input_affiliations="",FALSE,SUMPRODUCT(--ISNUMBER(SEARCH(","&amp;TRIM(TEXTSPLIT(S140,","))&amp;",",","&amp;SUBSTITUTE(input_affiliations," ","")&amp;",")))&gt;0)),IF(U140="",TRUE,IF(input_affiliations="",FALSE,SUMPRODUCT(--ISNUMBER(SEARCH(","&amp;TRIM(TEXTSPLIT(U140,","))&amp;",",","&amp;SUBSTITUTE(input_affiliations," ","")&amp;",")))=COUNTA(TEXTSPLIT(U140,",")))))</f>
        <v/>
      </c>
      <c r="IU140" s="19">
        <f>AND(IF(W140="",TRUE,IF(input_announcement_category="",FALSE,SUMPRODUCT(--ISNUMBER(SEARCH(","&amp;TRIM(TEXTSPLIT(W140,","))&amp;",",","&amp;SUBSTITUTE(input_announcement_category," ","")&amp;",")))&gt;0)),IF(Y140="",TRUE,IF(input_announcement_category="",FALSE,SUMPRODUCT(--ISNUMBER(SEARCH(","&amp;TRIM(TEXTSPLIT(Y140,","))&amp;",",","&amp;SUBSTITUTE(input_announcement_category," ","")&amp;",")))=COUNTA(TEXTSPLIT(Y140,",")))),IF(AA140="",TRUE,IF(input_announcement_category="",TRUE,SUMPRODUCT(--ISNUMBER(SEARCH(","&amp;TRIM(TEXTSPLIT(AA140,","))&amp;",",","&amp;SUBSTITUTE(input_announcement_category," ","")&amp;",")))=0)),IF(AC140="",TRUE,IF(input_announcement_category="",FALSE,SUMPRODUCT(--ISNUMBER(SEARCH(","&amp;TRIM(TEXTSPLIT(AC140,","))&amp;",",","&amp;SUBSTITUTE(input_announcement_category," ","")&amp;",")))&gt;0)),IF(AE140="",TRUE,IF(input_announcement_category="",FALSE,SUMPRODUCT(--ISNUMBER(SEARCH(","&amp;TRIM(TEXTSPLIT(AE140,","))&amp;",",","&amp;SUBSTITUTE(input_announcement_category," ","")&amp;",")))=COUNTA(TEXTSPLIT(AE140,",")))))</f>
        <v/>
      </c>
      <c r="IV140" s="19">
        <f>AND(IF(AG140="",TRUE,IF(input_area_of_focus="",FALSE,SUMPRODUCT(--ISNUMBER(SEARCH(","&amp;TRIM(TEXTSPLIT(AG140,","))&amp;",",","&amp;SUBSTITUTE(input_area_of_focus," ","")&amp;",")))&gt;0)),IF(AI140="",TRUE,IF(input_area_of_focus="",FALSE,SUMPRODUCT(--ISNUMBER(SEARCH(","&amp;TRIM(TEXTSPLIT(AI140,","))&amp;",",","&amp;SUBSTITUTE(input_area_of_focus," ","")&amp;",")))=COUNTA(TEXTSPLIT(AI140,",")))),IF(AK140="",TRUE,IF(input_area_of_focus="",TRUE,SUMPRODUCT(--ISNUMBER(SEARCH(","&amp;TRIM(TEXTSPLIT(AK140,","))&amp;",",","&amp;SUBSTITUTE(input_area_of_focus," ","")&amp;",")))=0)),IF(AM140="",TRUE,IF(input_area_of_focus="",FALSE,SUMPRODUCT(--ISNUMBER(SEARCH(","&amp;TRIM(TEXTSPLIT(AM140,","))&amp;",",","&amp;SUBSTITUTE(input_area_of_focus," ","")&amp;",")))&gt;0)),IF(AO140="",TRUE,IF(input_area_of_focus="",FALSE,SUMPRODUCT(--ISNUMBER(SEARCH(","&amp;TRIM(TEXTSPLIT(AO140,","))&amp;",",","&amp;SUBSTITUTE(input_area_of_focus," ","")&amp;",")))=COUNTA(TEXTSPLIT(AO140,",")))))</f>
        <v/>
      </c>
      <c r="IW140" s="19">
        <f>AND(IF(AQ140="",TRUE,IF(input_audience="",FALSE,SUMPRODUCT(--ISNUMBER(SEARCH(","&amp;TRIM(TEXTSPLIT(AQ140,","))&amp;",",","&amp;SUBSTITUTE(input_audience," ","")&amp;",")))&gt;0)),IF(AS140="",TRUE,IF(input_audience="",FALSE,SUMPRODUCT(--ISNUMBER(SEARCH(","&amp;TRIM(TEXTSPLIT(AS140,","))&amp;",",","&amp;SUBSTITUTE(input_audience," ","")&amp;",")))=COUNTA(TEXTSPLIT(AS140,",")))),IF(AU140="",TRUE,IF(input_audience="",TRUE,SUMPRODUCT(--ISNUMBER(SEARCH(","&amp;TRIM(TEXTSPLIT(AU140,","))&amp;",",","&amp;SUBSTITUTE(input_audience," ","")&amp;",")))=0)),IF(AW140="",TRUE,IF(input_audience="",FALSE,SUMPRODUCT(--ISNUMBER(SEARCH(","&amp;TRIM(TEXTSPLIT(AW140,","))&amp;",",","&amp;SUBSTITUTE(input_audience," ","")&amp;",")))&gt;0)),IF(AY140="",TRUE,IF(input_audience="",FALSE,SUMPRODUCT(--ISNUMBER(SEARCH(","&amp;TRIM(TEXTSPLIT(AY140,","))&amp;",",","&amp;SUBSTITUTE(input_audience," ","")&amp;",")))=COUNTA(TEXTSPLIT(AY140,",")))))</f>
        <v/>
      </c>
      <c r="IX140" s="19">
        <f>AND(IF(BA140="",TRUE,IF(input_challenge_opportunities="",FALSE,SUMPRODUCT(--ISNUMBER(SEARCH(","&amp;TRIM(TEXTSPLIT(BA140,","))&amp;",",","&amp;SUBSTITUTE(input_challenge_opportunities," ","")&amp;",")))&gt;0)),IF(BC140="",TRUE,IF(input_challenge_opportunities="",FALSE,SUMPRODUCT(--ISNUMBER(SEARCH(","&amp;TRIM(TEXTSPLIT(BC140,","))&amp;",",","&amp;SUBSTITUTE(input_challenge_opportunities," ","")&amp;",")))=COUNTA(TEXTSPLIT(BC140,",")))),IF(BE140="",TRUE,IF(input_challenge_opportunities="",TRUE,SUMPRODUCT(--ISNUMBER(SEARCH(","&amp;TRIM(TEXTSPLIT(BE140,","))&amp;",",","&amp;SUBSTITUTE(input_challenge_opportunities," ","")&amp;",")))=0)),IF(BG140="",TRUE,IF(input_challenge_opportunities="",FALSE,SUMPRODUCT(--ISNUMBER(SEARCH(","&amp;TRIM(TEXTSPLIT(BG140,","))&amp;",",","&amp;SUBSTITUTE(input_challenge_opportunities," ","")&amp;",")))&gt;0)),IF(BI140="",TRUE,IF(input_challenge_opportunities="",FALSE,SUMPRODUCT(--ISNUMBER(SEARCH(","&amp;TRIM(TEXTSPLIT(BI140,","))&amp;",",","&amp;SUBSTITUTE(input_challenge_opportunities," ","")&amp;",")))=COUNTA(TEXTSPLIT(BI140,",")))))</f>
        <v/>
      </c>
      <c r="IY140" s="19">
        <f>AND(IF(BK140="",TRUE,IF(input_context="",FALSE,SUMPRODUCT(--ISNUMBER(SEARCH(","&amp;TRIM(TEXTSPLIT(BK140,","))&amp;",",","&amp;SUBSTITUTE(input_context," ","")&amp;",")))&gt;0)),IF(BM140="",TRUE,IF(input_context="",FALSE,SUMPRODUCT(--ISNUMBER(SEARCH(","&amp;TRIM(TEXTSPLIT(BM140,","))&amp;",",","&amp;SUBSTITUTE(input_context," ","")&amp;",")))=COUNTA(TEXTSPLIT(BM140,",")))),IF(BO140="",TRUE,IF(input_context="",TRUE,SUMPRODUCT(--ISNUMBER(SEARCH(","&amp;TRIM(TEXTSPLIT(BO140,","))&amp;",",","&amp;SUBSTITUTE(input_context," ","")&amp;",")))=0)),IF(BQ140="",TRUE,IF(input_context="",FALSE,SUMPRODUCT(--ISNUMBER(SEARCH(","&amp;TRIM(TEXTSPLIT(BQ140,","))&amp;",",","&amp;SUBSTITUTE(input_context," ","")&amp;",")))&gt;0)),IF(BS140="",TRUE,IF(input_context="",FALSE,SUMPRODUCT(--ISNUMBER(SEARCH(","&amp;TRIM(TEXTSPLIT(BS140,","))&amp;",",","&amp;SUBSTITUTE(input_context," ","")&amp;",")))=COUNTA(TEXTSPLIT(BS140,",")))))</f>
        <v/>
      </c>
      <c r="IZ140" s="19">
        <f>AND(IF(BU140="",TRUE,IF(input_enews_announcement_type="",FALSE,SUMPRODUCT(--ISNUMBER(SEARCH(","&amp;TRIM(TEXTSPLIT(BU140,","))&amp;",",","&amp;SUBSTITUTE(input_enews_announcement_type," ","")&amp;",")))&gt;0)),IF(BW140="",TRUE,IF(input_enews_announcement_type="",FALSE,SUMPRODUCT(--ISNUMBER(SEARCH(","&amp;TRIM(TEXTSPLIT(BW140,","))&amp;",",","&amp;SUBSTITUTE(input_enews_announcement_type," ","")&amp;",")))=COUNTA(TEXTSPLIT(BW140,",")))),IF(BY140="",TRUE,IF(input_enews_announcement_type="",TRUE,SUMPRODUCT(--ISNUMBER(SEARCH(","&amp;TRIM(TEXTSPLIT(BY140,","))&amp;",",","&amp;SUBSTITUTE(input_enews_announcement_type," ","")&amp;",")))=0)),IF(CA140="",TRUE,IF(input_enews_announcement_type="",FALSE,SUMPRODUCT(--ISNUMBER(SEARCH(","&amp;TRIM(TEXTSPLIT(CA140,","))&amp;",",","&amp;SUBSTITUTE(input_enews_announcement_type," ","")&amp;",")))&gt;0)),IF(CC140="",TRUE,IF(input_enews_announcement_type="",FALSE,SUMPRODUCT(--ISNUMBER(SEARCH(","&amp;TRIM(TEXTSPLIT(CC140,","))&amp;",",","&amp;SUBSTITUTE(input_enews_announcement_type," ","")&amp;",")))=COUNTA(TEXTSPLIT(CC140,",")))))</f>
        <v/>
      </c>
      <c r="JA140" s="19">
        <f>AND(IF(CE140="",TRUE,IF(input_enews_audience="",FALSE,SUMPRODUCT(--ISNUMBER(SEARCH(","&amp;TRIM(TEXTSPLIT(CE140,","))&amp;",",","&amp;SUBSTITUTE(input_enews_audience," ","")&amp;",")))&gt;0)),IF(CG140="",TRUE,IF(input_enews_audience="",FALSE,SUMPRODUCT(--ISNUMBER(SEARCH(","&amp;TRIM(TEXTSPLIT(CG140,","))&amp;",",","&amp;SUBSTITUTE(input_enews_audience," ","")&amp;",")))=COUNTA(TEXTSPLIT(CG140,",")))),IF(CI140="",TRUE,IF(input_enews_audience="",TRUE,SUMPRODUCT(--ISNUMBER(SEARCH(","&amp;TRIM(TEXTSPLIT(CI140,","))&amp;",",","&amp;SUBSTITUTE(input_enews_audience," ","")&amp;",")))=0)),IF(CK140="",TRUE,IF(input_enews_audience="",FALSE,SUMPRODUCT(--ISNUMBER(SEARCH(","&amp;TRIM(TEXTSPLIT(CK140,","))&amp;",",","&amp;SUBSTITUTE(input_enews_audience," ","")&amp;",")))&gt;0)),IF(CM140="",TRUE,IF(input_enews_audience="",FALSE,SUMPRODUCT(--ISNUMBER(SEARCH(","&amp;TRIM(TEXTSPLIT(CM140,","))&amp;",",","&amp;SUBSTITUTE(input_enews_audience," ","")&amp;",")))=COUNTA(TEXTSPLIT(CM140,",")))))</f>
        <v/>
      </c>
      <c r="JB140" s="19">
        <f>AND(IF(CO140="",TRUE,IF(input_event_location="",FALSE,SUMPRODUCT(--ISNUMBER(SEARCH(","&amp;TRIM(TEXTSPLIT(CO140,","))&amp;",",","&amp;SUBSTITUTE(input_event_location," ","")&amp;",")))&gt;0)),IF(CQ140="",TRUE,IF(input_event_location="",FALSE,SUMPRODUCT(--ISNUMBER(SEARCH(","&amp;TRIM(TEXTSPLIT(CQ140,","))&amp;",",","&amp;SUBSTITUTE(input_event_location," ","")&amp;",")))=COUNTA(TEXTSPLIT(CQ140,",")))),IF(CS140="",TRUE,IF(input_event_location="",TRUE,SUMPRODUCT(--ISNUMBER(SEARCH(","&amp;TRIM(TEXTSPLIT(CS140,","))&amp;",",","&amp;SUBSTITUTE(input_event_location," ","")&amp;",")))=0)),IF(CU140="",TRUE,IF(input_event_location="",FALSE,SUMPRODUCT(--ISNUMBER(SEARCH(","&amp;TRIM(TEXTSPLIT(CU140,","))&amp;",",","&amp;SUBSTITUTE(input_event_location," ","")&amp;",")))&gt;0)),IF(CW140="",TRUE,IF(input_event_location="",FALSE,SUMPRODUCT(--ISNUMBER(SEARCH(","&amp;TRIM(TEXTSPLIT(CW140,","))&amp;",",","&amp;SUBSTITUTE(input_event_location," ","")&amp;",")))=COUNTA(TEXTSPLIT(CW140,",")))))</f>
        <v/>
      </c>
      <c r="JC140" s="19">
        <f>AND(IF(CY140="",TRUE,IF(input_event_type="",FALSE,SUMPRODUCT(--ISNUMBER(SEARCH(","&amp;TRIM(TEXTSPLIT(CY140,","))&amp;",",","&amp;SUBSTITUTE(input_event_type," ","")&amp;",")))&gt;0)),IF(DA140="",TRUE,IF(input_event_type="",FALSE,SUMPRODUCT(--ISNUMBER(SEARCH(","&amp;TRIM(TEXTSPLIT(DA140,","))&amp;",",","&amp;SUBSTITUTE(input_event_type," ","")&amp;",")))=COUNTA(TEXTSPLIT(DA140,",")))),IF(DC140="",TRUE,IF(input_event_type="",TRUE,SUMPRODUCT(--ISNUMBER(SEARCH(","&amp;TRIM(TEXTSPLIT(DC140,","))&amp;",",","&amp;SUBSTITUTE(input_event_type," ","")&amp;",")))=0)),IF(DE140="",TRUE,IF(input_event_type="",FALSE,SUMPRODUCT(--ISNUMBER(SEARCH(","&amp;TRIM(TEXTSPLIT(DE140,","))&amp;",",","&amp;SUBSTITUTE(input_event_type," ","")&amp;",")))&gt;0)),IF(DG140="",TRUE,IF(input_event_type="",FALSE,SUMPRODUCT(--ISNUMBER(SEARCH(","&amp;TRIM(TEXTSPLIT(DG140,","))&amp;",",","&amp;SUBSTITUTE(input_event_type," ","")&amp;",")))=COUNTA(TEXTSPLIT(DG140,",")))))</f>
        <v/>
      </c>
      <c r="JD140" s="19">
        <f>AND(IF(DI140="",TRUE,IF(input_executive_education_focus="",FALSE,SUMPRODUCT(--ISNUMBER(SEARCH(","&amp;TRIM(TEXTSPLIT(DI140,","))&amp;",",","&amp;SUBSTITUTE(input_executive_education_focus," ","")&amp;",")))&gt;0)),IF(DK140="",TRUE,IF(input_executive_education_focus="",FALSE,SUMPRODUCT(--ISNUMBER(SEARCH(","&amp;TRIM(TEXTSPLIT(DK140,","))&amp;",",","&amp;SUBSTITUTE(input_executive_education_focus," ","")&amp;",")))=COUNTA(TEXTSPLIT(DK140,",")))),IF(DM140="",TRUE,IF(input_executive_education_focus="",TRUE,SUMPRODUCT(--ISNUMBER(SEARCH(","&amp;TRIM(TEXTSPLIT(DM140,","))&amp;",",","&amp;SUBSTITUTE(input_executive_education_focus," ","")&amp;",")))=0)),IF(DO140="",TRUE,IF(input_executive_education_focus="",FALSE,SUMPRODUCT(--ISNUMBER(SEARCH(","&amp;TRIM(TEXTSPLIT(DO140,","))&amp;",",","&amp;SUBSTITUTE(input_executive_education_focus," ","")&amp;",")))&gt;0)),IF(DQ140="",TRUE,IF(input_executive_education_focus="",FALSE,SUMPRODUCT(--ISNUMBER(SEARCH(","&amp;TRIM(TEXTSPLIT(DQ140,","))&amp;",",","&amp;SUBSTITUTE(input_executive_education_focus," ","")&amp;",")))=COUNTA(TEXTSPLIT(DQ140,",")))))</f>
        <v/>
      </c>
      <c r="JE140" s="19">
        <f>AND(IF(DS140="",TRUE,IF(input_faculty_category="",FALSE,SUMPRODUCT(--ISNUMBER(SEARCH(","&amp;TRIM(TEXTSPLIT(DS140,","))&amp;",",","&amp;SUBSTITUTE(input_faculty_category," ","")&amp;",")))&gt;0)),IF(DU140="",TRUE,IF(input_faculty_category="",FALSE,SUMPRODUCT(--ISNUMBER(SEARCH(","&amp;TRIM(TEXTSPLIT(DU140,","))&amp;",",","&amp;SUBSTITUTE(input_faculty_category," ","")&amp;",")))=COUNTA(TEXTSPLIT(DU140,",")))),IF(DW140="",TRUE,IF(input_faculty_category="",TRUE,SUMPRODUCT(--ISNUMBER(SEARCH(","&amp;TRIM(TEXTSPLIT(DW140,","))&amp;",",","&amp;SUBSTITUTE(input_faculty_category," ","")&amp;",")))=0)),IF(DY140="",TRUE,IF(input_faculty_category="",FALSE,SUMPRODUCT(--ISNUMBER(SEARCH(","&amp;TRIM(TEXTSPLIT(DY140,","))&amp;",",","&amp;SUBSTITUTE(input_faculty_category," ","")&amp;",")))&gt;0)),IF(EA140="",TRUE,IF(input_faculty_category="",FALSE,SUMPRODUCT(--ISNUMBER(SEARCH(","&amp;TRIM(TEXTSPLIT(EA140,","))&amp;",",","&amp;SUBSTITUTE(input_faculty_category," ","")&amp;",")))=COUNTA(TEXTSPLIT(EA140,",")))))</f>
        <v/>
      </c>
      <c r="JF140" s="19">
        <f>AND(IF(EC140="",TRUE,IF(input_faculty_discipline="",FALSE,SUMPRODUCT(--ISNUMBER(SEARCH(","&amp;TRIM(TEXTSPLIT(EC140,","))&amp;",",","&amp;SUBSTITUTE(input_faculty_discipline," ","")&amp;",")))&gt;0)),IF(EE140="",TRUE,IF(input_faculty_discipline="",FALSE,SUMPRODUCT(--ISNUMBER(SEARCH(","&amp;TRIM(TEXTSPLIT(EE140,","))&amp;",",","&amp;SUBSTITUTE(input_faculty_discipline," ","")&amp;",")))=COUNTA(TEXTSPLIT(EE140,",")))),IF(EG140="",TRUE,IF(input_faculty_discipline="",TRUE,SUMPRODUCT(--ISNUMBER(SEARCH(","&amp;TRIM(TEXTSPLIT(EG140,","))&amp;",",","&amp;SUBSTITUTE(input_faculty_discipline," ","")&amp;",")))=0)),IF(EI140="",TRUE,IF(input_faculty_discipline="",FALSE,SUMPRODUCT(--ISNUMBER(SEARCH(","&amp;TRIM(TEXTSPLIT(EI140,","))&amp;",",","&amp;SUBSTITUTE(input_faculty_discipline," ","")&amp;",")))&gt;0)),IF(EK140="",TRUE,IF(input_faculty_discipline="",FALSE,SUMPRODUCT(--ISNUMBER(SEARCH(","&amp;TRIM(TEXTSPLIT(EK140,","))&amp;",",","&amp;SUBSTITUTE(input_faculty_discipline," ","")&amp;",")))=COUNTA(TEXTSPLIT(EK140,",")))))</f>
        <v/>
      </c>
      <c r="JG140" s="19">
        <f>AND(IF(EM140="",TRUE,IF(input_faculty_expertise="",FALSE,SUMPRODUCT(--ISNUMBER(SEARCH(","&amp;TRIM(TEXTSPLIT(EM140,","))&amp;",",","&amp;SUBSTITUTE(input_faculty_expertise," ","")&amp;",")))&gt;0)),IF(EO140="",TRUE,IF(input_faculty_expertise="",FALSE,SUMPRODUCT(--ISNUMBER(SEARCH(","&amp;TRIM(TEXTSPLIT(EO140,","))&amp;",",","&amp;SUBSTITUTE(input_faculty_expertise," ","")&amp;",")))=COUNTA(TEXTSPLIT(EO140,",")))),IF(EQ140="",TRUE,IF(input_faculty_expertise="",TRUE,SUMPRODUCT(--ISNUMBER(SEARCH(","&amp;TRIM(TEXTSPLIT(EQ140,","))&amp;",",","&amp;SUBSTITUTE(input_faculty_expertise," ","")&amp;",")))=0)),IF(ES140="",TRUE,IF(input_faculty_expertise="",FALSE,SUMPRODUCT(--ISNUMBER(SEARCH(","&amp;TRIM(TEXTSPLIT(ES140,","))&amp;",",","&amp;SUBSTITUTE(input_faculty_expertise," ","")&amp;",")))&gt;0)),IF(EU140="",TRUE,IF(input_faculty_expertise="",FALSE,SUMPRODUCT(--ISNUMBER(SEARCH(","&amp;TRIM(TEXTSPLIT(EU140,","))&amp;",",","&amp;SUBSTITUTE(input_faculty_expertise," ","")&amp;",")))=COUNTA(TEXTSPLIT(EU140,",")))))</f>
        <v/>
      </c>
      <c r="JH140" s="19">
        <f>AND(IF(EW140="",TRUE,IF(input_global_network_school="",FALSE,SUMPRODUCT(--ISNUMBER(SEARCH(","&amp;TRIM(TEXTSPLIT(EW140,","))&amp;",",","&amp;SUBSTITUTE(input_global_network_school," ","")&amp;",")))&gt;0)),IF(EY140="",TRUE,IF(input_global_network_school="",FALSE,SUMPRODUCT(--ISNUMBER(SEARCH(","&amp;TRIM(TEXTSPLIT(EY140,","))&amp;",",","&amp;SUBSTITUTE(input_global_network_school," ","")&amp;",")))=COUNTA(TEXTSPLIT(EY140,",")))),IF(FA140="",TRUE,IF(input_global_network_school="",TRUE,SUMPRODUCT(--ISNUMBER(SEARCH(","&amp;TRIM(TEXTSPLIT(FA140,","))&amp;",",","&amp;SUBSTITUTE(input_global_network_school," ","")&amp;",")))=0)),IF(FC140="",TRUE,IF(input_global_network_school="",FALSE,SUMPRODUCT(--ISNUMBER(SEARCH(","&amp;TRIM(TEXTSPLIT(FC140,","))&amp;",",","&amp;SUBSTITUTE(input_global_network_school," ","")&amp;",")))&gt;0)),IF(FE140="",TRUE,IF(input_global_network_school="",FALSE,SUMPRODUCT(--ISNUMBER(SEARCH(","&amp;TRIM(TEXTSPLIT(FE140,","))&amp;",",","&amp;SUBSTITUTE(input_global_network_school," ","")&amp;",")))=COUNTA(TEXTSPLIT(FE140,",")))))</f>
        <v/>
      </c>
      <c r="JI140" s="19">
        <f>AND(IF(FG140="",TRUE,IF(input_industry="",FALSE,SUMPRODUCT(--ISNUMBER(SEARCH(","&amp;TRIM(TEXTSPLIT(FG140,","))&amp;",",","&amp;SUBSTITUTE(input_industry," ","")&amp;",")))&gt;0)),IF(FI140="",TRUE,IF(input_industry="",FALSE,SUMPRODUCT(--ISNUMBER(SEARCH(","&amp;TRIM(TEXTSPLIT(FI140,","))&amp;",",","&amp;SUBSTITUTE(input_industry," ","")&amp;",")))=COUNTA(TEXTSPLIT(FI140,",")))),IF(FK140="",TRUE,IF(input_industry="",TRUE,SUMPRODUCT(--ISNUMBER(SEARCH(","&amp;TRIM(TEXTSPLIT(FK140,","))&amp;",",","&amp;SUBSTITUTE(input_industry," ","")&amp;",")))=0)),IF(FM140="",TRUE,IF(input_industry="",FALSE,SUMPRODUCT(--ISNUMBER(SEARCH(","&amp;TRIM(TEXTSPLIT(FM140,","))&amp;",",","&amp;SUBSTITUTE(input_industry," ","")&amp;",")))&gt;0)),IF(FO140="",TRUE,IF(input_industry="",FALSE,SUMPRODUCT(--ISNUMBER(SEARCH(","&amp;TRIM(TEXTSPLIT(FO140,","))&amp;",",","&amp;SUBSTITUTE(input_industry," ","")&amp;",")))=COUNTA(TEXTSPLIT(FO140,",")))))</f>
        <v/>
      </c>
      <c r="JJ140" s="19">
        <f>AND(IF(FQ140="",TRUE,IF(input_location="",FALSE,SUMPRODUCT(--ISNUMBER(SEARCH(","&amp;TRIM(TEXTSPLIT(FQ140,","))&amp;",",","&amp;SUBSTITUTE(input_location," ","")&amp;",")))&gt;0)),IF(FS140="",TRUE,IF(input_location="",FALSE,SUMPRODUCT(--ISNUMBER(SEARCH(","&amp;TRIM(TEXTSPLIT(FS140,","))&amp;",",","&amp;SUBSTITUTE(input_location," ","")&amp;",")))=COUNTA(TEXTSPLIT(FS140,",")))),IF(FU140="",TRUE,IF(input_location="",TRUE,SUMPRODUCT(--ISNUMBER(SEARCH(","&amp;TRIM(TEXTSPLIT(FU140,","))&amp;",",","&amp;SUBSTITUTE(input_location," ","")&amp;",")))=0)),IF(FW140="",TRUE,IF(input_location="",FALSE,SUMPRODUCT(--ISNUMBER(SEARCH(","&amp;TRIM(TEXTSPLIT(FW140,","))&amp;",",","&amp;SUBSTITUTE(input_location," ","")&amp;",")))&gt;0)),IF(FY140="",TRUE,IF(input_location="",FALSE,SUMPRODUCT(--ISNUMBER(SEARCH(","&amp;TRIM(TEXTSPLIT(FY140,","))&amp;",",","&amp;SUBSTITUTE(input_location," ","")&amp;",")))=COUNTA(TEXTSPLIT(FY140,",")))))</f>
        <v/>
      </c>
      <c r="JK140" s="19">
        <f>AND(IF(GA140="",TRUE,IF(input_modality="",FALSE,SUMPRODUCT(--ISNUMBER(SEARCH(","&amp;TRIM(TEXTSPLIT(GA140,","))&amp;",",","&amp;SUBSTITUTE(input_modality," ","")&amp;",")))&gt;0)),IF(GC140="",TRUE,IF(input_modality="",FALSE,SUMPRODUCT(--ISNUMBER(SEARCH(","&amp;TRIM(TEXTSPLIT(GC140,","))&amp;",",","&amp;SUBSTITUTE(input_modality," ","")&amp;",")))=COUNTA(TEXTSPLIT(GC140,",")))),IF(GE140="",TRUE,IF(input_modality="",TRUE,SUMPRODUCT(--ISNUMBER(SEARCH(","&amp;TRIM(TEXTSPLIT(GE140,","))&amp;",",","&amp;SUBSTITUTE(input_modality," ","")&amp;",")))=0)),IF(GG140="",TRUE,IF(input_modality="",FALSE,SUMPRODUCT(--ISNUMBER(SEARCH(","&amp;TRIM(TEXTSPLIT(GG140,","))&amp;",",","&amp;SUBSTITUTE(input_modality," ","")&amp;",")))&gt;0)),IF(GI140="",TRUE,IF(input_modality="",FALSE,SUMPRODUCT(--ISNUMBER(SEARCH(","&amp;TRIM(TEXTSPLIT(GI140,","))&amp;",",","&amp;SUBSTITUTE(input_modality," ","")&amp;",")))=COUNTA(TEXTSPLIT(GI140,",")))))</f>
        <v/>
      </c>
      <c r="JL140" s="19">
        <f>AND(IF(GK140="",TRUE,IF(input_organizer="",FALSE,SUMPRODUCT(--ISNUMBER(SEARCH(","&amp;TRIM(TEXTSPLIT(GK140,","))&amp;",",","&amp;SUBSTITUTE(input_organizer," ","")&amp;",")))&gt;0)),IF(GM140="",TRUE,IF(input_organizer="",FALSE,SUMPRODUCT(--ISNUMBER(SEARCH(","&amp;TRIM(TEXTSPLIT(GM140,","))&amp;",",","&amp;SUBSTITUTE(input_organizer," ","")&amp;",")))=COUNTA(TEXTSPLIT(GM140,",")))),IF(GO140="",TRUE,IF(input_organizer="",TRUE,SUMPRODUCT(--ISNUMBER(SEARCH(","&amp;TRIM(TEXTSPLIT(GO140,","))&amp;",",","&amp;SUBSTITUTE(input_organizer," ","")&amp;",")))=0)),IF(GQ140="",TRUE,IF(input_organizer="",FALSE,SUMPRODUCT(--ISNUMBER(SEARCH(","&amp;TRIM(TEXTSPLIT(GQ140,","))&amp;",",","&amp;SUBSTITUTE(input_organizer," ","")&amp;",")))&gt;0)),IF(GS140="",TRUE,IF(input_organizer="",FALSE,SUMPRODUCT(--ISNUMBER(SEARCH(","&amp;TRIM(TEXTSPLIT(GS140,","))&amp;",",","&amp;SUBSTITUTE(input_organizer," ","")&amp;",")))=COUNTA(TEXTSPLIT(GS140,",")))))</f>
        <v/>
      </c>
      <c r="JM140" s="19">
        <f>AND(IF(GU140="",TRUE,IF(input_profile_type="",FALSE,SUMPRODUCT(--ISNUMBER(SEARCH(","&amp;TRIM(TEXTSPLIT(GU140,","))&amp;",",","&amp;SUBSTITUTE(input_profile_type," ","")&amp;",")))&gt;0)),IF(GW140="",TRUE,IF(input_profile_type="",FALSE,SUMPRODUCT(--ISNUMBER(SEARCH(","&amp;TRIM(TEXTSPLIT(GW140,","))&amp;",",","&amp;SUBSTITUTE(input_profile_type," ","")&amp;",")))=COUNTA(TEXTSPLIT(GW140,",")))),IF(GY140="",TRUE,IF(input_profile_type="",TRUE,SUMPRODUCT(--ISNUMBER(SEARCH(","&amp;TRIM(TEXTSPLIT(GY140,","))&amp;",",","&amp;SUBSTITUTE(input_profile_type," ","")&amp;",")))=0)),IF(HA140="",TRUE,IF(input_profile_type="",FALSE,SUMPRODUCT(--ISNUMBER(SEARCH(","&amp;TRIM(TEXTSPLIT(HA140,","))&amp;",",","&amp;SUBSTITUTE(input_profile_type," ","")&amp;",")))&gt;0)),IF(HC140="",TRUE,IF(input_profile_type="",FALSE,SUMPRODUCT(--ISNUMBER(SEARCH(","&amp;TRIM(TEXTSPLIT(HC140,","))&amp;",",","&amp;SUBSTITUTE(input_profile_type," ","")&amp;",")))=COUNTA(TEXTSPLIT(HC140,",")))))</f>
        <v/>
      </c>
      <c r="JN140" s="19">
        <f>AND(IF(HE140="",TRUE,IF(input_program="",FALSE,SUMPRODUCT(--ISNUMBER(SEARCH(","&amp;TRIM(TEXTSPLIT(HE140,","))&amp;",",","&amp;SUBSTITUTE(input_program," ","")&amp;",")))&gt;0)),IF(HG140="",TRUE,IF(input_program="",FALSE,SUMPRODUCT(--ISNUMBER(SEARCH(","&amp;TRIM(TEXTSPLIT(HG140,","))&amp;",",","&amp;SUBSTITUTE(input_program," ","")&amp;",")))=COUNTA(TEXTSPLIT(HG140,",")))),IF(HI140="",TRUE,IF(input_program="",TRUE,SUMPRODUCT(--ISNUMBER(SEARCH(","&amp;TRIM(TEXTSPLIT(HI140,","))&amp;",",","&amp;SUBSTITUTE(input_program," ","")&amp;",")))=0)),IF(HK140="",TRUE,IF(input_program="",FALSE,SUMPRODUCT(--ISNUMBER(SEARCH(","&amp;TRIM(TEXTSPLIT(HK140,","))&amp;",",","&amp;SUBSTITUTE(input_program," ","")&amp;",")))&gt;0)),IF(HM140="",TRUE,IF(input_program="",FALSE,SUMPRODUCT(--ISNUMBER(SEARCH(","&amp;TRIM(TEXTSPLIT(HM140,","))&amp;",",","&amp;SUBSTITUTE(input_program," ","")&amp;",")))=COUNTA(TEXTSPLIT(HM140,",")))))</f>
        <v/>
      </c>
      <c r="JO140" s="19">
        <f>AND(IF(HO140="",TRUE,IF(input_story_categories="",FALSE,SUMPRODUCT(--ISNUMBER(SEARCH(","&amp;TRIM(TEXTSPLIT(HO140,","))&amp;",",","&amp;SUBSTITUTE(input_story_categories," ","")&amp;",")))&gt;0)),IF(HQ140="",TRUE,IF(input_story_categories="",FALSE,SUMPRODUCT(--ISNUMBER(SEARCH(","&amp;TRIM(TEXTSPLIT(HQ140,","))&amp;",",","&amp;SUBSTITUTE(input_story_categories," ","")&amp;",")))=COUNTA(TEXTSPLIT(HQ140,",")))),IF(HS140="",TRUE,IF(input_story_categories="",TRUE,SUMPRODUCT(--ISNUMBER(SEARCH(","&amp;TRIM(TEXTSPLIT(HS140,","))&amp;",",","&amp;SUBSTITUTE(input_story_categories," ","")&amp;",")))=0)),IF(HU140="",TRUE,IF(input_story_categories="",FALSE,SUMPRODUCT(--ISNUMBER(SEARCH(","&amp;TRIM(TEXTSPLIT(HU140,","))&amp;",",","&amp;SUBSTITUTE(input_story_categories," ","")&amp;",")))&gt;0)),IF(HW140="",TRUE,IF(input_story_categories="",FALSE,SUMPRODUCT(--ISNUMBER(SEARCH(","&amp;TRIM(TEXTSPLIT(HW140,","))&amp;",",","&amp;SUBSTITUTE(input_story_categories," ","")&amp;",")))=COUNTA(TEXTSPLIT(HW140,",")))))</f>
        <v/>
      </c>
      <c r="JP140" s="19">
        <f>AND(IF(HY140="",TRUE,IF(input_story_type="",FALSE,SUMPRODUCT(--ISNUMBER(SEARCH(","&amp;TRIM(TEXTSPLIT(HY140,","))&amp;",",","&amp;SUBSTITUTE(input_story_type," ","")&amp;",")))&gt;0)),IF(IA140="",TRUE,IF(input_story_type="",FALSE,SUMPRODUCT(--ISNUMBER(SEARCH(","&amp;TRIM(TEXTSPLIT(IA140,","))&amp;",",","&amp;SUBSTITUTE(input_story_type," ","")&amp;",")))=COUNTA(TEXTSPLIT(IA140,",")))),IF(IC140="",TRUE,IF(input_story_type="",TRUE,SUMPRODUCT(--ISNUMBER(SEARCH(","&amp;TRIM(TEXTSPLIT(IC140,","))&amp;",",","&amp;SUBSTITUTE(input_story_type," ","")&amp;",")))=0)),IF(IE140="",TRUE,IF(input_story_type="",FALSE,SUMPRODUCT(--ISNUMBER(SEARCH(","&amp;TRIM(TEXTSPLIT(IE140,","))&amp;",",","&amp;SUBSTITUTE(input_story_type," ","")&amp;",")))&gt;0)),IF(IG140="",TRUE,IF(input_story_type="",FALSE,SUMPRODUCT(--ISNUMBER(SEARCH(","&amp;TRIM(TEXTSPLIT(IG140,","))&amp;",",","&amp;SUBSTITUTE(input_story_type," ","")&amp;",")))=COUNTA(TEXTSPLIT(IG140,",")))))</f>
        <v/>
      </c>
      <c r="JQ140" s="19">
        <f>AND(IF(II140="",TRUE,IF(input_topics="",FALSE,SUMPRODUCT(--ISNUMBER(SEARCH(","&amp;TRIM(TEXTSPLIT(II140,","))&amp;",",","&amp;SUBSTITUTE(input_topics," ","")&amp;",")))&gt;0)),IF(IK140="",TRUE,IF(input_topics="",FALSE,SUMPRODUCT(--ISNUMBER(SEARCH(","&amp;TRIM(TEXTSPLIT(IK140,","))&amp;",",","&amp;SUBSTITUTE(input_topics," ","")&amp;",")))=COUNTA(TEXTSPLIT(IK140,",")))),IF(IM140="",TRUE,IF(input_topics="",TRUE,SUMPRODUCT(--ISNUMBER(SEARCH(","&amp;TRIM(TEXTSPLIT(IM140,","))&amp;",",","&amp;SUBSTITUTE(input_topics," ","")&amp;",")))=0)),IF(IO140="",TRUE,IF(input_topics="",FALSE,SUMPRODUCT(--ISNUMBER(SEARCH(","&amp;TRIM(TEXTSPLIT(IO140,","))&amp;",",","&amp;SUBSTITUTE(input_topics," ","")&amp;",")))&gt;0)),IF(IQ140="",TRUE,IF(input_topics="",FALSE,SUMPRODUCT(--ISNUMBER(SEARCH(","&amp;TRIM(TEXTSPLIT(IQ140,","))&amp;",",","&amp;SUBSTITUTE(input_topics," ","")&amp;",")))=COUNTA(TEXTSPLIT(IQ140,",")))))</f>
        <v/>
      </c>
    </row>
    <row r="141">
      <c r="A141" s="24">
        <f>IF(NOT(IS141),"Excluded",IF(AND(IT141,IU141,IV141,IW141,IX141,IY141,IZ141,JA141,JB141,JC141,JD141,JE141,JF141,JG141,JH141,JI141,JJ141,JK141,JL141,JM141,JN141,JO141,JP141,JQ141),IF(I141&gt;0,"Eligible but limited","Will appear"),"Excluded"))</f>
        <v/>
      </c>
      <c r="B141" s="24" t="inlineStr">
        <is>
          <t>News - Summary</t>
        </is>
      </c>
      <c r="C141" s="27" t="inlineStr">
        <is>
          <t>/the-som-experience/interests-and-industries/finance</t>
        </is>
      </c>
      <c r="D141" s="24" t="inlineStr">
        <is>
          <t>/the-som-experience/interests-and-industries/finance</t>
        </is>
      </c>
      <c r="E141" s="24" t="n">
        <v>1</v>
      </c>
      <c r="F141" s="24" t="inlineStr">
        <is>
          <t>story</t>
        </is>
      </c>
      <c r="G141" s="24" t="inlineStr">
        <is>
          <t>stories_mosaic_grid</t>
        </is>
      </c>
      <c r="H141" s="24" t="inlineStr">
        <is>
          <t>embed_news_summary</t>
        </is>
      </c>
      <c r="I141" s="24" t="n">
        <v>1</v>
      </c>
      <c r="J141" s="24" t="inlineStr">
        <is>
          <t>View/config rules</t>
        </is>
      </c>
      <c r="K141" s="24" t="inlineStr">
        <is>
          <t>Page placement</t>
        </is>
      </c>
      <c r="L141" s="24" t="inlineStr">
        <is>
          <t>Content type: story; Needs any Story Type: News (924); Limited to 1 item(s); Source: View/config rules</t>
        </is>
      </c>
      <c r="HY141" s="19" t="inlineStr">
        <is>
          <t>924</t>
        </is>
      </c>
      <c r="HZ141" s="19" t="inlineStr">
        <is>
          <t>News (924)</t>
        </is>
      </c>
      <c r="IS141" s="19">
        <f>IF(input_content_type="",FALSE,ISNUMBER(SEARCH(","&amp;LOWER(input_content_type)&amp;",",","&amp;LOWER(SUBSTITUTE(F141," ",""))&amp;",")))</f>
        <v/>
      </c>
      <c r="IT141" s="19">
        <f>AND(IF(M141="",TRUE,IF(input_affiliations="",FALSE,SUMPRODUCT(--ISNUMBER(SEARCH(","&amp;TRIM(TEXTSPLIT(M141,","))&amp;",",","&amp;SUBSTITUTE(input_affiliations," ","")&amp;",")))&gt;0)),IF(O141="",TRUE,IF(input_affiliations="",FALSE,SUMPRODUCT(--ISNUMBER(SEARCH(","&amp;TRIM(TEXTSPLIT(O141,","))&amp;",",","&amp;SUBSTITUTE(input_affiliations," ","")&amp;",")))=COUNTA(TEXTSPLIT(O141,",")))),IF(Q141="",TRUE,IF(input_affiliations="",TRUE,SUMPRODUCT(--ISNUMBER(SEARCH(","&amp;TRIM(TEXTSPLIT(Q141,","))&amp;",",","&amp;SUBSTITUTE(input_affiliations," ","")&amp;",")))=0)),IF(S141="",TRUE,IF(input_affiliations="",FALSE,SUMPRODUCT(--ISNUMBER(SEARCH(","&amp;TRIM(TEXTSPLIT(S141,","))&amp;",",","&amp;SUBSTITUTE(input_affiliations," ","")&amp;",")))&gt;0)),IF(U141="",TRUE,IF(input_affiliations="",FALSE,SUMPRODUCT(--ISNUMBER(SEARCH(","&amp;TRIM(TEXTSPLIT(U141,","))&amp;",",","&amp;SUBSTITUTE(input_affiliations," ","")&amp;",")))=COUNTA(TEXTSPLIT(U141,",")))))</f>
        <v/>
      </c>
      <c r="IU141" s="19">
        <f>AND(IF(W141="",TRUE,IF(input_announcement_category="",FALSE,SUMPRODUCT(--ISNUMBER(SEARCH(","&amp;TRIM(TEXTSPLIT(W141,","))&amp;",",","&amp;SUBSTITUTE(input_announcement_category," ","")&amp;",")))&gt;0)),IF(Y141="",TRUE,IF(input_announcement_category="",FALSE,SUMPRODUCT(--ISNUMBER(SEARCH(","&amp;TRIM(TEXTSPLIT(Y141,","))&amp;",",","&amp;SUBSTITUTE(input_announcement_category," ","")&amp;",")))=COUNTA(TEXTSPLIT(Y141,",")))),IF(AA141="",TRUE,IF(input_announcement_category="",TRUE,SUMPRODUCT(--ISNUMBER(SEARCH(","&amp;TRIM(TEXTSPLIT(AA141,","))&amp;",",","&amp;SUBSTITUTE(input_announcement_category," ","")&amp;",")))=0)),IF(AC141="",TRUE,IF(input_announcement_category="",FALSE,SUMPRODUCT(--ISNUMBER(SEARCH(","&amp;TRIM(TEXTSPLIT(AC141,","))&amp;",",","&amp;SUBSTITUTE(input_announcement_category," ","")&amp;",")))&gt;0)),IF(AE141="",TRUE,IF(input_announcement_category="",FALSE,SUMPRODUCT(--ISNUMBER(SEARCH(","&amp;TRIM(TEXTSPLIT(AE141,","))&amp;",",","&amp;SUBSTITUTE(input_announcement_category," ","")&amp;",")))=COUNTA(TEXTSPLIT(AE141,",")))))</f>
        <v/>
      </c>
      <c r="IV141" s="19">
        <f>AND(IF(AG141="",TRUE,IF(input_area_of_focus="",FALSE,SUMPRODUCT(--ISNUMBER(SEARCH(","&amp;TRIM(TEXTSPLIT(AG141,","))&amp;",",","&amp;SUBSTITUTE(input_area_of_focus," ","")&amp;",")))&gt;0)),IF(AI141="",TRUE,IF(input_area_of_focus="",FALSE,SUMPRODUCT(--ISNUMBER(SEARCH(","&amp;TRIM(TEXTSPLIT(AI141,","))&amp;",",","&amp;SUBSTITUTE(input_area_of_focus," ","")&amp;",")))=COUNTA(TEXTSPLIT(AI141,",")))),IF(AK141="",TRUE,IF(input_area_of_focus="",TRUE,SUMPRODUCT(--ISNUMBER(SEARCH(","&amp;TRIM(TEXTSPLIT(AK141,","))&amp;",",","&amp;SUBSTITUTE(input_area_of_focus," ","")&amp;",")))=0)),IF(AM141="",TRUE,IF(input_area_of_focus="",FALSE,SUMPRODUCT(--ISNUMBER(SEARCH(","&amp;TRIM(TEXTSPLIT(AM141,","))&amp;",",","&amp;SUBSTITUTE(input_area_of_focus," ","")&amp;",")))&gt;0)),IF(AO141="",TRUE,IF(input_area_of_focus="",FALSE,SUMPRODUCT(--ISNUMBER(SEARCH(","&amp;TRIM(TEXTSPLIT(AO141,","))&amp;",",","&amp;SUBSTITUTE(input_area_of_focus," ","")&amp;",")))=COUNTA(TEXTSPLIT(AO141,",")))))</f>
        <v/>
      </c>
      <c r="IW141" s="19">
        <f>AND(IF(AQ141="",TRUE,IF(input_audience="",FALSE,SUMPRODUCT(--ISNUMBER(SEARCH(","&amp;TRIM(TEXTSPLIT(AQ141,","))&amp;",",","&amp;SUBSTITUTE(input_audience," ","")&amp;",")))&gt;0)),IF(AS141="",TRUE,IF(input_audience="",FALSE,SUMPRODUCT(--ISNUMBER(SEARCH(","&amp;TRIM(TEXTSPLIT(AS141,","))&amp;",",","&amp;SUBSTITUTE(input_audience," ","")&amp;",")))=COUNTA(TEXTSPLIT(AS141,",")))),IF(AU141="",TRUE,IF(input_audience="",TRUE,SUMPRODUCT(--ISNUMBER(SEARCH(","&amp;TRIM(TEXTSPLIT(AU141,","))&amp;",",","&amp;SUBSTITUTE(input_audience," ","")&amp;",")))=0)),IF(AW141="",TRUE,IF(input_audience="",FALSE,SUMPRODUCT(--ISNUMBER(SEARCH(","&amp;TRIM(TEXTSPLIT(AW141,","))&amp;",",","&amp;SUBSTITUTE(input_audience," ","")&amp;",")))&gt;0)),IF(AY141="",TRUE,IF(input_audience="",FALSE,SUMPRODUCT(--ISNUMBER(SEARCH(","&amp;TRIM(TEXTSPLIT(AY141,","))&amp;",",","&amp;SUBSTITUTE(input_audience," ","")&amp;",")))=COUNTA(TEXTSPLIT(AY141,",")))))</f>
        <v/>
      </c>
      <c r="IX141" s="19">
        <f>AND(IF(BA141="",TRUE,IF(input_challenge_opportunities="",FALSE,SUMPRODUCT(--ISNUMBER(SEARCH(","&amp;TRIM(TEXTSPLIT(BA141,","))&amp;",",","&amp;SUBSTITUTE(input_challenge_opportunities," ","")&amp;",")))&gt;0)),IF(BC141="",TRUE,IF(input_challenge_opportunities="",FALSE,SUMPRODUCT(--ISNUMBER(SEARCH(","&amp;TRIM(TEXTSPLIT(BC141,","))&amp;",",","&amp;SUBSTITUTE(input_challenge_opportunities," ","")&amp;",")))=COUNTA(TEXTSPLIT(BC141,",")))),IF(BE141="",TRUE,IF(input_challenge_opportunities="",TRUE,SUMPRODUCT(--ISNUMBER(SEARCH(","&amp;TRIM(TEXTSPLIT(BE141,","))&amp;",",","&amp;SUBSTITUTE(input_challenge_opportunities," ","")&amp;",")))=0)),IF(BG141="",TRUE,IF(input_challenge_opportunities="",FALSE,SUMPRODUCT(--ISNUMBER(SEARCH(","&amp;TRIM(TEXTSPLIT(BG141,","))&amp;",",","&amp;SUBSTITUTE(input_challenge_opportunities," ","")&amp;",")))&gt;0)),IF(BI141="",TRUE,IF(input_challenge_opportunities="",FALSE,SUMPRODUCT(--ISNUMBER(SEARCH(","&amp;TRIM(TEXTSPLIT(BI141,","))&amp;",",","&amp;SUBSTITUTE(input_challenge_opportunities," ","")&amp;",")))=COUNTA(TEXTSPLIT(BI141,",")))))</f>
        <v/>
      </c>
      <c r="IY141" s="19">
        <f>AND(IF(BK141="",TRUE,IF(input_context="",FALSE,SUMPRODUCT(--ISNUMBER(SEARCH(","&amp;TRIM(TEXTSPLIT(BK141,","))&amp;",",","&amp;SUBSTITUTE(input_context," ","")&amp;",")))&gt;0)),IF(BM141="",TRUE,IF(input_context="",FALSE,SUMPRODUCT(--ISNUMBER(SEARCH(","&amp;TRIM(TEXTSPLIT(BM141,","))&amp;",",","&amp;SUBSTITUTE(input_context," ","")&amp;",")))=COUNTA(TEXTSPLIT(BM141,",")))),IF(BO141="",TRUE,IF(input_context="",TRUE,SUMPRODUCT(--ISNUMBER(SEARCH(","&amp;TRIM(TEXTSPLIT(BO141,","))&amp;",",","&amp;SUBSTITUTE(input_context," ","")&amp;",")))=0)),IF(BQ141="",TRUE,IF(input_context="",FALSE,SUMPRODUCT(--ISNUMBER(SEARCH(","&amp;TRIM(TEXTSPLIT(BQ141,","))&amp;",",","&amp;SUBSTITUTE(input_context," ","")&amp;",")))&gt;0)),IF(BS141="",TRUE,IF(input_context="",FALSE,SUMPRODUCT(--ISNUMBER(SEARCH(","&amp;TRIM(TEXTSPLIT(BS141,","))&amp;",",","&amp;SUBSTITUTE(input_context," ","")&amp;",")))=COUNTA(TEXTSPLIT(BS141,",")))))</f>
        <v/>
      </c>
      <c r="IZ141" s="19">
        <f>AND(IF(BU141="",TRUE,IF(input_enews_announcement_type="",FALSE,SUMPRODUCT(--ISNUMBER(SEARCH(","&amp;TRIM(TEXTSPLIT(BU141,","))&amp;",",","&amp;SUBSTITUTE(input_enews_announcement_type," ","")&amp;",")))&gt;0)),IF(BW141="",TRUE,IF(input_enews_announcement_type="",FALSE,SUMPRODUCT(--ISNUMBER(SEARCH(","&amp;TRIM(TEXTSPLIT(BW141,","))&amp;",",","&amp;SUBSTITUTE(input_enews_announcement_type," ","")&amp;",")))=COUNTA(TEXTSPLIT(BW141,",")))),IF(BY141="",TRUE,IF(input_enews_announcement_type="",TRUE,SUMPRODUCT(--ISNUMBER(SEARCH(","&amp;TRIM(TEXTSPLIT(BY141,","))&amp;",",","&amp;SUBSTITUTE(input_enews_announcement_type," ","")&amp;",")))=0)),IF(CA141="",TRUE,IF(input_enews_announcement_type="",FALSE,SUMPRODUCT(--ISNUMBER(SEARCH(","&amp;TRIM(TEXTSPLIT(CA141,","))&amp;",",","&amp;SUBSTITUTE(input_enews_announcement_type," ","")&amp;",")))&gt;0)),IF(CC141="",TRUE,IF(input_enews_announcement_type="",FALSE,SUMPRODUCT(--ISNUMBER(SEARCH(","&amp;TRIM(TEXTSPLIT(CC141,","))&amp;",",","&amp;SUBSTITUTE(input_enews_announcement_type," ","")&amp;",")))=COUNTA(TEXTSPLIT(CC141,",")))))</f>
        <v/>
      </c>
      <c r="JA141" s="19">
        <f>AND(IF(CE141="",TRUE,IF(input_enews_audience="",FALSE,SUMPRODUCT(--ISNUMBER(SEARCH(","&amp;TRIM(TEXTSPLIT(CE141,","))&amp;",",","&amp;SUBSTITUTE(input_enews_audience," ","")&amp;",")))&gt;0)),IF(CG141="",TRUE,IF(input_enews_audience="",FALSE,SUMPRODUCT(--ISNUMBER(SEARCH(","&amp;TRIM(TEXTSPLIT(CG141,","))&amp;",",","&amp;SUBSTITUTE(input_enews_audience," ","")&amp;",")))=COUNTA(TEXTSPLIT(CG141,",")))),IF(CI141="",TRUE,IF(input_enews_audience="",TRUE,SUMPRODUCT(--ISNUMBER(SEARCH(","&amp;TRIM(TEXTSPLIT(CI141,","))&amp;",",","&amp;SUBSTITUTE(input_enews_audience," ","")&amp;",")))=0)),IF(CK141="",TRUE,IF(input_enews_audience="",FALSE,SUMPRODUCT(--ISNUMBER(SEARCH(","&amp;TRIM(TEXTSPLIT(CK141,","))&amp;",",","&amp;SUBSTITUTE(input_enews_audience," ","")&amp;",")))&gt;0)),IF(CM141="",TRUE,IF(input_enews_audience="",FALSE,SUMPRODUCT(--ISNUMBER(SEARCH(","&amp;TRIM(TEXTSPLIT(CM141,","))&amp;",",","&amp;SUBSTITUTE(input_enews_audience," ","")&amp;",")))=COUNTA(TEXTSPLIT(CM141,",")))))</f>
        <v/>
      </c>
      <c r="JB141" s="19">
        <f>AND(IF(CO141="",TRUE,IF(input_event_location="",FALSE,SUMPRODUCT(--ISNUMBER(SEARCH(","&amp;TRIM(TEXTSPLIT(CO141,","))&amp;",",","&amp;SUBSTITUTE(input_event_location," ","")&amp;",")))&gt;0)),IF(CQ141="",TRUE,IF(input_event_location="",FALSE,SUMPRODUCT(--ISNUMBER(SEARCH(","&amp;TRIM(TEXTSPLIT(CQ141,","))&amp;",",","&amp;SUBSTITUTE(input_event_location," ","")&amp;",")))=COUNTA(TEXTSPLIT(CQ141,",")))),IF(CS141="",TRUE,IF(input_event_location="",TRUE,SUMPRODUCT(--ISNUMBER(SEARCH(","&amp;TRIM(TEXTSPLIT(CS141,","))&amp;",",","&amp;SUBSTITUTE(input_event_location," ","")&amp;",")))=0)),IF(CU141="",TRUE,IF(input_event_location="",FALSE,SUMPRODUCT(--ISNUMBER(SEARCH(","&amp;TRIM(TEXTSPLIT(CU141,","))&amp;",",","&amp;SUBSTITUTE(input_event_location," ","")&amp;",")))&gt;0)),IF(CW141="",TRUE,IF(input_event_location="",FALSE,SUMPRODUCT(--ISNUMBER(SEARCH(","&amp;TRIM(TEXTSPLIT(CW141,","))&amp;",",","&amp;SUBSTITUTE(input_event_location," ","")&amp;",")))=COUNTA(TEXTSPLIT(CW141,",")))))</f>
        <v/>
      </c>
      <c r="JC141" s="19">
        <f>AND(IF(CY141="",TRUE,IF(input_event_type="",FALSE,SUMPRODUCT(--ISNUMBER(SEARCH(","&amp;TRIM(TEXTSPLIT(CY141,","))&amp;",",","&amp;SUBSTITUTE(input_event_type," ","")&amp;",")))&gt;0)),IF(DA141="",TRUE,IF(input_event_type="",FALSE,SUMPRODUCT(--ISNUMBER(SEARCH(","&amp;TRIM(TEXTSPLIT(DA141,","))&amp;",",","&amp;SUBSTITUTE(input_event_type," ","")&amp;",")))=COUNTA(TEXTSPLIT(DA141,",")))),IF(DC141="",TRUE,IF(input_event_type="",TRUE,SUMPRODUCT(--ISNUMBER(SEARCH(","&amp;TRIM(TEXTSPLIT(DC141,","))&amp;",",","&amp;SUBSTITUTE(input_event_type," ","")&amp;",")))=0)),IF(DE141="",TRUE,IF(input_event_type="",FALSE,SUMPRODUCT(--ISNUMBER(SEARCH(","&amp;TRIM(TEXTSPLIT(DE141,","))&amp;",",","&amp;SUBSTITUTE(input_event_type," ","")&amp;",")))&gt;0)),IF(DG141="",TRUE,IF(input_event_type="",FALSE,SUMPRODUCT(--ISNUMBER(SEARCH(","&amp;TRIM(TEXTSPLIT(DG141,","))&amp;",",","&amp;SUBSTITUTE(input_event_type," ","")&amp;",")))=COUNTA(TEXTSPLIT(DG141,",")))))</f>
        <v/>
      </c>
      <c r="JD141" s="19">
        <f>AND(IF(DI141="",TRUE,IF(input_executive_education_focus="",FALSE,SUMPRODUCT(--ISNUMBER(SEARCH(","&amp;TRIM(TEXTSPLIT(DI141,","))&amp;",",","&amp;SUBSTITUTE(input_executive_education_focus," ","")&amp;",")))&gt;0)),IF(DK141="",TRUE,IF(input_executive_education_focus="",FALSE,SUMPRODUCT(--ISNUMBER(SEARCH(","&amp;TRIM(TEXTSPLIT(DK141,","))&amp;",",","&amp;SUBSTITUTE(input_executive_education_focus," ","")&amp;",")))=COUNTA(TEXTSPLIT(DK141,",")))),IF(DM141="",TRUE,IF(input_executive_education_focus="",TRUE,SUMPRODUCT(--ISNUMBER(SEARCH(","&amp;TRIM(TEXTSPLIT(DM141,","))&amp;",",","&amp;SUBSTITUTE(input_executive_education_focus," ","")&amp;",")))=0)),IF(DO141="",TRUE,IF(input_executive_education_focus="",FALSE,SUMPRODUCT(--ISNUMBER(SEARCH(","&amp;TRIM(TEXTSPLIT(DO141,","))&amp;",",","&amp;SUBSTITUTE(input_executive_education_focus," ","")&amp;",")))&gt;0)),IF(DQ141="",TRUE,IF(input_executive_education_focus="",FALSE,SUMPRODUCT(--ISNUMBER(SEARCH(","&amp;TRIM(TEXTSPLIT(DQ141,","))&amp;",",","&amp;SUBSTITUTE(input_executive_education_focus," ","")&amp;",")))=COUNTA(TEXTSPLIT(DQ141,",")))))</f>
        <v/>
      </c>
      <c r="JE141" s="19">
        <f>AND(IF(DS141="",TRUE,IF(input_faculty_category="",FALSE,SUMPRODUCT(--ISNUMBER(SEARCH(","&amp;TRIM(TEXTSPLIT(DS141,","))&amp;",",","&amp;SUBSTITUTE(input_faculty_category," ","")&amp;",")))&gt;0)),IF(DU141="",TRUE,IF(input_faculty_category="",FALSE,SUMPRODUCT(--ISNUMBER(SEARCH(","&amp;TRIM(TEXTSPLIT(DU141,","))&amp;",",","&amp;SUBSTITUTE(input_faculty_category," ","")&amp;",")))=COUNTA(TEXTSPLIT(DU141,",")))),IF(DW141="",TRUE,IF(input_faculty_category="",TRUE,SUMPRODUCT(--ISNUMBER(SEARCH(","&amp;TRIM(TEXTSPLIT(DW141,","))&amp;",",","&amp;SUBSTITUTE(input_faculty_category," ","")&amp;",")))=0)),IF(DY141="",TRUE,IF(input_faculty_category="",FALSE,SUMPRODUCT(--ISNUMBER(SEARCH(","&amp;TRIM(TEXTSPLIT(DY141,","))&amp;",",","&amp;SUBSTITUTE(input_faculty_category," ","")&amp;",")))&gt;0)),IF(EA141="",TRUE,IF(input_faculty_category="",FALSE,SUMPRODUCT(--ISNUMBER(SEARCH(","&amp;TRIM(TEXTSPLIT(EA141,","))&amp;",",","&amp;SUBSTITUTE(input_faculty_category," ","")&amp;",")))=COUNTA(TEXTSPLIT(EA141,",")))))</f>
        <v/>
      </c>
      <c r="JF141" s="19">
        <f>AND(IF(EC141="",TRUE,IF(input_faculty_discipline="",FALSE,SUMPRODUCT(--ISNUMBER(SEARCH(","&amp;TRIM(TEXTSPLIT(EC141,","))&amp;",",","&amp;SUBSTITUTE(input_faculty_discipline," ","")&amp;",")))&gt;0)),IF(EE141="",TRUE,IF(input_faculty_discipline="",FALSE,SUMPRODUCT(--ISNUMBER(SEARCH(","&amp;TRIM(TEXTSPLIT(EE141,","))&amp;",",","&amp;SUBSTITUTE(input_faculty_discipline," ","")&amp;",")))=COUNTA(TEXTSPLIT(EE141,",")))),IF(EG141="",TRUE,IF(input_faculty_discipline="",TRUE,SUMPRODUCT(--ISNUMBER(SEARCH(","&amp;TRIM(TEXTSPLIT(EG141,","))&amp;",",","&amp;SUBSTITUTE(input_faculty_discipline," ","")&amp;",")))=0)),IF(EI141="",TRUE,IF(input_faculty_discipline="",FALSE,SUMPRODUCT(--ISNUMBER(SEARCH(","&amp;TRIM(TEXTSPLIT(EI141,","))&amp;",",","&amp;SUBSTITUTE(input_faculty_discipline," ","")&amp;",")))&gt;0)),IF(EK141="",TRUE,IF(input_faculty_discipline="",FALSE,SUMPRODUCT(--ISNUMBER(SEARCH(","&amp;TRIM(TEXTSPLIT(EK141,","))&amp;",",","&amp;SUBSTITUTE(input_faculty_discipline," ","")&amp;",")))=COUNTA(TEXTSPLIT(EK141,",")))))</f>
        <v/>
      </c>
      <c r="JG141" s="19">
        <f>AND(IF(EM141="",TRUE,IF(input_faculty_expertise="",FALSE,SUMPRODUCT(--ISNUMBER(SEARCH(","&amp;TRIM(TEXTSPLIT(EM141,","))&amp;",",","&amp;SUBSTITUTE(input_faculty_expertise," ","")&amp;",")))&gt;0)),IF(EO141="",TRUE,IF(input_faculty_expertise="",FALSE,SUMPRODUCT(--ISNUMBER(SEARCH(","&amp;TRIM(TEXTSPLIT(EO141,","))&amp;",",","&amp;SUBSTITUTE(input_faculty_expertise," ","")&amp;",")))=COUNTA(TEXTSPLIT(EO141,",")))),IF(EQ141="",TRUE,IF(input_faculty_expertise="",TRUE,SUMPRODUCT(--ISNUMBER(SEARCH(","&amp;TRIM(TEXTSPLIT(EQ141,","))&amp;",",","&amp;SUBSTITUTE(input_faculty_expertise," ","")&amp;",")))=0)),IF(ES141="",TRUE,IF(input_faculty_expertise="",FALSE,SUMPRODUCT(--ISNUMBER(SEARCH(","&amp;TRIM(TEXTSPLIT(ES141,","))&amp;",",","&amp;SUBSTITUTE(input_faculty_expertise," ","")&amp;",")))&gt;0)),IF(EU141="",TRUE,IF(input_faculty_expertise="",FALSE,SUMPRODUCT(--ISNUMBER(SEARCH(","&amp;TRIM(TEXTSPLIT(EU141,","))&amp;",",","&amp;SUBSTITUTE(input_faculty_expertise," ","")&amp;",")))=COUNTA(TEXTSPLIT(EU141,",")))))</f>
        <v/>
      </c>
      <c r="JH141" s="19">
        <f>AND(IF(EW141="",TRUE,IF(input_global_network_school="",FALSE,SUMPRODUCT(--ISNUMBER(SEARCH(","&amp;TRIM(TEXTSPLIT(EW141,","))&amp;",",","&amp;SUBSTITUTE(input_global_network_school," ","")&amp;",")))&gt;0)),IF(EY141="",TRUE,IF(input_global_network_school="",FALSE,SUMPRODUCT(--ISNUMBER(SEARCH(","&amp;TRIM(TEXTSPLIT(EY141,","))&amp;",",","&amp;SUBSTITUTE(input_global_network_school," ","")&amp;",")))=COUNTA(TEXTSPLIT(EY141,",")))),IF(FA141="",TRUE,IF(input_global_network_school="",TRUE,SUMPRODUCT(--ISNUMBER(SEARCH(","&amp;TRIM(TEXTSPLIT(FA141,","))&amp;",",","&amp;SUBSTITUTE(input_global_network_school," ","")&amp;",")))=0)),IF(FC141="",TRUE,IF(input_global_network_school="",FALSE,SUMPRODUCT(--ISNUMBER(SEARCH(","&amp;TRIM(TEXTSPLIT(FC141,","))&amp;",",","&amp;SUBSTITUTE(input_global_network_school," ","")&amp;",")))&gt;0)),IF(FE141="",TRUE,IF(input_global_network_school="",FALSE,SUMPRODUCT(--ISNUMBER(SEARCH(","&amp;TRIM(TEXTSPLIT(FE141,","))&amp;",",","&amp;SUBSTITUTE(input_global_network_school," ","")&amp;",")))=COUNTA(TEXTSPLIT(FE141,",")))))</f>
        <v/>
      </c>
      <c r="JI141" s="19">
        <f>AND(IF(FG141="",TRUE,IF(input_industry="",FALSE,SUMPRODUCT(--ISNUMBER(SEARCH(","&amp;TRIM(TEXTSPLIT(FG141,","))&amp;",",","&amp;SUBSTITUTE(input_industry," ","")&amp;",")))&gt;0)),IF(FI141="",TRUE,IF(input_industry="",FALSE,SUMPRODUCT(--ISNUMBER(SEARCH(","&amp;TRIM(TEXTSPLIT(FI141,","))&amp;",",","&amp;SUBSTITUTE(input_industry," ","")&amp;",")))=COUNTA(TEXTSPLIT(FI141,",")))),IF(FK141="",TRUE,IF(input_industry="",TRUE,SUMPRODUCT(--ISNUMBER(SEARCH(","&amp;TRIM(TEXTSPLIT(FK141,","))&amp;",",","&amp;SUBSTITUTE(input_industry," ","")&amp;",")))=0)),IF(FM141="",TRUE,IF(input_industry="",FALSE,SUMPRODUCT(--ISNUMBER(SEARCH(","&amp;TRIM(TEXTSPLIT(FM141,","))&amp;",",","&amp;SUBSTITUTE(input_industry," ","")&amp;",")))&gt;0)),IF(FO141="",TRUE,IF(input_industry="",FALSE,SUMPRODUCT(--ISNUMBER(SEARCH(","&amp;TRIM(TEXTSPLIT(FO141,","))&amp;",",","&amp;SUBSTITUTE(input_industry," ","")&amp;",")))=COUNTA(TEXTSPLIT(FO141,",")))))</f>
        <v/>
      </c>
      <c r="JJ141" s="19">
        <f>AND(IF(FQ141="",TRUE,IF(input_location="",FALSE,SUMPRODUCT(--ISNUMBER(SEARCH(","&amp;TRIM(TEXTSPLIT(FQ141,","))&amp;",",","&amp;SUBSTITUTE(input_location," ","")&amp;",")))&gt;0)),IF(FS141="",TRUE,IF(input_location="",FALSE,SUMPRODUCT(--ISNUMBER(SEARCH(","&amp;TRIM(TEXTSPLIT(FS141,","))&amp;",",","&amp;SUBSTITUTE(input_location," ","")&amp;",")))=COUNTA(TEXTSPLIT(FS141,",")))),IF(FU141="",TRUE,IF(input_location="",TRUE,SUMPRODUCT(--ISNUMBER(SEARCH(","&amp;TRIM(TEXTSPLIT(FU141,","))&amp;",",","&amp;SUBSTITUTE(input_location," ","")&amp;",")))=0)),IF(FW141="",TRUE,IF(input_location="",FALSE,SUMPRODUCT(--ISNUMBER(SEARCH(","&amp;TRIM(TEXTSPLIT(FW141,","))&amp;",",","&amp;SUBSTITUTE(input_location," ","")&amp;",")))&gt;0)),IF(FY141="",TRUE,IF(input_location="",FALSE,SUMPRODUCT(--ISNUMBER(SEARCH(","&amp;TRIM(TEXTSPLIT(FY141,","))&amp;",",","&amp;SUBSTITUTE(input_location," ","")&amp;",")))=COUNTA(TEXTSPLIT(FY141,",")))))</f>
        <v/>
      </c>
      <c r="JK141" s="19">
        <f>AND(IF(GA141="",TRUE,IF(input_modality="",FALSE,SUMPRODUCT(--ISNUMBER(SEARCH(","&amp;TRIM(TEXTSPLIT(GA141,","))&amp;",",","&amp;SUBSTITUTE(input_modality," ","")&amp;",")))&gt;0)),IF(GC141="",TRUE,IF(input_modality="",FALSE,SUMPRODUCT(--ISNUMBER(SEARCH(","&amp;TRIM(TEXTSPLIT(GC141,","))&amp;",",","&amp;SUBSTITUTE(input_modality," ","")&amp;",")))=COUNTA(TEXTSPLIT(GC141,",")))),IF(GE141="",TRUE,IF(input_modality="",TRUE,SUMPRODUCT(--ISNUMBER(SEARCH(","&amp;TRIM(TEXTSPLIT(GE141,","))&amp;",",","&amp;SUBSTITUTE(input_modality," ","")&amp;",")))=0)),IF(GG141="",TRUE,IF(input_modality="",FALSE,SUMPRODUCT(--ISNUMBER(SEARCH(","&amp;TRIM(TEXTSPLIT(GG141,","))&amp;",",","&amp;SUBSTITUTE(input_modality," ","")&amp;",")))&gt;0)),IF(GI141="",TRUE,IF(input_modality="",FALSE,SUMPRODUCT(--ISNUMBER(SEARCH(","&amp;TRIM(TEXTSPLIT(GI141,","))&amp;",",","&amp;SUBSTITUTE(input_modality," ","")&amp;",")))=COUNTA(TEXTSPLIT(GI141,",")))))</f>
        <v/>
      </c>
      <c r="JL141" s="19">
        <f>AND(IF(GK141="",TRUE,IF(input_organizer="",FALSE,SUMPRODUCT(--ISNUMBER(SEARCH(","&amp;TRIM(TEXTSPLIT(GK141,","))&amp;",",","&amp;SUBSTITUTE(input_organizer," ","")&amp;",")))&gt;0)),IF(GM141="",TRUE,IF(input_organizer="",FALSE,SUMPRODUCT(--ISNUMBER(SEARCH(","&amp;TRIM(TEXTSPLIT(GM141,","))&amp;",",","&amp;SUBSTITUTE(input_organizer," ","")&amp;",")))=COUNTA(TEXTSPLIT(GM141,",")))),IF(GO141="",TRUE,IF(input_organizer="",TRUE,SUMPRODUCT(--ISNUMBER(SEARCH(","&amp;TRIM(TEXTSPLIT(GO141,","))&amp;",",","&amp;SUBSTITUTE(input_organizer," ","")&amp;",")))=0)),IF(GQ141="",TRUE,IF(input_organizer="",FALSE,SUMPRODUCT(--ISNUMBER(SEARCH(","&amp;TRIM(TEXTSPLIT(GQ141,","))&amp;",",","&amp;SUBSTITUTE(input_organizer," ","")&amp;",")))&gt;0)),IF(GS141="",TRUE,IF(input_organizer="",FALSE,SUMPRODUCT(--ISNUMBER(SEARCH(","&amp;TRIM(TEXTSPLIT(GS141,","))&amp;",",","&amp;SUBSTITUTE(input_organizer," ","")&amp;",")))=COUNTA(TEXTSPLIT(GS141,",")))))</f>
        <v/>
      </c>
      <c r="JM141" s="19">
        <f>AND(IF(GU141="",TRUE,IF(input_profile_type="",FALSE,SUMPRODUCT(--ISNUMBER(SEARCH(","&amp;TRIM(TEXTSPLIT(GU141,","))&amp;",",","&amp;SUBSTITUTE(input_profile_type," ","")&amp;",")))&gt;0)),IF(GW141="",TRUE,IF(input_profile_type="",FALSE,SUMPRODUCT(--ISNUMBER(SEARCH(","&amp;TRIM(TEXTSPLIT(GW141,","))&amp;",",","&amp;SUBSTITUTE(input_profile_type," ","")&amp;",")))=COUNTA(TEXTSPLIT(GW141,",")))),IF(GY141="",TRUE,IF(input_profile_type="",TRUE,SUMPRODUCT(--ISNUMBER(SEARCH(","&amp;TRIM(TEXTSPLIT(GY141,","))&amp;",",","&amp;SUBSTITUTE(input_profile_type," ","")&amp;",")))=0)),IF(HA141="",TRUE,IF(input_profile_type="",FALSE,SUMPRODUCT(--ISNUMBER(SEARCH(","&amp;TRIM(TEXTSPLIT(HA141,","))&amp;",",","&amp;SUBSTITUTE(input_profile_type," ","")&amp;",")))&gt;0)),IF(HC141="",TRUE,IF(input_profile_type="",FALSE,SUMPRODUCT(--ISNUMBER(SEARCH(","&amp;TRIM(TEXTSPLIT(HC141,","))&amp;",",","&amp;SUBSTITUTE(input_profile_type," ","")&amp;",")))=COUNTA(TEXTSPLIT(HC141,",")))))</f>
        <v/>
      </c>
      <c r="JN141" s="19">
        <f>AND(IF(HE141="",TRUE,IF(input_program="",FALSE,SUMPRODUCT(--ISNUMBER(SEARCH(","&amp;TRIM(TEXTSPLIT(HE141,","))&amp;",",","&amp;SUBSTITUTE(input_program," ","")&amp;",")))&gt;0)),IF(HG141="",TRUE,IF(input_program="",FALSE,SUMPRODUCT(--ISNUMBER(SEARCH(","&amp;TRIM(TEXTSPLIT(HG141,","))&amp;",",","&amp;SUBSTITUTE(input_program," ","")&amp;",")))=COUNTA(TEXTSPLIT(HG141,",")))),IF(HI141="",TRUE,IF(input_program="",TRUE,SUMPRODUCT(--ISNUMBER(SEARCH(","&amp;TRIM(TEXTSPLIT(HI141,","))&amp;",",","&amp;SUBSTITUTE(input_program," ","")&amp;",")))=0)),IF(HK141="",TRUE,IF(input_program="",FALSE,SUMPRODUCT(--ISNUMBER(SEARCH(","&amp;TRIM(TEXTSPLIT(HK141,","))&amp;",",","&amp;SUBSTITUTE(input_program," ","")&amp;",")))&gt;0)),IF(HM141="",TRUE,IF(input_program="",FALSE,SUMPRODUCT(--ISNUMBER(SEARCH(","&amp;TRIM(TEXTSPLIT(HM141,","))&amp;",",","&amp;SUBSTITUTE(input_program," ","")&amp;",")))=COUNTA(TEXTSPLIT(HM141,",")))))</f>
        <v/>
      </c>
      <c r="JO141" s="19">
        <f>AND(IF(HO141="",TRUE,IF(input_story_categories="",FALSE,SUMPRODUCT(--ISNUMBER(SEARCH(","&amp;TRIM(TEXTSPLIT(HO141,","))&amp;",",","&amp;SUBSTITUTE(input_story_categories," ","")&amp;",")))&gt;0)),IF(HQ141="",TRUE,IF(input_story_categories="",FALSE,SUMPRODUCT(--ISNUMBER(SEARCH(","&amp;TRIM(TEXTSPLIT(HQ141,","))&amp;",",","&amp;SUBSTITUTE(input_story_categories," ","")&amp;",")))=COUNTA(TEXTSPLIT(HQ141,",")))),IF(HS141="",TRUE,IF(input_story_categories="",TRUE,SUMPRODUCT(--ISNUMBER(SEARCH(","&amp;TRIM(TEXTSPLIT(HS141,","))&amp;",",","&amp;SUBSTITUTE(input_story_categories," ","")&amp;",")))=0)),IF(HU141="",TRUE,IF(input_story_categories="",FALSE,SUMPRODUCT(--ISNUMBER(SEARCH(","&amp;TRIM(TEXTSPLIT(HU141,","))&amp;",",","&amp;SUBSTITUTE(input_story_categories," ","")&amp;",")))&gt;0)),IF(HW141="",TRUE,IF(input_story_categories="",FALSE,SUMPRODUCT(--ISNUMBER(SEARCH(","&amp;TRIM(TEXTSPLIT(HW141,","))&amp;",",","&amp;SUBSTITUTE(input_story_categories," ","")&amp;",")))=COUNTA(TEXTSPLIT(HW141,",")))))</f>
        <v/>
      </c>
      <c r="JP141" s="19">
        <f>AND(IF(HY141="",TRUE,IF(input_story_type="",FALSE,SUMPRODUCT(--ISNUMBER(SEARCH(","&amp;TRIM(TEXTSPLIT(HY141,","))&amp;",",","&amp;SUBSTITUTE(input_story_type," ","")&amp;",")))&gt;0)),IF(IA141="",TRUE,IF(input_story_type="",FALSE,SUMPRODUCT(--ISNUMBER(SEARCH(","&amp;TRIM(TEXTSPLIT(IA141,","))&amp;",",","&amp;SUBSTITUTE(input_story_type," ","")&amp;",")))=COUNTA(TEXTSPLIT(IA141,",")))),IF(IC141="",TRUE,IF(input_story_type="",TRUE,SUMPRODUCT(--ISNUMBER(SEARCH(","&amp;TRIM(TEXTSPLIT(IC141,","))&amp;",",","&amp;SUBSTITUTE(input_story_type," ","")&amp;",")))=0)),IF(IE141="",TRUE,IF(input_story_type="",FALSE,SUMPRODUCT(--ISNUMBER(SEARCH(","&amp;TRIM(TEXTSPLIT(IE141,","))&amp;",",","&amp;SUBSTITUTE(input_story_type," ","")&amp;",")))&gt;0)),IF(IG141="",TRUE,IF(input_story_type="",FALSE,SUMPRODUCT(--ISNUMBER(SEARCH(","&amp;TRIM(TEXTSPLIT(IG141,","))&amp;",",","&amp;SUBSTITUTE(input_story_type," ","")&amp;",")))=COUNTA(TEXTSPLIT(IG141,",")))))</f>
        <v/>
      </c>
      <c r="JQ141" s="19">
        <f>AND(IF(II141="",TRUE,IF(input_topics="",FALSE,SUMPRODUCT(--ISNUMBER(SEARCH(","&amp;TRIM(TEXTSPLIT(II141,","))&amp;",",","&amp;SUBSTITUTE(input_topics," ","")&amp;",")))&gt;0)),IF(IK141="",TRUE,IF(input_topics="",FALSE,SUMPRODUCT(--ISNUMBER(SEARCH(","&amp;TRIM(TEXTSPLIT(IK141,","))&amp;",",","&amp;SUBSTITUTE(input_topics," ","")&amp;",")))=COUNTA(TEXTSPLIT(IK141,",")))),IF(IM141="",TRUE,IF(input_topics="",TRUE,SUMPRODUCT(--ISNUMBER(SEARCH(","&amp;TRIM(TEXTSPLIT(IM141,","))&amp;",",","&amp;SUBSTITUTE(input_topics," ","")&amp;",")))=0)),IF(IO141="",TRUE,IF(input_topics="",FALSE,SUMPRODUCT(--ISNUMBER(SEARCH(","&amp;TRIM(TEXTSPLIT(IO141,","))&amp;",",","&amp;SUBSTITUTE(input_topics," ","")&amp;",")))&gt;0)),IF(IQ141="",TRUE,IF(input_topics="",FALSE,SUMPRODUCT(--ISNUMBER(SEARCH(","&amp;TRIM(TEXTSPLIT(IQ141,","))&amp;",",","&amp;SUBSTITUTE(input_topics," ","")&amp;",")))=COUNTA(TEXTSPLIT(IQ141,",")))))</f>
        <v/>
      </c>
    </row>
    <row r="142">
      <c r="A142" s="24">
        <f>IF(NOT(IS142),"Excluded",IF(AND(IT142,IU142,IV142,IW142,IX142,IY142,IZ142,JA142,JB142,JC142,JD142,JE142,JF142,JG142,JH142,JI142,JJ142,JK142,JL142,JM142,JN142,JO142,JP142,JQ142),IF(I142&gt;0,"Eligible but limited","Will appear"),"Excluded"))</f>
        <v/>
      </c>
      <c r="B142" s="24" t="inlineStr">
        <is>
          <t>News - Summary</t>
        </is>
      </c>
      <c r="C142" s="27" t="inlineStr">
        <is>
          <t>/the-som-experience/interests-and-industries/healthcare</t>
        </is>
      </c>
      <c r="D142" s="24" t="inlineStr">
        <is>
          <t>/the-som-experience/interests-and-industries/healthcare</t>
        </is>
      </c>
      <c r="E142" s="24" t="n">
        <v>1</v>
      </c>
      <c r="F142" s="24" t="inlineStr">
        <is>
          <t>story</t>
        </is>
      </c>
      <c r="G142" s="24" t="inlineStr">
        <is>
          <t>stories_mosaic_grid</t>
        </is>
      </c>
      <c r="H142" s="24" t="inlineStr">
        <is>
          <t>embed_news_summary</t>
        </is>
      </c>
      <c r="I142" s="24" t="n">
        <v>1</v>
      </c>
      <c r="J142" s="24" t="inlineStr">
        <is>
          <t>View/config rules</t>
        </is>
      </c>
      <c r="K142" s="24" t="inlineStr">
        <is>
          <t>Page placement</t>
        </is>
      </c>
      <c r="L142" s="24" t="inlineStr">
        <is>
          <t>Content type: story; Needs any Story Type: News (924); Limited to 1 item(s); Source: View/config rules</t>
        </is>
      </c>
      <c r="HY142" s="19" t="inlineStr">
        <is>
          <t>924</t>
        </is>
      </c>
      <c r="HZ142" s="19" t="inlineStr">
        <is>
          <t>News (924)</t>
        </is>
      </c>
      <c r="IS142" s="19">
        <f>IF(input_content_type="",FALSE,ISNUMBER(SEARCH(","&amp;LOWER(input_content_type)&amp;",",","&amp;LOWER(SUBSTITUTE(F142," ",""))&amp;",")))</f>
        <v/>
      </c>
      <c r="IT142" s="19">
        <f>AND(IF(M142="",TRUE,IF(input_affiliations="",FALSE,SUMPRODUCT(--ISNUMBER(SEARCH(","&amp;TRIM(TEXTSPLIT(M142,","))&amp;",",","&amp;SUBSTITUTE(input_affiliations," ","")&amp;",")))&gt;0)),IF(O142="",TRUE,IF(input_affiliations="",FALSE,SUMPRODUCT(--ISNUMBER(SEARCH(","&amp;TRIM(TEXTSPLIT(O142,","))&amp;",",","&amp;SUBSTITUTE(input_affiliations," ","")&amp;",")))=COUNTA(TEXTSPLIT(O142,",")))),IF(Q142="",TRUE,IF(input_affiliations="",TRUE,SUMPRODUCT(--ISNUMBER(SEARCH(","&amp;TRIM(TEXTSPLIT(Q142,","))&amp;",",","&amp;SUBSTITUTE(input_affiliations," ","")&amp;",")))=0)),IF(S142="",TRUE,IF(input_affiliations="",FALSE,SUMPRODUCT(--ISNUMBER(SEARCH(","&amp;TRIM(TEXTSPLIT(S142,","))&amp;",",","&amp;SUBSTITUTE(input_affiliations," ","")&amp;",")))&gt;0)),IF(U142="",TRUE,IF(input_affiliations="",FALSE,SUMPRODUCT(--ISNUMBER(SEARCH(","&amp;TRIM(TEXTSPLIT(U142,","))&amp;",",","&amp;SUBSTITUTE(input_affiliations," ","")&amp;",")))=COUNTA(TEXTSPLIT(U142,",")))))</f>
        <v/>
      </c>
      <c r="IU142" s="19">
        <f>AND(IF(W142="",TRUE,IF(input_announcement_category="",FALSE,SUMPRODUCT(--ISNUMBER(SEARCH(","&amp;TRIM(TEXTSPLIT(W142,","))&amp;",",","&amp;SUBSTITUTE(input_announcement_category," ","")&amp;",")))&gt;0)),IF(Y142="",TRUE,IF(input_announcement_category="",FALSE,SUMPRODUCT(--ISNUMBER(SEARCH(","&amp;TRIM(TEXTSPLIT(Y142,","))&amp;",",","&amp;SUBSTITUTE(input_announcement_category," ","")&amp;",")))=COUNTA(TEXTSPLIT(Y142,",")))),IF(AA142="",TRUE,IF(input_announcement_category="",TRUE,SUMPRODUCT(--ISNUMBER(SEARCH(","&amp;TRIM(TEXTSPLIT(AA142,","))&amp;",",","&amp;SUBSTITUTE(input_announcement_category," ","")&amp;",")))=0)),IF(AC142="",TRUE,IF(input_announcement_category="",FALSE,SUMPRODUCT(--ISNUMBER(SEARCH(","&amp;TRIM(TEXTSPLIT(AC142,","))&amp;",",","&amp;SUBSTITUTE(input_announcement_category," ","")&amp;",")))&gt;0)),IF(AE142="",TRUE,IF(input_announcement_category="",FALSE,SUMPRODUCT(--ISNUMBER(SEARCH(","&amp;TRIM(TEXTSPLIT(AE142,","))&amp;",",","&amp;SUBSTITUTE(input_announcement_category," ","")&amp;",")))=COUNTA(TEXTSPLIT(AE142,",")))))</f>
        <v/>
      </c>
      <c r="IV142" s="19">
        <f>AND(IF(AG142="",TRUE,IF(input_area_of_focus="",FALSE,SUMPRODUCT(--ISNUMBER(SEARCH(","&amp;TRIM(TEXTSPLIT(AG142,","))&amp;",",","&amp;SUBSTITUTE(input_area_of_focus," ","")&amp;",")))&gt;0)),IF(AI142="",TRUE,IF(input_area_of_focus="",FALSE,SUMPRODUCT(--ISNUMBER(SEARCH(","&amp;TRIM(TEXTSPLIT(AI142,","))&amp;",",","&amp;SUBSTITUTE(input_area_of_focus," ","")&amp;",")))=COUNTA(TEXTSPLIT(AI142,",")))),IF(AK142="",TRUE,IF(input_area_of_focus="",TRUE,SUMPRODUCT(--ISNUMBER(SEARCH(","&amp;TRIM(TEXTSPLIT(AK142,","))&amp;",",","&amp;SUBSTITUTE(input_area_of_focus," ","")&amp;",")))=0)),IF(AM142="",TRUE,IF(input_area_of_focus="",FALSE,SUMPRODUCT(--ISNUMBER(SEARCH(","&amp;TRIM(TEXTSPLIT(AM142,","))&amp;",",","&amp;SUBSTITUTE(input_area_of_focus," ","")&amp;",")))&gt;0)),IF(AO142="",TRUE,IF(input_area_of_focus="",FALSE,SUMPRODUCT(--ISNUMBER(SEARCH(","&amp;TRIM(TEXTSPLIT(AO142,","))&amp;",",","&amp;SUBSTITUTE(input_area_of_focus," ","")&amp;",")))=COUNTA(TEXTSPLIT(AO142,",")))))</f>
        <v/>
      </c>
      <c r="IW142" s="19">
        <f>AND(IF(AQ142="",TRUE,IF(input_audience="",FALSE,SUMPRODUCT(--ISNUMBER(SEARCH(","&amp;TRIM(TEXTSPLIT(AQ142,","))&amp;",",","&amp;SUBSTITUTE(input_audience," ","")&amp;",")))&gt;0)),IF(AS142="",TRUE,IF(input_audience="",FALSE,SUMPRODUCT(--ISNUMBER(SEARCH(","&amp;TRIM(TEXTSPLIT(AS142,","))&amp;",",","&amp;SUBSTITUTE(input_audience," ","")&amp;",")))=COUNTA(TEXTSPLIT(AS142,",")))),IF(AU142="",TRUE,IF(input_audience="",TRUE,SUMPRODUCT(--ISNUMBER(SEARCH(","&amp;TRIM(TEXTSPLIT(AU142,","))&amp;",",","&amp;SUBSTITUTE(input_audience," ","")&amp;",")))=0)),IF(AW142="",TRUE,IF(input_audience="",FALSE,SUMPRODUCT(--ISNUMBER(SEARCH(","&amp;TRIM(TEXTSPLIT(AW142,","))&amp;",",","&amp;SUBSTITUTE(input_audience," ","")&amp;",")))&gt;0)),IF(AY142="",TRUE,IF(input_audience="",FALSE,SUMPRODUCT(--ISNUMBER(SEARCH(","&amp;TRIM(TEXTSPLIT(AY142,","))&amp;",",","&amp;SUBSTITUTE(input_audience," ","")&amp;",")))=COUNTA(TEXTSPLIT(AY142,",")))))</f>
        <v/>
      </c>
      <c r="IX142" s="19">
        <f>AND(IF(BA142="",TRUE,IF(input_challenge_opportunities="",FALSE,SUMPRODUCT(--ISNUMBER(SEARCH(","&amp;TRIM(TEXTSPLIT(BA142,","))&amp;",",","&amp;SUBSTITUTE(input_challenge_opportunities," ","")&amp;",")))&gt;0)),IF(BC142="",TRUE,IF(input_challenge_opportunities="",FALSE,SUMPRODUCT(--ISNUMBER(SEARCH(","&amp;TRIM(TEXTSPLIT(BC142,","))&amp;",",","&amp;SUBSTITUTE(input_challenge_opportunities," ","")&amp;",")))=COUNTA(TEXTSPLIT(BC142,",")))),IF(BE142="",TRUE,IF(input_challenge_opportunities="",TRUE,SUMPRODUCT(--ISNUMBER(SEARCH(","&amp;TRIM(TEXTSPLIT(BE142,","))&amp;",",","&amp;SUBSTITUTE(input_challenge_opportunities," ","")&amp;",")))=0)),IF(BG142="",TRUE,IF(input_challenge_opportunities="",FALSE,SUMPRODUCT(--ISNUMBER(SEARCH(","&amp;TRIM(TEXTSPLIT(BG142,","))&amp;",",","&amp;SUBSTITUTE(input_challenge_opportunities," ","")&amp;",")))&gt;0)),IF(BI142="",TRUE,IF(input_challenge_opportunities="",FALSE,SUMPRODUCT(--ISNUMBER(SEARCH(","&amp;TRIM(TEXTSPLIT(BI142,","))&amp;",",","&amp;SUBSTITUTE(input_challenge_opportunities," ","")&amp;",")))=COUNTA(TEXTSPLIT(BI142,",")))))</f>
        <v/>
      </c>
      <c r="IY142" s="19">
        <f>AND(IF(BK142="",TRUE,IF(input_context="",FALSE,SUMPRODUCT(--ISNUMBER(SEARCH(","&amp;TRIM(TEXTSPLIT(BK142,","))&amp;",",","&amp;SUBSTITUTE(input_context," ","")&amp;",")))&gt;0)),IF(BM142="",TRUE,IF(input_context="",FALSE,SUMPRODUCT(--ISNUMBER(SEARCH(","&amp;TRIM(TEXTSPLIT(BM142,","))&amp;",",","&amp;SUBSTITUTE(input_context," ","")&amp;",")))=COUNTA(TEXTSPLIT(BM142,",")))),IF(BO142="",TRUE,IF(input_context="",TRUE,SUMPRODUCT(--ISNUMBER(SEARCH(","&amp;TRIM(TEXTSPLIT(BO142,","))&amp;",",","&amp;SUBSTITUTE(input_context," ","")&amp;",")))=0)),IF(BQ142="",TRUE,IF(input_context="",FALSE,SUMPRODUCT(--ISNUMBER(SEARCH(","&amp;TRIM(TEXTSPLIT(BQ142,","))&amp;",",","&amp;SUBSTITUTE(input_context," ","")&amp;",")))&gt;0)),IF(BS142="",TRUE,IF(input_context="",FALSE,SUMPRODUCT(--ISNUMBER(SEARCH(","&amp;TRIM(TEXTSPLIT(BS142,","))&amp;",",","&amp;SUBSTITUTE(input_context," ","")&amp;",")))=COUNTA(TEXTSPLIT(BS142,",")))))</f>
        <v/>
      </c>
      <c r="IZ142" s="19">
        <f>AND(IF(BU142="",TRUE,IF(input_enews_announcement_type="",FALSE,SUMPRODUCT(--ISNUMBER(SEARCH(","&amp;TRIM(TEXTSPLIT(BU142,","))&amp;",",","&amp;SUBSTITUTE(input_enews_announcement_type," ","")&amp;",")))&gt;0)),IF(BW142="",TRUE,IF(input_enews_announcement_type="",FALSE,SUMPRODUCT(--ISNUMBER(SEARCH(","&amp;TRIM(TEXTSPLIT(BW142,","))&amp;",",","&amp;SUBSTITUTE(input_enews_announcement_type," ","")&amp;",")))=COUNTA(TEXTSPLIT(BW142,",")))),IF(BY142="",TRUE,IF(input_enews_announcement_type="",TRUE,SUMPRODUCT(--ISNUMBER(SEARCH(","&amp;TRIM(TEXTSPLIT(BY142,","))&amp;",",","&amp;SUBSTITUTE(input_enews_announcement_type," ","")&amp;",")))=0)),IF(CA142="",TRUE,IF(input_enews_announcement_type="",FALSE,SUMPRODUCT(--ISNUMBER(SEARCH(","&amp;TRIM(TEXTSPLIT(CA142,","))&amp;",",","&amp;SUBSTITUTE(input_enews_announcement_type," ","")&amp;",")))&gt;0)),IF(CC142="",TRUE,IF(input_enews_announcement_type="",FALSE,SUMPRODUCT(--ISNUMBER(SEARCH(","&amp;TRIM(TEXTSPLIT(CC142,","))&amp;",",","&amp;SUBSTITUTE(input_enews_announcement_type," ","")&amp;",")))=COUNTA(TEXTSPLIT(CC142,",")))))</f>
        <v/>
      </c>
      <c r="JA142" s="19">
        <f>AND(IF(CE142="",TRUE,IF(input_enews_audience="",FALSE,SUMPRODUCT(--ISNUMBER(SEARCH(","&amp;TRIM(TEXTSPLIT(CE142,","))&amp;",",","&amp;SUBSTITUTE(input_enews_audience," ","")&amp;",")))&gt;0)),IF(CG142="",TRUE,IF(input_enews_audience="",FALSE,SUMPRODUCT(--ISNUMBER(SEARCH(","&amp;TRIM(TEXTSPLIT(CG142,","))&amp;",",","&amp;SUBSTITUTE(input_enews_audience," ","")&amp;",")))=COUNTA(TEXTSPLIT(CG142,",")))),IF(CI142="",TRUE,IF(input_enews_audience="",TRUE,SUMPRODUCT(--ISNUMBER(SEARCH(","&amp;TRIM(TEXTSPLIT(CI142,","))&amp;",",","&amp;SUBSTITUTE(input_enews_audience," ","")&amp;",")))=0)),IF(CK142="",TRUE,IF(input_enews_audience="",FALSE,SUMPRODUCT(--ISNUMBER(SEARCH(","&amp;TRIM(TEXTSPLIT(CK142,","))&amp;",",","&amp;SUBSTITUTE(input_enews_audience," ","")&amp;",")))&gt;0)),IF(CM142="",TRUE,IF(input_enews_audience="",FALSE,SUMPRODUCT(--ISNUMBER(SEARCH(","&amp;TRIM(TEXTSPLIT(CM142,","))&amp;",",","&amp;SUBSTITUTE(input_enews_audience," ","")&amp;",")))=COUNTA(TEXTSPLIT(CM142,",")))))</f>
        <v/>
      </c>
      <c r="JB142" s="19">
        <f>AND(IF(CO142="",TRUE,IF(input_event_location="",FALSE,SUMPRODUCT(--ISNUMBER(SEARCH(","&amp;TRIM(TEXTSPLIT(CO142,","))&amp;",",","&amp;SUBSTITUTE(input_event_location," ","")&amp;",")))&gt;0)),IF(CQ142="",TRUE,IF(input_event_location="",FALSE,SUMPRODUCT(--ISNUMBER(SEARCH(","&amp;TRIM(TEXTSPLIT(CQ142,","))&amp;",",","&amp;SUBSTITUTE(input_event_location," ","")&amp;",")))=COUNTA(TEXTSPLIT(CQ142,",")))),IF(CS142="",TRUE,IF(input_event_location="",TRUE,SUMPRODUCT(--ISNUMBER(SEARCH(","&amp;TRIM(TEXTSPLIT(CS142,","))&amp;",",","&amp;SUBSTITUTE(input_event_location," ","")&amp;",")))=0)),IF(CU142="",TRUE,IF(input_event_location="",FALSE,SUMPRODUCT(--ISNUMBER(SEARCH(","&amp;TRIM(TEXTSPLIT(CU142,","))&amp;",",","&amp;SUBSTITUTE(input_event_location," ","")&amp;",")))&gt;0)),IF(CW142="",TRUE,IF(input_event_location="",FALSE,SUMPRODUCT(--ISNUMBER(SEARCH(","&amp;TRIM(TEXTSPLIT(CW142,","))&amp;",",","&amp;SUBSTITUTE(input_event_location," ","")&amp;",")))=COUNTA(TEXTSPLIT(CW142,",")))))</f>
        <v/>
      </c>
      <c r="JC142" s="19">
        <f>AND(IF(CY142="",TRUE,IF(input_event_type="",FALSE,SUMPRODUCT(--ISNUMBER(SEARCH(","&amp;TRIM(TEXTSPLIT(CY142,","))&amp;",",","&amp;SUBSTITUTE(input_event_type," ","")&amp;",")))&gt;0)),IF(DA142="",TRUE,IF(input_event_type="",FALSE,SUMPRODUCT(--ISNUMBER(SEARCH(","&amp;TRIM(TEXTSPLIT(DA142,","))&amp;",",","&amp;SUBSTITUTE(input_event_type," ","")&amp;",")))=COUNTA(TEXTSPLIT(DA142,",")))),IF(DC142="",TRUE,IF(input_event_type="",TRUE,SUMPRODUCT(--ISNUMBER(SEARCH(","&amp;TRIM(TEXTSPLIT(DC142,","))&amp;",",","&amp;SUBSTITUTE(input_event_type," ","")&amp;",")))=0)),IF(DE142="",TRUE,IF(input_event_type="",FALSE,SUMPRODUCT(--ISNUMBER(SEARCH(","&amp;TRIM(TEXTSPLIT(DE142,","))&amp;",",","&amp;SUBSTITUTE(input_event_type," ","")&amp;",")))&gt;0)),IF(DG142="",TRUE,IF(input_event_type="",FALSE,SUMPRODUCT(--ISNUMBER(SEARCH(","&amp;TRIM(TEXTSPLIT(DG142,","))&amp;",",","&amp;SUBSTITUTE(input_event_type," ","")&amp;",")))=COUNTA(TEXTSPLIT(DG142,",")))))</f>
        <v/>
      </c>
      <c r="JD142" s="19">
        <f>AND(IF(DI142="",TRUE,IF(input_executive_education_focus="",FALSE,SUMPRODUCT(--ISNUMBER(SEARCH(","&amp;TRIM(TEXTSPLIT(DI142,","))&amp;",",","&amp;SUBSTITUTE(input_executive_education_focus," ","")&amp;",")))&gt;0)),IF(DK142="",TRUE,IF(input_executive_education_focus="",FALSE,SUMPRODUCT(--ISNUMBER(SEARCH(","&amp;TRIM(TEXTSPLIT(DK142,","))&amp;",",","&amp;SUBSTITUTE(input_executive_education_focus," ","")&amp;",")))=COUNTA(TEXTSPLIT(DK142,",")))),IF(DM142="",TRUE,IF(input_executive_education_focus="",TRUE,SUMPRODUCT(--ISNUMBER(SEARCH(","&amp;TRIM(TEXTSPLIT(DM142,","))&amp;",",","&amp;SUBSTITUTE(input_executive_education_focus," ","")&amp;",")))=0)),IF(DO142="",TRUE,IF(input_executive_education_focus="",FALSE,SUMPRODUCT(--ISNUMBER(SEARCH(","&amp;TRIM(TEXTSPLIT(DO142,","))&amp;",",","&amp;SUBSTITUTE(input_executive_education_focus," ","")&amp;",")))&gt;0)),IF(DQ142="",TRUE,IF(input_executive_education_focus="",FALSE,SUMPRODUCT(--ISNUMBER(SEARCH(","&amp;TRIM(TEXTSPLIT(DQ142,","))&amp;",",","&amp;SUBSTITUTE(input_executive_education_focus," ","")&amp;",")))=COUNTA(TEXTSPLIT(DQ142,",")))))</f>
        <v/>
      </c>
      <c r="JE142" s="19">
        <f>AND(IF(DS142="",TRUE,IF(input_faculty_category="",FALSE,SUMPRODUCT(--ISNUMBER(SEARCH(","&amp;TRIM(TEXTSPLIT(DS142,","))&amp;",",","&amp;SUBSTITUTE(input_faculty_category," ","")&amp;",")))&gt;0)),IF(DU142="",TRUE,IF(input_faculty_category="",FALSE,SUMPRODUCT(--ISNUMBER(SEARCH(","&amp;TRIM(TEXTSPLIT(DU142,","))&amp;",",","&amp;SUBSTITUTE(input_faculty_category," ","")&amp;",")))=COUNTA(TEXTSPLIT(DU142,",")))),IF(DW142="",TRUE,IF(input_faculty_category="",TRUE,SUMPRODUCT(--ISNUMBER(SEARCH(","&amp;TRIM(TEXTSPLIT(DW142,","))&amp;",",","&amp;SUBSTITUTE(input_faculty_category," ","")&amp;",")))=0)),IF(DY142="",TRUE,IF(input_faculty_category="",FALSE,SUMPRODUCT(--ISNUMBER(SEARCH(","&amp;TRIM(TEXTSPLIT(DY142,","))&amp;",",","&amp;SUBSTITUTE(input_faculty_category," ","")&amp;",")))&gt;0)),IF(EA142="",TRUE,IF(input_faculty_category="",FALSE,SUMPRODUCT(--ISNUMBER(SEARCH(","&amp;TRIM(TEXTSPLIT(EA142,","))&amp;",",","&amp;SUBSTITUTE(input_faculty_category," ","")&amp;",")))=COUNTA(TEXTSPLIT(EA142,",")))))</f>
        <v/>
      </c>
      <c r="JF142" s="19">
        <f>AND(IF(EC142="",TRUE,IF(input_faculty_discipline="",FALSE,SUMPRODUCT(--ISNUMBER(SEARCH(","&amp;TRIM(TEXTSPLIT(EC142,","))&amp;",",","&amp;SUBSTITUTE(input_faculty_discipline," ","")&amp;",")))&gt;0)),IF(EE142="",TRUE,IF(input_faculty_discipline="",FALSE,SUMPRODUCT(--ISNUMBER(SEARCH(","&amp;TRIM(TEXTSPLIT(EE142,","))&amp;",",","&amp;SUBSTITUTE(input_faculty_discipline," ","")&amp;",")))=COUNTA(TEXTSPLIT(EE142,",")))),IF(EG142="",TRUE,IF(input_faculty_discipline="",TRUE,SUMPRODUCT(--ISNUMBER(SEARCH(","&amp;TRIM(TEXTSPLIT(EG142,","))&amp;",",","&amp;SUBSTITUTE(input_faculty_discipline," ","")&amp;",")))=0)),IF(EI142="",TRUE,IF(input_faculty_discipline="",FALSE,SUMPRODUCT(--ISNUMBER(SEARCH(","&amp;TRIM(TEXTSPLIT(EI142,","))&amp;",",","&amp;SUBSTITUTE(input_faculty_discipline," ","")&amp;",")))&gt;0)),IF(EK142="",TRUE,IF(input_faculty_discipline="",FALSE,SUMPRODUCT(--ISNUMBER(SEARCH(","&amp;TRIM(TEXTSPLIT(EK142,","))&amp;",",","&amp;SUBSTITUTE(input_faculty_discipline," ","")&amp;",")))=COUNTA(TEXTSPLIT(EK142,",")))))</f>
        <v/>
      </c>
      <c r="JG142" s="19">
        <f>AND(IF(EM142="",TRUE,IF(input_faculty_expertise="",FALSE,SUMPRODUCT(--ISNUMBER(SEARCH(","&amp;TRIM(TEXTSPLIT(EM142,","))&amp;",",","&amp;SUBSTITUTE(input_faculty_expertise," ","")&amp;",")))&gt;0)),IF(EO142="",TRUE,IF(input_faculty_expertise="",FALSE,SUMPRODUCT(--ISNUMBER(SEARCH(","&amp;TRIM(TEXTSPLIT(EO142,","))&amp;",",","&amp;SUBSTITUTE(input_faculty_expertise," ","")&amp;",")))=COUNTA(TEXTSPLIT(EO142,",")))),IF(EQ142="",TRUE,IF(input_faculty_expertise="",TRUE,SUMPRODUCT(--ISNUMBER(SEARCH(","&amp;TRIM(TEXTSPLIT(EQ142,","))&amp;",",","&amp;SUBSTITUTE(input_faculty_expertise," ","")&amp;",")))=0)),IF(ES142="",TRUE,IF(input_faculty_expertise="",FALSE,SUMPRODUCT(--ISNUMBER(SEARCH(","&amp;TRIM(TEXTSPLIT(ES142,","))&amp;",",","&amp;SUBSTITUTE(input_faculty_expertise," ","")&amp;",")))&gt;0)),IF(EU142="",TRUE,IF(input_faculty_expertise="",FALSE,SUMPRODUCT(--ISNUMBER(SEARCH(","&amp;TRIM(TEXTSPLIT(EU142,","))&amp;",",","&amp;SUBSTITUTE(input_faculty_expertise," ","")&amp;",")))=COUNTA(TEXTSPLIT(EU142,",")))))</f>
        <v/>
      </c>
      <c r="JH142" s="19">
        <f>AND(IF(EW142="",TRUE,IF(input_global_network_school="",FALSE,SUMPRODUCT(--ISNUMBER(SEARCH(","&amp;TRIM(TEXTSPLIT(EW142,","))&amp;",",","&amp;SUBSTITUTE(input_global_network_school," ","")&amp;",")))&gt;0)),IF(EY142="",TRUE,IF(input_global_network_school="",FALSE,SUMPRODUCT(--ISNUMBER(SEARCH(","&amp;TRIM(TEXTSPLIT(EY142,","))&amp;",",","&amp;SUBSTITUTE(input_global_network_school," ","")&amp;",")))=COUNTA(TEXTSPLIT(EY142,",")))),IF(FA142="",TRUE,IF(input_global_network_school="",TRUE,SUMPRODUCT(--ISNUMBER(SEARCH(","&amp;TRIM(TEXTSPLIT(FA142,","))&amp;",",","&amp;SUBSTITUTE(input_global_network_school," ","")&amp;",")))=0)),IF(FC142="",TRUE,IF(input_global_network_school="",FALSE,SUMPRODUCT(--ISNUMBER(SEARCH(","&amp;TRIM(TEXTSPLIT(FC142,","))&amp;",",","&amp;SUBSTITUTE(input_global_network_school," ","")&amp;",")))&gt;0)),IF(FE142="",TRUE,IF(input_global_network_school="",FALSE,SUMPRODUCT(--ISNUMBER(SEARCH(","&amp;TRIM(TEXTSPLIT(FE142,","))&amp;",",","&amp;SUBSTITUTE(input_global_network_school," ","")&amp;",")))=COUNTA(TEXTSPLIT(FE142,",")))))</f>
        <v/>
      </c>
      <c r="JI142" s="19">
        <f>AND(IF(FG142="",TRUE,IF(input_industry="",FALSE,SUMPRODUCT(--ISNUMBER(SEARCH(","&amp;TRIM(TEXTSPLIT(FG142,","))&amp;",",","&amp;SUBSTITUTE(input_industry," ","")&amp;",")))&gt;0)),IF(FI142="",TRUE,IF(input_industry="",FALSE,SUMPRODUCT(--ISNUMBER(SEARCH(","&amp;TRIM(TEXTSPLIT(FI142,","))&amp;",",","&amp;SUBSTITUTE(input_industry," ","")&amp;",")))=COUNTA(TEXTSPLIT(FI142,",")))),IF(FK142="",TRUE,IF(input_industry="",TRUE,SUMPRODUCT(--ISNUMBER(SEARCH(","&amp;TRIM(TEXTSPLIT(FK142,","))&amp;",",","&amp;SUBSTITUTE(input_industry," ","")&amp;",")))=0)),IF(FM142="",TRUE,IF(input_industry="",FALSE,SUMPRODUCT(--ISNUMBER(SEARCH(","&amp;TRIM(TEXTSPLIT(FM142,","))&amp;",",","&amp;SUBSTITUTE(input_industry," ","")&amp;",")))&gt;0)),IF(FO142="",TRUE,IF(input_industry="",FALSE,SUMPRODUCT(--ISNUMBER(SEARCH(","&amp;TRIM(TEXTSPLIT(FO142,","))&amp;",",","&amp;SUBSTITUTE(input_industry," ","")&amp;",")))=COUNTA(TEXTSPLIT(FO142,",")))))</f>
        <v/>
      </c>
      <c r="JJ142" s="19">
        <f>AND(IF(FQ142="",TRUE,IF(input_location="",FALSE,SUMPRODUCT(--ISNUMBER(SEARCH(","&amp;TRIM(TEXTSPLIT(FQ142,","))&amp;",",","&amp;SUBSTITUTE(input_location," ","")&amp;",")))&gt;0)),IF(FS142="",TRUE,IF(input_location="",FALSE,SUMPRODUCT(--ISNUMBER(SEARCH(","&amp;TRIM(TEXTSPLIT(FS142,","))&amp;",",","&amp;SUBSTITUTE(input_location," ","")&amp;",")))=COUNTA(TEXTSPLIT(FS142,",")))),IF(FU142="",TRUE,IF(input_location="",TRUE,SUMPRODUCT(--ISNUMBER(SEARCH(","&amp;TRIM(TEXTSPLIT(FU142,","))&amp;",",","&amp;SUBSTITUTE(input_location," ","")&amp;",")))=0)),IF(FW142="",TRUE,IF(input_location="",FALSE,SUMPRODUCT(--ISNUMBER(SEARCH(","&amp;TRIM(TEXTSPLIT(FW142,","))&amp;",",","&amp;SUBSTITUTE(input_location," ","")&amp;",")))&gt;0)),IF(FY142="",TRUE,IF(input_location="",FALSE,SUMPRODUCT(--ISNUMBER(SEARCH(","&amp;TRIM(TEXTSPLIT(FY142,","))&amp;",",","&amp;SUBSTITUTE(input_location," ","")&amp;",")))=COUNTA(TEXTSPLIT(FY142,",")))))</f>
        <v/>
      </c>
      <c r="JK142" s="19">
        <f>AND(IF(GA142="",TRUE,IF(input_modality="",FALSE,SUMPRODUCT(--ISNUMBER(SEARCH(","&amp;TRIM(TEXTSPLIT(GA142,","))&amp;",",","&amp;SUBSTITUTE(input_modality," ","")&amp;",")))&gt;0)),IF(GC142="",TRUE,IF(input_modality="",FALSE,SUMPRODUCT(--ISNUMBER(SEARCH(","&amp;TRIM(TEXTSPLIT(GC142,","))&amp;",",","&amp;SUBSTITUTE(input_modality," ","")&amp;",")))=COUNTA(TEXTSPLIT(GC142,",")))),IF(GE142="",TRUE,IF(input_modality="",TRUE,SUMPRODUCT(--ISNUMBER(SEARCH(","&amp;TRIM(TEXTSPLIT(GE142,","))&amp;",",","&amp;SUBSTITUTE(input_modality," ","")&amp;",")))=0)),IF(GG142="",TRUE,IF(input_modality="",FALSE,SUMPRODUCT(--ISNUMBER(SEARCH(","&amp;TRIM(TEXTSPLIT(GG142,","))&amp;",",","&amp;SUBSTITUTE(input_modality," ","")&amp;",")))&gt;0)),IF(GI142="",TRUE,IF(input_modality="",FALSE,SUMPRODUCT(--ISNUMBER(SEARCH(","&amp;TRIM(TEXTSPLIT(GI142,","))&amp;",",","&amp;SUBSTITUTE(input_modality," ","")&amp;",")))=COUNTA(TEXTSPLIT(GI142,",")))))</f>
        <v/>
      </c>
      <c r="JL142" s="19">
        <f>AND(IF(GK142="",TRUE,IF(input_organizer="",FALSE,SUMPRODUCT(--ISNUMBER(SEARCH(","&amp;TRIM(TEXTSPLIT(GK142,","))&amp;",",","&amp;SUBSTITUTE(input_organizer," ","")&amp;",")))&gt;0)),IF(GM142="",TRUE,IF(input_organizer="",FALSE,SUMPRODUCT(--ISNUMBER(SEARCH(","&amp;TRIM(TEXTSPLIT(GM142,","))&amp;",",","&amp;SUBSTITUTE(input_organizer," ","")&amp;",")))=COUNTA(TEXTSPLIT(GM142,",")))),IF(GO142="",TRUE,IF(input_organizer="",TRUE,SUMPRODUCT(--ISNUMBER(SEARCH(","&amp;TRIM(TEXTSPLIT(GO142,","))&amp;",",","&amp;SUBSTITUTE(input_organizer," ","")&amp;",")))=0)),IF(GQ142="",TRUE,IF(input_organizer="",FALSE,SUMPRODUCT(--ISNUMBER(SEARCH(","&amp;TRIM(TEXTSPLIT(GQ142,","))&amp;",",","&amp;SUBSTITUTE(input_organizer," ","")&amp;",")))&gt;0)),IF(GS142="",TRUE,IF(input_organizer="",FALSE,SUMPRODUCT(--ISNUMBER(SEARCH(","&amp;TRIM(TEXTSPLIT(GS142,","))&amp;",",","&amp;SUBSTITUTE(input_organizer," ","")&amp;",")))=COUNTA(TEXTSPLIT(GS142,",")))))</f>
        <v/>
      </c>
      <c r="JM142" s="19">
        <f>AND(IF(GU142="",TRUE,IF(input_profile_type="",FALSE,SUMPRODUCT(--ISNUMBER(SEARCH(","&amp;TRIM(TEXTSPLIT(GU142,","))&amp;",",","&amp;SUBSTITUTE(input_profile_type," ","")&amp;",")))&gt;0)),IF(GW142="",TRUE,IF(input_profile_type="",FALSE,SUMPRODUCT(--ISNUMBER(SEARCH(","&amp;TRIM(TEXTSPLIT(GW142,","))&amp;",",","&amp;SUBSTITUTE(input_profile_type," ","")&amp;",")))=COUNTA(TEXTSPLIT(GW142,",")))),IF(GY142="",TRUE,IF(input_profile_type="",TRUE,SUMPRODUCT(--ISNUMBER(SEARCH(","&amp;TRIM(TEXTSPLIT(GY142,","))&amp;",",","&amp;SUBSTITUTE(input_profile_type," ","")&amp;",")))=0)),IF(HA142="",TRUE,IF(input_profile_type="",FALSE,SUMPRODUCT(--ISNUMBER(SEARCH(","&amp;TRIM(TEXTSPLIT(HA142,","))&amp;",",","&amp;SUBSTITUTE(input_profile_type," ","")&amp;",")))&gt;0)),IF(HC142="",TRUE,IF(input_profile_type="",FALSE,SUMPRODUCT(--ISNUMBER(SEARCH(","&amp;TRIM(TEXTSPLIT(HC142,","))&amp;",",","&amp;SUBSTITUTE(input_profile_type," ","")&amp;",")))=COUNTA(TEXTSPLIT(HC142,",")))))</f>
        <v/>
      </c>
      <c r="JN142" s="19">
        <f>AND(IF(HE142="",TRUE,IF(input_program="",FALSE,SUMPRODUCT(--ISNUMBER(SEARCH(","&amp;TRIM(TEXTSPLIT(HE142,","))&amp;",",","&amp;SUBSTITUTE(input_program," ","")&amp;",")))&gt;0)),IF(HG142="",TRUE,IF(input_program="",FALSE,SUMPRODUCT(--ISNUMBER(SEARCH(","&amp;TRIM(TEXTSPLIT(HG142,","))&amp;",",","&amp;SUBSTITUTE(input_program," ","")&amp;",")))=COUNTA(TEXTSPLIT(HG142,",")))),IF(HI142="",TRUE,IF(input_program="",TRUE,SUMPRODUCT(--ISNUMBER(SEARCH(","&amp;TRIM(TEXTSPLIT(HI142,","))&amp;",",","&amp;SUBSTITUTE(input_program," ","")&amp;",")))=0)),IF(HK142="",TRUE,IF(input_program="",FALSE,SUMPRODUCT(--ISNUMBER(SEARCH(","&amp;TRIM(TEXTSPLIT(HK142,","))&amp;",",","&amp;SUBSTITUTE(input_program," ","")&amp;",")))&gt;0)),IF(HM142="",TRUE,IF(input_program="",FALSE,SUMPRODUCT(--ISNUMBER(SEARCH(","&amp;TRIM(TEXTSPLIT(HM142,","))&amp;",",","&amp;SUBSTITUTE(input_program," ","")&amp;",")))=COUNTA(TEXTSPLIT(HM142,",")))))</f>
        <v/>
      </c>
      <c r="JO142" s="19">
        <f>AND(IF(HO142="",TRUE,IF(input_story_categories="",FALSE,SUMPRODUCT(--ISNUMBER(SEARCH(","&amp;TRIM(TEXTSPLIT(HO142,","))&amp;",",","&amp;SUBSTITUTE(input_story_categories," ","")&amp;",")))&gt;0)),IF(HQ142="",TRUE,IF(input_story_categories="",FALSE,SUMPRODUCT(--ISNUMBER(SEARCH(","&amp;TRIM(TEXTSPLIT(HQ142,","))&amp;",",","&amp;SUBSTITUTE(input_story_categories," ","")&amp;",")))=COUNTA(TEXTSPLIT(HQ142,",")))),IF(HS142="",TRUE,IF(input_story_categories="",TRUE,SUMPRODUCT(--ISNUMBER(SEARCH(","&amp;TRIM(TEXTSPLIT(HS142,","))&amp;",",","&amp;SUBSTITUTE(input_story_categories," ","")&amp;",")))=0)),IF(HU142="",TRUE,IF(input_story_categories="",FALSE,SUMPRODUCT(--ISNUMBER(SEARCH(","&amp;TRIM(TEXTSPLIT(HU142,","))&amp;",",","&amp;SUBSTITUTE(input_story_categories," ","")&amp;",")))&gt;0)),IF(HW142="",TRUE,IF(input_story_categories="",FALSE,SUMPRODUCT(--ISNUMBER(SEARCH(","&amp;TRIM(TEXTSPLIT(HW142,","))&amp;",",","&amp;SUBSTITUTE(input_story_categories," ","")&amp;",")))=COUNTA(TEXTSPLIT(HW142,",")))))</f>
        <v/>
      </c>
      <c r="JP142" s="19">
        <f>AND(IF(HY142="",TRUE,IF(input_story_type="",FALSE,SUMPRODUCT(--ISNUMBER(SEARCH(","&amp;TRIM(TEXTSPLIT(HY142,","))&amp;",",","&amp;SUBSTITUTE(input_story_type," ","")&amp;",")))&gt;0)),IF(IA142="",TRUE,IF(input_story_type="",FALSE,SUMPRODUCT(--ISNUMBER(SEARCH(","&amp;TRIM(TEXTSPLIT(IA142,","))&amp;",",","&amp;SUBSTITUTE(input_story_type," ","")&amp;",")))=COUNTA(TEXTSPLIT(IA142,",")))),IF(IC142="",TRUE,IF(input_story_type="",TRUE,SUMPRODUCT(--ISNUMBER(SEARCH(","&amp;TRIM(TEXTSPLIT(IC142,","))&amp;",",","&amp;SUBSTITUTE(input_story_type," ","")&amp;",")))=0)),IF(IE142="",TRUE,IF(input_story_type="",FALSE,SUMPRODUCT(--ISNUMBER(SEARCH(","&amp;TRIM(TEXTSPLIT(IE142,","))&amp;",",","&amp;SUBSTITUTE(input_story_type," ","")&amp;",")))&gt;0)),IF(IG142="",TRUE,IF(input_story_type="",FALSE,SUMPRODUCT(--ISNUMBER(SEARCH(","&amp;TRIM(TEXTSPLIT(IG142,","))&amp;",",","&amp;SUBSTITUTE(input_story_type," ","")&amp;",")))=COUNTA(TEXTSPLIT(IG142,",")))))</f>
        <v/>
      </c>
      <c r="JQ142" s="19">
        <f>AND(IF(II142="",TRUE,IF(input_topics="",FALSE,SUMPRODUCT(--ISNUMBER(SEARCH(","&amp;TRIM(TEXTSPLIT(II142,","))&amp;",",","&amp;SUBSTITUTE(input_topics," ","")&amp;",")))&gt;0)),IF(IK142="",TRUE,IF(input_topics="",FALSE,SUMPRODUCT(--ISNUMBER(SEARCH(","&amp;TRIM(TEXTSPLIT(IK142,","))&amp;",",","&amp;SUBSTITUTE(input_topics," ","")&amp;",")))=COUNTA(TEXTSPLIT(IK142,",")))),IF(IM142="",TRUE,IF(input_topics="",TRUE,SUMPRODUCT(--ISNUMBER(SEARCH(","&amp;TRIM(TEXTSPLIT(IM142,","))&amp;",",","&amp;SUBSTITUTE(input_topics," ","")&amp;",")))=0)),IF(IO142="",TRUE,IF(input_topics="",FALSE,SUMPRODUCT(--ISNUMBER(SEARCH(","&amp;TRIM(TEXTSPLIT(IO142,","))&amp;",",","&amp;SUBSTITUTE(input_topics," ","")&amp;",")))&gt;0)),IF(IQ142="",TRUE,IF(input_topics="",FALSE,SUMPRODUCT(--ISNUMBER(SEARCH(","&amp;TRIM(TEXTSPLIT(IQ142,","))&amp;",",","&amp;SUBSTITUTE(input_topics," ","")&amp;",")))=COUNTA(TEXTSPLIT(IQ142,",")))))</f>
        <v/>
      </c>
    </row>
    <row r="143">
      <c r="A143" s="24">
        <f>IF(NOT(IS143),"Excluded",IF(AND(IT143,IU143,IV143,IW143,IX143,IY143,IZ143,JA143,JB143,JC143,JD143,JE143,JF143,JG143,JH143,JI143,JJ143,JK143,JL143,JM143,JN143,JO143,JP143,JQ143),IF(I143&gt;0,"Eligible but limited","Will appear"),"Excluded"))</f>
        <v/>
      </c>
      <c r="B143" s="24" t="inlineStr">
        <is>
          <t>News - Summary</t>
        </is>
      </c>
      <c r="C143" s="27" t="inlineStr">
        <is>
          <t>/the-som-experience/interests-and-industries/marketing</t>
        </is>
      </c>
      <c r="D143" s="24" t="inlineStr">
        <is>
          <t>/the-som-experience/interests-and-industries/marketing</t>
        </is>
      </c>
      <c r="E143" s="24" t="n">
        <v>1</v>
      </c>
      <c r="F143" s="24" t="inlineStr">
        <is>
          <t>story</t>
        </is>
      </c>
      <c r="G143" s="24" t="inlineStr">
        <is>
          <t>stories_mosaic_grid</t>
        </is>
      </c>
      <c r="H143" s="24" t="inlineStr">
        <is>
          <t>embed_news_summary</t>
        </is>
      </c>
      <c r="I143" s="24" t="n">
        <v>1</v>
      </c>
      <c r="J143" s="24" t="inlineStr">
        <is>
          <t>View/config rules</t>
        </is>
      </c>
      <c r="K143" s="24" t="inlineStr">
        <is>
          <t>Page placement</t>
        </is>
      </c>
      <c r="L143" s="24" t="inlineStr">
        <is>
          <t>Content type: story; Needs any Story Type: News (924); Limited to 1 item(s); Source: View/config rules</t>
        </is>
      </c>
      <c r="HY143" s="19" t="inlineStr">
        <is>
          <t>924</t>
        </is>
      </c>
      <c r="HZ143" s="19" t="inlineStr">
        <is>
          <t>News (924)</t>
        </is>
      </c>
      <c r="IS143" s="19">
        <f>IF(input_content_type="",FALSE,ISNUMBER(SEARCH(","&amp;LOWER(input_content_type)&amp;",",","&amp;LOWER(SUBSTITUTE(F143," ",""))&amp;",")))</f>
        <v/>
      </c>
      <c r="IT143" s="19">
        <f>AND(IF(M143="",TRUE,IF(input_affiliations="",FALSE,SUMPRODUCT(--ISNUMBER(SEARCH(","&amp;TRIM(TEXTSPLIT(M143,","))&amp;",",","&amp;SUBSTITUTE(input_affiliations," ","")&amp;",")))&gt;0)),IF(O143="",TRUE,IF(input_affiliations="",FALSE,SUMPRODUCT(--ISNUMBER(SEARCH(","&amp;TRIM(TEXTSPLIT(O143,","))&amp;",",","&amp;SUBSTITUTE(input_affiliations," ","")&amp;",")))=COUNTA(TEXTSPLIT(O143,",")))),IF(Q143="",TRUE,IF(input_affiliations="",TRUE,SUMPRODUCT(--ISNUMBER(SEARCH(","&amp;TRIM(TEXTSPLIT(Q143,","))&amp;",",","&amp;SUBSTITUTE(input_affiliations," ","")&amp;",")))=0)),IF(S143="",TRUE,IF(input_affiliations="",FALSE,SUMPRODUCT(--ISNUMBER(SEARCH(","&amp;TRIM(TEXTSPLIT(S143,","))&amp;",",","&amp;SUBSTITUTE(input_affiliations," ","")&amp;",")))&gt;0)),IF(U143="",TRUE,IF(input_affiliations="",FALSE,SUMPRODUCT(--ISNUMBER(SEARCH(","&amp;TRIM(TEXTSPLIT(U143,","))&amp;",",","&amp;SUBSTITUTE(input_affiliations," ","")&amp;",")))=COUNTA(TEXTSPLIT(U143,",")))))</f>
        <v/>
      </c>
      <c r="IU143" s="19">
        <f>AND(IF(W143="",TRUE,IF(input_announcement_category="",FALSE,SUMPRODUCT(--ISNUMBER(SEARCH(","&amp;TRIM(TEXTSPLIT(W143,","))&amp;",",","&amp;SUBSTITUTE(input_announcement_category," ","")&amp;",")))&gt;0)),IF(Y143="",TRUE,IF(input_announcement_category="",FALSE,SUMPRODUCT(--ISNUMBER(SEARCH(","&amp;TRIM(TEXTSPLIT(Y143,","))&amp;",",","&amp;SUBSTITUTE(input_announcement_category," ","")&amp;",")))=COUNTA(TEXTSPLIT(Y143,",")))),IF(AA143="",TRUE,IF(input_announcement_category="",TRUE,SUMPRODUCT(--ISNUMBER(SEARCH(","&amp;TRIM(TEXTSPLIT(AA143,","))&amp;",",","&amp;SUBSTITUTE(input_announcement_category," ","")&amp;",")))=0)),IF(AC143="",TRUE,IF(input_announcement_category="",FALSE,SUMPRODUCT(--ISNUMBER(SEARCH(","&amp;TRIM(TEXTSPLIT(AC143,","))&amp;",",","&amp;SUBSTITUTE(input_announcement_category," ","")&amp;",")))&gt;0)),IF(AE143="",TRUE,IF(input_announcement_category="",FALSE,SUMPRODUCT(--ISNUMBER(SEARCH(","&amp;TRIM(TEXTSPLIT(AE143,","))&amp;",",","&amp;SUBSTITUTE(input_announcement_category," ","")&amp;",")))=COUNTA(TEXTSPLIT(AE143,",")))))</f>
        <v/>
      </c>
      <c r="IV143" s="19">
        <f>AND(IF(AG143="",TRUE,IF(input_area_of_focus="",FALSE,SUMPRODUCT(--ISNUMBER(SEARCH(","&amp;TRIM(TEXTSPLIT(AG143,","))&amp;",",","&amp;SUBSTITUTE(input_area_of_focus," ","")&amp;",")))&gt;0)),IF(AI143="",TRUE,IF(input_area_of_focus="",FALSE,SUMPRODUCT(--ISNUMBER(SEARCH(","&amp;TRIM(TEXTSPLIT(AI143,","))&amp;",",","&amp;SUBSTITUTE(input_area_of_focus," ","")&amp;",")))=COUNTA(TEXTSPLIT(AI143,",")))),IF(AK143="",TRUE,IF(input_area_of_focus="",TRUE,SUMPRODUCT(--ISNUMBER(SEARCH(","&amp;TRIM(TEXTSPLIT(AK143,","))&amp;",",","&amp;SUBSTITUTE(input_area_of_focus," ","")&amp;",")))=0)),IF(AM143="",TRUE,IF(input_area_of_focus="",FALSE,SUMPRODUCT(--ISNUMBER(SEARCH(","&amp;TRIM(TEXTSPLIT(AM143,","))&amp;",",","&amp;SUBSTITUTE(input_area_of_focus," ","")&amp;",")))&gt;0)),IF(AO143="",TRUE,IF(input_area_of_focus="",FALSE,SUMPRODUCT(--ISNUMBER(SEARCH(","&amp;TRIM(TEXTSPLIT(AO143,","))&amp;",",","&amp;SUBSTITUTE(input_area_of_focus," ","")&amp;",")))=COUNTA(TEXTSPLIT(AO143,",")))))</f>
        <v/>
      </c>
      <c r="IW143" s="19">
        <f>AND(IF(AQ143="",TRUE,IF(input_audience="",FALSE,SUMPRODUCT(--ISNUMBER(SEARCH(","&amp;TRIM(TEXTSPLIT(AQ143,","))&amp;",",","&amp;SUBSTITUTE(input_audience," ","")&amp;",")))&gt;0)),IF(AS143="",TRUE,IF(input_audience="",FALSE,SUMPRODUCT(--ISNUMBER(SEARCH(","&amp;TRIM(TEXTSPLIT(AS143,","))&amp;",",","&amp;SUBSTITUTE(input_audience," ","")&amp;",")))=COUNTA(TEXTSPLIT(AS143,",")))),IF(AU143="",TRUE,IF(input_audience="",TRUE,SUMPRODUCT(--ISNUMBER(SEARCH(","&amp;TRIM(TEXTSPLIT(AU143,","))&amp;",",","&amp;SUBSTITUTE(input_audience," ","")&amp;",")))=0)),IF(AW143="",TRUE,IF(input_audience="",FALSE,SUMPRODUCT(--ISNUMBER(SEARCH(","&amp;TRIM(TEXTSPLIT(AW143,","))&amp;",",","&amp;SUBSTITUTE(input_audience," ","")&amp;",")))&gt;0)),IF(AY143="",TRUE,IF(input_audience="",FALSE,SUMPRODUCT(--ISNUMBER(SEARCH(","&amp;TRIM(TEXTSPLIT(AY143,","))&amp;",",","&amp;SUBSTITUTE(input_audience," ","")&amp;",")))=COUNTA(TEXTSPLIT(AY143,",")))))</f>
        <v/>
      </c>
      <c r="IX143" s="19">
        <f>AND(IF(BA143="",TRUE,IF(input_challenge_opportunities="",FALSE,SUMPRODUCT(--ISNUMBER(SEARCH(","&amp;TRIM(TEXTSPLIT(BA143,","))&amp;",",","&amp;SUBSTITUTE(input_challenge_opportunities," ","")&amp;",")))&gt;0)),IF(BC143="",TRUE,IF(input_challenge_opportunities="",FALSE,SUMPRODUCT(--ISNUMBER(SEARCH(","&amp;TRIM(TEXTSPLIT(BC143,","))&amp;",",","&amp;SUBSTITUTE(input_challenge_opportunities," ","")&amp;",")))=COUNTA(TEXTSPLIT(BC143,",")))),IF(BE143="",TRUE,IF(input_challenge_opportunities="",TRUE,SUMPRODUCT(--ISNUMBER(SEARCH(","&amp;TRIM(TEXTSPLIT(BE143,","))&amp;",",","&amp;SUBSTITUTE(input_challenge_opportunities," ","")&amp;",")))=0)),IF(BG143="",TRUE,IF(input_challenge_opportunities="",FALSE,SUMPRODUCT(--ISNUMBER(SEARCH(","&amp;TRIM(TEXTSPLIT(BG143,","))&amp;",",","&amp;SUBSTITUTE(input_challenge_opportunities," ","")&amp;",")))&gt;0)),IF(BI143="",TRUE,IF(input_challenge_opportunities="",FALSE,SUMPRODUCT(--ISNUMBER(SEARCH(","&amp;TRIM(TEXTSPLIT(BI143,","))&amp;",",","&amp;SUBSTITUTE(input_challenge_opportunities," ","")&amp;",")))=COUNTA(TEXTSPLIT(BI143,",")))))</f>
        <v/>
      </c>
      <c r="IY143" s="19">
        <f>AND(IF(BK143="",TRUE,IF(input_context="",FALSE,SUMPRODUCT(--ISNUMBER(SEARCH(","&amp;TRIM(TEXTSPLIT(BK143,","))&amp;",",","&amp;SUBSTITUTE(input_context," ","")&amp;",")))&gt;0)),IF(BM143="",TRUE,IF(input_context="",FALSE,SUMPRODUCT(--ISNUMBER(SEARCH(","&amp;TRIM(TEXTSPLIT(BM143,","))&amp;",",","&amp;SUBSTITUTE(input_context," ","")&amp;",")))=COUNTA(TEXTSPLIT(BM143,",")))),IF(BO143="",TRUE,IF(input_context="",TRUE,SUMPRODUCT(--ISNUMBER(SEARCH(","&amp;TRIM(TEXTSPLIT(BO143,","))&amp;",",","&amp;SUBSTITUTE(input_context," ","")&amp;",")))=0)),IF(BQ143="",TRUE,IF(input_context="",FALSE,SUMPRODUCT(--ISNUMBER(SEARCH(","&amp;TRIM(TEXTSPLIT(BQ143,","))&amp;",",","&amp;SUBSTITUTE(input_context," ","")&amp;",")))&gt;0)),IF(BS143="",TRUE,IF(input_context="",FALSE,SUMPRODUCT(--ISNUMBER(SEARCH(","&amp;TRIM(TEXTSPLIT(BS143,","))&amp;",",","&amp;SUBSTITUTE(input_context," ","")&amp;",")))=COUNTA(TEXTSPLIT(BS143,",")))))</f>
        <v/>
      </c>
      <c r="IZ143" s="19">
        <f>AND(IF(BU143="",TRUE,IF(input_enews_announcement_type="",FALSE,SUMPRODUCT(--ISNUMBER(SEARCH(","&amp;TRIM(TEXTSPLIT(BU143,","))&amp;",",","&amp;SUBSTITUTE(input_enews_announcement_type," ","")&amp;",")))&gt;0)),IF(BW143="",TRUE,IF(input_enews_announcement_type="",FALSE,SUMPRODUCT(--ISNUMBER(SEARCH(","&amp;TRIM(TEXTSPLIT(BW143,","))&amp;",",","&amp;SUBSTITUTE(input_enews_announcement_type," ","")&amp;",")))=COUNTA(TEXTSPLIT(BW143,",")))),IF(BY143="",TRUE,IF(input_enews_announcement_type="",TRUE,SUMPRODUCT(--ISNUMBER(SEARCH(","&amp;TRIM(TEXTSPLIT(BY143,","))&amp;",",","&amp;SUBSTITUTE(input_enews_announcement_type," ","")&amp;",")))=0)),IF(CA143="",TRUE,IF(input_enews_announcement_type="",FALSE,SUMPRODUCT(--ISNUMBER(SEARCH(","&amp;TRIM(TEXTSPLIT(CA143,","))&amp;",",","&amp;SUBSTITUTE(input_enews_announcement_type," ","")&amp;",")))&gt;0)),IF(CC143="",TRUE,IF(input_enews_announcement_type="",FALSE,SUMPRODUCT(--ISNUMBER(SEARCH(","&amp;TRIM(TEXTSPLIT(CC143,","))&amp;",",","&amp;SUBSTITUTE(input_enews_announcement_type," ","")&amp;",")))=COUNTA(TEXTSPLIT(CC143,",")))))</f>
        <v/>
      </c>
      <c r="JA143" s="19">
        <f>AND(IF(CE143="",TRUE,IF(input_enews_audience="",FALSE,SUMPRODUCT(--ISNUMBER(SEARCH(","&amp;TRIM(TEXTSPLIT(CE143,","))&amp;",",","&amp;SUBSTITUTE(input_enews_audience," ","")&amp;",")))&gt;0)),IF(CG143="",TRUE,IF(input_enews_audience="",FALSE,SUMPRODUCT(--ISNUMBER(SEARCH(","&amp;TRIM(TEXTSPLIT(CG143,","))&amp;",",","&amp;SUBSTITUTE(input_enews_audience," ","")&amp;",")))=COUNTA(TEXTSPLIT(CG143,",")))),IF(CI143="",TRUE,IF(input_enews_audience="",TRUE,SUMPRODUCT(--ISNUMBER(SEARCH(","&amp;TRIM(TEXTSPLIT(CI143,","))&amp;",",","&amp;SUBSTITUTE(input_enews_audience," ","")&amp;",")))=0)),IF(CK143="",TRUE,IF(input_enews_audience="",FALSE,SUMPRODUCT(--ISNUMBER(SEARCH(","&amp;TRIM(TEXTSPLIT(CK143,","))&amp;",",","&amp;SUBSTITUTE(input_enews_audience," ","")&amp;",")))&gt;0)),IF(CM143="",TRUE,IF(input_enews_audience="",FALSE,SUMPRODUCT(--ISNUMBER(SEARCH(","&amp;TRIM(TEXTSPLIT(CM143,","))&amp;",",","&amp;SUBSTITUTE(input_enews_audience," ","")&amp;",")))=COUNTA(TEXTSPLIT(CM143,",")))))</f>
        <v/>
      </c>
      <c r="JB143" s="19">
        <f>AND(IF(CO143="",TRUE,IF(input_event_location="",FALSE,SUMPRODUCT(--ISNUMBER(SEARCH(","&amp;TRIM(TEXTSPLIT(CO143,","))&amp;",",","&amp;SUBSTITUTE(input_event_location," ","")&amp;",")))&gt;0)),IF(CQ143="",TRUE,IF(input_event_location="",FALSE,SUMPRODUCT(--ISNUMBER(SEARCH(","&amp;TRIM(TEXTSPLIT(CQ143,","))&amp;",",","&amp;SUBSTITUTE(input_event_location," ","")&amp;",")))=COUNTA(TEXTSPLIT(CQ143,",")))),IF(CS143="",TRUE,IF(input_event_location="",TRUE,SUMPRODUCT(--ISNUMBER(SEARCH(","&amp;TRIM(TEXTSPLIT(CS143,","))&amp;",",","&amp;SUBSTITUTE(input_event_location," ","")&amp;",")))=0)),IF(CU143="",TRUE,IF(input_event_location="",FALSE,SUMPRODUCT(--ISNUMBER(SEARCH(","&amp;TRIM(TEXTSPLIT(CU143,","))&amp;",",","&amp;SUBSTITUTE(input_event_location," ","")&amp;",")))&gt;0)),IF(CW143="",TRUE,IF(input_event_location="",FALSE,SUMPRODUCT(--ISNUMBER(SEARCH(","&amp;TRIM(TEXTSPLIT(CW143,","))&amp;",",","&amp;SUBSTITUTE(input_event_location," ","")&amp;",")))=COUNTA(TEXTSPLIT(CW143,",")))))</f>
        <v/>
      </c>
      <c r="JC143" s="19">
        <f>AND(IF(CY143="",TRUE,IF(input_event_type="",FALSE,SUMPRODUCT(--ISNUMBER(SEARCH(","&amp;TRIM(TEXTSPLIT(CY143,","))&amp;",",","&amp;SUBSTITUTE(input_event_type," ","")&amp;",")))&gt;0)),IF(DA143="",TRUE,IF(input_event_type="",FALSE,SUMPRODUCT(--ISNUMBER(SEARCH(","&amp;TRIM(TEXTSPLIT(DA143,","))&amp;",",","&amp;SUBSTITUTE(input_event_type," ","")&amp;",")))=COUNTA(TEXTSPLIT(DA143,",")))),IF(DC143="",TRUE,IF(input_event_type="",TRUE,SUMPRODUCT(--ISNUMBER(SEARCH(","&amp;TRIM(TEXTSPLIT(DC143,","))&amp;",",","&amp;SUBSTITUTE(input_event_type," ","")&amp;",")))=0)),IF(DE143="",TRUE,IF(input_event_type="",FALSE,SUMPRODUCT(--ISNUMBER(SEARCH(","&amp;TRIM(TEXTSPLIT(DE143,","))&amp;",",","&amp;SUBSTITUTE(input_event_type," ","")&amp;",")))&gt;0)),IF(DG143="",TRUE,IF(input_event_type="",FALSE,SUMPRODUCT(--ISNUMBER(SEARCH(","&amp;TRIM(TEXTSPLIT(DG143,","))&amp;",",","&amp;SUBSTITUTE(input_event_type," ","")&amp;",")))=COUNTA(TEXTSPLIT(DG143,",")))))</f>
        <v/>
      </c>
      <c r="JD143" s="19">
        <f>AND(IF(DI143="",TRUE,IF(input_executive_education_focus="",FALSE,SUMPRODUCT(--ISNUMBER(SEARCH(","&amp;TRIM(TEXTSPLIT(DI143,","))&amp;",",","&amp;SUBSTITUTE(input_executive_education_focus," ","")&amp;",")))&gt;0)),IF(DK143="",TRUE,IF(input_executive_education_focus="",FALSE,SUMPRODUCT(--ISNUMBER(SEARCH(","&amp;TRIM(TEXTSPLIT(DK143,","))&amp;",",","&amp;SUBSTITUTE(input_executive_education_focus," ","")&amp;",")))=COUNTA(TEXTSPLIT(DK143,",")))),IF(DM143="",TRUE,IF(input_executive_education_focus="",TRUE,SUMPRODUCT(--ISNUMBER(SEARCH(","&amp;TRIM(TEXTSPLIT(DM143,","))&amp;",",","&amp;SUBSTITUTE(input_executive_education_focus," ","")&amp;",")))=0)),IF(DO143="",TRUE,IF(input_executive_education_focus="",FALSE,SUMPRODUCT(--ISNUMBER(SEARCH(","&amp;TRIM(TEXTSPLIT(DO143,","))&amp;",",","&amp;SUBSTITUTE(input_executive_education_focus," ","")&amp;",")))&gt;0)),IF(DQ143="",TRUE,IF(input_executive_education_focus="",FALSE,SUMPRODUCT(--ISNUMBER(SEARCH(","&amp;TRIM(TEXTSPLIT(DQ143,","))&amp;",",","&amp;SUBSTITUTE(input_executive_education_focus," ","")&amp;",")))=COUNTA(TEXTSPLIT(DQ143,",")))))</f>
        <v/>
      </c>
      <c r="JE143" s="19">
        <f>AND(IF(DS143="",TRUE,IF(input_faculty_category="",FALSE,SUMPRODUCT(--ISNUMBER(SEARCH(","&amp;TRIM(TEXTSPLIT(DS143,","))&amp;",",","&amp;SUBSTITUTE(input_faculty_category," ","")&amp;",")))&gt;0)),IF(DU143="",TRUE,IF(input_faculty_category="",FALSE,SUMPRODUCT(--ISNUMBER(SEARCH(","&amp;TRIM(TEXTSPLIT(DU143,","))&amp;",",","&amp;SUBSTITUTE(input_faculty_category," ","")&amp;",")))=COUNTA(TEXTSPLIT(DU143,",")))),IF(DW143="",TRUE,IF(input_faculty_category="",TRUE,SUMPRODUCT(--ISNUMBER(SEARCH(","&amp;TRIM(TEXTSPLIT(DW143,","))&amp;",",","&amp;SUBSTITUTE(input_faculty_category," ","")&amp;",")))=0)),IF(DY143="",TRUE,IF(input_faculty_category="",FALSE,SUMPRODUCT(--ISNUMBER(SEARCH(","&amp;TRIM(TEXTSPLIT(DY143,","))&amp;",",","&amp;SUBSTITUTE(input_faculty_category," ","")&amp;",")))&gt;0)),IF(EA143="",TRUE,IF(input_faculty_category="",FALSE,SUMPRODUCT(--ISNUMBER(SEARCH(","&amp;TRIM(TEXTSPLIT(EA143,","))&amp;",",","&amp;SUBSTITUTE(input_faculty_category," ","")&amp;",")))=COUNTA(TEXTSPLIT(EA143,",")))))</f>
        <v/>
      </c>
      <c r="JF143" s="19">
        <f>AND(IF(EC143="",TRUE,IF(input_faculty_discipline="",FALSE,SUMPRODUCT(--ISNUMBER(SEARCH(","&amp;TRIM(TEXTSPLIT(EC143,","))&amp;",",","&amp;SUBSTITUTE(input_faculty_discipline," ","")&amp;",")))&gt;0)),IF(EE143="",TRUE,IF(input_faculty_discipline="",FALSE,SUMPRODUCT(--ISNUMBER(SEARCH(","&amp;TRIM(TEXTSPLIT(EE143,","))&amp;",",","&amp;SUBSTITUTE(input_faculty_discipline," ","")&amp;",")))=COUNTA(TEXTSPLIT(EE143,",")))),IF(EG143="",TRUE,IF(input_faculty_discipline="",TRUE,SUMPRODUCT(--ISNUMBER(SEARCH(","&amp;TRIM(TEXTSPLIT(EG143,","))&amp;",",","&amp;SUBSTITUTE(input_faculty_discipline," ","")&amp;",")))=0)),IF(EI143="",TRUE,IF(input_faculty_discipline="",FALSE,SUMPRODUCT(--ISNUMBER(SEARCH(","&amp;TRIM(TEXTSPLIT(EI143,","))&amp;",",","&amp;SUBSTITUTE(input_faculty_discipline," ","")&amp;",")))&gt;0)),IF(EK143="",TRUE,IF(input_faculty_discipline="",FALSE,SUMPRODUCT(--ISNUMBER(SEARCH(","&amp;TRIM(TEXTSPLIT(EK143,","))&amp;",",","&amp;SUBSTITUTE(input_faculty_discipline," ","")&amp;",")))=COUNTA(TEXTSPLIT(EK143,",")))))</f>
        <v/>
      </c>
      <c r="JG143" s="19">
        <f>AND(IF(EM143="",TRUE,IF(input_faculty_expertise="",FALSE,SUMPRODUCT(--ISNUMBER(SEARCH(","&amp;TRIM(TEXTSPLIT(EM143,","))&amp;",",","&amp;SUBSTITUTE(input_faculty_expertise," ","")&amp;",")))&gt;0)),IF(EO143="",TRUE,IF(input_faculty_expertise="",FALSE,SUMPRODUCT(--ISNUMBER(SEARCH(","&amp;TRIM(TEXTSPLIT(EO143,","))&amp;",",","&amp;SUBSTITUTE(input_faculty_expertise," ","")&amp;",")))=COUNTA(TEXTSPLIT(EO143,",")))),IF(EQ143="",TRUE,IF(input_faculty_expertise="",TRUE,SUMPRODUCT(--ISNUMBER(SEARCH(","&amp;TRIM(TEXTSPLIT(EQ143,","))&amp;",",","&amp;SUBSTITUTE(input_faculty_expertise," ","")&amp;",")))=0)),IF(ES143="",TRUE,IF(input_faculty_expertise="",FALSE,SUMPRODUCT(--ISNUMBER(SEARCH(","&amp;TRIM(TEXTSPLIT(ES143,","))&amp;",",","&amp;SUBSTITUTE(input_faculty_expertise," ","")&amp;",")))&gt;0)),IF(EU143="",TRUE,IF(input_faculty_expertise="",FALSE,SUMPRODUCT(--ISNUMBER(SEARCH(","&amp;TRIM(TEXTSPLIT(EU143,","))&amp;",",","&amp;SUBSTITUTE(input_faculty_expertise," ","")&amp;",")))=COUNTA(TEXTSPLIT(EU143,",")))))</f>
        <v/>
      </c>
      <c r="JH143" s="19">
        <f>AND(IF(EW143="",TRUE,IF(input_global_network_school="",FALSE,SUMPRODUCT(--ISNUMBER(SEARCH(","&amp;TRIM(TEXTSPLIT(EW143,","))&amp;",",","&amp;SUBSTITUTE(input_global_network_school," ","")&amp;",")))&gt;0)),IF(EY143="",TRUE,IF(input_global_network_school="",FALSE,SUMPRODUCT(--ISNUMBER(SEARCH(","&amp;TRIM(TEXTSPLIT(EY143,","))&amp;",",","&amp;SUBSTITUTE(input_global_network_school," ","")&amp;",")))=COUNTA(TEXTSPLIT(EY143,",")))),IF(FA143="",TRUE,IF(input_global_network_school="",TRUE,SUMPRODUCT(--ISNUMBER(SEARCH(","&amp;TRIM(TEXTSPLIT(FA143,","))&amp;",",","&amp;SUBSTITUTE(input_global_network_school," ","")&amp;",")))=0)),IF(FC143="",TRUE,IF(input_global_network_school="",FALSE,SUMPRODUCT(--ISNUMBER(SEARCH(","&amp;TRIM(TEXTSPLIT(FC143,","))&amp;",",","&amp;SUBSTITUTE(input_global_network_school," ","")&amp;",")))&gt;0)),IF(FE143="",TRUE,IF(input_global_network_school="",FALSE,SUMPRODUCT(--ISNUMBER(SEARCH(","&amp;TRIM(TEXTSPLIT(FE143,","))&amp;",",","&amp;SUBSTITUTE(input_global_network_school," ","")&amp;",")))=COUNTA(TEXTSPLIT(FE143,",")))))</f>
        <v/>
      </c>
      <c r="JI143" s="19">
        <f>AND(IF(FG143="",TRUE,IF(input_industry="",FALSE,SUMPRODUCT(--ISNUMBER(SEARCH(","&amp;TRIM(TEXTSPLIT(FG143,","))&amp;",",","&amp;SUBSTITUTE(input_industry," ","")&amp;",")))&gt;0)),IF(FI143="",TRUE,IF(input_industry="",FALSE,SUMPRODUCT(--ISNUMBER(SEARCH(","&amp;TRIM(TEXTSPLIT(FI143,","))&amp;",",","&amp;SUBSTITUTE(input_industry," ","")&amp;",")))=COUNTA(TEXTSPLIT(FI143,",")))),IF(FK143="",TRUE,IF(input_industry="",TRUE,SUMPRODUCT(--ISNUMBER(SEARCH(","&amp;TRIM(TEXTSPLIT(FK143,","))&amp;",",","&amp;SUBSTITUTE(input_industry," ","")&amp;",")))=0)),IF(FM143="",TRUE,IF(input_industry="",FALSE,SUMPRODUCT(--ISNUMBER(SEARCH(","&amp;TRIM(TEXTSPLIT(FM143,","))&amp;",",","&amp;SUBSTITUTE(input_industry," ","")&amp;",")))&gt;0)),IF(FO143="",TRUE,IF(input_industry="",FALSE,SUMPRODUCT(--ISNUMBER(SEARCH(","&amp;TRIM(TEXTSPLIT(FO143,","))&amp;",",","&amp;SUBSTITUTE(input_industry," ","")&amp;",")))=COUNTA(TEXTSPLIT(FO143,",")))))</f>
        <v/>
      </c>
      <c r="JJ143" s="19">
        <f>AND(IF(FQ143="",TRUE,IF(input_location="",FALSE,SUMPRODUCT(--ISNUMBER(SEARCH(","&amp;TRIM(TEXTSPLIT(FQ143,","))&amp;",",","&amp;SUBSTITUTE(input_location," ","")&amp;",")))&gt;0)),IF(FS143="",TRUE,IF(input_location="",FALSE,SUMPRODUCT(--ISNUMBER(SEARCH(","&amp;TRIM(TEXTSPLIT(FS143,","))&amp;",",","&amp;SUBSTITUTE(input_location," ","")&amp;",")))=COUNTA(TEXTSPLIT(FS143,",")))),IF(FU143="",TRUE,IF(input_location="",TRUE,SUMPRODUCT(--ISNUMBER(SEARCH(","&amp;TRIM(TEXTSPLIT(FU143,","))&amp;",",","&amp;SUBSTITUTE(input_location," ","")&amp;",")))=0)),IF(FW143="",TRUE,IF(input_location="",FALSE,SUMPRODUCT(--ISNUMBER(SEARCH(","&amp;TRIM(TEXTSPLIT(FW143,","))&amp;",",","&amp;SUBSTITUTE(input_location," ","")&amp;",")))&gt;0)),IF(FY143="",TRUE,IF(input_location="",FALSE,SUMPRODUCT(--ISNUMBER(SEARCH(","&amp;TRIM(TEXTSPLIT(FY143,","))&amp;",",","&amp;SUBSTITUTE(input_location," ","")&amp;",")))=COUNTA(TEXTSPLIT(FY143,",")))))</f>
        <v/>
      </c>
      <c r="JK143" s="19">
        <f>AND(IF(GA143="",TRUE,IF(input_modality="",FALSE,SUMPRODUCT(--ISNUMBER(SEARCH(","&amp;TRIM(TEXTSPLIT(GA143,","))&amp;",",","&amp;SUBSTITUTE(input_modality," ","")&amp;",")))&gt;0)),IF(GC143="",TRUE,IF(input_modality="",FALSE,SUMPRODUCT(--ISNUMBER(SEARCH(","&amp;TRIM(TEXTSPLIT(GC143,","))&amp;",",","&amp;SUBSTITUTE(input_modality," ","")&amp;",")))=COUNTA(TEXTSPLIT(GC143,",")))),IF(GE143="",TRUE,IF(input_modality="",TRUE,SUMPRODUCT(--ISNUMBER(SEARCH(","&amp;TRIM(TEXTSPLIT(GE143,","))&amp;",",","&amp;SUBSTITUTE(input_modality," ","")&amp;",")))=0)),IF(GG143="",TRUE,IF(input_modality="",FALSE,SUMPRODUCT(--ISNUMBER(SEARCH(","&amp;TRIM(TEXTSPLIT(GG143,","))&amp;",",","&amp;SUBSTITUTE(input_modality," ","")&amp;",")))&gt;0)),IF(GI143="",TRUE,IF(input_modality="",FALSE,SUMPRODUCT(--ISNUMBER(SEARCH(","&amp;TRIM(TEXTSPLIT(GI143,","))&amp;",",","&amp;SUBSTITUTE(input_modality," ","")&amp;",")))=COUNTA(TEXTSPLIT(GI143,",")))))</f>
        <v/>
      </c>
      <c r="JL143" s="19">
        <f>AND(IF(GK143="",TRUE,IF(input_organizer="",FALSE,SUMPRODUCT(--ISNUMBER(SEARCH(","&amp;TRIM(TEXTSPLIT(GK143,","))&amp;",",","&amp;SUBSTITUTE(input_organizer," ","")&amp;",")))&gt;0)),IF(GM143="",TRUE,IF(input_organizer="",FALSE,SUMPRODUCT(--ISNUMBER(SEARCH(","&amp;TRIM(TEXTSPLIT(GM143,","))&amp;",",","&amp;SUBSTITUTE(input_organizer," ","")&amp;",")))=COUNTA(TEXTSPLIT(GM143,",")))),IF(GO143="",TRUE,IF(input_organizer="",TRUE,SUMPRODUCT(--ISNUMBER(SEARCH(","&amp;TRIM(TEXTSPLIT(GO143,","))&amp;",",","&amp;SUBSTITUTE(input_organizer," ","")&amp;",")))=0)),IF(GQ143="",TRUE,IF(input_organizer="",FALSE,SUMPRODUCT(--ISNUMBER(SEARCH(","&amp;TRIM(TEXTSPLIT(GQ143,","))&amp;",",","&amp;SUBSTITUTE(input_organizer," ","")&amp;",")))&gt;0)),IF(GS143="",TRUE,IF(input_organizer="",FALSE,SUMPRODUCT(--ISNUMBER(SEARCH(","&amp;TRIM(TEXTSPLIT(GS143,","))&amp;",",","&amp;SUBSTITUTE(input_organizer," ","")&amp;",")))=COUNTA(TEXTSPLIT(GS143,",")))))</f>
        <v/>
      </c>
      <c r="JM143" s="19">
        <f>AND(IF(GU143="",TRUE,IF(input_profile_type="",FALSE,SUMPRODUCT(--ISNUMBER(SEARCH(","&amp;TRIM(TEXTSPLIT(GU143,","))&amp;",",","&amp;SUBSTITUTE(input_profile_type," ","")&amp;",")))&gt;0)),IF(GW143="",TRUE,IF(input_profile_type="",FALSE,SUMPRODUCT(--ISNUMBER(SEARCH(","&amp;TRIM(TEXTSPLIT(GW143,","))&amp;",",","&amp;SUBSTITUTE(input_profile_type," ","")&amp;",")))=COUNTA(TEXTSPLIT(GW143,",")))),IF(GY143="",TRUE,IF(input_profile_type="",TRUE,SUMPRODUCT(--ISNUMBER(SEARCH(","&amp;TRIM(TEXTSPLIT(GY143,","))&amp;",",","&amp;SUBSTITUTE(input_profile_type," ","")&amp;",")))=0)),IF(HA143="",TRUE,IF(input_profile_type="",FALSE,SUMPRODUCT(--ISNUMBER(SEARCH(","&amp;TRIM(TEXTSPLIT(HA143,","))&amp;",",","&amp;SUBSTITUTE(input_profile_type," ","")&amp;",")))&gt;0)),IF(HC143="",TRUE,IF(input_profile_type="",FALSE,SUMPRODUCT(--ISNUMBER(SEARCH(","&amp;TRIM(TEXTSPLIT(HC143,","))&amp;",",","&amp;SUBSTITUTE(input_profile_type," ","")&amp;",")))=COUNTA(TEXTSPLIT(HC143,",")))))</f>
        <v/>
      </c>
      <c r="JN143" s="19">
        <f>AND(IF(HE143="",TRUE,IF(input_program="",FALSE,SUMPRODUCT(--ISNUMBER(SEARCH(","&amp;TRIM(TEXTSPLIT(HE143,","))&amp;",",","&amp;SUBSTITUTE(input_program," ","")&amp;",")))&gt;0)),IF(HG143="",TRUE,IF(input_program="",FALSE,SUMPRODUCT(--ISNUMBER(SEARCH(","&amp;TRIM(TEXTSPLIT(HG143,","))&amp;",",","&amp;SUBSTITUTE(input_program," ","")&amp;",")))=COUNTA(TEXTSPLIT(HG143,",")))),IF(HI143="",TRUE,IF(input_program="",TRUE,SUMPRODUCT(--ISNUMBER(SEARCH(","&amp;TRIM(TEXTSPLIT(HI143,","))&amp;",",","&amp;SUBSTITUTE(input_program," ","")&amp;",")))=0)),IF(HK143="",TRUE,IF(input_program="",FALSE,SUMPRODUCT(--ISNUMBER(SEARCH(","&amp;TRIM(TEXTSPLIT(HK143,","))&amp;",",","&amp;SUBSTITUTE(input_program," ","")&amp;",")))&gt;0)),IF(HM143="",TRUE,IF(input_program="",FALSE,SUMPRODUCT(--ISNUMBER(SEARCH(","&amp;TRIM(TEXTSPLIT(HM143,","))&amp;",",","&amp;SUBSTITUTE(input_program," ","")&amp;",")))=COUNTA(TEXTSPLIT(HM143,",")))))</f>
        <v/>
      </c>
      <c r="JO143" s="19">
        <f>AND(IF(HO143="",TRUE,IF(input_story_categories="",FALSE,SUMPRODUCT(--ISNUMBER(SEARCH(","&amp;TRIM(TEXTSPLIT(HO143,","))&amp;",",","&amp;SUBSTITUTE(input_story_categories," ","")&amp;",")))&gt;0)),IF(HQ143="",TRUE,IF(input_story_categories="",FALSE,SUMPRODUCT(--ISNUMBER(SEARCH(","&amp;TRIM(TEXTSPLIT(HQ143,","))&amp;",",","&amp;SUBSTITUTE(input_story_categories," ","")&amp;",")))=COUNTA(TEXTSPLIT(HQ143,",")))),IF(HS143="",TRUE,IF(input_story_categories="",TRUE,SUMPRODUCT(--ISNUMBER(SEARCH(","&amp;TRIM(TEXTSPLIT(HS143,","))&amp;",",","&amp;SUBSTITUTE(input_story_categories," ","")&amp;",")))=0)),IF(HU143="",TRUE,IF(input_story_categories="",FALSE,SUMPRODUCT(--ISNUMBER(SEARCH(","&amp;TRIM(TEXTSPLIT(HU143,","))&amp;",",","&amp;SUBSTITUTE(input_story_categories," ","")&amp;",")))&gt;0)),IF(HW143="",TRUE,IF(input_story_categories="",FALSE,SUMPRODUCT(--ISNUMBER(SEARCH(","&amp;TRIM(TEXTSPLIT(HW143,","))&amp;",",","&amp;SUBSTITUTE(input_story_categories," ","")&amp;",")))=COUNTA(TEXTSPLIT(HW143,",")))))</f>
        <v/>
      </c>
      <c r="JP143" s="19">
        <f>AND(IF(HY143="",TRUE,IF(input_story_type="",FALSE,SUMPRODUCT(--ISNUMBER(SEARCH(","&amp;TRIM(TEXTSPLIT(HY143,","))&amp;",",","&amp;SUBSTITUTE(input_story_type," ","")&amp;",")))&gt;0)),IF(IA143="",TRUE,IF(input_story_type="",FALSE,SUMPRODUCT(--ISNUMBER(SEARCH(","&amp;TRIM(TEXTSPLIT(IA143,","))&amp;",",","&amp;SUBSTITUTE(input_story_type," ","")&amp;",")))=COUNTA(TEXTSPLIT(IA143,",")))),IF(IC143="",TRUE,IF(input_story_type="",TRUE,SUMPRODUCT(--ISNUMBER(SEARCH(","&amp;TRIM(TEXTSPLIT(IC143,","))&amp;",",","&amp;SUBSTITUTE(input_story_type," ","")&amp;",")))=0)),IF(IE143="",TRUE,IF(input_story_type="",FALSE,SUMPRODUCT(--ISNUMBER(SEARCH(","&amp;TRIM(TEXTSPLIT(IE143,","))&amp;",",","&amp;SUBSTITUTE(input_story_type," ","")&amp;",")))&gt;0)),IF(IG143="",TRUE,IF(input_story_type="",FALSE,SUMPRODUCT(--ISNUMBER(SEARCH(","&amp;TRIM(TEXTSPLIT(IG143,","))&amp;",",","&amp;SUBSTITUTE(input_story_type," ","")&amp;",")))=COUNTA(TEXTSPLIT(IG143,",")))))</f>
        <v/>
      </c>
      <c r="JQ143" s="19">
        <f>AND(IF(II143="",TRUE,IF(input_topics="",FALSE,SUMPRODUCT(--ISNUMBER(SEARCH(","&amp;TRIM(TEXTSPLIT(II143,","))&amp;",",","&amp;SUBSTITUTE(input_topics," ","")&amp;",")))&gt;0)),IF(IK143="",TRUE,IF(input_topics="",FALSE,SUMPRODUCT(--ISNUMBER(SEARCH(","&amp;TRIM(TEXTSPLIT(IK143,","))&amp;",",","&amp;SUBSTITUTE(input_topics," ","")&amp;",")))=COUNTA(TEXTSPLIT(IK143,",")))),IF(IM143="",TRUE,IF(input_topics="",TRUE,SUMPRODUCT(--ISNUMBER(SEARCH(","&amp;TRIM(TEXTSPLIT(IM143,","))&amp;",",","&amp;SUBSTITUTE(input_topics," ","")&amp;",")))=0)),IF(IO143="",TRUE,IF(input_topics="",FALSE,SUMPRODUCT(--ISNUMBER(SEARCH(","&amp;TRIM(TEXTSPLIT(IO143,","))&amp;",",","&amp;SUBSTITUTE(input_topics," ","")&amp;",")))&gt;0)),IF(IQ143="",TRUE,IF(input_topics="",FALSE,SUMPRODUCT(--ISNUMBER(SEARCH(","&amp;TRIM(TEXTSPLIT(IQ143,","))&amp;",",","&amp;SUBSTITUTE(input_topics," ","")&amp;",")))=COUNTA(TEXTSPLIT(IQ143,",")))))</f>
        <v/>
      </c>
    </row>
    <row r="144">
      <c r="A144" s="24">
        <f>IF(NOT(IS144),"Excluded",IF(AND(IT144,IU144,IV144,IW144,IX144,IY144,IZ144,JA144,JB144,JC144,JD144,JE144,JF144,JG144,JH144,JI144,JJ144,JK144,JL144,JM144,JN144,JO144,JP144,JQ144),IF(I144&gt;0,"Eligible but limited","Will appear"),"Excluded"))</f>
        <v/>
      </c>
      <c r="B144" s="24" t="inlineStr">
        <is>
          <t>News - Summary</t>
        </is>
      </c>
      <c r="C144" s="27" t="inlineStr">
        <is>
          <t>/the-som-experience/interests-and-industries/social-impact</t>
        </is>
      </c>
      <c r="D144" s="24" t="inlineStr">
        <is>
          <t>/the-som-experience/interests-and-industries/social-impact</t>
        </is>
      </c>
      <c r="E144" s="24" t="n">
        <v>1</v>
      </c>
      <c r="F144" s="24" t="inlineStr">
        <is>
          <t>story</t>
        </is>
      </c>
      <c r="G144" s="24" t="inlineStr">
        <is>
          <t>stories_mosaic_grid</t>
        </is>
      </c>
      <c r="H144" s="24" t="inlineStr">
        <is>
          <t>embed_news_summary</t>
        </is>
      </c>
      <c r="I144" s="24" t="n">
        <v>1</v>
      </c>
      <c r="J144" s="24" t="inlineStr">
        <is>
          <t>View/config rules</t>
        </is>
      </c>
      <c r="K144" s="24" t="inlineStr">
        <is>
          <t>Page placement</t>
        </is>
      </c>
      <c r="L144" s="24" t="inlineStr">
        <is>
          <t>Content type: story; Needs any Story Type: News (924); Limited to 1 item(s); Source: View/config rules</t>
        </is>
      </c>
      <c r="HY144" s="19" t="inlineStr">
        <is>
          <t>924</t>
        </is>
      </c>
      <c r="HZ144" s="19" t="inlineStr">
        <is>
          <t>News (924)</t>
        </is>
      </c>
      <c r="IS144" s="19">
        <f>IF(input_content_type="",FALSE,ISNUMBER(SEARCH(","&amp;LOWER(input_content_type)&amp;",",","&amp;LOWER(SUBSTITUTE(F144," ",""))&amp;",")))</f>
        <v/>
      </c>
      <c r="IT144" s="19">
        <f>AND(IF(M144="",TRUE,IF(input_affiliations="",FALSE,SUMPRODUCT(--ISNUMBER(SEARCH(","&amp;TRIM(TEXTSPLIT(M144,","))&amp;",",","&amp;SUBSTITUTE(input_affiliations," ","")&amp;",")))&gt;0)),IF(O144="",TRUE,IF(input_affiliations="",FALSE,SUMPRODUCT(--ISNUMBER(SEARCH(","&amp;TRIM(TEXTSPLIT(O144,","))&amp;",",","&amp;SUBSTITUTE(input_affiliations," ","")&amp;",")))=COUNTA(TEXTSPLIT(O144,",")))),IF(Q144="",TRUE,IF(input_affiliations="",TRUE,SUMPRODUCT(--ISNUMBER(SEARCH(","&amp;TRIM(TEXTSPLIT(Q144,","))&amp;",",","&amp;SUBSTITUTE(input_affiliations," ","")&amp;",")))=0)),IF(S144="",TRUE,IF(input_affiliations="",FALSE,SUMPRODUCT(--ISNUMBER(SEARCH(","&amp;TRIM(TEXTSPLIT(S144,","))&amp;",",","&amp;SUBSTITUTE(input_affiliations," ","")&amp;",")))&gt;0)),IF(U144="",TRUE,IF(input_affiliations="",FALSE,SUMPRODUCT(--ISNUMBER(SEARCH(","&amp;TRIM(TEXTSPLIT(U144,","))&amp;",",","&amp;SUBSTITUTE(input_affiliations," ","")&amp;",")))=COUNTA(TEXTSPLIT(U144,",")))))</f>
        <v/>
      </c>
      <c r="IU144" s="19">
        <f>AND(IF(W144="",TRUE,IF(input_announcement_category="",FALSE,SUMPRODUCT(--ISNUMBER(SEARCH(","&amp;TRIM(TEXTSPLIT(W144,","))&amp;",",","&amp;SUBSTITUTE(input_announcement_category," ","")&amp;",")))&gt;0)),IF(Y144="",TRUE,IF(input_announcement_category="",FALSE,SUMPRODUCT(--ISNUMBER(SEARCH(","&amp;TRIM(TEXTSPLIT(Y144,","))&amp;",",","&amp;SUBSTITUTE(input_announcement_category," ","")&amp;",")))=COUNTA(TEXTSPLIT(Y144,",")))),IF(AA144="",TRUE,IF(input_announcement_category="",TRUE,SUMPRODUCT(--ISNUMBER(SEARCH(","&amp;TRIM(TEXTSPLIT(AA144,","))&amp;",",","&amp;SUBSTITUTE(input_announcement_category," ","")&amp;",")))=0)),IF(AC144="",TRUE,IF(input_announcement_category="",FALSE,SUMPRODUCT(--ISNUMBER(SEARCH(","&amp;TRIM(TEXTSPLIT(AC144,","))&amp;",",","&amp;SUBSTITUTE(input_announcement_category," ","")&amp;",")))&gt;0)),IF(AE144="",TRUE,IF(input_announcement_category="",FALSE,SUMPRODUCT(--ISNUMBER(SEARCH(","&amp;TRIM(TEXTSPLIT(AE144,","))&amp;",",","&amp;SUBSTITUTE(input_announcement_category," ","")&amp;",")))=COUNTA(TEXTSPLIT(AE144,",")))))</f>
        <v/>
      </c>
      <c r="IV144" s="19">
        <f>AND(IF(AG144="",TRUE,IF(input_area_of_focus="",FALSE,SUMPRODUCT(--ISNUMBER(SEARCH(","&amp;TRIM(TEXTSPLIT(AG144,","))&amp;",",","&amp;SUBSTITUTE(input_area_of_focus," ","")&amp;",")))&gt;0)),IF(AI144="",TRUE,IF(input_area_of_focus="",FALSE,SUMPRODUCT(--ISNUMBER(SEARCH(","&amp;TRIM(TEXTSPLIT(AI144,","))&amp;",",","&amp;SUBSTITUTE(input_area_of_focus," ","")&amp;",")))=COUNTA(TEXTSPLIT(AI144,",")))),IF(AK144="",TRUE,IF(input_area_of_focus="",TRUE,SUMPRODUCT(--ISNUMBER(SEARCH(","&amp;TRIM(TEXTSPLIT(AK144,","))&amp;",",","&amp;SUBSTITUTE(input_area_of_focus," ","")&amp;",")))=0)),IF(AM144="",TRUE,IF(input_area_of_focus="",FALSE,SUMPRODUCT(--ISNUMBER(SEARCH(","&amp;TRIM(TEXTSPLIT(AM144,","))&amp;",",","&amp;SUBSTITUTE(input_area_of_focus," ","")&amp;",")))&gt;0)),IF(AO144="",TRUE,IF(input_area_of_focus="",FALSE,SUMPRODUCT(--ISNUMBER(SEARCH(","&amp;TRIM(TEXTSPLIT(AO144,","))&amp;",",","&amp;SUBSTITUTE(input_area_of_focus," ","")&amp;",")))=COUNTA(TEXTSPLIT(AO144,",")))))</f>
        <v/>
      </c>
      <c r="IW144" s="19">
        <f>AND(IF(AQ144="",TRUE,IF(input_audience="",FALSE,SUMPRODUCT(--ISNUMBER(SEARCH(","&amp;TRIM(TEXTSPLIT(AQ144,","))&amp;",",","&amp;SUBSTITUTE(input_audience," ","")&amp;",")))&gt;0)),IF(AS144="",TRUE,IF(input_audience="",FALSE,SUMPRODUCT(--ISNUMBER(SEARCH(","&amp;TRIM(TEXTSPLIT(AS144,","))&amp;",",","&amp;SUBSTITUTE(input_audience," ","")&amp;",")))=COUNTA(TEXTSPLIT(AS144,",")))),IF(AU144="",TRUE,IF(input_audience="",TRUE,SUMPRODUCT(--ISNUMBER(SEARCH(","&amp;TRIM(TEXTSPLIT(AU144,","))&amp;",",","&amp;SUBSTITUTE(input_audience," ","")&amp;",")))=0)),IF(AW144="",TRUE,IF(input_audience="",FALSE,SUMPRODUCT(--ISNUMBER(SEARCH(","&amp;TRIM(TEXTSPLIT(AW144,","))&amp;",",","&amp;SUBSTITUTE(input_audience," ","")&amp;",")))&gt;0)),IF(AY144="",TRUE,IF(input_audience="",FALSE,SUMPRODUCT(--ISNUMBER(SEARCH(","&amp;TRIM(TEXTSPLIT(AY144,","))&amp;",",","&amp;SUBSTITUTE(input_audience," ","")&amp;",")))=COUNTA(TEXTSPLIT(AY144,",")))))</f>
        <v/>
      </c>
      <c r="IX144" s="19">
        <f>AND(IF(BA144="",TRUE,IF(input_challenge_opportunities="",FALSE,SUMPRODUCT(--ISNUMBER(SEARCH(","&amp;TRIM(TEXTSPLIT(BA144,","))&amp;",",","&amp;SUBSTITUTE(input_challenge_opportunities," ","")&amp;",")))&gt;0)),IF(BC144="",TRUE,IF(input_challenge_opportunities="",FALSE,SUMPRODUCT(--ISNUMBER(SEARCH(","&amp;TRIM(TEXTSPLIT(BC144,","))&amp;",",","&amp;SUBSTITUTE(input_challenge_opportunities," ","")&amp;",")))=COUNTA(TEXTSPLIT(BC144,",")))),IF(BE144="",TRUE,IF(input_challenge_opportunities="",TRUE,SUMPRODUCT(--ISNUMBER(SEARCH(","&amp;TRIM(TEXTSPLIT(BE144,","))&amp;",",","&amp;SUBSTITUTE(input_challenge_opportunities," ","")&amp;",")))=0)),IF(BG144="",TRUE,IF(input_challenge_opportunities="",FALSE,SUMPRODUCT(--ISNUMBER(SEARCH(","&amp;TRIM(TEXTSPLIT(BG144,","))&amp;",",","&amp;SUBSTITUTE(input_challenge_opportunities," ","")&amp;",")))&gt;0)),IF(BI144="",TRUE,IF(input_challenge_opportunities="",FALSE,SUMPRODUCT(--ISNUMBER(SEARCH(","&amp;TRIM(TEXTSPLIT(BI144,","))&amp;",",","&amp;SUBSTITUTE(input_challenge_opportunities," ","")&amp;",")))=COUNTA(TEXTSPLIT(BI144,",")))))</f>
        <v/>
      </c>
      <c r="IY144" s="19">
        <f>AND(IF(BK144="",TRUE,IF(input_context="",FALSE,SUMPRODUCT(--ISNUMBER(SEARCH(","&amp;TRIM(TEXTSPLIT(BK144,","))&amp;",",","&amp;SUBSTITUTE(input_context," ","")&amp;",")))&gt;0)),IF(BM144="",TRUE,IF(input_context="",FALSE,SUMPRODUCT(--ISNUMBER(SEARCH(","&amp;TRIM(TEXTSPLIT(BM144,","))&amp;",",","&amp;SUBSTITUTE(input_context," ","")&amp;",")))=COUNTA(TEXTSPLIT(BM144,",")))),IF(BO144="",TRUE,IF(input_context="",TRUE,SUMPRODUCT(--ISNUMBER(SEARCH(","&amp;TRIM(TEXTSPLIT(BO144,","))&amp;",",","&amp;SUBSTITUTE(input_context," ","")&amp;",")))=0)),IF(BQ144="",TRUE,IF(input_context="",FALSE,SUMPRODUCT(--ISNUMBER(SEARCH(","&amp;TRIM(TEXTSPLIT(BQ144,","))&amp;",",","&amp;SUBSTITUTE(input_context," ","")&amp;",")))&gt;0)),IF(BS144="",TRUE,IF(input_context="",FALSE,SUMPRODUCT(--ISNUMBER(SEARCH(","&amp;TRIM(TEXTSPLIT(BS144,","))&amp;",",","&amp;SUBSTITUTE(input_context," ","")&amp;",")))=COUNTA(TEXTSPLIT(BS144,",")))))</f>
        <v/>
      </c>
      <c r="IZ144" s="19">
        <f>AND(IF(BU144="",TRUE,IF(input_enews_announcement_type="",FALSE,SUMPRODUCT(--ISNUMBER(SEARCH(","&amp;TRIM(TEXTSPLIT(BU144,","))&amp;",",","&amp;SUBSTITUTE(input_enews_announcement_type," ","")&amp;",")))&gt;0)),IF(BW144="",TRUE,IF(input_enews_announcement_type="",FALSE,SUMPRODUCT(--ISNUMBER(SEARCH(","&amp;TRIM(TEXTSPLIT(BW144,","))&amp;",",","&amp;SUBSTITUTE(input_enews_announcement_type," ","")&amp;",")))=COUNTA(TEXTSPLIT(BW144,",")))),IF(BY144="",TRUE,IF(input_enews_announcement_type="",TRUE,SUMPRODUCT(--ISNUMBER(SEARCH(","&amp;TRIM(TEXTSPLIT(BY144,","))&amp;",",","&amp;SUBSTITUTE(input_enews_announcement_type," ","")&amp;",")))=0)),IF(CA144="",TRUE,IF(input_enews_announcement_type="",FALSE,SUMPRODUCT(--ISNUMBER(SEARCH(","&amp;TRIM(TEXTSPLIT(CA144,","))&amp;",",","&amp;SUBSTITUTE(input_enews_announcement_type," ","")&amp;",")))&gt;0)),IF(CC144="",TRUE,IF(input_enews_announcement_type="",FALSE,SUMPRODUCT(--ISNUMBER(SEARCH(","&amp;TRIM(TEXTSPLIT(CC144,","))&amp;",",","&amp;SUBSTITUTE(input_enews_announcement_type," ","")&amp;",")))=COUNTA(TEXTSPLIT(CC144,",")))))</f>
        <v/>
      </c>
      <c r="JA144" s="19">
        <f>AND(IF(CE144="",TRUE,IF(input_enews_audience="",FALSE,SUMPRODUCT(--ISNUMBER(SEARCH(","&amp;TRIM(TEXTSPLIT(CE144,","))&amp;",",","&amp;SUBSTITUTE(input_enews_audience," ","")&amp;",")))&gt;0)),IF(CG144="",TRUE,IF(input_enews_audience="",FALSE,SUMPRODUCT(--ISNUMBER(SEARCH(","&amp;TRIM(TEXTSPLIT(CG144,","))&amp;",",","&amp;SUBSTITUTE(input_enews_audience," ","")&amp;",")))=COUNTA(TEXTSPLIT(CG144,",")))),IF(CI144="",TRUE,IF(input_enews_audience="",TRUE,SUMPRODUCT(--ISNUMBER(SEARCH(","&amp;TRIM(TEXTSPLIT(CI144,","))&amp;",",","&amp;SUBSTITUTE(input_enews_audience," ","")&amp;",")))=0)),IF(CK144="",TRUE,IF(input_enews_audience="",FALSE,SUMPRODUCT(--ISNUMBER(SEARCH(","&amp;TRIM(TEXTSPLIT(CK144,","))&amp;",",","&amp;SUBSTITUTE(input_enews_audience," ","")&amp;",")))&gt;0)),IF(CM144="",TRUE,IF(input_enews_audience="",FALSE,SUMPRODUCT(--ISNUMBER(SEARCH(","&amp;TRIM(TEXTSPLIT(CM144,","))&amp;",",","&amp;SUBSTITUTE(input_enews_audience," ","")&amp;",")))=COUNTA(TEXTSPLIT(CM144,",")))))</f>
        <v/>
      </c>
      <c r="JB144" s="19">
        <f>AND(IF(CO144="",TRUE,IF(input_event_location="",FALSE,SUMPRODUCT(--ISNUMBER(SEARCH(","&amp;TRIM(TEXTSPLIT(CO144,","))&amp;",",","&amp;SUBSTITUTE(input_event_location," ","")&amp;",")))&gt;0)),IF(CQ144="",TRUE,IF(input_event_location="",FALSE,SUMPRODUCT(--ISNUMBER(SEARCH(","&amp;TRIM(TEXTSPLIT(CQ144,","))&amp;",",","&amp;SUBSTITUTE(input_event_location," ","")&amp;",")))=COUNTA(TEXTSPLIT(CQ144,",")))),IF(CS144="",TRUE,IF(input_event_location="",TRUE,SUMPRODUCT(--ISNUMBER(SEARCH(","&amp;TRIM(TEXTSPLIT(CS144,","))&amp;",",","&amp;SUBSTITUTE(input_event_location," ","")&amp;",")))=0)),IF(CU144="",TRUE,IF(input_event_location="",FALSE,SUMPRODUCT(--ISNUMBER(SEARCH(","&amp;TRIM(TEXTSPLIT(CU144,","))&amp;",",","&amp;SUBSTITUTE(input_event_location," ","")&amp;",")))&gt;0)),IF(CW144="",TRUE,IF(input_event_location="",FALSE,SUMPRODUCT(--ISNUMBER(SEARCH(","&amp;TRIM(TEXTSPLIT(CW144,","))&amp;",",","&amp;SUBSTITUTE(input_event_location," ","")&amp;",")))=COUNTA(TEXTSPLIT(CW144,",")))))</f>
        <v/>
      </c>
      <c r="JC144" s="19">
        <f>AND(IF(CY144="",TRUE,IF(input_event_type="",FALSE,SUMPRODUCT(--ISNUMBER(SEARCH(","&amp;TRIM(TEXTSPLIT(CY144,","))&amp;",",","&amp;SUBSTITUTE(input_event_type," ","")&amp;",")))&gt;0)),IF(DA144="",TRUE,IF(input_event_type="",FALSE,SUMPRODUCT(--ISNUMBER(SEARCH(","&amp;TRIM(TEXTSPLIT(DA144,","))&amp;",",","&amp;SUBSTITUTE(input_event_type," ","")&amp;",")))=COUNTA(TEXTSPLIT(DA144,",")))),IF(DC144="",TRUE,IF(input_event_type="",TRUE,SUMPRODUCT(--ISNUMBER(SEARCH(","&amp;TRIM(TEXTSPLIT(DC144,","))&amp;",",","&amp;SUBSTITUTE(input_event_type," ","")&amp;",")))=0)),IF(DE144="",TRUE,IF(input_event_type="",FALSE,SUMPRODUCT(--ISNUMBER(SEARCH(","&amp;TRIM(TEXTSPLIT(DE144,","))&amp;",",","&amp;SUBSTITUTE(input_event_type," ","")&amp;",")))&gt;0)),IF(DG144="",TRUE,IF(input_event_type="",FALSE,SUMPRODUCT(--ISNUMBER(SEARCH(","&amp;TRIM(TEXTSPLIT(DG144,","))&amp;",",","&amp;SUBSTITUTE(input_event_type," ","")&amp;",")))=COUNTA(TEXTSPLIT(DG144,",")))))</f>
        <v/>
      </c>
      <c r="JD144" s="19">
        <f>AND(IF(DI144="",TRUE,IF(input_executive_education_focus="",FALSE,SUMPRODUCT(--ISNUMBER(SEARCH(","&amp;TRIM(TEXTSPLIT(DI144,","))&amp;",",","&amp;SUBSTITUTE(input_executive_education_focus," ","")&amp;",")))&gt;0)),IF(DK144="",TRUE,IF(input_executive_education_focus="",FALSE,SUMPRODUCT(--ISNUMBER(SEARCH(","&amp;TRIM(TEXTSPLIT(DK144,","))&amp;",",","&amp;SUBSTITUTE(input_executive_education_focus," ","")&amp;",")))=COUNTA(TEXTSPLIT(DK144,",")))),IF(DM144="",TRUE,IF(input_executive_education_focus="",TRUE,SUMPRODUCT(--ISNUMBER(SEARCH(","&amp;TRIM(TEXTSPLIT(DM144,","))&amp;",",","&amp;SUBSTITUTE(input_executive_education_focus," ","")&amp;",")))=0)),IF(DO144="",TRUE,IF(input_executive_education_focus="",FALSE,SUMPRODUCT(--ISNUMBER(SEARCH(","&amp;TRIM(TEXTSPLIT(DO144,","))&amp;",",","&amp;SUBSTITUTE(input_executive_education_focus," ","")&amp;",")))&gt;0)),IF(DQ144="",TRUE,IF(input_executive_education_focus="",FALSE,SUMPRODUCT(--ISNUMBER(SEARCH(","&amp;TRIM(TEXTSPLIT(DQ144,","))&amp;",",","&amp;SUBSTITUTE(input_executive_education_focus," ","")&amp;",")))=COUNTA(TEXTSPLIT(DQ144,",")))))</f>
        <v/>
      </c>
      <c r="JE144" s="19">
        <f>AND(IF(DS144="",TRUE,IF(input_faculty_category="",FALSE,SUMPRODUCT(--ISNUMBER(SEARCH(","&amp;TRIM(TEXTSPLIT(DS144,","))&amp;",",","&amp;SUBSTITUTE(input_faculty_category," ","")&amp;",")))&gt;0)),IF(DU144="",TRUE,IF(input_faculty_category="",FALSE,SUMPRODUCT(--ISNUMBER(SEARCH(","&amp;TRIM(TEXTSPLIT(DU144,","))&amp;",",","&amp;SUBSTITUTE(input_faculty_category," ","")&amp;",")))=COUNTA(TEXTSPLIT(DU144,",")))),IF(DW144="",TRUE,IF(input_faculty_category="",TRUE,SUMPRODUCT(--ISNUMBER(SEARCH(","&amp;TRIM(TEXTSPLIT(DW144,","))&amp;",",","&amp;SUBSTITUTE(input_faculty_category," ","")&amp;",")))=0)),IF(DY144="",TRUE,IF(input_faculty_category="",FALSE,SUMPRODUCT(--ISNUMBER(SEARCH(","&amp;TRIM(TEXTSPLIT(DY144,","))&amp;",",","&amp;SUBSTITUTE(input_faculty_category," ","")&amp;",")))&gt;0)),IF(EA144="",TRUE,IF(input_faculty_category="",FALSE,SUMPRODUCT(--ISNUMBER(SEARCH(","&amp;TRIM(TEXTSPLIT(EA144,","))&amp;",",","&amp;SUBSTITUTE(input_faculty_category," ","")&amp;",")))=COUNTA(TEXTSPLIT(EA144,",")))))</f>
        <v/>
      </c>
      <c r="JF144" s="19">
        <f>AND(IF(EC144="",TRUE,IF(input_faculty_discipline="",FALSE,SUMPRODUCT(--ISNUMBER(SEARCH(","&amp;TRIM(TEXTSPLIT(EC144,","))&amp;",",","&amp;SUBSTITUTE(input_faculty_discipline," ","")&amp;",")))&gt;0)),IF(EE144="",TRUE,IF(input_faculty_discipline="",FALSE,SUMPRODUCT(--ISNUMBER(SEARCH(","&amp;TRIM(TEXTSPLIT(EE144,","))&amp;",",","&amp;SUBSTITUTE(input_faculty_discipline," ","")&amp;",")))=COUNTA(TEXTSPLIT(EE144,",")))),IF(EG144="",TRUE,IF(input_faculty_discipline="",TRUE,SUMPRODUCT(--ISNUMBER(SEARCH(","&amp;TRIM(TEXTSPLIT(EG144,","))&amp;",",","&amp;SUBSTITUTE(input_faculty_discipline," ","")&amp;",")))=0)),IF(EI144="",TRUE,IF(input_faculty_discipline="",FALSE,SUMPRODUCT(--ISNUMBER(SEARCH(","&amp;TRIM(TEXTSPLIT(EI144,","))&amp;",",","&amp;SUBSTITUTE(input_faculty_discipline," ","")&amp;",")))&gt;0)),IF(EK144="",TRUE,IF(input_faculty_discipline="",FALSE,SUMPRODUCT(--ISNUMBER(SEARCH(","&amp;TRIM(TEXTSPLIT(EK144,","))&amp;",",","&amp;SUBSTITUTE(input_faculty_discipline," ","")&amp;",")))=COUNTA(TEXTSPLIT(EK144,",")))))</f>
        <v/>
      </c>
      <c r="JG144" s="19">
        <f>AND(IF(EM144="",TRUE,IF(input_faculty_expertise="",FALSE,SUMPRODUCT(--ISNUMBER(SEARCH(","&amp;TRIM(TEXTSPLIT(EM144,","))&amp;",",","&amp;SUBSTITUTE(input_faculty_expertise," ","")&amp;",")))&gt;0)),IF(EO144="",TRUE,IF(input_faculty_expertise="",FALSE,SUMPRODUCT(--ISNUMBER(SEARCH(","&amp;TRIM(TEXTSPLIT(EO144,","))&amp;",",","&amp;SUBSTITUTE(input_faculty_expertise," ","")&amp;",")))=COUNTA(TEXTSPLIT(EO144,",")))),IF(EQ144="",TRUE,IF(input_faculty_expertise="",TRUE,SUMPRODUCT(--ISNUMBER(SEARCH(","&amp;TRIM(TEXTSPLIT(EQ144,","))&amp;",",","&amp;SUBSTITUTE(input_faculty_expertise," ","")&amp;",")))=0)),IF(ES144="",TRUE,IF(input_faculty_expertise="",FALSE,SUMPRODUCT(--ISNUMBER(SEARCH(","&amp;TRIM(TEXTSPLIT(ES144,","))&amp;",",","&amp;SUBSTITUTE(input_faculty_expertise," ","")&amp;",")))&gt;0)),IF(EU144="",TRUE,IF(input_faculty_expertise="",FALSE,SUMPRODUCT(--ISNUMBER(SEARCH(","&amp;TRIM(TEXTSPLIT(EU144,","))&amp;",",","&amp;SUBSTITUTE(input_faculty_expertise," ","")&amp;",")))=COUNTA(TEXTSPLIT(EU144,",")))))</f>
        <v/>
      </c>
      <c r="JH144" s="19">
        <f>AND(IF(EW144="",TRUE,IF(input_global_network_school="",FALSE,SUMPRODUCT(--ISNUMBER(SEARCH(","&amp;TRIM(TEXTSPLIT(EW144,","))&amp;",",","&amp;SUBSTITUTE(input_global_network_school," ","")&amp;",")))&gt;0)),IF(EY144="",TRUE,IF(input_global_network_school="",FALSE,SUMPRODUCT(--ISNUMBER(SEARCH(","&amp;TRIM(TEXTSPLIT(EY144,","))&amp;",",","&amp;SUBSTITUTE(input_global_network_school," ","")&amp;",")))=COUNTA(TEXTSPLIT(EY144,",")))),IF(FA144="",TRUE,IF(input_global_network_school="",TRUE,SUMPRODUCT(--ISNUMBER(SEARCH(","&amp;TRIM(TEXTSPLIT(FA144,","))&amp;",",","&amp;SUBSTITUTE(input_global_network_school," ","")&amp;",")))=0)),IF(FC144="",TRUE,IF(input_global_network_school="",FALSE,SUMPRODUCT(--ISNUMBER(SEARCH(","&amp;TRIM(TEXTSPLIT(FC144,","))&amp;",",","&amp;SUBSTITUTE(input_global_network_school," ","")&amp;",")))&gt;0)),IF(FE144="",TRUE,IF(input_global_network_school="",FALSE,SUMPRODUCT(--ISNUMBER(SEARCH(","&amp;TRIM(TEXTSPLIT(FE144,","))&amp;",",","&amp;SUBSTITUTE(input_global_network_school," ","")&amp;",")))=COUNTA(TEXTSPLIT(FE144,",")))))</f>
        <v/>
      </c>
      <c r="JI144" s="19">
        <f>AND(IF(FG144="",TRUE,IF(input_industry="",FALSE,SUMPRODUCT(--ISNUMBER(SEARCH(","&amp;TRIM(TEXTSPLIT(FG144,","))&amp;",",","&amp;SUBSTITUTE(input_industry," ","")&amp;",")))&gt;0)),IF(FI144="",TRUE,IF(input_industry="",FALSE,SUMPRODUCT(--ISNUMBER(SEARCH(","&amp;TRIM(TEXTSPLIT(FI144,","))&amp;",",","&amp;SUBSTITUTE(input_industry," ","")&amp;",")))=COUNTA(TEXTSPLIT(FI144,",")))),IF(FK144="",TRUE,IF(input_industry="",TRUE,SUMPRODUCT(--ISNUMBER(SEARCH(","&amp;TRIM(TEXTSPLIT(FK144,","))&amp;",",","&amp;SUBSTITUTE(input_industry," ","")&amp;",")))=0)),IF(FM144="",TRUE,IF(input_industry="",FALSE,SUMPRODUCT(--ISNUMBER(SEARCH(","&amp;TRIM(TEXTSPLIT(FM144,","))&amp;",",","&amp;SUBSTITUTE(input_industry," ","")&amp;",")))&gt;0)),IF(FO144="",TRUE,IF(input_industry="",FALSE,SUMPRODUCT(--ISNUMBER(SEARCH(","&amp;TRIM(TEXTSPLIT(FO144,","))&amp;",",","&amp;SUBSTITUTE(input_industry," ","")&amp;",")))=COUNTA(TEXTSPLIT(FO144,",")))))</f>
        <v/>
      </c>
      <c r="JJ144" s="19">
        <f>AND(IF(FQ144="",TRUE,IF(input_location="",FALSE,SUMPRODUCT(--ISNUMBER(SEARCH(","&amp;TRIM(TEXTSPLIT(FQ144,","))&amp;",",","&amp;SUBSTITUTE(input_location," ","")&amp;",")))&gt;0)),IF(FS144="",TRUE,IF(input_location="",FALSE,SUMPRODUCT(--ISNUMBER(SEARCH(","&amp;TRIM(TEXTSPLIT(FS144,","))&amp;",",","&amp;SUBSTITUTE(input_location," ","")&amp;",")))=COUNTA(TEXTSPLIT(FS144,",")))),IF(FU144="",TRUE,IF(input_location="",TRUE,SUMPRODUCT(--ISNUMBER(SEARCH(","&amp;TRIM(TEXTSPLIT(FU144,","))&amp;",",","&amp;SUBSTITUTE(input_location," ","")&amp;",")))=0)),IF(FW144="",TRUE,IF(input_location="",FALSE,SUMPRODUCT(--ISNUMBER(SEARCH(","&amp;TRIM(TEXTSPLIT(FW144,","))&amp;",",","&amp;SUBSTITUTE(input_location," ","")&amp;",")))&gt;0)),IF(FY144="",TRUE,IF(input_location="",FALSE,SUMPRODUCT(--ISNUMBER(SEARCH(","&amp;TRIM(TEXTSPLIT(FY144,","))&amp;",",","&amp;SUBSTITUTE(input_location," ","")&amp;",")))=COUNTA(TEXTSPLIT(FY144,",")))))</f>
        <v/>
      </c>
      <c r="JK144" s="19">
        <f>AND(IF(GA144="",TRUE,IF(input_modality="",FALSE,SUMPRODUCT(--ISNUMBER(SEARCH(","&amp;TRIM(TEXTSPLIT(GA144,","))&amp;",",","&amp;SUBSTITUTE(input_modality," ","")&amp;",")))&gt;0)),IF(GC144="",TRUE,IF(input_modality="",FALSE,SUMPRODUCT(--ISNUMBER(SEARCH(","&amp;TRIM(TEXTSPLIT(GC144,","))&amp;",",","&amp;SUBSTITUTE(input_modality," ","")&amp;",")))=COUNTA(TEXTSPLIT(GC144,",")))),IF(GE144="",TRUE,IF(input_modality="",TRUE,SUMPRODUCT(--ISNUMBER(SEARCH(","&amp;TRIM(TEXTSPLIT(GE144,","))&amp;",",","&amp;SUBSTITUTE(input_modality," ","")&amp;",")))=0)),IF(GG144="",TRUE,IF(input_modality="",FALSE,SUMPRODUCT(--ISNUMBER(SEARCH(","&amp;TRIM(TEXTSPLIT(GG144,","))&amp;",",","&amp;SUBSTITUTE(input_modality," ","")&amp;",")))&gt;0)),IF(GI144="",TRUE,IF(input_modality="",FALSE,SUMPRODUCT(--ISNUMBER(SEARCH(","&amp;TRIM(TEXTSPLIT(GI144,","))&amp;",",","&amp;SUBSTITUTE(input_modality," ","")&amp;",")))=COUNTA(TEXTSPLIT(GI144,",")))))</f>
        <v/>
      </c>
      <c r="JL144" s="19">
        <f>AND(IF(GK144="",TRUE,IF(input_organizer="",FALSE,SUMPRODUCT(--ISNUMBER(SEARCH(","&amp;TRIM(TEXTSPLIT(GK144,","))&amp;",",","&amp;SUBSTITUTE(input_organizer," ","")&amp;",")))&gt;0)),IF(GM144="",TRUE,IF(input_organizer="",FALSE,SUMPRODUCT(--ISNUMBER(SEARCH(","&amp;TRIM(TEXTSPLIT(GM144,","))&amp;",",","&amp;SUBSTITUTE(input_organizer," ","")&amp;",")))=COUNTA(TEXTSPLIT(GM144,",")))),IF(GO144="",TRUE,IF(input_organizer="",TRUE,SUMPRODUCT(--ISNUMBER(SEARCH(","&amp;TRIM(TEXTSPLIT(GO144,","))&amp;",",","&amp;SUBSTITUTE(input_organizer," ","")&amp;",")))=0)),IF(GQ144="",TRUE,IF(input_organizer="",FALSE,SUMPRODUCT(--ISNUMBER(SEARCH(","&amp;TRIM(TEXTSPLIT(GQ144,","))&amp;",",","&amp;SUBSTITUTE(input_organizer," ","")&amp;",")))&gt;0)),IF(GS144="",TRUE,IF(input_organizer="",FALSE,SUMPRODUCT(--ISNUMBER(SEARCH(","&amp;TRIM(TEXTSPLIT(GS144,","))&amp;",",","&amp;SUBSTITUTE(input_organizer," ","")&amp;",")))=COUNTA(TEXTSPLIT(GS144,",")))))</f>
        <v/>
      </c>
      <c r="JM144" s="19">
        <f>AND(IF(GU144="",TRUE,IF(input_profile_type="",FALSE,SUMPRODUCT(--ISNUMBER(SEARCH(","&amp;TRIM(TEXTSPLIT(GU144,","))&amp;",",","&amp;SUBSTITUTE(input_profile_type," ","")&amp;",")))&gt;0)),IF(GW144="",TRUE,IF(input_profile_type="",FALSE,SUMPRODUCT(--ISNUMBER(SEARCH(","&amp;TRIM(TEXTSPLIT(GW144,","))&amp;",",","&amp;SUBSTITUTE(input_profile_type," ","")&amp;",")))=COUNTA(TEXTSPLIT(GW144,",")))),IF(GY144="",TRUE,IF(input_profile_type="",TRUE,SUMPRODUCT(--ISNUMBER(SEARCH(","&amp;TRIM(TEXTSPLIT(GY144,","))&amp;",",","&amp;SUBSTITUTE(input_profile_type," ","")&amp;",")))=0)),IF(HA144="",TRUE,IF(input_profile_type="",FALSE,SUMPRODUCT(--ISNUMBER(SEARCH(","&amp;TRIM(TEXTSPLIT(HA144,","))&amp;",",","&amp;SUBSTITUTE(input_profile_type," ","")&amp;",")))&gt;0)),IF(HC144="",TRUE,IF(input_profile_type="",FALSE,SUMPRODUCT(--ISNUMBER(SEARCH(","&amp;TRIM(TEXTSPLIT(HC144,","))&amp;",",","&amp;SUBSTITUTE(input_profile_type," ","")&amp;",")))=COUNTA(TEXTSPLIT(HC144,",")))))</f>
        <v/>
      </c>
      <c r="JN144" s="19">
        <f>AND(IF(HE144="",TRUE,IF(input_program="",FALSE,SUMPRODUCT(--ISNUMBER(SEARCH(","&amp;TRIM(TEXTSPLIT(HE144,","))&amp;",",","&amp;SUBSTITUTE(input_program," ","")&amp;",")))&gt;0)),IF(HG144="",TRUE,IF(input_program="",FALSE,SUMPRODUCT(--ISNUMBER(SEARCH(","&amp;TRIM(TEXTSPLIT(HG144,","))&amp;",",","&amp;SUBSTITUTE(input_program," ","")&amp;",")))=COUNTA(TEXTSPLIT(HG144,",")))),IF(HI144="",TRUE,IF(input_program="",TRUE,SUMPRODUCT(--ISNUMBER(SEARCH(","&amp;TRIM(TEXTSPLIT(HI144,","))&amp;",",","&amp;SUBSTITUTE(input_program," ","")&amp;",")))=0)),IF(HK144="",TRUE,IF(input_program="",FALSE,SUMPRODUCT(--ISNUMBER(SEARCH(","&amp;TRIM(TEXTSPLIT(HK144,","))&amp;",",","&amp;SUBSTITUTE(input_program," ","")&amp;",")))&gt;0)),IF(HM144="",TRUE,IF(input_program="",FALSE,SUMPRODUCT(--ISNUMBER(SEARCH(","&amp;TRIM(TEXTSPLIT(HM144,","))&amp;",",","&amp;SUBSTITUTE(input_program," ","")&amp;",")))=COUNTA(TEXTSPLIT(HM144,",")))))</f>
        <v/>
      </c>
      <c r="JO144" s="19">
        <f>AND(IF(HO144="",TRUE,IF(input_story_categories="",FALSE,SUMPRODUCT(--ISNUMBER(SEARCH(","&amp;TRIM(TEXTSPLIT(HO144,","))&amp;",",","&amp;SUBSTITUTE(input_story_categories," ","")&amp;",")))&gt;0)),IF(HQ144="",TRUE,IF(input_story_categories="",FALSE,SUMPRODUCT(--ISNUMBER(SEARCH(","&amp;TRIM(TEXTSPLIT(HQ144,","))&amp;",",","&amp;SUBSTITUTE(input_story_categories," ","")&amp;",")))=COUNTA(TEXTSPLIT(HQ144,",")))),IF(HS144="",TRUE,IF(input_story_categories="",TRUE,SUMPRODUCT(--ISNUMBER(SEARCH(","&amp;TRIM(TEXTSPLIT(HS144,","))&amp;",",","&amp;SUBSTITUTE(input_story_categories," ","")&amp;",")))=0)),IF(HU144="",TRUE,IF(input_story_categories="",FALSE,SUMPRODUCT(--ISNUMBER(SEARCH(","&amp;TRIM(TEXTSPLIT(HU144,","))&amp;",",","&amp;SUBSTITUTE(input_story_categories," ","")&amp;",")))&gt;0)),IF(HW144="",TRUE,IF(input_story_categories="",FALSE,SUMPRODUCT(--ISNUMBER(SEARCH(","&amp;TRIM(TEXTSPLIT(HW144,","))&amp;",",","&amp;SUBSTITUTE(input_story_categories," ","")&amp;",")))=COUNTA(TEXTSPLIT(HW144,",")))))</f>
        <v/>
      </c>
      <c r="JP144" s="19">
        <f>AND(IF(HY144="",TRUE,IF(input_story_type="",FALSE,SUMPRODUCT(--ISNUMBER(SEARCH(","&amp;TRIM(TEXTSPLIT(HY144,","))&amp;",",","&amp;SUBSTITUTE(input_story_type," ","")&amp;",")))&gt;0)),IF(IA144="",TRUE,IF(input_story_type="",FALSE,SUMPRODUCT(--ISNUMBER(SEARCH(","&amp;TRIM(TEXTSPLIT(IA144,","))&amp;",",","&amp;SUBSTITUTE(input_story_type," ","")&amp;",")))=COUNTA(TEXTSPLIT(IA144,",")))),IF(IC144="",TRUE,IF(input_story_type="",TRUE,SUMPRODUCT(--ISNUMBER(SEARCH(","&amp;TRIM(TEXTSPLIT(IC144,","))&amp;",",","&amp;SUBSTITUTE(input_story_type," ","")&amp;",")))=0)),IF(IE144="",TRUE,IF(input_story_type="",FALSE,SUMPRODUCT(--ISNUMBER(SEARCH(","&amp;TRIM(TEXTSPLIT(IE144,","))&amp;",",","&amp;SUBSTITUTE(input_story_type," ","")&amp;",")))&gt;0)),IF(IG144="",TRUE,IF(input_story_type="",FALSE,SUMPRODUCT(--ISNUMBER(SEARCH(","&amp;TRIM(TEXTSPLIT(IG144,","))&amp;",",","&amp;SUBSTITUTE(input_story_type," ","")&amp;",")))=COUNTA(TEXTSPLIT(IG144,",")))))</f>
        <v/>
      </c>
      <c r="JQ144" s="19">
        <f>AND(IF(II144="",TRUE,IF(input_topics="",FALSE,SUMPRODUCT(--ISNUMBER(SEARCH(","&amp;TRIM(TEXTSPLIT(II144,","))&amp;",",","&amp;SUBSTITUTE(input_topics," ","")&amp;",")))&gt;0)),IF(IK144="",TRUE,IF(input_topics="",FALSE,SUMPRODUCT(--ISNUMBER(SEARCH(","&amp;TRIM(TEXTSPLIT(IK144,","))&amp;",",","&amp;SUBSTITUTE(input_topics," ","")&amp;",")))=COUNTA(TEXTSPLIT(IK144,",")))),IF(IM144="",TRUE,IF(input_topics="",TRUE,SUMPRODUCT(--ISNUMBER(SEARCH(","&amp;TRIM(TEXTSPLIT(IM144,","))&amp;",",","&amp;SUBSTITUTE(input_topics," ","")&amp;",")))=0)),IF(IO144="",TRUE,IF(input_topics="",FALSE,SUMPRODUCT(--ISNUMBER(SEARCH(","&amp;TRIM(TEXTSPLIT(IO144,","))&amp;",",","&amp;SUBSTITUTE(input_topics," ","")&amp;",")))&gt;0)),IF(IQ144="",TRUE,IF(input_topics="",FALSE,SUMPRODUCT(--ISNUMBER(SEARCH(","&amp;TRIM(TEXTSPLIT(IQ144,","))&amp;",",","&amp;SUBSTITUTE(input_topics," ","")&amp;",")))=COUNTA(TEXTSPLIT(IQ144,",")))))</f>
        <v/>
      </c>
    </row>
    <row r="145">
      <c r="A145" s="24">
        <f>IF(NOT(IS145),"Excluded",IF(AND(IT145,IU145,IV145,IW145,IX145,IY145,IZ145,JA145,JB145,JC145,JD145,JE145,JF145,JG145,JH145,JI145,JJ145,JK145,JL145,JM145,JN145,JO145,JP145,JQ145),IF(I145&gt;0,"Eligible but limited","Will appear"),"Excluded"))</f>
        <v/>
      </c>
      <c r="B145" s="24" t="inlineStr">
        <is>
          <t>News - Summary</t>
        </is>
      </c>
      <c r="C145" s="27" t="inlineStr">
        <is>
          <t>/the-som-experience/interests-and-industries/sustainability</t>
        </is>
      </c>
      <c r="D145" s="24" t="inlineStr">
        <is>
          <t>/the-som-experience/interests-and-industries/sustainability</t>
        </is>
      </c>
      <c r="E145" s="24" t="n">
        <v>1</v>
      </c>
      <c r="F145" s="24" t="inlineStr">
        <is>
          <t>story</t>
        </is>
      </c>
      <c r="G145" s="24" t="inlineStr">
        <is>
          <t>stories_mosaic_grid</t>
        </is>
      </c>
      <c r="H145" s="24" t="inlineStr">
        <is>
          <t>embed_news_summary</t>
        </is>
      </c>
      <c r="I145" s="24" t="n">
        <v>1</v>
      </c>
      <c r="J145" s="24" t="inlineStr">
        <is>
          <t>View/config rules</t>
        </is>
      </c>
      <c r="K145" s="24" t="inlineStr">
        <is>
          <t>Page placement</t>
        </is>
      </c>
      <c r="L145" s="24" t="inlineStr">
        <is>
          <t>Content type: story; Needs any Story Type: News (924); Limited to 1 item(s); Source: View/config rules</t>
        </is>
      </c>
      <c r="HY145" s="19" t="inlineStr">
        <is>
          <t>924</t>
        </is>
      </c>
      <c r="HZ145" s="19" t="inlineStr">
        <is>
          <t>News (924)</t>
        </is>
      </c>
      <c r="IS145" s="19">
        <f>IF(input_content_type="",FALSE,ISNUMBER(SEARCH(","&amp;LOWER(input_content_type)&amp;",",","&amp;LOWER(SUBSTITUTE(F145," ",""))&amp;",")))</f>
        <v/>
      </c>
      <c r="IT145" s="19">
        <f>AND(IF(M145="",TRUE,IF(input_affiliations="",FALSE,SUMPRODUCT(--ISNUMBER(SEARCH(","&amp;TRIM(TEXTSPLIT(M145,","))&amp;",",","&amp;SUBSTITUTE(input_affiliations," ","")&amp;",")))&gt;0)),IF(O145="",TRUE,IF(input_affiliations="",FALSE,SUMPRODUCT(--ISNUMBER(SEARCH(","&amp;TRIM(TEXTSPLIT(O145,","))&amp;",",","&amp;SUBSTITUTE(input_affiliations," ","")&amp;",")))=COUNTA(TEXTSPLIT(O145,",")))),IF(Q145="",TRUE,IF(input_affiliations="",TRUE,SUMPRODUCT(--ISNUMBER(SEARCH(","&amp;TRIM(TEXTSPLIT(Q145,","))&amp;",",","&amp;SUBSTITUTE(input_affiliations," ","")&amp;",")))=0)),IF(S145="",TRUE,IF(input_affiliations="",FALSE,SUMPRODUCT(--ISNUMBER(SEARCH(","&amp;TRIM(TEXTSPLIT(S145,","))&amp;",",","&amp;SUBSTITUTE(input_affiliations," ","")&amp;",")))&gt;0)),IF(U145="",TRUE,IF(input_affiliations="",FALSE,SUMPRODUCT(--ISNUMBER(SEARCH(","&amp;TRIM(TEXTSPLIT(U145,","))&amp;",",","&amp;SUBSTITUTE(input_affiliations," ","")&amp;",")))=COUNTA(TEXTSPLIT(U145,",")))))</f>
        <v/>
      </c>
      <c r="IU145" s="19">
        <f>AND(IF(W145="",TRUE,IF(input_announcement_category="",FALSE,SUMPRODUCT(--ISNUMBER(SEARCH(","&amp;TRIM(TEXTSPLIT(W145,","))&amp;",",","&amp;SUBSTITUTE(input_announcement_category," ","")&amp;",")))&gt;0)),IF(Y145="",TRUE,IF(input_announcement_category="",FALSE,SUMPRODUCT(--ISNUMBER(SEARCH(","&amp;TRIM(TEXTSPLIT(Y145,","))&amp;",",","&amp;SUBSTITUTE(input_announcement_category," ","")&amp;",")))=COUNTA(TEXTSPLIT(Y145,",")))),IF(AA145="",TRUE,IF(input_announcement_category="",TRUE,SUMPRODUCT(--ISNUMBER(SEARCH(","&amp;TRIM(TEXTSPLIT(AA145,","))&amp;",",","&amp;SUBSTITUTE(input_announcement_category," ","")&amp;",")))=0)),IF(AC145="",TRUE,IF(input_announcement_category="",FALSE,SUMPRODUCT(--ISNUMBER(SEARCH(","&amp;TRIM(TEXTSPLIT(AC145,","))&amp;",",","&amp;SUBSTITUTE(input_announcement_category," ","")&amp;",")))&gt;0)),IF(AE145="",TRUE,IF(input_announcement_category="",FALSE,SUMPRODUCT(--ISNUMBER(SEARCH(","&amp;TRIM(TEXTSPLIT(AE145,","))&amp;",",","&amp;SUBSTITUTE(input_announcement_category," ","")&amp;",")))=COUNTA(TEXTSPLIT(AE145,",")))))</f>
        <v/>
      </c>
      <c r="IV145" s="19">
        <f>AND(IF(AG145="",TRUE,IF(input_area_of_focus="",FALSE,SUMPRODUCT(--ISNUMBER(SEARCH(","&amp;TRIM(TEXTSPLIT(AG145,","))&amp;",",","&amp;SUBSTITUTE(input_area_of_focus," ","")&amp;",")))&gt;0)),IF(AI145="",TRUE,IF(input_area_of_focus="",FALSE,SUMPRODUCT(--ISNUMBER(SEARCH(","&amp;TRIM(TEXTSPLIT(AI145,","))&amp;",",","&amp;SUBSTITUTE(input_area_of_focus," ","")&amp;",")))=COUNTA(TEXTSPLIT(AI145,",")))),IF(AK145="",TRUE,IF(input_area_of_focus="",TRUE,SUMPRODUCT(--ISNUMBER(SEARCH(","&amp;TRIM(TEXTSPLIT(AK145,","))&amp;",",","&amp;SUBSTITUTE(input_area_of_focus," ","")&amp;",")))=0)),IF(AM145="",TRUE,IF(input_area_of_focus="",FALSE,SUMPRODUCT(--ISNUMBER(SEARCH(","&amp;TRIM(TEXTSPLIT(AM145,","))&amp;",",","&amp;SUBSTITUTE(input_area_of_focus," ","")&amp;",")))&gt;0)),IF(AO145="",TRUE,IF(input_area_of_focus="",FALSE,SUMPRODUCT(--ISNUMBER(SEARCH(","&amp;TRIM(TEXTSPLIT(AO145,","))&amp;",",","&amp;SUBSTITUTE(input_area_of_focus," ","")&amp;",")))=COUNTA(TEXTSPLIT(AO145,",")))))</f>
        <v/>
      </c>
      <c r="IW145" s="19">
        <f>AND(IF(AQ145="",TRUE,IF(input_audience="",FALSE,SUMPRODUCT(--ISNUMBER(SEARCH(","&amp;TRIM(TEXTSPLIT(AQ145,","))&amp;",",","&amp;SUBSTITUTE(input_audience," ","")&amp;",")))&gt;0)),IF(AS145="",TRUE,IF(input_audience="",FALSE,SUMPRODUCT(--ISNUMBER(SEARCH(","&amp;TRIM(TEXTSPLIT(AS145,","))&amp;",",","&amp;SUBSTITUTE(input_audience," ","")&amp;",")))=COUNTA(TEXTSPLIT(AS145,",")))),IF(AU145="",TRUE,IF(input_audience="",TRUE,SUMPRODUCT(--ISNUMBER(SEARCH(","&amp;TRIM(TEXTSPLIT(AU145,","))&amp;",",","&amp;SUBSTITUTE(input_audience," ","")&amp;",")))=0)),IF(AW145="",TRUE,IF(input_audience="",FALSE,SUMPRODUCT(--ISNUMBER(SEARCH(","&amp;TRIM(TEXTSPLIT(AW145,","))&amp;",",","&amp;SUBSTITUTE(input_audience," ","")&amp;",")))&gt;0)),IF(AY145="",TRUE,IF(input_audience="",FALSE,SUMPRODUCT(--ISNUMBER(SEARCH(","&amp;TRIM(TEXTSPLIT(AY145,","))&amp;",",","&amp;SUBSTITUTE(input_audience," ","")&amp;",")))=COUNTA(TEXTSPLIT(AY145,",")))))</f>
        <v/>
      </c>
      <c r="IX145" s="19">
        <f>AND(IF(BA145="",TRUE,IF(input_challenge_opportunities="",FALSE,SUMPRODUCT(--ISNUMBER(SEARCH(","&amp;TRIM(TEXTSPLIT(BA145,","))&amp;",",","&amp;SUBSTITUTE(input_challenge_opportunities," ","")&amp;",")))&gt;0)),IF(BC145="",TRUE,IF(input_challenge_opportunities="",FALSE,SUMPRODUCT(--ISNUMBER(SEARCH(","&amp;TRIM(TEXTSPLIT(BC145,","))&amp;",",","&amp;SUBSTITUTE(input_challenge_opportunities," ","")&amp;",")))=COUNTA(TEXTSPLIT(BC145,",")))),IF(BE145="",TRUE,IF(input_challenge_opportunities="",TRUE,SUMPRODUCT(--ISNUMBER(SEARCH(","&amp;TRIM(TEXTSPLIT(BE145,","))&amp;",",","&amp;SUBSTITUTE(input_challenge_opportunities," ","")&amp;",")))=0)),IF(BG145="",TRUE,IF(input_challenge_opportunities="",FALSE,SUMPRODUCT(--ISNUMBER(SEARCH(","&amp;TRIM(TEXTSPLIT(BG145,","))&amp;",",","&amp;SUBSTITUTE(input_challenge_opportunities," ","")&amp;",")))&gt;0)),IF(BI145="",TRUE,IF(input_challenge_opportunities="",FALSE,SUMPRODUCT(--ISNUMBER(SEARCH(","&amp;TRIM(TEXTSPLIT(BI145,","))&amp;",",","&amp;SUBSTITUTE(input_challenge_opportunities," ","")&amp;",")))=COUNTA(TEXTSPLIT(BI145,",")))))</f>
        <v/>
      </c>
      <c r="IY145" s="19">
        <f>AND(IF(BK145="",TRUE,IF(input_context="",FALSE,SUMPRODUCT(--ISNUMBER(SEARCH(","&amp;TRIM(TEXTSPLIT(BK145,","))&amp;",",","&amp;SUBSTITUTE(input_context," ","")&amp;",")))&gt;0)),IF(BM145="",TRUE,IF(input_context="",FALSE,SUMPRODUCT(--ISNUMBER(SEARCH(","&amp;TRIM(TEXTSPLIT(BM145,","))&amp;",",","&amp;SUBSTITUTE(input_context," ","")&amp;",")))=COUNTA(TEXTSPLIT(BM145,",")))),IF(BO145="",TRUE,IF(input_context="",TRUE,SUMPRODUCT(--ISNUMBER(SEARCH(","&amp;TRIM(TEXTSPLIT(BO145,","))&amp;",",","&amp;SUBSTITUTE(input_context," ","")&amp;",")))=0)),IF(BQ145="",TRUE,IF(input_context="",FALSE,SUMPRODUCT(--ISNUMBER(SEARCH(","&amp;TRIM(TEXTSPLIT(BQ145,","))&amp;",",","&amp;SUBSTITUTE(input_context," ","")&amp;",")))&gt;0)),IF(BS145="",TRUE,IF(input_context="",FALSE,SUMPRODUCT(--ISNUMBER(SEARCH(","&amp;TRIM(TEXTSPLIT(BS145,","))&amp;",",","&amp;SUBSTITUTE(input_context," ","")&amp;",")))=COUNTA(TEXTSPLIT(BS145,",")))))</f>
        <v/>
      </c>
      <c r="IZ145" s="19">
        <f>AND(IF(BU145="",TRUE,IF(input_enews_announcement_type="",FALSE,SUMPRODUCT(--ISNUMBER(SEARCH(","&amp;TRIM(TEXTSPLIT(BU145,","))&amp;",",","&amp;SUBSTITUTE(input_enews_announcement_type," ","")&amp;",")))&gt;0)),IF(BW145="",TRUE,IF(input_enews_announcement_type="",FALSE,SUMPRODUCT(--ISNUMBER(SEARCH(","&amp;TRIM(TEXTSPLIT(BW145,","))&amp;",",","&amp;SUBSTITUTE(input_enews_announcement_type," ","")&amp;",")))=COUNTA(TEXTSPLIT(BW145,",")))),IF(BY145="",TRUE,IF(input_enews_announcement_type="",TRUE,SUMPRODUCT(--ISNUMBER(SEARCH(","&amp;TRIM(TEXTSPLIT(BY145,","))&amp;",",","&amp;SUBSTITUTE(input_enews_announcement_type," ","")&amp;",")))=0)),IF(CA145="",TRUE,IF(input_enews_announcement_type="",FALSE,SUMPRODUCT(--ISNUMBER(SEARCH(","&amp;TRIM(TEXTSPLIT(CA145,","))&amp;",",","&amp;SUBSTITUTE(input_enews_announcement_type," ","")&amp;",")))&gt;0)),IF(CC145="",TRUE,IF(input_enews_announcement_type="",FALSE,SUMPRODUCT(--ISNUMBER(SEARCH(","&amp;TRIM(TEXTSPLIT(CC145,","))&amp;",",","&amp;SUBSTITUTE(input_enews_announcement_type," ","")&amp;",")))=COUNTA(TEXTSPLIT(CC145,",")))))</f>
        <v/>
      </c>
      <c r="JA145" s="19">
        <f>AND(IF(CE145="",TRUE,IF(input_enews_audience="",FALSE,SUMPRODUCT(--ISNUMBER(SEARCH(","&amp;TRIM(TEXTSPLIT(CE145,","))&amp;",",","&amp;SUBSTITUTE(input_enews_audience," ","")&amp;",")))&gt;0)),IF(CG145="",TRUE,IF(input_enews_audience="",FALSE,SUMPRODUCT(--ISNUMBER(SEARCH(","&amp;TRIM(TEXTSPLIT(CG145,","))&amp;",",","&amp;SUBSTITUTE(input_enews_audience," ","")&amp;",")))=COUNTA(TEXTSPLIT(CG145,",")))),IF(CI145="",TRUE,IF(input_enews_audience="",TRUE,SUMPRODUCT(--ISNUMBER(SEARCH(","&amp;TRIM(TEXTSPLIT(CI145,","))&amp;",",","&amp;SUBSTITUTE(input_enews_audience," ","")&amp;",")))=0)),IF(CK145="",TRUE,IF(input_enews_audience="",FALSE,SUMPRODUCT(--ISNUMBER(SEARCH(","&amp;TRIM(TEXTSPLIT(CK145,","))&amp;",",","&amp;SUBSTITUTE(input_enews_audience," ","")&amp;",")))&gt;0)),IF(CM145="",TRUE,IF(input_enews_audience="",FALSE,SUMPRODUCT(--ISNUMBER(SEARCH(","&amp;TRIM(TEXTSPLIT(CM145,","))&amp;",",","&amp;SUBSTITUTE(input_enews_audience," ","")&amp;",")))=COUNTA(TEXTSPLIT(CM145,",")))))</f>
        <v/>
      </c>
      <c r="JB145" s="19">
        <f>AND(IF(CO145="",TRUE,IF(input_event_location="",FALSE,SUMPRODUCT(--ISNUMBER(SEARCH(","&amp;TRIM(TEXTSPLIT(CO145,","))&amp;",",","&amp;SUBSTITUTE(input_event_location," ","")&amp;",")))&gt;0)),IF(CQ145="",TRUE,IF(input_event_location="",FALSE,SUMPRODUCT(--ISNUMBER(SEARCH(","&amp;TRIM(TEXTSPLIT(CQ145,","))&amp;",",","&amp;SUBSTITUTE(input_event_location," ","")&amp;",")))=COUNTA(TEXTSPLIT(CQ145,",")))),IF(CS145="",TRUE,IF(input_event_location="",TRUE,SUMPRODUCT(--ISNUMBER(SEARCH(","&amp;TRIM(TEXTSPLIT(CS145,","))&amp;",",","&amp;SUBSTITUTE(input_event_location," ","")&amp;",")))=0)),IF(CU145="",TRUE,IF(input_event_location="",FALSE,SUMPRODUCT(--ISNUMBER(SEARCH(","&amp;TRIM(TEXTSPLIT(CU145,","))&amp;",",","&amp;SUBSTITUTE(input_event_location," ","")&amp;",")))&gt;0)),IF(CW145="",TRUE,IF(input_event_location="",FALSE,SUMPRODUCT(--ISNUMBER(SEARCH(","&amp;TRIM(TEXTSPLIT(CW145,","))&amp;",",","&amp;SUBSTITUTE(input_event_location," ","")&amp;",")))=COUNTA(TEXTSPLIT(CW145,",")))))</f>
        <v/>
      </c>
      <c r="JC145" s="19">
        <f>AND(IF(CY145="",TRUE,IF(input_event_type="",FALSE,SUMPRODUCT(--ISNUMBER(SEARCH(","&amp;TRIM(TEXTSPLIT(CY145,","))&amp;",",","&amp;SUBSTITUTE(input_event_type," ","")&amp;",")))&gt;0)),IF(DA145="",TRUE,IF(input_event_type="",FALSE,SUMPRODUCT(--ISNUMBER(SEARCH(","&amp;TRIM(TEXTSPLIT(DA145,","))&amp;",",","&amp;SUBSTITUTE(input_event_type," ","")&amp;",")))=COUNTA(TEXTSPLIT(DA145,",")))),IF(DC145="",TRUE,IF(input_event_type="",TRUE,SUMPRODUCT(--ISNUMBER(SEARCH(","&amp;TRIM(TEXTSPLIT(DC145,","))&amp;",",","&amp;SUBSTITUTE(input_event_type," ","")&amp;",")))=0)),IF(DE145="",TRUE,IF(input_event_type="",FALSE,SUMPRODUCT(--ISNUMBER(SEARCH(","&amp;TRIM(TEXTSPLIT(DE145,","))&amp;",",","&amp;SUBSTITUTE(input_event_type," ","")&amp;",")))&gt;0)),IF(DG145="",TRUE,IF(input_event_type="",FALSE,SUMPRODUCT(--ISNUMBER(SEARCH(","&amp;TRIM(TEXTSPLIT(DG145,","))&amp;",",","&amp;SUBSTITUTE(input_event_type," ","")&amp;",")))=COUNTA(TEXTSPLIT(DG145,",")))))</f>
        <v/>
      </c>
      <c r="JD145" s="19">
        <f>AND(IF(DI145="",TRUE,IF(input_executive_education_focus="",FALSE,SUMPRODUCT(--ISNUMBER(SEARCH(","&amp;TRIM(TEXTSPLIT(DI145,","))&amp;",",","&amp;SUBSTITUTE(input_executive_education_focus," ","")&amp;",")))&gt;0)),IF(DK145="",TRUE,IF(input_executive_education_focus="",FALSE,SUMPRODUCT(--ISNUMBER(SEARCH(","&amp;TRIM(TEXTSPLIT(DK145,","))&amp;",",","&amp;SUBSTITUTE(input_executive_education_focus," ","")&amp;",")))=COUNTA(TEXTSPLIT(DK145,",")))),IF(DM145="",TRUE,IF(input_executive_education_focus="",TRUE,SUMPRODUCT(--ISNUMBER(SEARCH(","&amp;TRIM(TEXTSPLIT(DM145,","))&amp;",",","&amp;SUBSTITUTE(input_executive_education_focus," ","")&amp;",")))=0)),IF(DO145="",TRUE,IF(input_executive_education_focus="",FALSE,SUMPRODUCT(--ISNUMBER(SEARCH(","&amp;TRIM(TEXTSPLIT(DO145,","))&amp;",",","&amp;SUBSTITUTE(input_executive_education_focus," ","")&amp;",")))&gt;0)),IF(DQ145="",TRUE,IF(input_executive_education_focus="",FALSE,SUMPRODUCT(--ISNUMBER(SEARCH(","&amp;TRIM(TEXTSPLIT(DQ145,","))&amp;",",","&amp;SUBSTITUTE(input_executive_education_focus," ","")&amp;",")))=COUNTA(TEXTSPLIT(DQ145,",")))))</f>
        <v/>
      </c>
      <c r="JE145" s="19">
        <f>AND(IF(DS145="",TRUE,IF(input_faculty_category="",FALSE,SUMPRODUCT(--ISNUMBER(SEARCH(","&amp;TRIM(TEXTSPLIT(DS145,","))&amp;",",","&amp;SUBSTITUTE(input_faculty_category," ","")&amp;",")))&gt;0)),IF(DU145="",TRUE,IF(input_faculty_category="",FALSE,SUMPRODUCT(--ISNUMBER(SEARCH(","&amp;TRIM(TEXTSPLIT(DU145,","))&amp;",",","&amp;SUBSTITUTE(input_faculty_category," ","")&amp;",")))=COUNTA(TEXTSPLIT(DU145,",")))),IF(DW145="",TRUE,IF(input_faculty_category="",TRUE,SUMPRODUCT(--ISNUMBER(SEARCH(","&amp;TRIM(TEXTSPLIT(DW145,","))&amp;",",","&amp;SUBSTITUTE(input_faculty_category," ","")&amp;",")))=0)),IF(DY145="",TRUE,IF(input_faculty_category="",FALSE,SUMPRODUCT(--ISNUMBER(SEARCH(","&amp;TRIM(TEXTSPLIT(DY145,","))&amp;",",","&amp;SUBSTITUTE(input_faculty_category," ","")&amp;",")))&gt;0)),IF(EA145="",TRUE,IF(input_faculty_category="",FALSE,SUMPRODUCT(--ISNUMBER(SEARCH(","&amp;TRIM(TEXTSPLIT(EA145,","))&amp;",",","&amp;SUBSTITUTE(input_faculty_category," ","")&amp;",")))=COUNTA(TEXTSPLIT(EA145,",")))))</f>
        <v/>
      </c>
      <c r="JF145" s="19">
        <f>AND(IF(EC145="",TRUE,IF(input_faculty_discipline="",FALSE,SUMPRODUCT(--ISNUMBER(SEARCH(","&amp;TRIM(TEXTSPLIT(EC145,","))&amp;",",","&amp;SUBSTITUTE(input_faculty_discipline," ","")&amp;",")))&gt;0)),IF(EE145="",TRUE,IF(input_faculty_discipline="",FALSE,SUMPRODUCT(--ISNUMBER(SEARCH(","&amp;TRIM(TEXTSPLIT(EE145,","))&amp;",",","&amp;SUBSTITUTE(input_faculty_discipline," ","")&amp;",")))=COUNTA(TEXTSPLIT(EE145,",")))),IF(EG145="",TRUE,IF(input_faculty_discipline="",TRUE,SUMPRODUCT(--ISNUMBER(SEARCH(","&amp;TRIM(TEXTSPLIT(EG145,","))&amp;",",","&amp;SUBSTITUTE(input_faculty_discipline," ","")&amp;",")))=0)),IF(EI145="",TRUE,IF(input_faculty_discipline="",FALSE,SUMPRODUCT(--ISNUMBER(SEARCH(","&amp;TRIM(TEXTSPLIT(EI145,","))&amp;",",","&amp;SUBSTITUTE(input_faculty_discipline," ","")&amp;",")))&gt;0)),IF(EK145="",TRUE,IF(input_faculty_discipline="",FALSE,SUMPRODUCT(--ISNUMBER(SEARCH(","&amp;TRIM(TEXTSPLIT(EK145,","))&amp;",",","&amp;SUBSTITUTE(input_faculty_discipline," ","")&amp;",")))=COUNTA(TEXTSPLIT(EK145,",")))))</f>
        <v/>
      </c>
      <c r="JG145" s="19">
        <f>AND(IF(EM145="",TRUE,IF(input_faculty_expertise="",FALSE,SUMPRODUCT(--ISNUMBER(SEARCH(","&amp;TRIM(TEXTSPLIT(EM145,","))&amp;",",","&amp;SUBSTITUTE(input_faculty_expertise," ","")&amp;",")))&gt;0)),IF(EO145="",TRUE,IF(input_faculty_expertise="",FALSE,SUMPRODUCT(--ISNUMBER(SEARCH(","&amp;TRIM(TEXTSPLIT(EO145,","))&amp;",",","&amp;SUBSTITUTE(input_faculty_expertise," ","")&amp;",")))=COUNTA(TEXTSPLIT(EO145,",")))),IF(EQ145="",TRUE,IF(input_faculty_expertise="",TRUE,SUMPRODUCT(--ISNUMBER(SEARCH(","&amp;TRIM(TEXTSPLIT(EQ145,","))&amp;",",","&amp;SUBSTITUTE(input_faculty_expertise," ","")&amp;",")))=0)),IF(ES145="",TRUE,IF(input_faculty_expertise="",FALSE,SUMPRODUCT(--ISNUMBER(SEARCH(","&amp;TRIM(TEXTSPLIT(ES145,","))&amp;",",","&amp;SUBSTITUTE(input_faculty_expertise," ","")&amp;",")))&gt;0)),IF(EU145="",TRUE,IF(input_faculty_expertise="",FALSE,SUMPRODUCT(--ISNUMBER(SEARCH(","&amp;TRIM(TEXTSPLIT(EU145,","))&amp;",",","&amp;SUBSTITUTE(input_faculty_expertise," ","")&amp;",")))=COUNTA(TEXTSPLIT(EU145,",")))))</f>
        <v/>
      </c>
      <c r="JH145" s="19">
        <f>AND(IF(EW145="",TRUE,IF(input_global_network_school="",FALSE,SUMPRODUCT(--ISNUMBER(SEARCH(","&amp;TRIM(TEXTSPLIT(EW145,","))&amp;",",","&amp;SUBSTITUTE(input_global_network_school," ","")&amp;",")))&gt;0)),IF(EY145="",TRUE,IF(input_global_network_school="",FALSE,SUMPRODUCT(--ISNUMBER(SEARCH(","&amp;TRIM(TEXTSPLIT(EY145,","))&amp;",",","&amp;SUBSTITUTE(input_global_network_school," ","")&amp;",")))=COUNTA(TEXTSPLIT(EY145,",")))),IF(FA145="",TRUE,IF(input_global_network_school="",TRUE,SUMPRODUCT(--ISNUMBER(SEARCH(","&amp;TRIM(TEXTSPLIT(FA145,","))&amp;",",","&amp;SUBSTITUTE(input_global_network_school," ","")&amp;",")))=0)),IF(FC145="",TRUE,IF(input_global_network_school="",FALSE,SUMPRODUCT(--ISNUMBER(SEARCH(","&amp;TRIM(TEXTSPLIT(FC145,","))&amp;",",","&amp;SUBSTITUTE(input_global_network_school," ","")&amp;",")))&gt;0)),IF(FE145="",TRUE,IF(input_global_network_school="",FALSE,SUMPRODUCT(--ISNUMBER(SEARCH(","&amp;TRIM(TEXTSPLIT(FE145,","))&amp;",",","&amp;SUBSTITUTE(input_global_network_school," ","")&amp;",")))=COUNTA(TEXTSPLIT(FE145,",")))))</f>
        <v/>
      </c>
      <c r="JI145" s="19">
        <f>AND(IF(FG145="",TRUE,IF(input_industry="",FALSE,SUMPRODUCT(--ISNUMBER(SEARCH(","&amp;TRIM(TEXTSPLIT(FG145,","))&amp;",",","&amp;SUBSTITUTE(input_industry," ","")&amp;",")))&gt;0)),IF(FI145="",TRUE,IF(input_industry="",FALSE,SUMPRODUCT(--ISNUMBER(SEARCH(","&amp;TRIM(TEXTSPLIT(FI145,","))&amp;",",","&amp;SUBSTITUTE(input_industry," ","")&amp;",")))=COUNTA(TEXTSPLIT(FI145,",")))),IF(FK145="",TRUE,IF(input_industry="",TRUE,SUMPRODUCT(--ISNUMBER(SEARCH(","&amp;TRIM(TEXTSPLIT(FK145,","))&amp;",",","&amp;SUBSTITUTE(input_industry," ","")&amp;",")))=0)),IF(FM145="",TRUE,IF(input_industry="",FALSE,SUMPRODUCT(--ISNUMBER(SEARCH(","&amp;TRIM(TEXTSPLIT(FM145,","))&amp;",",","&amp;SUBSTITUTE(input_industry," ","")&amp;",")))&gt;0)),IF(FO145="",TRUE,IF(input_industry="",FALSE,SUMPRODUCT(--ISNUMBER(SEARCH(","&amp;TRIM(TEXTSPLIT(FO145,","))&amp;",",","&amp;SUBSTITUTE(input_industry," ","")&amp;",")))=COUNTA(TEXTSPLIT(FO145,",")))))</f>
        <v/>
      </c>
      <c r="JJ145" s="19">
        <f>AND(IF(FQ145="",TRUE,IF(input_location="",FALSE,SUMPRODUCT(--ISNUMBER(SEARCH(","&amp;TRIM(TEXTSPLIT(FQ145,","))&amp;",",","&amp;SUBSTITUTE(input_location," ","")&amp;",")))&gt;0)),IF(FS145="",TRUE,IF(input_location="",FALSE,SUMPRODUCT(--ISNUMBER(SEARCH(","&amp;TRIM(TEXTSPLIT(FS145,","))&amp;",",","&amp;SUBSTITUTE(input_location," ","")&amp;",")))=COUNTA(TEXTSPLIT(FS145,",")))),IF(FU145="",TRUE,IF(input_location="",TRUE,SUMPRODUCT(--ISNUMBER(SEARCH(","&amp;TRIM(TEXTSPLIT(FU145,","))&amp;",",","&amp;SUBSTITUTE(input_location," ","")&amp;",")))=0)),IF(FW145="",TRUE,IF(input_location="",FALSE,SUMPRODUCT(--ISNUMBER(SEARCH(","&amp;TRIM(TEXTSPLIT(FW145,","))&amp;",",","&amp;SUBSTITUTE(input_location," ","")&amp;",")))&gt;0)),IF(FY145="",TRUE,IF(input_location="",FALSE,SUMPRODUCT(--ISNUMBER(SEARCH(","&amp;TRIM(TEXTSPLIT(FY145,","))&amp;",",","&amp;SUBSTITUTE(input_location," ","")&amp;",")))=COUNTA(TEXTSPLIT(FY145,",")))))</f>
        <v/>
      </c>
      <c r="JK145" s="19">
        <f>AND(IF(GA145="",TRUE,IF(input_modality="",FALSE,SUMPRODUCT(--ISNUMBER(SEARCH(","&amp;TRIM(TEXTSPLIT(GA145,","))&amp;",",","&amp;SUBSTITUTE(input_modality," ","")&amp;",")))&gt;0)),IF(GC145="",TRUE,IF(input_modality="",FALSE,SUMPRODUCT(--ISNUMBER(SEARCH(","&amp;TRIM(TEXTSPLIT(GC145,","))&amp;",",","&amp;SUBSTITUTE(input_modality," ","")&amp;",")))=COUNTA(TEXTSPLIT(GC145,",")))),IF(GE145="",TRUE,IF(input_modality="",TRUE,SUMPRODUCT(--ISNUMBER(SEARCH(","&amp;TRIM(TEXTSPLIT(GE145,","))&amp;",",","&amp;SUBSTITUTE(input_modality," ","")&amp;",")))=0)),IF(GG145="",TRUE,IF(input_modality="",FALSE,SUMPRODUCT(--ISNUMBER(SEARCH(","&amp;TRIM(TEXTSPLIT(GG145,","))&amp;",",","&amp;SUBSTITUTE(input_modality," ","")&amp;",")))&gt;0)),IF(GI145="",TRUE,IF(input_modality="",FALSE,SUMPRODUCT(--ISNUMBER(SEARCH(","&amp;TRIM(TEXTSPLIT(GI145,","))&amp;",",","&amp;SUBSTITUTE(input_modality," ","")&amp;",")))=COUNTA(TEXTSPLIT(GI145,",")))))</f>
        <v/>
      </c>
      <c r="JL145" s="19">
        <f>AND(IF(GK145="",TRUE,IF(input_organizer="",FALSE,SUMPRODUCT(--ISNUMBER(SEARCH(","&amp;TRIM(TEXTSPLIT(GK145,","))&amp;",",","&amp;SUBSTITUTE(input_organizer," ","")&amp;",")))&gt;0)),IF(GM145="",TRUE,IF(input_organizer="",FALSE,SUMPRODUCT(--ISNUMBER(SEARCH(","&amp;TRIM(TEXTSPLIT(GM145,","))&amp;",",","&amp;SUBSTITUTE(input_organizer," ","")&amp;",")))=COUNTA(TEXTSPLIT(GM145,",")))),IF(GO145="",TRUE,IF(input_organizer="",TRUE,SUMPRODUCT(--ISNUMBER(SEARCH(","&amp;TRIM(TEXTSPLIT(GO145,","))&amp;",",","&amp;SUBSTITUTE(input_organizer," ","")&amp;",")))=0)),IF(GQ145="",TRUE,IF(input_organizer="",FALSE,SUMPRODUCT(--ISNUMBER(SEARCH(","&amp;TRIM(TEXTSPLIT(GQ145,","))&amp;",",","&amp;SUBSTITUTE(input_organizer," ","")&amp;",")))&gt;0)),IF(GS145="",TRUE,IF(input_organizer="",FALSE,SUMPRODUCT(--ISNUMBER(SEARCH(","&amp;TRIM(TEXTSPLIT(GS145,","))&amp;",",","&amp;SUBSTITUTE(input_organizer," ","")&amp;",")))=COUNTA(TEXTSPLIT(GS145,",")))))</f>
        <v/>
      </c>
      <c r="JM145" s="19">
        <f>AND(IF(GU145="",TRUE,IF(input_profile_type="",FALSE,SUMPRODUCT(--ISNUMBER(SEARCH(","&amp;TRIM(TEXTSPLIT(GU145,","))&amp;",",","&amp;SUBSTITUTE(input_profile_type," ","")&amp;",")))&gt;0)),IF(GW145="",TRUE,IF(input_profile_type="",FALSE,SUMPRODUCT(--ISNUMBER(SEARCH(","&amp;TRIM(TEXTSPLIT(GW145,","))&amp;",",","&amp;SUBSTITUTE(input_profile_type," ","")&amp;",")))=COUNTA(TEXTSPLIT(GW145,",")))),IF(GY145="",TRUE,IF(input_profile_type="",TRUE,SUMPRODUCT(--ISNUMBER(SEARCH(","&amp;TRIM(TEXTSPLIT(GY145,","))&amp;",",","&amp;SUBSTITUTE(input_profile_type," ","")&amp;",")))=0)),IF(HA145="",TRUE,IF(input_profile_type="",FALSE,SUMPRODUCT(--ISNUMBER(SEARCH(","&amp;TRIM(TEXTSPLIT(HA145,","))&amp;",",","&amp;SUBSTITUTE(input_profile_type," ","")&amp;",")))&gt;0)),IF(HC145="",TRUE,IF(input_profile_type="",FALSE,SUMPRODUCT(--ISNUMBER(SEARCH(","&amp;TRIM(TEXTSPLIT(HC145,","))&amp;",",","&amp;SUBSTITUTE(input_profile_type," ","")&amp;",")))=COUNTA(TEXTSPLIT(HC145,",")))))</f>
        <v/>
      </c>
      <c r="JN145" s="19">
        <f>AND(IF(HE145="",TRUE,IF(input_program="",FALSE,SUMPRODUCT(--ISNUMBER(SEARCH(","&amp;TRIM(TEXTSPLIT(HE145,","))&amp;",",","&amp;SUBSTITUTE(input_program," ","")&amp;",")))&gt;0)),IF(HG145="",TRUE,IF(input_program="",FALSE,SUMPRODUCT(--ISNUMBER(SEARCH(","&amp;TRIM(TEXTSPLIT(HG145,","))&amp;",",","&amp;SUBSTITUTE(input_program," ","")&amp;",")))=COUNTA(TEXTSPLIT(HG145,",")))),IF(HI145="",TRUE,IF(input_program="",TRUE,SUMPRODUCT(--ISNUMBER(SEARCH(","&amp;TRIM(TEXTSPLIT(HI145,","))&amp;",",","&amp;SUBSTITUTE(input_program," ","")&amp;",")))=0)),IF(HK145="",TRUE,IF(input_program="",FALSE,SUMPRODUCT(--ISNUMBER(SEARCH(","&amp;TRIM(TEXTSPLIT(HK145,","))&amp;",",","&amp;SUBSTITUTE(input_program," ","")&amp;",")))&gt;0)),IF(HM145="",TRUE,IF(input_program="",FALSE,SUMPRODUCT(--ISNUMBER(SEARCH(","&amp;TRIM(TEXTSPLIT(HM145,","))&amp;",",","&amp;SUBSTITUTE(input_program," ","")&amp;",")))=COUNTA(TEXTSPLIT(HM145,",")))))</f>
        <v/>
      </c>
      <c r="JO145" s="19">
        <f>AND(IF(HO145="",TRUE,IF(input_story_categories="",FALSE,SUMPRODUCT(--ISNUMBER(SEARCH(","&amp;TRIM(TEXTSPLIT(HO145,","))&amp;",",","&amp;SUBSTITUTE(input_story_categories," ","")&amp;",")))&gt;0)),IF(HQ145="",TRUE,IF(input_story_categories="",FALSE,SUMPRODUCT(--ISNUMBER(SEARCH(","&amp;TRIM(TEXTSPLIT(HQ145,","))&amp;",",","&amp;SUBSTITUTE(input_story_categories," ","")&amp;",")))=COUNTA(TEXTSPLIT(HQ145,",")))),IF(HS145="",TRUE,IF(input_story_categories="",TRUE,SUMPRODUCT(--ISNUMBER(SEARCH(","&amp;TRIM(TEXTSPLIT(HS145,","))&amp;",",","&amp;SUBSTITUTE(input_story_categories," ","")&amp;",")))=0)),IF(HU145="",TRUE,IF(input_story_categories="",FALSE,SUMPRODUCT(--ISNUMBER(SEARCH(","&amp;TRIM(TEXTSPLIT(HU145,","))&amp;",",","&amp;SUBSTITUTE(input_story_categories," ","")&amp;",")))&gt;0)),IF(HW145="",TRUE,IF(input_story_categories="",FALSE,SUMPRODUCT(--ISNUMBER(SEARCH(","&amp;TRIM(TEXTSPLIT(HW145,","))&amp;",",","&amp;SUBSTITUTE(input_story_categories," ","")&amp;",")))=COUNTA(TEXTSPLIT(HW145,",")))))</f>
        <v/>
      </c>
      <c r="JP145" s="19">
        <f>AND(IF(HY145="",TRUE,IF(input_story_type="",FALSE,SUMPRODUCT(--ISNUMBER(SEARCH(","&amp;TRIM(TEXTSPLIT(HY145,","))&amp;",",","&amp;SUBSTITUTE(input_story_type," ","")&amp;",")))&gt;0)),IF(IA145="",TRUE,IF(input_story_type="",FALSE,SUMPRODUCT(--ISNUMBER(SEARCH(","&amp;TRIM(TEXTSPLIT(IA145,","))&amp;",",","&amp;SUBSTITUTE(input_story_type," ","")&amp;",")))=COUNTA(TEXTSPLIT(IA145,",")))),IF(IC145="",TRUE,IF(input_story_type="",TRUE,SUMPRODUCT(--ISNUMBER(SEARCH(","&amp;TRIM(TEXTSPLIT(IC145,","))&amp;",",","&amp;SUBSTITUTE(input_story_type," ","")&amp;",")))=0)),IF(IE145="",TRUE,IF(input_story_type="",FALSE,SUMPRODUCT(--ISNUMBER(SEARCH(","&amp;TRIM(TEXTSPLIT(IE145,","))&amp;",",","&amp;SUBSTITUTE(input_story_type," ","")&amp;",")))&gt;0)),IF(IG145="",TRUE,IF(input_story_type="",FALSE,SUMPRODUCT(--ISNUMBER(SEARCH(","&amp;TRIM(TEXTSPLIT(IG145,","))&amp;",",","&amp;SUBSTITUTE(input_story_type," ","")&amp;",")))=COUNTA(TEXTSPLIT(IG145,",")))))</f>
        <v/>
      </c>
      <c r="JQ145" s="19">
        <f>AND(IF(II145="",TRUE,IF(input_topics="",FALSE,SUMPRODUCT(--ISNUMBER(SEARCH(","&amp;TRIM(TEXTSPLIT(II145,","))&amp;",",","&amp;SUBSTITUTE(input_topics," ","")&amp;",")))&gt;0)),IF(IK145="",TRUE,IF(input_topics="",FALSE,SUMPRODUCT(--ISNUMBER(SEARCH(","&amp;TRIM(TEXTSPLIT(IK145,","))&amp;",",","&amp;SUBSTITUTE(input_topics," ","")&amp;",")))=COUNTA(TEXTSPLIT(IK145,",")))),IF(IM145="",TRUE,IF(input_topics="",TRUE,SUMPRODUCT(--ISNUMBER(SEARCH(","&amp;TRIM(TEXTSPLIT(IM145,","))&amp;",",","&amp;SUBSTITUTE(input_topics," ","")&amp;",")))=0)),IF(IO145="",TRUE,IF(input_topics="",FALSE,SUMPRODUCT(--ISNUMBER(SEARCH(","&amp;TRIM(TEXTSPLIT(IO145,","))&amp;",",","&amp;SUBSTITUTE(input_topics," ","")&amp;",")))&gt;0)),IF(IQ145="",TRUE,IF(input_topics="",FALSE,SUMPRODUCT(--ISNUMBER(SEARCH(","&amp;TRIM(TEXTSPLIT(IQ145,","))&amp;",",","&amp;SUBSTITUTE(input_topics," ","")&amp;",")))=COUNTA(TEXTSPLIT(IQ145,",")))))</f>
        <v/>
      </c>
    </row>
    <row r="146">
      <c r="A146" s="24">
        <f>IF(NOT(IS146),"Excluded",IF(AND(IT146,IU146,IV146,IW146,IX146,IY146,IZ146,JA146,JB146,JC146,JD146,JE146,JF146,JG146,JH146,JI146,JJ146,JK146,JL146,JM146,JN146,JO146,JP146,JQ146),IF(I146&gt;0,"Eligible but limited","Will appear"),"Excluded"))</f>
        <v/>
      </c>
      <c r="B146" s="24" t="inlineStr">
        <is>
          <t>News - Summary</t>
        </is>
      </c>
      <c r="C146" s="27" t="inlineStr">
        <is>
          <t>/the-som-experience/life-at-yale-som/new-haven</t>
        </is>
      </c>
      <c r="D146" s="24" t="inlineStr">
        <is>
          <t>/the-som-experience/life-at-yale-som/new-haven</t>
        </is>
      </c>
      <c r="E146" s="24" t="n">
        <v>1</v>
      </c>
      <c r="F146" s="24" t="inlineStr">
        <is>
          <t>story</t>
        </is>
      </c>
      <c r="G146" s="24" t="inlineStr">
        <is>
          <t>stories_mosaic_grid</t>
        </is>
      </c>
      <c r="H146" s="24" t="inlineStr">
        <is>
          <t>embed_news_summary</t>
        </is>
      </c>
      <c r="I146" s="24" t="n">
        <v>1</v>
      </c>
      <c r="J146" s="24" t="inlineStr">
        <is>
          <t>View/config rules</t>
        </is>
      </c>
      <c r="K146" s="24" t="inlineStr">
        <is>
          <t>Page placement</t>
        </is>
      </c>
      <c r="L146" s="24" t="inlineStr">
        <is>
          <t>Content type: story; Needs any Story Type: News (924); Limited to 1 item(s); Source: View/config rules</t>
        </is>
      </c>
      <c r="HY146" s="19" t="inlineStr">
        <is>
          <t>924</t>
        </is>
      </c>
      <c r="HZ146" s="19" t="inlineStr">
        <is>
          <t>News (924)</t>
        </is>
      </c>
      <c r="IS146" s="19">
        <f>IF(input_content_type="",FALSE,ISNUMBER(SEARCH(","&amp;LOWER(input_content_type)&amp;",",","&amp;LOWER(SUBSTITUTE(F146," ",""))&amp;",")))</f>
        <v/>
      </c>
      <c r="IT146" s="19">
        <f>AND(IF(M146="",TRUE,IF(input_affiliations="",FALSE,SUMPRODUCT(--ISNUMBER(SEARCH(","&amp;TRIM(TEXTSPLIT(M146,","))&amp;",",","&amp;SUBSTITUTE(input_affiliations," ","")&amp;",")))&gt;0)),IF(O146="",TRUE,IF(input_affiliations="",FALSE,SUMPRODUCT(--ISNUMBER(SEARCH(","&amp;TRIM(TEXTSPLIT(O146,","))&amp;",",","&amp;SUBSTITUTE(input_affiliations," ","")&amp;",")))=COUNTA(TEXTSPLIT(O146,",")))),IF(Q146="",TRUE,IF(input_affiliations="",TRUE,SUMPRODUCT(--ISNUMBER(SEARCH(","&amp;TRIM(TEXTSPLIT(Q146,","))&amp;",",","&amp;SUBSTITUTE(input_affiliations," ","")&amp;",")))=0)),IF(S146="",TRUE,IF(input_affiliations="",FALSE,SUMPRODUCT(--ISNUMBER(SEARCH(","&amp;TRIM(TEXTSPLIT(S146,","))&amp;",",","&amp;SUBSTITUTE(input_affiliations," ","")&amp;",")))&gt;0)),IF(U146="",TRUE,IF(input_affiliations="",FALSE,SUMPRODUCT(--ISNUMBER(SEARCH(","&amp;TRIM(TEXTSPLIT(U146,","))&amp;",",","&amp;SUBSTITUTE(input_affiliations," ","")&amp;",")))=COUNTA(TEXTSPLIT(U146,",")))))</f>
        <v/>
      </c>
      <c r="IU146" s="19">
        <f>AND(IF(W146="",TRUE,IF(input_announcement_category="",FALSE,SUMPRODUCT(--ISNUMBER(SEARCH(","&amp;TRIM(TEXTSPLIT(W146,","))&amp;",",","&amp;SUBSTITUTE(input_announcement_category," ","")&amp;",")))&gt;0)),IF(Y146="",TRUE,IF(input_announcement_category="",FALSE,SUMPRODUCT(--ISNUMBER(SEARCH(","&amp;TRIM(TEXTSPLIT(Y146,","))&amp;",",","&amp;SUBSTITUTE(input_announcement_category," ","")&amp;",")))=COUNTA(TEXTSPLIT(Y146,",")))),IF(AA146="",TRUE,IF(input_announcement_category="",TRUE,SUMPRODUCT(--ISNUMBER(SEARCH(","&amp;TRIM(TEXTSPLIT(AA146,","))&amp;",",","&amp;SUBSTITUTE(input_announcement_category," ","")&amp;",")))=0)),IF(AC146="",TRUE,IF(input_announcement_category="",FALSE,SUMPRODUCT(--ISNUMBER(SEARCH(","&amp;TRIM(TEXTSPLIT(AC146,","))&amp;",",","&amp;SUBSTITUTE(input_announcement_category," ","")&amp;",")))&gt;0)),IF(AE146="",TRUE,IF(input_announcement_category="",FALSE,SUMPRODUCT(--ISNUMBER(SEARCH(","&amp;TRIM(TEXTSPLIT(AE146,","))&amp;",",","&amp;SUBSTITUTE(input_announcement_category," ","")&amp;",")))=COUNTA(TEXTSPLIT(AE146,",")))))</f>
        <v/>
      </c>
      <c r="IV146" s="19">
        <f>AND(IF(AG146="",TRUE,IF(input_area_of_focus="",FALSE,SUMPRODUCT(--ISNUMBER(SEARCH(","&amp;TRIM(TEXTSPLIT(AG146,","))&amp;",",","&amp;SUBSTITUTE(input_area_of_focus," ","")&amp;",")))&gt;0)),IF(AI146="",TRUE,IF(input_area_of_focus="",FALSE,SUMPRODUCT(--ISNUMBER(SEARCH(","&amp;TRIM(TEXTSPLIT(AI146,","))&amp;",",","&amp;SUBSTITUTE(input_area_of_focus," ","")&amp;",")))=COUNTA(TEXTSPLIT(AI146,",")))),IF(AK146="",TRUE,IF(input_area_of_focus="",TRUE,SUMPRODUCT(--ISNUMBER(SEARCH(","&amp;TRIM(TEXTSPLIT(AK146,","))&amp;",",","&amp;SUBSTITUTE(input_area_of_focus," ","")&amp;",")))=0)),IF(AM146="",TRUE,IF(input_area_of_focus="",FALSE,SUMPRODUCT(--ISNUMBER(SEARCH(","&amp;TRIM(TEXTSPLIT(AM146,","))&amp;",",","&amp;SUBSTITUTE(input_area_of_focus," ","")&amp;",")))&gt;0)),IF(AO146="",TRUE,IF(input_area_of_focus="",FALSE,SUMPRODUCT(--ISNUMBER(SEARCH(","&amp;TRIM(TEXTSPLIT(AO146,","))&amp;",",","&amp;SUBSTITUTE(input_area_of_focus," ","")&amp;",")))=COUNTA(TEXTSPLIT(AO146,",")))))</f>
        <v/>
      </c>
      <c r="IW146" s="19">
        <f>AND(IF(AQ146="",TRUE,IF(input_audience="",FALSE,SUMPRODUCT(--ISNUMBER(SEARCH(","&amp;TRIM(TEXTSPLIT(AQ146,","))&amp;",",","&amp;SUBSTITUTE(input_audience," ","")&amp;",")))&gt;0)),IF(AS146="",TRUE,IF(input_audience="",FALSE,SUMPRODUCT(--ISNUMBER(SEARCH(","&amp;TRIM(TEXTSPLIT(AS146,","))&amp;",",","&amp;SUBSTITUTE(input_audience," ","")&amp;",")))=COUNTA(TEXTSPLIT(AS146,",")))),IF(AU146="",TRUE,IF(input_audience="",TRUE,SUMPRODUCT(--ISNUMBER(SEARCH(","&amp;TRIM(TEXTSPLIT(AU146,","))&amp;",",","&amp;SUBSTITUTE(input_audience," ","")&amp;",")))=0)),IF(AW146="",TRUE,IF(input_audience="",FALSE,SUMPRODUCT(--ISNUMBER(SEARCH(","&amp;TRIM(TEXTSPLIT(AW146,","))&amp;",",","&amp;SUBSTITUTE(input_audience," ","")&amp;",")))&gt;0)),IF(AY146="",TRUE,IF(input_audience="",FALSE,SUMPRODUCT(--ISNUMBER(SEARCH(","&amp;TRIM(TEXTSPLIT(AY146,","))&amp;",",","&amp;SUBSTITUTE(input_audience," ","")&amp;",")))=COUNTA(TEXTSPLIT(AY146,",")))))</f>
        <v/>
      </c>
      <c r="IX146" s="19">
        <f>AND(IF(BA146="",TRUE,IF(input_challenge_opportunities="",FALSE,SUMPRODUCT(--ISNUMBER(SEARCH(","&amp;TRIM(TEXTSPLIT(BA146,","))&amp;",",","&amp;SUBSTITUTE(input_challenge_opportunities," ","")&amp;",")))&gt;0)),IF(BC146="",TRUE,IF(input_challenge_opportunities="",FALSE,SUMPRODUCT(--ISNUMBER(SEARCH(","&amp;TRIM(TEXTSPLIT(BC146,","))&amp;",",","&amp;SUBSTITUTE(input_challenge_opportunities," ","")&amp;",")))=COUNTA(TEXTSPLIT(BC146,",")))),IF(BE146="",TRUE,IF(input_challenge_opportunities="",TRUE,SUMPRODUCT(--ISNUMBER(SEARCH(","&amp;TRIM(TEXTSPLIT(BE146,","))&amp;",",","&amp;SUBSTITUTE(input_challenge_opportunities," ","")&amp;",")))=0)),IF(BG146="",TRUE,IF(input_challenge_opportunities="",FALSE,SUMPRODUCT(--ISNUMBER(SEARCH(","&amp;TRIM(TEXTSPLIT(BG146,","))&amp;",",","&amp;SUBSTITUTE(input_challenge_opportunities," ","")&amp;",")))&gt;0)),IF(BI146="",TRUE,IF(input_challenge_opportunities="",FALSE,SUMPRODUCT(--ISNUMBER(SEARCH(","&amp;TRIM(TEXTSPLIT(BI146,","))&amp;",",","&amp;SUBSTITUTE(input_challenge_opportunities," ","")&amp;",")))=COUNTA(TEXTSPLIT(BI146,",")))))</f>
        <v/>
      </c>
      <c r="IY146" s="19">
        <f>AND(IF(BK146="",TRUE,IF(input_context="",FALSE,SUMPRODUCT(--ISNUMBER(SEARCH(","&amp;TRIM(TEXTSPLIT(BK146,","))&amp;",",","&amp;SUBSTITUTE(input_context," ","")&amp;",")))&gt;0)),IF(BM146="",TRUE,IF(input_context="",FALSE,SUMPRODUCT(--ISNUMBER(SEARCH(","&amp;TRIM(TEXTSPLIT(BM146,","))&amp;",",","&amp;SUBSTITUTE(input_context," ","")&amp;",")))=COUNTA(TEXTSPLIT(BM146,",")))),IF(BO146="",TRUE,IF(input_context="",TRUE,SUMPRODUCT(--ISNUMBER(SEARCH(","&amp;TRIM(TEXTSPLIT(BO146,","))&amp;",",","&amp;SUBSTITUTE(input_context," ","")&amp;",")))=0)),IF(BQ146="",TRUE,IF(input_context="",FALSE,SUMPRODUCT(--ISNUMBER(SEARCH(","&amp;TRIM(TEXTSPLIT(BQ146,","))&amp;",",","&amp;SUBSTITUTE(input_context," ","")&amp;",")))&gt;0)),IF(BS146="",TRUE,IF(input_context="",FALSE,SUMPRODUCT(--ISNUMBER(SEARCH(","&amp;TRIM(TEXTSPLIT(BS146,","))&amp;",",","&amp;SUBSTITUTE(input_context," ","")&amp;",")))=COUNTA(TEXTSPLIT(BS146,",")))))</f>
        <v/>
      </c>
      <c r="IZ146" s="19">
        <f>AND(IF(BU146="",TRUE,IF(input_enews_announcement_type="",FALSE,SUMPRODUCT(--ISNUMBER(SEARCH(","&amp;TRIM(TEXTSPLIT(BU146,","))&amp;",",","&amp;SUBSTITUTE(input_enews_announcement_type," ","")&amp;",")))&gt;0)),IF(BW146="",TRUE,IF(input_enews_announcement_type="",FALSE,SUMPRODUCT(--ISNUMBER(SEARCH(","&amp;TRIM(TEXTSPLIT(BW146,","))&amp;",",","&amp;SUBSTITUTE(input_enews_announcement_type," ","")&amp;",")))=COUNTA(TEXTSPLIT(BW146,",")))),IF(BY146="",TRUE,IF(input_enews_announcement_type="",TRUE,SUMPRODUCT(--ISNUMBER(SEARCH(","&amp;TRIM(TEXTSPLIT(BY146,","))&amp;",",","&amp;SUBSTITUTE(input_enews_announcement_type," ","")&amp;",")))=0)),IF(CA146="",TRUE,IF(input_enews_announcement_type="",FALSE,SUMPRODUCT(--ISNUMBER(SEARCH(","&amp;TRIM(TEXTSPLIT(CA146,","))&amp;",",","&amp;SUBSTITUTE(input_enews_announcement_type," ","")&amp;",")))&gt;0)),IF(CC146="",TRUE,IF(input_enews_announcement_type="",FALSE,SUMPRODUCT(--ISNUMBER(SEARCH(","&amp;TRIM(TEXTSPLIT(CC146,","))&amp;",",","&amp;SUBSTITUTE(input_enews_announcement_type," ","")&amp;",")))=COUNTA(TEXTSPLIT(CC146,",")))))</f>
        <v/>
      </c>
      <c r="JA146" s="19">
        <f>AND(IF(CE146="",TRUE,IF(input_enews_audience="",FALSE,SUMPRODUCT(--ISNUMBER(SEARCH(","&amp;TRIM(TEXTSPLIT(CE146,","))&amp;",",","&amp;SUBSTITUTE(input_enews_audience," ","")&amp;",")))&gt;0)),IF(CG146="",TRUE,IF(input_enews_audience="",FALSE,SUMPRODUCT(--ISNUMBER(SEARCH(","&amp;TRIM(TEXTSPLIT(CG146,","))&amp;",",","&amp;SUBSTITUTE(input_enews_audience," ","")&amp;",")))=COUNTA(TEXTSPLIT(CG146,",")))),IF(CI146="",TRUE,IF(input_enews_audience="",TRUE,SUMPRODUCT(--ISNUMBER(SEARCH(","&amp;TRIM(TEXTSPLIT(CI146,","))&amp;",",","&amp;SUBSTITUTE(input_enews_audience," ","")&amp;",")))=0)),IF(CK146="",TRUE,IF(input_enews_audience="",FALSE,SUMPRODUCT(--ISNUMBER(SEARCH(","&amp;TRIM(TEXTSPLIT(CK146,","))&amp;",",","&amp;SUBSTITUTE(input_enews_audience," ","")&amp;",")))&gt;0)),IF(CM146="",TRUE,IF(input_enews_audience="",FALSE,SUMPRODUCT(--ISNUMBER(SEARCH(","&amp;TRIM(TEXTSPLIT(CM146,","))&amp;",",","&amp;SUBSTITUTE(input_enews_audience," ","")&amp;",")))=COUNTA(TEXTSPLIT(CM146,",")))))</f>
        <v/>
      </c>
      <c r="JB146" s="19">
        <f>AND(IF(CO146="",TRUE,IF(input_event_location="",FALSE,SUMPRODUCT(--ISNUMBER(SEARCH(","&amp;TRIM(TEXTSPLIT(CO146,","))&amp;",",","&amp;SUBSTITUTE(input_event_location," ","")&amp;",")))&gt;0)),IF(CQ146="",TRUE,IF(input_event_location="",FALSE,SUMPRODUCT(--ISNUMBER(SEARCH(","&amp;TRIM(TEXTSPLIT(CQ146,","))&amp;",",","&amp;SUBSTITUTE(input_event_location," ","")&amp;",")))=COUNTA(TEXTSPLIT(CQ146,",")))),IF(CS146="",TRUE,IF(input_event_location="",TRUE,SUMPRODUCT(--ISNUMBER(SEARCH(","&amp;TRIM(TEXTSPLIT(CS146,","))&amp;",",","&amp;SUBSTITUTE(input_event_location," ","")&amp;",")))=0)),IF(CU146="",TRUE,IF(input_event_location="",FALSE,SUMPRODUCT(--ISNUMBER(SEARCH(","&amp;TRIM(TEXTSPLIT(CU146,","))&amp;",",","&amp;SUBSTITUTE(input_event_location," ","")&amp;",")))&gt;0)),IF(CW146="",TRUE,IF(input_event_location="",FALSE,SUMPRODUCT(--ISNUMBER(SEARCH(","&amp;TRIM(TEXTSPLIT(CW146,","))&amp;",",","&amp;SUBSTITUTE(input_event_location," ","")&amp;",")))=COUNTA(TEXTSPLIT(CW146,",")))))</f>
        <v/>
      </c>
      <c r="JC146" s="19">
        <f>AND(IF(CY146="",TRUE,IF(input_event_type="",FALSE,SUMPRODUCT(--ISNUMBER(SEARCH(","&amp;TRIM(TEXTSPLIT(CY146,","))&amp;",",","&amp;SUBSTITUTE(input_event_type," ","")&amp;",")))&gt;0)),IF(DA146="",TRUE,IF(input_event_type="",FALSE,SUMPRODUCT(--ISNUMBER(SEARCH(","&amp;TRIM(TEXTSPLIT(DA146,","))&amp;",",","&amp;SUBSTITUTE(input_event_type," ","")&amp;",")))=COUNTA(TEXTSPLIT(DA146,",")))),IF(DC146="",TRUE,IF(input_event_type="",TRUE,SUMPRODUCT(--ISNUMBER(SEARCH(","&amp;TRIM(TEXTSPLIT(DC146,","))&amp;",",","&amp;SUBSTITUTE(input_event_type," ","")&amp;",")))=0)),IF(DE146="",TRUE,IF(input_event_type="",FALSE,SUMPRODUCT(--ISNUMBER(SEARCH(","&amp;TRIM(TEXTSPLIT(DE146,","))&amp;",",","&amp;SUBSTITUTE(input_event_type," ","")&amp;",")))&gt;0)),IF(DG146="",TRUE,IF(input_event_type="",FALSE,SUMPRODUCT(--ISNUMBER(SEARCH(","&amp;TRIM(TEXTSPLIT(DG146,","))&amp;",",","&amp;SUBSTITUTE(input_event_type," ","")&amp;",")))=COUNTA(TEXTSPLIT(DG146,",")))))</f>
        <v/>
      </c>
      <c r="JD146" s="19">
        <f>AND(IF(DI146="",TRUE,IF(input_executive_education_focus="",FALSE,SUMPRODUCT(--ISNUMBER(SEARCH(","&amp;TRIM(TEXTSPLIT(DI146,","))&amp;",",","&amp;SUBSTITUTE(input_executive_education_focus," ","")&amp;",")))&gt;0)),IF(DK146="",TRUE,IF(input_executive_education_focus="",FALSE,SUMPRODUCT(--ISNUMBER(SEARCH(","&amp;TRIM(TEXTSPLIT(DK146,","))&amp;",",","&amp;SUBSTITUTE(input_executive_education_focus," ","")&amp;",")))=COUNTA(TEXTSPLIT(DK146,",")))),IF(DM146="",TRUE,IF(input_executive_education_focus="",TRUE,SUMPRODUCT(--ISNUMBER(SEARCH(","&amp;TRIM(TEXTSPLIT(DM146,","))&amp;",",","&amp;SUBSTITUTE(input_executive_education_focus," ","")&amp;",")))=0)),IF(DO146="",TRUE,IF(input_executive_education_focus="",FALSE,SUMPRODUCT(--ISNUMBER(SEARCH(","&amp;TRIM(TEXTSPLIT(DO146,","))&amp;",",","&amp;SUBSTITUTE(input_executive_education_focus," ","")&amp;",")))&gt;0)),IF(DQ146="",TRUE,IF(input_executive_education_focus="",FALSE,SUMPRODUCT(--ISNUMBER(SEARCH(","&amp;TRIM(TEXTSPLIT(DQ146,","))&amp;",",","&amp;SUBSTITUTE(input_executive_education_focus," ","")&amp;",")))=COUNTA(TEXTSPLIT(DQ146,",")))))</f>
        <v/>
      </c>
      <c r="JE146" s="19">
        <f>AND(IF(DS146="",TRUE,IF(input_faculty_category="",FALSE,SUMPRODUCT(--ISNUMBER(SEARCH(","&amp;TRIM(TEXTSPLIT(DS146,","))&amp;",",","&amp;SUBSTITUTE(input_faculty_category," ","")&amp;",")))&gt;0)),IF(DU146="",TRUE,IF(input_faculty_category="",FALSE,SUMPRODUCT(--ISNUMBER(SEARCH(","&amp;TRIM(TEXTSPLIT(DU146,","))&amp;",",","&amp;SUBSTITUTE(input_faculty_category," ","")&amp;",")))=COUNTA(TEXTSPLIT(DU146,",")))),IF(DW146="",TRUE,IF(input_faculty_category="",TRUE,SUMPRODUCT(--ISNUMBER(SEARCH(","&amp;TRIM(TEXTSPLIT(DW146,","))&amp;",",","&amp;SUBSTITUTE(input_faculty_category," ","")&amp;",")))=0)),IF(DY146="",TRUE,IF(input_faculty_category="",FALSE,SUMPRODUCT(--ISNUMBER(SEARCH(","&amp;TRIM(TEXTSPLIT(DY146,","))&amp;",",","&amp;SUBSTITUTE(input_faculty_category," ","")&amp;",")))&gt;0)),IF(EA146="",TRUE,IF(input_faculty_category="",FALSE,SUMPRODUCT(--ISNUMBER(SEARCH(","&amp;TRIM(TEXTSPLIT(EA146,","))&amp;",",","&amp;SUBSTITUTE(input_faculty_category," ","")&amp;",")))=COUNTA(TEXTSPLIT(EA146,",")))))</f>
        <v/>
      </c>
      <c r="JF146" s="19">
        <f>AND(IF(EC146="",TRUE,IF(input_faculty_discipline="",FALSE,SUMPRODUCT(--ISNUMBER(SEARCH(","&amp;TRIM(TEXTSPLIT(EC146,","))&amp;",",","&amp;SUBSTITUTE(input_faculty_discipline," ","")&amp;",")))&gt;0)),IF(EE146="",TRUE,IF(input_faculty_discipline="",FALSE,SUMPRODUCT(--ISNUMBER(SEARCH(","&amp;TRIM(TEXTSPLIT(EE146,","))&amp;",",","&amp;SUBSTITUTE(input_faculty_discipline," ","")&amp;",")))=COUNTA(TEXTSPLIT(EE146,",")))),IF(EG146="",TRUE,IF(input_faculty_discipline="",TRUE,SUMPRODUCT(--ISNUMBER(SEARCH(","&amp;TRIM(TEXTSPLIT(EG146,","))&amp;",",","&amp;SUBSTITUTE(input_faculty_discipline," ","")&amp;",")))=0)),IF(EI146="",TRUE,IF(input_faculty_discipline="",FALSE,SUMPRODUCT(--ISNUMBER(SEARCH(","&amp;TRIM(TEXTSPLIT(EI146,","))&amp;",",","&amp;SUBSTITUTE(input_faculty_discipline," ","")&amp;",")))&gt;0)),IF(EK146="",TRUE,IF(input_faculty_discipline="",FALSE,SUMPRODUCT(--ISNUMBER(SEARCH(","&amp;TRIM(TEXTSPLIT(EK146,","))&amp;",",","&amp;SUBSTITUTE(input_faculty_discipline," ","")&amp;",")))=COUNTA(TEXTSPLIT(EK146,",")))))</f>
        <v/>
      </c>
      <c r="JG146" s="19">
        <f>AND(IF(EM146="",TRUE,IF(input_faculty_expertise="",FALSE,SUMPRODUCT(--ISNUMBER(SEARCH(","&amp;TRIM(TEXTSPLIT(EM146,","))&amp;",",","&amp;SUBSTITUTE(input_faculty_expertise," ","")&amp;",")))&gt;0)),IF(EO146="",TRUE,IF(input_faculty_expertise="",FALSE,SUMPRODUCT(--ISNUMBER(SEARCH(","&amp;TRIM(TEXTSPLIT(EO146,","))&amp;",",","&amp;SUBSTITUTE(input_faculty_expertise," ","")&amp;",")))=COUNTA(TEXTSPLIT(EO146,",")))),IF(EQ146="",TRUE,IF(input_faculty_expertise="",TRUE,SUMPRODUCT(--ISNUMBER(SEARCH(","&amp;TRIM(TEXTSPLIT(EQ146,","))&amp;",",","&amp;SUBSTITUTE(input_faculty_expertise," ","")&amp;",")))=0)),IF(ES146="",TRUE,IF(input_faculty_expertise="",FALSE,SUMPRODUCT(--ISNUMBER(SEARCH(","&amp;TRIM(TEXTSPLIT(ES146,","))&amp;",",","&amp;SUBSTITUTE(input_faculty_expertise," ","")&amp;",")))&gt;0)),IF(EU146="",TRUE,IF(input_faculty_expertise="",FALSE,SUMPRODUCT(--ISNUMBER(SEARCH(","&amp;TRIM(TEXTSPLIT(EU146,","))&amp;",",","&amp;SUBSTITUTE(input_faculty_expertise," ","")&amp;",")))=COUNTA(TEXTSPLIT(EU146,",")))))</f>
        <v/>
      </c>
      <c r="JH146" s="19">
        <f>AND(IF(EW146="",TRUE,IF(input_global_network_school="",FALSE,SUMPRODUCT(--ISNUMBER(SEARCH(","&amp;TRIM(TEXTSPLIT(EW146,","))&amp;",",","&amp;SUBSTITUTE(input_global_network_school," ","")&amp;",")))&gt;0)),IF(EY146="",TRUE,IF(input_global_network_school="",FALSE,SUMPRODUCT(--ISNUMBER(SEARCH(","&amp;TRIM(TEXTSPLIT(EY146,","))&amp;",",","&amp;SUBSTITUTE(input_global_network_school," ","")&amp;",")))=COUNTA(TEXTSPLIT(EY146,",")))),IF(FA146="",TRUE,IF(input_global_network_school="",TRUE,SUMPRODUCT(--ISNUMBER(SEARCH(","&amp;TRIM(TEXTSPLIT(FA146,","))&amp;",",","&amp;SUBSTITUTE(input_global_network_school," ","")&amp;",")))=0)),IF(FC146="",TRUE,IF(input_global_network_school="",FALSE,SUMPRODUCT(--ISNUMBER(SEARCH(","&amp;TRIM(TEXTSPLIT(FC146,","))&amp;",",","&amp;SUBSTITUTE(input_global_network_school," ","")&amp;",")))&gt;0)),IF(FE146="",TRUE,IF(input_global_network_school="",FALSE,SUMPRODUCT(--ISNUMBER(SEARCH(","&amp;TRIM(TEXTSPLIT(FE146,","))&amp;",",","&amp;SUBSTITUTE(input_global_network_school," ","")&amp;",")))=COUNTA(TEXTSPLIT(FE146,",")))))</f>
        <v/>
      </c>
      <c r="JI146" s="19">
        <f>AND(IF(FG146="",TRUE,IF(input_industry="",FALSE,SUMPRODUCT(--ISNUMBER(SEARCH(","&amp;TRIM(TEXTSPLIT(FG146,","))&amp;",",","&amp;SUBSTITUTE(input_industry," ","")&amp;",")))&gt;0)),IF(FI146="",TRUE,IF(input_industry="",FALSE,SUMPRODUCT(--ISNUMBER(SEARCH(","&amp;TRIM(TEXTSPLIT(FI146,","))&amp;",",","&amp;SUBSTITUTE(input_industry," ","")&amp;",")))=COUNTA(TEXTSPLIT(FI146,",")))),IF(FK146="",TRUE,IF(input_industry="",TRUE,SUMPRODUCT(--ISNUMBER(SEARCH(","&amp;TRIM(TEXTSPLIT(FK146,","))&amp;",",","&amp;SUBSTITUTE(input_industry," ","")&amp;",")))=0)),IF(FM146="",TRUE,IF(input_industry="",FALSE,SUMPRODUCT(--ISNUMBER(SEARCH(","&amp;TRIM(TEXTSPLIT(FM146,","))&amp;",",","&amp;SUBSTITUTE(input_industry," ","")&amp;",")))&gt;0)),IF(FO146="",TRUE,IF(input_industry="",FALSE,SUMPRODUCT(--ISNUMBER(SEARCH(","&amp;TRIM(TEXTSPLIT(FO146,","))&amp;",",","&amp;SUBSTITUTE(input_industry," ","")&amp;",")))=COUNTA(TEXTSPLIT(FO146,",")))))</f>
        <v/>
      </c>
      <c r="JJ146" s="19">
        <f>AND(IF(FQ146="",TRUE,IF(input_location="",FALSE,SUMPRODUCT(--ISNUMBER(SEARCH(","&amp;TRIM(TEXTSPLIT(FQ146,","))&amp;",",","&amp;SUBSTITUTE(input_location," ","")&amp;",")))&gt;0)),IF(FS146="",TRUE,IF(input_location="",FALSE,SUMPRODUCT(--ISNUMBER(SEARCH(","&amp;TRIM(TEXTSPLIT(FS146,","))&amp;",",","&amp;SUBSTITUTE(input_location," ","")&amp;",")))=COUNTA(TEXTSPLIT(FS146,",")))),IF(FU146="",TRUE,IF(input_location="",TRUE,SUMPRODUCT(--ISNUMBER(SEARCH(","&amp;TRIM(TEXTSPLIT(FU146,","))&amp;",",","&amp;SUBSTITUTE(input_location," ","")&amp;",")))=0)),IF(FW146="",TRUE,IF(input_location="",FALSE,SUMPRODUCT(--ISNUMBER(SEARCH(","&amp;TRIM(TEXTSPLIT(FW146,","))&amp;",",","&amp;SUBSTITUTE(input_location," ","")&amp;",")))&gt;0)),IF(FY146="",TRUE,IF(input_location="",FALSE,SUMPRODUCT(--ISNUMBER(SEARCH(","&amp;TRIM(TEXTSPLIT(FY146,","))&amp;",",","&amp;SUBSTITUTE(input_location," ","")&amp;",")))=COUNTA(TEXTSPLIT(FY146,",")))))</f>
        <v/>
      </c>
      <c r="JK146" s="19">
        <f>AND(IF(GA146="",TRUE,IF(input_modality="",FALSE,SUMPRODUCT(--ISNUMBER(SEARCH(","&amp;TRIM(TEXTSPLIT(GA146,","))&amp;",",","&amp;SUBSTITUTE(input_modality," ","")&amp;",")))&gt;0)),IF(GC146="",TRUE,IF(input_modality="",FALSE,SUMPRODUCT(--ISNUMBER(SEARCH(","&amp;TRIM(TEXTSPLIT(GC146,","))&amp;",",","&amp;SUBSTITUTE(input_modality," ","")&amp;",")))=COUNTA(TEXTSPLIT(GC146,",")))),IF(GE146="",TRUE,IF(input_modality="",TRUE,SUMPRODUCT(--ISNUMBER(SEARCH(","&amp;TRIM(TEXTSPLIT(GE146,","))&amp;",",","&amp;SUBSTITUTE(input_modality," ","")&amp;",")))=0)),IF(GG146="",TRUE,IF(input_modality="",FALSE,SUMPRODUCT(--ISNUMBER(SEARCH(","&amp;TRIM(TEXTSPLIT(GG146,","))&amp;",",","&amp;SUBSTITUTE(input_modality," ","")&amp;",")))&gt;0)),IF(GI146="",TRUE,IF(input_modality="",FALSE,SUMPRODUCT(--ISNUMBER(SEARCH(","&amp;TRIM(TEXTSPLIT(GI146,","))&amp;",",","&amp;SUBSTITUTE(input_modality," ","")&amp;",")))=COUNTA(TEXTSPLIT(GI146,",")))))</f>
        <v/>
      </c>
      <c r="JL146" s="19">
        <f>AND(IF(GK146="",TRUE,IF(input_organizer="",FALSE,SUMPRODUCT(--ISNUMBER(SEARCH(","&amp;TRIM(TEXTSPLIT(GK146,","))&amp;",",","&amp;SUBSTITUTE(input_organizer," ","")&amp;",")))&gt;0)),IF(GM146="",TRUE,IF(input_organizer="",FALSE,SUMPRODUCT(--ISNUMBER(SEARCH(","&amp;TRIM(TEXTSPLIT(GM146,","))&amp;",",","&amp;SUBSTITUTE(input_organizer," ","")&amp;",")))=COUNTA(TEXTSPLIT(GM146,",")))),IF(GO146="",TRUE,IF(input_organizer="",TRUE,SUMPRODUCT(--ISNUMBER(SEARCH(","&amp;TRIM(TEXTSPLIT(GO146,","))&amp;",",","&amp;SUBSTITUTE(input_organizer," ","")&amp;",")))=0)),IF(GQ146="",TRUE,IF(input_organizer="",FALSE,SUMPRODUCT(--ISNUMBER(SEARCH(","&amp;TRIM(TEXTSPLIT(GQ146,","))&amp;",",","&amp;SUBSTITUTE(input_organizer," ","")&amp;",")))&gt;0)),IF(GS146="",TRUE,IF(input_organizer="",FALSE,SUMPRODUCT(--ISNUMBER(SEARCH(","&amp;TRIM(TEXTSPLIT(GS146,","))&amp;",",","&amp;SUBSTITUTE(input_organizer," ","")&amp;",")))=COUNTA(TEXTSPLIT(GS146,",")))))</f>
        <v/>
      </c>
      <c r="JM146" s="19">
        <f>AND(IF(GU146="",TRUE,IF(input_profile_type="",FALSE,SUMPRODUCT(--ISNUMBER(SEARCH(","&amp;TRIM(TEXTSPLIT(GU146,","))&amp;",",","&amp;SUBSTITUTE(input_profile_type," ","")&amp;",")))&gt;0)),IF(GW146="",TRUE,IF(input_profile_type="",FALSE,SUMPRODUCT(--ISNUMBER(SEARCH(","&amp;TRIM(TEXTSPLIT(GW146,","))&amp;",",","&amp;SUBSTITUTE(input_profile_type," ","")&amp;",")))=COUNTA(TEXTSPLIT(GW146,",")))),IF(GY146="",TRUE,IF(input_profile_type="",TRUE,SUMPRODUCT(--ISNUMBER(SEARCH(","&amp;TRIM(TEXTSPLIT(GY146,","))&amp;",",","&amp;SUBSTITUTE(input_profile_type," ","")&amp;",")))=0)),IF(HA146="",TRUE,IF(input_profile_type="",FALSE,SUMPRODUCT(--ISNUMBER(SEARCH(","&amp;TRIM(TEXTSPLIT(HA146,","))&amp;",",","&amp;SUBSTITUTE(input_profile_type," ","")&amp;",")))&gt;0)),IF(HC146="",TRUE,IF(input_profile_type="",FALSE,SUMPRODUCT(--ISNUMBER(SEARCH(","&amp;TRIM(TEXTSPLIT(HC146,","))&amp;",",","&amp;SUBSTITUTE(input_profile_type," ","")&amp;",")))=COUNTA(TEXTSPLIT(HC146,",")))))</f>
        <v/>
      </c>
      <c r="JN146" s="19">
        <f>AND(IF(HE146="",TRUE,IF(input_program="",FALSE,SUMPRODUCT(--ISNUMBER(SEARCH(","&amp;TRIM(TEXTSPLIT(HE146,","))&amp;",",","&amp;SUBSTITUTE(input_program," ","")&amp;",")))&gt;0)),IF(HG146="",TRUE,IF(input_program="",FALSE,SUMPRODUCT(--ISNUMBER(SEARCH(","&amp;TRIM(TEXTSPLIT(HG146,","))&amp;",",","&amp;SUBSTITUTE(input_program," ","")&amp;",")))=COUNTA(TEXTSPLIT(HG146,",")))),IF(HI146="",TRUE,IF(input_program="",TRUE,SUMPRODUCT(--ISNUMBER(SEARCH(","&amp;TRIM(TEXTSPLIT(HI146,","))&amp;",",","&amp;SUBSTITUTE(input_program," ","")&amp;",")))=0)),IF(HK146="",TRUE,IF(input_program="",FALSE,SUMPRODUCT(--ISNUMBER(SEARCH(","&amp;TRIM(TEXTSPLIT(HK146,","))&amp;",",","&amp;SUBSTITUTE(input_program," ","")&amp;",")))&gt;0)),IF(HM146="",TRUE,IF(input_program="",FALSE,SUMPRODUCT(--ISNUMBER(SEARCH(","&amp;TRIM(TEXTSPLIT(HM146,","))&amp;",",","&amp;SUBSTITUTE(input_program," ","")&amp;",")))=COUNTA(TEXTSPLIT(HM146,",")))))</f>
        <v/>
      </c>
      <c r="JO146" s="19">
        <f>AND(IF(HO146="",TRUE,IF(input_story_categories="",FALSE,SUMPRODUCT(--ISNUMBER(SEARCH(","&amp;TRIM(TEXTSPLIT(HO146,","))&amp;",",","&amp;SUBSTITUTE(input_story_categories," ","")&amp;",")))&gt;0)),IF(HQ146="",TRUE,IF(input_story_categories="",FALSE,SUMPRODUCT(--ISNUMBER(SEARCH(","&amp;TRIM(TEXTSPLIT(HQ146,","))&amp;",",","&amp;SUBSTITUTE(input_story_categories," ","")&amp;",")))=COUNTA(TEXTSPLIT(HQ146,",")))),IF(HS146="",TRUE,IF(input_story_categories="",TRUE,SUMPRODUCT(--ISNUMBER(SEARCH(","&amp;TRIM(TEXTSPLIT(HS146,","))&amp;",",","&amp;SUBSTITUTE(input_story_categories," ","")&amp;",")))=0)),IF(HU146="",TRUE,IF(input_story_categories="",FALSE,SUMPRODUCT(--ISNUMBER(SEARCH(","&amp;TRIM(TEXTSPLIT(HU146,","))&amp;",",","&amp;SUBSTITUTE(input_story_categories," ","")&amp;",")))&gt;0)),IF(HW146="",TRUE,IF(input_story_categories="",FALSE,SUMPRODUCT(--ISNUMBER(SEARCH(","&amp;TRIM(TEXTSPLIT(HW146,","))&amp;",",","&amp;SUBSTITUTE(input_story_categories," ","")&amp;",")))=COUNTA(TEXTSPLIT(HW146,",")))))</f>
        <v/>
      </c>
      <c r="JP146" s="19">
        <f>AND(IF(HY146="",TRUE,IF(input_story_type="",FALSE,SUMPRODUCT(--ISNUMBER(SEARCH(","&amp;TRIM(TEXTSPLIT(HY146,","))&amp;",",","&amp;SUBSTITUTE(input_story_type," ","")&amp;",")))&gt;0)),IF(IA146="",TRUE,IF(input_story_type="",FALSE,SUMPRODUCT(--ISNUMBER(SEARCH(","&amp;TRIM(TEXTSPLIT(IA146,","))&amp;",",","&amp;SUBSTITUTE(input_story_type," ","")&amp;",")))=COUNTA(TEXTSPLIT(IA146,",")))),IF(IC146="",TRUE,IF(input_story_type="",TRUE,SUMPRODUCT(--ISNUMBER(SEARCH(","&amp;TRIM(TEXTSPLIT(IC146,","))&amp;",",","&amp;SUBSTITUTE(input_story_type," ","")&amp;",")))=0)),IF(IE146="",TRUE,IF(input_story_type="",FALSE,SUMPRODUCT(--ISNUMBER(SEARCH(","&amp;TRIM(TEXTSPLIT(IE146,","))&amp;",",","&amp;SUBSTITUTE(input_story_type," ","")&amp;",")))&gt;0)),IF(IG146="",TRUE,IF(input_story_type="",FALSE,SUMPRODUCT(--ISNUMBER(SEARCH(","&amp;TRIM(TEXTSPLIT(IG146,","))&amp;",",","&amp;SUBSTITUTE(input_story_type," ","")&amp;",")))=COUNTA(TEXTSPLIT(IG146,",")))))</f>
        <v/>
      </c>
      <c r="JQ146" s="19">
        <f>AND(IF(II146="",TRUE,IF(input_topics="",FALSE,SUMPRODUCT(--ISNUMBER(SEARCH(","&amp;TRIM(TEXTSPLIT(II146,","))&amp;",",","&amp;SUBSTITUTE(input_topics," ","")&amp;",")))&gt;0)),IF(IK146="",TRUE,IF(input_topics="",FALSE,SUMPRODUCT(--ISNUMBER(SEARCH(","&amp;TRIM(TEXTSPLIT(IK146,","))&amp;",",","&amp;SUBSTITUTE(input_topics," ","")&amp;",")))=COUNTA(TEXTSPLIT(IK146,",")))),IF(IM146="",TRUE,IF(input_topics="",TRUE,SUMPRODUCT(--ISNUMBER(SEARCH(","&amp;TRIM(TEXTSPLIT(IM146,","))&amp;",",","&amp;SUBSTITUTE(input_topics," ","")&amp;",")))=0)),IF(IO146="",TRUE,IF(input_topics="",FALSE,SUMPRODUCT(--ISNUMBER(SEARCH(","&amp;TRIM(TEXTSPLIT(IO146,","))&amp;",",","&amp;SUBSTITUTE(input_topics," ","")&amp;",")))&gt;0)),IF(IQ146="",TRUE,IF(input_topics="",FALSE,SUMPRODUCT(--ISNUMBER(SEARCH(","&amp;TRIM(TEXTSPLIT(IQ146,","))&amp;",",","&amp;SUBSTITUTE(input_topics," ","")&amp;",")))=COUNTA(TEXTSPLIT(IQ146,",")))))</f>
        <v/>
      </c>
    </row>
    <row r="147">
      <c r="A147" s="24">
        <f>IF(NOT(IS147),"Excluded",IF(AND(IT147,IU147,IV147,IW147,IX147,IY147,IZ147,JA147,JB147,JC147,JD147,JE147,JF147,JG147,JH147,JI147,JJ147,JK147,JL147,JM147,JN147,JO147,JP147,JQ147),IF(I147&gt;0,"Eligible but limited","Will appear"),"Excluded"))</f>
        <v/>
      </c>
      <c r="B147" s="24" t="inlineStr">
        <is>
          <t>One Minute with...</t>
        </is>
      </c>
      <c r="C147" s="27" t="inlineStr">
        <is>
          <t>/about/headlines/one-minute</t>
        </is>
      </c>
      <c r="D147" s="24" t="inlineStr">
        <is>
          <t>/about/headlines/one-minute</t>
        </is>
      </c>
      <c r="E147" s="24" t="n">
        <v>1</v>
      </c>
      <c r="F147" s="24" t="inlineStr">
        <is>
          <t>story</t>
        </is>
      </c>
      <c r="G147" s="24" t="inlineStr">
        <is>
          <t>stories_list</t>
        </is>
      </c>
      <c r="H147" s="24" t="inlineStr">
        <is>
          <t>embed_1</t>
        </is>
      </c>
      <c r="I147" s="24" t="n">
        <v>10</v>
      </c>
      <c r="J147" s="28" t="inlineStr">
        <is>
          <t>Explicit args</t>
        </is>
      </c>
      <c r="K147" s="24" t="inlineStr">
        <is>
          <t>Page placement</t>
        </is>
      </c>
      <c r="L147" s="24" t="inlineStr">
        <is>
          <t>Content type: story; Context uses Courses Context: One Minute with... (1168); Limited to 10 item(s); Source: Explicit args</t>
        </is>
      </c>
      <c r="BQ147" s="19" t="inlineStr">
        <is>
          <t>1168</t>
        </is>
      </c>
      <c r="BR147" s="19" t="inlineStr">
        <is>
          <t>One Minute with... (1168)</t>
        </is>
      </c>
      <c r="IS147" s="19">
        <f>IF(input_content_type="",FALSE,ISNUMBER(SEARCH(","&amp;LOWER(input_content_type)&amp;",",","&amp;LOWER(SUBSTITUTE(F147," ",""))&amp;",")))</f>
        <v/>
      </c>
      <c r="IT147" s="19">
        <f>AND(IF(M147="",TRUE,IF(input_affiliations="",FALSE,SUMPRODUCT(--ISNUMBER(SEARCH(","&amp;TRIM(TEXTSPLIT(M147,","))&amp;",",","&amp;SUBSTITUTE(input_affiliations," ","")&amp;",")))&gt;0)),IF(O147="",TRUE,IF(input_affiliations="",FALSE,SUMPRODUCT(--ISNUMBER(SEARCH(","&amp;TRIM(TEXTSPLIT(O147,","))&amp;",",","&amp;SUBSTITUTE(input_affiliations," ","")&amp;",")))=COUNTA(TEXTSPLIT(O147,",")))),IF(Q147="",TRUE,IF(input_affiliations="",TRUE,SUMPRODUCT(--ISNUMBER(SEARCH(","&amp;TRIM(TEXTSPLIT(Q147,","))&amp;",",","&amp;SUBSTITUTE(input_affiliations," ","")&amp;",")))=0)),IF(S147="",TRUE,IF(input_affiliations="",FALSE,SUMPRODUCT(--ISNUMBER(SEARCH(","&amp;TRIM(TEXTSPLIT(S147,","))&amp;",",","&amp;SUBSTITUTE(input_affiliations," ","")&amp;",")))&gt;0)),IF(U147="",TRUE,IF(input_affiliations="",FALSE,SUMPRODUCT(--ISNUMBER(SEARCH(","&amp;TRIM(TEXTSPLIT(U147,","))&amp;",",","&amp;SUBSTITUTE(input_affiliations," ","")&amp;",")))=COUNTA(TEXTSPLIT(U147,",")))))</f>
        <v/>
      </c>
      <c r="IU147" s="19">
        <f>AND(IF(W147="",TRUE,IF(input_announcement_category="",FALSE,SUMPRODUCT(--ISNUMBER(SEARCH(","&amp;TRIM(TEXTSPLIT(W147,","))&amp;",",","&amp;SUBSTITUTE(input_announcement_category," ","")&amp;",")))&gt;0)),IF(Y147="",TRUE,IF(input_announcement_category="",FALSE,SUMPRODUCT(--ISNUMBER(SEARCH(","&amp;TRIM(TEXTSPLIT(Y147,","))&amp;",",","&amp;SUBSTITUTE(input_announcement_category," ","")&amp;",")))=COUNTA(TEXTSPLIT(Y147,",")))),IF(AA147="",TRUE,IF(input_announcement_category="",TRUE,SUMPRODUCT(--ISNUMBER(SEARCH(","&amp;TRIM(TEXTSPLIT(AA147,","))&amp;",",","&amp;SUBSTITUTE(input_announcement_category," ","")&amp;",")))=0)),IF(AC147="",TRUE,IF(input_announcement_category="",FALSE,SUMPRODUCT(--ISNUMBER(SEARCH(","&amp;TRIM(TEXTSPLIT(AC147,","))&amp;",",","&amp;SUBSTITUTE(input_announcement_category," ","")&amp;",")))&gt;0)),IF(AE147="",TRUE,IF(input_announcement_category="",FALSE,SUMPRODUCT(--ISNUMBER(SEARCH(","&amp;TRIM(TEXTSPLIT(AE147,","))&amp;",",","&amp;SUBSTITUTE(input_announcement_category," ","")&amp;",")))=COUNTA(TEXTSPLIT(AE147,",")))))</f>
        <v/>
      </c>
      <c r="IV147" s="19">
        <f>AND(IF(AG147="",TRUE,IF(input_area_of_focus="",FALSE,SUMPRODUCT(--ISNUMBER(SEARCH(","&amp;TRIM(TEXTSPLIT(AG147,","))&amp;",",","&amp;SUBSTITUTE(input_area_of_focus," ","")&amp;",")))&gt;0)),IF(AI147="",TRUE,IF(input_area_of_focus="",FALSE,SUMPRODUCT(--ISNUMBER(SEARCH(","&amp;TRIM(TEXTSPLIT(AI147,","))&amp;",",","&amp;SUBSTITUTE(input_area_of_focus," ","")&amp;",")))=COUNTA(TEXTSPLIT(AI147,",")))),IF(AK147="",TRUE,IF(input_area_of_focus="",TRUE,SUMPRODUCT(--ISNUMBER(SEARCH(","&amp;TRIM(TEXTSPLIT(AK147,","))&amp;",",","&amp;SUBSTITUTE(input_area_of_focus," ","")&amp;",")))=0)),IF(AM147="",TRUE,IF(input_area_of_focus="",FALSE,SUMPRODUCT(--ISNUMBER(SEARCH(","&amp;TRIM(TEXTSPLIT(AM147,","))&amp;",",","&amp;SUBSTITUTE(input_area_of_focus," ","")&amp;",")))&gt;0)),IF(AO147="",TRUE,IF(input_area_of_focus="",FALSE,SUMPRODUCT(--ISNUMBER(SEARCH(","&amp;TRIM(TEXTSPLIT(AO147,","))&amp;",",","&amp;SUBSTITUTE(input_area_of_focus," ","")&amp;",")))=COUNTA(TEXTSPLIT(AO147,",")))))</f>
        <v/>
      </c>
      <c r="IW147" s="19">
        <f>AND(IF(AQ147="",TRUE,IF(input_audience="",FALSE,SUMPRODUCT(--ISNUMBER(SEARCH(","&amp;TRIM(TEXTSPLIT(AQ147,","))&amp;",",","&amp;SUBSTITUTE(input_audience," ","")&amp;",")))&gt;0)),IF(AS147="",TRUE,IF(input_audience="",FALSE,SUMPRODUCT(--ISNUMBER(SEARCH(","&amp;TRIM(TEXTSPLIT(AS147,","))&amp;",",","&amp;SUBSTITUTE(input_audience," ","")&amp;",")))=COUNTA(TEXTSPLIT(AS147,",")))),IF(AU147="",TRUE,IF(input_audience="",TRUE,SUMPRODUCT(--ISNUMBER(SEARCH(","&amp;TRIM(TEXTSPLIT(AU147,","))&amp;",",","&amp;SUBSTITUTE(input_audience," ","")&amp;",")))=0)),IF(AW147="",TRUE,IF(input_audience="",FALSE,SUMPRODUCT(--ISNUMBER(SEARCH(","&amp;TRIM(TEXTSPLIT(AW147,","))&amp;",",","&amp;SUBSTITUTE(input_audience," ","")&amp;",")))&gt;0)),IF(AY147="",TRUE,IF(input_audience="",FALSE,SUMPRODUCT(--ISNUMBER(SEARCH(","&amp;TRIM(TEXTSPLIT(AY147,","))&amp;",",","&amp;SUBSTITUTE(input_audience," ","")&amp;",")))=COUNTA(TEXTSPLIT(AY147,",")))))</f>
        <v/>
      </c>
      <c r="IX147" s="19">
        <f>AND(IF(BA147="",TRUE,IF(input_challenge_opportunities="",FALSE,SUMPRODUCT(--ISNUMBER(SEARCH(","&amp;TRIM(TEXTSPLIT(BA147,","))&amp;",",","&amp;SUBSTITUTE(input_challenge_opportunities," ","")&amp;",")))&gt;0)),IF(BC147="",TRUE,IF(input_challenge_opportunities="",FALSE,SUMPRODUCT(--ISNUMBER(SEARCH(","&amp;TRIM(TEXTSPLIT(BC147,","))&amp;",",","&amp;SUBSTITUTE(input_challenge_opportunities," ","")&amp;",")))=COUNTA(TEXTSPLIT(BC147,",")))),IF(BE147="",TRUE,IF(input_challenge_opportunities="",TRUE,SUMPRODUCT(--ISNUMBER(SEARCH(","&amp;TRIM(TEXTSPLIT(BE147,","))&amp;",",","&amp;SUBSTITUTE(input_challenge_opportunities," ","")&amp;",")))=0)),IF(BG147="",TRUE,IF(input_challenge_opportunities="",FALSE,SUMPRODUCT(--ISNUMBER(SEARCH(","&amp;TRIM(TEXTSPLIT(BG147,","))&amp;",",","&amp;SUBSTITUTE(input_challenge_opportunities," ","")&amp;",")))&gt;0)),IF(BI147="",TRUE,IF(input_challenge_opportunities="",FALSE,SUMPRODUCT(--ISNUMBER(SEARCH(","&amp;TRIM(TEXTSPLIT(BI147,","))&amp;",",","&amp;SUBSTITUTE(input_challenge_opportunities," ","")&amp;",")))=COUNTA(TEXTSPLIT(BI147,",")))))</f>
        <v/>
      </c>
      <c r="IY147" s="19">
        <f>AND(IF(BK147="",TRUE,IF(input_context="",FALSE,SUMPRODUCT(--ISNUMBER(SEARCH(","&amp;TRIM(TEXTSPLIT(BK147,","))&amp;",",","&amp;SUBSTITUTE(input_context," ","")&amp;",")))&gt;0)),IF(BM147="",TRUE,IF(input_context="",FALSE,SUMPRODUCT(--ISNUMBER(SEARCH(","&amp;TRIM(TEXTSPLIT(BM147,","))&amp;",",","&amp;SUBSTITUTE(input_context," ","")&amp;",")))=COUNTA(TEXTSPLIT(BM147,",")))),IF(BO147="",TRUE,IF(input_context="",TRUE,SUMPRODUCT(--ISNUMBER(SEARCH(","&amp;TRIM(TEXTSPLIT(BO147,","))&amp;",",","&amp;SUBSTITUTE(input_context," ","")&amp;",")))=0)),IF(BQ147="",TRUE,IF(input_context="",FALSE,SUMPRODUCT(--ISNUMBER(SEARCH(","&amp;TRIM(TEXTSPLIT(BQ147,","))&amp;",",","&amp;SUBSTITUTE(input_context," ","")&amp;",")))&gt;0)),IF(BS147="",TRUE,IF(input_context="",FALSE,SUMPRODUCT(--ISNUMBER(SEARCH(","&amp;TRIM(TEXTSPLIT(BS147,","))&amp;",",","&amp;SUBSTITUTE(input_context," ","")&amp;",")))=COUNTA(TEXTSPLIT(BS147,",")))))</f>
        <v/>
      </c>
      <c r="IZ147" s="19">
        <f>AND(IF(BU147="",TRUE,IF(input_enews_announcement_type="",FALSE,SUMPRODUCT(--ISNUMBER(SEARCH(","&amp;TRIM(TEXTSPLIT(BU147,","))&amp;",",","&amp;SUBSTITUTE(input_enews_announcement_type," ","")&amp;",")))&gt;0)),IF(BW147="",TRUE,IF(input_enews_announcement_type="",FALSE,SUMPRODUCT(--ISNUMBER(SEARCH(","&amp;TRIM(TEXTSPLIT(BW147,","))&amp;",",","&amp;SUBSTITUTE(input_enews_announcement_type," ","")&amp;",")))=COUNTA(TEXTSPLIT(BW147,",")))),IF(BY147="",TRUE,IF(input_enews_announcement_type="",TRUE,SUMPRODUCT(--ISNUMBER(SEARCH(","&amp;TRIM(TEXTSPLIT(BY147,","))&amp;",",","&amp;SUBSTITUTE(input_enews_announcement_type," ","")&amp;",")))=0)),IF(CA147="",TRUE,IF(input_enews_announcement_type="",FALSE,SUMPRODUCT(--ISNUMBER(SEARCH(","&amp;TRIM(TEXTSPLIT(CA147,","))&amp;",",","&amp;SUBSTITUTE(input_enews_announcement_type," ","")&amp;",")))&gt;0)),IF(CC147="",TRUE,IF(input_enews_announcement_type="",FALSE,SUMPRODUCT(--ISNUMBER(SEARCH(","&amp;TRIM(TEXTSPLIT(CC147,","))&amp;",",","&amp;SUBSTITUTE(input_enews_announcement_type," ","")&amp;",")))=COUNTA(TEXTSPLIT(CC147,",")))))</f>
        <v/>
      </c>
      <c r="JA147" s="19">
        <f>AND(IF(CE147="",TRUE,IF(input_enews_audience="",FALSE,SUMPRODUCT(--ISNUMBER(SEARCH(","&amp;TRIM(TEXTSPLIT(CE147,","))&amp;",",","&amp;SUBSTITUTE(input_enews_audience," ","")&amp;",")))&gt;0)),IF(CG147="",TRUE,IF(input_enews_audience="",FALSE,SUMPRODUCT(--ISNUMBER(SEARCH(","&amp;TRIM(TEXTSPLIT(CG147,","))&amp;",",","&amp;SUBSTITUTE(input_enews_audience," ","")&amp;",")))=COUNTA(TEXTSPLIT(CG147,",")))),IF(CI147="",TRUE,IF(input_enews_audience="",TRUE,SUMPRODUCT(--ISNUMBER(SEARCH(","&amp;TRIM(TEXTSPLIT(CI147,","))&amp;",",","&amp;SUBSTITUTE(input_enews_audience," ","")&amp;",")))=0)),IF(CK147="",TRUE,IF(input_enews_audience="",FALSE,SUMPRODUCT(--ISNUMBER(SEARCH(","&amp;TRIM(TEXTSPLIT(CK147,","))&amp;",",","&amp;SUBSTITUTE(input_enews_audience," ","")&amp;",")))&gt;0)),IF(CM147="",TRUE,IF(input_enews_audience="",FALSE,SUMPRODUCT(--ISNUMBER(SEARCH(","&amp;TRIM(TEXTSPLIT(CM147,","))&amp;",",","&amp;SUBSTITUTE(input_enews_audience," ","")&amp;",")))=COUNTA(TEXTSPLIT(CM147,",")))))</f>
        <v/>
      </c>
      <c r="JB147" s="19">
        <f>AND(IF(CO147="",TRUE,IF(input_event_location="",FALSE,SUMPRODUCT(--ISNUMBER(SEARCH(","&amp;TRIM(TEXTSPLIT(CO147,","))&amp;",",","&amp;SUBSTITUTE(input_event_location," ","")&amp;",")))&gt;0)),IF(CQ147="",TRUE,IF(input_event_location="",FALSE,SUMPRODUCT(--ISNUMBER(SEARCH(","&amp;TRIM(TEXTSPLIT(CQ147,","))&amp;",",","&amp;SUBSTITUTE(input_event_location," ","")&amp;",")))=COUNTA(TEXTSPLIT(CQ147,",")))),IF(CS147="",TRUE,IF(input_event_location="",TRUE,SUMPRODUCT(--ISNUMBER(SEARCH(","&amp;TRIM(TEXTSPLIT(CS147,","))&amp;",",","&amp;SUBSTITUTE(input_event_location," ","")&amp;",")))=0)),IF(CU147="",TRUE,IF(input_event_location="",FALSE,SUMPRODUCT(--ISNUMBER(SEARCH(","&amp;TRIM(TEXTSPLIT(CU147,","))&amp;",",","&amp;SUBSTITUTE(input_event_location," ","")&amp;",")))&gt;0)),IF(CW147="",TRUE,IF(input_event_location="",FALSE,SUMPRODUCT(--ISNUMBER(SEARCH(","&amp;TRIM(TEXTSPLIT(CW147,","))&amp;",",","&amp;SUBSTITUTE(input_event_location," ","")&amp;",")))=COUNTA(TEXTSPLIT(CW147,",")))))</f>
        <v/>
      </c>
      <c r="JC147" s="19">
        <f>AND(IF(CY147="",TRUE,IF(input_event_type="",FALSE,SUMPRODUCT(--ISNUMBER(SEARCH(","&amp;TRIM(TEXTSPLIT(CY147,","))&amp;",",","&amp;SUBSTITUTE(input_event_type," ","")&amp;",")))&gt;0)),IF(DA147="",TRUE,IF(input_event_type="",FALSE,SUMPRODUCT(--ISNUMBER(SEARCH(","&amp;TRIM(TEXTSPLIT(DA147,","))&amp;",",","&amp;SUBSTITUTE(input_event_type," ","")&amp;",")))=COUNTA(TEXTSPLIT(DA147,",")))),IF(DC147="",TRUE,IF(input_event_type="",TRUE,SUMPRODUCT(--ISNUMBER(SEARCH(","&amp;TRIM(TEXTSPLIT(DC147,","))&amp;",",","&amp;SUBSTITUTE(input_event_type," ","")&amp;",")))=0)),IF(DE147="",TRUE,IF(input_event_type="",FALSE,SUMPRODUCT(--ISNUMBER(SEARCH(","&amp;TRIM(TEXTSPLIT(DE147,","))&amp;",",","&amp;SUBSTITUTE(input_event_type," ","")&amp;",")))&gt;0)),IF(DG147="",TRUE,IF(input_event_type="",FALSE,SUMPRODUCT(--ISNUMBER(SEARCH(","&amp;TRIM(TEXTSPLIT(DG147,","))&amp;",",","&amp;SUBSTITUTE(input_event_type," ","")&amp;",")))=COUNTA(TEXTSPLIT(DG147,",")))))</f>
        <v/>
      </c>
      <c r="JD147" s="19">
        <f>AND(IF(DI147="",TRUE,IF(input_executive_education_focus="",FALSE,SUMPRODUCT(--ISNUMBER(SEARCH(","&amp;TRIM(TEXTSPLIT(DI147,","))&amp;",",","&amp;SUBSTITUTE(input_executive_education_focus," ","")&amp;",")))&gt;0)),IF(DK147="",TRUE,IF(input_executive_education_focus="",FALSE,SUMPRODUCT(--ISNUMBER(SEARCH(","&amp;TRIM(TEXTSPLIT(DK147,","))&amp;",",","&amp;SUBSTITUTE(input_executive_education_focus," ","")&amp;",")))=COUNTA(TEXTSPLIT(DK147,",")))),IF(DM147="",TRUE,IF(input_executive_education_focus="",TRUE,SUMPRODUCT(--ISNUMBER(SEARCH(","&amp;TRIM(TEXTSPLIT(DM147,","))&amp;",",","&amp;SUBSTITUTE(input_executive_education_focus," ","")&amp;",")))=0)),IF(DO147="",TRUE,IF(input_executive_education_focus="",FALSE,SUMPRODUCT(--ISNUMBER(SEARCH(","&amp;TRIM(TEXTSPLIT(DO147,","))&amp;",",","&amp;SUBSTITUTE(input_executive_education_focus," ","")&amp;",")))&gt;0)),IF(DQ147="",TRUE,IF(input_executive_education_focus="",FALSE,SUMPRODUCT(--ISNUMBER(SEARCH(","&amp;TRIM(TEXTSPLIT(DQ147,","))&amp;",",","&amp;SUBSTITUTE(input_executive_education_focus," ","")&amp;",")))=COUNTA(TEXTSPLIT(DQ147,",")))))</f>
        <v/>
      </c>
      <c r="JE147" s="19">
        <f>AND(IF(DS147="",TRUE,IF(input_faculty_category="",FALSE,SUMPRODUCT(--ISNUMBER(SEARCH(","&amp;TRIM(TEXTSPLIT(DS147,","))&amp;",",","&amp;SUBSTITUTE(input_faculty_category," ","")&amp;",")))&gt;0)),IF(DU147="",TRUE,IF(input_faculty_category="",FALSE,SUMPRODUCT(--ISNUMBER(SEARCH(","&amp;TRIM(TEXTSPLIT(DU147,","))&amp;",",","&amp;SUBSTITUTE(input_faculty_category," ","")&amp;",")))=COUNTA(TEXTSPLIT(DU147,",")))),IF(DW147="",TRUE,IF(input_faculty_category="",TRUE,SUMPRODUCT(--ISNUMBER(SEARCH(","&amp;TRIM(TEXTSPLIT(DW147,","))&amp;",",","&amp;SUBSTITUTE(input_faculty_category," ","")&amp;",")))=0)),IF(DY147="",TRUE,IF(input_faculty_category="",FALSE,SUMPRODUCT(--ISNUMBER(SEARCH(","&amp;TRIM(TEXTSPLIT(DY147,","))&amp;",",","&amp;SUBSTITUTE(input_faculty_category," ","")&amp;",")))&gt;0)),IF(EA147="",TRUE,IF(input_faculty_category="",FALSE,SUMPRODUCT(--ISNUMBER(SEARCH(","&amp;TRIM(TEXTSPLIT(EA147,","))&amp;",",","&amp;SUBSTITUTE(input_faculty_category," ","")&amp;",")))=COUNTA(TEXTSPLIT(EA147,",")))))</f>
        <v/>
      </c>
      <c r="JF147" s="19">
        <f>AND(IF(EC147="",TRUE,IF(input_faculty_discipline="",FALSE,SUMPRODUCT(--ISNUMBER(SEARCH(","&amp;TRIM(TEXTSPLIT(EC147,","))&amp;",",","&amp;SUBSTITUTE(input_faculty_discipline," ","")&amp;",")))&gt;0)),IF(EE147="",TRUE,IF(input_faculty_discipline="",FALSE,SUMPRODUCT(--ISNUMBER(SEARCH(","&amp;TRIM(TEXTSPLIT(EE147,","))&amp;",",","&amp;SUBSTITUTE(input_faculty_discipline," ","")&amp;",")))=COUNTA(TEXTSPLIT(EE147,",")))),IF(EG147="",TRUE,IF(input_faculty_discipline="",TRUE,SUMPRODUCT(--ISNUMBER(SEARCH(","&amp;TRIM(TEXTSPLIT(EG147,","))&amp;",",","&amp;SUBSTITUTE(input_faculty_discipline," ","")&amp;",")))=0)),IF(EI147="",TRUE,IF(input_faculty_discipline="",FALSE,SUMPRODUCT(--ISNUMBER(SEARCH(","&amp;TRIM(TEXTSPLIT(EI147,","))&amp;",",","&amp;SUBSTITUTE(input_faculty_discipline," ","")&amp;",")))&gt;0)),IF(EK147="",TRUE,IF(input_faculty_discipline="",FALSE,SUMPRODUCT(--ISNUMBER(SEARCH(","&amp;TRIM(TEXTSPLIT(EK147,","))&amp;",",","&amp;SUBSTITUTE(input_faculty_discipline," ","")&amp;",")))=COUNTA(TEXTSPLIT(EK147,",")))))</f>
        <v/>
      </c>
      <c r="JG147" s="19">
        <f>AND(IF(EM147="",TRUE,IF(input_faculty_expertise="",FALSE,SUMPRODUCT(--ISNUMBER(SEARCH(","&amp;TRIM(TEXTSPLIT(EM147,","))&amp;",",","&amp;SUBSTITUTE(input_faculty_expertise," ","")&amp;",")))&gt;0)),IF(EO147="",TRUE,IF(input_faculty_expertise="",FALSE,SUMPRODUCT(--ISNUMBER(SEARCH(","&amp;TRIM(TEXTSPLIT(EO147,","))&amp;",",","&amp;SUBSTITUTE(input_faculty_expertise," ","")&amp;",")))=COUNTA(TEXTSPLIT(EO147,",")))),IF(EQ147="",TRUE,IF(input_faculty_expertise="",TRUE,SUMPRODUCT(--ISNUMBER(SEARCH(","&amp;TRIM(TEXTSPLIT(EQ147,","))&amp;",",","&amp;SUBSTITUTE(input_faculty_expertise," ","")&amp;",")))=0)),IF(ES147="",TRUE,IF(input_faculty_expertise="",FALSE,SUMPRODUCT(--ISNUMBER(SEARCH(","&amp;TRIM(TEXTSPLIT(ES147,","))&amp;",",","&amp;SUBSTITUTE(input_faculty_expertise," ","")&amp;",")))&gt;0)),IF(EU147="",TRUE,IF(input_faculty_expertise="",FALSE,SUMPRODUCT(--ISNUMBER(SEARCH(","&amp;TRIM(TEXTSPLIT(EU147,","))&amp;",",","&amp;SUBSTITUTE(input_faculty_expertise," ","")&amp;",")))=COUNTA(TEXTSPLIT(EU147,",")))))</f>
        <v/>
      </c>
      <c r="JH147" s="19">
        <f>AND(IF(EW147="",TRUE,IF(input_global_network_school="",FALSE,SUMPRODUCT(--ISNUMBER(SEARCH(","&amp;TRIM(TEXTSPLIT(EW147,","))&amp;",",","&amp;SUBSTITUTE(input_global_network_school," ","")&amp;",")))&gt;0)),IF(EY147="",TRUE,IF(input_global_network_school="",FALSE,SUMPRODUCT(--ISNUMBER(SEARCH(","&amp;TRIM(TEXTSPLIT(EY147,","))&amp;",",","&amp;SUBSTITUTE(input_global_network_school," ","")&amp;",")))=COUNTA(TEXTSPLIT(EY147,",")))),IF(FA147="",TRUE,IF(input_global_network_school="",TRUE,SUMPRODUCT(--ISNUMBER(SEARCH(","&amp;TRIM(TEXTSPLIT(FA147,","))&amp;",",","&amp;SUBSTITUTE(input_global_network_school," ","")&amp;",")))=0)),IF(FC147="",TRUE,IF(input_global_network_school="",FALSE,SUMPRODUCT(--ISNUMBER(SEARCH(","&amp;TRIM(TEXTSPLIT(FC147,","))&amp;",",","&amp;SUBSTITUTE(input_global_network_school," ","")&amp;",")))&gt;0)),IF(FE147="",TRUE,IF(input_global_network_school="",FALSE,SUMPRODUCT(--ISNUMBER(SEARCH(","&amp;TRIM(TEXTSPLIT(FE147,","))&amp;",",","&amp;SUBSTITUTE(input_global_network_school," ","")&amp;",")))=COUNTA(TEXTSPLIT(FE147,",")))))</f>
        <v/>
      </c>
      <c r="JI147" s="19">
        <f>AND(IF(FG147="",TRUE,IF(input_industry="",FALSE,SUMPRODUCT(--ISNUMBER(SEARCH(","&amp;TRIM(TEXTSPLIT(FG147,","))&amp;",",","&amp;SUBSTITUTE(input_industry," ","")&amp;",")))&gt;0)),IF(FI147="",TRUE,IF(input_industry="",FALSE,SUMPRODUCT(--ISNUMBER(SEARCH(","&amp;TRIM(TEXTSPLIT(FI147,","))&amp;",",","&amp;SUBSTITUTE(input_industry," ","")&amp;",")))=COUNTA(TEXTSPLIT(FI147,",")))),IF(FK147="",TRUE,IF(input_industry="",TRUE,SUMPRODUCT(--ISNUMBER(SEARCH(","&amp;TRIM(TEXTSPLIT(FK147,","))&amp;",",","&amp;SUBSTITUTE(input_industry," ","")&amp;",")))=0)),IF(FM147="",TRUE,IF(input_industry="",FALSE,SUMPRODUCT(--ISNUMBER(SEARCH(","&amp;TRIM(TEXTSPLIT(FM147,","))&amp;",",","&amp;SUBSTITUTE(input_industry," ","")&amp;",")))&gt;0)),IF(FO147="",TRUE,IF(input_industry="",FALSE,SUMPRODUCT(--ISNUMBER(SEARCH(","&amp;TRIM(TEXTSPLIT(FO147,","))&amp;",",","&amp;SUBSTITUTE(input_industry," ","")&amp;",")))=COUNTA(TEXTSPLIT(FO147,",")))))</f>
        <v/>
      </c>
      <c r="JJ147" s="19">
        <f>AND(IF(FQ147="",TRUE,IF(input_location="",FALSE,SUMPRODUCT(--ISNUMBER(SEARCH(","&amp;TRIM(TEXTSPLIT(FQ147,","))&amp;",",","&amp;SUBSTITUTE(input_location," ","")&amp;",")))&gt;0)),IF(FS147="",TRUE,IF(input_location="",FALSE,SUMPRODUCT(--ISNUMBER(SEARCH(","&amp;TRIM(TEXTSPLIT(FS147,","))&amp;",",","&amp;SUBSTITUTE(input_location," ","")&amp;",")))=COUNTA(TEXTSPLIT(FS147,",")))),IF(FU147="",TRUE,IF(input_location="",TRUE,SUMPRODUCT(--ISNUMBER(SEARCH(","&amp;TRIM(TEXTSPLIT(FU147,","))&amp;",",","&amp;SUBSTITUTE(input_location," ","")&amp;",")))=0)),IF(FW147="",TRUE,IF(input_location="",FALSE,SUMPRODUCT(--ISNUMBER(SEARCH(","&amp;TRIM(TEXTSPLIT(FW147,","))&amp;",",","&amp;SUBSTITUTE(input_location," ","")&amp;",")))&gt;0)),IF(FY147="",TRUE,IF(input_location="",FALSE,SUMPRODUCT(--ISNUMBER(SEARCH(","&amp;TRIM(TEXTSPLIT(FY147,","))&amp;",",","&amp;SUBSTITUTE(input_location," ","")&amp;",")))=COUNTA(TEXTSPLIT(FY147,",")))))</f>
        <v/>
      </c>
      <c r="JK147" s="19">
        <f>AND(IF(GA147="",TRUE,IF(input_modality="",FALSE,SUMPRODUCT(--ISNUMBER(SEARCH(","&amp;TRIM(TEXTSPLIT(GA147,","))&amp;",",","&amp;SUBSTITUTE(input_modality," ","")&amp;",")))&gt;0)),IF(GC147="",TRUE,IF(input_modality="",FALSE,SUMPRODUCT(--ISNUMBER(SEARCH(","&amp;TRIM(TEXTSPLIT(GC147,","))&amp;",",","&amp;SUBSTITUTE(input_modality," ","")&amp;",")))=COUNTA(TEXTSPLIT(GC147,",")))),IF(GE147="",TRUE,IF(input_modality="",TRUE,SUMPRODUCT(--ISNUMBER(SEARCH(","&amp;TRIM(TEXTSPLIT(GE147,","))&amp;",",","&amp;SUBSTITUTE(input_modality," ","")&amp;",")))=0)),IF(GG147="",TRUE,IF(input_modality="",FALSE,SUMPRODUCT(--ISNUMBER(SEARCH(","&amp;TRIM(TEXTSPLIT(GG147,","))&amp;",",","&amp;SUBSTITUTE(input_modality," ","")&amp;",")))&gt;0)),IF(GI147="",TRUE,IF(input_modality="",FALSE,SUMPRODUCT(--ISNUMBER(SEARCH(","&amp;TRIM(TEXTSPLIT(GI147,","))&amp;",",","&amp;SUBSTITUTE(input_modality," ","")&amp;",")))=COUNTA(TEXTSPLIT(GI147,",")))))</f>
        <v/>
      </c>
      <c r="JL147" s="19">
        <f>AND(IF(GK147="",TRUE,IF(input_organizer="",FALSE,SUMPRODUCT(--ISNUMBER(SEARCH(","&amp;TRIM(TEXTSPLIT(GK147,","))&amp;",",","&amp;SUBSTITUTE(input_organizer," ","")&amp;",")))&gt;0)),IF(GM147="",TRUE,IF(input_organizer="",FALSE,SUMPRODUCT(--ISNUMBER(SEARCH(","&amp;TRIM(TEXTSPLIT(GM147,","))&amp;",",","&amp;SUBSTITUTE(input_organizer," ","")&amp;",")))=COUNTA(TEXTSPLIT(GM147,",")))),IF(GO147="",TRUE,IF(input_organizer="",TRUE,SUMPRODUCT(--ISNUMBER(SEARCH(","&amp;TRIM(TEXTSPLIT(GO147,","))&amp;",",","&amp;SUBSTITUTE(input_organizer," ","")&amp;",")))=0)),IF(GQ147="",TRUE,IF(input_organizer="",FALSE,SUMPRODUCT(--ISNUMBER(SEARCH(","&amp;TRIM(TEXTSPLIT(GQ147,","))&amp;",",","&amp;SUBSTITUTE(input_organizer," ","")&amp;",")))&gt;0)),IF(GS147="",TRUE,IF(input_organizer="",FALSE,SUMPRODUCT(--ISNUMBER(SEARCH(","&amp;TRIM(TEXTSPLIT(GS147,","))&amp;",",","&amp;SUBSTITUTE(input_organizer," ","")&amp;",")))=COUNTA(TEXTSPLIT(GS147,",")))))</f>
        <v/>
      </c>
      <c r="JM147" s="19">
        <f>AND(IF(GU147="",TRUE,IF(input_profile_type="",FALSE,SUMPRODUCT(--ISNUMBER(SEARCH(","&amp;TRIM(TEXTSPLIT(GU147,","))&amp;",",","&amp;SUBSTITUTE(input_profile_type," ","")&amp;",")))&gt;0)),IF(GW147="",TRUE,IF(input_profile_type="",FALSE,SUMPRODUCT(--ISNUMBER(SEARCH(","&amp;TRIM(TEXTSPLIT(GW147,","))&amp;",",","&amp;SUBSTITUTE(input_profile_type," ","")&amp;",")))=COUNTA(TEXTSPLIT(GW147,",")))),IF(GY147="",TRUE,IF(input_profile_type="",TRUE,SUMPRODUCT(--ISNUMBER(SEARCH(","&amp;TRIM(TEXTSPLIT(GY147,","))&amp;",",","&amp;SUBSTITUTE(input_profile_type," ","")&amp;",")))=0)),IF(HA147="",TRUE,IF(input_profile_type="",FALSE,SUMPRODUCT(--ISNUMBER(SEARCH(","&amp;TRIM(TEXTSPLIT(HA147,","))&amp;",",","&amp;SUBSTITUTE(input_profile_type," ","")&amp;",")))&gt;0)),IF(HC147="",TRUE,IF(input_profile_type="",FALSE,SUMPRODUCT(--ISNUMBER(SEARCH(","&amp;TRIM(TEXTSPLIT(HC147,","))&amp;",",","&amp;SUBSTITUTE(input_profile_type," ","")&amp;",")))=COUNTA(TEXTSPLIT(HC147,",")))))</f>
        <v/>
      </c>
      <c r="JN147" s="19">
        <f>AND(IF(HE147="",TRUE,IF(input_program="",FALSE,SUMPRODUCT(--ISNUMBER(SEARCH(","&amp;TRIM(TEXTSPLIT(HE147,","))&amp;",",","&amp;SUBSTITUTE(input_program," ","")&amp;",")))&gt;0)),IF(HG147="",TRUE,IF(input_program="",FALSE,SUMPRODUCT(--ISNUMBER(SEARCH(","&amp;TRIM(TEXTSPLIT(HG147,","))&amp;",",","&amp;SUBSTITUTE(input_program," ","")&amp;",")))=COUNTA(TEXTSPLIT(HG147,",")))),IF(HI147="",TRUE,IF(input_program="",TRUE,SUMPRODUCT(--ISNUMBER(SEARCH(","&amp;TRIM(TEXTSPLIT(HI147,","))&amp;",",","&amp;SUBSTITUTE(input_program," ","")&amp;",")))=0)),IF(HK147="",TRUE,IF(input_program="",FALSE,SUMPRODUCT(--ISNUMBER(SEARCH(","&amp;TRIM(TEXTSPLIT(HK147,","))&amp;",",","&amp;SUBSTITUTE(input_program," ","")&amp;",")))&gt;0)),IF(HM147="",TRUE,IF(input_program="",FALSE,SUMPRODUCT(--ISNUMBER(SEARCH(","&amp;TRIM(TEXTSPLIT(HM147,","))&amp;",",","&amp;SUBSTITUTE(input_program," ","")&amp;",")))=COUNTA(TEXTSPLIT(HM147,",")))))</f>
        <v/>
      </c>
      <c r="JO147" s="19">
        <f>AND(IF(HO147="",TRUE,IF(input_story_categories="",FALSE,SUMPRODUCT(--ISNUMBER(SEARCH(","&amp;TRIM(TEXTSPLIT(HO147,","))&amp;",",","&amp;SUBSTITUTE(input_story_categories," ","")&amp;",")))&gt;0)),IF(HQ147="",TRUE,IF(input_story_categories="",FALSE,SUMPRODUCT(--ISNUMBER(SEARCH(","&amp;TRIM(TEXTSPLIT(HQ147,","))&amp;",",","&amp;SUBSTITUTE(input_story_categories," ","")&amp;",")))=COUNTA(TEXTSPLIT(HQ147,",")))),IF(HS147="",TRUE,IF(input_story_categories="",TRUE,SUMPRODUCT(--ISNUMBER(SEARCH(","&amp;TRIM(TEXTSPLIT(HS147,","))&amp;",",","&amp;SUBSTITUTE(input_story_categories," ","")&amp;",")))=0)),IF(HU147="",TRUE,IF(input_story_categories="",FALSE,SUMPRODUCT(--ISNUMBER(SEARCH(","&amp;TRIM(TEXTSPLIT(HU147,","))&amp;",",","&amp;SUBSTITUTE(input_story_categories," ","")&amp;",")))&gt;0)),IF(HW147="",TRUE,IF(input_story_categories="",FALSE,SUMPRODUCT(--ISNUMBER(SEARCH(","&amp;TRIM(TEXTSPLIT(HW147,","))&amp;",",","&amp;SUBSTITUTE(input_story_categories," ","")&amp;",")))=COUNTA(TEXTSPLIT(HW147,",")))))</f>
        <v/>
      </c>
      <c r="JP147" s="19">
        <f>AND(IF(HY147="",TRUE,IF(input_story_type="",FALSE,SUMPRODUCT(--ISNUMBER(SEARCH(","&amp;TRIM(TEXTSPLIT(HY147,","))&amp;",",","&amp;SUBSTITUTE(input_story_type," ","")&amp;",")))&gt;0)),IF(IA147="",TRUE,IF(input_story_type="",FALSE,SUMPRODUCT(--ISNUMBER(SEARCH(","&amp;TRIM(TEXTSPLIT(IA147,","))&amp;",",","&amp;SUBSTITUTE(input_story_type," ","")&amp;",")))=COUNTA(TEXTSPLIT(IA147,",")))),IF(IC147="",TRUE,IF(input_story_type="",TRUE,SUMPRODUCT(--ISNUMBER(SEARCH(","&amp;TRIM(TEXTSPLIT(IC147,","))&amp;",",","&amp;SUBSTITUTE(input_story_type," ","")&amp;",")))=0)),IF(IE147="",TRUE,IF(input_story_type="",FALSE,SUMPRODUCT(--ISNUMBER(SEARCH(","&amp;TRIM(TEXTSPLIT(IE147,","))&amp;",",","&amp;SUBSTITUTE(input_story_type," ","")&amp;",")))&gt;0)),IF(IG147="",TRUE,IF(input_story_type="",FALSE,SUMPRODUCT(--ISNUMBER(SEARCH(","&amp;TRIM(TEXTSPLIT(IG147,","))&amp;",",","&amp;SUBSTITUTE(input_story_type," ","")&amp;",")))=COUNTA(TEXTSPLIT(IG147,",")))))</f>
        <v/>
      </c>
      <c r="JQ147" s="19">
        <f>AND(IF(II147="",TRUE,IF(input_topics="",FALSE,SUMPRODUCT(--ISNUMBER(SEARCH(","&amp;TRIM(TEXTSPLIT(II147,","))&amp;",",","&amp;SUBSTITUTE(input_topics," ","")&amp;",")))&gt;0)),IF(IK147="",TRUE,IF(input_topics="",FALSE,SUMPRODUCT(--ISNUMBER(SEARCH(","&amp;TRIM(TEXTSPLIT(IK147,","))&amp;",",","&amp;SUBSTITUTE(input_topics," ","")&amp;",")))=COUNTA(TEXTSPLIT(IK147,",")))),IF(IM147="",TRUE,IF(input_topics="",TRUE,SUMPRODUCT(--ISNUMBER(SEARCH(","&amp;TRIM(TEXTSPLIT(IM147,","))&amp;",",","&amp;SUBSTITUTE(input_topics," ","")&amp;",")))=0)),IF(IO147="",TRUE,IF(input_topics="",FALSE,SUMPRODUCT(--ISNUMBER(SEARCH(","&amp;TRIM(TEXTSPLIT(IO147,","))&amp;",",","&amp;SUBSTITUTE(input_topics," ","")&amp;",")))&gt;0)),IF(IQ147="",TRUE,IF(input_topics="",FALSE,SUMPRODUCT(--ISNUMBER(SEARCH(","&amp;TRIM(TEXTSPLIT(IQ147,","))&amp;",",","&amp;SUBSTITUTE(input_topics," ","")&amp;",")))=COUNTA(TEXTSPLIT(IQ147,",")))))</f>
        <v/>
      </c>
    </row>
    <row r="148">
      <c r="A148" s="24">
        <f>IF(NOT(IS148),"Excluded",IF(AND(IT148,IU148,IV148,IW148,IX148,IY148,IZ148,JA148,JB148,JC148,JD148,JE148,JF148,JG148,JH148,JI148,JJ148,JK148,JL148,JM148,JN148,JO148,JP148,JQ148),IF(I148&gt;0,"Eligible but limited","Will appear"),"Excluded"))</f>
        <v/>
      </c>
      <c r="B148" s="24" t="inlineStr">
        <is>
          <t>Participant Spotlights</t>
        </is>
      </c>
      <c r="C148" s="27" t="inlineStr">
        <is>
          <t>/executive-education/community/participant-spotlights</t>
        </is>
      </c>
      <c r="D148" s="24" t="inlineStr">
        <is>
          <t>/executive-education/community/participant-spotlights</t>
        </is>
      </c>
      <c r="E148" s="24" t="n">
        <v>1</v>
      </c>
      <c r="F148" s="24" t="inlineStr">
        <is>
          <t>story</t>
        </is>
      </c>
      <c r="G148" s="24" t="inlineStr">
        <is>
          <t>stories_list</t>
        </is>
      </c>
      <c r="H148" s="24" t="inlineStr">
        <is>
          <t>embed_blog</t>
        </is>
      </c>
      <c r="I148" s="24" t="n">
        <v>10</v>
      </c>
      <c r="J148" s="28" t="inlineStr">
        <is>
          <t>Explicit args</t>
        </is>
      </c>
      <c r="K148" s="24" t="inlineStr">
        <is>
          <t>Page placement</t>
        </is>
      </c>
      <c r="L148" s="24" t="inlineStr">
        <is>
          <t>Content type: story; Context needs all Courses Context: Executive Education (967), Exec Ed Participant Spotlights (1182); Needs any Story Type: Blog (974); Limited to 10 item(s); Source: Explicit args</t>
        </is>
      </c>
      <c r="BS148" s="19" t="inlineStr">
        <is>
          <t>967, 1182</t>
        </is>
      </c>
      <c r="BT148" s="19" t="inlineStr">
        <is>
          <t>Executive Education (967), Exec Ed Participant Spotlights (1182)</t>
        </is>
      </c>
      <c r="HY148" s="19" t="inlineStr">
        <is>
          <t>974</t>
        </is>
      </c>
      <c r="HZ148" s="19" t="inlineStr">
        <is>
          <t>Blog (974)</t>
        </is>
      </c>
      <c r="IS148" s="19">
        <f>IF(input_content_type="",FALSE,ISNUMBER(SEARCH(","&amp;LOWER(input_content_type)&amp;",",","&amp;LOWER(SUBSTITUTE(F148," ",""))&amp;",")))</f>
        <v/>
      </c>
      <c r="IT148" s="19">
        <f>AND(IF(M148="",TRUE,IF(input_affiliations="",FALSE,SUMPRODUCT(--ISNUMBER(SEARCH(","&amp;TRIM(TEXTSPLIT(M148,","))&amp;",",","&amp;SUBSTITUTE(input_affiliations," ","")&amp;",")))&gt;0)),IF(O148="",TRUE,IF(input_affiliations="",FALSE,SUMPRODUCT(--ISNUMBER(SEARCH(","&amp;TRIM(TEXTSPLIT(O148,","))&amp;",",","&amp;SUBSTITUTE(input_affiliations," ","")&amp;",")))=COUNTA(TEXTSPLIT(O148,",")))),IF(Q148="",TRUE,IF(input_affiliations="",TRUE,SUMPRODUCT(--ISNUMBER(SEARCH(","&amp;TRIM(TEXTSPLIT(Q148,","))&amp;",",","&amp;SUBSTITUTE(input_affiliations," ","")&amp;",")))=0)),IF(S148="",TRUE,IF(input_affiliations="",FALSE,SUMPRODUCT(--ISNUMBER(SEARCH(","&amp;TRIM(TEXTSPLIT(S148,","))&amp;",",","&amp;SUBSTITUTE(input_affiliations," ","")&amp;",")))&gt;0)),IF(U148="",TRUE,IF(input_affiliations="",FALSE,SUMPRODUCT(--ISNUMBER(SEARCH(","&amp;TRIM(TEXTSPLIT(U148,","))&amp;",",","&amp;SUBSTITUTE(input_affiliations," ","")&amp;",")))=COUNTA(TEXTSPLIT(U148,",")))))</f>
        <v/>
      </c>
      <c r="IU148" s="19">
        <f>AND(IF(W148="",TRUE,IF(input_announcement_category="",FALSE,SUMPRODUCT(--ISNUMBER(SEARCH(","&amp;TRIM(TEXTSPLIT(W148,","))&amp;",",","&amp;SUBSTITUTE(input_announcement_category," ","")&amp;",")))&gt;0)),IF(Y148="",TRUE,IF(input_announcement_category="",FALSE,SUMPRODUCT(--ISNUMBER(SEARCH(","&amp;TRIM(TEXTSPLIT(Y148,","))&amp;",",","&amp;SUBSTITUTE(input_announcement_category," ","")&amp;",")))=COUNTA(TEXTSPLIT(Y148,",")))),IF(AA148="",TRUE,IF(input_announcement_category="",TRUE,SUMPRODUCT(--ISNUMBER(SEARCH(","&amp;TRIM(TEXTSPLIT(AA148,","))&amp;",",","&amp;SUBSTITUTE(input_announcement_category," ","")&amp;",")))=0)),IF(AC148="",TRUE,IF(input_announcement_category="",FALSE,SUMPRODUCT(--ISNUMBER(SEARCH(","&amp;TRIM(TEXTSPLIT(AC148,","))&amp;",",","&amp;SUBSTITUTE(input_announcement_category," ","")&amp;",")))&gt;0)),IF(AE148="",TRUE,IF(input_announcement_category="",FALSE,SUMPRODUCT(--ISNUMBER(SEARCH(","&amp;TRIM(TEXTSPLIT(AE148,","))&amp;",",","&amp;SUBSTITUTE(input_announcement_category," ","")&amp;",")))=COUNTA(TEXTSPLIT(AE148,",")))))</f>
        <v/>
      </c>
      <c r="IV148" s="19">
        <f>AND(IF(AG148="",TRUE,IF(input_area_of_focus="",FALSE,SUMPRODUCT(--ISNUMBER(SEARCH(","&amp;TRIM(TEXTSPLIT(AG148,","))&amp;",",","&amp;SUBSTITUTE(input_area_of_focus," ","")&amp;",")))&gt;0)),IF(AI148="",TRUE,IF(input_area_of_focus="",FALSE,SUMPRODUCT(--ISNUMBER(SEARCH(","&amp;TRIM(TEXTSPLIT(AI148,","))&amp;",",","&amp;SUBSTITUTE(input_area_of_focus," ","")&amp;",")))=COUNTA(TEXTSPLIT(AI148,",")))),IF(AK148="",TRUE,IF(input_area_of_focus="",TRUE,SUMPRODUCT(--ISNUMBER(SEARCH(","&amp;TRIM(TEXTSPLIT(AK148,","))&amp;",",","&amp;SUBSTITUTE(input_area_of_focus," ","")&amp;",")))=0)),IF(AM148="",TRUE,IF(input_area_of_focus="",FALSE,SUMPRODUCT(--ISNUMBER(SEARCH(","&amp;TRIM(TEXTSPLIT(AM148,","))&amp;",",","&amp;SUBSTITUTE(input_area_of_focus," ","")&amp;",")))&gt;0)),IF(AO148="",TRUE,IF(input_area_of_focus="",FALSE,SUMPRODUCT(--ISNUMBER(SEARCH(","&amp;TRIM(TEXTSPLIT(AO148,","))&amp;",",","&amp;SUBSTITUTE(input_area_of_focus," ","")&amp;",")))=COUNTA(TEXTSPLIT(AO148,",")))))</f>
        <v/>
      </c>
      <c r="IW148" s="19">
        <f>AND(IF(AQ148="",TRUE,IF(input_audience="",FALSE,SUMPRODUCT(--ISNUMBER(SEARCH(","&amp;TRIM(TEXTSPLIT(AQ148,","))&amp;",",","&amp;SUBSTITUTE(input_audience," ","")&amp;",")))&gt;0)),IF(AS148="",TRUE,IF(input_audience="",FALSE,SUMPRODUCT(--ISNUMBER(SEARCH(","&amp;TRIM(TEXTSPLIT(AS148,","))&amp;",",","&amp;SUBSTITUTE(input_audience," ","")&amp;",")))=COUNTA(TEXTSPLIT(AS148,",")))),IF(AU148="",TRUE,IF(input_audience="",TRUE,SUMPRODUCT(--ISNUMBER(SEARCH(","&amp;TRIM(TEXTSPLIT(AU148,","))&amp;",",","&amp;SUBSTITUTE(input_audience," ","")&amp;",")))=0)),IF(AW148="",TRUE,IF(input_audience="",FALSE,SUMPRODUCT(--ISNUMBER(SEARCH(","&amp;TRIM(TEXTSPLIT(AW148,","))&amp;",",","&amp;SUBSTITUTE(input_audience," ","")&amp;",")))&gt;0)),IF(AY148="",TRUE,IF(input_audience="",FALSE,SUMPRODUCT(--ISNUMBER(SEARCH(","&amp;TRIM(TEXTSPLIT(AY148,","))&amp;",",","&amp;SUBSTITUTE(input_audience," ","")&amp;",")))=COUNTA(TEXTSPLIT(AY148,",")))))</f>
        <v/>
      </c>
      <c r="IX148" s="19">
        <f>AND(IF(BA148="",TRUE,IF(input_challenge_opportunities="",FALSE,SUMPRODUCT(--ISNUMBER(SEARCH(","&amp;TRIM(TEXTSPLIT(BA148,","))&amp;",",","&amp;SUBSTITUTE(input_challenge_opportunities," ","")&amp;",")))&gt;0)),IF(BC148="",TRUE,IF(input_challenge_opportunities="",FALSE,SUMPRODUCT(--ISNUMBER(SEARCH(","&amp;TRIM(TEXTSPLIT(BC148,","))&amp;",",","&amp;SUBSTITUTE(input_challenge_opportunities," ","")&amp;",")))=COUNTA(TEXTSPLIT(BC148,",")))),IF(BE148="",TRUE,IF(input_challenge_opportunities="",TRUE,SUMPRODUCT(--ISNUMBER(SEARCH(","&amp;TRIM(TEXTSPLIT(BE148,","))&amp;",",","&amp;SUBSTITUTE(input_challenge_opportunities," ","")&amp;",")))=0)),IF(BG148="",TRUE,IF(input_challenge_opportunities="",FALSE,SUMPRODUCT(--ISNUMBER(SEARCH(","&amp;TRIM(TEXTSPLIT(BG148,","))&amp;",",","&amp;SUBSTITUTE(input_challenge_opportunities," ","")&amp;",")))&gt;0)),IF(BI148="",TRUE,IF(input_challenge_opportunities="",FALSE,SUMPRODUCT(--ISNUMBER(SEARCH(","&amp;TRIM(TEXTSPLIT(BI148,","))&amp;",",","&amp;SUBSTITUTE(input_challenge_opportunities," ","")&amp;",")))=COUNTA(TEXTSPLIT(BI148,",")))))</f>
        <v/>
      </c>
      <c r="IY148" s="19">
        <f>AND(IF(BK148="",TRUE,IF(input_context="",FALSE,SUMPRODUCT(--ISNUMBER(SEARCH(","&amp;TRIM(TEXTSPLIT(BK148,","))&amp;",",","&amp;SUBSTITUTE(input_context," ","")&amp;",")))&gt;0)),IF(BM148="",TRUE,IF(input_context="",FALSE,SUMPRODUCT(--ISNUMBER(SEARCH(","&amp;TRIM(TEXTSPLIT(BM148,","))&amp;",",","&amp;SUBSTITUTE(input_context," ","")&amp;",")))=COUNTA(TEXTSPLIT(BM148,",")))),IF(BO148="",TRUE,IF(input_context="",TRUE,SUMPRODUCT(--ISNUMBER(SEARCH(","&amp;TRIM(TEXTSPLIT(BO148,","))&amp;",",","&amp;SUBSTITUTE(input_context," ","")&amp;",")))=0)),IF(BQ148="",TRUE,IF(input_context="",FALSE,SUMPRODUCT(--ISNUMBER(SEARCH(","&amp;TRIM(TEXTSPLIT(BQ148,","))&amp;",",","&amp;SUBSTITUTE(input_context," ","")&amp;",")))&gt;0)),IF(BS148="",TRUE,IF(input_context="",FALSE,SUMPRODUCT(--ISNUMBER(SEARCH(","&amp;TRIM(TEXTSPLIT(BS148,","))&amp;",",","&amp;SUBSTITUTE(input_context," ","")&amp;",")))=COUNTA(TEXTSPLIT(BS148,",")))))</f>
        <v/>
      </c>
      <c r="IZ148" s="19">
        <f>AND(IF(BU148="",TRUE,IF(input_enews_announcement_type="",FALSE,SUMPRODUCT(--ISNUMBER(SEARCH(","&amp;TRIM(TEXTSPLIT(BU148,","))&amp;",",","&amp;SUBSTITUTE(input_enews_announcement_type," ","")&amp;",")))&gt;0)),IF(BW148="",TRUE,IF(input_enews_announcement_type="",FALSE,SUMPRODUCT(--ISNUMBER(SEARCH(","&amp;TRIM(TEXTSPLIT(BW148,","))&amp;",",","&amp;SUBSTITUTE(input_enews_announcement_type," ","")&amp;",")))=COUNTA(TEXTSPLIT(BW148,",")))),IF(BY148="",TRUE,IF(input_enews_announcement_type="",TRUE,SUMPRODUCT(--ISNUMBER(SEARCH(","&amp;TRIM(TEXTSPLIT(BY148,","))&amp;",",","&amp;SUBSTITUTE(input_enews_announcement_type," ","")&amp;",")))=0)),IF(CA148="",TRUE,IF(input_enews_announcement_type="",FALSE,SUMPRODUCT(--ISNUMBER(SEARCH(","&amp;TRIM(TEXTSPLIT(CA148,","))&amp;",",","&amp;SUBSTITUTE(input_enews_announcement_type," ","")&amp;",")))&gt;0)),IF(CC148="",TRUE,IF(input_enews_announcement_type="",FALSE,SUMPRODUCT(--ISNUMBER(SEARCH(","&amp;TRIM(TEXTSPLIT(CC148,","))&amp;",",","&amp;SUBSTITUTE(input_enews_announcement_type," ","")&amp;",")))=COUNTA(TEXTSPLIT(CC148,",")))))</f>
        <v/>
      </c>
      <c r="JA148" s="19">
        <f>AND(IF(CE148="",TRUE,IF(input_enews_audience="",FALSE,SUMPRODUCT(--ISNUMBER(SEARCH(","&amp;TRIM(TEXTSPLIT(CE148,","))&amp;",",","&amp;SUBSTITUTE(input_enews_audience," ","")&amp;",")))&gt;0)),IF(CG148="",TRUE,IF(input_enews_audience="",FALSE,SUMPRODUCT(--ISNUMBER(SEARCH(","&amp;TRIM(TEXTSPLIT(CG148,","))&amp;",",","&amp;SUBSTITUTE(input_enews_audience," ","")&amp;",")))=COUNTA(TEXTSPLIT(CG148,",")))),IF(CI148="",TRUE,IF(input_enews_audience="",TRUE,SUMPRODUCT(--ISNUMBER(SEARCH(","&amp;TRIM(TEXTSPLIT(CI148,","))&amp;",",","&amp;SUBSTITUTE(input_enews_audience," ","")&amp;",")))=0)),IF(CK148="",TRUE,IF(input_enews_audience="",FALSE,SUMPRODUCT(--ISNUMBER(SEARCH(","&amp;TRIM(TEXTSPLIT(CK148,","))&amp;",",","&amp;SUBSTITUTE(input_enews_audience," ","")&amp;",")))&gt;0)),IF(CM148="",TRUE,IF(input_enews_audience="",FALSE,SUMPRODUCT(--ISNUMBER(SEARCH(","&amp;TRIM(TEXTSPLIT(CM148,","))&amp;",",","&amp;SUBSTITUTE(input_enews_audience," ","")&amp;",")))=COUNTA(TEXTSPLIT(CM148,",")))))</f>
        <v/>
      </c>
      <c r="JB148" s="19">
        <f>AND(IF(CO148="",TRUE,IF(input_event_location="",FALSE,SUMPRODUCT(--ISNUMBER(SEARCH(","&amp;TRIM(TEXTSPLIT(CO148,","))&amp;",",","&amp;SUBSTITUTE(input_event_location," ","")&amp;",")))&gt;0)),IF(CQ148="",TRUE,IF(input_event_location="",FALSE,SUMPRODUCT(--ISNUMBER(SEARCH(","&amp;TRIM(TEXTSPLIT(CQ148,","))&amp;",",","&amp;SUBSTITUTE(input_event_location," ","")&amp;",")))=COUNTA(TEXTSPLIT(CQ148,",")))),IF(CS148="",TRUE,IF(input_event_location="",TRUE,SUMPRODUCT(--ISNUMBER(SEARCH(","&amp;TRIM(TEXTSPLIT(CS148,","))&amp;",",","&amp;SUBSTITUTE(input_event_location," ","")&amp;",")))=0)),IF(CU148="",TRUE,IF(input_event_location="",FALSE,SUMPRODUCT(--ISNUMBER(SEARCH(","&amp;TRIM(TEXTSPLIT(CU148,","))&amp;",",","&amp;SUBSTITUTE(input_event_location," ","")&amp;",")))&gt;0)),IF(CW148="",TRUE,IF(input_event_location="",FALSE,SUMPRODUCT(--ISNUMBER(SEARCH(","&amp;TRIM(TEXTSPLIT(CW148,","))&amp;",",","&amp;SUBSTITUTE(input_event_location," ","")&amp;",")))=COUNTA(TEXTSPLIT(CW148,",")))))</f>
        <v/>
      </c>
      <c r="JC148" s="19">
        <f>AND(IF(CY148="",TRUE,IF(input_event_type="",FALSE,SUMPRODUCT(--ISNUMBER(SEARCH(","&amp;TRIM(TEXTSPLIT(CY148,","))&amp;",",","&amp;SUBSTITUTE(input_event_type," ","")&amp;",")))&gt;0)),IF(DA148="",TRUE,IF(input_event_type="",FALSE,SUMPRODUCT(--ISNUMBER(SEARCH(","&amp;TRIM(TEXTSPLIT(DA148,","))&amp;",",","&amp;SUBSTITUTE(input_event_type," ","")&amp;",")))=COUNTA(TEXTSPLIT(DA148,",")))),IF(DC148="",TRUE,IF(input_event_type="",TRUE,SUMPRODUCT(--ISNUMBER(SEARCH(","&amp;TRIM(TEXTSPLIT(DC148,","))&amp;",",","&amp;SUBSTITUTE(input_event_type," ","")&amp;",")))=0)),IF(DE148="",TRUE,IF(input_event_type="",FALSE,SUMPRODUCT(--ISNUMBER(SEARCH(","&amp;TRIM(TEXTSPLIT(DE148,","))&amp;",",","&amp;SUBSTITUTE(input_event_type," ","")&amp;",")))&gt;0)),IF(DG148="",TRUE,IF(input_event_type="",FALSE,SUMPRODUCT(--ISNUMBER(SEARCH(","&amp;TRIM(TEXTSPLIT(DG148,","))&amp;",",","&amp;SUBSTITUTE(input_event_type," ","")&amp;",")))=COUNTA(TEXTSPLIT(DG148,",")))))</f>
        <v/>
      </c>
      <c r="JD148" s="19">
        <f>AND(IF(DI148="",TRUE,IF(input_executive_education_focus="",FALSE,SUMPRODUCT(--ISNUMBER(SEARCH(","&amp;TRIM(TEXTSPLIT(DI148,","))&amp;",",","&amp;SUBSTITUTE(input_executive_education_focus," ","")&amp;",")))&gt;0)),IF(DK148="",TRUE,IF(input_executive_education_focus="",FALSE,SUMPRODUCT(--ISNUMBER(SEARCH(","&amp;TRIM(TEXTSPLIT(DK148,","))&amp;",",","&amp;SUBSTITUTE(input_executive_education_focus," ","")&amp;",")))=COUNTA(TEXTSPLIT(DK148,",")))),IF(DM148="",TRUE,IF(input_executive_education_focus="",TRUE,SUMPRODUCT(--ISNUMBER(SEARCH(","&amp;TRIM(TEXTSPLIT(DM148,","))&amp;",",","&amp;SUBSTITUTE(input_executive_education_focus," ","")&amp;",")))=0)),IF(DO148="",TRUE,IF(input_executive_education_focus="",FALSE,SUMPRODUCT(--ISNUMBER(SEARCH(","&amp;TRIM(TEXTSPLIT(DO148,","))&amp;",",","&amp;SUBSTITUTE(input_executive_education_focus," ","")&amp;",")))&gt;0)),IF(DQ148="",TRUE,IF(input_executive_education_focus="",FALSE,SUMPRODUCT(--ISNUMBER(SEARCH(","&amp;TRIM(TEXTSPLIT(DQ148,","))&amp;",",","&amp;SUBSTITUTE(input_executive_education_focus," ","")&amp;",")))=COUNTA(TEXTSPLIT(DQ148,",")))))</f>
        <v/>
      </c>
      <c r="JE148" s="19">
        <f>AND(IF(DS148="",TRUE,IF(input_faculty_category="",FALSE,SUMPRODUCT(--ISNUMBER(SEARCH(","&amp;TRIM(TEXTSPLIT(DS148,","))&amp;",",","&amp;SUBSTITUTE(input_faculty_category," ","")&amp;",")))&gt;0)),IF(DU148="",TRUE,IF(input_faculty_category="",FALSE,SUMPRODUCT(--ISNUMBER(SEARCH(","&amp;TRIM(TEXTSPLIT(DU148,","))&amp;",",","&amp;SUBSTITUTE(input_faculty_category," ","")&amp;",")))=COUNTA(TEXTSPLIT(DU148,",")))),IF(DW148="",TRUE,IF(input_faculty_category="",TRUE,SUMPRODUCT(--ISNUMBER(SEARCH(","&amp;TRIM(TEXTSPLIT(DW148,","))&amp;",",","&amp;SUBSTITUTE(input_faculty_category," ","")&amp;",")))=0)),IF(DY148="",TRUE,IF(input_faculty_category="",FALSE,SUMPRODUCT(--ISNUMBER(SEARCH(","&amp;TRIM(TEXTSPLIT(DY148,","))&amp;",",","&amp;SUBSTITUTE(input_faculty_category," ","")&amp;",")))&gt;0)),IF(EA148="",TRUE,IF(input_faculty_category="",FALSE,SUMPRODUCT(--ISNUMBER(SEARCH(","&amp;TRIM(TEXTSPLIT(EA148,","))&amp;",",","&amp;SUBSTITUTE(input_faculty_category," ","")&amp;",")))=COUNTA(TEXTSPLIT(EA148,",")))))</f>
        <v/>
      </c>
      <c r="JF148" s="19">
        <f>AND(IF(EC148="",TRUE,IF(input_faculty_discipline="",FALSE,SUMPRODUCT(--ISNUMBER(SEARCH(","&amp;TRIM(TEXTSPLIT(EC148,","))&amp;",",","&amp;SUBSTITUTE(input_faculty_discipline," ","")&amp;",")))&gt;0)),IF(EE148="",TRUE,IF(input_faculty_discipline="",FALSE,SUMPRODUCT(--ISNUMBER(SEARCH(","&amp;TRIM(TEXTSPLIT(EE148,","))&amp;",",","&amp;SUBSTITUTE(input_faculty_discipline," ","")&amp;",")))=COUNTA(TEXTSPLIT(EE148,",")))),IF(EG148="",TRUE,IF(input_faculty_discipline="",TRUE,SUMPRODUCT(--ISNUMBER(SEARCH(","&amp;TRIM(TEXTSPLIT(EG148,","))&amp;",",","&amp;SUBSTITUTE(input_faculty_discipline," ","")&amp;",")))=0)),IF(EI148="",TRUE,IF(input_faculty_discipline="",FALSE,SUMPRODUCT(--ISNUMBER(SEARCH(","&amp;TRIM(TEXTSPLIT(EI148,","))&amp;",",","&amp;SUBSTITUTE(input_faculty_discipline," ","")&amp;",")))&gt;0)),IF(EK148="",TRUE,IF(input_faculty_discipline="",FALSE,SUMPRODUCT(--ISNUMBER(SEARCH(","&amp;TRIM(TEXTSPLIT(EK148,","))&amp;",",","&amp;SUBSTITUTE(input_faculty_discipline," ","")&amp;",")))=COUNTA(TEXTSPLIT(EK148,",")))))</f>
        <v/>
      </c>
      <c r="JG148" s="19">
        <f>AND(IF(EM148="",TRUE,IF(input_faculty_expertise="",FALSE,SUMPRODUCT(--ISNUMBER(SEARCH(","&amp;TRIM(TEXTSPLIT(EM148,","))&amp;",",","&amp;SUBSTITUTE(input_faculty_expertise," ","")&amp;",")))&gt;0)),IF(EO148="",TRUE,IF(input_faculty_expertise="",FALSE,SUMPRODUCT(--ISNUMBER(SEARCH(","&amp;TRIM(TEXTSPLIT(EO148,","))&amp;",",","&amp;SUBSTITUTE(input_faculty_expertise," ","")&amp;",")))=COUNTA(TEXTSPLIT(EO148,",")))),IF(EQ148="",TRUE,IF(input_faculty_expertise="",TRUE,SUMPRODUCT(--ISNUMBER(SEARCH(","&amp;TRIM(TEXTSPLIT(EQ148,","))&amp;",",","&amp;SUBSTITUTE(input_faculty_expertise," ","")&amp;",")))=0)),IF(ES148="",TRUE,IF(input_faculty_expertise="",FALSE,SUMPRODUCT(--ISNUMBER(SEARCH(","&amp;TRIM(TEXTSPLIT(ES148,","))&amp;",",","&amp;SUBSTITUTE(input_faculty_expertise," ","")&amp;",")))&gt;0)),IF(EU148="",TRUE,IF(input_faculty_expertise="",FALSE,SUMPRODUCT(--ISNUMBER(SEARCH(","&amp;TRIM(TEXTSPLIT(EU148,","))&amp;",",","&amp;SUBSTITUTE(input_faculty_expertise," ","")&amp;",")))=COUNTA(TEXTSPLIT(EU148,",")))))</f>
        <v/>
      </c>
      <c r="JH148" s="19">
        <f>AND(IF(EW148="",TRUE,IF(input_global_network_school="",FALSE,SUMPRODUCT(--ISNUMBER(SEARCH(","&amp;TRIM(TEXTSPLIT(EW148,","))&amp;",",","&amp;SUBSTITUTE(input_global_network_school," ","")&amp;",")))&gt;0)),IF(EY148="",TRUE,IF(input_global_network_school="",FALSE,SUMPRODUCT(--ISNUMBER(SEARCH(","&amp;TRIM(TEXTSPLIT(EY148,","))&amp;",",","&amp;SUBSTITUTE(input_global_network_school," ","")&amp;",")))=COUNTA(TEXTSPLIT(EY148,",")))),IF(FA148="",TRUE,IF(input_global_network_school="",TRUE,SUMPRODUCT(--ISNUMBER(SEARCH(","&amp;TRIM(TEXTSPLIT(FA148,","))&amp;",",","&amp;SUBSTITUTE(input_global_network_school," ","")&amp;",")))=0)),IF(FC148="",TRUE,IF(input_global_network_school="",FALSE,SUMPRODUCT(--ISNUMBER(SEARCH(","&amp;TRIM(TEXTSPLIT(FC148,","))&amp;",",","&amp;SUBSTITUTE(input_global_network_school," ","")&amp;",")))&gt;0)),IF(FE148="",TRUE,IF(input_global_network_school="",FALSE,SUMPRODUCT(--ISNUMBER(SEARCH(","&amp;TRIM(TEXTSPLIT(FE148,","))&amp;",",","&amp;SUBSTITUTE(input_global_network_school," ","")&amp;",")))=COUNTA(TEXTSPLIT(FE148,",")))))</f>
        <v/>
      </c>
      <c r="JI148" s="19">
        <f>AND(IF(FG148="",TRUE,IF(input_industry="",FALSE,SUMPRODUCT(--ISNUMBER(SEARCH(","&amp;TRIM(TEXTSPLIT(FG148,","))&amp;",",","&amp;SUBSTITUTE(input_industry," ","")&amp;",")))&gt;0)),IF(FI148="",TRUE,IF(input_industry="",FALSE,SUMPRODUCT(--ISNUMBER(SEARCH(","&amp;TRIM(TEXTSPLIT(FI148,","))&amp;",",","&amp;SUBSTITUTE(input_industry," ","")&amp;",")))=COUNTA(TEXTSPLIT(FI148,",")))),IF(FK148="",TRUE,IF(input_industry="",TRUE,SUMPRODUCT(--ISNUMBER(SEARCH(","&amp;TRIM(TEXTSPLIT(FK148,","))&amp;",",","&amp;SUBSTITUTE(input_industry," ","")&amp;",")))=0)),IF(FM148="",TRUE,IF(input_industry="",FALSE,SUMPRODUCT(--ISNUMBER(SEARCH(","&amp;TRIM(TEXTSPLIT(FM148,","))&amp;",",","&amp;SUBSTITUTE(input_industry," ","")&amp;",")))&gt;0)),IF(FO148="",TRUE,IF(input_industry="",FALSE,SUMPRODUCT(--ISNUMBER(SEARCH(","&amp;TRIM(TEXTSPLIT(FO148,","))&amp;",",","&amp;SUBSTITUTE(input_industry," ","")&amp;",")))=COUNTA(TEXTSPLIT(FO148,",")))))</f>
        <v/>
      </c>
      <c r="JJ148" s="19">
        <f>AND(IF(FQ148="",TRUE,IF(input_location="",FALSE,SUMPRODUCT(--ISNUMBER(SEARCH(","&amp;TRIM(TEXTSPLIT(FQ148,","))&amp;",",","&amp;SUBSTITUTE(input_location," ","")&amp;",")))&gt;0)),IF(FS148="",TRUE,IF(input_location="",FALSE,SUMPRODUCT(--ISNUMBER(SEARCH(","&amp;TRIM(TEXTSPLIT(FS148,","))&amp;",",","&amp;SUBSTITUTE(input_location," ","")&amp;",")))=COUNTA(TEXTSPLIT(FS148,",")))),IF(FU148="",TRUE,IF(input_location="",TRUE,SUMPRODUCT(--ISNUMBER(SEARCH(","&amp;TRIM(TEXTSPLIT(FU148,","))&amp;",",","&amp;SUBSTITUTE(input_location," ","")&amp;",")))=0)),IF(FW148="",TRUE,IF(input_location="",FALSE,SUMPRODUCT(--ISNUMBER(SEARCH(","&amp;TRIM(TEXTSPLIT(FW148,","))&amp;",",","&amp;SUBSTITUTE(input_location," ","")&amp;",")))&gt;0)),IF(FY148="",TRUE,IF(input_location="",FALSE,SUMPRODUCT(--ISNUMBER(SEARCH(","&amp;TRIM(TEXTSPLIT(FY148,","))&amp;",",","&amp;SUBSTITUTE(input_location," ","")&amp;",")))=COUNTA(TEXTSPLIT(FY148,",")))))</f>
        <v/>
      </c>
      <c r="JK148" s="19">
        <f>AND(IF(GA148="",TRUE,IF(input_modality="",FALSE,SUMPRODUCT(--ISNUMBER(SEARCH(","&amp;TRIM(TEXTSPLIT(GA148,","))&amp;",",","&amp;SUBSTITUTE(input_modality," ","")&amp;",")))&gt;0)),IF(GC148="",TRUE,IF(input_modality="",FALSE,SUMPRODUCT(--ISNUMBER(SEARCH(","&amp;TRIM(TEXTSPLIT(GC148,","))&amp;",",","&amp;SUBSTITUTE(input_modality," ","")&amp;",")))=COUNTA(TEXTSPLIT(GC148,",")))),IF(GE148="",TRUE,IF(input_modality="",TRUE,SUMPRODUCT(--ISNUMBER(SEARCH(","&amp;TRIM(TEXTSPLIT(GE148,","))&amp;",",","&amp;SUBSTITUTE(input_modality," ","")&amp;",")))=0)),IF(GG148="",TRUE,IF(input_modality="",FALSE,SUMPRODUCT(--ISNUMBER(SEARCH(","&amp;TRIM(TEXTSPLIT(GG148,","))&amp;",",","&amp;SUBSTITUTE(input_modality," ","")&amp;",")))&gt;0)),IF(GI148="",TRUE,IF(input_modality="",FALSE,SUMPRODUCT(--ISNUMBER(SEARCH(","&amp;TRIM(TEXTSPLIT(GI148,","))&amp;",",","&amp;SUBSTITUTE(input_modality," ","")&amp;",")))=COUNTA(TEXTSPLIT(GI148,",")))))</f>
        <v/>
      </c>
      <c r="JL148" s="19">
        <f>AND(IF(GK148="",TRUE,IF(input_organizer="",FALSE,SUMPRODUCT(--ISNUMBER(SEARCH(","&amp;TRIM(TEXTSPLIT(GK148,","))&amp;",",","&amp;SUBSTITUTE(input_organizer," ","")&amp;",")))&gt;0)),IF(GM148="",TRUE,IF(input_organizer="",FALSE,SUMPRODUCT(--ISNUMBER(SEARCH(","&amp;TRIM(TEXTSPLIT(GM148,","))&amp;",",","&amp;SUBSTITUTE(input_organizer," ","")&amp;",")))=COUNTA(TEXTSPLIT(GM148,",")))),IF(GO148="",TRUE,IF(input_organizer="",TRUE,SUMPRODUCT(--ISNUMBER(SEARCH(","&amp;TRIM(TEXTSPLIT(GO148,","))&amp;",",","&amp;SUBSTITUTE(input_organizer," ","")&amp;",")))=0)),IF(GQ148="",TRUE,IF(input_organizer="",FALSE,SUMPRODUCT(--ISNUMBER(SEARCH(","&amp;TRIM(TEXTSPLIT(GQ148,","))&amp;",",","&amp;SUBSTITUTE(input_organizer," ","")&amp;",")))&gt;0)),IF(GS148="",TRUE,IF(input_organizer="",FALSE,SUMPRODUCT(--ISNUMBER(SEARCH(","&amp;TRIM(TEXTSPLIT(GS148,","))&amp;",",","&amp;SUBSTITUTE(input_organizer," ","")&amp;",")))=COUNTA(TEXTSPLIT(GS148,",")))))</f>
        <v/>
      </c>
      <c r="JM148" s="19">
        <f>AND(IF(GU148="",TRUE,IF(input_profile_type="",FALSE,SUMPRODUCT(--ISNUMBER(SEARCH(","&amp;TRIM(TEXTSPLIT(GU148,","))&amp;",",","&amp;SUBSTITUTE(input_profile_type," ","")&amp;",")))&gt;0)),IF(GW148="",TRUE,IF(input_profile_type="",FALSE,SUMPRODUCT(--ISNUMBER(SEARCH(","&amp;TRIM(TEXTSPLIT(GW148,","))&amp;",",","&amp;SUBSTITUTE(input_profile_type," ","")&amp;",")))=COUNTA(TEXTSPLIT(GW148,",")))),IF(GY148="",TRUE,IF(input_profile_type="",TRUE,SUMPRODUCT(--ISNUMBER(SEARCH(","&amp;TRIM(TEXTSPLIT(GY148,","))&amp;",",","&amp;SUBSTITUTE(input_profile_type," ","")&amp;",")))=0)),IF(HA148="",TRUE,IF(input_profile_type="",FALSE,SUMPRODUCT(--ISNUMBER(SEARCH(","&amp;TRIM(TEXTSPLIT(HA148,","))&amp;",",","&amp;SUBSTITUTE(input_profile_type," ","")&amp;",")))&gt;0)),IF(HC148="",TRUE,IF(input_profile_type="",FALSE,SUMPRODUCT(--ISNUMBER(SEARCH(","&amp;TRIM(TEXTSPLIT(HC148,","))&amp;",",","&amp;SUBSTITUTE(input_profile_type," ","")&amp;",")))=COUNTA(TEXTSPLIT(HC148,",")))))</f>
        <v/>
      </c>
      <c r="JN148" s="19">
        <f>AND(IF(HE148="",TRUE,IF(input_program="",FALSE,SUMPRODUCT(--ISNUMBER(SEARCH(","&amp;TRIM(TEXTSPLIT(HE148,","))&amp;",",","&amp;SUBSTITUTE(input_program," ","")&amp;",")))&gt;0)),IF(HG148="",TRUE,IF(input_program="",FALSE,SUMPRODUCT(--ISNUMBER(SEARCH(","&amp;TRIM(TEXTSPLIT(HG148,","))&amp;",",","&amp;SUBSTITUTE(input_program," ","")&amp;",")))=COUNTA(TEXTSPLIT(HG148,",")))),IF(HI148="",TRUE,IF(input_program="",TRUE,SUMPRODUCT(--ISNUMBER(SEARCH(","&amp;TRIM(TEXTSPLIT(HI148,","))&amp;",",","&amp;SUBSTITUTE(input_program," ","")&amp;",")))=0)),IF(HK148="",TRUE,IF(input_program="",FALSE,SUMPRODUCT(--ISNUMBER(SEARCH(","&amp;TRIM(TEXTSPLIT(HK148,","))&amp;",",","&amp;SUBSTITUTE(input_program," ","")&amp;",")))&gt;0)),IF(HM148="",TRUE,IF(input_program="",FALSE,SUMPRODUCT(--ISNUMBER(SEARCH(","&amp;TRIM(TEXTSPLIT(HM148,","))&amp;",",","&amp;SUBSTITUTE(input_program," ","")&amp;",")))=COUNTA(TEXTSPLIT(HM148,",")))))</f>
        <v/>
      </c>
      <c r="JO148" s="19">
        <f>AND(IF(HO148="",TRUE,IF(input_story_categories="",FALSE,SUMPRODUCT(--ISNUMBER(SEARCH(","&amp;TRIM(TEXTSPLIT(HO148,","))&amp;",",","&amp;SUBSTITUTE(input_story_categories," ","")&amp;",")))&gt;0)),IF(HQ148="",TRUE,IF(input_story_categories="",FALSE,SUMPRODUCT(--ISNUMBER(SEARCH(","&amp;TRIM(TEXTSPLIT(HQ148,","))&amp;",",","&amp;SUBSTITUTE(input_story_categories," ","")&amp;",")))=COUNTA(TEXTSPLIT(HQ148,",")))),IF(HS148="",TRUE,IF(input_story_categories="",TRUE,SUMPRODUCT(--ISNUMBER(SEARCH(","&amp;TRIM(TEXTSPLIT(HS148,","))&amp;",",","&amp;SUBSTITUTE(input_story_categories," ","")&amp;",")))=0)),IF(HU148="",TRUE,IF(input_story_categories="",FALSE,SUMPRODUCT(--ISNUMBER(SEARCH(","&amp;TRIM(TEXTSPLIT(HU148,","))&amp;",",","&amp;SUBSTITUTE(input_story_categories," ","")&amp;",")))&gt;0)),IF(HW148="",TRUE,IF(input_story_categories="",FALSE,SUMPRODUCT(--ISNUMBER(SEARCH(","&amp;TRIM(TEXTSPLIT(HW148,","))&amp;",",","&amp;SUBSTITUTE(input_story_categories," ","")&amp;",")))=COUNTA(TEXTSPLIT(HW148,",")))))</f>
        <v/>
      </c>
      <c r="JP148" s="19">
        <f>AND(IF(HY148="",TRUE,IF(input_story_type="",FALSE,SUMPRODUCT(--ISNUMBER(SEARCH(","&amp;TRIM(TEXTSPLIT(HY148,","))&amp;",",","&amp;SUBSTITUTE(input_story_type," ","")&amp;",")))&gt;0)),IF(IA148="",TRUE,IF(input_story_type="",FALSE,SUMPRODUCT(--ISNUMBER(SEARCH(","&amp;TRIM(TEXTSPLIT(IA148,","))&amp;",",","&amp;SUBSTITUTE(input_story_type," ","")&amp;",")))=COUNTA(TEXTSPLIT(IA148,",")))),IF(IC148="",TRUE,IF(input_story_type="",TRUE,SUMPRODUCT(--ISNUMBER(SEARCH(","&amp;TRIM(TEXTSPLIT(IC148,","))&amp;",",","&amp;SUBSTITUTE(input_story_type," ","")&amp;",")))=0)),IF(IE148="",TRUE,IF(input_story_type="",FALSE,SUMPRODUCT(--ISNUMBER(SEARCH(","&amp;TRIM(TEXTSPLIT(IE148,","))&amp;",",","&amp;SUBSTITUTE(input_story_type," ","")&amp;",")))&gt;0)),IF(IG148="",TRUE,IF(input_story_type="",FALSE,SUMPRODUCT(--ISNUMBER(SEARCH(","&amp;TRIM(TEXTSPLIT(IG148,","))&amp;",",","&amp;SUBSTITUTE(input_story_type," ","")&amp;",")))=COUNTA(TEXTSPLIT(IG148,",")))))</f>
        <v/>
      </c>
      <c r="JQ148" s="19">
        <f>AND(IF(II148="",TRUE,IF(input_topics="",FALSE,SUMPRODUCT(--ISNUMBER(SEARCH(","&amp;TRIM(TEXTSPLIT(II148,","))&amp;",",","&amp;SUBSTITUTE(input_topics," ","")&amp;",")))&gt;0)),IF(IK148="",TRUE,IF(input_topics="",FALSE,SUMPRODUCT(--ISNUMBER(SEARCH(","&amp;TRIM(TEXTSPLIT(IK148,","))&amp;",",","&amp;SUBSTITUTE(input_topics," ","")&amp;",")))=COUNTA(TEXTSPLIT(IK148,",")))),IF(IM148="",TRUE,IF(input_topics="",TRUE,SUMPRODUCT(--ISNUMBER(SEARCH(","&amp;TRIM(TEXTSPLIT(IM148,","))&amp;",",","&amp;SUBSTITUTE(input_topics," ","")&amp;",")))=0)),IF(IO148="",TRUE,IF(input_topics="",FALSE,SUMPRODUCT(--ISNUMBER(SEARCH(","&amp;TRIM(TEXTSPLIT(IO148,","))&amp;",",","&amp;SUBSTITUTE(input_topics," ","")&amp;",")))&gt;0)),IF(IQ148="",TRUE,IF(input_topics="",FALSE,SUMPRODUCT(--ISNUMBER(SEARCH(","&amp;TRIM(TEXTSPLIT(IQ148,","))&amp;",",","&amp;SUBSTITUTE(input_topics," ","")&amp;",")))=COUNTA(TEXTSPLIT(IQ148,",")))))</f>
        <v/>
      </c>
    </row>
    <row r="149">
      <c r="A149" s="24">
        <f>IF(NOT(IS149),"Excluded",IF(AND(IT149,IU149,IV149,IW149,IX149,IY149,IZ149,JA149,JB149,JC149,JD149,JE149,JF149,JG149,JH149,JI149,JJ149,JK149,JL149,JM149,JN149,JO149,JP149,JQ149),IF(I149&gt;0,"Eligible but limited","Will appear"),"Excluded"))</f>
        <v/>
      </c>
      <c r="B149" s="24" t="inlineStr">
        <is>
          <t>PhD News</t>
        </is>
      </c>
      <c r="C149" s="27" t="inlineStr">
        <is>
          <t>/programs/phd/phd-news</t>
        </is>
      </c>
      <c r="D149" s="24" t="inlineStr">
        <is>
          <t>/programs/phd/phd-news</t>
        </is>
      </c>
      <c r="E149" s="24" t="n">
        <v>1</v>
      </c>
      <c r="F149" s="24" t="inlineStr">
        <is>
          <t>story</t>
        </is>
      </c>
      <c r="G149" s="24" t="inlineStr">
        <is>
          <t>stories_list</t>
        </is>
      </c>
      <c r="H149" s="24" t="inlineStr">
        <is>
          <t>embed_1</t>
        </is>
      </c>
      <c r="I149" s="24" t="n">
        <v>10</v>
      </c>
      <c r="J149" s="28" t="inlineStr">
        <is>
          <t>Explicit args</t>
        </is>
      </c>
      <c r="K149" s="24" t="inlineStr">
        <is>
          <t>Page placement</t>
        </is>
      </c>
      <c r="L149" s="24" t="inlineStr">
        <is>
          <t>Content type: story; Context uses Courses Context: Faculty (1592), Doctoral Programs (962); Limited to 10 item(s); Source: Explicit args</t>
        </is>
      </c>
      <c r="BQ149" s="19" t="inlineStr">
        <is>
          <t>1592, 962</t>
        </is>
      </c>
      <c r="BR149" s="19" t="inlineStr">
        <is>
          <t>Faculty (1592), Doctoral Programs (962)</t>
        </is>
      </c>
      <c r="IS149" s="19">
        <f>IF(input_content_type="",FALSE,ISNUMBER(SEARCH(","&amp;LOWER(input_content_type)&amp;",",","&amp;LOWER(SUBSTITUTE(F149," ",""))&amp;",")))</f>
        <v/>
      </c>
      <c r="IT149" s="19">
        <f>AND(IF(M149="",TRUE,IF(input_affiliations="",FALSE,SUMPRODUCT(--ISNUMBER(SEARCH(","&amp;TRIM(TEXTSPLIT(M149,","))&amp;",",","&amp;SUBSTITUTE(input_affiliations," ","")&amp;",")))&gt;0)),IF(O149="",TRUE,IF(input_affiliations="",FALSE,SUMPRODUCT(--ISNUMBER(SEARCH(","&amp;TRIM(TEXTSPLIT(O149,","))&amp;",",","&amp;SUBSTITUTE(input_affiliations," ","")&amp;",")))=COUNTA(TEXTSPLIT(O149,",")))),IF(Q149="",TRUE,IF(input_affiliations="",TRUE,SUMPRODUCT(--ISNUMBER(SEARCH(","&amp;TRIM(TEXTSPLIT(Q149,","))&amp;",",","&amp;SUBSTITUTE(input_affiliations," ","")&amp;",")))=0)),IF(S149="",TRUE,IF(input_affiliations="",FALSE,SUMPRODUCT(--ISNUMBER(SEARCH(","&amp;TRIM(TEXTSPLIT(S149,","))&amp;",",","&amp;SUBSTITUTE(input_affiliations," ","")&amp;",")))&gt;0)),IF(U149="",TRUE,IF(input_affiliations="",FALSE,SUMPRODUCT(--ISNUMBER(SEARCH(","&amp;TRIM(TEXTSPLIT(U149,","))&amp;",",","&amp;SUBSTITUTE(input_affiliations," ","")&amp;",")))=COUNTA(TEXTSPLIT(U149,",")))))</f>
        <v/>
      </c>
      <c r="IU149" s="19">
        <f>AND(IF(W149="",TRUE,IF(input_announcement_category="",FALSE,SUMPRODUCT(--ISNUMBER(SEARCH(","&amp;TRIM(TEXTSPLIT(W149,","))&amp;",",","&amp;SUBSTITUTE(input_announcement_category," ","")&amp;",")))&gt;0)),IF(Y149="",TRUE,IF(input_announcement_category="",FALSE,SUMPRODUCT(--ISNUMBER(SEARCH(","&amp;TRIM(TEXTSPLIT(Y149,","))&amp;",",","&amp;SUBSTITUTE(input_announcement_category," ","")&amp;",")))=COUNTA(TEXTSPLIT(Y149,",")))),IF(AA149="",TRUE,IF(input_announcement_category="",TRUE,SUMPRODUCT(--ISNUMBER(SEARCH(","&amp;TRIM(TEXTSPLIT(AA149,","))&amp;",",","&amp;SUBSTITUTE(input_announcement_category," ","")&amp;",")))=0)),IF(AC149="",TRUE,IF(input_announcement_category="",FALSE,SUMPRODUCT(--ISNUMBER(SEARCH(","&amp;TRIM(TEXTSPLIT(AC149,","))&amp;",",","&amp;SUBSTITUTE(input_announcement_category," ","")&amp;",")))&gt;0)),IF(AE149="",TRUE,IF(input_announcement_category="",FALSE,SUMPRODUCT(--ISNUMBER(SEARCH(","&amp;TRIM(TEXTSPLIT(AE149,","))&amp;",",","&amp;SUBSTITUTE(input_announcement_category," ","")&amp;",")))=COUNTA(TEXTSPLIT(AE149,",")))))</f>
        <v/>
      </c>
      <c r="IV149" s="19">
        <f>AND(IF(AG149="",TRUE,IF(input_area_of_focus="",FALSE,SUMPRODUCT(--ISNUMBER(SEARCH(","&amp;TRIM(TEXTSPLIT(AG149,","))&amp;",",","&amp;SUBSTITUTE(input_area_of_focus," ","")&amp;",")))&gt;0)),IF(AI149="",TRUE,IF(input_area_of_focus="",FALSE,SUMPRODUCT(--ISNUMBER(SEARCH(","&amp;TRIM(TEXTSPLIT(AI149,","))&amp;",",","&amp;SUBSTITUTE(input_area_of_focus," ","")&amp;",")))=COUNTA(TEXTSPLIT(AI149,",")))),IF(AK149="",TRUE,IF(input_area_of_focus="",TRUE,SUMPRODUCT(--ISNUMBER(SEARCH(","&amp;TRIM(TEXTSPLIT(AK149,","))&amp;",",","&amp;SUBSTITUTE(input_area_of_focus," ","")&amp;",")))=0)),IF(AM149="",TRUE,IF(input_area_of_focus="",FALSE,SUMPRODUCT(--ISNUMBER(SEARCH(","&amp;TRIM(TEXTSPLIT(AM149,","))&amp;",",","&amp;SUBSTITUTE(input_area_of_focus," ","")&amp;",")))&gt;0)),IF(AO149="",TRUE,IF(input_area_of_focus="",FALSE,SUMPRODUCT(--ISNUMBER(SEARCH(","&amp;TRIM(TEXTSPLIT(AO149,","))&amp;",",","&amp;SUBSTITUTE(input_area_of_focus," ","")&amp;",")))=COUNTA(TEXTSPLIT(AO149,",")))))</f>
        <v/>
      </c>
      <c r="IW149" s="19">
        <f>AND(IF(AQ149="",TRUE,IF(input_audience="",FALSE,SUMPRODUCT(--ISNUMBER(SEARCH(","&amp;TRIM(TEXTSPLIT(AQ149,","))&amp;",",","&amp;SUBSTITUTE(input_audience," ","")&amp;",")))&gt;0)),IF(AS149="",TRUE,IF(input_audience="",FALSE,SUMPRODUCT(--ISNUMBER(SEARCH(","&amp;TRIM(TEXTSPLIT(AS149,","))&amp;",",","&amp;SUBSTITUTE(input_audience," ","")&amp;",")))=COUNTA(TEXTSPLIT(AS149,",")))),IF(AU149="",TRUE,IF(input_audience="",TRUE,SUMPRODUCT(--ISNUMBER(SEARCH(","&amp;TRIM(TEXTSPLIT(AU149,","))&amp;",",","&amp;SUBSTITUTE(input_audience," ","")&amp;",")))=0)),IF(AW149="",TRUE,IF(input_audience="",FALSE,SUMPRODUCT(--ISNUMBER(SEARCH(","&amp;TRIM(TEXTSPLIT(AW149,","))&amp;",",","&amp;SUBSTITUTE(input_audience," ","")&amp;",")))&gt;0)),IF(AY149="",TRUE,IF(input_audience="",FALSE,SUMPRODUCT(--ISNUMBER(SEARCH(","&amp;TRIM(TEXTSPLIT(AY149,","))&amp;",",","&amp;SUBSTITUTE(input_audience," ","")&amp;",")))=COUNTA(TEXTSPLIT(AY149,",")))))</f>
        <v/>
      </c>
      <c r="IX149" s="19">
        <f>AND(IF(BA149="",TRUE,IF(input_challenge_opportunities="",FALSE,SUMPRODUCT(--ISNUMBER(SEARCH(","&amp;TRIM(TEXTSPLIT(BA149,","))&amp;",",","&amp;SUBSTITUTE(input_challenge_opportunities," ","")&amp;",")))&gt;0)),IF(BC149="",TRUE,IF(input_challenge_opportunities="",FALSE,SUMPRODUCT(--ISNUMBER(SEARCH(","&amp;TRIM(TEXTSPLIT(BC149,","))&amp;",",","&amp;SUBSTITUTE(input_challenge_opportunities," ","")&amp;",")))=COUNTA(TEXTSPLIT(BC149,",")))),IF(BE149="",TRUE,IF(input_challenge_opportunities="",TRUE,SUMPRODUCT(--ISNUMBER(SEARCH(","&amp;TRIM(TEXTSPLIT(BE149,","))&amp;",",","&amp;SUBSTITUTE(input_challenge_opportunities," ","")&amp;",")))=0)),IF(BG149="",TRUE,IF(input_challenge_opportunities="",FALSE,SUMPRODUCT(--ISNUMBER(SEARCH(","&amp;TRIM(TEXTSPLIT(BG149,","))&amp;",",","&amp;SUBSTITUTE(input_challenge_opportunities," ","")&amp;",")))&gt;0)),IF(BI149="",TRUE,IF(input_challenge_opportunities="",FALSE,SUMPRODUCT(--ISNUMBER(SEARCH(","&amp;TRIM(TEXTSPLIT(BI149,","))&amp;",",","&amp;SUBSTITUTE(input_challenge_opportunities," ","")&amp;",")))=COUNTA(TEXTSPLIT(BI149,",")))))</f>
        <v/>
      </c>
      <c r="IY149" s="19">
        <f>AND(IF(BK149="",TRUE,IF(input_context="",FALSE,SUMPRODUCT(--ISNUMBER(SEARCH(","&amp;TRIM(TEXTSPLIT(BK149,","))&amp;",",","&amp;SUBSTITUTE(input_context," ","")&amp;",")))&gt;0)),IF(BM149="",TRUE,IF(input_context="",FALSE,SUMPRODUCT(--ISNUMBER(SEARCH(","&amp;TRIM(TEXTSPLIT(BM149,","))&amp;",",","&amp;SUBSTITUTE(input_context," ","")&amp;",")))=COUNTA(TEXTSPLIT(BM149,",")))),IF(BO149="",TRUE,IF(input_context="",TRUE,SUMPRODUCT(--ISNUMBER(SEARCH(","&amp;TRIM(TEXTSPLIT(BO149,","))&amp;",",","&amp;SUBSTITUTE(input_context," ","")&amp;",")))=0)),IF(BQ149="",TRUE,IF(input_context="",FALSE,SUMPRODUCT(--ISNUMBER(SEARCH(","&amp;TRIM(TEXTSPLIT(BQ149,","))&amp;",",","&amp;SUBSTITUTE(input_context," ","")&amp;",")))&gt;0)),IF(BS149="",TRUE,IF(input_context="",FALSE,SUMPRODUCT(--ISNUMBER(SEARCH(","&amp;TRIM(TEXTSPLIT(BS149,","))&amp;",",","&amp;SUBSTITUTE(input_context," ","")&amp;",")))=COUNTA(TEXTSPLIT(BS149,",")))))</f>
        <v/>
      </c>
      <c r="IZ149" s="19">
        <f>AND(IF(BU149="",TRUE,IF(input_enews_announcement_type="",FALSE,SUMPRODUCT(--ISNUMBER(SEARCH(","&amp;TRIM(TEXTSPLIT(BU149,","))&amp;",",","&amp;SUBSTITUTE(input_enews_announcement_type," ","")&amp;",")))&gt;0)),IF(BW149="",TRUE,IF(input_enews_announcement_type="",FALSE,SUMPRODUCT(--ISNUMBER(SEARCH(","&amp;TRIM(TEXTSPLIT(BW149,","))&amp;",",","&amp;SUBSTITUTE(input_enews_announcement_type," ","")&amp;",")))=COUNTA(TEXTSPLIT(BW149,",")))),IF(BY149="",TRUE,IF(input_enews_announcement_type="",TRUE,SUMPRODUCT(--ISNUMBER(SEARCH(","&amp;TRIM(TEXTSPLIT(BY149,","))&amp;",",","&amp;SUBSTITUTE(input_enews_announcement_type," ","")&amp;",")))=0)),IF(CA149="",TRUE,IF(input_enews_announcement_type="",FALSE,SUMPRODUCT(--ISNUMBER(SEARCH(","&amp;TRIM(TEXTSPLIT(CA149,","))&amp;",",","&amp;SUBSTITUTE(input_enews_announcement_type," ","")&amp;",")))&gt;0)),IF(CC149="",TRUE,IF(input_enews_announcement_type="",FALSE,SUMPRODUCT(--ISNUMBER(SEARCH(","&amp;TRIM(TEXTSPLIT(CC149,","))&amp;",",","&amp;SUBSTITUTE(input_enews_announcement_type," ","")&amp;",")))=COUNTA(TEXTSPLIT(CC149,",")))))</f>
        <v/>
      </c>
      <c r="JA149" s="19">
        <f>AND(IF(CE149="",TRUE,IF(input_enews_audience="",FALSE,SUMPRODUCT(--ISNUMBER(SEARCH(","&amp;TRIM(TEXTSPLIT(CE149,","))&amp;",",","&amp;SUBSTITUTE(input_enews_audience," ","")&amp;",")))&gt;0)),IF(CG149="",TRUE,IF(input_enews_audience="",FALSE,SUMPRODUCT(--ISNUMBER(SEARCH(","&amp;TRIM(TEXTSPLIT(CG149,","))&amp;",",","&amp;SUBSTITUTE(input_enews_audience," ","")&amp;",")))=COUNTA(TEXTSPLIT(CG149,",")))),IF(CI149="",TRUE,IF(input_enews_audience="",TRUE,SUMPRODUCT(--ISNUMBER(SEARCH(","&amp;TRIM(TEXTSPLIT(CI149,","))&amp;",",","&amp;SUBSTITUTE(input_enews_audience," ","")&amp;",")))=0)),IF(CK149="",TRUE,IF(input_enews_audience="",FALSE,SUMPRODUCT(--ISNUMBER(SEARCH(","&amp;TRIM(TEXTSPLIT(CK149,","))&amp;",",","&amp;SUBSTITUTE(input_enews_audience," ","")&amp;",")))&gt;0)),IF(CM149="",TRUE,IF(input_enews_audience="",FALSE,SUMPRODUCT(--ISNUMBER(SEARCH(","&amp;TRIM(TEXTSPLIT(CM149,","))&amp;",",","&amp;SUBSTITUTE(input_enews_audience," ","")&amp;",")))=COUNTA(TEXTSPLIT(CM149,",")))))</f>
        <v/>
      </c>
      <c r="JB149" s="19">
        <f>AND(IF(CO149="",TRUE,IF(input_event_location="",FALSE,SUMPRODUCT(--ISNUMBER(SEARCH(","&amp;TRIM(TEXTSPLIT(CO149,","))&amp;",",","&amp;SUBSTITUTE(input_event_location," ","")&amp;",")))&gt;0)),IF(CQ149="",TRUE,IF(input_event_location="",FALSE,SUMPRODUCT(--ISNUMBER(SEARCH(","&amp;TRIM(TEXTSPLIT(CQ149,","))&amp;",",","&amp;SUBSTITUTE(input_event_location," ","")&amp;",")))=COUNTA(TEXTSPLIT(CQ149,",")))),IF(CS149="",TRUE,IF(input_event_location="",TRUE,SUMPRODUCT(--ISNUMBER(SEARCH(","&amp;TRIM(TEXTSPLIT(CS149,","))&amp;",",","&amp;SUBSTITUTE(input_event_location," ","")&amp;",")))=0)),IF(CU149="",TRUE,IF(input_event_location="",FALSE,SUMPRODUCT(--ISNUMBER(SEARCH(","&amp;TRIM(TEXTSPLIT(CU149,","))&amp;",",","&amp;SUBSTITUTE(input_event_location," ","")&amp;",")))&gt;0)),IF(CW149="",TRUE,IF(input_event_location="",FALSE,SUMPRODUCT(--ISNUMBER(SEARCH(","&amp;TRIM(TEXTSPLIT(CW149,","))&amp;",",","&amp;SUBSTITUTE(input_event_location," ","")&amp;",")))=COUNTA(TEXTSPLIT(CW149,",")))))</f>
        <v/>
      </c>
      <c r="JC149" s="19">
        <f>AND(IF(CY149="",TRUE,IF(input_event_type="",FALSE,SUMPRODUCT(--ISNUMBER(SEARCH(","&amp;TRIM(TEXTSPLIT(CY149,","))&amp;",",","&amp;SUBSTITUTE(input_event_type," ","")&amp;",")))&gt;0)),IF(DA149="",TRUE,IF(input_event_type="",FALSE,SUMPRODUCT(--ISNUMBER(SEARCH(","&amp;TRIM(TEXTSPLIT(DA149,","))&amp;",",","&amp;SUBSTITUTE(input_event_type," ","")&amp;",")))=COUNTA(TEXTSPLIT(DA149,",")))),IF(DC149="",TRUE,IF(input_event_type="",TRUE,SUMPRODUCT(--ISNUMBER(SEARCH(","&amp;TRIM(TEXTSPLIT(DC149,","))&amp;",",","&amp;SUBSTITUTE(input_event_type," ","")&amp;",")))=0)),IF(DE149="",TRUE,IF(input_event_type="",FALSE,SUMPRODUCT(--ISNUMBER(SEARCH(","&amp;TRIM(TEXTSPLIT(DE149,","))&amp;",",","&amp;SUBSTITUTE(input_event_type," ","")&amp;",")))&gt;0)),IF(DG149="",TRUE,IF(input_event_type="",FALSE,SUMPRODUCT(--ISNUMBER(SEARCH(","&amp;TRIM(TEXTSPLIT(DG149,","))&amp;",",","&amp;SUBSTITUTE(input_event_type," ","")&amp;",")))=COUNTA(TEXTSPLIT(DG149,",")))))</f>
        <v/>
      </c>
      <c r="JD149" s="19">
        <f>AND(IF(DI149="",TRUE,IF(input_executive_education_focus="",FALSE,SUMPRODUCT(--ISNUMBER(SEARCH(","&amp;TRIM(TEXTSPLIT(DI149,","))&amp;",",","&amp;SUBSTITUTE(input_executive_education_focus," ","")&amp;",")))&gt;0)),IF(DK149="",TRUE,IF(input_executive_education_focus="",FALSE,SUMPRODUCT(--ISNUMBER(SEARCH(","&amp;TRIM(TEXTSPLIT(DK149,","))&amp;",",","&amp;SUBSTITUTE(input_executive_education_focus," ","")&amp;",")))=COUNTA(TEXTSPLIT(DK149,",")))),IF(DM149="",TRUE,IF(input_executive_education_focus="",TRUE,SUMPRODUCT(--ISNUMBER(SEARCH(","&amp;TRIM(TEXTSPLIT(DM149,","))&amp;",",","&amp;SUBSTITUTE(input_executive_education_focus," ","")&amp;",")))=0)),IF(DO149="",TRUE,IF(input_executive_education_focus="",FALSE,SUMPRODUCT(--ISNUMBER(SEARCH(","&amp;TRIM(TEXTSPLIT(DO149,","))&amp;",",","&amp;SUBSTITUTE(input_executive_education_focus," ","")&amp;",")))&gt;0)),IF(DQ149="",TRUE,IF(input_executive_education_focus="",FALSE,SUMPRODUCT(--ISNUMBER(SEARCH(","&amp;TRIM(TEXTSPLIT(DQ149,","))&amp;",",","&amp;SUBSTITUTE(input_executive_education_focus," ","")&amp;",")))=COUNTA(TEXTSPLIT(DQ149,",")))))</f>
        <v/>
      </c>
      <c r="JE149" s="19">
        <f>AND(IF(DS149="",TRUE,IF(input_faculty_category="",FALSE,SUMPRODUCT(--ISNUMBER(SEARCH(","&amp;TRIM(TEXTSPLIT(DS149,","))&amp;",",","&amp;SUBSTITUTE(input_faculty_category," ","")&amp;",")))&gt;0)),IF(DU149="",TRUE,IF(input_faculty_category="",FALSE,SUMPRODUCT(--ISNUMBER(SEARCH(","&amp;TRIM(TEXTSPLIT(DU149,","))&amp;",",","&amp;SUBSTITUTE(input_faculty_category," ","")&amp;",")))=COUNTA(TEXTSPLIT(DU149,",")))),IF(DW149="",TRUE,IF(input_faculty_category="",TRUE,SUMPRODUCT(--ISNUMBER(SEARCH(","&amp;TRIM(TEXTSPLIT(DW149,","))&amp;",",","&amp;SUBSTITUTE(input_faculty_category," ","")&amp;",")))=0)),IF(DY149="",TRUE,IF(input_faculty_category="",FALSE,SUMPRODUCT(--ISNUMBER(SEARCH(","&amp;TRIM(TEXTSPLIT(DY149,","))&amp;",",","&amp;SUBSTITUTE(input_faculty_category," ","")&amp;",")))&gt;0)),IF(EA149="",TRUE,IF(input_faculty_category="",FALSE,SUMPRODUCT(--ISNUMBER(SEARCH(","&amp;TRIM(TEXTSPLIT(EA149,","))&amp;",",","&amp;SUBSTITUTE(input_faculty_category," ","")&amp;",")))=COUNTA(TEXTSPLIT(EA149,",")))))</f>
        <v/>
      </c>
      <c r="JF149" s="19">
        <f>AND(IF(EC149="",TRUE,IF(input_faculty_discipline="",FALSE,SUMPRODUCT(--ISNUMBER(SEARCH(","&amp;TRIM(TEXTSPLIT(EC149,","))&amp;",",","&amp;SUBSTITUTE(input_faculty_discipline," ","")&amp;",")))&gt;0)),IF(EE149="",TRUE,IF(input_faculty_discipline="",FALSE,SUMPRODUCT(--ISNUMBER(SEARCH(","&amp;TRIM(TEXTSPLIT(EE149,","))&amp;",",","&amp;SUBSTITUTE(input_faculty_discipline," ","")&amp;",")))=COUNTA(TEXTSPLIT(EE149,",")))),IF(EG149="",TRUE,IF(input_faculty_discipline="",TRUE,SUMPRODUCT(--ISNUMBER(SEARCH(","&amp;TRIM(TEXTSPLIT(EG149,","))&amp;",",","&amp;SUBSTITUTE(input_faculty_discipline," ","")&amp;",")))=0)),IF(EI149="",TRUE,IF(input_faculty_discipline="",FALSE,SUMPRODUCT(--ISNUMBER(SEARCH(","&amp;TRIM(TEXTSPLIT(EI149,","))&amp;",",","&amp;SUBSTITUTE(input_faculty_discipline," ","")&amp;",")))&gt;0)),IF(EK149="",TRUE,IF(input_faculty_discipline="",FALSE,SUMPRODUCT(--ISNUMBER(SEARCH(","&amp;TRIM(TEXTSPLIT(EK149,","))&amp;",",","&amp;SUBSTITUTE(input_faculty_discipline," ","")&amp;",")))=COUNTA(TEXTSPLIT(EK149,",")))))</f>
        <v/>
      </c>
      <c r="JG149" s="19">
        <f>AND(IF(EM149="",TRUE,IF(input_faculty_expertise="",FALSE,SUMPRODUCT(--ISNUMBER(SEARCH(","&amp;TRIM(TEXTSPLIT(EM149,","))&amp;",",","&amp;SUBSTITUTE(input_faculty_expertise," ","")&amp;",")))&gt;0)),IF(EO149="",TRUE,IF(input_faculty_expertise="",FALSE,SUMPRODUCT(--ISNUMBER(SEARCH(","&amp;TRIM(TEXTSPLIT(EO149,","))&amp;",",","&amp;SUBSTITUTE(input_faculty_expertise," ","")&amp;",")))=COUNTA(TEXTSPLIT(EO149,",")))),IF(EQ149="",TRUE,IF(input_faculty_expertise="",TRUE,SUMPRODUCT(--ISNUMBER(SEARCH(","&amp;TRIM(TEXTSPLIT(EQ149,","))&amp;",",","&amp;SUBSTITUTE(input_faculty_expertise," ","")&amp;",")))=0)),IF(ES149="",TRUE,IF(input_faculty_expertise="",FALSE,SUMPRODUCT(--ISNUMBER(SEARCH(","&amp;TRIM(TEXTSPLIT(ES149,","))&amp;",",","&amp;SUBSTITUTE(input_faculty_expertise," ","")&amp;",")))&gt;0)),IF(EU149="",TRUE,IF(input_faculty_expertise="",FALSE,SUMPRODUCT(--ISNUMBER(SEARCH(","&amp;TRIM(TEXTSPLIT(EU149,","))&amp;",",","&amp;SUBSTITUTE(input_faculty_expertise," ","")&amp;",")))=COUNTA(TEXTSPLIT(EU149,",")))))</f>
        <v/>
      </c>
      <c r="JH149" s="19">
        <f>AND(IF(EW149="",TRUE,IF(input_global_network_school="",FALSE,SUMPRODUCT(--ISNUMBER(SEARCH(","&amp;TRIM(TEXTSPLIT(EW149,","))&amp;",",","&amp;SUBSTITUTE(input_global_network_school," ","")&amp;",")))&gt;0)),IF(EY149="",TRUE,IF(input_global_network_school="",FALSE,SUMPRODUCT(--ISNUMBER(SEARCH(","&amp;TRIM(TEXTSPLIT(EY149,","))&amp;",",","&amp;SUBSTITUTE(input_global_network_school," ","")&amp;",")))=COUNTA(TEXTSPLIT(EY149,",")))),IF(FA149="",TRUE,IF(input_global_network_school="",TRUE,SUMPRODUCT(--ISNUMBER(SEARCH(","&amp;TRIM(TEXTSPLIT(FA149,","))&amp;",",","&amp;SUBSTITUTE(input_global_network_school," ","")&amp;",")))=0)),IF(FC149="",TRUE,IF(input_global_network_school="",FALSE,SUMPRODUCT(--ISNUMBER(SEARCH(","&amp;TRIM(TEXTSPLIT(FC149,","))&amp;",",","&amp;SUBSTITUTE(input_global_network_school," ","")&amp;",")))&gt;0)),IF(FE149="",TRUE,IF(input_global_network_school="",FALSE,SUMPRODUCT(--ISNUMBER(SEARCH(","&amp;TRIM(TEXTSPLIT(FE149,","))&amp;",",","&amp;SUBSTITUTE(input_global_network_school," ","")&amp;",")))=COUNTA(TEXTSPLIT(FE149,",")))))</f>
        <v/>
      </c>
      <c r="JI149" s="19">
        <f>AND(IF(FG149="",TRUE,IF(input_industry="",FALSE,SUMPRODUCT(--ISNUMBER(SEARCH(","&amp;TRIM(TEXTSPLIT(FG149,","))&amp;",",","&amp;SUBSTITUTE(input_industry," ","")&amp;",")))&gt;0)),IF(FI149="",TRUE,IF(input_industry="",FALSE,SUMPRODUCT(--ISNUMBER(SEARCH(","&amp;TRIM(TEXTSPLIT(FI149,","))&amp;",",","&amp;SUBSTITUTE(input_industry," ","")&amp;",")))=COUNTA(TEXTSPLIT(FI149,",")))),IF(FK149="",TRUE,IF(input_industry="",TRUE,SUMPRODUCT(--ISNUMBER(SEARCH(","&amp;TRIM(TEXTSPLIT(FK149,","))&amp;",",","&amp;SUBSTITUTE(input_industry," ","")&amp;",")))=0)),IF(FM149="",TRUE,IF(input_industry="",FALSE,SUMPRODUCT(--ISNUMBER(SEARCH(","&amp;TRIM(TEXTSPLIT(FM149,","))&amp;",",","&amp;SUBSTITUTE(input_industry," ","")&amp;",")))&gt;0)),IF(FO149="",TRUE,IF(input_industry="",FALSE,SUMPRODUCT(--ISNUMBER(SEARCH(","&amp;TRIM(TEXTSPLIT(FO149,","))&amp;",",","&amp;SUBSTITUTE(input_industry," ","")&amp;",")))=COUNTA(TEXTSPLIT(FO149,",")))))</f>
        <v/>
      </c>
      <c r="JJ149" s="19">
        <f>AND(IF(FQ149="",TRUE,IF(input_location="",FALSE,SUMPRODUCT(--ISNUMBER(SEARCH(","&amp;TRIM(TEXTSPLIT(FQ149,","))&amp;",",","&amp;SUBSTITUTE(input_location," ","")&amp;",")))&gt;0)),IF(FS149="",TRUE,IF(input_location="",FALSE,SUMPRODUCT(--ISNUMBER(SEARCH(","&amp;TRIM(TEXTSPLIT(FS149,","))&amp;",",","&amp;SUBSTITUTE(input_location," ","")&amp;",")))=COUNTA(TEXTSPLIT(FS149,",")))),IF(FU149="",TRUE,IF(input_location="",TRUE,SUMPRODUCT(--ISNUMBER(SEARCH(","&amp;TRIM(TEXTSPLIT(FU149,","))&amp;",",","&amp;SUBSTITUTE(input_location," ","")&amp;",")))=0)),IF(FW149="",TRUE,IF(input_location="",FALSE,SUMPRODUCT(--ISNUMBER(SEARCH(","&amp;TRIM(TEXTSPLIT(FW149,","))&amp;",",","&amp;SUBSTITUTE(input_location," ","")&amp;",")))&gt;0)),IF(FY149="",TRUE,IF(input_location="",FALSE,SUMPRODUCT(--ISNUMBER(SEARCH(","&amp;TRIM(TEXTSPLIT(FY149,","))&amp;",",","&amp;SUBSTITUTE(input_location," ","")&amp;",")))=COUNTA(TEXTSPLIT(FY149,",")))))</f>
        <v/>
      </c>
      <c r="JK149" s="19">
        <f>AND(IF(GA149="",TRUE,IF(input_modality="",FALSE,SUMPRODUCT(--ISNUMBER(SEARCH(","&amp;TRIM(TEXTSPLIT(GA149,","))&amp;",",","&amp;SUBSTITUTE(input_modality," ","")&amp;",")))&gt;0)),IF(GC149="",TRUE,IF(input_modality="",FALSE,SUMPRODUCT(--ISNUMBER(SEARCH(","&amp;TRIM(TEXTSPLIT(GC149,","))&amp;",",","&amp;SUBSTITUTE(input_modality," ","")&amp;",")))=COUNTA(TEXTSPLIT(GC149,",")))),IF(GE149="",TRUE,IF(input_modality="",TRUE,SUMPRODUCT(--ISNUMBER(SEARCH(","&amp;TRIM(TEXTSPLIT(GE149,","))&amp;",",","&amp;SUBSTITUTE(input_modality," ","")&amp;",")))=0)),IF(GG149="",TRUE,IF(input_modality="",FALSE,SUMPRODUCT(--ISNUMBER(SEARCH(","&amp;TRIM(TEXTSPLIT(GG149,","))&amp;",",","&amp;SUBSTITUTE(input_modality," ","")&amp;",")))&gt;0)),IF(GI149="",TRUE,IF(input_modality="",FALSE,SUMPRODUCT(--ISNUMBER(SEARCH(","&amp;TRIM(TEXTSPLIT(GI149,","))&amp;",",","&amp;SUBSTITUTE(input_modality," ","")&amp;",")))=COUNTA(TEXTSPLIT(GI149,",")))))</f>
        <v/>
      </c>
      <c r="JL149" s="19">
        <f>AND(IF(GK149="",TRUE,IF(input_organizer="",FALSE,SUMPRODUCT(--ISNUMBER(SEARCH(","&amp;TRIM(TEXTSPLIT(GK149,","))&amp;",",","&amp;SUBSTITUTE(input_organizer," ","")&amp;",")))&gt;0)),IF(GM149="",TRUE,IF(input_organizer="",FALSE,SUMPRODUCT(--ISNUMBER(SEARCH(","&amp;TRIM(TEXTSPLIT(GM149,","))&amp;",",","&amp;SUBSTITUTE(input_organizer," ","")&amp;",")))=COUNTA(TEXTSPLIT(GM149,",")))),IF(GO149="",TRUE,IF(input_organizer="",TRUE,SUMPRODUCT(--ISNUMBER(SEARCH(","&amp;TRIM(TEXTSPLIT(GO149,","))&amp;",",","&amp;SUBSTITUTE(input_organizer," ","")&amp;",")))=0)),IF(GQ149="",TRUE,IF(input_organizer="",FALSE,SUMPRODUCT(--ISNUMBER(SEARCH(","&amp;TRIM(TEXTSPLIT(GQ149,","))&amp;",",","&amp;SUBSTITUTE(input_organizer," ","")&amp;",")))&gt;0)),IF(GS149="",TRUE,IF(input_organizer="",FALSE,SUMPRODUCT(--ISNUMBER(SEARCH(","&amp;TRIM(TEXTSPLIT(GS149,","))&amp;",",","&amp;SUBSTITUTE(input_organizer," ","")&amp;",")))=COUNTA(TEXTSPLIT(GS149,",")))))</f>
        <v/>
      </c>
      <c r="JM149" s="19">
        <f>AND(IF(GU149="",TRUE,IF(input_profile_type="",FALSE,SUMPRODUCT(--ISNUMBER(SEARCH(","&amp;TRIM(TEXTSPLIT(GU149,","))&amp;",",","&amp;SUBSTITUTE(input_profile_type," ","")&amp;",")))&gt;0)),IF(GW149="",TRUE,IF(input_profile_type="",FALSE,SUMPRODUCT(--ISNUMBER(SEARCH(","&amp;TRIM(TEXTSPLIT(GW149,","))&amp;",",","&amp;SUBSTITUTE(input_profile_type," ","")&amp;",")))=COUNTA(TEXTSPLIT(GW149,",")))),IF(GY149="",TRUE,IF(input_profile_type="",TRUE,SUMPRODUCT(--ISNUMBER(SEARCH(","&amp;TRIM(TEXTSPLIT(GY149,","))&amp;",",","&amp;SUBSTITUTE(input_profile_type," ","")&amp;",")))=0)),IF(HA149="",TRUE,IF(input_profile_type="",FALSE,SUMPRODUCT(--ISNUMBER(SEARCH(","&amp;TRIM(TEXTSPLIT(HA149,","))&amp;",",","&amp;SUBSTITUTE(input_profile_type," ","")&amp;",")))&gt;0)),IF(HC149="",TRUE,IF(input_profile_type="",FALSE,SUMPRODUCT(--ISNUMBER(SEARCH(","&amp;TRIM(TEXTSPLIT(HC149,","))&amp;",",","&amp;SUBSTITUTE(input_profile_type," ","")&amp;",")))=COUNTA(TEXTSPLIT(HC149,",")))))</f>
        <v/>
      </c>
      <c r="JN149" s="19">
        <f>AND(IF(HE149="",TRUE,IF(input_program="",FALSE,SUMPRODUCT(--ISNUMBER(SEARCH(","&amp;TRIM(TEXTSPLIT(HE149,","))&amp;",",","&amp;SUBSTITUTE(input_program," ","")&amp;",")))&gt;0)),IF(HG149="",TRUE,IF(input_program="",FALSE,SUMPRODUCT(--ISNUMBER(SEARCH(","&amp;TRIM(TEXTSPLIT(HG149,","))&amp;",",","&amp;SUBSTITUTE(input_program," ","")&amp;",")))=COUNTA(TEXTSPLIT(HG149,",")))),IF(HI149="",TRUE,IF(input_program="",TRUE,SUMPRODUCT(--ISNUMBER(SEARCH(","&amp;TRIM(TEXTSPLIT(HI149,","))&amp;",",","&amp;SUBSTITUTE(input_program," ","")&amp;",")))=0)),IF(HK149="",TRUE,IF(input_program="",FALSE,SUMPRODUCT(--ISNUMBER(SEARCH(","&amp;TRIM(TEXTSPLIT(HK149,","))&amp;",",","&amp;SUBSTITUTE(input_program," ","")&amp;",")))&gt;0)),IF(HM149="",TRUE,IF(input_program="",FALSE,SUMPRODUCT(--ISNUMBER(SEARCH(","&amp;TRIM(TEXTSPLIT(HM149,","))&amp;",",","&amp;SUBSTITUTE(input_program," ","")&amp;",")))=COUNTA(TEXTSPLIT(HM149,",")))))</f>
        <v/>
      </c>
      <c r="JO149" s="19">
        <f>AND(IF(HO149="",TRUE,IF(input_story_categories="",FALSE,SUMPRODUCT(--ISNUMBER(SEARCH(","&amp;TRIM(TEXTSPLIT(HO149,","))&amp;",",","&amp;SUBSTITUTE(input_story_categories," ","")&amp;",")))&gt;0)),IF(HQ149="",TRUE,IF(input_story_categories="",FALSE,SUMPRODUCT(--ISNUMBER(SEARCH(","&amp;TRIM(TEXTSPLIT(HQ149,","))&amp;",",","&amp;SUBSTITUTE(input_story_categories," ","")&amp;",")))=COUNTA(TEXTSPLIT(HQ149,",")))),IF(HS149="",TRUE,IF(input_story_categories="",TRUE,SUMPRODUCT(--ISNUMBER(SEARCH(","&amp;TRIM(TEXTSPLIT(HS149,","))&amp;",",","&amp;SUBSTITUTE(input_story_categories," ","")&amp;",")))=0)),IF(HU149="",TRUE,IF(input_story_categories="",FALSE,SUMPRODUCT(--ISNUMBER(SEARCH(","&amp;TRIM(TEXTSPLIT(HU149,","))&amp;",",","&amp;SUBSTITUTE(input_story_categories," ","")&amp;",")))&gt;0)),IF(HW149="",TRUE,IF(input_story_categories="",FALSE,SUMPRODUCT(--ISNUMBER(SEARCH(","&amp;TRIM(TEXTSPLIT(HW149,","))&amp;",",","&amp;SUBSTITUTE(input_story_categories," ","")&amp;",")))=COUNTA(TEXTSPLIT(HW149,",")))))</f>
        <v/>
      </c>
      <c r="JP149" s="19">
        <f>AND(IF(HY149="",TRUE,IF(input_story_type="",FALSE,SUMPRODUCT(--ISNUMBER(SEARCH(","&amp;TRIM(TEXTSPLIT(HY149,","))&amp;",",","&amp;SUBSTITUTE(input_story_type," ","")&amp;",")))&gt;0)),IF(IA149="",TRUE,IF(input_story_type="",FALSE,SUMPRODUCT(--ISNUMBER(SEARCH(","&amp;TRIM(TEXTSPLIT(IA149,","))&amp;",",","&amp;SUBSTITUTE(input_story_type," ","")&amp;",")))=COUNTA(TEXTSPLIT(IA149,",")))),IF(IC149="",TRUE,IF(input_story_type="",TRUE,SUMPRODUCT(--ISNUMBER(SEARCH(","&amp;TRIM(TEXTSPLIT(IC149,","))&amp;",",","&amp;SUBSTITUTE(input_story_type," ","")&amp;",")))=0)),IF(IE149="",TRUE,IF(input_story_type="",FALSE,SUMPRODUCT(--ISNUMBER(SEARCH(","&amp;TRIM(TEXTSPLIT(IE149,","))&amp;",",","&amp;SUBSTITUTE(input_story_type," ","")&amp;",")))&gt;0)),IF(IG149="",TRUE,IF(input_story_type="",FALSE,SUMPRODUCT(--ISNUMBER(SEARCH(","&amp;TRIM(TEXTSPLIT(IG149,","))&amp;",",","&amp;SUBSTITUTE(input_story_type," ","")&amp;",")))=COUNTA(TEXTSPLIT(IG149,",")))))</f>
        <v/>
      </c>
      <c r="JQ149" s="19">
        <f>AND(IF(II149="",TRUE,IF(input_topics="",FALSE,SUMPRODUCT(--ISNUMBER(SEARCH(","&amp;TRIM(TEXTSPLIT(II149,","))&amp;",",","&amp;SUBSTITUTE(input_topics," ","")&amp;",")))&gt;0)),IF(IK149="",TRUE,IF(input_topics="",FALSE,SUMPRODUCT(--ISNUMBER(SEARCH(","&amp;TRIM(TEXTSPLIT(IK149,","))&amp;",",","&amp;SUBSTITUTE(input_topics," ","")&amp;",")))=COUNTA(TEXTSPLIT(IK149,",")))),IF(IM149="",TRUE,IF(input_topics="",TRUE,SUMPRODUCT(--ISNUMBER(SEARCH(","&amp;TRIM(TEXTSPLIT(IM149,","))&amp;",",","&amp;SUBSTITUTE(input_topics," ","")&amp;",")))=0)),IF(IO149="",TRUE,IF(input_topics="",FALSE,SUMPRODUCT(--ISNUMBER(SEARCH(","&amp;TRIM(TEXTSPLIT(IO149,","))&amp;",",","&amp;SUBSTITUTE(input_topics," ","")&amp;",")))&gt;0)),IF(IQ149="",TRUE,IF(input_topics="",FALSE,SUMPRODUCT(--ISNUMBER(SEARCH(","&amp;TRIM(TEXTSPLIT(IQ149,","))&amp;",",","&amp;SUBSTITUTE(input_topics," ","")&amp;",")))=COUNTA(TEXTSPLIT(IQ149,",")))))</f>
        <v/>
      </c>
    </row>
    <row r="150">
      <c r="A150" s="24">
        <f>IF(NOT(IS150),"Excluded",IF(AND(IT150,IU150,IV150,IW150,IX150,IY150,IZ150,JA150,JB150,JC150,JD150,JE150,JF150,JG150,JH150,JI150,JJ150,JK150,JL150,JM150,JN150,JO150,JP150,JQ150),IF(I150&gt;0,"Eligible but limited","Will appear"),"Excluded"))</f>
        <v/>
      </c>
      <c r="B150" s="24" t="inlineStr">
        <is>
          <t>Profiles</t>
        </is>
      </c>
      <c r="C150" s="27" t="inlineStr">
        <is>
          <t>/the-som-experience/community/profiles</t>
        </is>
      </c>
      <c r="D150" s="24" t="inlineStr">
        <is>
          <t>/the-som-experience/community/profiles</t>
        </is>
      </c>
      <c r="E150" s="24" t="n">
        <v>1</v>
      </c>
      <c r="F150" s="24" t="inlineStr">
        <is>
          <t>profile</t>
        </is>
      </c>
      <c r="G150" s="24" t="inlineStr">
        <is>
          <t>profiles_grid</t>
        </is>
      </c>
      <c r="H150" s="24" t="inlineStr">
        <is>
          <t>embed_1</t>
        </is>
      </c>
      <c r="I150" s="24" t="n">
        <v>9</v>
      </c>
      <c r="J150" s="24" t="inlineStr">
        <is>
          <t>View/config rules</t>
        </is>
      </c>
      <c r="K150" s="24" t="inlineStr">
        <is>
          <t>Page placement</t>
        </is>
      </c>
      <c r="L150" s="24" t="inlineStr">
        <is>
          <t>Content type: profile; Excludes Profile Type: Ambassador (1552); Limited to 9 item(s); Source: View/config rules</t>
        </is>
      </c>
      <c r="GY150" s="19" t="inlineStr">
        <is>
          <t>1552</t>
        </is>
      </c>
      <c r="GZ150" s="19" t="inlineStr">
        <is>
          <t>Ambassador (1552)</t>
        </is>
      </c>
      <c r="IS150" s="19">
        <f>IF(input_content_type="",FALSE,ISNUMBER(SEARCH(","&amp;LOWER(input_content_type)&amp;",",","&amp;LOWER(SUBSTITUTE(F150," ",""))&amp;",")))</f>
        <v/>
      </c>
      <c r="IT150" s="19">
        <f>AND(IF(M150="",TRUE,IF(input_affiliations="",FALSE,SUMPRODUCT(--ISNUMBER(SEARCH(","&amp;TRIM(TEXTSPLIT(M150,","))&amp;",",","&amp;SUBSTITUTE(input_affiliations," ","")&amp;",")))&gt;0)),IF(O150="",TRUE,IF(input_affiliations="",FALSE,SUMPRODUCT(--ISNUMBER(SEARCH(","&amp;TRIM(TEXTSPLIT(O150,","))&amp;",",","&amp;SUBSTITUTE(input_affiliations," ","")&amp;",")))=COUNTA(TEXTSPLIT(O150,",")))),IF(Q150="",TRUE,IF(input_affiliations="",TRUE,SUMPRODUCT(--ISNUMBER(SEARCH(","&amp;TRIM(TEXTSPLIT(Q150,","))&amp;",",","&amp;SUBSTITUTE(input_affiliations," ","")&amp;",")))=0)),IF(S150="",TRUE,IF(input_affiliations="",FALSE,SUMPRODUCT(--ISNUMBER(SEARCH(","&amp;TRIM(TEXTSPLIT(S150,","))&amp;",",","&amp;SUBSTITUTE(input_affiliations," ","")&amp;",")))&gt;0)),IF(U150="",TRUE,IF(input_affiliations="",FALSE,SUMPRODUCT(--ISNUMBER(SEARCH(","&amp;TRIM(TEXTSPLIT(U150,","))&amp;",",","&amp;SUBSTITUTE(input_affiliations," ","")&amp;",")))=COUNTA(TEXTSPLIT(U150,",")))))</f>
        <v/>
      </c>
      <c r="IU150" s="19">
        <f>AND(IF(W150="",TRUE,IF(input_announcement_category="",FALSE,SUMPRODUCT(--ISNUMBER(SEARCH(","&amp;TRIM(TEXTSPLIT(W150,","))&amp;",",","&amp;SUBSTITUTE(input_announcement_category," ","")&amp;",")))&gt;0)),IF(Y150="",TRUE,IF(input_announcement_category="",FALSE,SUMPRODUCT(--ISNUMBER(SEARCH(","&amp;TRIM(TEXTSPLIT(Y150,","))&amp;",",","&amp;SUBSTITUTE(input_announcement_category," ","")&amp;",")))=COUNTA(TEXTSPLIT(Y150,",")))),IF(AA150="",TRUE,IF(input_announcement_category="",TRUE,SUMPRODUCT(--ISNUMBER(SEARCH(","&amp;TRIM(TEXTSPLIT(AA150,","))&amp;",",","&amp;SUBSTITUTE(input_announcement_category," ","")&amp;",")))=0)),IF(AC150="",TRUE,IF(input_announcement_category="",FALSE,SUMPRODUCT(--ISNUMBER(SEARCH(","&amp;TRIM(TEXTSPLIT(AC150,","))&amp;",",","&amp;SUBSTITUTE(input_announcement_category," ","")&amp;",")))&gt;0)),IF(AE150="",TRUE,IF(input_announcement_category="",FALSE,SUMPRODUCT(--ISNUMBER(SEARCH(","&amp;TRIM(TEXTSPLIT(AE150,","))&amp;",",","&amp;SUBSTITUTE(input_announcement_category," ","")&amp;",")))=COUNTA(TEXTSPLIT(AE150,",")))))</f>
        <v/>
      </c>
      <c r="IV150" s="19">
        <f>AND(IF(AG150="",TRUE,IF(input_area_of_focus="",FALSE,SUMPRODUCT(--ISNUMBER(SEARCH(","&amp;TRIM(TEXTSPLIT(AG150,","))&amp;",",","&amp;SUBSTITUTE(input_area_of_focus," ","")&amp;",")))&gt;0)),IF(AI150="",TRUE,IF(input_area_of_focus="",FALSE,SUMPRODUCT(--ISNUMBER(SEARCH(","&amp;TRIM(TEXTSPLIT(AI150,","))&amp;",",","&amp;SUBSTITUTE(input_area_of_focus," ","")&amp;",")))=COUNTA(TEXTSPLIT(AI150,",")))),IF(AK150="",TRUE,IF(input_area_of_focus="",TRUE,SUMPRODUCT(--ISNUMBER(SEARCH(","&amp;TRIM(TEXTSPLIT(AK150,","))&amp;",",","&amp;SUBSTITUTE(input_area_of_focus," ","")&amp;",")))=0)),IF(AM150="",TRUE,IF(input_area_of_focus="",FALSE,SUMPRODUCT(--ISNUMBER(SEARCH(","&amp;TRIM(TEXTSPLIT(AM150,","))&amp;",",","&amp;SUBSTITUTE(input_area_of_focus," ","")&amp;",")))&gt;0)),IF(AO150="",TRUE,IF(input_area_of_focus="",FALSE,SUMPRODUCT(--ISNUMBER(SEARCH(","&amp;TRIM(TEXTSPLIT(AO150,","))&amp;",",","&amp;SUBSTITUTE(input_area_of_focus," ","")&amp;",")))=COUNTA(TEXTSPLIT(AO150,",")))))</f>
        <v/>
      </c>
      <c r="IW150" s="19">
        <f>AND(IF(AQ150="",TRUE,IF(input_audience="",FALSE,SUMPRODUCT(--ISNUMBER(SEARCH(","&amp;TRIM(TEXTSPLIT(AQ150,","))&amp;",",","&amp;SUBSTITUTE(input_audience," ","")&amp;",")))&gt;0)),IF(AS150="",TRUE,IF(input_audience="",FALSE,SUMPRODUCT(--ISNUMBER(SEARCH(","&amp;TRIM(TEXTSPLIT(AS150,","))&amp;",",","&amp;SUBSTITUTE(input_audience," ","")&amp;",")))=COUNTA(TEXTSPLIT(AS150,",")))),IF(AU150="",TRUE,IF(input_audience="",TRUE,SUMPRODUCT(--ISNUMBER(SEARCH(","&amp;TRIM(TEXTSPLIT(AU150,","))&amp;",",","&amp;SUBSTITUTE(input_audience," ","")&amp;",")))=0)),IF(AW150="",TRUE,IF(input_audience="",FALSE,SUMPRODUCT(--ISNUMBER(SEARCH(","&amp;TRIM(TEXTSPLIT(AW150,","))&amp;",",","&amp;SUBSTITUTE(input_audience," ","")&amp;",")))&gt;0)),IF(AY150="",TRUE,IF(input_audience="",FALSE,SUMPRODUCT(--ISNUMBER(SEARCH(","&amp;TRIM(TEXTSPLIT(AY150,","))&amp;",",","&amp;SUBSTITUTE(input_audience," ","")&amp;",")))=COUNTA(TEXTSPLIT(AY150,",")))))</f>
        <v/>
      </c>
      <c r="IX150" s="19">
        <f>AND(IF(BA150="",TRUE,IF(input_challenge_opportunities="",FALSE,SUMPRODUCT(--ISNUMBER(SEARCH(","&amp;TRIM(TEXTSPLIT(BA150,","))&amp;",",","&amp;SUBSTITUTE(input_challenge_opportunities," ","")&amp;",")))&gt;0)),IF(BC150="",TRUE,IF(input_challenge_opportunities="",FALSE,SUMPRODUCT(--ISNUMBER(SEARCH(","&amp;TRIM(TEXTSPLIT(BC150,","))&amp;",",","&amp;SUBSTITUTE(input_challenge_opportunities," ","")&amp;",")))=COUNTA(TEXTSPLIT(BC150,",")))),IF(BE150="",TRUE,IF(input_challenge_opportunities="",TRUE,SUMPRODUCT(--ISNUMBER(SEARCH(","&amp;TRIM(TEXTSPLIT(BE150,","))&amp;",",","&amp;SUBSTITUTE(input_challenge_opportunities," ","")&amp;",")))=0)),IF(BG150="",TRUE,IF(input_challenge_opportunities="",FALSE,SUMPRODUCT(--ISNUMBER(SEARCH(","&amp;TRIM(TEXTSPLIT(BG150,","))&amp;",",","&amp;SUBSTITUTE(input_challenge_opportunities," ","")&amp;",")))&gt;0)),IF(BI150="",TRUE,IF(input_challenge_opportunities="",FALSE,SUMPRODUCT(--ISNUMBER(SEARCH(","&amp;TRIM(TEXTSPLIT(BI150,","))&amp;",",","&amp;SUBSTITUTE(input_challenge_opportunities," ","")&amp;",")))=COUNTA(TEXTSPLIT(BI150,",")))))</f>
        <v/>
      </c>
      <c r="IY150" s="19">
        <f>AND(IF(BK150="",TRUE,IF(input_context="",FALSE,SUMPRODUCT(--ISNUMBER(SEARCH(","&amp;TRIM(TEXTSPLIT(BK150,","))&amp;",",","&amp;SUBSTITUTE(input_context," ","")&amp;",")))&gt;0)),IF(BM150="",TRUE,IF(input_context="",FALSE,SUMPRODUCT(--ISNUMBER(SEARCH(","&amp;TRIM(TEXTSPLIT(BM150,","))&amp;",",","&amp;SUBSTITUTE(input_context," ","")&amp;",")))=COUNTA(TEXTSPLIT(BM150,",")))),IF(BO150="",TRUE,IF(input_context="",TRUE,SUMPRODUCT(--ISNUMBER(SEARCH(","&amp;TRIM(TEXTSPLIT(BO150,","))&amp;",",","&amp;SUBSTITUTE(input_context," ","")&amp;",")))=0)),IF(BQ150="",TRUE,IF(input_context="",FALSE,SUMPRODUCT(--ISNUMBER(SEARCH(","&amp;TRIM(TEXTSPLIT(BQ150,","))&amp;",",","&amp;SUBSTITUTE(input_context," ","")&amp;",")))&gt;0)),IF(BS150="",TRUE,IF(input_context="",FALSE,SUMPRODUCT(--ISNUMBER(SEARCH(","&amp;TRIM(TEXTSPLIT(BS150,","))&amp;",",","&amp;SUBSTITUTE(input_context," ","")&amp;",")))=COUNTA(TEXTSPLIT(BS150,",")))))</f>
        <v/>
      </c>
      <c r="IZ150" s="19">
        <f>AND(IF(BU150="",TRUE,IF(input_enews_announcement_type="",FALSE,SUMPRODUCT(--ISNUMBER(SEARCH(","&amp;TRIM(TEXTSPLIT(BU150,","))&amp;",",","&amp;SUBSTITUTE(input_enews_announcement_type," ","")&amp;",")))&gt;0)),IF(BW150="",TRUE,IF(input_enews_announcement_type="",FALSE,SUMPRODUCT(--ISNUMBER(SEARCH(","&amp;TRIM(TEXTSPLIT(BW150,","))&amp;",",","&amp;SUBSTITUTE(input_enews_announcement_type," ","")&amp;",")))=COUNTA(TEXTSPLIT(BW150,",")))),IF(BY150="",TRUE,IF(input_enews_announcement_type="",TRUE,SUMPRODUCT(--ISNUMBER(SEARCH(","&amp;TRIM(TEXTSPLIT(BY150,","))&amp;",",","&amp;SUBSTITUTE(input_enews_announcement_type," ","")&amp;",")))=0)),IF(CA150="",TRUE,IF(input_enews_announcement_type="",FALSE,SUMPRODUCT(--ISNUMBER(SEARCH(","&amp;TRIM(TEXTSPLIT(CA150,","))&amp;",",","&amp;SUBSTITUTE(input_enews_announcement_type," ","")&amp;",")))&gt;0)),IF(CC150="",TRUE,IF(input_enews_announcement_type="",FALSE,SUMPRODUCT(--ISNUMBER(SEARCH(","&amp;TRIM(TEXTSPLIT(CC150,","))&amp;",",","&amp;SUBSTITUTE(input_enews_announcement_type," ","")&amp;",")))=COUNTA(TEXTSPLIT(CC150,",")))))</f>
        <v/>
      </c>
      <c r="JA150" s="19">
        <f>AND(IF(CE150="",TRUE,IF(input_enews_audience="",FALSE,SUMPRODUCT(--ISNUMBER(SEARCH(","&amp;TRIM(TEXTSPLIT(CE150,","))&amp;",",","&amp;SUBSTITUTE(input_enews_audience," ","")&amp;",")))&gt;0)),IF(CG150="",TRUE,IF(input_enews_audience="",FALSE,SUMPRODUCT(--ISNUMBER(SEARCH(","&amp;TRIM(TEXTSPLIT(CG150,","))&amp;",",","&amp;SUBSTITUTE(input_enews_audience," ","")&amp;",")))=COUNTA(TEXTSPLIT(CG150,",")))),IF(CI150="",TRUE,IF(input_enews_audience="",TRUE,SUMPRODUCT(--ISNUMBER(SEARCH(","&amp;TRIM(TEXTSPLIT(CI150,","))&amp;",",","&amp;SUBSTITUTE(input_enews_audience," ","")&amp;",")))=0)),IF(CK150="",TRUE,IF(input_enews_audience="",FALSE,SUMPRODUCT(--ISNUMBER(SEARCH(","&amp;TRIM(TEXTSPLIT(CK150,","))&amp;",",","&amp;SUBSTITUTE(input_enews_audience," ","")&amp;",")))&gt;0)),IF(CM150="",TRUE,IF(input_enews_audience="",FALSE,SUMPRODUCT(--ISNUMBER(SEARCH(","&amp;TRIM(TEXTSPLIT(CM150,","))&amp;",",","&amp;SUBSTITUTE(input_enews_audience," ","")&amp;",")))=COUNTA(TEXTSPLIT(CM150,",")))))</f>
        <v/>
      </c>
      <c r="JB150" s="19">
        <f>AND(IF(CO150="",TRUE,IF(input_event_location="",FALSE,SUMPRODUCT(--ISNUMBER(SEARCH(","&amp;TRIM(TEXTSPLIT(CO150,","))&amp;",",","&amp;SUBSTITUTE(input_event_location," ","")&amp;",")))&gt;0)),IF(CQ150="",TRUE,IF(input_event_location="",FALSE,SUMPRODUCT(--ISNUMBER(SEARCH(","&amp;TRIM(TEXTSPLIT(CQ150,","))&amp;",",","&amp;SUBSTITUTE(input_event_location," ","")&amp;",")))=COUNTA(TEXTSPLIT(CQ150,",")))),IF(CS150="",TRUE,IF(input_event_location="",TRUE,SUMPRODUCT(--ISNUMBER(SEARCH(","&amp;TRIM(TEXTSPLIT(CS150,","))&amp;",",","&amp;SUBSTITUTE(input_event_location," ","")&amp;",")))=0)),IF(CU150="",TRUE,IF(input_event_location="",FALSE,SUMPRODUCT(--ISNUMBER(SEARCH(","&amp;TRIM(TEXTSPLIT(CU150,","))&amp;",",","&amp;SUBSTITUTE(input_event_location," ","")&amp;",")))&gt;0)),IF(CW150="",TRUE,IF(input_event_location="",FALSE,SUMPRODUCT(--ISNUMBER(SEARCH(","&amp;TRIM(TEXTSPLIT(CW150,","))&amp;",",","&amp;SUBSTITUTE(input_event_location," ","")&amp;",")))=COUNTA(TEXTSPLIT(CW150,",")))))</f>
        <v/>
      </c>
      <c r="JC150" s="19">
        <f>AND(IF(CY150="",TRUE,IF(input_event_type="",FALSE,SUMPRODUCT(--ISNUMBER(SEARCH(","&amp;TRIM(TEXTSPLIT(CY150,","))&amp;",",","&amp;SUBSTITUTE(input_event_type," ","")&amp;",")))&gt;0)),IF(DA150="",TRUE,IF(input_event_type="",FALSE,SUMPRODUCT(--ISNUMBER(SEARCH(","&amp;TRIM(TEXTSPLIT(DA150,","))&amp;",",","&amp;SUBSTITUTE(input_event_type," ","")&amp;",")))=COUNTA(TEXTSPLIT(DA150,",")))),IF(DC150="",TRUE,IF(input_event_type="",TRUE,SUMPRODUCT(--ISNUMBER(SEARCH(","&amp;TRIM(TEXTSPLIT(DC150,","))&amp;",",","&amp;SUBSTITUTE(input_event_type," ","")&amp;",")))=0)),IF(DE150="",TRUE,IF(input_event_type="",FALSE,SUMPRODUCT(--ISNUMBER(SEARCH(","&amp;TRIM(TEXTSPLIT(DE150,","))&amp;",",","&amp;SUBSTITUTE(input_event_type," ","")&amp;",")))&gt;0)),IF(DG150="",TRUE,IF(input_event_type="",FALSE,SUMPRODUCT(--ISNUMBER(SEARCH(","&amp;TRIM(TEXTSPLIT(DG150,","))&amp;",",","&amp;SUBSTITUTE(input_event_type," ","")&amp;",")))=COUNTA(TEXTSPLIT(DG150,",")))))</f>
        <v/>
      </c>
      <c r="JD150" s="19">
        <f>AND(IF(DI150="",TRUE,IF(input_executive_education_focus="",FALSE,SUMPRODUCT(--ISNUMBER(SEARCH(","&amp;TRIM(TEXTSPLIT(DI150,","))&amp;",",","&amp;SUBSTITUTE(input_executive_education_focus," ","")&amp;",")))&gt;0)),IF(DK150="",TRUE,IF(input_executive_education_focus="",FALSE,SUMPRODUCT(--ISNUMBER(SEARCH(","&amp;TRIM(TEXTSPLIT(DK150,","))&amp;",",","&amp;SUBSTITUTE(input_executive_education_focus," ","")&amp;",")))=COUNTA(TEXTSPLIT(DK150,",")))),IF(DM150="",TRUE,IF(input_executive_education_focus="",TRUE,SUMPRODUCT(--ISNUMBER(SEARCH(","&amp;TRIM(TEXTSPLIT(DM150,","))&amp;",",","&amp;SUBSTITUTE(input_executive_education_focus," ","")&amp;",")))=0)),IF(DO150="",TRUE,IF(input_executive_education_focus="",FALSE,SUMPRODUCT(--ISNUMBER(SEARCH(","&amp;TRIM(TEXTSPLIT(DO150,","))&amp;",",","&amp;SUBSTITUTE(input_executive_education_focus," ","")&amp;",")))&gt;0)),IF(DQ150="",TRUE,IF(input_executive_education_focus="",FALSE,SUMPRODUCT(--ISNUMBER(SEARCH(","&amp;TRIM(TEXTSPLIT(DQ150,","))&amp;",",","&amp;SUBSTITUTE(input_executive_education_focus," ","")&amp;",")))=COUNTA(TEXTSPLIT(DQ150,",")))))</f>
        <v/>
      </c>
      <c r="JE150" s="19">
        <f>AND(IF(DS150="",TRUE,IF(input_faculty_category="",FALSE,SUMPRODUCT(--ISNUMBER(SEARCH(","&amp;TRIM(TEXTSPLIT(DS150,","))&amp;",",","&amp;SUBSTITUTE(input_faculty_category," ","")&amp;",")))&gt;0)),IF(DU150="",TRUE,IF(input_faculty_category="",FALSE,SUMPRODUCT(--ISNUMBER(SEARCH(","&amp;TRIM(TEXTSPLIT(DU150,","))&amp;",",","&amp;SUBSTITUTE(input_faculty_category," ","")&amp;",")))=COUNTA(TEXTSPLIT(DU150,",")))),IF(DW150="",TRUE,IF(input_faculty_category="",TRUE,SUMPRODUCT(--ISNUMBER(SEARCH(","&amp;TRIM(TEXTSPLIT(DW150,","))&amp;",",","&amp;SUBSTITUTE(input_faculty_category," ","")&amp;",")))=0)),IF(DY150="",TRUE,IF(input_faculty_category="",FALSE,SUMPRODUCT(--ISNUMBER(SEARCH(","&amp;TRIM(TEXTSPLIT(DY150,","))&amp;",",","&amp;SUBSTITUTE(input_faculty_category," ","")&amp;",")))&gt;0)),IF(EA150="",TRUE,IF(input_faculty_category="",FALSE,SUMPRODUCT(--ISNUMBER(SEARCH(","&amp;TRIM(TEXTSPLIT(EA150,","))&amp;",",","&amp;SUBSTITUTE(input_faculty_category," ","")&amp;",")))=COUNTA(TEXTSPLIT(EA150,",")))))</f>
        <v/>
      </c>
      <c r="JF150" s="19">
        <f>AND(IF(EC150="",TRUE,IF(input_faculty_discipline="",FALSE,SUMPRODUCT(--ISNUMBER(SEARCH(","&amp;TRIM(TEXTSPLIT(EC150,","))&amp;",",","&amp;SUBSTITUTE(input_faculty_discipline," ","")&amp;",")))&gt;0)),IF(EE150="",TRUE,IF(input_faculty_discipline="",FALSE,SUMPRODUCT(--ISNUMBER(SEARCH(","&amp;TRIM(TEXTSPLIT(EE150,","))&amp;",",","&amp;SUBSTITUTE(input_faculty_discipline," ","")&amp;",")))=COUNTA(TEXTSPLIT(EE150,",")))),IF(EG150="",TRUE,IF(input_faculty_discipline="",TRUE,SUMPRODUCT(--ISNUMBER(SEARCH(","&amp;TRIM(TEXTSPLIT(EG150,","))&amp;",",","&amp;SUBSTITUTE(input_faculty_discipline," ","")&amp;",")))=0)),IF(EI150="",TRUE,IF(input_faculty_discipline="",FALSE,SUMPRODUCT(--ISNUMBER(SEARCH(","&amp;TRIM(TEXTSPLIT(EI150,","))&amp;",",","&amp;SUBSTITUTE(input_faculty_discipline," ","")&amp;",")))&gt;0)),IF(EK150="",TRUE,IF(input_faculty_discipline="",FALSE,SUMPRODUCT(--ISNUMBER(SEARCH(","&amp;TRIM(TEXTSPLIT(EK150,","))&amp;",",","&amp;SUBSTITUTE(input_faculty_discipline," ","")&amp;",")))=COUNTA(TEXTSPLIT(EK150,",")))))</f>
        <v/>
      </c>
      <c r="JG150" s="19">
        <f>AND(IF(EM150="",TRUE,IF(input_faculty_expertise="",FALSE,SUMPRODUCT(--ISNUMBER(SEARCH(","&amp;TRIM(TEXTSPLIT(EM150,","))&amp;",",","&amp;SUBSTITUTE(input_faculty_expertise," ","")&amp;",")))&gt;0)),IF(EO150="",TRUE,IF(input_faculty_expertise="",FALSE,SUMPRODUCT(--ISNUMBER(SEARCH(","&amp;TRIM(TEXTSPLIT(EO150,","))&amp;",",","&amp;SUBSTITUTE(input_faculty_expertise," ","")&amp;",")))=COUNTA(TEXTSPLIT(EO150,",")))),IF(EQ150="",TRUE,IF(input_faculty_expertise="",TRUE,SUMPRODUCT(--ISNUMBER(SEARCH(","&amp;TRIM(TEXTSPLIT(EQ150,","))&amp;",",","&amp;SUBSTITUTE(input_faculty_expertise," ","")&amp;",")))=0)),IF(ES150="",TRUE,IF(input_faculty_expertise="",FALSE,SUMPRODUCT(--ISNUMBER(SEARCH(","&amp;TRIM(TEXTSPLIT(ES150,","))&amp;",",","&amp;SUBSTITUTE(input_faculty_expertise," ","")&amp;",")))&gt;0)),IF(EU150="",TRUE,IF(input_faculty_expertise="",FALSE,SUMPRODUCT(--ISNUMBER(SEARCH(","&amp;TRIM(TEXTSPLIT(EU150,","))&amp;",",","&amp;SUBSTITUTE(input_faculty_expertise," ","")&amp;",")))=COUNTA(TEXTSPLIT(EU150,",")))))</f>
        <v/>
      </c>
      <c r="JH150" s="19">
        <f>AND(IF(EW150="",TRUE,IF(input_global_network_school="",FALSE,SUMPRODUCT(--ISNUMBER(SEARCH(","&amp;TRIM(TEXTSPLIT(EW150,","))&amp;",",","&amp;SUBSTITUTE(input_global_network_school," ","")&amp;",")))&gt;0)),IF(EY150="",TRUE,IF(input_global_network_school="",FALSE,SUMPRODUCT(--ISNUMBER(SEARCH(","&amp;TRIM(TEXTSPLIT(EY150,","))&amp;",",","&amp;SUBSTITUTE(input_global_network_school," ","")&amp;",")))=COUNTA(TEXTSPLIT(EY150,",")))),IF(FA150="",TRUE,IF(input_global_network_school="",TRUE,SUMPRODUCT(--ISNUMBER(SEARCH(","&amp;TRIM(TEXTSPLIT(FA150,","))&amp;",",","&amp;SUBSTITUTE(input_global_network_school," ","")&amp;",")))=0)),IF(FC150="",TRUE,IF(input_global_network_school="",FALSE,SUMPRODUCT(--ISNUMBER(SEARCH(","&amp;TRIM(TEXTSPLIT(FC150,","))&amp;",",","&amp;SUBSTITUTE(input_global_network_school," ","")&amp;",")))&gt;0)),IF(FE150="",TRUE,IF(input_global_network_school="",FALSE,SUMPRODUCT(--ISNUMBER(SEARCH(","&amp;TRIM(TEXTSPLIT(FE150,","))&amp;",",","&amp;SUBSTITUTE(input_global_network_school," ","")&amp;",")))=COUNTA(TEXTSPLIT(FE150,",")))))</f>
        <v/>
      </c>
      <c r="JI150" s="19">
        <f>AND(IF(FG150="",TRUE,IF(input_industry="",FALSE,SUMPRODUCT(--ISNUMBER(SEARCH(","&amp;TRIM(TEXTSPLIT(FG150,","))&amp;",",","&amp;SUBSTITUTE(input_industry," ","")&amp;",")))&gt;0)),IF(FI150="",TRUE,IF(input_industry="",FALSE,SUMPRODUCT(--ISNUMBER(SEARCH(","&amp;TRIM(TEXTSPLIT(FI150,","))&amp;",",","&amp;SUBSTITUTE(input_industry," ","")&amp;",")))=COUNTA(TEXTSPLIT(FI150,",")))),IF(FK150="",TRUE,IF(input_industry="",TRUE,SUMPRODUCT(--ISNUMBER(SEARCH(","&amp;TRIM(TEXTSPLIT(FK150,","))&amp;",",","&amp;SUBSTITUTE(input_industry," ","")&amp;",")))=0)),IF(FM150="",TRUE,IF(input_industry="",FALSE,SUMPRODUCT(--ISNUMBER(SEARCH(","&amp;TRIM(TEXTSPLIT(FM150,","))&amp;",",","&amp;SUBSTITUTE(input_industry," ","")&amp;",")))&gt;0)),IF(FO150="",TRUE,IF(input_industry="",FALSE,SUMPRODUCT(--ISNUMBER(SEARCH(","&amp;TRIM(TEXTSPLIT(FO150,","))&amp;",",","&amp;SUBSTITUTE(input_industry," ","")&amp;",")))=COUNTA(TEXTSPLIT(FO150,",")))))</f>
        <v/>
      </c>
      <c r="JJ150" s="19">
        <f>AND(IF(FQ150="",TRUE,IF(input_location="",FALSE,SUMPRODUCT(--ISNUMBER(SEARCH(","&amp;TRIM(TEXTSPLIT(FQ150,","))&amp;",",","&amp;SUBSTITUTE(input_location," ","")&amp;",")))&gt;0)),IF(FS150="",TRUE,IF(input_location="",FALSE,SUMPRODUCT(--ISNUMBER(SEARCH(","&amp;TRIM(TEXTSPLIT(FS150,","))&amp;",",","&amp;SUBSTITUTE(input_location," ","")&amp;",")))=COUNTA(TEXTSPLIT(FS150,",")))),IF(FU150="",TRUE,IF(input_location="",TRUE,SUMPRODUCT(--ISNUMBER(SEARCH(","&amp;TRIM(TEXTSPLIT(FU150,","))&amp;",",","&amp;SUBSTITUTE(input_location," ","")&amp;",")))=0)),IF(FW150="",TRUE,IF(input_location="",FALSE,SUMPRODUCT(--ISNUMBER(SEARCH(","&amp;TRIM(TEXTSPLIT(FW150,","))&amp;",",","&amp;SUBSTITUTE(input_location," ","")&amp;",")))&gt;0)),IF(FY150="",TRUE,IF(input_location="",FALSE,SUMPRODUCT(--ISNUMBER(SEARCH(","&amp;TRIM(TEXTSPLIT(FY150,","))&amp;",",","&amp;SUBSTITUTE(input_location," ","")&amp;",")))=COUNTA(TEXTSPLIT(FY150,",")))))</f>
        <v/>
      </c>
      <c r="JK150" s="19">
        <f>AND(IF(GA150="",TRUE,IF(input_modality="",FALSE,SUMPRODUCT(--ISNUMBER(SEARCH(","&amp;TRIM(TEXTSPLIT(GA150,","))&amp;",",","&amp;SUBSTITUTE(input_modality," ","")&amp;",")))&gt;0)),IF(GC150="",TRUE,IF(input_modality="",FALSE,SUMPRODUCT(--ISNUMBER(SEARCH(","&amp;TRIM(TEXTSPLIT(GC150,","))&amp;",",","&amp;SUBSTITUTE(input_modality," ","")&amp;",")))=COUNTA(TEXTSPLIT(GC150,",")))),IF(GE150="",TRUE,IF(input_modality="",TRUE,SUMPRODUCT(--ISNUMBER(SEARCH(","&amp;TRIM(TEXTSPLIT(GE150,","))&amp;",",","&amp;SUBSTITUTE(input_modality," ","")&amp;",")))=0)),IF(GG150="",TRUE,IF(input_modality="",FALSE,SUMPRODUCT(--ISNUMBER(SEARCH(","&amp;TRIM(TEXTSPLIT(GG150,","))&amp;",",","&amp;SUBSTITUTE(input_modality," ","")&amp;",")))&gt;0)),IF(GI150="",TRUE,IF(input_modality="",FALSE,SUMPRODUCT(--ISNUMBER(SEARCH(","&amp;TRIM(TEXTSPLIT(GI150,","))&amp;",",","&amp;SUBSTITUTE(input_modality," ","")&amp;",")))=COUNTA(TEXTSPLIT(GI150,",")))))</f>
        <v/>
      </c>
      <c r="JL150" s="19">
        <f>AND(IF(GK150="",TRUE,IF(input_organizer="",FALSE,SUMPRODUCT(--ISNUMBER(SEARCH(","&amp;TRIM(TEXTSPLIT(GK150,","))&amp;",",","&amp;SUBSTITUTE(input_organizer," ","")&amp;",")))&gt;0)),IF(GM150="",TRUE,IF(input_organizer="",FALSE,SUMPRODUCT(--ISNUMBER(SEARCH(","&amp;TRIM(TEXTSPLIT(GM150,","))&amp;",",","&amp;SUBSTITUTE(input_organizer," ","")&amp;",")))=COUNTA(TEXTSPLIT(GM150,",")))),IF(GO150="",TRUE,IF(input_organizer="",TRUE,SUMPRODUCT(--ISNUMBER(SEARCH(","&amp;TRIM(TEXTSPLIT(GO150,","))&amp;",",","&amp;SUBSTITUTE(input_organizer," ","")&amp;",")))=0)),IF(GQ150="",TRUE,IF(input_organizer="",FALSE,SUMPRODUCT(--ISNUMBER(SEARCH(","&amp;TRIM(TEXTSPLIT(GQ150,","))&amp;",",","&amp;SUBSTITUTE(input_organizer," ","")&amp;",")))&gt;0)),IF(GS150="",TRUE,IF(input_organizer="",FALSE,SUMPRODUCT(--ISNUMBER(SEARCH(","&amp;TRIM(TEXTSPLIT(GS150,","))&amp;",",","&amp;SUBSTITUTE(input_organizer," ","")&amp;",")))=COUNTA(TEXTSPLIT(GS150,",")))))</f>
        <v/>
      </c>
      <c r="JM150" s="19">
        <f>AND(IF(GU150="",TRUE,IF(input_profile_type="",FALSE,SUMPRODUCT(--ISNUMBER(SEARCH(","&amp;TRIM(TEXTSPLIT(GU150,","))&amp;",",","&amp;SUBSTITUTE(input_profile_type," ","")&amp;",")))&gt;0)),IF(GW150="",TRUE,IF(input_profile_type="",FALSE,SUMPRODUCT(--ISNUMBER(SEARCH(","&amp;TRIM(TEXTSPLIT(GW150,","))&amp;",",","&amp;SUBSTITUTE(input_profile_type," ","")&amp;",")))=COUNTA(TEXTSPLIT(GW150,",")))),IF(GY150="",TRUE,IF(input_profile_type="",TRUE,SUMPRODUCT(--ISNUMBER(SEARCH(","&amp;TRIM(TEXTSPLIT(GY150,","))&amp;",",","&amp;SUBSTITUTE(input_profile_type," ","")&amp;",")))=0)),IF(HA150="",TRUE,IF(input_profile_type="",FALSE,SUMPRODUCT(--ISNUMBER(SEARCH(","&amp;TRIM(TEXTSPLIT(HA150,","))&amp;",",","&amp;SUBSTITUTE(input_profile_type," ","")&amp;",")))&gt;0)),IF(HC150="",TRUE,IF(input_profile_type="",FALSE,SUMPRODUCT(--ISNUMBER(SEARCH(","&amp;TRIM(TEXTSPLIT(HC150,","))&amp;",",","&amp;SUBSTITUTE(input_profile_type," ","")&amp;",")))=COUNTA(TEXTSPLIT(HC150,",")))))</f>
        <v/>
      </c>
      <c r="JN150" s="19">
        <f>AND(IF(HE150="",TRUE,IF(input_program="",FALSE,SUMPRODUCT(--ISNUMBER(SEARCH(","&amp;TRIM(TEXTSPLIT(HE150,","))&amp;",",","&amp;SUBSTITUTE(input_program," ","")&amp;",")))&gt;0)),IF(HG150="",TRUE,IF(input_program="",FALSE,SUMPRODUCT(--ISNUMBER(SEARCH(","&amp;TRIM(TEXTSPLIT(HG150,","))&amp;",",","&amp;SUBSTITUTE(input_program," ","")&amp;",")))=COUNTA(TEXTSPLIT(HG150,",")))),IF(HI150="",TRUE,IF(input_program="",TRUE,SUMPRODUCT(--ISNUMBER(SEARCH(","&amp;TRIM(TEXTSPLIT(HI150,","))&amp;",",","&amp;SUBSTITUTE(input_program," ","")&amp;",")))=0)),IF(HK150="",TRUE,IF(input_program="",FALSE,SUMPRODUCT(--ISNUMBER(SEARCH(","&amp;TRIM(TEXTSPLIT(HK150,","))&amp;",",","&amp;SUBSTITUTE(input_program," ","")&amp;",")))&gt;0)),IF(HM150="",TRUE,IF(input_program="",FALSE,SUMPRODUCT(--ISNUMBER(SEARCH(","&amp;TRIM(TEXTSPLIT(HM150,","))&amp;",",","&amp;SUBSTITUTE(input_program," ","")&amp;",")))=COUNTA(TEXTSPLIT(HM150,",")))))</f>
        <v/>
      </c>
      <c r="JO150" s="19">
        <f>AND(IF(HO150="",TRUE,IF(input_story_categories="",FALSE,SUMPRODUCT(--ISNUMBER(SEARCH(","&amp;TRIM(TEXTSPLIT(HO150,","))&amp;",",","&amp;SUBSTITUTE(input_story_categories," ","")&amp;",")))&gt;0)),IF(HQ150="",TRUE,IF(input_story_categories="",FALSE,SUMPRODUCT(--ISNUMBER(SEARCH(","&amp;TRIM(TEXTSPLIT(HQ150,","))&amp;",",","&amp;SUBSTITUTE(input_story_categories," ","")&amp;",")))=COUNTA(TEXTSPLIT(HQ150,",")))),IF(HS150="",TRUE,IF(input_story_categories="",TRUE,SUMPRODUCT(--ISNUMBER(SEARCH(","&amp;TRIM(TEXTSPLIT(HS150,","))&amp;",",","&amp;SUBSTITUTE(input_story_categories," ","")&amp;",")))=0)),IF(HU150="",TRUE,IF(input_story_categories="",FALSE,SUMPRODUCT(--ISNUMBER(SEARCH(","&amp;TRIM(TEXTSPLIT(HU150,","))&amp;",",","&amp;SUBSTITUTE(input_story_categories," ","")&amp;",")))&gt;0)),IF(HW150="",TRUE,IF(input_story_categories="",FALSE,SUMPRODUCT(--ISNUMBER(SEARCH(","&amp;TRIM(TEXTSPLIT(HW150,","))&amp;",",","&amp;SUBSTITUTE(input_story_categories," ","")&amp;",")))=COUNTA(TEXTSPLIT(HW150,",")))))</f>
        <v/>
      </c>
      <c r="JP150" s="19">
        <f>AND(IF(HY150="",TRUE,IF(input_story_type="",FALSE,SUMPRODUCT(--ISNUMBER(SEARCH(","&amp;TRIM(TEXTSPLIT(HY150,","))&amp;",",","&amp;SUBSTITUTE(input_story_type," ","")&amp;",")))&gt;0)),IF(IA150="",TRUE,IF(input_story_type="",FALSE,SUMPRODUCT(--ISNUMBER(SEARCH(","&amp;TRIM(TEXTSPLIT(IA150,","))&amp;",",","&amp;SUBSTITUTE(input_story_type," ","")&amp;",")))=COUNTA(TEXTSPLIT(IA150,",")))),IF(IC150="",TRUE,IF(input_story_type="",TRUE,SUMPRODUCT(--ISNUMBER(SEARCH(","&amp;TRIM(TEXTSPLIT(IC150,","))&amp;",",","&amp;SUBSTITUTE(input_story_type," ","")&amp;",")))=0)),IF(IE150="",TRUE,IF(input_story_type="",FALSE,SUMPRODUCT(--ISNUMBER(SEARCH(","&amp;TRIM(TEXTSPLIT(IE150,","))&amp;",",","&amp;SUBSTITUTE(input_story_type," ","")&amp;",")))&gt;0)),IF(IG150="",TRUE,IF(input_story_type="",FALSE,SUMPRODUCT(--ISNUMBER(SEARCH(","&amp;TRIM(TEXTSPLIT(IG150,","))&amp;",",","&amp;SUBSTITUTE(input_story_type," ","")&amp;",")))=COUNTA(TEXTSPLIT(IG150,",")))))</f>
        <v/>
      </c>
      <c r="JQ150" s="19">
        <f>AND(IF(II150="",TRUE,IF(input_topics="",FALSE,SUMPRODUCT(--ISNUMBER(SEARCH(","&amp;TRIM(TEXTSPLIT(II150,","))&amp;",",","&amp;SUBSTITUTE(input_topics," ","")&amp;",")))&gt;0)),IF(IK150="",TRUE,IF(input_topics="",FALSE,SUMPRODUCT(--ISNUMBER(SEARCH(","&amp;TRIM(TEXTSPLIT(IK150,","))&amp;",",","&amp;SUBSTITUTE(input_topics," ","")&amp;",")))=COUNTA(TEXTSPLIT(IK150,",")))),IF(IM150="",TRUE,IF(input_topics="",TRUE,SUMPRODUCT(--ISNUMBER(SEARCH(","&amp;TRIM(TEXTSPLIT(IM150,","))&amp;",",","&amp;SUBSTITUTE(input_topics," ","")&amp;",")))=0)),IF(IO150="",TRUE,IF(input_topics="",FALSE,SUMPRODUCT(--ISNUMBER(SEARCH(","&amp;TRIM(TEXTSPLIT(IO150,","))&amp;",",","&amp;SUBSTITUTE(input_topics," ","")&amp;",")))&gt;0)),IF(IQ150="",TRUE,IF(input_topics="",FALSE,SUMPRODUCT(--ISNUMBER(SEARCH(","&amp;TRIM(TEXTSPLIT(IQ150,","))&amp;",",","&amp;SUBSTITUTE(input_topics," ","")&amp;",")))=COUNTA(TEXTSPLIT(IQ150,",")))))</f>
        <v/>
      </c>
    </row>
    <row r="151">
      <c r="A151" s="24">
        <f>IF(NOT(IS151),"Excluded",IF(AND(IT151,IU151,IV151,IW151,IX151,IY151,IZ151,JA151,JB151,JC151,JD151,JE151,JF151,JG151,JH151,JI151,JJ151,JK151,JL151,JM151,JN151,JO151,JP151,JQ151),IF(I151&gt;0,"Eligible but limited","Will appear"),"Excluded"))</f>
        <v/>
      </c>
      <c r="B151" s="24" t="inlineStr">
        <is>
          <t>PSEII News</t>
        </is>
      </c>
      <c r="C151" s="27" t="inlineStr">
        <is>
          <t>/centers/program-social-enterprise-innovation-impact/pseii-news</t>
        </is>
      </c>
      <c r="D151" s="24" t="inlineStr">
        <is>
          <t>/centers/program-social-enterprise-innovation-impact/pseii-news</t>
        </is>
      </c>
      <c r="E151" s="24" t="n">
        <v>1</v>
      </c>
      <c r="F151" s="24" t="inlineStr">
        <is>
          <t>story</t>
        </is>
      </c>
      <c r="G151" s="24" t="inlineStr">
        <is>
          <t>stories_list</t>
        </is>
      </c>
      <c r="H151" s="24" t="inlineStr">
        <is>
          <t>embed_1</t>
        </is>
      </c>
      <c r="I151" s="24" t="n">
        <v>10</v>
      </c>
      <c r="J151" s="28" t="inlineStr">
        <is>
          <t>Explicit args</t>
        </is>
      </c>
      <c r="K151" s="24" t="inlineStr">
        <is>
          <t>Page placement</t>
        </is>
      </c>
      <c r="L151" s="24" t="inlineStr">
        <is>
          <t>Content type: story; Context uses Courses Context: Program on Social Enterprise, Innovation, and Impact (933); Limited to 10 item(s); Source: Explicit args</t>
        </is>
      </c>
      <c r="BQ151" s="19" t="inlineStr">
        <is>
          <t>933</t>
        </is>
      </c>
      <c r="BR151" s="19" t="inlineStr">
        <is>
          <t>Program on Social Enterprise, Innovation, and Impact (933)</t>
        </is>
      </c>
      <c r="IS151" s="19">
        <f>IF(input_content_type="",FALSE,ISNUMBER(SEARCH(","&amp;LOWER(input_content_type)&amp;",",","&amp;LOWER(SUBSTITUTE(F151," ",""))&amp;",")))</f>
        <v/>
      </c>
      <c r="IT151" s="19">
        <f>AND(IF(M151="",TRUE,IF(input_affiliations="",FALSE,SUMPRODUCT(--ISNUMBER(SEARCH(","&amp;TRIM(TEXTSPLIT(M151,","))&amp;",",","&amp;SUBSTITUTE(input_affiliations," ","")&amp;",")))&gt;0)),IF(O151="",TRUE,IF(input_affiliations="",FALSE,SUMPRODUCT(--ISNUMBER(SEARCH(","&amp;TRIM(TEXTSPLIT(O151,","))&amp;",",","&amp;SUBSTITUTE(input_affiliations," ","")&amp;",")))=COUNTA(TEXTSPLIT(O151,",")))),IF(Q151="",TRUE,IF(input_affiliations="",TRUE,SUMPRODUCT(--ISNUMBER(SEARCH(","&amp;TRIM(TEXTSPLIT(Q151,","))&amp;",",","&amp;SUBSTITUTE(input_affiliations," ","")&amp;",")))=0)),IF(S151="",TRUE,IF(input_affiliations="",FALSE,SUMPRODUCT(--ISNUMBER(SEARCH(","&amp;TRIM(TEXTSPLIT(S151,","))&amp;",",","&amp;SUBSTITUTE(input_affiliations," ","")&amp;",")))&gt;0)),IF(U151="",TRUE,IF(input_affiliations="",FALSE,SUMPRODUCT(--ISNUMBER(SEARCH(","&amp;TRIM(TEXTSPLIT(U151,","))&amp;",",","&amp;SUBSTITUTE(input_affiliations," ","")&amp;",")))=COUNTA(TEXTSPLIT(U151,",")))))</f>
        <v/>
      </c>
      <c r="IU151" s="19">
        <f>AND(IF(W151="",TRUE,IF(input_announcement_category="",FALSE,SUMPRODUCT(--ISNUMBER(SEARCH(","&amp;TRIM(TEXTSPLIT(W151,","))&amp;",",","&amp;SUBSTITUTE(input_announcement_category," ","")&amp;",")))&gt;0)),IF(Y151="",TRUE,IF(input_announcement_category="",FALSE,SUMPRODUCT(--ISNUMBER(SEARCH(","&amp;TRIM(TEXTSPLIT(Y151,","))&amp;",",","&amp;SUBSTITUTE(input_announcement_category," ","")&amp;",")))=COUNTA(TEXTSPLIT(Y151,",")))),IF(AA151="",TRUE,IF(input_announcement_category="",TRUE,SUMPRODUCT(--ISNUMBER(SEARCH(","&amp;TRIM(TEXTSPLIT(AA151,","))&amp;",",","&amp;SUBSTITUTE(input_announcement_category," ","")&amp;",")))=0)),IF(AC151="",TRUE,IF(input_announcement_category="",FALSE,SUMPRODUCT(--ISNUMBER(SEARCH(","&amp;TRIM(TEXTSPLIT(AC151,","))&amp;",",","&amp;SUBSTITUTE(input_announcement_category," ","")&amp;",")))&gt;0)),IF(AE151="",TRUE,IF(input_announcement_category="",FALSE,SUMPRODUCT(--ISNUMBER(SEARCH(","&amp;TRIM(TEXTSPLIT(AE151,","))&amp;",",","&amp;SUBSTITUTE(input_announcement_category," ","")&amp;",")))=COUNTA(TEXTSPLIT(AE151,",")))))</f>
        <v/>
      </c>
      <c r="IV151" s="19">
        <f>AND(IF(AG151="",TRUE,IF(input_area_of_focus="",FALSE,SUMPRODUCT(--ISNUMBER(SEARCH(","&amp;TRIM(TEXTSPLIT(AG151,","))&amp;",",","&amp;SUBSTITUTE(input_area_of_focus," ","")&amp;",")))&gt;0)),IF(AI151="",TRUE,IF(input_area_of_focus="",FALSE,SUMPRODUCT(--ISNUMBER(SEARCH(","&amp;TRIM(TEXTSPLIT(AI151,","))&amp;",",","&amp;SUBSTITUTE(input_area_of_focus," ","")&amp;",")))=COUNTA(TEXTSPLIT(AI151,",")))),IF(AK151="",TRUE,IF(input_area_of_focus="",TRUE,SUMPRODUCT(--ISNUMBER(SEARCH(","&amp;TRIM(TEXTSPLIT(AK151,","))&amp;",",","&amp;SUBSTITUTE(input_area_of_focus," ","")&amp;",")))=0)),IF(AM151="",TRUE,IF(input_area_of_focus="",FALSE,SUMPRODUCT(--ISNUMBER(SEARCH(","&amp;TRIM(TEXTSPLIT(AM151,","))&amp;",",","&amp;SUBSTITUTE(input_area_of_focus," ","")&amp;",")))&gt;0)),IF(AO151="",TRUE,IF(input_area_of_focus="",FALSE,SUMPRODUCT(--ISNUMBER(SEARCH(","&amp;TRIM(TEXTSPLIT(AO151,","))&amp;",",","&amp;SUBSTITUTE(input_area_of_focus," ","")&amp;",")))=COUNTA(TEXTSPLIT(AO151,",")))))</f>
        <v/>
      </c>
      <c r="IW151" s="19">
        <f>AND(IF(AQ151="",TRUE,IF(input_audience="",FALSE,SUMPRODUCT(--ISNUMBER(SEARCH(","&amp;TRIM(TEXTSPLIT(AQ151,","))&amp;",",","&amp;SUBSTITUTE(input_audience," ","")&amp;",")))&gt;0)),IF(AS151="",TRUE,IF(input_audience="",FALSE,SUMPRODUCT(--ISNUMBER(SEARCH(","&amp;TRIM(TEXTSPLIT(AS151,","))&amp;",",","&amp;SUBSTITUTE(input_audience," ","")&amp;",")))=COUNTA(TEXTSPLIT(AS151,",")))),IF(AU151="",TRUE,IF(input_audience="",TRUE,SUMPRODUCT(--ISNUMBER(SEARCH(","&amp;TRIM(TEXTSPLIT(AU151,","))&amp;",",","&amp;SUBSTITUTE(input_audience," ","")&amp;",")))=0)),IF(AW151="",TRUE,IF(input_audience="",FALSE,SUMPRODUCT(--ISNUMBER(SEARCH(","&amp;TRIM(TEXTSPLIT(AW151,","))&amp;",",","&amp;SUBSTITUTE(input_audience," ","")&amp;",")))&gt;0)),IF(AY151="",TRUE,IF(input_audience="",FALSE,SUMPRODUCT(--ISNUMBER(SEARCH(","&amp;TRIM(TEXTSPLIT(AY151,","))&amp;",",","&amp;SUBSTITUTE(input_audience," ","")&amp;",")))=COUNTA(TEXTSPLIT(AY151,",")))))</f>
        <v/>
      </c>
      <c r="IX151" s="19">
        <f>AND(IF(BA151="",TRUE,IF(input_challenge_opportunities="",FALSE,SUMPRODUCT(--ISNUMBER(SEARCH(","&amp;TRIM(TEXTSPLIT(BA151,","))&amp;",",","&amp;SUBSTITUTE(input_challenge_opportunities," ","")&amp;",")))&gt;0)),IF(BC151="",TRUE,IF(input_challenge_opportunities="",FALSE,SUMPRODUCT(--ISNUMBER(SEARCH(","&amp;TRIM(TEXTSPLIT(BC151,","))&amp;",",","&amp;SUBSTITUTE(input_challenge_opportunities," ","")&amp;",")))=COUNTA(TEXTSPLIT(BC151,",")))),IF(BE151="",TRUE,IF(input_challenge_opportunities="",TRUE,SUMPRODUCT(--ISNUMBER(SEARCH(","&amp;TRIM(TEXTSPLIT(BE151,","))&amp;",",","&amp;SUBSTITUTE(input_challenge_opportunities," ","")&amp;",")))=0)),IF(BG151="",TRUE,IF(input_challenge_opportunities="",FALSE,SUMPRODUCT(--ISNUMBER(SEARCH(","&amp;TRIM(TEXTSPLIT(BG151,","))&amp;",",","&amp;SUBSTITUTE(input_challenge_opportunities," ","")&amp;",")))&gt;0)),IF(BI151="",TRUE,IF(input_challenge_opportunities="",FALSE,SUMPRODUCT(--ISNUMBER(SEARCH(","&amp;TRIM(TEXTSPLIT(BI151,","))&amp;",",","&amp;SUBSTITUTE(input_challenge_opportunities," ","")&amp;",")))=COUNTA(TEXTSPLIT(BI151,",")))))</f>
        <v/>
      </c>
      <c r="IY151" s="19">
        <f>AND(IF(BK151="",TRUE,IF(input_context="",FALSE,SUMPRODUCT(--ISNUMBER(SEARCH(","&amp;TRIM(TEXTSPLIT(BK151,","))&amp;",",","&amp;SUBSTITUTE(input_context," ","")&amp;",")))&gt;0)),IF(BM151="",TRUE,IF(input_context="",FALSE,SUMPRODUCT(--ISNUMBER(SEARCH(","&amp;TRIM(TEXTSPLIT(BM151,","))&amp;",",","&amp;SUBSTITUTE(input_context," ","")&amp;",")))=COUNTA(TEXTSPLIT(BM151,",")))),IF(BO151="",TRUE,IF(input_context="",TRUE,SUMPRODUCT(--ISNUMBER(SEARCH(","&amp;TRIM(TEXTSPLIT(BO151,","))&amp;",",","&amp;SUBSTITUTE(input_context," ","")&amp;",")))=0)),IF(BQ151="",TRUE,IF(input_context="",FALSE,SUMPRODUCT(--ISNUMBER(SEARCH(","&amp;TRIM(TEXTSPLIT(BQ151,","))&amp;",",","&amp;SUBSTITUTE(input_context," ","")&amp;",")))&gt;0)),IF(BS151="",TRUE,IF(input_context="",FALSE,SUMPRODUCT(--ISNUMBER(SEARCH(","&amp;TRIM(TEXTSPLIT(BS151,","))&amp;",",","&amp;SUBSTITUTE(input_context," ","")&amp;",")))=COUNTA(TEXTSPLIT(BS151,",")))))</f>
        <v/>
      </c>
      <c r="IZ151" s="19">
        <f>AND(IF(BU151="",TRUE,IF(input_enews_announcement_type="",FALSE,SUMPRODUCT(--ISNUMBER(SEARCH(","&amp;TRIM(TEXTSPLIT(BU151,","))&amp;",",","&amp;SUBSTITUTE(input_enews_announcement_type," ","")&amp;",")))&gt;0)),IF(BW151="",TRUE,IF(input_enews_announcement_type="",FALSE,SUMPRODUCT(--ISNUMBER(SEARCH(","&amp;TRIM(TEXTSPLIT(BW151,","))&amp;",",","&amp;SUBSTITUTE(input_enews_announcement_type," ","")&amp;",")))=COUNTA(TEXTSPLIT(BW151,",")))),IF(BY151="",TRUE,IF(input_enews_announcement_type="",TRUE,SUMPRODUCT(--ISNUMBER(SEARCH(","&amp;TRIM(TEXTSPLIT(BY151,","))&amp;",",","&amp;SUBSTITUTE(input_enews_announcement_type," ","")&amp;",")))=0)),IF(CA151="",TRUE,IF(input_enews_announcement_type="",FALSE,SUMPRODUCT(--ISNUMBER(SEARCH(","&amp;TRIM(TEXTSPLIT(CA151,","))&amp;",",","&amp;SUBSTITUTE(input_enews_announcement_type," ","")&amp;",")))&gt;0)),IF(CC151="",TRUE,IF(input_enews_announcement_type="",FALSE,SUMPRODUCT(--ISNUMBER(SEARCH(","&amp;TRIM(TEXTSPLIT(CC151,","))&amp;",",","&amp;SUBSTITUTE(input_enews_announcement_type," ","")&amp;",")))=COUNTA(TEXTSPLIT(CC151,",")))))</f>
        <v/>
      </c>
      <c r="JA151" s="19">
        <f>AND(IF(CE151="",TRUE,IF(input_enews_audience="",FALSE,SUMPRODUCT(--ISNUMBER(SEARCH(","&amp;TRIM(TEXTSPLIT(CE151,","))&amp;",",","&amp;SUBSTITUTE(input_enews_audience," ","")&amp;",")))&gt;0)),IF(CG151="",TRUE,IF(input_enews_audience="",FALSE,SUMPRODUCT(--ISNUMBER(SEARCH(","&amp;TRIM(TEXTSPLIT(CG151,","))&amp;",",","&amp;SUBSTITUTE(input_enews_audience," ","")&amp;",")))=COUNTA(TEXTSPLIT(CG151,",")))),IF(CI151="",TRUE,IF(input_enews_audience="",TRUE,SUMPRODUCT(--ISNUMBER(SEARCH(","&amp;TRIM(TEXTSPLIT(CI151,","))&amp;",",","&amp;SUBSTITUTE(input_enews_audience," ","")&amp;",")))=0)),IF(CK151="",TRUE,IF(input_enews_audience="",FALSE,SUMPRODUCT(--ISNUMBER(SEARCH(","&amp;TRIM(TEXTSPLIT(CK151,","))&amp;",",","&amp;SUBSTITUTE(input_enews_audience," ","")&amp;",")))&gt;0)),IF(CM151="",TRUE,IF(input_enews_audience="",FALSE,SUMPRODUCT(--ISNUMBER(SEARCH(","&amp;TRIM(TEXTSPLIT(CM151,","))&amp;",",","&amp;SUBSTITUTE(input_enews_audience," ","")&amp;",")))=COUNTA(TEXTSPLIT(CM151,",")))))</f>
        <v/>
      </c>
      <c r="JB151" s="19">
        <f>AND(IF(CO151="",TRUE,IF(input_event_location="",FALSE,SUMPRODUCT(--ISNUMBER(SEARCH(","&amp;TRIM(TEXTSPLIT(CO151,","))&amp;",",","&amp;SUBSTITUTE(input_event_location," ","")&amp;",")))&gt;0)),IF(CQ151="",TRUE,IF(input_event_location="",FALSE,SUMPRODUCT(--ISNUMBER(SEARCH(","&amp;TRIM(TEXTSPLIT(CQ151,","))&amp;",",","&amp;SUBSTITUTE(input_event_location," ","")&amp;",")))=COUNTA(TEXTSPLIT(CQ151,",")))),IF(CS151="",TRUE,IF(input_event_location="",TRUE,SUMPRODUCT(--ISNUMBER(SEARCH(","&amp;TRIM(TEXTSPLIT(CS151,","))&amp;",",","&amp;SUBSTITUTE(input_event_location," ","")&amp;",")))=0)),IF(CU151="",TRUE,IF(input_event_location="",FALSE,SUMPRODUCT(--ISNUMBER(SEARCH(","&amp;TRIM(TEXTSPLIT(CU151,","))&amp;",",","&amp;SUBSTITUTE(input_event_location," ","")&amp;",")))&gt;0)),IF(CW151="",TRUE,IF(input_event_location="",FALSE,SUMPRODUCT(--ISNUMBER(SEARCH(","&amp;TRIM(TEXTSPLIT(CW151,","))&amp;",",","&amp;SUBSTITUTE(input_event_location," ","")&amp;",")))=COUNTA(TEXTSPLIT(CW151,",")))))</f>
        <v/>
      </c>
      <c r="JC151" s="19">
        <f>AND(IF(CY151="",TRUE,IF(input_event_type="",FALSE,SUMPRODUCT(--ISNUMBER(SEARCH(","&amp;TRIM(TEXTSPLIT(CY151,","))&amp;",",","&amp;SUBSTITUTE(input_event_type," ","")&amp;",")))&gt;0)),IF(DA151="",TRUE,IF(input_event_type="",FALSE,SUMPRODUCT(--ISNUMBER(SEARCH(","&amp;TRIM(TEXTSPLIT(DA151,","))&amp;",",","&amp;SUBSTITUTE(input_event_type," ","")&amp;",")))=COUNTA(TEXTSPLIT(DA151,",")))),IF(DC151="",TRUE,IF(input_event_type="",TRUE,SUMPRODUCT(--ISNUMBER(SEARCH(","&amp;TRIM(TEXTSPLIT(DC151,","))&amp;",",","&amp;SUBSTITUTE(input_event_type," ","")&amp;",")))=0)),IF(DE151="",TRUE,IF(input_event_type="",FALSE,SUMPRODUCT(--ISNUMBER(SEARCH(","&amp;TRIM(TEXTSPLIT(DE151,","))&amp;",",","&amp;SUBSTITUTE(input_event_type," ","")&amp;",")))&gt;0)),IF(DG151="",TRUE,IF(input_event_type="",FALSE,SUMPRODUCT(--ISNUMBER(SEARCH(","&amp;TRIM(TEXTSPLIT(DG151,","))&amp;",",","&amp;SUBSTITUTE(input_event_type," ","")&amp;",")))=COUNTA(TEXTSPLIT(DG151,",")))))</f>
        <v/>
      </c>
      <c r="JD151" s="19">
        <f>AND(IF(DI151="",TRUE,IF(input_executive_education_focus="",FALSE,SUMPRODUCT(--ISNUMBER(SEARCH(","&amp;TRIM(TEXTSPLIT(DI151,","))&amp;",",","&amp;SUBSTITUTE(input_executive_education_focus," ","")&amp;",")))&gt;0)),IF(DK151="",TRUE,IF(input_executive_education_focus="",FALSE,SUMPRODUCT(--ISNUMBER(SEARCH(","&amp;TRIM(TEXTSPLIT(DK151,","))&amp;",",","&amp;SUBSTITUTE(input_executive_education_focus," ","")&amp;",")))=COUNTA(TEXTSPLIT(DK151,",")))),IF(DM151="",TRUE,IF(input_executive_education_focus="",TRUE,SUMPRODUCT(--ISNUMBER(SEARCH(","&amp;TRIM(TEXTSPLIT(DM151,","))&amp;",",","&amp;SUBSTITUTE(input_executive_education_focus," ","")&amp;",")))=0)),IF(DO151="",TRUE,IF(input_executive_education_focus="",FALSE,SUMPRODUCT(--ISNUMBER(SEARCH(","&amp;TRIM(TEXTSPLIT(DO151,","))&amp;",",","&amp;SUBSTITUTE(input_executive_education_focus," ","")&amp;",")))&gt;0)),IF(DQ151="",TRUE,IF(input_executive_education_focus="",FALSE,SUMPRODUCT(--ISNUMBER(SEARCH(","&amp;TRIM(TEXTSPLIT(DQ151,","))&amp;",",","&amp;SUBSTITUTE(input_executive_education_focus," ","")&amp;",")))=COUNTA(TEXTSPLIT(DQ151,",")))))</f>
        <v/>
      </c>
      <c r="JE151" s="19">
        <f>AND(IF(DS151="",TRUE,IF(input_faculty_category="",FALSE,SUMPRODUCT(--ISNUMBER(SEARCH(","&amp;TRIM(TEXTSPLIT(DS151,","))&amp;",",","&amp;SUBSTITUTE(input_faculty_category," ","")&amp;",")))&gt;0)),IF(DU151="",TRUE,IF(input_faculty_category="",FALSE,SUMPRODUCT(--ISNUMBER(SEARCH(","&amp;TRIM(TEXTSPLIT(DU151,","))&amp;",",","&amp;SUBSTITUTE(input_faculty_category," ","")&amp;",")))=COUNTA(TEXTSPLIT(DU151,",")))),IF(DW151="",TRUE,IF(input_faculty_category="",TRUE,SUMPRODUCT(--ISNUMBER(SEARCH(","&amp;TRIM(TEXTSPLIT(DW151,","))&amp;",",","&amp;SUBSTITUTE(input_faculty_category," ","")&amp;",")))=0)),IF(DY151="",TRUE,IF(input_faculty_category="",FALSE,SUMPRODUCT(--ISNUMBER(SEARCH(","&amp;TRIM(TEXTSPLIT(DY151,","))&amp;",",","&amp;SUBSTITUTE(input_faculty_category," ","")&amp;",")))&gt;0)),IF(EA151="",TRUE,IF(input_faculty_category="",FALSE,SUMPRODUCT(--ISNUMBER(SEARCH(","&amp;TRIM(TEXTSPLIT(EA151,","))&amp;",",","&amp;SUBSTITUTE(input_faculty_category," ","")&amp;",")))=COUNTA(TEXTSPLIT(EA151,",")))))</f>
        <v/>
      </c>
      <c r="JF151" s="19">
        <f>AND(IF(EC151="",TRUE,IF(input_faculty_discipline="",FALSE,SUMPRODUCT(--ISNUMBER(SEARCH(","&amp;TRIM(TEXTSPLIT(EC151,","))&amp;",",","&amp;SUBSTITUTE(input_faculty_discipline," ","")&amp;",")))&gt;0)),IF(EE151="",TRUE,IF(input_faculty_discipline="",FALSE,SUMPRODUCT(--ISNUMBER(SEARCH(","&amp;TRIM(TEXTSPLIT(EE151,","))&amp;",",","&amp;SUBSTITUTE(input_faculty_discipline," ","")&amp;",")))=COUNTA(TEXTSPLIT(EE151,",")))),IF(EG151="",TRUE,IF(input_faculty_discipline="",TRUE,SUMPRODUCT(--ISNUMBER(SEARCH(","&amp;TRIM(TEXTSPLIT(EG151,","))&amp;",",","&amp;SUBSTITUTE(input_faculty_discipline," ","")&amp;",")))=0)),IF(EI151="",TRUE,IF(input_faculty_discipline="",FALSE,SUMPRODUCT(--ISNUMBER(SEARCH(","&amp;TRIM(TEXTSPLIT(EI151,","))&amp;",",","&amp;SUBSTITUTE(input_faculty_discipline," ","")&amp;",")))&gt;0)),IF(EK151="",TRUE,IF(input_faculty_discipline="",FALSE,SUMPRODUCT(--ISNUMBER(SEARCH(","&amp;TRIM(TEXTSPLIT(EK151,","))&amp;",",","&amp;SUBSTITUTE(input_faculty_discipline," ","")&amp;",")))=COUNTA(TEXTSPLIT(EK151,",")))))</f>
        <v/>
      </c>
      <c r="JG151" s="19">
        <f>AND(IF(EM151="",TRUE,IF(input_faculty_expertise="",FALSE,SUMPRODUCT(--ISNUMBER(SEARCH(","&amp;TRIM(TEXTSPLIT(EM151,","))&amp;",",","&amp;SUBSTITUTE(input_faculty_expertise," ","")&amp;",")))&gt;0)),IF(EO151="",TRUE,IF(input_faculty_expertise="",FALSE,SUMPRODUCT(--ISNUMBER(SEARCH(","&amp;TRIM(TEXTSPLIT(EO151,","))&amp;",",","&amp;SUBSTITUTE(input_faculty_expertise," ","")&amp;",")))=COUNTA(TEXTSPLIT(EO151,",")))),IF(EQ151="",TRUE,IF(input_faculty_expertise="",TRUE,SUMPRODUCT(--ISNUMBER(SEARCH(","&amp;TRIM(TEXTSPLIT(EQ151,","))&amp;",",","&amp;SUBSTITUTE(input_faculty_expertise," ","")&amp;",")))=0)),IF(ES151="",TRUE,IF(input_faculty_expertise="",FALSE,SUMPRODUCT(--ISNUMBER(SEARCH(","&amp;TRIM(TEXTSPLIT(ES151,","))&amp;",",","&amp;SUBSTITUTE(input_faculty_expertise," ","")&amp;",")))&gt;0)),IF(EU151="",TRUE,IF(input_faculty_expertise="",FALSE,SUMPRODUCT(--ISNUMBER(SEARCH(","&amp;TRIM(TEXTSPLIT(EU151,","))&amp;",",","&amp;SUBSTITUTE(input_faculty_expertise," ","")&amp;",")))=COUNTA(TEXTSPLIT(EU151,",")))))</f>
        <v/>
      </c>
      <c r="JH151" s="19">
        <f>AND(IF(EW151="",TRUE,IF(input_global_network_school="",FALSE,SUMPRODUCT(--ISNUMBER(SEARCH(","&amp;TRIM(TEXTSPLIT(EW151,","))&amp;",",","&amp;SUBSTITUTE(input_global_network_school," ","")&amp;",")))&gt;0)),IF(EY151="",TRUE,IF(input_global_network_school="",FALSE,SUMPRODUCT(--ISNUMBER(SEARCH(","&amp;TRIM(TEXTSPLIT(EY151,","))&amp;",",","&amp;SUBSTITUTE(input_global_network_school," ","")&amp;",")))=COUNTA(TEXTSPLIT(EY151,",")))),IF(FA151="",TRUE,IF(input_global_network_school="",TRUE,SUMPRODUCT(--ISNUMBER(SEARCH(","&amp;TRIM(TEXTSPLIT(FA151,","))&amp;",",","&amp;SUBSTITUTE(input_global_network_school," ","")&amp;",")))=0)),IF(FC151="",TRUE,IF(input_global_network_school="",FALSE,SUMPRODUCT(--ISNUMBER(SEARCH(","&amp;TRIM(TEXTSPLIT(FC151,","))&amp;",",","&amp;SUBSTITUTE(input_global_network_school," ","")&amp;",")))&gt;0)),IF(FE151="",TRUE,IF(input_global_network_school="",FALSE,SUMPRODUCT(--ISNUMBER(SEARCH(","&amp;TRIM(TEXTSPLIT(FE151,","))&amp;",",","&amp;SUBSTITUTE(input_global_network_school," ","")&amp;",")))=COUNTA(TEXTSPLIT(FE151,",")))))</f>
        <v/>
      </c>
      <c r="JI151" s="19">
        <f>AND(IF(FG151="",TRUE,IF(input_industry="",FALSE,SUMPRODUCT(--ISNUMBER(SEARCH(","&amp;TRIM(TEXTSPLIT(FG151,","))&amp;",",","&amp;SUBSTITUTE(input_industry," ","")&amp;",")))&gt;0)),IF(FI151="",TRUE,IF(input_industry="",FALSE,SUMPRODUCT(--ISNUMBER(SEARCH(","&amp;TRIM(TEXTSPLIT(FI151,","))&amp;",",","&amp;SUBSTITUTE(input_industry," ","")&amp;",")))=COUNTA(TEXTSPLIT(FI151,",")))),IF(FK151="",TRUE,IF(input_industry="",TRUE,SUMPRODUCT(--ISNUMBER(SEARCH(","&amp;TRIM(TEXTSPLIT(FK151,","))&amp;",",","&amp;SUBSTITUTE(input_industry," ","")&amp;",")))=0)),IF(FM151="",TRUE,IF(input_industry="",FALSE,SUMPRODUCT(--ISNUMBER(SEARCH(","&amp;TRIM(TEXTSPLIT(FM151,","))&amp;",",","&amp;SUBSTITUTE(input_industry," ","")&amp;",")))&gt;0)),IF(FO151="",TRUE,IF(input_industry="",FALSE,SUMPRODUCT(--ISNUMBER(SEARCH(","&amp;TRIM(TEXTSPLIT(FO151,","))&amp;",",","&amp;SUBSTITUTE(input_industry," ","")&amp;",")))=COUNTA(TEXTSPLIT(FO151,",")))))</f>
        <v/>
      </c>
      <c r="JJ151" s="19">
        <f>AND(IF(FQ151="",TRUE,IF(input_location="",FALSE,SUMPRODUCT(--ISNUMBER(SEARCH(","&amp;TRIM(TEXTSPLIT(FQ151,","))&amp;",",","&amp;SUBSTITUTE(input_location," ","")&amp;",")))&gt;0)),IF(FS151="",TRUE,IF(input_location="",FALSE,SUMPRODUCT(--ISNUMBER(SEARCH(","&amp;TRIM(TEXTSPLIT(FS151,","))&amp;",",","&amp;SUBSTITUTE(input_location," ","")&amp;",")))=COUNTA(TEXTSPLIT(FS151,",")))),IF(FU151="",TRUE,IF(input_location="",TRUE,SUMPRODUCT(--ISNUMBER(SEARCH(","&amp;TRIM(TEXTSPLIT(FU151,","))&amp;",",","&amp;SUBSTITUTE(input_location," ","")&amp;",")))=0)),IF(FW151="",TRUE,IF(input_location="",FALSE,SUMPRODUCT(--ISNUMBER(SEARCH(","&amp;TRIM(TEXTSPLIT(FW151,","))&amp;",",","&amp;SUBSTITUTE(input_location," ","")&amp;",")))&gt;0)),IF(FY151="",TRUE,IF(input_location="",FALSE,SUMPRODUCT(--ISNUMBER(SEARCH(","&amp;TRIM(TEXTSPLIT(FY151,","))&amp;",",","&amp;SUBSTITUTE(input_location," ","")&amp;",")))=COUNTA(TEXTSPLIT(FY151,",")))))</f>
        <v/>
      </c>
      <c r="JK151" s="19">
        <f>AND(IF(GA151="",TRUE,IF(input_modality="",FALSE,SUMPRODUCT(--ISNUMBER(SEARCH(","&amp;TRIM(TEXTSPLIT(GA151,","))&amp;",",","&amp;SUBSTITUTE(input_modality," ","")&amp;",")))&gt;0)),IF(GC151="",TRUE,IF(input_modality="",FALSE,SUMPRODUCT(--ISNUMBER(SEARCH(","&amp;TRIM(TEXTSPLIT(GC151,","))&amp;",",","&amp;SUBSTITUTE(input_modality," ","")&amp;",")))=COUNTA(TEXTSPLIT(GC151,",")))),IF(GE151="",TRUE,IF(input_modality="",TRUE,SUMPRODUCT(--ISNUMBER(SEARCH(","&amp;TRIM(TEXTSPLIT(GE151,","))&amp;",",","&amp;SUBSTITUTE(input_modality," ","")&amp;",")))=0)),IF(GG151="",TRUE,IF(input_modality="",FALSE,SUMPRODUCT(--ISNUMBER(SEARCH(","&amp;TRIM(TEXTSPLIT(GG151,","))&amp;",",","&amp;SUBSTITUTE(input_modality," ","")&amp;",")))&gt;0)),IF(GI151="",TRUE,IF(input_modality="",FALSE,SUMPRODUCT(--ISNUMBER(SEARCH(","&amp;TRIM(TEXTSPLIT(GI151,","))&amp;",",","&amp;SUBSTITUTE(input_modality," ","")&amp;",")))=COUNTA(TEXTSPLIT(GI151,",")))))</f>
        <v/>
      </c>
      <c r="JL151" s="19">
        <f>AND(IF(GK151="",TRUE,IF(input_organizer="",FALSE,SUMPRODUCT(--ISNUMBER(SEARCH(","&amp;TRIM(TEXTSPLIT(GK151,","))&amp;",",","&amp;SUBSTITUTE(input_organizer," ","")&amp;",")))&gt;0)),IF(GM151="",TRUE,IF(input_organizer="",FALSE,SUMPRODUCT(--ISNUMBER(SEARCH(","&amp;TRIM(TEXTSPLIT(GM151,","))&amp;",",","&amp;SUBSTITUTE(input_organizer," ","")&amp;",")))=COUNTA(TEXTSPLIT(GM151,",")))),IF(GO151="",TRUE,IF(input_organizer="",TRUE,SUMPRODUCT(--ISNUMBER(SEARCH(","&amp;TRIM(TEXTSPLIT(GO151,","))&amp;",",","&amp;SUBSTITUTE(input_organizer," ","")&amp;",")))=0)),IF(GQ151="",TRUE,IF(input_organizer="",FALSE,SUMPRODUCT(--ISNUMBER(SEARCH(","&amp;TRIM(TEXTSPLIT(GQ151,","))&amp;",",","&amp;SUBSTITUTE(input_organizer," ","")&amp;",")))&gt;0)),IF(GS151="",TRUE,IF(input_organizer="",FALSE,SUMPRODUCT(--ISNUMBER(SEARCH(","&amp;TRIM(TEXTSPLIT(GS151,","))&amp;",",","&amp;SUBSTITUTE(input_organizer," ","")&amp;",")))=COUNTA(TEXTSPLIT(GS151,",")))))</f>
        <v/>
      </c>
      <c r="JM151" s="19">
        <f>AND(IF(GU151="",TRUE,IF(input_profile_type="",FALSE,SUMPRODUCT(--ISNUMBER(SEARCH(","&amp;TRIM(TEXTSPLIT(GU151,","))&amp;",",","&amp;SUBSTITUTE(input_profile_type," ","")&amp;",")))&gt;0)),IF(GW151="",TRUE,IF(input_profile_type="",FALSE,SUMPRODUCT(--ISNUMBER(SEARCH(","&amp;TRIM(TEXTSPLIT(GW151,","))&amp;",",","&amp;SUBSTITUTE(input_profile_type," ","")&amp;",")))=COUNTA(TEXTSPLIT(GW151,",")))),IF(GY151="",TRUE,IF(input_profile_type="",TRUE,SUMPRODUCT(--ISNUMBER(SEARCH(","&amp;TRIM(TEXTSPLIT(GY151,","))&amp;",",","&amp;SUBSTITUTE(input_profile_type," ","")&amp;",")))=0)),IF(HA151="",TRUE,IF(input_profile_type="",FALSE,SUMPRODUCT(--ISNUMBER(SEARCH(","&amp;TRIM(TEXTSPLIT(HA151,","))&amp;",",","&amp;SUBSTITUTE(input_profile_type," ","")&amp;",")))&gt;0)),IF(HC151="",TRUE,IF(input_profile_type="",FALSE,SUMPRODUCT(--ISNUMBER(SEARCH(","&amp;TRIM(TEXTSPLIT(HC151,","))&amp;",",","&amp;SUBSTITUTE(input_profile_type," ","")&amp;",")))=COUNTA(TEXTSPLIT(HC151,",")))))</f>
        <v/>
      </c>
      <c r="JN151" s="19">
        <f>AND(IF(HE151="",TRUE,IF(input_program="",FALSE,SUMPRODUCT(--ISNUMBER(SEARCH(","&amp;TRIM(TEXTSPLIT(HE151,","))&amp;",",","&amp;SUBSTITUTE(input_program," ","")&amp;",")))&gt;0)),IF(HG151="",TRUE,IF(input_program="",FALSE,SUMPRODUCT(--ISNUMBER(SEARCH(","&amp;TRIM(TEXTSPLIT(HG151,","))&amp;",",","&amp;SUBSTITUTE(input_program," ","")&amp;",")))=COUNTA(TEXTSPLIT(HG151,",")))),IF(HI151="",TRUE,IF(input_program="",TRUE,SUMPRODUCT(--ISNUMBER(SEARCH(","&amp;TRIM(TEXTSPLIT(HI151,","))&amp;",",","&amp;SUBSTITUTE(input_program," ","")&amp;",")))=0)),IF(HK151="",TRUE,IF(input_program="",FALSE,SUMPRODUCT(--ISNUMBER(SEARCH(","&amp;TRIM(TEXTSPLIT(HK151,","))&amp;",",","&amp;SUBSTITUTE(input_program," ","")&amp;",")))&gt;0)),IF(HM151="",TRUE,IF(input_program="",FALSE,SUMPRODUCT(--ISNUMBER(SEARCH(","&amp;TRIM(TEXTSPLIT(HM151,","))&amp;",",","&amp;SUBSTITUTE(input_program," ","")&amp;",")))=COUNTA(TEXTSPLIT(HM151,",")))))</f>
        <v/>
      </c>
      <c r="JO151" s="19">
        <f>AND(IF(HO151="",TRUE,IF(input_story_categories="",FALSE,SUMPRODUCT(--ISNUMBER(SEARCH(","&amp;TRIM(TEXTSPLIT(HO151,","))&amp;",",","&amp;SUBSTITUTE(input_story_categories," ","")&amp;",")))&gt;0)),IF(HQ151="",TRUE,IF(input_story_categories="",FALSE,SUMPRODUCT(--ISNUMBER(SEARCH(","&amp;TRIM(TEXTSPLIT(HQ151,","))&amp;",",","&amp;SUBSTITUTE(input_story_categories," ","")&amp;",")))=COUNTA(TEXTSPLIT(HQ151,",")))),IF(HS151="",TRUE,IF(input_story_categories="",TRUE,SUMPRODUCT(--ISNUMBER(SEARCH(","&amp;TRIM(TEXTSPLIT(HS151,","))&amp;",",","&amp;SUBSTITUTE(input_story_categories," ","")&amp;",")))=0)),IF(HU151="",TRUE,IF(input_story_categories="",FALSE,SUMPRODUCT(--ISNUMBER(SEARCH(","&amp;TRIM(TEXTSPLIT(HU151,","))&amp;",",","&amp;SUBSTITUTE(input_story_categories," ","")&amp;",")))&gt;0)),IF(HW151="",TRUE,IF(input_story_categories="",FALSE,SUMPRODUCT(--ISNUMBER(SEARCH(","&amp;TRIM(TEXTSPLIT(HW151,","))&amp;",",","&amp;SUBSTITUTE(input_story_categories," ","")&amp;",")))=COUNTA(TEXTSPLIT(HW151,",")))))</f>
        <v/>
      </c>
      <c r="JP151" s="19">
        <f>AND(IF(HY151="",TRUE,IF(input_story_type="",FALSE,SUMPRODUCT(--ISNUMBER(SEARCH(","&amp;TRIM(TEXTSPLIT(HY151,","))&amp;",",","&amp;SUBSTITUTE(input_story_type," ","")&amp;",")))&gt;0)),IF(IA151="",TRUE,IF(input_story_type="",FALSE,SUMPRODUCT(--ISNUMBER(SEARCH(","&amp;TRIM(TEXTSPLIT(IA151,","))&amp;",",","&amp;SUBSTITUTE(input_story_type," ","")&amp;",")))=COUNTA(TEXTSPLIT(IA151,",")))),IF(IC151="",TRUE,IF(input_story_type="",TRUE,SUMPRODUCT(--ISNUMBER(SEARCH(","&amp;TRIM(TEXTSPLIT(IC151,","))&amp;",",","&amp;SUBSTITUTE(input_story_type," ","")&amp;",")))=0)),IF(IE151="",TRUE,IF(input_story_type="",FALSE,SUMPRODUCT(--ISNUMBER(SEARCH(","&amp;TRIM(TEXTSPLIT(IE151,","))&amp;",",","&amp;SUBSTITUTE(input_story_type," ","")&amp;",")))&gt;0)),IF(IG151="",TRUE,IF(input_story_type="",FALSE,SUMPRODUCT(--ISNUMBER(SEARCH(","&amp;TRIM(TEXTSPLIT(IG151,","))&amp;",",","&amp;SUBSTITUTE(input_story_type," ","")&amp;",")))=COUNTA(TEXTSPLIT(IG151,",")))))</f>
        <v/>
      </c>
      <c r="JQ151" s="19">
        <f>AND(IF(II151="",TRUE,IF(input_topics="",FALSE,SUMPRODUCT(--ISNUMBER(SEARCH(","&amp;TRIM(TEXTSPLIT(II151,","))&amp;",",","&amp;SUBSTITUTE(input_topics," ","")&amp;",")))&gt;0)),IF(IK151="",TRUE,IF(input_topics="",FALSE,SUMPRODUCT(--ISNUMBER(SEARCH(","&amp;TRIM(TEXTSPLIT(IK151,","))&amp;",",","&amp;SUBSTITUTE(input_topics," ","")&amp;",")))=COUNTA(TEXTSPLIT(IK151,",")))),IF(IM151="",TRUE,IF(input_topics="",TRUE,SUMPRODUCT(--ISNUMBER(SEARCH(","&amp;TRIM(TEXTSPLIT(IM151,","))&amp;",",","&amp;SUBSTITUTE(input_topics," ","")&amp;",")))=0)),IF(IO151="",TRUE,IF(input_topics="",FALSE,SUMPRODUCT(--ISNUMBER(SEARCH(","&amp;TRIM(TEXTSPLIT(IO151,","))&amp;",",","&amp;SUBSTITUTE(input_topics," ","")&amp;",")))&gt;0)),IF(IQ151="",TRUE,IF(input_topics="",FALSE,SUMPRODUCT(--ISNUMBER(SEARCH(","&amp;TRIM(TEXTSPLIT(IQ151,","))&amp;",",","&amp;SUBSTITUTE(input_topics," ","")&amp;",")))=COUNTA(TEXTSPLIT(IQ151,",")))))</f>
        <v/>
      </c>
    </row>
    <row r="152">
      <c r="A152" s="24">
        <f>IF(NOT(IS152),"Excluded",IF(AND(IT152,IU152,IV152,IW152,IX152,IY152,IZ152,JA152,JB152,JC152,JD152,JE152,JF152,JG152,JH152,JI152,JJ152,JK152,JL152,JM152,JN152,JO152,JP152,JQ152),IF(I152&gt;0,"Eligible but limited","Will appear"),"Excluded"))</f>
        <v/>
      </c>
      <c r="B152" s="24" t="inlineStr">
        <is>
          <t>Publication Article</t>
        </is>
      </c>
      <c r="C152" s="27" t="inlineStr">
        <is>
          <t>/faculty-research/faculty-directory/gregory-p-licholai</t>
        </is>
      </c>
      <c r="D152" s="24" t="inlineStr">
        <is>
          <t>/faculty-research/faculty-directory/gregory-p-licholai</t>
        </is>
      </c>
      <c r="E152" s="24" t="n">
        <v>1</v>
      </c>
      <c r="F152" s="24" t="inlineStr">
        <is>
          <t>publications</t>
        </is>
      </c>
      <c r="G152" s="24" t="inlineStr">
        <is>
          <t>publication_teaser_list</t>
        </is>
      </c>
      <c r="H152" s="24" t="inlineStr">
        <is>
          <t>publication_teaser_list_article</t>
        </is>
      </c>
      <c r="I152" s="24" t="n">
        <v>3</v>
      </c>
      <c r="J152" s="24" t="inlineStr">
        <is>
          <t>View/config rules</t>
        </is>
      </c>
      <c r="K152" s="24" t="inlineStr">
        <is>
          <t>Page placement</t>
        </is>
      </c>
      <c r="L152" s="24" t="inlineStr">
        <is>
          <t>Content type: publications; Limited to 3 item(s); Source: View/config rules</t>
        </is>
      </c>
      <c r="IS152" s="19">
        <f>IF(input_content_type="",FALSE,ISNUMBER(SEARCH(","&amp;LOWER(input_content_type)&amp;",",","&amp;LOWER(SUBSTITUTE(F152," ",""))&amp;",")))</f>
        <v/>
      </c>
      <c r="IT152" s="19">
        <f>AND(IF(M152="",TRUE,IF(input_affiliations="",FALSE,SUMPRODUCT(--ISNUMBER(SEARCH(","&amp;TRIM(TEXTSPLIT(M152,","))&amp;",",","&amp;SUBSTITUTE(input_affiliations," ","")&amp;",")))&gt;0)),IF(O152="",TRUE,IF(input_affiliations="",FALSE,SUMPRODUCT(--ISNUMBER(SEARCH(","&amp;TRIM(TEXTSPLIT(O152,","))&amp;",",","&amp;SUBSTITUTE(input_affiliations," ","")&amp;",")))=COUNTA(TEXTSPLIT(O152,",")))),IF(Q152="",TRUE,IF(input_affiliations="",TRUE,SUMPRODUCT(--ISNUMBER(SEARCH(","&amp;TRIM(TEXTSPLIT(Q152,","))&amp;",",","&amp;SUBSTITUTE(input_affiliations," ","")&amp;",")))=0)),IF(S152="",TRUE,IF(input_affiliations="",FALSE,SUMPRODUCT(--ISNUMBER(SEARCH(","&amp;TRIM(TEXTSPLIT(S152,","))&amp;",",","&amp;SUBSTITUTE(input_affiliations," ","")&amp;",")))&gt;0)),IF(U152="",TRUE,IF(input_affiliations="",FALSE,SUMPRODUCT(--ISNUMBER(SEARCH(","&amp;TRIM(TEXTSPLIT(U152,","))&amp;",",","&amp;SUBSTITUTE(input_affiliations," ","")&amp;",")))=COUNTA(TEXTSPLIT(U152,",")))))</f>
        <v/>
      </c>
      <c r="IU152" s="19">
        <f>AND(IF(W152="",TRUE,IF(input_announcement_category="",FALSE,SUMPRODUCT(--ISNUMBER(SEARCH(","&amp;TRIM(TEXTSPLIT(W152,","))&amp;",",","&amp;SUBSTITUTE(input_announcement_category," ","")&amp;",")))&gt;0)),IF(Y152="",TRUE,IF(input_announcement_category="",FALSE,SUMPRODUCT(--ISNUMBER(SEARCH(","&amp;TRIM(TEXTSPLIT(Y152,","))&amp;",",","&amp;SUBSTITUTE(input_announcement_category," ","")&amp;",")))=COUNTA(TEXTSPLIT(Y152,",")))),IF(AA152="",TRUE,IF(input_announcement_category="",TRUE,SUMPRODUCT(--ISNUMBER(SEARCH(","&amp;TRIM(TEXTSPLIT(AA152,","))&amp;",",","&amp;SUBSTITUTE(input_announcement_category," ","")&amp;",")))=0)),IF(AC152="",TRUE,IF(input_announcement_category="",FALSE,SUMPRODUCT(--ISNUMBER(SEARCH(","&amp;TRIM(TEXTSPLIT(AC152,","))&amp;",",","&amp;SUBSTITUTE(input_announcement_category," ","")&amp;",")))&gt;0)),IF(AE152="",TRUE,IF(input_announcement_category="",FALSE,SUMPRODUCT(--ISNUMBER(SEARCH(","&amp;TRIM(TEXTSPLIT(AE152,","))&amp;",",","&amp;SUBSTITUTE(input_announcement_category," ","")&amp;",")))=COUNTA(TEXTSPLIT(AE152,",")))))</f>
        <v/>
      </c>
      <c r="IV152" s="19">
        <f>AND(IF(AG152="",TRUE,IF(input_area_of_focus="",FALSE,SUMPRODUCT(--ISNUMBER(SEARCH(","&amp;TRIM(TEXTSPLIT(AG152,","))&amp;",",","&amp;SUBSTITUTE(input_area_of_focus," ","")&amp;",")))&gt;0)),IF(AI152="",TRUE,IF(input_area_of_focus="",FALSE,SUMPRODUCT(--ISNUMBER(SEARCH(","&amp;TRIM(TEXTSPLIT(AI152,","))&amp;",",","&amp;SUBSTITUTE(input_area_of_focus," ","")&amp;",")))=COUNTA(TEXTSPLIT(AI152,",")))),IF(AK152="",TRUE,IF(input_area_of_focus="",TRUE,SUMPRODUCT(--ISNUMBER(SEARCH(","&amp;TRIM(TEXTSPLIT(AK152,","))&amp;",",","&amp;SUBSTITUTE(input_area_of_focus," ","")&amp;",")))=0)),IF(AM152="",TRUE,IF(input_area_of_focus="",FALSE,SUMPRODUCT(--ISNUMBER(SEARCH(","&amp;TRIM(TEXTSPLIT(AM152,","))&amp;",",","&amp;SUBSTITUTE(input_area_of_focus," ","")&amp;",")))&gt;0)),IF(AO152="",TRUE,IF(input_area_of_focus="",FALSE,SUMPRODUCT(--ISNUMBER(SEARCH(","&amp;TRIM(TEXTSPLIT(AO152,","))&amp;",",","&amp;SUBSTITUTE(input_area_of_focus," ","")&amp;",")))=COUNTA(TEXTSPLIT(AO152,",")))))</f>
        <v/>
      </c>
      <c r="IW152" s="19">
        <f>AND(IF(AQ152="",TRUE,IF(input_audience="",FALSE,SUMPRODUCT(--ISNUMBER(SEARCH(","&amp;TRIM(TEXTSPLIT(AQ152,","))&amp;",",","&amp;SUBSTITUTE(input_audience," ","")&amp;",")))&gt;0)),IF(AS152="",TRUE,IF(input_audience="",FALSE,SUMPRODUCT(--ISNUMBER(SEARCH(","&amp;TRIM(TEXTSPLIT(AS152,","))&amp;",",","&amp;SUBSTITUTE(input_audience," ","")&amp;",")))=COUNTA(TEXTSPLIT(AS152,",")))),IF(AU152="",TRUE,IF(input_audience="",TRUE,SUMPRODUCT(--ISNUMBER(SEARCH(","&amp;TRIM(TEXTSPLIT(AU152,","))&amp;",",","&amp;SUBSTITUTE(input_audience," ","")&amp;",")))=0)),IF(AW152="",TRUE,IF(input_audience="",FALSE,SUMPRODUCT(--ISNUMBER(SEARCH(","&amp;TRIM(TEXTSPLIT(AW152,","))&amp;",",","&amp;SUBSTITUTE(input_audience," ","")&amp;",")))&gt;0)),IF(AY152="",TRUE,IF(input_audience="",FALSE,SUMPRODUCT(--ISNUMBER(SEARCH(","&amp;TRIM(TEXTSPLIT(AY152,","))&amp;",",","&amp;SUBSTITUTE(input_audience," ","")&amp;",")))=COUNTA(TEXTSPLIT(AY152,",")))))</f>
        <v/>
      </c>
      <c r="IX152" s="19">
        <f>AND(IF(BA152="",TRUE,IF(input_challenge_opportunities="",FALSE,SUMPRODUCT(--ISNUMBER(SEARCH(","&amp;TRIM(TEXTSPLIT(BA152,","))&amp;",",","&amp;SUBSTITUTE(input_challenge_opportunities," ","")&amp;",")))&gt;0)),IF(BC152="",TRUE,IF(input_challenge_opportunities="",FALSE,SUMPRODUCT(--ISNUMBER(SEARCH(","&amp;TRIM(TEXTSPLIT(BC152,","))&amp;",",","&amp;SUBSTITUTE(input_challenge_opportunities," ","")&amp;",")))=COUNTA(TEXTSPLIT(BC152,",")))),IF(BE152="",TRUE,IF(input_challenge_opportunities="",TRUE,SUMPRODUCT(--ISNUMBER(SEARCH(","&amp;TRIM(TEXTSPLIT(BE152,","))&amp;",",","&amp;SUBSTITUTE(input_challenge_opportunities," ","")&amp;",")))=0)),IF(BG152="",TRUE,IF(input_challenge_opportunities="",FALSE,SUMPRODUCT(--ISNUMBER(SEARCH(","&amp;TRIM(TEXTSPLIT(BG152,","))&amp;",",","&amp;SUBSTITUTE(input_challenge_opportunities," ","")&amp;",")))&gt;0)),IF(BI152="",TRUE,IF(input_challenge_opportunities="",FALSE,SUMPRODUCT(--ISNUMBER(SEARCH(","&amp;TRIM(TEXTSPLIT(BI152,","))&amp;",",","&amp;SUBSTITUTE(input_challenge_opportunities," ","")&amp;",")))=COUNTA(TEXTSPLIT(BI152,",")))))</f>
        <v/>
      </c>
      <c r="IY152" s="19">
        <f>AND(IF(BK152="",TRUE,IF(input_context="",FALSE,SUMPRODUCT(--ISNUMBER(SEARCH(","&amp;TRIM(TEXTSPLIT(BK152,","))&amp;",",","&amp;SUBSTITUTE(input_context," ","")&amp;",")))&gt;0)),IF(BM152="",TRUE,IF(input_context="",FALSE,SUMPRODUCT(--ISNUMBER(SEARCH(","&amp;TRIM(TEXTSPLIT(BM152,","))&amp;",",","&amp;SUBSTITUTE(input_context," ","")&amp;",")))=COUNTA(TEXTSPLIT(BM152,",")))),IF(BO152="",TRUE,IF(input_context="",TRUE,SUMPRODUCT(--ISNUMBER(SEARCH(","&amp;TRIM(TEXTSPLIT(BO152,","))&amp;",",","&amp;SUBSTITUTE(input_context," ","")&amp;",")))=0)),IF(BQ152="",TRUE,IF(input_context="",FALSE,SUMPRODUCT(--ISNUMBER(SEARCH(","&amp;TRIM(TEXTSPLIT(BQ152,","))&amp;",",","&amp;SUBSTITUTE(input_context," ","")&amp;",")))&gt;0)),IF(BS152="",TRUE,IF(input_context="",FALSE,SUMPRODUCT(--ISNUMBER(SEARCH(","&amp;TRIM(TEXTSPLIT(BS152,","))&amp;",",","&amp;SUBSTITUTE(input_context," ","")&amp;",")))=COUNTA(TEXTSPLIT(BS152,",")))))</f>
        <v/>
      </c>
      <c r="IZ152" s="19">
        <f>AND(IF(BU152="",TRUE,IF(input_enews_announcement_type="",FALSE,SUMPRODUCT(--ISNUMBER(SEARCH(","&amp;TRIM(TEXTSPLIT(BU152,","))&amp;",",","&amp;SUBSTITUTE(input_enews_announcement_type," ","")&amp;",")))&gt;0)),IF(BW152="",TRUE,IF(input_enews_announcement_type="",FALSE,SUMPRODUCT(--ISNUMBER(SEARCH(","&amp;TRIM(TEXTSPLIT(BW152,","))&amp;",",","&amp;SUBSTITUTE(input_enews_announcement_type," ","")&amp;",")))=COUNTA(TEXTSPLIT(BW152,",")))),IF(BY152="",TRUE,IF(input_enews_announcement_type="",TRUE,SUMPRODUCT(--ISNUMBER(SEARCH(","&amp;TRIM(TEXTSPLIT(BY152,","))&amp;",",","&amp;SUBSTITUTE(input_enews_announcement_type," ","")&amp;",")))=0)),IF(CA152="",TRUE,IF(input_enews_announcement_type="",FALSE,SUMPRODUCT(--ISNUMBER(SEARCH(","&amp;TRIM(TEXTSPLIT(CA152,","))&amp;",",","&amp;SUBSTITUTE(input_enews_announcement_type," ","")&amp;",")))&gt;0)),IF(CC152="",TRUE,IF(input_enews_announcement_type="",FALSE,SUMPRODUCT(--ISNUMBER(SEARCH(","&amp;TRIM(TEXTSPLIT(CC152,","))&amp;",",","&amp;SUBSTITUTE(input_enews_announcement_type," ","")&amp;",")))=COUNTA(TEXTSPLIT(CC152,",")))))</f>
        <v/>
      </c>
      <c r="JA152" s="19">
        <f>AND(IF(CE152="",TRUE,IF(input_enews_audience="",FALSE,SUMPRODUCT(--ISNUMBER(SEARCH(","&amp;TRIM(TEXTSPLIT(CE152,","))&amp;",",","&amp;SUBSTITUTE(input_enews_audience," ","")&amp;",")))&gt;0)),IF(CG152="",TRUE,IF(input_enews_audience="",FALSE,SUMPRODUCT(--ISNUMBER(SEARCH(","&amp;TRIM(TEXTSPLIT(CG152,","))&amp;",",","&amp;SUBSTITUTE(input_enews_audience," ","")&amp;",")))=COUNTA(TEXTSPLIT(CG152,",")))),IF(CI152="",TRUE,IF(input_enews_audience="",TRUE,SUMPRODUCT(--ISNUMBER(SEARCH(","&amp;TRIM(TEXTSPLIT(CI152,","))&amp;",",","&amp;SUBSTITUTE(input_enews_audience," ","")&amp;",")))=0)),IF(CK152="",TRUE,IF(input_enews_audience="",FALSE,SUMPRODUCT(--ISNUMBER(SEARCH(","&amp;TRIM(TEXTSPLIT(CK152,","))&amp;",",","&amp;SUBSTITUTE(input_enews_audience," ","")&amp;",")))&gt;0)),IF(CM152="",TRUE,IF(input_enews_audience="",FALSE,SUMPRODUCT(--ISNUMBER(SEARCH(","&amp;TRIM(TEXTSPLIT(CM152,","))&amp;",",","&amp;SUBSTITUTE(input_enews_audience," ","")&amp;",")))=COUNTA(TEXTSPLIT(CM152,",")))))</f>
        <v/>
      </c>
      <c r="JB152" s="19">
        <f>AND(IF(CO152="",TRUE,IF(input_event_location="",FALSE,SUMPRODUCT(--ISNUMBER(SEARCH(","&amp;TRIM(TEXTSPLIT(CO152,","))&amp;",",","&amp;SUBSTITUTE(input_event_location," ","")&amp;",")))&gt;0)),IF(CQ152="",TRUE,IF(input_event_location="",FALSE,SUMPRODUCT(--ISNUMBER(SEARCH(","&amp;TRIM(TEXTSPLIT(CQ152,","))&amp;",",","&amp;SUBSTITUTE(input_event_location," ","")&amp;",")))=COUNTA(TEXTSPLIT(CQ152,",")))),IF(CS152="",TRUE,IF(input_event_location="",TRUE,SUMPRODUCT(--ISNUMBER(SEARCH(","&amp;TRIM(TEXTSPLIT(CS152,","))&amp;",",","&amp;SUBSTITUTE(input_event_location," ","")&amp;",")))=0)),IF(CU152="",TRUE,IF(input_event_location="",FALSE,SUMPRODUCT(--ISNUMBER(SEARCH(","&amp;TRIM(TEXTSPLIT(CU152,","))&amp;",",","&amp;SUBSTITUTE(input_event_location," ","")&amp;",")))&gt;0)),IF(CW152="",TRUE,IF(input_event_location="",FALSE,SUMPRODUCT(--ISNUMBER(SEARCH(","&amp;TRIM(TEXTSPLIT(CW152,","))&amp;",",","&amp;SUBSTITUTE(input_event_location," ","")&amp;",")))=COUNTA(TEXTSPLIT(CW152,",")))))</f>
        <v/>
      </c>
      <c r="JC152" s="19">
        <f>AND(IF(CY152="",TRUE,IF(input_event_type="",FALSE,SUMPRODUCT(--ISNUMBER(SEARCH(","&amp;TRIM(TEXTSPLIT(CY152,","))&amp;",",","&amp;SUBSTITUTE(input_event_type," ","")&amp;",")))&gt;0)),IF(DA152="",TRUE,IF(input_event_type="",FALSE,SUMPRODUCT(--ISNUMBER(SEARCH(","&amp;TRIM(TEXTSPLIT(DA152,","))&amp;",",","&amp;SUBSTITUTE(input_event_type," ","")&amp;",")))=COUNTA(TEXTSPLIT(DA152,",")))),IF(DC152="",TRUE,IF(input_event_type="",TRUE,SUMPRODUCT(--ISNUMBER(SEARCH(","&amp;TRIM(TEXTSPLIT(DC152,","))&amp;",",","&amp;SUBSTITUTE(input_event_type," ","")&amp;",")))=0)),IF(DE152="",TRUE,IF(input_event_type="",FALSE,SUMPRODUCT(--ISNUMBER(SEARCH(","&amp;TRIM(TEXTSPLIT(DE152,","))&amp;",",","&amp;SUBSTITUTE(input_event_type," ","")&amp;",")))&gt;0)),IF(DG152="",TRUE,IF(input_event_type="",FALSE,SUMPRODUCT(--ISNUMBER(SEARCH(","&amp;TRIM(TEXTSPLIT(DG152,","))&amp;",",","&amp;SUBSTITUTE(input_event_type," ","")&amp;",")))=COUNTA(TEXTSPLIT(DG152,",")))))</f>
        <v/>
      </c>
      <c r="JD152" s="19">
        <f>AND(IF(DI152="",TRUE,IF(input_executive_education_focus="",FALSE,SUMPRODUCT(--ISNUMBER(SEARCH(","&amp;TRIM(TEXTSPLIT(DI152,","))&amp;",",","&amp;SUBSTITUTE(input_executive_education_focus," ","")&amp;",")))&gt;0)),IF(DK152="",TRUE,IF(input_executive_education_focus="",FALSE,SUMPRODUCT(--ISNUMBER(SEARCH(","&amp;TRIM(TEXTSPLIT(DK152,","))&amp;",",","&amp;SUBSTITUTE(input_executive_education_focus," ","")&amp;",")))=COUNTA(TEXTSPLIT(DK152,",")))),IF(DM152="",TRUE,IF(input_executive_education_focus="",TRUE,SUMPRODUCT(--ISNUMBER(SEARCH(","&amp;TRIM(TEXTSPLIT(DM152,","))&amp;",",","&amp;SUBSTITUTE(input_executive_education_focus," ","")&amp;",")))=0)),IF(DO152="",TRUE,IF(input_executive_education_focus="",FALSE,SUMPRODUCT(--ISNUMBER(SEARCH(","&amp;TRIM(TEXTSPLIT(DO152,","))&amp;",",","&amp;SUBSTITUTE(input_executive_education_focus," ","")&amp;",")))&gt;0)),IF(DQ152="",TRUE,IF(input_executive_education_focus="",FALSE,SUMPRODUCT(--ISNUMBER(SEARCH(","&amp;TRIM(TEXTSPLIT(DQ152,","))&amp;",",","&amp;SUBSTITUTE(input_executive_education_focus," ","")&amp;",")))=COUNTA(TEXTSPLIT(DQ152,",")))))</f>
        <v/>
      </c>
      <c r="JE152" s="19">
        <f>AND(IF(DS152="",TRUE,IF(input_faculty_category="",FALSE,SUMPRODUCT(--ISNUMBER(SEARCH(","&amp;TRIM(TEXTSPLIT(DS152,","))&amp;",",","&amp;SUBSTITUTE(input_faculty_category," ","")&amp;",")))&gt;0)),IF(DU152="",TRUE,IF(input_faculty_category="",FALSE,SUMPRODUCT(--ISNUMBER(SEARCH(","&amp;TRIM(TEXTSPLIT(DU152,","))&amp;",",","&amp;SUBSTITUTE(input_faculty_category," ","")&amp;",")))=COUNTA(TEXTSPLIT(DU152,",")))),IF(DW152="",TRUE,IF(input_faculty_category="",TRUE,SUMPRODUCT(--ISNUMBER(SEARCH(","&amp;TRIM(TEXTSPLIT(DW152,","))&amp;",",","&amp;SUBSTITUTE(input_faculty_category," ","")&amp;",")))=0)),IF(DY152="",TRUE,IF(input_faculty_category="",FALSE,SUMPRODUCT(--ISNUMBER(SEARCH(","&amp;TRIM(TEXTSPLIT(DY152,","))&amp;",",","&amp;SUBSTITUTE(input_faculty_category," ","")&amp;",")))&gt;0)),IF(EA152="",TRUE,IF(input_faculty_category="",FALSE,SUMPRODUCT(--ISNUMBER(SEARCH(","&amp;TRIM(TEXTSPLIT(EA152,","))&amp;",",","&amp;SUBSTITUTE(input_faculty_category," ","")&amp;",")))=COUNTA(TEXTSPLIT(EA152,",")))))</f>
        <v/>
      </c>
      <c r="JF152" s="19">
        <f>AND(IF(EC152="",TRUE,IF(input_faculty_discipline="",FALSE,SUMPRODUCT(--ISNUMBER(SEARCH(","&amp;TRIM(TEXTSPLIT(EC152,","))&amp;",",","&amp;SUBSTITUTE(input_faculty_discipline," ","")&amp;",")))&gt;0)),IF(EE152="",TRUE,IF(input_faculty_discipline="",FALSE,SUMPRODUCT(--ISNUMBER(SEARCH(","&amp;TRIM(TEXTSPLIT(EE152,","))&amp;",",","&amp;SUBSTITUTE(input_faculty_discipline," ","")&amp;",")))=COUNTA(TEXTSPLIT(EE152,",")))),IF(EG152="",TRUE,IF(input_faculty_discipline="",TRUE,SUMPRODUCT(--ISNUMBER(SEARCH(","&amp;TRIM(TEXTSPLIT(EG152,","))&amp;",",","&amp;SUBSTITUTE(input_faculty_discipline," ","")&amp;",")))=0)),IF(EI152="",TRUE,IF(input_faculty_discipline="",FALSE,SUMPRODUCT(--ISNUMBER(SEARCH(","&amp;TRIM(TEXTSPLIT(EI152,","))&amp;",",","&amp;SUBSTITUTE(input_faculty_discipline," ","")&amp;",")))&gt;0)),IF(EK152="",TRUE,IF(input_faculty_discipline="",FALSE,SUMPRODUCT(--ISNUMBER(SEARCH(","&amp;TRIM(TEXTSPLIT(EK152,","))&amp;",",","&amp;SUBSTITUTE(input_faculty_discipline," ","")&amp;",")))=COUNTA(TEXTSPLIT(EK152,",")))))</f>
        <v/>
      </c>
      <c r="JG152" s="19">
        <f>AND(IF(EM152="",TRUE,IF(input_faculty_expertise="",FALSE,SUMPRODUCT(--ISNUMBER(SEARCH(","&amp;TRIM(TEXTSPLIT(EM152,","))&amp;",",","&amp;SUBSTITUTE(input_faculty_expertise," ","")&amp;",")))&gt;0)),IF(EO152="",TRUE,IF(input_faculty_expertise="",FALSE,SUMPRODUCT(--ISNUMBER(SEARCH(","&amp;TRIM(TEXTSPLIT(EO152,","))&amp;",",","&amp;SUBSTITUTE(input_faculty_expertise," ","")&amp;",")))=COUNTA(TEXTSPLIT(EO152,",")))),IF(EQ152="",TRUE,IF(input_faculty_expertise="",TRUE,SUMPRODUCT(--ISNUMBER(SEARCH(","&amp;TRIM(TEXTSPLIT(EQ152,","))&amp;",",","&amp;SUBSTITUTE(input_faculty_expertise," ","")&amp;",")))=0)),IF(ES152="",TRUE,IF(input_faculty_expertise="",FALSE,SUMPRODUCT(--ISNUMBER(SEARCH(","&amp;TRIM(TEXTSPLIT(ES152,","))&amp;",",","&amp;SUBSTITUTE(input_faculty_expertise," ","")&amp;",")))&gt;0)),IF(EU152="",TRUE,IF(input_faculty_expertise="",FALSE,SUMPRODUCT(--ISNUMBER(SEARCH(","&amp;TRIM(TEXTSPLIT(EU152,","))&amp;",",","&amp;SUBSTITUTE(input_faculty_expertise," ","")&amp;",")))=COUNTA(TEXTSPLIT(EU152,",")))))</f>
        <v/>
      </c>
      <c r="JH152" s="19">
        <f>AND(IF(EW152="",TRUE,IF(input_global_network_school="",FALSE,SUMPRODUCT(--ISNUMBER(SEARCH(","&amp;TRIM(TEXTSPLIT(EW152,","))&amp;",",","&amp;SUBSTITUTE(input_global_network_school," ","")&amp;",")))&gt;0)),IF(EY152="",TRUE,IF(input_global_network_school="",FALSE,SUMPRODUCT(--ISNUMBER(SEARCH(","&amp;TRIM(TEXTSPLIT(EY152,","))&amp;",",","&amp;SUBSTITUTE(input_global_network_school," ","")&amp;",")))=COUNTA(TEXTSPLIT(EY152,",")))),IF(FA152="",TRUE,IF(input_global_network_school="",TRUE,SUMPRODUCT(--ISNUMBER(SEARCH(","&amp;TRIM(TEXTSPLIT(FA152,","))&amp;",",","&amp;SUBSTITUTE(input_global_network_school," ","")&amp;",")))=0)),IF(FC152="",TRUE,IF(input_global_network_school="",FALSE,SUMPRODUCT(--ISNUMBER(SEARCH(","&amp;TRIM(TEXTSPLIT(FC152,","))&amp;",",","&amp;SUBSTITUTE(input_global_network_school," ","")&amp;",")))&gt;0)),IF(FE152="",TRUE,IF(input_global_network_school="",FALSE,SUMPRODUCT(--ISNUMBER(SEARCH(","&amp;TRIM(TEXTSPLIT(FE152,","))&amp;",",","&amp;SUBSTITUTE(input_global_network_school," ","")&amp;",")))=COUNTA(TEXTSPLIT(FE152,",")))))</f>
        <v/>
      </c>
      <c r="JI152" s="19">
        <f>AND(IF(FG152="",TRUE,IF(input_industry="",FALSE,SUMPRODUCT(--ISNUMBER(SEARCH(","&amp;TRIM(TEXTSPLIT(FG152,","))&amp;",",","&amp;SUBSTITUTE(input_industry," ","")&amp;",")))&gt;0)),IF(FI152="",TRUE,IF(input_industry="",FALSE,SUMPRODUCT(--ISNUMBER(SEARCH(","&amp;TRIM(TEXTSPLIT(FI152,","))&amp;",",","&amp;SUBSTITUTE(input_industry," ","")&amp;",")))=COUNTA(TEXTSPLIT(FI152,",")))),IF(FK152="",TRUE,IF(input_industry="",TRUE,SUMPRODUCT(--ISNUMBER(SEARCH(","&amp;TRIM(TEXTSPLIT(FK152,","))&amp;",",","&amp;SUBSTITUTE(input_industry," ","")&amp;",")))=0)),IF(FM152="",TRUE,IF(input_industry="",FALSE,SUMPRODUCT(--ISNUMBER(SEARCH(","&amp;TRIM(TEXTSPLIT(FM152,","))&amp;",",","&amp;SUBSTITUTE(input_industry," ","")&amp;",")))&gt;0)),IF(FO152="",TRUE,IF(input_industry="",FALSE,SUMPRODUCT(--ISNUMBER(SEARCH(","&amp;TRIM(TEXTSPLIT(FO152,","))&amp;",",","&amp;SUBSTITUTE(input_industry," ","")&amp;",")))=COUNTA(TEXTSPLIT(FO152,",")))))</f>
        <v/>
      </c>
      <c r="JJ152" s="19">
        <f>AND(IF(FQ152="",TRUE,IF(input_location="",FALSE,SUMPRODUCT(--ISNUMBER(SEARCH(","&amp;TRIM(TEXTSPLIT(FQ152,","))&amp;",",","&amp;SUBSTITUTE(input_location," ","")&amp;",")))&gt;0)),IF(FS152="",TRUE,IF(input_location="",FALSE,SUMPRODUCT(--ISNUMBER(SEARCH(","&amp;TRIM(TEXTSPLIT(FS152,","))&amp;",",","&amp;SUBSTITUTE(input_location," ","")&amp;",")))=COUNTA(TEXTSPLIT(FS152,",")))),IF(FU152="",TRUE,IF(input_location="",TRUE,SUMPRODUCT(--ISNUMBER(SEARCH(","&amp;TRIM(TEXTSPLIT(FU152,","))&amp;",",","&amp;SUBSTITUTE(input_location," ","")&amp;",")))=0)),IF(FW152="",TRUE,IF(input_location="",FALSE,SUMPRODUCT(--ISNUMBER(SEARCH(","&amp;TRIM(TEXTSPLIT(FW152,","))&amp;",",","&amp;SUBSTITUTE(input_location," ","")&amp;",")))&gt;0)),IF(FY152="",TRUE,IF(input_location="",FALSE,SUMPRODUCT(--ISNUMBER(SEARCH(","&amp;TRIM(TEXTSPLIT(FY152,","))&amp;",",","&amp;SUBSTITUTE(input_location," ","")&amp;",")))=COUNTA(TEXTSPLIT(FY152,",")))))</f>
        <v/>
      </c>
      <c r="JK152" s="19">
        <f>AND(IF(GA152="",TRUE,IF(input_modality="",FALSE,SUMPRODUCT(--ISNUMBER(SEARCH(","&amp;TRIM(TEXTSPLIT(GA152,","))&amp;",",","&amp;SUBSTITUTE(input_modality," ","")&amp;",")))&gt;0)),IF(GC152="",TRUE,IF(input_modality="",FALSE,SUMPRODUCT(--ISNUMBER(SEARCH(","&amp;TRIM(TEXTSPLIT(GC152,","))&amp;",",","&amp;SUBSTITUTE(input_modality," ","")&amp;",")))=COUNTA(TEXTSPLIT(GC152,",")))),IF(GE152="",TRUE,IF(input_modality="",TRUE,SUMPRODUCT(--ISNUMBER(SEARCH(","&amp;TRIM(TEXTSPLIT(GE152,","))&amp;",",","&amp;SUBSTITUTE(input_modality," ","")&amp;",")))=0)),IF(GG152="",TRUE,IF(input_modality="",FALSE,SUMPRODUCT(--ISNUMBER(SEARCH(","&amp;TRIM(TEXTSPLIT(GG152,","))&amp;",",","&amp;SUBSTITUTE(input_modality," ","")&amp;",")))&gt;0)),IF(GI152="",TRUE,IF(input_modality="",FALSE,SUMPRODUCT(--ISNUMBER(SEARCH(","&amp;TRIM(TEXTSPLIT(GI152,","))&amp;",",","&amp;SUBSTITUTE(input_modality," ","")&amp;",")))=COUNTA(TEXTSPLIT(GI152,",")))))</f>
        <v/>
      </c>
      <c r="JL152" s="19">
        <f>AND(IF(GK152="",TRUE,IF(input_organizer="",FALSE,SUMPRODUCT(--ISNUMBER(SEARCH(","&amp;TRIM(TEXTSPLIT(GK152,","))&amp;",",","&amp;SUBSTITUTE(input_organizer," ","")&amp;",")))&gt;0)),IF(GM152="",TRUE,IF(input_organizer="",FALSE,SUMPRODUCT(--ISNUMBER(SEARCH(","&amp;TRIM(TEXTSPLIT(GM152,","))&amp;",",","&amp;SUBSTITUTE(input_organizer," ","")&amp;",")))=COUNTA(TEXTSPLIT(GM152,",")))),IF(GO152="",TRUE,IF(input_organizer="",TRUE,SUMPRODUCT(--ISNUMBER(SEARCH(","&amp;TRIM(TEXTSPLIT(GO152,","))&amp;",",","&amp;SUBSTITUTE(input_organizer," ","")&amp;",")))=0)),IF(GQ152="",TRUE,IF(input_organizer="",FALSE,SUMPRODUCT(--ISNUMBER(SEARCH(","&amp;TRIM(TEXTSPLIT(GQ152,","))&amp;",",","&amp;SUBSTITUTE(input_organizer," ","")&amp;",")))&gt;0)),IF(GS152="",TRUE,IF(input_organizer="",FALSE,SUMPRODUCT(--ISNUMBER(SEARCH(","&amp;TRIM(TEXTSPLIT(GS152,","))&amp;",",","&amp;SUBSTITUTE(input_organizer," ","")&amp;",")))=COUNTA(TEXTSPLIT(GS152,",")))))</f>
        <v/>
      </c>
      <c r="JM152" s="19">
        <f>AND(IF(GU152="",TRUE,IF(input_profile_type="",FALSE,SUMPRODUCT(--ISNUMBER(SEARCH(","&amp;TRIM(TEXTSPLIT(GU152,","))&amp;",",","&amp;SUBSTITUTE(input_profile_type," ","")&amp;",")))&gt;0)),IF(GW152="",TRUE,IF(input_profile_type="",FALSE,SUMPRODUCT(--ISNUMBER(SEARCH(","&amp;TRIM(TEXTSPLIT(GW152,","))&amp;",",","&amp;SUBSTITUTE(input_profile_type," ","")&amp;",")))=COUNTA(TEXTSPLIT(GW152,",")))),IF(GY152="",TRUE,IF(input_profile_type="",TRUE,SUMPRODUCT(--ISNUMBER(SEARCH(","&amp;TRIM(TEXTSPLIT(GY152,","))&amp;",",","&amp;SUBSTITUTE(input_profile_type," ","")&amp;",")))=0)),IF(HA152="",TRUE,IF(input_profile_type="",FALSE,SUMPRODUCT(--ISNUMBER(SEARCH(","&amp;TRIM(TEXTSPLIT(HA152,","))&amp;",",","&amp;SUBSTITUTE(input_profile_type," ","")&amp;",")))&gt;0)),IF(HC152="",TRUE,IF(input_profile_type="",FALSE,SUMPRODUCT(--ISNUMBER(SEARCH(","&amp;TRIM(TEXTSPLIT(HC152,","))&amp;",",","&amp;SUBSTITUTE(input_profile_type," ","")&amp;",")))=COUNTA(TEXTSPLIT(HC152,",")))))</f>
        <v/>
      </c>
      <c r="JN152" s="19">
        <f>AND(IF(HE152="",TRUE,IF(input_program="",FALSE,SUMPRODUCT(--ISNUMBER(SEARCH(","&amp;TRIM(TEXTSPLIT(HE152,","))&amp;",",","&amp;SUBSTITUTE(input_program," ","")&amp;",")))&gt;0)),IF(HG152="",TRUE,IF(input_program="",FALSE,SUMPRODUCT(--ISNUMBER(SEARCH(","&amp;TRIM(TEXTSPLIT(HG152,","))&amp;",",","&amp;SUBSTITUTE(input_program," ","")&amp;",")))=COUNTA(TEXTSPLIT(HG152,",")))),IF(HI152="",TRUE,IF(input_program="",TRUE,SUMPRODUCT(--ISNUMBER(SEARCH(","&amp;TRIM(TEXTSPLIT(HI152,","))&amp;",",","&amp;SUBSTITUTE(input_program," ","")&amp;",")))=0)),IF(HK152="",TRUE,IF(input_program="",FALSE,SUMPRODUCT(--ISNUMBER(SEARCH(","&amp;TRIM(TEXTSPLIT(HK152,","))&amp;",",","&amp;SUBSTITUTE(input_program," ","")&amp;",")))&gt;0)),IF(HM152="",TRUE,IF(input_program="",FALSE,SUMPRODUCT(--ISNUMBER(SEARCH(","&amp;TRIM(TEXTSPLIT(HM152,","))&amp;",",","&amp;SUBSTITUTE(input_program," ","")&amp;",")))=COUNTA(TEXTSPLIT(HM152,",")))))</f>
        <v/>
      </c>
      <c r="JO152" s="19">
        <f>AND(IF(HO152="",TRUE,IF(input_story_categories="",FALSE,SUMPRODUCT(--ISNUMBER(SEARCH(","&amp;TRIM(TEXTSPLIT(HO152,","))&amp;",",","&amp;SUBSTITUTE(input_story_categories," ","")&amp;",")))&gt;0)),IF(HQ152="",TRUE,IF(input_story_categories="",FALSE,SUMPRODUCT(--ISNUMBER(SEARCH(","&amp;TRIM(TEXTSPLIT(HQ152,","))&amp;",",","&amp;SUBSTITUTE(input_story_categories," ","")&amp;",")))=COUNTA(TEXTSPLIT(HQ152,",")))),IF(HS152="",TRUE,IF(input_story_categories="",TRUE,SUMPRODUCT(--ISNUMBER(SEARCH(","&amp;TRIM(TEXTSPLIT(HS152,","))&amp;",",","&amp;SUBSTITUTE(input_story_categories," ","")&amp;",")))=0)),IF(HU152="",TRUE,IF(input_story_categories="",FALSE,SUMPRODUCT(--ISNUMBER(SEARCH(","&amp;TRIM(TEXTSPLIT(HU152,","))&amp;",",","&amp;SUBSTITUTE(input_story_categories," ","")&amp;",")))&gt;0)),IF(HW152="",TRUE,IF(input_story_categories="",FALSE,SUMPRODUCT(--ISNUMBER(SEARCH(","&amp;TRIM(TEXTSPLIT(HW152,","))&amp;",",","&amp;SUBSTITUTE(input_story_categories," ","")&amp;",")))=COUNTA(TEXTSPLIT(HW152,",")))))</f>
        <v/>
      </c>
      <c r="JP152" s="19">
        <f>AND(IF(HY152="",TRUE,IF(input_story_type="",FALSE,SUMPRODUCT(--ISNUMBER(SEARCH(","&amp;TRIM(TEXTSPLIT(HY152,","))&amp;",",","&amp;SUBSTITUTE(input_story_type," ","")&amp;",")))&gt;0)),IF(IA152="",TRUE,IF(input_story_type="",FALSE,SUMPRODUCT(--ISNUMBER(SEARCH(","&amp;TRIM(TEXTSPLIT(IA152,","))&amp;",",","&amp;SUBSTITUTE(input_story_type," ","")&amp;",")))=COUNTA(TEXTSPLIT(IA152,",")))),IF(IC152="",TRUE,IF(input_story_type="",TRUE,SUMPRODUCT(--ISNUMBER(SEARCH(","&amp;TRIM(TEXTSPLIT(IC152,","))&amp;",",","&amp;SUBSTITUTE(input_story_type," ","")&amp;",")))=0)),IF(IE152="",TRUE,IF(input_story_type="",FALSE,SUMPRODUCT(--ISNUMBER(SEARCH(","&amp;TRIM(TEXTSPLIT(IE152,","))&amp;",",","&amp;SUBSTITUTE(input_story_type," ","")&amp;",")))&gt;0)),IF(IG152="",TRUE,IF(input_story_type="",FALSE,SUMPRODUCT(--ISNUMBER(SEARCH(","&amp;TRIM(TEXTSPLIT(IG152,","))&amp;",",","&amp;SUBSTITUTE(input_story_type," ","")&amp;",")))=COUNTA(TEXTSPLIT(IG152,",")))))</f>
        <v/>
      </c>
      <c r="JQ152" s="19">
        <f>AND(IF(II152="",TRUE,IF(input_topics="",FALSE,SUMPRODUCT(--ISNUMBER(SEARCH(","&amp;TRIM(TEXTSPLIT(II152,","))&amp;",",","&amp;SUBSTITUTE(input_topics," ","")&amp;",")))&gt;0)),IF(IK152="",TRUE,IF(input_topics="",FALSE,SUMPRODUCT(--ISNUMBER(SEARCH(","&amp;TRIM(TEXTSPLIT(IK152,","))&amp;",",","&amp;SUBSTITUTE(input_topics," ","")&amp;",")))=COUNTA(TEXTSPLIT(IK152,",")))),IF(IM152="",TRUE,IF(input_topics="",TRUE,SUMPRODUCT(--ISNUMBER(SEARCH(","&amp;TRIM(TEXTSPLIT(IM152,","))&amp;",",","&amp;SUBSTITUTE(input_topics," ","")&amp;",")))=0)),IF(IO152="",TRUE,IF(input_topics="",FALSE,SUMPRODUCT(--ISNUMBER(SEARCH(","&amp;TRIM(TEXTSPLIT(IO152,","))&amp;",",","&amp;SUBSTITUTE(input_topics," ","")&amp;",")))&gt;0)),IF(IQ152="",TRUE,IF(input_topics="",FALSE,SUMPRODUCT(--ISNUMBER(SEARCH(","&amp;TRIM(TEXTSPLIT(IQ152,","))&amp;",",","&amp;SUBSTITUTE(input_topics," ","")&amp;",")))=COUNTA(TEXTSPLIT(IQ152,",")))))</f>
        <v/>
      </c>
    </row>
    <row r="153">
      <c r="A153" s="24">
        <f>IF(NOT(IS153),"Excluded",IF(AND(IT153,IU153,IV153,IW153,IX153,IY153,IZ153,JA153,JB153,JC153,JD153,JE153,JF153,JG153,JH153,JI153,JJ153,JK153,JL153,JM153,JN153,JO153,JP153,JQ153),IF(I153&gt;0,"Eligible but limited","Will appear"),"Excluded"))</f>
        <v/>
      </c>
      <c r="B153" s="24" t="inlineStr">
        <is>
          <t>Publication Article</t>
        </is>
      </c>
      <c r="C153" s="27" t="inlineStr">
        <is>
          <t>/faculty-research/faculty-directory/james-choi</t>
        </is>
      </c>
      <c r="D153" s="24" t="inlineStr">
        <is>
          <t>/faculty-research/faculty-directory/james-choi</t>
        </is>
      </c>
      <c r="E153" s="24" t="n">
        <v>1</v>
      </c>
      <c r="F153" s="24" t="inlineStr">
        <is>
          <t>publications</t>
        </is>
      </c>
      <c r="G153" s="24" t="inlineStr">
        <is>
          <t>publication_teaser_list</t>
        </is>
      </c>
      <c r="H153" s="24" t="inlineStr">
        <is>
          <t>publication_teaser_list_article</t>
        </is>
      </c>
      <c r="I153" s="24" t="n">
        <v>3</v>
      </c>
      <c r="J153" s="24" t="inlineStr">
        <is>
          <t>View/config rules</t>
        </is>
      </c>
      <c r="K153" s="24" t="inlineStr">
        <is>
          <t>Page placement</t>
        </is>
      </c>
      <c r="L153" s="24" t="inlineStr">
        <is>
          <t>Content type: publications; Limited to 3 item(s); Source: View/config rules</t>
        </is>
      </c>
      <c r="IS153" s="19">
        <f>IF(input_content_type="",FALSE,ISNUMBER(SEARCH(","&amp;LOWER(input_content_type)&amp;",",","&amp;LOWER(SUBSTITUTE(F153," ",""))&amp;",")))</f>
        <v/>
      </c>
      <c r="IT153" s="19">
        <f>AND(IF(M153="",TRUE,IF(input_affiliations="",FALSE,SUMPRODUCT(--ISNUMBER(SEARCH(","&amp;TRIM(TEXTSPLIT(M153,","))&amp;",",","&amp;SUBSTITUTE(input_affiliations," ","")&amp;",")))&gt;0)),IF(O153="",TRUE,IF(input_affiliations="",FALSE,SUMPRODUCT(--ISNUMBER(SEARCH(","&amp;TRIM(TEXTSPLIT(O153,","))&amp;",",","&amp;SUBSTITUTE(input_affiliations," ","")&amp;",")))=COUNTA(TEXTSPLIT(O153,",")))),IF(Q153="",TRUE,IF(input_affiliations="",TRUE,SUMPRODUCT(--ISNUMBER(SEARCH(","&amp;TRIM(TEXTSPLIT(Q153,","))&amp;",",","&amp;SUBSTITUTE(input_affiliations," ","")&amp;",")))=0)),IF(S153="",TRUE,IF(input_affiliations="",FALSE,SUMPRODUCT(--ISNUMBER(SEARCH(","&amp;TRIM(TEXTSPLIT(S153,","))&amp;",",","&amp;SUBSTITUTE(input_affiliations," ","")&amp;",")))&gt;0)),IF(U153="",TRUE,IF(input_affiliations="",FALSE,SUMPRODUCT(--ISNUMBER(SEARCH(","&amp;TRIM(TEXTSPLIT(U153,","))&amp;",",","&amp;SUBSTITUTE(input_affiliations," ","")&amp;",")))=COUNTA(TEXTSPLIT(U153,",")))))</f>
        <v/>
      </c>
      <c r="IU153" s="19">
        <f>AND(IF(W153="",TRUE,IF(input_announcement_category="",FALSE,SUMPRODUCT(--ISNUMBER(SEARCH(","&amp;TRIM(TEXTSPLIT(W153,","))&amp;",",","&amp;SUBSTITUTE(input_announcement_category," ","")&amp;",")))&gt;0)),IF(Y153="",TRUE,IF(input_announcement_category="",FALSE,SUMPRODUCT(--ISNUMBER(SEARCH(","&amp;TRIM(TEXTSPLIT(Y153,","))&amp;",",","&amp;SUBSTITUTE(input_announcement_category," ","")&amp;",")))=COUNTA(TEXTSPLIT(Y153,",")))),IF(AA153="",TRUE,IF(input_announcement_category="",TRUE,SUMPRODUCT(--ISNUMBER(SEARCH(","&amp;TRIM(TEXTSPLIT(AA153,","))&amp;",",","&amp;SUBSTITUTE(input_announcement_category," ","")&amp;",")))=0)),IF(AC153="",TRUE,IF(input_announcement_category="",FALSE,SUMPRODUCT(--ISNUMBER(SEARCH(","&amp;TRIM(TEXTSPLIT(AC153,","))&amp;",",","&amp;SUBSTITUTE(input_announcement_category," ","")&amp;",")))&gt;0)),IF(AE153="",TRUE,IF(input_announcement_category="",FALSE,SUMPRODUCT(--ISNUMBER(SEARCH(","&amp;TRIM(TEXTSPLIT(AE153,","))&amp;",",","&amp;SUBSTITUTE(input_announcement_category," ","")&amp;",")))=COUNTA(TEXTSPLIT(AE153,",")))))</f>
        <v/>
      </c>
      <c r="IV153" s="19">
        <f>AND(IF(AG153="",TRUE,IF(input_area_of_focus="",FALSE,SUMPRODUCT(--ISNUMBER(SEARCH(","&amp;TRIM(TEXTSPLIT(AG153,","))&amp;",",","&amp;SUBSTITUTE(input_area_of_focus," ","")&amp;",")))&gt;0)),IF(AI153="",TRUE,IF(input_area_of_focus="",FALSE,SUMPRODUCT(--ISNUMBER(SEARCH(","&amp;TRIM(TEXTSPLIT(AI153,","))&amp;",",","&amp;SUBSTITUTE(input_area_of_focus," ","")&amp;",")))=COUNTA(TEXTSPLIT(AI153,",")))),IF(AK153="",TRUE,IF(input_area_of_focus="",TRUE,SUMPRODUCT(--ISNUMBER(SEARCH(","&amp;TRIM(TEXTSPLIT(AK153,","))&amp;",",","&amp;SUBSTITUTE(input_area_of_focus," ","")&amp;",")))=0)),IF(AM153="",TRUE,IF(input_area_of_focus="",FALSE,SUMPRODUCT(--ISNUMBER(SEARCH(","&amp;TRIM(TEXTSPLIT(AM153,","))&amp;",",","&amp;SUBSTITUTE(input_area_of_focus," ","")&amp;",")))&gt;0)),IF(AO153="",TRUE,IF(input_area_of_focus="",FALSE,SUMPRODUCT(--ISNUMBER(SEARCH(","&amp;TRIM(TEXTSPLIT(AO153,","))&amp;",",","&amp;SUBSTITUTE(input_area_of_focus," ","")&amp;",")))=COUNTA(TEXTSPLIT(AO153,",")))))</f>
        <v/>
      </c>
      <c r="IW153" s="19">
        <f>AND(IF(AQ153="",TRUE,IF(input_audience="",FALSE,SUMPRODUCT(--ISNUMBER(SEARCH(","&amp;TRIM(TEXTSPLIT(AQ153,","))&amp;",",","&amp;SUBSTITUTE(input_audience," ","")&amp;",")))&gt;0)),IF(AS153="",TRUE,IF(input_audience="",FALSE,SUMPRODUCT(--ISNUMBER(SEARCH(","&amp;TRIM(TEXTSPLIT(AS153,","))&amp;",",","&amp;SUBSTITUTE(input_audience," ","")&amp;",")))=COUNTA(TEXTSPLIT(AS153,",")))),IF(AU153="",TRUE,IF(input_audience="",TRUE,SUMPRODUCT(--ISNUMBER(SEARCH(","&amp;TRIM(TEXTSPLIT(AU153,","))&amp;",",","&amp;SUBSTITUTE(input_audience," ","")&amp;",")))=0)),IF(AW153="",TRUE,IF(input_audience="",FALSE,SUMPRODUCT(--ISNUMBER(SEARCH(","&amp;TRIM(TEXTSPLIT(AW153,","))&amp;",",","&amp;SUBSTITUTE(input_audience," ","")&amp;",")))&gt;0)),IF(AY153="",TRUE,IF(input_audience="",FALSE,SUMPRODUCT(--ISNUMBER(SEARCH(","&amp;TRIM(TEXTSPLIT(AY153,","))&amp;",",","&amp;SUBSTITUTE(input_audience," ","")&amp;",")))=COUNTA(TEXTSPLIT(AY153,",")))))</f>
        <v/>
      </c>
      <c r="IX153" s="19">
        <f>AND(IF(BA153="",TRUE,IF(input_challenge_opportunities="",FALSE,SUMPRODUCT(--ISNUMBER(SEARCH(","&amp;TRIM(TEXTSPLIT(BA153,","))&amp;",",","&amp;SUBSTITUTE(input_challenge_opportunities," ","")&amp;",")))&gt;0)),IF(BC153="",TRUE,IF(input_challenge_opportunities="",FALSE,SUMPRODUCT(--ISNUMBER(SEARCH(","&amp;TRIM(TEXTSPLIT(BC153,","))&amp;",",","&amp;SUBSTITUTE(input_challenge_opportunities," ","")&amp;",")))=COUNTA(TEXTSPLIT(BC153,",")))),IF(BE153="",TRUE,IF(input_challenge_opportunities="",TRUE,SUMPRODUCT(--ISNUMBER(SEARCH(","&amp;TRIM(TEXTSPLIT(BE153,","))&amp;",",","&amp;SUBSTITUTE(input_challenge_opportunities," ","")&amp;",")))=0)),IF(BG153="",TRUE,IF(input_challenge_opportunities="",FALSE,SUMPRODUCT(--ISNUMBER(SEARCH(","&amp;TRIM(TEXTSPLIT(BG153,","))&amp;",",","&amp;SUBSTITUTE(input_challenge_opportunities," ","")&amp;",")))&gt;0)),IF(BI153="",TRUE,IF(input_challenge_opportunities="",FALSE,SUMPRODUCT(--ISNUMBER(SEARCH(","&amp;TRIM(TEXTSPLIT(BI153,","))&amp;",",","&amp;SUBSTITUTE(input_challenge_opportunities," ","")&amp;",")))=COUNTA(TEXTSPLIT(BI153,",")))))</f>
        <v/>
      </c>
      <c r="IY153" s="19">
        <f>AND(IF(BK153="",TRUE,IF(input_context="",FALSE,SUMPRODUCT(--ISNUMBER(SEARCH(","&amp;TRIM(TEXTSPLIT(BK153,","))&amp;",",","&amp;SUBSTITUTE(input_context," ","")&amp;",")))&gt;0)),IF(BM153="",TRUE,IF(input_context="",FALSE,SUMPRODUCT(--ISNUMBER(SEARCH(","&amp;TRIM(TEXTSPLIT(BM153,","))&amp;",",","&amp;SUBSTITUTE(input_context," ","")&amp;",")))=COUNTA(TEXTSPLIT(BM153,",")))),IF(BO153="",TRUE,IF(input_context="",TRUE,SUMPRODUCT(--ISNUMBER(SEARCH(","&amp;TRIM(TEXTSPLIT(BO153,","))&amp;",",","&amp;SUBSTITUTE(input_context," ","")&amp;",")))=0)),IF(BQ153="",TRUE,IF(input_context="",FALSE,SUMPRODUCT(--ISNUMBER(SEARCH(","&amp;TRIM(TEXTSPLIT(BQ153,","))&amp;",",","&amp;SUBSTITUTE(input_context," ","")&amp;",")))&gt;0)),IF(BS153="",TRUE,IF(input_context="",FALSE,SUMPRODUCT(--ISNUMBER(SEARCH(","&amp;TRIM(TEXTSPLIT(BS153,","))&amp;",",","&amp;SUBSTITUTE(input_context," ","")&amp;",")))=COUNTA(TEXTSPLIT(BS153,",")))))</f>
        <v/>
      </c>
      <c r="IZ153" s="19">
        <f>AND(IF(BU153="",TRUE,IF(input_enews_announcement_type="",FALSE,SUMPRODUCT(--ISNUMBER(SEARCH(","&amp;TRIM(TEXTSPLIT(BU153,","))&amp;",",","&amp;SUBSTITUTE(input_enews_announcement_type," ","")&amp;",")))&gt;0)),IF(BW153="",TRUE,IF(input_enews_announcement_type="",FALSE,SUMPRODUCT(--ISNUMBER(SEARCH(","&amp;TRIM(TEXTSPLIT(BW153,","))&amp;",",","&amp;SUBSTITUTE(input_enews_announcement_type," ","")&amp;",")))=COUNTA(TEXTSPLIT(BW153,",")))),IF(BY153="",TRUE,IF(input_enews_announcement_type="",TRUE,SUMPRODUCT(--ISNUMBER(SEARCH(","&amp;TRIM(TEXTSPLIT(BY153,","))&amp;",",","&amp;SUBSTITUTE(input_enews_announcement_type," ","")&amp;",")))=0)),IF(CA153="",TRUE,IF(input_enews_announcement_type="",FALSE,SUMPRODUCT(--ISNUMBER(SEARCH(","&amp;TRIM(TEXTSPLIT(CA153,","))&amp;",",","&amp;SUBSTITUTE(input_enews_announcement_type," ","")&amp;",")))&gt;0)),IF(CC153="",TRUE,IF(input_enews_announcement_type="",FALSE,SUMPRODUCT(--ISNUMBER(SEARCH(","&amp;TRIM(TEXTSPLIT(CC153,","))&amp;",",","&amp;SUBSTITUTE(input_enews_announcement_type," ","")&amp;",")))=COUNTA(TEXTSPLIT(CC153,",")))))</f>
        <v/>
      </c>
      <c r="JA153" s="19">
        <f>AND(IF(CE153="",TRUE,IF(input_enews_audience="",FALSE,SUMPRODUCT(--ISNUMBER(SEARCH(","&amp;TRIM(TEXTSPLIT(CE153,","))&amp;",",","&amp;SUBSTITUTE(input_enews_audience," ","")&amp;",")))&gt;0)),IF(CG153="",TRUE,IF(input_enews_audience="",FALSE,SUMPRODUCT(--ISNUMBER(SEARCH(","&amp;TRIM(TEXTSPLIT(CG153,","))&amp;",",","&amp;SUBSTITUTE(input_enews_audience," ","")&amp;",")))=COUNTA(TEXTSPLIT(CG153,",")))),IF(CI153="",TRUE,IF(input_enews_audience="",TRUE,SUMPRODUCT(--ISNUMBER(SEARCH(","&amp;TRIM(TEXTSPLIT(CI153,","))&amp;",",","&amp;SUBSTITUTE(input_enews_audience," ","")&amp;",")))=0)),IF(CK153="",TRUE,IF(input_enews_audience="",FALSE,SUMPRODUCT(--ISNUMBER(SEARCH(","&amp;TRIM(TEXTSPLIT(CK153,","))&amp;",",","&amp;SUBSTITUTE(input_enews_audience," ","")&amp;",")))&gt;0)),IF(CM153="",TRUE,IF(input_enews_audience="",FALSE,SUMPRODUCT(--ISNUMBER(SEARCH(","&amp;TRIM(TEXTSPLIT(CM153,","))&amp;",",","&amp;SUBSTITUTE(input_enews_audience," ","")&amp;",")))=COUNTA(TEXTSPLIT(CM153,",")))))</f>
        <v/>
      </c>
      <c r="JB153" s="19">
        <f>AND(IF(CO153="",TRUE,IF(input_event_location="",FALSE,SUMPRODUCT(--ISNUMBER(SEARCH(","&amp;TRIM(TEXTSPLIT(CO153,","))&amp;",",","&amp;SUBSTITUTE(input_event_location," ","")&amp;",")))&gt;0)),IF(CQ153="",TRUE,IF(input_event_location="",FALSE,SUMPRODUCT(--ISNUMBER(SEARCH(","&amp;TRIM(TEXTSPLIT(CQ153,","))&amp;",",","&amp;SUBSTITUTE(input_event_location," ","")&amp;",")))=COUNTA(TEXTSPLIT(CQ153,",")))),IF(CS153="",TRUE,IF(input_event_location="",TRUE,SUMPRODUCT(--ISNUMBER(SEARCH(","&amp;TRIM(TEXTSPLIT(CS153,","))&amp;",",","&amp;SUBSTITUTE(input_event_location," ","")&amp;",")))=0)),IF(CU153="",TRUE,IF(input_event_location="",FALSE,SUMPRODUCT(--ISNUMBER(SEARCH(","&amp;TRIM(TEXTSPLIT(CU153,","))&amp;",",","&amp;SUBSTITUTE(input_event_location," ","")&amp;",")))&gt;0)),IF(CW153="",TRUE,IF(input_event_location="",FALSE,SUMPRODUCT(--ISNUMBER(SEARCH(","&amp;TRIM(TEXTSPLIT(CW153,","))&amp;",",","&amp;SUBSTITUTE(input_event_location," ","")&amp;",")))=COUNTA(TEXTSPLIT(CW153,",")))))</f>
        <v/>
      </c>
      <c r="JC153" s="19">
        <f>AND(IF(CY153="",TRUE,IF(input_event_type="",FALSE,SUMPRODUCT(--ISNUMBER(SEARCH(","&amp;TRIM(TEXTSPLIT(CY153,","))&amp;",",","&amp;SUBSTITUTE(input_event_type," ","")&amp;",")))&gt;0)),IF(DA153="",TRUE,IF(input_event_type="",FALSE,SUMPRODUCT(--ISNUMBER(SEARCH(","&amp;TRIM(TEXTSPLIT(DA153,","))&amp;",",","&amp;SUBSTITUTE(input_event_type," ","")&amp;",")))=COUNTA(TEXTSPLIT(DA153,",")))),IF(DC153="",TRUE,IF(input_event_type="",TRUE,SUMPRODUCT(--ISNUMBER(SEARCH(","&amp;TRIM(TEXTSPLIT(DC153,","))&amp;",",","&amp;SUBSTITUTE(input_event_type," ","")&amp;",")))=0)),IF(DE153="",TRUE,IF(input_event_type="",FALSE,SUMPRODUCT(--ISNUMBER(SEARCH(","&amp;TRIM(TEXTSPLIT(DE153,","))&amp;",",","&amp;SUBSTITUTE(input_event_type," ","")&amp;",")))&gt;0)),IF(DG153="",TRUE,IF(input_event_type="",FALSE,SUMPRODUCT(--ISNUMBER(SEARCH(","&amp;TRIM(TEXTSPLIT(DG153,","))&amp;",",","&amp;SUBSTITUTE(input_event_type," ","")&amp;",")))=COUNTA(TEXTSPLIT(DG153,",")))))</f>
        <v/>
      </c>
      <c r="JD153" s="19">
        <f>AND(IF(DI153="",TRUE,IF(input_executive_education_focus="",FALSE,SUMPRODUCT(--ISNUMBER(SEARCH(","&amp;TRIM(TEXTSPLIT(DI153,","))&amp;",",","&amp;SUBSTITUTE(input_executive_education_focus," ","")&amp;",")))&gt;0)),IF(DK153="",TRUE,IF(input_executive_education_focus="",FALSE,SUMPRODUCT(--ISNUMBER(SEARCH(","&amp;TRIM(TEXTSPLIT(DK153,","))&amp;",",","&amp;SUBSTITUTE(input_executive_education_focus," ","")&amp;",")))=COUNTA(TEXTSPLIT(DK153,",")))),IF(DM153="",TRUE,IF(input_executive_education_focus="",TRUE,SUMPRODUCT(--ISNUMBER(SEARCH(","&amp;TRIM(TEXTSPLIT(DM153,","))&amp;",",","&amp;SUBSTITUTE(input_executive_education_focus," ","")&amp;",")))=0)),IF(DO153="",TRUE,IF(input_executive_education_focus="",FALSE,SUMPRODUCT(--ISNUMBER(SEARCH(","&amp;TRIM(TEXTSPLIT(DO153,","))&amp;",",","&amp;SUBSTITUTE(input_executive_education_focus," ","")&amp;",")))&gt;0)),IF(DQ153="",TRUE,IF(input_executive_education_focus="",FALSE,SUMPRODUCT(--ISNUMBER(SEARCH(","&amp;TRIM(TEXTSPLIT(DQ153,","))&amp;",",","&amp;SUBSTITUTE(input_executive_education_focus," ","")&amp;",")))=COUNTA(TEXTSPLIT(DQ153,",")))))</f>
        <v/>
      </c>
      <c r="JE153" s="19">
        <f>AND(IF(DS153="",TRUE,IF(input_faculty_category="",FALSE,SUMPRODUCT(--ISNUMBER(SEARCH(","&amp;TRIM(TEXTSPLIT(DS153,","))&amp;",",","&amp;SUBSTITUTE(input_faculty_category," ","")&amp;",")))&gt;0)),IF(DU153="",TRUE,IF(input_faculty_category="",FALSE,SUMPRODUCT(--ISNUMBER(SEARCH(","&amp;TRIM(TEXTSPLIT(DU153,","))&amp;",",","&amp;SUBSTITUTE(input_faculty_category," ","")&amp;",")))=COUNTA(TEXTSPLIT(DU153,",")))),IF(DW153="",TRUE,IF(input_faculty_category="",TRUE,SUMPRODUCT(--ISNUMBER(SEARCH(","&amp;TRIM(TEXTSPLIT(DW153,","))&amp;",",","&amp;SUBSTITUTE(input_faculty_category," ","")&amp;",")))=0)),IF(DY153="",TRUE,IF(input_faculty_category="",FALSE,SUMPRODUCT(--ISNUMBER(SEARCH(","&amp;TRIM(TEXTSPLIT(DY153,","))&amp;",",","&amp;SUBSTITUTE(input_faculty_category," ","")&amp;",")))&gt;0)),IF(EA153="",TRUE,IF(input_faculty_category="",FALSE,SUMPRODUCT(--ISNUMBER(SEARCH(","&amp;TRIM(TEXTSPLIT(EA153,","))&amp;",",","&amp;SUBSTITUTE(input_faculty_category," ","")&amp;",")))=COUNTA(TEXTSPLIT(EA153,",")))))</f>
        <v/>
      </c>
      <c r="JF153" s="19">
        <f>AND(IF(EC153="",TRUE,IF(input_faculty_discipline="",FALSE,SUMPRODUCT(--ISNUMBER(SEARCH(","&amp;TRIM(TEXTSPLIT(EC153,","))&amp;",",","&amp;SUBSTITUTE(input_faculty_discipline," ","")&amp;",")))&gt;0)),IF(EE153="",TRUE,IF(input_faculty_discipline="",FALSE,SUMPRODUCT(--ISNUMBER(SEARCH(","&amp;TRIM(TEXTSPLIT(EE153,","))&amp;",",","&amp;SUBSTITUTE(input_faculty_discipline," ","")&amp;",")))=COUNTA(TEXTSPLIT(EE153,",")))),IF(EG153="",TRUE,IF(input_faculty_discipline="",TRUE,SUMPRODUCT(--ISNUMBER(SEARCH(","&amp;TRIM(TEXTSPLIT(EG153,","))&amp;",",","&amp;SUBSTITUTE(input_faculty_discipline," ","")&amp;",")))=0)),IF(EI153="",TRUE,IF(input_faculty_discipline="",FALSE,SUMPRODUCT(--ISNUMBER(SEARCH(","&amp;TRIM(TEXTSPLIT(EI153,","))&amp;",",","&amp;SUBSTITUTE(input_faculty_discipline," ","")&amp;",")))&gt;0)),IF(EK153="",TRUE,IF(input_faculty_discipline="",FALSE,SUMPRODUCT(--ISNUMBER(SEARCH(","&amp;TRIM(TEXTSPLIT(EK153,","))&amp;",",","&amp;SUBSTITUTE(input_faculty_discipline," ","")&amp;",")))=COUNTA(TEXTSPLIT(EK153,",")))))</f>
        <v/>
      </c>
      <c r="JG153" s="19">
        <f>AND(IF(EM153="",TRUE,IF(input_faculty_expertise="",FALSE,SUMPRODUCT(--ISNUMBER(SEARCH(","&amp;TRIM(TEXTSPLIT(EM153,","))&amp;",",","&amp;SUBSTITUTE(input_faculty_expertise," ","")&amp;",")))&gt;0)),IF(EO153="",TRUE,IF(input_faculty_expertise="",FALSE,SUMPRODUCT(--ISNUMBER(SEARCH(","&amp;TRIM(TEXTSPLIT(EO153,","))&amp;",",","&amp;SUBSTITUTE(input_faculty_expertise," ","")&amp;",")))=COUNTA(TEXTSPLIT(EO153,",")))),IF(EQ153="",TRUE,IF(input_faculty_expertise="",TRUE,SUMPRODUCT(--ISNUMBER(SEARCH(","&amp;TRIM(TEXTSPLIT(EQ153,","))&amp;",",","&amp;SUBSTITUTE(input_faculty_expertise," ","")&amp;",")))=0)),IF(ES153="",TRUE,IF(input_faculty_expertise="",FALSE,SUMPRODUCT(--ISNUMBER(SEARCH(","&amp;TRIM(TEXTSPLIT(ES153,","))&amp;",",","&amp;SUBSTITUTE(input_faculty_expertise," ","")&amp;",")))&gt;0)),IF(EU153="",TRUE,IF(input_faculty_expertise="",FALSE,SUMPRODUCT(--ISNUMBER(SEARCH(","&amp;TRIM(TEXTSPLIT(EU153,","))&amp;",",","&amp;SUBSTITUTE(input_faculty_expertise," ","")&amp;",")))=COUNTA(TEXTSPLIT(EU153,",")))))</f>
        <v/>
      </c>
      <c r="JH153" s="19">
        <f>AND(IF(EW153="",TRUE,IF(input_global_network_school="",FALSE,SUMPRODUCT(--ISNUMBER(SEARCH(","&amp;TRIM(TEXTSPLIT(EW153,","))&amp;",",","&amp;SUBSTITUTE(input_global_network_school," ","")&amp;",")))&gt;0)),IF(EY153="",TRUE,IF(input_global_network_school="",FALSE,SUMPRODUCT(--ISNUMBER(SEARCH(","&amp;TRIM(TEXTSPLIT(EY153,","))&amp;",",","&amp;SUBSTITUTE(input_global_network_school," ","")&amp;",")))=COUNTA(TEXTSPLIT(EY153,",")))),IF(FA153="",TRUE,IF(input_global_network_school="",TRUE,SUMPRODUCT(--ISNUMBER(SEARCH(","&amp;TRIM(TEXTSPLIT(FA153,","))&amp;",",","&amp;SUBSTITUTE(input_global_network_school," ","")&amp;",")))=0)),IF(FC153="",TRUE,IF(input_global_network_school="",FALSE,SUMPRODUCT(--ISNUMBER(SEARCH(","&amp;TRIM(TEXTSPLIT(FC153,","))&amp;",",","&amp;SUBSTITUTE(input_global_network_school," ","")&amp;",")))&gt;0)),IF(FE153="",TRUE,IF(input_global_network_school="",FALSE,SUMPRODUCT(--ISNUMBER(SEARCH(","&amp;TRIM(TEXTSPLIT(FE153,","))&amp;",",","&amp;SUBSTITUTE(input_global_network_school," ","")&amp;",")))=COUNTA(TEXTSPLIT(FE153,",")))))</f>
        <v/>
      </c>
      <c r="JI153" s="19">
        <f>AND(IF(FG153="",TRUE,IF(input_industry="",FALSE,SUMPRODUCT(--ISNUMBER(SEARCH(","&amp;TRIM(TEXTSPLIT(FG153,","))&amp;",",","&amp;SUBSTITUTE(input_industry," ","")&amp;",")))&gt;0)),IF(FI153="",TRUE,IF(input_industry="",FALSE,SUMPRODUCT(--ISNUMBER(SEARCH(","&amp;TRIM(TEXTSPLIT(FI153,","))&amp;",",","&amp;SUBSTITUTE(input_industry," ","")&amp;",")))=COUNTA(TEXTSPLIT(FI153,",")))),IF(FK153="",TRUE,IF(input_industry="",TRUE,SUMPRODUCT(--ISNUMBER(SEARCH(","&amp;TRIM(TEXTSPLIT(FK153,","))&amp;",",","&amp;SUBSTITUTE(input_industry," ","")&amp;",")))=0)),IF(FM153="",TRUE,IF(input_industry="",FALSE,SUMPRODUCT(--ISNUMBER(SEARCH(","&amp;TRIM(TEXTSPLIT(FM153,","))&amp;",",","&amp;SUBSTITUTE(input_industry," ","")&amp;",")))&gt;0)),IF(FO153="",TRUE,IF(input_industry="",FALSE,SUMPRODUCT(--ISNUMBER(SEARCH(","&amp;TRIM(TEXTSPLIT(FO153,","))&amp;",",","&amp;SUBSTITUTE(input_industry," ","")&amp;",")))=COUNTA(TEXTSPLIT(FO153,",")))))</f>
        <v/>
      </c>
      <c r="JJ153" s="19">
        <f>AND(IF(FQ153="",TRUE,IF(input_location="",FALSE,SUMPRODUCT(--ISNUMBER(SEARCH(","&amp;TRIM(TEXTSPLIT(FQ153,","))&amp;",",","&amp;SUBSTITUTE(input_location," ","")&amp;",")))&gt;0)),IF(FS153="",TRUE,IF(input_location="",FALSE,SUMPRODUCT(--ISNUMBER(SEARCH(","&amp;TRIM(TEXTSPLIT(FS153,","))&amp;",",","&amp;SUBSTITUTE(input_location," ","")&amp;",")))=COUNTA(TEXTSPLIT(FS153,",")))),IF(FU153="",TRUE,IF(input_location="",TRUE,SUMPRODUCT(--ISNUMBER(SEARCH(","&amp;TRIM(TEXTSPLIT(FU153,","))&amp;",",","&amp;SUBSTITUTE(input_location," ","")&amp;",")))=0)),IF(FW153="",TRUE,IF(input_location="",FALSE,SUMPRODUCT(--ISNUMBER(SEARCH(","&amp;TRIM(TEXTSPLIT(FW153,","))&amp;",",","&amp;SUBSTITUTE(input_location," ","")&amp;",")))&gt;0)),IF(FY153="",TRUE,IF(input_location="",FALSE,SUMPRODUCT(--ISNUMBER(SEARCH(","&amp;TRIM(TEXTSPLIT(FY153,","))&amp;",",","&amp;SUBSTITUTE(input_location," ","")&amp;",")))=COUNTA(TEXTSPLIT(FY153,",")))))</f>
        <v/>
      </c>
      <c r="JK153" s="19">
        <f>AND(IF(GA153="",TRUE,IF(input_modality="",FALSE,SUMPRODUCT(--ISNUMBER(SEARCH(","&amp;TRIM(TEXTSPLIT(GA153,","))&amp;",",","&amp;SUBSTITUTE(input_modality," ","")&amp;",")))&gt;0)),IF(GC153="",TRUE,IF(input_modality="",FALSE,SUMPRODUCT(--ISNUMBER(SEARCH(","&amp;TRIM(TEXTSPLIT(GC153,","))&amp;",",","&amp;SUBSTITUTE(input_modality," ","")&amp;",")))=COUNTA(TEXTSPLIT(GC153,",")))),IF(GE153="",TRUE,IF(input_modality="",TRUE,SUMPRODUCT(--ISNUMBER(SEARCH(","&amp;TRIM(TEXTSPLIT(GE153,","))&amp;",",","&amp;SUBSTITUTE(input_modality," ","")&amp;",")))=0)),IF(GG153="",TRUE,IF(input_modality="",FALSE,SUMPRODUCT(--ISNUMBER(SEARCH(","&amp;TRIM(TEXTSPLIT(GG153,","))&amp;",",","&amp;SUBSTITUTE(input_modality," ","")&amp;",")))&gt;0)),IF(GI153="",TRUE,IF(input_modality="",FALSE,SUMPRODUCT(--ISNUMBER(SEARCH(","&amp;TRIM(TEXTSPLIT(GI153,","))&amp;",",","&amp;SUBSTITUTE(input_modality," ","")&amp;",")))=COUNTA(TEXTSPLIT(GI153,",")))))</f>
        <v/>
      </c>
      <c r="JL153" s="19">
        <f>AND(IF(GK153="",TRUE,IF(input_organizer="",FALSE,SUMPRODUCT(--ISNUMBER(SEARCH(","&amp;TRIM(TEXTSPLIT(GK153,","))&amp;",",","&amp;SUBSTITUTE(input_organizer," ","")&amp;",")))&gt;0)),IF(GM153="",TRUE,IF(input_organizer="",FALSE,SUMPRODUCT(--ISNUMBER(SEARCH(","&amp;TRIM(TEXTSPLIT(GM153,","))&amp;",",","&amp;SUBSTITUTE(input_organizer," ","")&amp;",")))=COUNTA(TEXTSPLIT(GM153,",")))),IF(GO153="",TRUE,IF(input_organizer="",TRUE,SUMPRODUCT(--ISNUMBER(SEARCH(","&amp;TRIM(TEXTSPLIT(GO153,","))&amp;",",","&amp;SUBSTITUTE(input_organizer," ","")&amp;",")))=0)),IF(GQ153="",TRUE,IF(input_organizer="",FALSE,SUMPRODUCT(--ISNUMBER(SEARCH(","&amp;TRIM(TEXTSPLIT(GQ153,","))&amp;",",","&amp;SUBSTITUTE(input_organizer," ","")&amp;",")))&gt;0)),IF(GS153="",TRUE,IF(input_organizer="",FALSE,SUMPRODUCT(--ISNUMBER(SEARCH(","&amp;TRIM(TEXTSPLIT(GS153,","))&amp;",",","&amp;SUBSTITUTE(input_organizer," ","")&amp;",")))=COUNTA(TEXTSPLIT(GS153,",")))))</f>
        <v/>
      </c>
      <c r="JM153" s="19">
        <f>AND(IF(GU153="",TRUE,IF(input_profile_type="",FALSE,SUMPRODUCT(--ISNUMBER(SEARCH(","&amp;TRIM(TEXTSPLIT(GU153,","))&amp;",",","&amp;SUBSTITUTE(input_profile_type," ","")&amp;",")))&gt;0)),IF(GW153="",TRUE,IF(input_profile_type="",FALSE,SUMPRODUCT(--ISNUMBER(SEARCH(","&amp;TRIM(TEXTSPLIT(GW153,","))&amp;",",","&amp;SUBSTITUTE(input_profile_type," ","")&amp;",")))=COUNTA(TEXTSPLIT(GW153,",")))),IF(GY153="",TRUE,IF(input_profile_type="",TRUE,SUMPRODUCT(--ISNUMBER(SEARCH(","&amp;TRIM(TEXTSPLIT(GY153,","))&amp;",",","&amp;SUBSTITUTE(input_profile_type," ","")&amp;",")))=0)),IF(HA153="",TRUE,IF(input_profile_type="",FALSE,SUMPRODUCT(--ISNUMBER(SEARCH(","&amp;TRIM(TEXTSPLIT(HA153,","))&amp;",",","&amp;SUBSTITUTE(input_profile_type," ","")&amp;",")))&gt;0)),IF(HC153="",TRUE,IF(input_profile_type="",FALSE,SUMPRODUCT(--ISNUMBER(SEARCH(","&amp;TRIM(TEXTSPLIT(HC153,","))&amp;",",","&amp;SUBSTITUTE(input_profile_type," ","")&amp;",")))=COUNTA(TEXTSPLIT(HC153,",")))))</f>
        <v/>
      </c>
      <c r="JN153" s="19">
        <f>AND(IF(HE153="",TRUE,IF(input_program="",FALSE,SUMPRODUCT(--ISNUMBER(SEARCH(","&amp;TRIM(TEXTSPLIT(HE153,","))&amp;",",","&amp;SUBSTITUTE(input_program," ","")&amp;",")))&gt;0)),IF(HG153="",TRUE,IF(input_program="",FALSE,SUMPRODUCT(--ISNUMBER(SEARCH(","&amp;TRIM(TEXTSPLIT(HG153,","))&amp;",",","&amp;SUBSTITUTE(input_program," ","")&amp;",")))=COUNTA(TEXTSPLIT(HG153,",")))),IF(HI153="",TRUE,IF(input_program="",TRUE,SUMPRODUCT(--ISNUMBER(SEARCH(","&amp;TRIM(TEXTSPLIT(HI153,","))&amp;",",","&amp;SUBSTITUTE(input_program," ","")&amp;",")))=0)),IF(HK153="",TRUE,IF(input_program="",FALSE,SUMPRODUCT(--ISNUMBER(SEARCH(","&amp;TRIM(TEXTSPLIT(HK153,","))&amp;",",","&amp;SUBSTITUTE(input_program," ","")&amp;",")))&gt;0)),IF(HM153="",TRUE,IF(input_program="",FALSE,SUMPRODUCT(--ISNUMBER(SEARCH(","&amp;TRIM(TEXTSPLIT(HM153,","))&amp;",",","&amp;SUBSTITUTE(input_program," ","")&amp;",")))=COUNTA(TEXTSPLIT(HM153,",")))))</f>
        <v/>
      </c>
      <c r="JO153" s="19">
        <f>AND(IF(HO153="",TRUE,IF(input_story_categories="",FALSE,SUMPRODUCT(--ISNUMBER(SEARCH(","&amp;TRIM(TEXTSPLIT(HO153,","))&amp;",",","&amp;SUBSTITUTE(input_story_categories," ","")&amp;",")))&gt;0)),IF(HQ153="",TRUE,IF(input_story_categories="",FALSE,SUMPRODUCT(--ISNUMBER(SEARCH(","&amp;TRIM(TEXTSPLIT(HQ153,","))&amp;",",","&amp;SUBSTITUTE(input_story_categories," ","")&amp;",")))=COUNTA(TEXTSPLIT(HQ153,",")))),IF(HS153="",TRUE,IF(input_story_categories="",TRUE,SUMPRODUCT(--ISNUMBER(SEARCH(","&amp;TRIM(TEXTSPLIT(HS153,","))&amp;",",","&amp;SUBSTITUTE(input_story_categories," ","")&amp;",")))=0)),IF(HU153="",TRUE,IF(input_story_categories="",FALSE,SUMPRODUCT(--ISNUMBER(SEARCH(","&amp;TRIM(TEXTSPLIT(HU153,","))&amp;",",","&amp;SUBSTITUTE(input_story_categories," ","")&amp;",")))&gt;0)),IF(HW153="",TRUE,IF(input_story_categories="",FALSE,SUMPRODUCT(--ISNUMBER(SEARCH(","&amp;TRIM(TEXTSPLIT(HW153,","))&amp;",",","&amp;SUBSTITUTE(input_story_categories," ","")&amp;",")))=COUNTA(TEXTSPLIT(HW153,",")))))</f>
        <v/>
      </c>
      <c r="JP153" s="19">
        <f>AND(IF(HY153="",TRUE,IF(input_story_type="",FALSE,SUMPRODUCT(--ISNUMBER(SEARCH(","&amp;TRIM(TEXTSPLIT(HY153,","))&amp;",",","&amp;SUBSTITUTE(input_story_type," ","")&amp;",")))&gt;0)),IF(IA153="",TRUE,IF(input_story_type="",FALSE,SUMPRODUCT(--ISNUMBER(SEARCH(","&amp;TRIM(TEXTSPLIT(IA153,","))&amp;",",","&amp;SUBSTITUTE(input_story_type," ","")&amp;",")))=COUNTA(TEXTSPLIT(IA153,",")))),IF(IC153="",TRUE,IF(input_story_type="",TRUE,SUMPRODUCT(--ISNUMBER(SEARCH(","&amp;TRIM(TEXTSPLIT(IC153,","))&amp;",",","&amp;SUBSTITUTE(input_story_type," ","")&amp;",")))=0)),IF(IE153="",TRUE,IF(input_story_type="",FALSE,SUMPRODUCT(--ISNUMBER(SEARCH(","&amp;TRIM(TEXTSPLIT(IE153,","))&amp;",",","&amp;SUBSTITUTE(input_story_type," ","")&amp;",")))&gt;0)),IF(IG153="",TRUE,IF(input_story_type="",FALSE,SUMPRODUCT(--ISNUMBER(SEARCH(","&amp;TRIM(TEXTSPLIT(IG153,","))&amp;",",","&amp;SUBSTITUTE(input_story_type," ","")&amp;",")))=COUNTA(TEXTSPLIT(IG153,",")))))</f>
        <v/>
      </c>
      <c r="JQ153" s="19">
        <f>AND(IF(II153="",TRUE,IF(input_topics="",FALSE,SUMPRODUCT(--ISNUMBER(SEARCH(","&amp;TRIM(TEXTSPLIT(II153,","))&amp;",",","&amp;SUBSTITUTE(input_topics," ","")&amp;",")))&gt;0)),IF(IK153="",TRUE,IF(input_topics="",FALSE,SUMPRODUCT(--ISNUMBER(SEARCH(","&amp;TRIM(TEXTSPLIT(IK153,","))&amp;",",","&amp;SUBSTITUTE(input_topics," ","")&amp;",")))=COUNTA(TEXTSPLIT(IK153,",")))),IF(IM153="",TRUE,IF(input_topics="",TRUE,SUMPRODUCT(--ISNUMBER(SEARCH(","&amp;TRIM(TEXTSPLIT(IM153,","))&amp;",",","&amp;SUBSTITUTE(input_topics," ","")&amp;",")))=0)),IF(IO153="",TRUE,IF(input_topics="",FALSE,SUMPRODUCT(--ISNUMBER(SEARCH(","&amp;TRIM(TEXTSPLIT(IO153,","))&amp;",",","&amp;SUBSTITUTE(input_topics," ","")&amp;",")))&gt;0)),IF(IQ153="",TRUE,IF(input_topics="",FALSE,SUMPRODUCT(--ISNUMBER(SEARCH(","&amp;TRIM(TEXTSPLIT(IQ153,","))&amp;",",","&amp;SUBSTITUTE(input_topics," ","")&amp;",")))=COUNTA(TEXTSPLIT(IQ153,",")))))</f>
        <v/>
      </c>
    </row>
    <row r="154">
      <c r="A154" s="24">
        <f>IF(NOT(IS154),"Excluded",IF(AND(IT154,IU154,IV154,IW154,IX154,IY154,IZ154,JA154,JB154,JC154,JD154,JE154,JF154,JG154,JH154,JI154,JJ154,JK154,JL154,JM154,JN154,JO154,JP154,JQ154),IF(I154&gt;0,"Eligible but limited","Will appear"),"Excluded"))</f>
        <v/>
      </c>
      <c r="B154" s="24" t="inlineStr">
        <is>
          <t>Publication Book</t>
        </is>
      </c>
      <c r="C154" s="27" t="inlineStr">
        <is>
          <t>/faculty-research/faculty-directory/gregory-p-licholai</t>
        </is>
      </c>
      <c r="D154" s="24" t="inlineStr">
        <is>
          <t>/faculty-research/faculty-directory/gregory-p-licholai</t>
        </is>
      </c>
      <c r="E154" s="24" t="n">
        <v>1</v>
      </c>
      <c r="F154" s="24" t="inlineStr">
        <is>
          <t>publications</t>
        </is>
      </c>
      <c r="G154" s="24" t="inlineStr">
        <is>
          <t>publication_teaser_list</t>
        </is>
      </c>
      <c r="H154" s="24" t="inlineStr">
        <is>
          <t>publication_teaser_list_book</t>
        </is>
      </c>
      <c r="I154" s="24" t="n">
        <v>3</v>
      </c>
      <c r="J154" s="24" t="inlineStr">
        <is>
          <t>View/config rules</t>
        </is>
      </c>
      <c r="K154" s="24" t="inlineStr">
        <is>
          <t>Page placement</t>
        </is>
      </c>
      <c r="L154" s="24" t="inlineStr">
        <is>
          <t>Content type: publications; Limited to 3 item(s); Source: View/config rules</t>
        </is>
      </c>
      <c r="IS154" s="19">
        <f>IF(input_content_type="",FALSE,ISNUMBER(SEARCH(","&amp;LOWER(input_content_type)&amp;",",","&amp;LOWER(SUBSTITUTE(F154," ",""))&amp;",")))</f>
        <v/>
      </c>
      <c r="IT154" s="19">
        <f>AND(IF(M154="",TRUE,IF(input_affiliations="",FALSE,SUMPRODUCT(--ISNUMBER(SEARCH(","&amp;TRIM(TEXTSPLIT(M154,","))&amp;",",","&amp;SUBSTITUTE(input_affiliations," ","")&amp;",")))&gt;0)),IF(O154="",TRUE,IF(input_affiliations="",FALSE,SUMPRODUCT(--ISNUMBER(SEARCH(","&amp;TRIM(TEXTSPLIT(O154,","))&amp;",",","&amp;SUBSTITUTE(input_affiliations," ","")&amp;",")))=COUNTA(TEXTSPLIT(O154,",")))),IF(Q154="",TRUE,IF(input_affiliations="",TRUE,SUMPRODUCT(--ISNUMBER(SEARCH(","&amp;TRIM(TEXTSPLIT(Q154,","))&amp;",",","&amp;SUBSTITUTE(input_affiliations," ","")&amp;",")))=0)),IF(S154="",TRUE,IF(input_affiliations="",FALSE,SUMPRODUCT(--ISNUMBER(SEARCH(","&amp;TRIM(TEXTSPLIT(S154,","))&amp;",",","&amp;SUBSTITUTE(input_affiliations," ","")&amp;",")))&gt;0)),IF(U154="",TRUE,IF(input_affiliations="",FALSE,SUMPRODUCT(--ISNUMBER(SEARCH(","&amp;TRIM(TEXTSPLIT(U154,","))&amp;",",","&amp;SUBSTITUTE(input_affiliations," ","")&amp;",")))=COUNTA(TEXTSPLIT(U154,",")))))</f>
        <v/>
      </c>
      <c r="IU154" s="19">
        <f>AND(IF(W154="",TRUE,IF(input_announcement_category="",FALSE,SUMPRODUCT(--ISNUMBER(SEARCH(","&amp;TRIM(TEXTSPLIT(W154,","))&amp;",",","&amp;SUBSTITUTE(input_announcement_category," ","")&amp;",")))&gt;0)),IF(Y154="",TRUE,IF(input_announcement_category="",FALSE,SUMPRODUCT(--ISNUMBER(SEARCH(","&amp;TRIM(TEXTSPLIT(Y154,","))&amp;",",","&amp;SUBSTITUTE(input_announcement_category," ","")&amp;",")))=COUNTA(TEXTSPLIT(Y154,",")))),IF(AA154="",TRUE,IF(input_announcement_category="",TRUE,SUMPRODUCT(--ISNUMBER(SEARCH(","&amp;TRIM(TEXTSPLIT(AA154,","))&amp;",",","&amp;SUBSTITUTE(input_announcement_category," ","")&amp;",")))=0)),IF(AC154="",TRUE,IF(input_announcement_category="",FALSE,SUMPRODUCT(--ISNUMBER(SEARCH(","&amp;TRIM(TEXTSPLIT(AC154,","))&amp;",",","&amp;SUBSTITUTE(input_announcement_category," ","")&amp;",")))&gt;0)),IF(AE154="",TRUE,IF(input_announcement_category="",FALSE,SUMPRODUCT(--ISNUMBER(SEARCH(","&amp;TRIM(TEXTSPLIT(AE154,","))&amp;",",","&amp;SUBSTITUTE(input_announcement_category," ","")&amp;",")))=COUNTA(TEXTSPLIT(AE154,",")))))</f>
        <v/>
      </c>
      <c r="IV154" s="19">
        <f>AND(IF(AG154="",TRUE,IF(input_area_of_focus="",FALSE,SUMPRODUCT(--ISNUMBER(SEARCH(","&amp;TRIM(TEXTSPLIT(AG154,","))&amp;",",","&amp;SUBSTITUTE(input_area_of_focus," ","")&amp;",")))&gt;0)),IF(AI154="",TRUE,IF(input_area_of_focus="",FALSE,SUMPRODUCT(--ISNUMBER(SEARCH(","&amp;TRIM(TEXTSPLIT(AI154,","))&amp;",",","&amp;SUBSTITUTE(input_area_of_focus," ","")&amp;",")))=COUNTA(TEXTSPLIT(AI154,",")))),IF(AK154="",TRUE,IF(input_area_of_focus="",TRUE,SUMPRODUCT(--ISNUMBER(SEARCH(","&amp;TRIM(TEXTSPLIT(AK154,","))&amp;",",","&amp;SUBSTITUTE(input_area_of_focus," ","")&amp;",")))=0)),IF(AM154="",TRUE,IF(input_area_of_focus="",FALSE,SUMPRODUCT(--ISNUMBER(SEARCH(","&amp;TRIM(TEXTSPLIT(AM154,","))&amp;",",","&amp;SUBSTITUTE(input_area_of_focus," ","")&amp;",")))&gt;0)),IF(AO154="",TRUE,IF(input_area_of_focus="",FALSE,SUMPRODUCT(--ISNUMBER(SEARCH(","&amp;TRIM(TEXTSPLIT(AO154,","))&amp;",",","&amp;SUBSTITUTE(input_area_of_focus," ","")&amp;",")))=COUNTA(TEXTSPLIT(AO154,",")))))</f>
        <v/>
      </c>
      <c r="IW154" s="19">
        <f>AND(IF(AQ154="",TRUE,IF(input_audience="",FALSE,SUMPRODUCT(--ISNUMBER(SEARCH(","&amp;TRIM(TEXTSPLIT(AQ154,","))&amp;",",","&amp;SUBSTITUTE(input_audience," ","")&amp;",")))&gt;0)),IF(AS154="",TRUE,IF(input_audience="",FALSE,SUMPRODUCT(--ISNUMBER(SEARCH(","&amp;TRIM(TEXTSPLIT(AS154,","))&amp;",",","&amp;SUBSTITUTE(input_audience," ","")&amp;",")))=COUNTA(TEXTSPLIT(AS154,",")))),IF(AU154="",TRUE,IF(input_audience="",TRUE,SUMPRODUCT(--ISNUMBER(SEARCH(","&amp;TRIM(TEXTSPLIT(AU154,","))&amp;",",","&amp;SUBSTITUTE(input_audience," ","")&amp;",")))=0)),IF(AW154="",TRUE,IF(input_audience="",FALSE,SUMPRODUCT(--ISNUMBER(SEARCH(","&amp;TRIM(TEXTSPLIT(AW154,","))&amp;",",","&amp;SUBSTITUTE(input_audience," ","")&amp;",")))&gt;0)),IF(AY154="",TRUE,IF(input_audience="",FALSE,SUMPRODUCT(--ISNUMBER(SEARCH(","&amp;TRIM(TEXTSPLIT(AY154,","))&amp;",",","&amp;SUBSTITUTE(input_audience," ","")&amp;",")))=COUNTA(TEXTSPLIT(AY154,",")))))</f>
        <v/>
      </c>
      <c r="IX154" s="19">
        <f>AND(IF(BA154="",TRUE,IF(input_challenge_opportunities="",FALSE,SUMPRODUCT(--ISNUMBER(SEARCH(","&amp;TRIM(TEXTSPLIT(BA154,","))&amp;",",","&amp;SUBSTITUTE(input_challenge_opportunities," ","")&amp;",")))&gt;0)),IF(BC154="",TRUE,IF(input_challenge_opportunities="",FALSE,SUMPRODUCT(--ISNUMBER(SEARCH(","&amp;TRIM(TEXTSPLIT(BC154,","))&amp;",",","&amp;SUBSTITUTE(input_challenge_opportunities," ","")&amp;",")))=COUNTA(TEXTSPLIT(BC154,",")))),IF(BE154="",TRUE,IF(input_challenge_opportunities="",TRUE,SUMPRODUCT(--ISNUMBER(SEARCH(","&amp;TRIM(TEXTSPLIT(BE154,","))&amp;",",","&amp;SUBSTITUTE(input_challenge_opportunities," ","")&amp;",")))=0)),IF(BG154="",TRUE,IF(input_challenge_opportunities="",FALSE,SUMPRODUCT(--ISNUMBER(SEARCH(","&amp;TRIM(TEXTSPLIT(BG154,","))&amp;",",","&amp;SUBSTITUTE(input_challenge_opportunities," ","")&amp;",")))&gt;0)),IF(BI154="",TRUE,IF(input_challenge_opportunities="",FALSE,SUMPRODUCT(--ISNUMBER(SEARCH(","&amp;TRIM(TEXTSPLIT(BI154,","))&amp;",",","&amp;SUBSTITUTE(input_challenge_opportunities," ","")&amp;",")))=COUNTA(TEXTSPLIT(BI154,",")))))</f>
        <v/>
      </c>
      <c r="IY154" s="19">
        <f>AND(IF(BK154="",TRUE,IF(input_context="",FALSE,SUMPRODUCT(--ISNUMBER(SEARCH(","&amp;TRIM(TEXTSPLIT(BK154,","))&amp;",",","&amp;SUBSTITUTE(input_context," ","")&amp;",")))&gt;0)),IF(BM154="",TRUE,IF(input_context="",FALSE,SUMPRODUCT(--ISNUMBER(SEARCH(","&amp;TRIM(TEXTSPLIT(BM154,","))&amp;",",","&amp;SUBSTITUTE(input_context," ","")&amp;",")))=COUNTA(TEXTSPLIT(BM154,",")))),IF(BO154="",TRUE,IF(input_context="",TRUE,SUMPRODUCT(--ISNUMBER(SEARCH(","&amp;TRIM(TEXTSPLIT(BO154,","))&amp;",",","&amp;SUBSTITUTE(input_context," ","")&amp;",")))=0)),IF(BQ154="",TRUE,IF(input_context="",FALSE,SUMPRODUCT(--ISNUMBER(SEARCH(","&amp;TRIM(TEXTSPLIT(BQ154,","))&amp;",",","&amp;SUBSTITUTE(input_context," ","")&amp;",")))&gt;0)),IF(BS154="",TRUE,IF(input_context="",FALSE,SUMPRODUCT(--ISNUMBER(SEARCH(","&amp;TRIM(TEXTSPLIT(BS154,","))&amp;",",","&amp;SUBSTITUTE(input_context," ","")&amp;",")))=COUNTA(TEXTSPLIT(BS154,",")))))</f>
        <v/>
      </c>
      <c r="IZ154" s="19">
        <f>AND(IF(BU154="",TRUE,IF(input_enews_announcement_type="",FALSE,SUMPRODUCT(--ISNUMBER(SEARCH(","&amp;TRIM(TEXTSPLIT(BU154,","))&amp;",",","&amp;SUBSTITUTE(input_enews_announcement_type," ","")&amp;",")))&gt;0)),IF(BW154="",TRUE,IF(input_enews_announcement_type="",FALSE,SUMPRODUCT(--ISNUMBER(SEARCH(","&amp;TRIM(TEXTSPLIT(BW154,","))&amp;",",","&amp;SUBSTITUTE(input_enews_announcement_type," ","")&amp;",")))=COUNTA(TEXTSPLIT(BW154,",")))),IF(BY154="",TRUE,IF(input_enews_announcement_type="",TRUE,SUMPRODUCT(--ISNUMBER(SEARCH(","&amp;TRIM(TEXTSPLIT(BY154,","))&amp;",",","&amp;SUBSTITUTE(input_enews_announcement_type," ","")&amp;",")))=0)),IF(CA154="",TRUE,IF(input_enews_announcement_type="",FALSE,SUMPRODUCT(--ISNUMBER(SEARCH(","&amp;TRIM(TEXTSPLIT(CA154,","))&amp;",",","&amp;SUBSTITUTE(input_enews_announcement_type," ","")&amp;",")))&gt;0)),IF(CC154="",TRUE,IF(input_enews_announcement_type="",FALSE,SUMPRODUCT(--ISNUMBER(SEARCH(","&amp;TRIM(TEXTSPLIT(CC154,","))&amp;",",","&amp;SUBSTITUTE(input_enews_announcement_type," ","")&amp;",")))=COUNTA(TEXTSPLIT(CC154,",")))))</f>
        <v/>
      </c>
      <c r="JA154" s="19">
        <f>AND(IF(CE154="",TRUE,IF(input_enews_audience="",FALSE,SUMPRODUCT(--ISNUMBER(SEARCH(","&amp;TRIM(TEXTSPLIT(CE154,","))&amp;",",","&amp;SUBSTITUTE(input_enews_audience," ","")&amp;",")))&gt;0)),IF(CG154="",TRUE,IF(input_enews_audience="",FALSE,SUMPRODUCT(--ISNUMBER(SEARCH(","&amp;TRIM(TEXTSPLIT(CG154,","))&amp;",",","&amp;SUBSTITUTE(input_enews_audience," ","")&amp;",")))=COUNTA(TEXTSPLIT(CG154,",")))),IF(CI154="",TRUE,IF(input_enews_audience="",TRUE,SUMPRODUCT(--ISNUMBER(SEARCH(","&amp;TRIM(TEXTSPLIT(CI154,","))&amp;",",","&amp;SUBSTITUTE(input_enews_audience," ","")&amp;",")))=0)),IF(CK154="",TRUE,IF(input_enews_audience="",FALSE,SUMPRODUCT(--ISNUMBER(SEARCH(","&amp;TRIM(TEXTSPLIT(CK154,","))&amp;",",","&amp;SUBSTITUTE(input_enews_audience," ","")&amp;",")))&gt;0)),IF(CM154="",TRUE,IF(input_enews_audience="",FALSE,SUMPRODUCT(--ISNUMBER(SEARCH(","&amp;TRIM(TEXTSPLIT(CM154,","))&amp;",",","&amp;SUBSTITUTE(input_enews_audience," ","")&amp;",")))=COUNTA(TEXTSPLIT(CM154,",")))))</f>
        <v/>
      </c>
      <c r="JB154" s="19">
        <f>AND(IF(CO154="",TRUE,IF(input_event_location="",FALSE,SUMPRODUCT(--ISNUMBER(SEARCH(","&amp;TRIM(TEXTSPLIT(CO154,","))&amp;",",","&amp;SUBSTITUTE(input_event_location," ","")&amp;",")))&gt;0)),IF(CQ154="",TRUE,IF(input_event_location="",FALSE,SUMPRODUCT(--ISNUMBER(SEARCH(","&amp;TRIM(TEXTSPLIT(CQ154,","))&amp;",",","&amp;SUBSTITUTE(input_event_location," ","")&amp;",")))=COUNTA(TEXTSPLIT(CQ154,",")))),IF(CS154="",TRUE,IF(input_event_location="",TRUE,SUMPRODUCT(--ISNUMBER(SEARCH(","&amp;TRIM(TEXTSPLIT(CS154,","))&amp;",",","&amp;SUBSTITUTE(input_event_location," ","")&amp;",")))=0)),IF(CU154="",TRUE,IF(input_event_location="",FALSE,SUMPRODUCT(--ISNUMBER(SEARCH(","&amp;TRIM(TEXTSPLIT(CU154,","))&amp;",",","&amp;SUBSTITUTE(input_event_location," ","")&amp;",")))&gt;0)),IF(CW154="",TRUE,IF(input_event_location="",FALSE,SUMPRODUCT(--ISNUMBER(SEARCH(","&amp;TRIM(TEXTSPLIT(CW154,","))&amp;",",","&amp;SUBSTITUTE(input_event_location," ","")&amp;",")))=COUNTA(TEXTSPLIT(CW154,",")))))</f>
        <v/>
      </c>
      <c r="JC154" s="19">
        <f>AND(IF(CY154="",TRUE,IF(input_event_type="",FALSE,SUMPRODUCT(--ISNUMBER(SEARCH(","&amp;TRIM(TEXTSPLIT(CY154,","))&amp;",",","&amp;SUBSTITUTE(input_event_type," ","")&amp;",")))&gt;0)),IF(DA154="",TRUE,IF(input_event_type="",FALSE,SUMPRODUCT(--ISNUMBER(SEARCH(","&amp;TRIM(TEXTSPLIT(DA154,","))&amp;",",","&amp;SUBSTITUTE(input_event_type," ","")&amp;",")))=COUNTA(TEXTSPLIT(DA154,",")))),IF(DC154="",TRUE,IF(input_event_type="",TRUE,SUMPRODUCT(--ISNUMBER(SEARCH(","&amp;TRIM(TEXTSPLIT(DC154,","))&amp;",",","&amp;SUBSTITUTE(input_event_type," ","")&amp;",")))=0)),IF(DE154="",TRUE,IF(input_event_type="",FALSE,SUMPRODUCT(--ISNUMBER(SEARCH(","&amp;TRIM(TEXTSPLIT(DE154,","))&amp;",",","&amp;SUBSTITUTE(input_event_type," ","")&amp;",")))&gt;0)),IF(DG154="",TRUE,IF(input_event_type="",FALSE,SUMPRODUCT(--ISNUMBER(SEARCH(","&amp;TRIM(TEXTSPLIT(DG154,","))&amp;",",","&amp;SUBSTITUTE(input_event_type," ","")&amp;",")))=COUNTA(TEXTSPLIT(DG154,",")))))</f>
        <v/>
      </c>
      <c r="JD154" s="19">
        <f>AND(IF(DI154="",TRUE,IF(input_executive_education_focus="",FALSE,SUMPRODUCT(--ISNUMBER(SEARCH(","&amp;TRIM(TEXTSPLIT(DI154,","))&amp;",",","&amp;SUBSTITUTE(input_executive_education_focus," ","")&amp;",")))&gt;0)),IF(DK154="",TRUE,IF(input_executive_education_focus="",FALSE,SUMPRODUCT(--ISNUMBER(SEARCH(","&amp;TRIM(TEXTSPLIT(DK154,","))&amp;",",","&amp;SUBSTITUTE(input_executive_education_focus," ","")&amp;",")))=COUNTA(TEXTSPLIT(DK154,",")))),IF(DM154="",TRUE,IF(input_executive_education_focus="",TRUE,SUMPRODUCT(--ISNUMBER(SEARCH(","&amp;TRIM(TEXTSPLIT(DM154,","))&amp;",",","&amp;SUBSTITUTE(input_executive_education_focus," ","")&amp;",")))=0)),IF(DO154="",TRUE,IF(input_executive_education_focus="",FALSE,SUMPRODUCT(--ISNUMBER(SEARCH(","&amp;TRIM(TEXTSPLIT(DO154,","))&amp;",",","&amp;SUBSTITUTE(input_executive_education_focus," ","")&amp;",")))&gt;0)),IF(DQ154="",TRUE,IF(input_executive_education_focus="",FALSE,SUMPRODUCT(--ISNUMBER(SEARCH(","&amp;TRIM(TEXTSPLIT(DQ154,","))&amp;",",","&amp;SUBSTITUTE(input_executive_education_focus," ","")&amp;",")))=COUNTA(TEXTSPLIT(DQ154,",")))))</f>
        <v/>
      </c>
      <c r="JE154" s="19">
        <f>AND(IF(DS154="",TRUE,IF(input_faculty_category="",FALSE,SUMPRODUCT(--ISNUMBER(SEARCH(","&amp;TRIM(TEXTSPLIT(DS154,","))&amp;",",","&amp;SUBSTITUTE(input_faculty_category," ","")&amp;",")))&gt;0)),IF(DU154="",TRUE,IF(input_faculty_category="",FALSE,SUMPRODUCT(--ISNUMBER(SEARCH(","&amp;TRIM(TEXTSPLIT(DU154,","))&amp;",",","&amp;SUBSTITUTE(input_faculty_category," ","")&amp;",")))=COUNTA(TEXTSPLIT(DU154,",")))),IF(DW154="",TRUE,IF(input_faculty_category="",TRUE,SUMPRODUCT(--ISNUMBER(SEARCH(","&amp;TRIM(TEXTSPLIT(DW154,","))&amp;",",","&amp;SUBSTITUTE(input_faculty_category," ","")&amp;",")))=0)),IF(DY154="",TRUE,IF(input_faculty_category="",FALSE,SUMPRODUCT(--ISNUMBER(SEARCH(","&amp;TRIM(TEXTSPLIT(DY154,","))&amp;",",","&amp;SUBSTITUTE(input_faculty_category," ","")&amp;",")))&gt;0)),IF(EA154="",TRUE,IF(input_faculty_category="",FALSE,SUMPRODUCT(--ISNUMBER(SEARCH(","&amp;TRIM(TEXTSPLIT(EA154,","))&amp;",",","&amp;SUBSTITUTE(input_faculty_category," ","")&amp;",")))=COUNTA(TEXTSPLIT(EA154,",")))))</f>
        <v/>
      </c>
      <c r="JF154" s="19">
        <f>AND(IF(EC154="",TRUE,IF(input_faculty_discipline="",FALSE,SUMPRODUCT(--ISNUMBER(SEARCH(","&amp;TRIM(TEXTSPLIT(EC154,","))&amp;",",","&amp;SUBSTITUTE(input_faculty_discipline," ","")&amp;",")))&gt;0)),IF(EE154="",TRUE,IF(input_faculty_discipline="",FALSE,SUMPRODUCT(--ISNUMBER(SEARCH(","&amp;TRIM(TEXTSPLIT(EE154,","))&amp;",",","&amp;SUBSTITUTE(input_faculty_discipline," ","")&amp;",")))=COUNTA(TEXTSPLIT(EE154,",")))),IF(EG154="",TRUE,IF(input_faculty_discipline="",TRUE,SUMPRODUCT(--ISNUMBER(SEARCH(","&amp;TRIM(TEXTSPLIT(EG154,","))&amp;",",","&amp;SUBSTITUTE(input_faculty_discipline," ","")&amp;",")))=0)),IF(EI154="",TRUE,IF(input_faculty_discipline="",FALSE,SUMPRODUCT(--ISNUMBER(SEARCH(","&amp;TRIM(TEXTSPLIT(EI154,","))&amp;",",","&amp;SUBSTITUTE(input_faculty_discipline," ","")&amp;",")))&gt;0)),IF(EK154="",TRUE,IF(input_faculty_discipline="",FALSE,SUMPRODUCT(--ISNUMBER(SEARCH(","&amp;TRIM(TEXTSPLIT(EK154,","))&amp;",",","&amp;SUBSTITUTE(input_faculty_discipline," ","")&amp;",")))=COUNTA(TEXTSPLIT(EK154,",")))))</f>
        <v/>
      </c>
      <c r="JG154" s="19">
        <f>AND(IF(EM154="",TRUE,IF(input_faculty_expertise="",FALSE,SUMPRODUCT(--ISNUMBER(SEARCH(","&amp;TRIM(TEXTSPLIT(EM154,","))&amp;",",","&amp;SUBSTITUTE(input_faculty_expertise," ","")&amp;",")))&gt;0)),IF(EO154="",TRUE,IF(input_faculty_expertise="",FALSE,SUMPRODUCT(--ISNUMBER(SEARCH(","&amp;TRIM(TEXTSPLIT(EO154,","))&amp;",",","&amp;SUBSTITUTE(input_faculty_expertise," ","")&amp;",")))=COUNTA(TEXTSPLIT(EO154,",")))),IF(EQ154="",TRUE,IF(input_faculty_expertise="",TRUE,SUMPRODUCT(--ISNUMBER(SEARCH(","&amp;TRIM(TEXTSPLIT(EQ154,","))&amp;",",","&amp;SUBSTITUTE(input_faculty_expertise," ","")&amp;",")))=0)),IF(ES154="",TRUE,IF(input_faculty_expertise="",FALSE,SUMPRODUCT(--ISNUMBER(SEARCH(","&amp;TRIM(TEXTSPLIT(ES154,","))&amp;",",","&amp;SUBSTITUTE(input_faculty_expertise," ","")&amp;",")))&gt;0)),IF(EU154="",TRUE,IF(input_faculty_expertise="",FALSE,SUMPRODUCT(--ISNUMBER(SEARCH(","&amp;TRIM(TEXTSPLIT(EU154,","))&amp;",",","&amp;SUBSTITUTE(input_faculty_expertise," ","")&amp;",")))=COUNTA(TEXTSPLIT(EU154,",")))))</f>
        <v/>
      </c>
      <c r="JH154" s="19">
        <f>AND(IF(EW154="",TRUE,IF(input_global_network_school="",FALSE,SUMPRODUCT(--ISNUMBER(SEARCH(","&amp;TRIM(TEXTSPLIT(EW154,","))&amp;",",","&amp;SUBSTITUTE(input_global_network_school," ","")&amp;",")))&gt;0)),IF(EY154="",TRUE,IF(input_global_network_school="",FALSE,SUMPRODUCT(--ISNUMBER(SEARCH(","&amp;TRIM(TEXTSPLIT(EY154,","))&amp;",",","&amp;SUBSTITUTE(input_global_network_school," ","")&amp;",")))=COUNTA(TEXTSPLIT(EY154,",")))),IF(FA154="",TRUE,IF(input_global_network_school="",TRUE,SUMPRODUCT(--ISNUMBER(SEARCH(","&amp;TRIM(TEXTSPLIT(FA154,","))&amp;",",","&amp;SUBSTITUTE(input_global_network_school," ","")&amp;",")))=0)),IF(FC154="",TRUE,IF(input_global_network_school="",FALSE,SUMPRODUCT(--ISNUMBER(SEARCH(","&amp;TRIM(TEXTSPLIT(FC154,","))&amp;",",","&amp;SUBSTITUTE(input_global_network_school," ","")&amp;",")))&gt;0)),IF(FE154="",TRUE,IF(input_global_network_school="",FALSE,SUMPRODUCT(--ISNUMBER(SEARCH(","&amp;TRIM(TEXTSPLIT(FE154,","))&amp;",",","&amp;SUBSTITUTE(input_global_network_school," ","")&amp;",")))=COUNTA(TEXTSPLIT(FE154,",")))))</f>
        <v/>
      </c>
      <c r="JI154" s="19">
        <f>AND(IF(FG154="",TRUE,IF(input_industry="",FALSE,SUMPRODUCT(--ISNUMBER(SEARCH(","&amp;TRIM(TEXTSPLIT(FG154,","))&amp;",",","&amp;SUBSTITUTE(input_industry," ","")&amp;",")))&gt;0)),IF(FI154="",TRUE,IF(input_industry="",FALSE,SUMPRODUCT(--ISNUMBER(SEARCH(","&amp;TRIM(TEXTSPLIT(FI154,","))&amp;",",","&amp;SUBSTITUTE(input_industry," ","")&amp;",")))=COUNTA(TEXTSPLIT(FI154,",")))),IF(FK154="",TRUE,IF(input_industry="",TRUE,SUMPRODUCT(--ISNUMBER(SEARCH(","&amp;TRIM(TEXTSPLIT(FK154,","))&amp;",",","&amp;SUBSTITUTE(input_industry," ","")&amp;",")))=0)),IF(FM154="",TRUE,IF(input_industry="",FALSE,SUMPRODUCT(--ISNUMBER(SEARCH(","&amp;TRIM(TEXTSPLIT(FM154,","))&amp;",",","&amp;SUBSTITUTE(input_industry," ","")&amp;",")))&gt;0)),IF(FO154="",TRUE,IF(input_industry="",FALSE,SUMPRODUCT(--ISNUMBER(SEARCH(","&amp;TRIM(TEXTSPLIT(FO154,","))&amp;",",","&amp;SUBSTITUTE(input_industry," ","")&amp;",")))=COUNTA(TEXTSPLIT(FO154,",")))))</f>
        <v/>
      </c>
      <c r="JJ154" s="19">
        <f>AND(IF(FQ154="",TRUE,IF(input_location="",FALSE,SUMPRODUCT(--ISNUMBER(SEARCH(","&amp;TRIM(TEXTSPLIT(FQ154,","))&amp;",",","&amp;SUBSTITUTE(input_location," ","")&amp;",")))&gt;0)),IF(FS154="",TRUE,IF(input_location="",FALSE,SUMPRODUCT(--ISNUMBER(SEARCH(","&amp;TRIM(TEXTSPLIT(FS154,","))&amp;",",","&amp;SUBSTITUTE(input_location," ","")&amp;",")))=COUNTA(TEXTSPLIT(FS154,",")))),IF(FU154="",TRUE,IF(input_location="",TRUE,SUMPRODUCT(--ISNUMBER(SEARCH(","&amp;TRIM(TEXTSPLIT(FU154,","))&amp;",",","&amp;SUBSTITUTE(input_location," ","")&amp;",")))=0)),IF(FW154="",TRUE,IF(input_location="",FALSE,SUMPRODUCT(--ISNUMBER(SEARCH(","&amp;TRIM(TEXTSPLIT(FW154,","))&amp;",",","&amp;SUBSTITUTE(input_location," ","")&amp;",")))&gt;0)),IF(FY154="",TRUE,IF(input_location="",FALSE,SUMPRODUCT(--ISNUMBER(SEARCH(","&amp;TRIM(TEXTSPLIT(FY154,","))&amp;",",","&amp;SUBSTITUTE(input_location," ","")&amp;",")))=COUNTA(TEXTSPLIT(FY154,",")))))</f>
        <v/>
      </c>
      <c r="JK154" s="19">
        <f>AND(IF(GA154="",TRUE,IF(input_modality="",FALSE,SUMPRODUCT(--ISNUMBER(SEARCH(","&amp;TRIM(TEXTSPLIT(GA154,","))&amp;",",","&amp;SUBSTITUTE(input_modality," ","")&amp;",")))&gt;0)),IF(GC154="",TRUE,IF(input_modality="",FALSE,SUMPRODUCT(--ISNUMBER(SEARCH(","&amp;TRIM(TEXTSPLIT(GC154,","))&amp;",",","&amp;SUBSTITUTE(input_modality," ","")&amp;",")))=COUNTA(TEXTSPLIT(GC154,",")))),IF(GE154="",TRUE,IF(input_modality="",TRUE,SUMPRODUCT(--ISNUMBER(SEARCH(","&amp;TRIM(TEXTSPLIT(GE154,","))&amp;",",","&amp;SUBSTITUTE(input_modality," ","")&amp;",")))=0)),IF(GG154="",TRUE,IF(input_modality="",FALSE,SUMPRODUCT(--ISNUMBER(SEARCH(","&amp;TRIM(TEXTSPLIT(GG154,","))&amp;",",","&amp;SUBSTITUTE(input_modality," ","")&amp;",")))&gt;0)),IF(GI154="",TRUE,IF(input_modality="",FALSE,SUMPRODUCT(--ISNUMBER(SEARCH(","&amp;TRIM(TEXTSPLIT(GI154,","))&amp;",",","&amp;SUBSTITUTE(input_modality," ","")&amp;",")))=COUNTA(TEXTSPLIT(GI154,",")))))</f>
        <v/>
      </c>
      <c r="JL154" s="19">
        <f>AND(IF(GK154="",TRUE,IF(input_organizer="",FALSE,SUMPRODUCT(--ISNUMBER(SEARCH(","&amp;TRIM(TEXTSPLIT(GK154,","))&amp;",",","&amp;SUBSTITUTE(input_organizer," ","")&amp;",")))&gt;0)),IF(GM154="",TRUE,IF(input_organizer="",FALSE,SUMPRODUCT(--ISNUMBER(SEARCH(","&amp;TRIM(TEXTSPLIT(GM154,","))&amp;",",","&amp;SUBSTITUTE(input_organizer," ","")&amp;",")))=COUNTA(TEXTSPLIT(GM154,",")))),IF(GO154="",TRUE,IF(input_organizer="",TRUE,SUMPRODUCT(--ISNUMBER(SEARCH(","&amp;TRIM(TEXTSPLIT(GO154,","))&amp;",",","&amp;SUBSTITUTE(input_organizer," ","")&amp;",")))=0)),IF(GQ154="",TRUE,IF(input_organizer="",FALSE,SUMPRODUCT(--ISNUMBER(SEARCH(","&amp;TRIM(TEXTSPLIT(GQ154,","))&amp;",",","&amp;SUBSTITUTE(input_organizer," ","")&amp;",")))&gt;0)),IF(GS154="",TRUE,IF(input_organizer="",FALSE,SUMPRODUCT(--ISNUMBER(SEARCH(","&amp;TRIM(TEXTSPLIT(GS154,","))&amp;",",","&amp;SUBSTITUTE(input_organizer," ","")&amp;",")))=COUNTA(TEXTSPLIT(GS154,",")))))</f>
        <v/>
      </c>
      <c r="JM154" s="19">
        <f>AND(IF(GU154="",TRUE,IF(input_profile_type="",FALSE,SUMPRODUCT(--ISNUMBER(SEARCH(","&amp;TRIM(TEXTSPLIT(GU154,","))&amp;",",","&amp;SUBSTITUTE(input_profile_type," ","")&amp;",")))&gt;0)),IF(GW154="",TRUE,IF(input_profile_type="",FALSE,SUMPRODUCT(--ISNUMBER(SEARCH(","&amp;TRIM(TEXTSPLIT(GW154,","))&amp;",",","&amp;SUBSTITUTE(input_profile_type," ","")&amp;",")))=COUNTA(TEXTSPLIT(GW154,",")))),IF(GY154="",TRUE,IF(input_profile_type="",TRUE,SUMPRODUCT(--ISNUMBER(SEARCH(","&amp;TRIM(TEXTSPLIT(GY154,","))&amp;",",","&amp;SUBSTITUTE(input_profile_type," ","")&amp;",")))=0)),IF(HA154="",TRUE,IF(input_profile_type="",FALSE,SUMPRODUCT(--ISNUMBER(SEARCH(","&amp;TRIM(TEXTSPLIT(HA154,","))&amp;",",","&amp;SUBSTITUTE(input_profile_type," ","")&amp;",")))&gt;0)),IF(HC154="",TRUE,IF(input_profile_type="",FALSE,SUMPRODUCT(--ISNUMBER(SEARCH(","&amp;TRIM(TEXTSPLIT(HC154,","))&amp;",",","&amp;SUBSTITUTE(input_profile_type," ","")&amp;",")))=COUNTA(TEXTSPLIT(HC154,",")))))</f>
        <v/>
      </c>
      <c r="JN154" s="19">
        <f>AND(IF(HE154="",TRUE,IF(input_program="",FALSE,SUMPRODUCT(--ISNUMBER(SEARCH(","&amp;TRIM(TEXTSPLIT(HE154,","))&amp;",",","&amp;SUBSTITUTE(input_program," ","")&amp;",")))&gt;0)),IF(HG154="",TRUE,IF(input_program="",FALSE,SUMPRODUCT(--ISNUMBER(SEARCH(","&amp;TRIM(TEXTSPLIT(HG154,","))&amp;",",","&amp;SUBSTITUTE(input_program," ","")&amp;",")))=COUNTA(TEXTSPLIT(HG154,",")))),IF(HI154="",TRUE,IF(input_program="",TRUE,SUMPRODUCT(--ISNUMBER(SEARCH(","&amp;TRIM(TEXTSPLIT(HI154,","))&amp;",",","&amp;SUBSTITUTE(input_program," ","")&amp;",")))=0)),IF(HK154="",TRUE,IF(input_program="",FALSE,SUMPRODUCT(--ISNUMBER(SEARCH(","&amp;TRIM(TEXTSPLIT(HK154,","))&amp;",",","&amp;SUBSTITUTE(input_program," ","")&amp;",")))&gt;0)),IF(HM154="",TRUE,IF(input_program="",FALSE,SUMPRODUCT(--ISNUMBER(SEARCH(","&amp;TRIM(TEXTSPLIT(HM154,","))&amp;",",","&amp;SUBSTITUTE(input_program," ","")&amp;",")))=COUNTA(TEXTSPLIT(HM154,",")))))</f>
        <v/>
      </c>
      <c r="JO154" s="19">
        <f>AND(IF(HO154="",TRUE,IF(input_story_categories="",FALSE,SUMPRODUCT(--ISNUMBER(SEARCH(","&amp;TRIM(TEXTSPLIT(HO154,","))&amp;",",","&amp;SUBSTITUTE(input_story_categories," ","")&amp;",")))&gt;0)),IF(HQ154="",TRUE,IF(input_story_categories="",FALSE,SUMPRODUCT(--ISNUMBER(SEARCH(","&amp;TRIM(TEXTSPLIT(HQ154,","))&amp;",",","&amp;SUBSTITUTE(input_story_categories," ","")&amp;",")))=COUNTA(TEXTSPLIT(HQ154,",")))),IF(HS154="",TRUE,IF(input_story_categories="",TRUE,SUMPRODUCT(--ISNUMBER(SEARCH(","&amp;TRIM(TEXTSPLIT(HS154,","))&amp;",",","&amp;SUBSTITUTE(input_story_categories," ","")&amp;",")))=0)),IF(HU154="",TRUE,IF(input_story_categories="",FALSE,SUMPRODUCT(--ISNUMBER(SEARCH(","&amp;TRIM(TEXTSPLIT(HU154,","))&amp;",",","&amp;SUBSTITUTE(input_story_categories," ","")&amp;",")))&gt;0)),IF(HW154="",TRUE,IF(input_story_categories="",FALSE,SUMPRODUCT(--ISNUMBER(SEARCH(","&amp;TRIM(TEXTSPLIT(HW154,","))&amp;",",","&amp;SUBSTITUTE(input_story_categories," ","")&amp;",")))=COUNTA(TEXTSPLIT(HW154,",")))))</f>
        <v/>
      </c>
      <c r="JP154" s="19">
        <f>AND(IF(HY154="",TRUE,IF(input_story_type="",FALSE,SUMPRODUCT(--ISNUMBER(SEARCH(","&amp;TRIM(TEXTSPLIT(HY154,","))&amp;",",","&amp;SUBSTITUTE(input_story_type," ","")&amp;",")))&gt;0)),IF(IA154="",TRUE,IF(input_story_type="",FALSE,SUMPRODUCT(--ISNUMBER(SEARCH(","&amp;TRIM(TEXTSPLIT(IA154,","))&amp;",",","&amp;SUBSTITUTE(input_story_type," ","")&amp;",")))=COUNTA(TEXTSPLIT(IA154,",")))),IF(IC154="",TRUE,IF(input_story_type="",TRUE,SUMPRODUCT(--ISNUMBER(SEARCH(","&amp;TRIM(TEXTSPLIT(IC154,","))&amp;",",","&amp;SUBSTITUTE(input_story_type," ","")&amp;",")))=0)),IF(IE154="",TRUE,IF(input_story_type="",FALSE,SUMPRODUCT(--ISNUMBER(SEARCH(","&amp;TRIM(TEXTSPLIT(IE154,","))&amp;",",","&amp;SUBSTITUTE(input_story_type," ","")&amp;",")))&gt;0)),IF(IG154="",TRUE,IF(input_story_type="",FALSE,SUMPRODUCT(--ISNUMBER(SEARCH(","&amp;TRIM(TEXTSPLIT(IG154,","))&amp;",",","&amp;SUBSTITUTE(input_story_type," ","")&amp;",")))=COUNTA(TEXTSPLIT(IG154,",")))))</f>
        <v/>
      </c>
      <c r="JQ154" s="19">
        <f>AND(IF(II154="",TRUE,IF(input_topics="",FALSE,SUMPRODUCT(--ISNUMBER(SEARCH(","&amp;TRIM(TEXTSPLIT(II154,","))&amp;",",","&amp;SUBSTITUTE(input_topics," ","")&amp;",")))&gt;0)),IF(IK154="",TRUE,IF(input_topics="",FALSE,SUMPRODUCT(--ISNUMBER(SEARCH(","&amp;TRIM(TEXTSPLIT(IK154,","))&amp;",",","&amp;SUBSTITUTE(input_topics," ","")&amp;",")))=COUNTA(TEXTSPLIT(IK154,",")))),IF(IM154="",TRUE,IF(input_topics="",TRUE,SUMPRODUCT(--ISNUMBER(SEARCH(","&amp;TRIM(TEXTSPLIT(IM154,","))&amp;",",","&amp;SUBSTITUTE(input_topics," ","")&amp;",")))=0)),IF(IO154="",TRUE,IF(input_topics="",FALSE,SUMPRODUCT(--ISNUMBER(SEARCH(","&amp;TRIM(TEXTSPLIT(IO154,","))&amp;",",","&amp;SUBSTITUTE(input_topics," ","")&amp;",")))&gt;0)),IF(IQ154="",TRUE,IF(input_topics="",FALSE,SUMPRODUCT(--ISNUMBER(SEARCH(","&amp;TRIM(TEXTSPLIT(IQ154,","))&amp;",",","&amp;SUBSTITUTE(input_topics," ","")&amp;",")))=COUNTA(TEXTSPLIT(IQ154,",")))))</f>
        <v/>
      </c>
    </row>
    <row r="155">
      <c r="A155" s="24">
        <f>IF(NOT(IS155),"Excluded",IF(AND(IT155,IU155,IV155,IW155,IX155,IY155,IZ155,JA155,JB155,JC155,JD155,JE155,JF155,JG155,JH155,JI155,JJ155,JK155,JL155,JM155,JN155,JO155,JP155,JQ155),IF(I155&gt;0,"Eligible but limited","Will appear"),"Excluded"))</f>
        <v/>
      </c>
      <c r="B155" s="24" t="inlineStr">
        <is>
          <t>Publications</t>
        </is>
      </c>
      <c r="C155" s="27" t="inlineStr">
        <is>
          <t>/faculty-research/publications</t>
        </is>
      </c>
      <c r="D155" s="24" t="inlineStr">
        <is>
          <t>/faculty-research/publications</t>
        </is>
      </c>
      <c r="E155" s="24" t="n">
        <v>1</v>
      </c>
      <c r="F155" s="24" t="inlineStr">
        <is>
          <t>publications</t>
        </is>
      </c>
      <c r="G155" s="24" t="inlineStr">
        <is>
          <t>publications_directory_solr</t>
        </is>
      </c>
      <c r="H155" s="24" t="inlineStr">
        <is>
          <t>embed_publication_directory</t>
        </is>
      </c>
      <c r="I155" s="24" t="n">
        <v>20</v>
      </c>
      <c r="J155" s="24" t="inlineStr">
        <is>
          <t>View/config rules</t>
        </is>
      </c>
      <c r="K155" s="24" t="inlineStr">
        <is>
          <t>Page placement</t>
        </is>
      </c>
      <c r="L155" s="24" t="inlineStr">
        <is>
          <t>Content type: publications; Limited to 20 item(s); Source: View/config rules</t>
        </is>
      </c>
      <c r="IS155" s="19">
        <f>IF(input_content_type="",FALSE,ISNUMBER(SEARCH(","&amp;LOWER(input_content_type)&amp;",",","&amp;LOWER(SUBSTITUTE(F155," ",""))&amp;",")))</f>
        <v/>
      </c>
      <c r="IT155" s="19">
        <f>AND(IF(M155="",TRUE,IF(input_affiliations="",FALSE,SUMPRODUCT(--ISNUMBER(SEARCH(","&amp;TRIM(TEXTSPLIT(M155,","))&amp;",",","&amp;SUBSTITUTE(input_affiliations," ","")&amp;",")))&gt;0)),IF(O155="",TRUE,IF(input_affiliations="",FALSE,SUMPRODUCT(--ISNUMBER(SEARCH(","&amp;TRIM(TEXTSPLIT(O155,","))&amp;",",","&amp;SUBSTITUTE(input_affiliations," ","")&amp;",")))=COUNTA(TEXTSPLIT(O155,",")))),IF(Q155="",TRUE,IF(input_affiliations="",TRUE,SUMPRODUCT(--ISNUMBER(SEARCH(","&amp;TRIM(TEXTSPLIT(Q155,","))&amp;",",","&amp;SUBSTITUTE(input_affiliations," ","")&amp;",")))=0)),IF(S155="",TRUE,IF(input_affiliations="",FALSE,SUMPRODUCT(--ISNUMBER(SEARCH(","&amp;TRIM(TEXTSPLIT(S155,","))&amp;",",","&amp;SUBSTITUTE(input_affiliations," ","")&amp;",")))&gt;0)),IF(U155="",TRUE,IF(input_affiliations="",FALSE,SUMPRODUCT(--ISNUMBER(SEARCH(","&amp;TRIM(TEXTSPLIT(U155,","))&amp;",",","&amp;SUBSTITUTE(input_affiliations," ","")&amp;",")))=COUNTA(TEXTSPLIT(U155,",")))))</f>
        <v/>
      </c>
      <c r="IU155" s="19">
        <f>AND(IF(W155="",TRUE,IF(input_announcement_category="",FALSE,SUMPRODUCT(--ISNUMBER(SEARCH(","&amp;TRIM(TEXTSPLIT(W155,","))&amp;",",","&amp;SUBSTITUTE(input_announcement_category," ","")&amp;",")))&gt;0)),IF(Y155="",TRUE,IF(input_announcement_category="",FALSE,SUMPRODUCT(--ISNUMBER(SEARCH(","&amp;TRIM(TEXTSPLIT(Y155,","))&amp;",",","&amp;SUBSTITUTE(input_announcement_category," ","")&amp;",")))=COUNTA(TEXTSPLIT(Y155,",")))),IF(AA155="",TRUE,IF(input_announcement_category="",TRUE,SUMPRODUCT(--ISNUMBER(SEARCH(","&amp;TRIM(TEXTSPLIT(AA155,","))&amp;",",","&amp;SUBSTITUTE(input_announcement_category," ","")&amp;",")))=0)),IF(AC155="",TRUE,IF(input_announcement_category="",FALSE,SUMPRODUCT(--ISNUMBER(SEARCH(","&amp;TRIM(TEXTSPLIT(AC155,","))&amp;",",","&amp;SUBSTITUTE(input_announcement_category," ","")&amp;",")))&gt;0)),IF(AE155="",TRUE,IF(input_announcement_category="",FALSE,SUMPRODUCT(--ISNUMBER(SEARCH(","&amp;TRIM(TEXTSPLIT(AE155,","))&amp;",",","&amp;SUBSTITUTE(input_announcement_category," ","")&amp;",")))=COUNTA(TEXTSPLIT(AE155,",")))))</f>
        <v/>
      </c>
      <c r="IV155" s="19">
        <f>AND(IF(AG155="",TRUE,IF(input_area_of_focus="",FALSE,SUMPRODUCT(--ISNUMBER(SEARCH(","&amp;TRIM(TEXTSPLIT(AG155,","))&amp;",",","&amp;SUBSTITUTE(input_area_of_focus," ","")&amp;",")))&gt;0)),IF(AI155="",TRUE,IF(input_area_of_focus="",FALSE,SUMPRODUCT(--ISNUMBER(SEARCH(","&amp;TRIM(TEXTSPLIT(AI155,","))&amp;",",","&amp;SUBSTITUTE(input_area_of_focus," ","")&amp;",")))=COUNTA(TEXTSPLIT(AI155,",")))),IF(AK155="",TRUE,IF(input_area_of_focus="",TRUE,SUMPRODUCT(--ISNUMBER(SEARCH(","&amp;TRIM(TEXTSPLIT(AK155,","))&amp;",",","&amp;SUBSTITUTE(input_area_of_focus," ","")&amp;",")))=0)),IF(AM155="",TRUE,IF(input_area_of_focus="",FALSE,SUMPRODUCT(--ISNUMBER(SEARCH(","&amp;TRIM(TEXTSPLIT(AM155,","))&amp;",",","&amp;SUBSTITUTE(input_area_of_focus," ","")&amp;",")))&gt;0)),IF(AO155="",TRUE,IF(input_area_of_focus="",FALSE,SUMPRODUCT(--ISNUMBER(SEARCH(","&amp;TRIM(TEXTSPLIT(AO155,","))&amp;",",","&amp;SUBSTITUTE(input_area_of_focus," ","")&amp;",")))=COUNTA(TEXTSPLIT(AO155,",")))))</f>
        <v/>
      </c>
      <c r="IW155" s="19">
        <f>AND(IF(AQ155="",TRUE,IF(input_audience="",FALSE,SUMPRODUCT(--ISNUMBER(SEARCH(","&amp;TRIM(TEXTSPLIT(AQ155,","))&amp;",",","&amp;SUBSTITUTE(input_audience," ","")&amp;",")))&gt;0)),IF(AS155="",TRUE,IF(input_audience="",FALSE,SUMPRODUCT(--ISNUMBER(SEARCH(","&amp;TRIM(TEXTSPLIT(AS155,","))&amp;",",","&amp;SUBSTITUTE(input_audience," ","")&amp;",")))=COUNTA(TEXTSPLIT(AS155,",")))),IF(AU155="",TRUE,IF(input_audience="",TRUE,SUMPRODUCT(--ISNUMBER(SEARCH(","&amp;TRIM(TEXTSPLIT(AU155,","))&amp;",",","&amp;SUBSTITUTE(input_audience," ","")&amp;",")))=0)),IF(AW155="",TRUE,IF(input_audience="",FALSE,SUMPRODUCT(--ISNUMBER(SEARCH(","&amp;TRIM(TEXTSPLIT(AW155,","))&amp;",",","&amp;SUBSTITUTE(input_audience," ","")&amp;",")))&gt;0)),IF(AY155="",TRUE,IF(input_audience="",FALSE,SUMPRODUCT(--ISNUMBER(SEARCH(","&amp;TRIM(TEXTSPLIT(AY155,","))&amp;",",","&amp;SUBSTITUTE(input_audience," ","")&amp;",")))=COUNTA(TEXTSPLIT(AY155,",")))))</f>
        <v/>
      </c>
      <c r="IX155" s="19">
        <f>AND(IF(BA155="",TRUE,IF(input_challenge_opportunities="",FALSE,SUMPRODUCT(--ISNUMBER(SEARCH(","&amp;TRIM(TEXTSPLIT(BA155,","))&amp;",",","&amp;SUBSTITUTE(input_challenge_opportunities," ","")&amp;",")))&gt;0)),IF(BC155="",TRUE,IF(input_challenge_opportunities="",FALSE,SUMPRODUCT(--ISNUMBER(SEARCH(","&amp;TRIM(TEXTSPLIT(BC155,","))&amp;",",","&amp;SUBSTITUTE(input_challenge_opportunities," ","")&amp;",")))=COUNTA(TEXTSPLIT(BC155,",")))),IF(BE155="",TRUE,IF(input_challenge_opportunities="",TRUE,SUMPRODUCT(--ISNUMBER(SEARCH(","&amp;TRIM(TEXTSPLIT(BE155,","))&amp;",",","&amp;SUBSTITUTE(input_challenge_opportunities," ","")&amp;",")))=0)),IF(BG155="",TRUE,IF(input_challenge_opportunities="",FALSE,SUMPRODUCT(--ISNUMBER(SEARCH(","&amp;TRIM(TEXTSPLIT(BG155,","))&amp;",",","&amp;SUBSTITUTE(input_challenge_opportunities," ","")&amp;",")))&gt;0)),IF(BI155="",TRUE,IF(input_challenge_opportunities="",FALSE,SUMPRODUCT(--ISNUMBER(SEARCH(","&amp;TRIM(TEXTSPLIT(BI155,","))&amp;",",","&amp;SUBSTITUTE(input_challenge_opportunities," ","")&amp;",")))=COUNTA(TEXTSPLIT(BI155,",")))))</f>
        <v/>
      </c>
      <c r="IY155" s="19">
        <f>AND(IF(BK155="",TRUE,IF(input_context="",FALSE,SUMPRODUCT(--ISNUMBER(SEARCH(","&amp;TRIM(TEXTSPLIT(BK155,","))&amp;",",","&amp;SUBSTITUTE(input_context," ","")&amp;",")))&gt;0)),IF(BM155="",TRUE,IF(input_context="",FALSE,SUMPRODUCT(--ISNUMBER(SEARCH(","&amp;TRIM(TEXTSPLIT(BM155,","))&amp;",",","&amp;SUBSTITUTE(input_context," ","")&amp;",")))=COUNTA(TEXTSPLIT(BM155,",")))),IF(BO155="",TRUE,IF(input_context="",TRUE,SUMPRODUCT(--ISNUMBER(SEARCH(","&amp;TRIM(TEXTSPLIT(BO155,","))&amp;",",","&amp;SUBSTITUTE(input_context," ","")&amp;",")))=0)),IF(BQ155="",TRUE,IF(input_context="",FALSE,SUMPRODUCT(--ISNUMBER(SEARCH(","&amp;TRIM(TEXTSPLIT(BQ155,","))&amp;",",","&amp;SUBSTITUTE(input_context," ","")&amp;",")))&gt;0)),IF(BS155="",TRUE,IF(input_context="",FALSE,SUMPRODUCT(--ISNUMBER(SEARCH(","&amp;TRIM(TEXTSPLIT(BS155,","))&amp;",",","&amp;SUBSTITUTE(input_context," ","")&amp;",")))=COUNTA(TEXTSPLIT(BS155,",")))))</f>
        <v/>
      </c>
      <c r="IZ155" s="19">
        <f>AND(IF(BU155="",TRUE,IF(input_enews_announcement_type="",FALSE,SUMPRODUCT(--ISNUMBER(SEARCH(","&amp;TRIM(TEXTSPLIT(BU155,","))&amp;",",","&amp;SUBSTITUTE(input_enews_announcement_type," ","")&amp;",")))&gt;0)),IF(BW155="",TRUE,IF(input_enews_announcement_type="",FALSE,SUMPRODUCT(--ISNUMBER(SEARCH(","&amp;TRIM(TEXTSPLIT(BW155,","))&amp;",",","&amp;SUBSTITUTE(input_enews_announcement_type," ","")&amp;",")))=COUNTA(TEXTSPLIT(BW155,",")))),IF(BY155="",TRUE,IF(input_enews_announcement_type="",TRUE,SUMPRODUCT(--ISNUMBER(SEARCH(","&amp;TRIM(TEXTSPLIT(BY155,","))&amp;",",","&amp;SUBSTITUTE(input_enews_announcement_type," ","")&amp;",")))=0)),IF(CA155="",TRUE,IF(input_enews_announcement_type="",FALSE,SUMPRODUCT(--ISNUMBER(SEARCH(","&amp;TRIM(TEXTSPLIT(CA155,","))&amp;",",","&amp;SUBSTITUTE(input_enews_announcement_type," ","")&amp;",")))&gt;0)),IF(CC155="",TRUE,IF(input_enews_announcement_type="",FALSE,SUMPRODUCT(--ISNUMBER(SEARCH(","&amp;TRIM(TEXTSPLIT(CC155,","))&amp;",",","&amp;SUBSTITUTE(input_enews_announcement_type," ","")&amp;",")))=COUNTA(TEXTSPLIT(CC155,",")))))</f>
        <v/>
      </c>
      <c r="JA155" s="19">
        <f>AND(IF(CE155="",TRUE,IF(input_enews_audience="",FALSE,SUMPRODUCT(--ISNUMBER(SEARCH(","&amp;TRIM(TEXTSPLIT(CE155,","))&amp;",",","&amp;SUBSTITUTE(input_enews_audience," ","")&amp;",")))&gt;0)),IF(CG155="",TRUE,IF(input_enews_audience="",FALSE,SUMPRODUCT(--ISNUMBER(SEARCH(","&amp;TRIM(TEXTSPLIT(CG155,","))&amp;",",","&amp;SUBSTITUTE(input_enews_audience," ","")&amp;",")))=COUNTA(TEXTSPLIT(CG155,",")))),IF(CI155="",TRUE,IF(input_enews_audience="",TRUE,SUMPRODUCT(--ISNUMBER(SEARCH(","&amp;TRIM(TEXTSPLIT(CI155,","))&amp;",",","&amp;SUBSTITUTE(input_enews_audience," ","")&amp;",")))=0)),IF(CK155="",TRUE,IF(input_enews_audience="",FALSE,SUMPRODUCT(--ISNUMBER(SEARCH(","&amp;TRIM(TEXTSPLIT(CK155,","))&amp;",",","&amp;SUBSTITUTE(input_enews_audience," ","")&amp;",")))&gt;0)),IF(CM155="",TRUE,IF(input_enews_audience="",FALSE,SUMPRODUCT(--ISNUMBER(SEARCH(","&amp;TRIM(TEXTSPLIT(CM155,","))&amp;",",","&amp;SUBSTITUTE(input_enews_audience," ","")&amp;",")))=COUNTA(TEXTSPLIT(CM155,",")))))</f>
        <v/>
      </c>
      <c r="JB155" s="19">
        <f>AND(IF(CO155="",TRUE,IF(input_event_location="",FALSE,SUMPRODUCT(--ISNUMBER(SEARCH(","&amp;TRIM(TEXTSPLIT(CO155,","))&amp;",",","&amp;SUBSTITUTE(input_event_location," ","")&amp;",")))&gt;0)),IF(CQ155="",TRUE,IF(input_event_location="",FALSE,SUMPRODUCT(--ISNUMBER(SEARCH(","&amp;TRIM(TEXTSPLIT(CQ155,","))&amp;",",","&amp;SUBSTITUTE(input_event_location," ","")&amp;",")))=COUNTA(TEXTSPLIT(CQ155,",")))),IF(CS155="",TRUE,IF(input_event_location="",TRUE,SUMPRODUCT(--ISNUMBER(SEARCH(","&amp;TRIM(TEXTSPLIT(CS155,","))&amp;",",","&amp;SUBSTITUTE(input_event_location," ","")&amp;",")))=0)),IF(CU155="",TRUE,IF(input_event_location="",FALSE,SUMPRODUCT(--ISNUMBER(SEARCH(","&amp;TRIM(TEXTSPLIT(CU155,","))&amp;",",","&amp;SUBSTITUTE(input_event_location," ","")&amp;",")))&gt;0)),IF(CW155="",TRUE,IF(input_event_location="",FALSE,SUMPRODUCT(--ISNUMBER(SEARCH(","&amp;TRIM(TEXTSPLIT(CW155,","))&amp;",",","&amp;SUBSTITUTE(input_event_location," ","")&amp;",")))=COUNTA(TEXTSPLIT(CW155,",")))))</f>
        <v/>
      </c>
      <c r="JC155" s="19">
        <f>AND(IF(CY155="",TRUE,IF(input_event_type="",FALSE,SUMPRODUCT(--ISNUMBER(SEARCH(","&amp;TRIM(TEXTSPLIT(CY155,","))&amp;",",","&amp;SUBSTITUTE(input_event_type," ","")&amp;",")))&gt;0)),IF(DA155="",TRUE,IF(input_event_type="",FALSE,SUMPRODUCT(--ISNUMBER(SEARCH(","&amp;TRIM(TEXTSPLIT(DA155,","))&amp;",",","&amp;SUBSTITUTE(input_event_type," ","")&amp;",")))=COUNTA(TEXTSPLIT(DA155,",")))),IF(DC155="",TRUE,IF(input_event_type="",TRUE,SUMPRODUCT(--ISNUMBER(SEARCH(","&amp;TRIM(TEXTSPLIT(DC155,","))&amp;",",","&amp;SUBSTITUTE(input_event_type," ","")&amp;",")))=0)),IF(DE155="",TRUE,IF(input_event_type="",FALSE,SUMPRODUCT(--ISNUMBER(SEARCH(","&amp;TRIM(TEXTSPLIT(DE155,","))&amp;",",","&amp;SUBSTITUTE(input_event_type," ","")&amp;",")))&gt;0)),IF(DG155="",TRUE,IF(input_event_type="",FALSE,SUMPRODUCT(--ISNUMBER(SEARCH(","&amp;TRIM(TEXTSPLIT(DG155,","))&amp;",",","&amp;SUBSTITUTE(input_event_type," ","")&amp;",")))=COUNTA(TEXTSPLIT(DG155,",")))))</f>
        <v/>
      </c>
      <c r="JD155" s="19">
        <f>AND(IF(DI155="",TRUE,IF(input_executive_education_focus="",FALSE,SUMPRODUCT(--ISNUMBER(SEARCH(","&amp;TRIM(TEXTSPLIT(DI155,","))&amp;",",","&amp;SUBSTITUTE(input_executive_education_focus," ","")&amp;",")))&gt;0)),IF(DK155="",TRUE,IF(input_executive_education_focus="",FALSE,SUMPRODUCT(--ISNUMBER(SEARCH(","&amp;TRIM(TEXTSPLIT(DK155,","))&amp;",",","&amp;SUBSTITUTE(input_executive_education_focus," ","")&amp;",")))=COUNTA(TEXTSPLIT(DK155,",")))),IF(DM155="",TRUE,IF(input_executive_education_focus="",TRUE,SUMPRODUCT(--ISNUMBER(SEARCH(","&amp;TRIM(TEXTSPLIT(DM155,","))&amp;",",","&amp;SUBSTITUTE(input_executive_education_focus," ","")&amp;",")))=0)),IF(DO155="",TRUE,IF(input_executive_education_focus="",FALSE,SUMPRODUCT(--ISNUMBER(SEARCH(","&amp;TRIM(TEXTSPLIT(DO155,","))&amp;",",","&amp;SUBSTITUTE(input_executive_education_focus," ","")&amp;",")))&gt;0)),IF(DQ155="",TRUE,IF(input_executive_education_focus="",FALSE,SUMPRODUCT(--ISNUMBER(SEARCH(","&amp;TRIM(TEXTSPLIT(DQ155,","))&amp;",",","&amp;SUBSTITUTE(input_executive_education_focus," ","")&amp;",")))=COUNTA(TEXTSPLIT(DQ155,",")))))</f>
        <v/>
      </c>
      <c r="JE155" s="19">
        <f>AND(IF(DS155="",TRUE,IF(input_faculty_category="",FALSE,SUMPRODUCT(--ISNUMBER(SEARCH(","&amp;TRIM(TEXTSPLIT(DS155,","))&amp;",",","&amp;SUBSTITUTE(input_faculty_category," ","")&amp;",")))&gt;0)),IF(DU155="",TRUE,IF(input_faculty_category="",FALSE,SUMPRODUCT(--ISNUMBER(SEARCH(","&amp;TRIM(TEXTSPLIT(DU155,","))&amp;",",","&amp;SUBSTITUTE(input_faculty_category," ","")&amp;",")))=COUNTA(TEXTSPLIT(DU155,",")))),IF(DW155="",TRUE,IF(input_faculty_category="",TRUE,SUMPRODUCT(--ISNUMBER(SEARCH(","&amp;TRIM(TEXTSPLIT(DW155,","))&amp;",",","&amp;SUBSTITUTE(input_faculty_category," ","")&amp;",")))=0)),IF(DY155="",TRUE,IF(input_faculty_category="",FALSE,SUMPRODUCT(--ISNUMBER(SEARCH(","&amp;TRIM(TEXTSPLIT(DY155,","))&amp;",",","&amp;SUBSTITUTE(input_faculty_category," ","")&amp;",")))&gt;0)),IF(EA155="",TRUE,IF(input_faculty_category="",FALSE,SUMPRODUCT(--ISNUMBER(SEARCH(","&amp;TRIM(TEXTSPLIT(EA155,","))&amp;",",","&amp;SUBSTITUTE(input_faculty_category," ","")&amp;",")))=COUNTA(TEXTSPLIT(EA155,",")))))</f>
        <v/>
      </c>
      <c r="JF155" s="19">
        <f>AND(IF(EC155="",TRUE,IF(input_faculty_discipline="",FALSE,SUMPRODUCT(--ISNUMBER(SEARCH(","&amp;TRIM(TEXTSPLIT(EC155,","))&amp;",",","&amp;SUBSTITUTE(input_faculty_discipline," ","")&amp;",")))&gt;0)),IF(EE155="",TRUE,IF(input_faculty_discipline="",FALSE,SUMPRODUCT(--ISNUMBER(SEARCH(","&amp;TRIM(TEXTSPLIT(EE155,","))&amp;",",","&amp;SUBSTITUTE(input_faculty_discipline," ","")&amp;",")))=COUNTA(TEXTSPLIT(EE155,",")))),IF(EG155="",TRUE,IF(input_faculty_discipline="",TRUE,SUMPRODUCT(--ISNUMBER(SEARCH(","&amp;TRIM(TEXTSPLIT(EG155,","))&amp;",",","&amp;SUBSTITUTE(input_faculty_discipline," ","")&amp;",")))=0)),IF(EI155="",TRUE,IF(input_faculty_discipline="",FALSE,SUMPRODUCT(--ISNUMBER(SEARCH(","&amp;TRIM(TEXTSPLIT(EI155,","))&amp;",",","&amp;SUBSTITUTE(input_faculty_discipline," ","")&amp;",")))&gt;0)),IF(EK155="",TRUE,IF(input_faculty_discipline="",FALSE,SUMPRODUCT(--ISNUMBER(SEARCH(","&amp;TRIM(TEXTSPLIT(EK155,","))&amp;",",","&amp;SUBSTITUTE(input_faculty_discipline," ","")&amp;",")))=COUNTA(TEXTSPLIT(EK155,",")))))</f>
        <v/>
      </c>
      <c r="JG155" s="19">
        <f>AND(IF(EM155="",TRUE,IF(input_faculty_expertise="",FALSE,SUMPRODUCT(--ISNUMBER(SEARCH(","&amp;TRIM(TEXTSPLIT(EM155,","))&amp;",",","&amp;SUBSTITUTE(input_faculty_expertise," ","")&amp;",")))&gt;0)),IF(EO155="",TRUE,IF(input_faculty_expertise="",FALSE,SUMPRODUCT(--ISNUMBER(SEARCH(","&amp;TRIM(TEXTSPLIT(EO155,","))&amp;",",","&amp;SUBSTITUTE(input_faculty_expertise," ","")&amp;",")))=COUNTA(TEXTSPLIT(EO155,",")))),IF(EQ155="",TRUE,IF(input_faculty_expertise="",TRUE,SUMPRODUCT(--ISNUMBER(SEARCH(","&amp;TRIM(TEXTSPLIT(EQ155,","))&amp;",",","&amp;SUBSTITUTE(input_faculty_expertise," ","")&amp;",")))=0)),IF(ES155="",TRUE,IF(input_faculty_expertise="",FALSE,SUMPRODUCT(--ISNUMBER(SEARCH(","&amp;TRIM(TEXTSPLIT(ES155,","))&amp;",",","&amp;SUBSTITUTE(input_faculty_expertise," ","")&amp;",")))&gt;0)),IF(EU155="",TRUE,IF(input_faculty_expertise="",FALSE,SUMPRODUCT(--ISNUMBER(SEARCH(","&amp;TRIM(TEXTSPLIT(EU155,","))&amp;",",","&amp;SUBSTITUTE(input_faculty_expertise," ","")&amp;",")))=COUNTA(TEXTSPLIT(EU155,",")))))</f>
        <v/>
      </c>
      <c r="JH155" s="19">
        <f>AND(IF(EW155="",TRUE,IF(input_global_network_school="",FALSE,SUMPRODUCT(--ISNUMBER(SEARCH(","&amp;TRIM(TEXTSPLIT(EW155,","))&amp;",",","&amp;SUBSTITUTE(input_global_network_school," ","")&amp;",")))&gt;0)),IF(EY155="",TRUE,IF(input_global_network_school="",FALSE,SUMPRODUCT(--ISNUMBER(SEARCH(","&amp;TRIM(TEXTSPLIT(EY155,","))&amp;",",","&amp;SUBSTITUTE(input_global_network_school," ","")&amp;",")))=COUNTA(TEXTSPLIT(EY155,",")))),IF(FA155="",TRUE,IF(input_global_network_school="",TRUE,SUMPRODUCT(--ISNUMBER(SEARCH(","&amp;TRIM(TEXTSPLIT(FA155,","))&amp;",",","&amp;SUBSTITUTE(input_global_network_school," ","")&amp;",")))=0)),IF(FC155="",TRUE,IF(input_global_network_school="",FALSE,SUMPRODUCT(--ISNUMBER(SEARCH(","&amp;TRIM(TEXTSPLIT(FC155,","))&amp;",",","&amp;SUBSTITUTE(input_global_network_school," ","")&amp;",")))&gt;0)),IF(FE155="",TRUE,IF(input_global_network_school="",FALSE,SUMPRODUCT(--ISNUMBER(SEARCH(","&amp;TRIM(TEXTSPLIT(FE155,","))&amp;",",","&amp;SUBSTITUTE(input_global_network_school," ","")&amp;",")))=COUNTA(TEXTSPLIT(FE155,",")))))</f>
        <v/>
      </c>
      <c r="JI155" s="19">
        <f>AND(IF(FG155="",TRUE,IF(input_industry="",FALSE,SUMPRODUCT(--ISNUMBER(SEARCH(","&amp;TRIM(TEXTSPLIT(FG155,","))&amp;",",","&amp;SUBSTITUTE(input_industry," ","")&amp;",")))&gt;0)),IF(FI155="",TRUE,IF(input_industry="",FALSE,SUMPRODUCT(--ISNUMBER(SEARCH(","&amp;TRIM(TEXTSPLIT(FI155,","))&amp;",",","&amp;SUBSTITUTE(input_industry," ","")&amp;",")))=COUNTA(TEXTSPLIT(FI155,",")))),IF(FK155="",TRUE,IF(input_industry="",TRUE,SUMPRODUCT(--ISNUMBER(SEARCH(","&amp;TRIM(TEXTSPLIT(FK155,","))&amp;",",","&amp;SUBSTITUTE(input_industry," ","")&amp;",")))=0)),IF(FM155="",TRUE,IF(input_industry="",FALSE,SUMPRODUCT(--ISNUMBER(SEARCH(","&amp;TRIM(TEXTSPLIT(FM155,","))&amp;",",","&amp;SUBSTITUTE(input_industry," ","")&amp;",")))&gt;0)),IF(FO155="",TRUE,IF(input_industry="",FALSE,SUMPRODUCT(--ISNUMBER(SEARCH(","&amp;TRIM(TEXTSPLIT(FO155,","))&amp;",",","&amp;SUBSTITUTE(input_industry," ","")&amp;",")))=COUNTA(TEXTSPLIT(FO155,",")))))</f>
        <v/>
      </c>
      <c r="JJ155" s="19">
        <f>AND(IF(FQ155="",TRUE,IF(input_location="",FALSE,SUMPRODUCT(--ISNUMBER(SEARCH(","&amp;TRIM(TEXTSPLIT(FQ155,","))&amp;",",","&amp;SUBSTITUTE(input_location," ","")&amp;",")))&gt;0)),IF(FS155="",TRUE,IF(input_location="",FALSE,SUMPRODUCT(--ISNUMBER(SEARCH(","&amp;TRIM(TEXTSPLIT(FS155,","))&amp;",",","&amp;SUBSTITUTE(input_location," ","")&amp;",")))=COUNTA(TEXTSPLIT(FS155,",")))),IF(FU155="",TRUE,IF(input_location="",TRUE,SUMPRODUCT(--ISNUMBER(SEARCH(","&amp;TRIM(TEXTSPLIT(FU155,","))&amp;",",","&amp;SUBSTITUTE(input_location," ","")&amp;",")))=0)),IF(FW155="",TRUE,IF(input_location="",FALSE,SUMPRODUCT(--ISNUMBER(SEARCH(","&amp;TRIM(TEXTSPLIT(FW155,","))&amp;",",","&amp;SUBSTITUTE(input_location," ","")&amp;",")))&gt;0)),IF(FY155="",TRUE,IF(input_location="",FALSE,SUMPRODUCT(--ISNUMBER(SEARCH(","&amp;TRIM(TEXTSPLIT(FY155,","))&amp;",",","&amp;SUBSTITUTE(input_location," ","")&amp;",")))=COUNTA(TEXTSPLIT(FY155,",")))))</f>
        <v/>
      </c>
      <c r="JK155" s="19">
        <f>AND(IF(GA155="",TRUE,IF(input_modality="",FALSE,SUMPRODUCT(--ISNUMBER(SEARCH(","&amp;TRIM(TEXTSPLIT(GA155,","))&amp;",",","&amp;SUBSTITUTE(input_modality," ","")&amp;",")))&gt;0)),IF(GC155="",TRUE,IF(input_modality="",FALSE,SUMPRODUCT(--ISNUMBER(SEARCH(","&amp;TRIM(TEXTSPLIT(GC155,","))&amp;",",","&amp;SUBSTITUTE(input_modality," ","")&amp;",")))=COUNTA(TEXTSPLIT(GC155,",")))),IF(GE155="",TRUE,IF(input_modality="",TRUE,SUMPRODUCT(--ISNUMBER(SEARCH(","&amp;TRIM(TEXTSPLIT(GE155,","))&amp;",",","&amp;SUBSTITUTE(input_modality," ","")&amp;",")))=0)),IF(GG155="",TRUE,IF(input_modality="",FALSE,SUMPRODUCT(--ISNUMBER(SEARCH(","&amp;TRIM(TEXTSPLIT(GG155,","))&amp;",",","&amp;SUBSTITUTE(input_modality," ","")&amp;",")))&gt;0)),IF(GI155="",TRUE,IF(input_modality="",FALSE,SUMPRODUCT(--ISNUMBER(SEARCH(","&amp;TRIM(TEXTSPLIT(GI155,","))&amp;",",","&amp;SUBSTITUTE(input_modality," ","")&amp;",")))=COUNTA(TEXTSPLIT(GI155,",")))))</f>
        <v/>
      </c>
      <c r="JL155" s="19">
        <f>AND(IF(GK155="",TRUE,IF(input_organizer="",FALSE,SUMPRODUCT(--ISNUMBER(SEARCH(","&amp;TRIM(TEXTSPLIT(GK155,","))&amp;",",","&amp;SUBSTITUTE(input_organizer," ","")&amp;",")))&gt;0)),IF(GM155="",TRUE,IF(input_organizer="",FALSE,SUMPRODUCT(--ISNUMBER(SEARCH(","&amp;TRIM(TEXTSPLIT(GM155,","))&amp;",",","&amp;SUBSTITUTE(input_organizer," ","")&amp;",")))=COUNTA(TEXTSPLIT(GM155,",")))),IF(GO155="",TRUE,IF(input_organizer="",TRUE,SUMPRODUCT(--ISNUMBER(SEARCH(","&amp;TRIM(TEXTSPLIT(GO155,","))&amp;",",","&amp;SUBSTITUTE(input_organizer," ","")&amp;",")))=0)),IF(GQ155="",TRUE,IF(input_organizer="",FALSE,SUMPRODUCT(--ISNUMBER(SEARCH(","&amp;TRIM(TEXTSPLIT(GQ155,","))&amp;",",","&amp;SUBSTITUTE(input_organizer," ","")&amp;",")))&gt;0)),IF(GS155="",TRUE,IF(input_organizer="",FALSE,SUMPRODUCT(--ISNUMBER(SEARCH(","&amp;TRIM(TEXTSPLIT(GS155,","))&amp;",",","&amp;SUBSTITUTE(input_organizer," ","")&amp;",")))=COUNTA(TEXTSPLIT(GS155,",")))))</f>
        <v/>
      </c>
      <c r="JM155" s="19">
        <f>AND(IF(GU155="",TRUE,IF(input_profile_type="",FALSE,SUMPRODUCT(--ISNUMBER(SEARCH(","&amp;TRIM(TEXTSPLIT(GU155,","))&amp;",",","&amp;SUBSTITUTE(input_profile_type," ","")&amp;",")))&gt;0)),IF(GW155="",TRUE,IF(input_profile_type="",FALSE,SUMPRODUCT(--ISNUMBER(SEARCH(","&amp;TRIM(TEXTSPLIT(GW155,","))&amp;",",","&amp;SUBSTITUTE(input_profile_type," ","")&amp;",")))=COUNTA(TEXTSPLIT(GW155,",")))),IF(GY155="",TRUE,IF(input_profile_type="",TRUE,SUMPRODUCT(--ISNUMBER(SEARCH(","&amp;TRIM(TEXTSPLIT(GY155,","))&amp;",",","&amp;SUBSTITUTE(input_profile_type," ","")&amp;",")))=0)),IF(HA155="",TRUE,IF(input_profile_type="",FALSE,SUMPRODUCT(--ISNUMBER(SEARCH(","&amp;TRIM(TEXTSPLIT(HA155,","))&amp;",",","&amp;SUBSTITUTE(input_profile_type," ","")&amp;",")))&gt;0)),IF(HC155="",TRUE,IF(input_profile_type="",FALSE,SUMPRODUCT(--ISNUMBER(SEARCH(","&amp;TRIM(TEXTSPLIT(HC155,","))&amp;",",","&amp;SUBSTITUTE(input_profile_type," ","")&amp;",")))=COUNTA(TEXTSPLIT(HC155,",")))))</f>
        <v/>
      </c>
      <c r="JN155" s="19">
        <f>AND(IF(HE155="",TRUE,IF(input_program="",FALSE,SUMPRODUCT(--ISNUMBER(SEARCH(","&amp;TRIM(TEXTSPLIT(HE155,","))&amp;",",","&amp;SUBSTITUTE(input_program," ","")&amp;",")))&gt;0)),IF(HG155="",TRUE,IF(input_program="",FALSE,SUMPRODUCT(--ISNUMBER(SEARCH(","&amp;TRIM(TEXTSPLIT(HG155,","))&amp;",",","&amp;SUBSTITUTE(input_program," ","")&amp;",")))=COUNTA(TEXTSPLIT(HG155,",")))),IF(HI155="",TRUE,IF(input_program="",TRUE,SUMPRODUCT(--ISNUMBER(SEARCH(","&amp;TRIM(TEXTSPLIT(HI155,","))&amp;",",","&amp;SUBSTITUTE(input_program," ","")&amp;",")))=0)),IF(HK155="",TRUE,IF(input_program="",FALSE,SUMPRODUCT(--ISNUMBER(SEARCH(","&amp;TRIM(TEXTSPLIT(HK155,","))&amp;",",","&amp;SUBSTITUTE(input_program," ","")&amp;",")))&gt;0)),IF(HM155="",TRUE,IF(input_program="",FALSE,SUMPRODUCT(--ISNUMBER(SEARCH(","&amp;TRIM(TEXTSPLIT(HM155,","))&amp;",",","&amp;SUBSTITUTE(input_program," ","")&amp;",")))=COUNTA(TEXTSPLIT(HM155,",")))))</f>
        <v/>
      </c>
      <c r="JO155" s="19">
        <f>AND(IF(HO155="",TRUE,IF(input_story_categories="",FALSE,SUMPRODUCT(--ISNUMBER(SEARCH(","&amp;TRIM(TEXTSPLIT(HO155,","))&amp;",",","&amp;SUBSTITUTE(input_story_categories," ","")&amp;",")))&gt;0)),IF(HQ155="",TRUE,IF(input_story_categories="",FALSE,SUMPRODUCT(--ISNUMBER(SEARCH(","&amp;TRIM(TEXTSPLIT(HQ155,","))&amp;",",","&amp;SUBSTITUTE(input_story_categories," ","")&amp;",")))=COUNTA(TEXTSPLIT(HQ155,",")))),IF(HS155="",TRUE,IF(input_story_categories="",TRUE,SUMPRODUCT(--ISNUMBER(SEARCH(","&amp;TRIM(TEXTSPLIT(HS155,","))&amp;",",","&amp;SUBSTITUTE(input_story_categories," ","")&amp;",")))=0)),IF(HU155="",TRUE,IF(input_story_categories="",FALSE,SUMPRODUCT(--ISNUMBER(SEARCH(","&amp;TRIM(TEXTSPLIT(HU155,","))&amp;",",","&amp;SUBSTITUTE(input_story_categories," ","")&amp;",")))&gt;0)),IF(HW155="",TRUE,IF(input_story_categories="",FALSE,SUMPRODUCT(--ISNUMBER(SEARCH(","&amp;TRIM(TEXTSPLIT(HW155,","))&amp;",",","&amp;SUBSTITUTE(input_story_categories," ","")&amp;",")))=COUNTA(TEXTSPLIT(HW155,",")))))</f>
        <v/>
      </c>
      <c r="JP155" s="19">
        <f>AND(IF(HY155="",TRUE,IF(input_story_type="",FALSE,SUMPRODUCT(--ISNUMBER(SEARCH(","&amp;TRIM(TEXTSPLIT(HY155,","))&amp;",",","&amp;SUBSTITUTE(input_story_type," ","")&amp;",")))&gt;0)),IF(IA155="",TRUE,IF(input_story_type="",FALSE,SUMPRODUCT(--ISNUMBER(SEARCH(","&amp;TRIM(TEXTSPLIT(IA155,","))&amp;",",","&amp;SUBSTITUTE(input_story_type," ","")&amp;",")))=COUNTA(TEXTSPLIT(IA155,",")))),IF(IC155="",TRUE,IF(input_story_type="",TRUE,SUMPRODUCT(--ISNUMBER(SEARCH(","&amp;TRIM(TEXTSPLIT(IC155,","))&amp;",",","&amp;SUBSTITUTE(input_story_type," ","")&amp;",")))=0)),IF(IE155="",TRUE,IF(input_story_type="",FALSE,SUMPRODUCT(--ISNUMBER(SEARCH(","&amp;TRIM(TEXTSPLIT(IE155,","))&amp;",",","&amp;SUBSTITUTE(input_story_type," ","")&amp;",")))&gt;0)),IF(IG155="",TRUE,IF(input_story_type="",FALSE,SUMPRODUCT(--ISNUMBER(SEARCH(","&amp;TRIM(TEXTSPLIT(IG155,","))&amp;",",","&amp;SUBSTITUTE(input_story_type," ","")&amp;",")))=COUNTA(TEXTSPLIT(IG155,",")))))</f>
        <v/>
      </c>
      <c r="JQ155" s="19">
        <f>AND(IF(II155="",TRUE,IF(input_topics="",FALSE,SUMPRODUCT(--ISNUMBER(SEARCH(","&amp;TRIM(TEXTSPLIT(II155,","))&amp;",",","&amp;SUBSTITUTE(input_topics," ","")&amp;",")))&gt;0)),IF(IK155="",TRUE,IF(input_topics="",FALSE,SUMPRODUCT(--ISNUMBER(SEARCH(","&amp;TRIM(TEXTSPLIT(IK155,","))&amp;",",","&amp;SUBSTITUTE(input_topics," ","")&amp;",")))=COUNTA(TEXTSPLIT(IK155,",")))),IF(IM155="",TRUE,IF(input_topics="",TRUE,SUMPRODUCT(--ISNUMBER(SEARCH(","&amp;TRIM(TEXTSPLIT(IM155,","))&amp;",",","&amp;SUBSTITUTE(input_topics," ","")&amp;",")))=0)),IF(IO155="",TRUE,IF(input_topics="",FALSE,SUMPRODUCT(--ISNUMBER(SEARCH(","&amp;TRIM(TEXTSPLIT(IO155,","))&amp;",",","&amp;SUBSTITUTE(input_topics," ","")&amp;",")))&gt;0)),IF(IQ155="",TRUE,IF(input_topics="",FALSE,SUMPRODUCT(--ISNUMBER(SEARCH(","&amp;TRIM(TEXTSPLIT(IQ155,","))&amp;",",","&amp;SUBSTITUTE(input_topics," ","")&amp;",")))=COUNTA(TEXTSPLIT(IQ155,",")))))</f>
        <v/>
      </c>
    </row>
    <row r="156">
      <c r="A156" s="24">
        <f>IF(NOT(IS156),"Excluded",IF(AND(IT156,IU156,IV156,IW156,IX156,IY156,IZ156,JA156,JB156,JC156,JD156,JE156,JF156,JG156,JH156,JI156,JJ156,JK156,JL156,JM156,JN156,JO156,JP156,JQ156),IF(I156&gt;0,"Eligible but limited","Will appear"),"Excluded"))</f>
        <v/>
      </c>
      <c r="B156" s="24" t="inlineStr">
        <is>
          <t>Recruiting Journeys</t>
        </is>
      </c>
      <c r="C156" s="27" t="inlineStr">
        <is>
          <t>/about/headlines/all-headlines/recruiting-journeys</t>
        </is>
      </c>
      <c r="D156" s="24" t="inlineStr">
        <is>
          <t>/about/headlines/all-headlines/recruiting-journeys</t>
        </is>
      </c>
      <c r="E156" s="24" t="n">
        <v>1</v>
      </c>
      <c r="F156" s="24" t="inlineStr">
        <is>
          <t>story</t>
        </is>
      </c>
      <c r="G156" s="24" t="inlineStr">
        <is>
          <t>stories_list</t>
        </is>
      </c>
      <c r="H156" s="24" t="inlineStr">
        <is>
          <t>embed_1</t>
        </is>
      </c>
      <c r="I156" s="24" t="n">
        <v>10</v>
      </c>
      <c r="J156" s="28" t="inlineStr">
        <is>
          <t>Explicit args</t>
        </is>
      </c>
      <c r="K156" s="24" t="inlineStr">
        <is>
          <t>Page placement</t>
        </is>
      </c>
      <c r="L156" s="24" t="inlineStr">
        <is>
          <t>Content type: story; Context uses Courses Context: Recruiting Journeys (1566); Limited to 10 item(s); Source: Explicit args</t>
        </is>
      </c>
      <c r="BQ156" s="19" t="inlineStr">
        <is>
          <t>1566</t>
        </is>
      </c>
      <c r="BR156" s="19" t="inlineStr">
        <is>
          <t>Recruiting Journeys (1566)</t>
        </is>
      </c>
      <c r="IS156" s="19">
        <f>IF(input_content_type="",FALSE,ISNUMBER(SEARCH(","&amp;LOWER(input_content_type)&amp;",",","&amp;LOWER(SUBSTITUTE(F156," ",""))&amp;",")))</f>
        <v/>
      </c>
      <c r="IT156" s="19">
        <f>AND(IF(M156="",TRUE,IF(input_affiliations="",FALSE,SUMPRODUCT(--ISNUMBER(SEARCH(","&amp;TRIM(TEXTSPLIT(M156,","))&amp;",",","&amp;SUBSTITUTE(input_affiliations," ","")&amp;",")))&gt;0)),IF(O156="",TRUE,IF(input_affiliations="",FALSE,SUMPRODUCT(--ISNUMBER(SEARCH(","&amp;TRIM(TEXTSPLIT(O156,","))&amp;",",","&amp;SUBSTITUTE(input_affiliations," ","")&amp;",")))=COUNTA(TEXTSPLIT(O156,",")))),IF(Q156="",TRUE,IF(input_affiliations="",TRUE,SUMPRODUCT(--ISNUMBER(SEARCH(","&amp;TRIM(TEXTSPLIT(Q156,","))&amp;",",","&amp;SUBSTITUTE(input_affiliations," ","")&amp;",")))=0)),IF(S156="",TRUE,IF(input_affiliations="",FALSE,SUMPRODUCT(--ISNUMBER(SEARCH(","&amp;TRIM(TEXTSPLIT(S156,","))&amp;",",","&amp;SUBSTITUTE(input_affiliations," ","")&amp;",")))&gt;0)),IF(U156="",TRUE,IF(input_affiliations="",FALSE,SUMPRODUCT(--ISNUMBER(SEARCH(","&amp;TRIM(TEXTSPLIT(U156,","))&amp;",",","&amp;SUBSTITUTE(input_affiliations," ","")&amp;",")))=COUNTA(TEXTSPLIT(U156,",")))))</f>
        <v/>
      </c>
      <c r="IU156" s="19">
        <f>AND(IF(W156="",TRUE,IF(input_announcement_category="",FALSE,SUMPRODUCT(--ISNUMBER(SEARCH(","&amp;TRIM(TEXTSPLIT(W156,","))&amp;",",","&amp;SUBSTITUTE(input_announcement_category," ","")&amp;",")))&gt;0)),IF(Y156="",TRUE,IF(input_announcement_category="",FALSE,SUMPRODUCT(--ISNUMBER(SEARCH(","&amp;TRIM(TEXTSPLIT(Y156,","))&amp;",",","&amp;SUBSTITUTE(input_announcement_category," ","")&amp;",")))=COUNTA(TEXTSPLIT(Y156,",")))),IF(AA156="",TRUE,IF(input_announcement_category="",TRUE,SUMPRODUCT(--ISNUMBER(SEARCH(","&amp;TRIM(TEXTSPLIT(AA156,","))&amp;",",","&amp;SUBSTITUTE(input_announcement_category," ","")&amp;",")))=0)),IF(AC156="",TRUE,IF(input_announcement_category="",FALSE,SUMPRODUCT(--ISNUMBER(SEARCH(","&amp;TRIM(TEXTSPLIT(AC156,","))&amp;",",","&amp;SUBSTITUTE(input_announcement_category," ","")&amp;",")))&gt;0)),IF(AE156="",TRUE,IF(input_announcement_category="",FALSE,SUMPRODUCT(--ISNUMBER(SEARCH(","&amp;TRIM(TEXTSPLIT(AE156,","))&amp;",",","&amp;SUBSTITUTE(input_announcement_category," ","")&amp;",")))=COUNTA(TEXTSPLIT(AE156,",")))))</f>
        <v/>
      </c>
      <c r="IV156" s="19">
        <f>AND(IF(AG156="",TRUE,IF(input_area_of_focus="",FALSE,SUMPRODUCT(--ISNUMBER(SEARCH(","&amp;TRIM(TEXTSPLIT(AG156,","))&amp;",",","&amp;SUBSTITUTE(input_area_of_focus," ","")&amp;",")))&gt;0)),IF(AI156="",TRUE,IF(input_area_of_focus="",FALSE,SUMPRODUCT(--ISNUMBER(SEARCH(","&amp;TRIM(TEXTSPLIT(AI156,","))&amp;",",","&amp;SUBSTITUTE(input_area_of_focus," ","")&amp;",")))=COUNTA(TEXTSPLIT(AI156,",")))),IF(AK156="",TRUE,IF(input_area_of_focus="",TRUE,SUMPRODUCT(--ISNUMBER(SEARCH(","&amp;TRIM(TEXTSPLIT(AK156,","))&amp;",",","&amp;SUBSTITUTE(input_area_of_focus," ","")&amp;",")))=0)),IF(AM156="",TRUE,IF(input_area_of_focus="",FALSE,SUMPRODUCT(--ISNUMBER(SEARCH(","&amp;TRIM(TEXTSPLIT(AM156,","))&amp;",",","&amp;SUBSTITUTE(input_area_of_focus," ","")&amp;",")))&gt;0)),IF(AO156="",TRUE,IF(input_area_of_focus="",FALSE,SUMPRODUCT(--ISNUMBER(SEARCH(","&amp;TRIM(TEXTSPLIT(AO156,","))&amp;",",","&amp;SUBSTITUTE(input_area_of_focus," ","")&amp;",")))=COUNTA(TEXTSPLIT(AO156,",")))))</f>
        <v/>
      </c>
      <c r="IW156" s="19">
        <f>AND(IF(AQ156="",TRUE,IF(input_audience="",FALSE,SUMPRODUCT(--ISNUMBER(SEARCH(","&amp;TRIM(TEXTSPLIT(AQ156,","))&amp;",",","&amp;SUBSTITUTE(input_audience," ","")&amp;",")))&gt;0)),IF(AS156="",TRUE,IF(input_audience="",FALSE,SUMPRODUCT(--ISNUMBER(SEARCH(","&amp;TRIM(TEXTSPLIT(AS156,","))&amp;",",","&amp;SUBSTITUTE(input_audience," ","")&amp;",")))=COUNTA(TEXTSPLIT(AS156,",")))),IF(AU156="",TRUE,IF(input_audience="",TRUE,SUMPRODUCT(--ISNUMBER(SEARCH(","&amp;TRIM(TEXTSPLIT(AU156,","))&amp;",",","&amp;SUBSTITUTE(input_audience," ","")&amp;",")))=0)),IF(AW156="",TRUE,IF(input_audience="",FALSE,SUMPRODUCT(--ISNUMBER(SEARCH(","&amp;TRIM(TEXTSPLIT(AW156,","))&amp;",",","&amp;SUBSTITUTE(input_audience," ","")&amp;",")))&gt;0)),IF(AY156="",TRUE,IF(input_audience="",FALSE,SUMPRODUCT(--ISNUMBER(SEARCH(","&amp;TRIM(TEXTSPLIT(AY156,","))&amp;",",","&amp;SUBSTITUTE(input_audience," ","")&amp;",")))=COUNTA(TEXTSPLIT(AY156,",")))))</f>
        <v/>
      </c>
      <c r="IX156" s="19">
        <f>AND(IF(BA156="",TRUE,IF(input_challenge_opportunities="",FALSE,SUMPRODUCT(--ISNUMBER(SEARCH(","&amp;TRIM(TEXTSPLIT(BA156,","))&amp;",",","&amp;SUBSTITUTE(input_challenge_opportunities," ","")&amp;",")))&gt;0)),IF(BC156="",TRUE,IF(input_challenge_opportunities="",FALSE,SUMPRODUCT(--ISNUMBER(SEARCH(","&amp;TRIM(TEXTSPLIT(BC156,","))&amp;",",","&amp;SUBSTITUTE(input_challenge_opportunities," ","")&amp;",")))=COUNTA(TEXTSPLIT(BC156,",")))),IF(BE156="",TRUE,IF(input_challenge_opportunities="",TRUE,SUMPRODUCT(--ISNUMBER(SEARCH(","&amp;TRIM(TEXTSPLIT(BE156,","))&amp;",",","&amp;SUBSTITUTE(input_challenge_opportunities," ","")&amp;",")))=0)),IF(BG156="",TRUE,IF(input_challenge_opportunities="",FALSE,SUMPRODUCT(--ISNUMBER(SEARCH(","&amp;TRIM(TEXTSPLIT(BG156,","))&amp;",",","&amp;SUBSTITUTE(input_challenge_opportunities," ","")&amp;",")))&gt;0)),IF(BI156="",TRUE,IF(input_challenge_opportunities="",FALSE,SUMPRODUCT(--ISNUMBER(SEARCH(","&amp;TRIM(TEXTSPLIT(BI156,","))&amp;",",","&amp;SUBSTITUTE(input_challenge_opportunities," ","")&amp;",")))=COUNTA(TEXTSPLIT(BI156,",")))))</f>
        <v/>
      </c>
      <c r="IY156" s="19">
        <f>AND(IF(BK156="",TRUE,IF(input_context="",FALSE,SUMPRODUCT(--ISNUMBER(SEARCH(","&amp;TRIM(TEXTSPLIT(BK156,","))&amp;",",","&amp;SUBSTITUTE(input_context," ","")&amp;",")))&gt;0)),IF(BM156="",TRUE,IF(input_context="",FALSE,SUMPRODUCT(--ISNUMBER(SEARCH(","&amp;TRIM(TEXTSPLIT(BM156,","))&amp;",",","&amp;SUBSTITUTE(input_context," ","")&amp;",")))=COUNTA(TEXTSPLIT(BM156,",")))),IF(BO156="",TRUE,IF(input_context="",TRUE,SUMPRODUCT(--ISNUMBER(SEARCH(","&amp;TRIM(TEXTSPLIT(BO156,","))&amp;",",","&amp;SUBSTITUTE(input_context," ","")&amp;",")))=0)),IF(BQ156="",TRUE,IF(input_context="",FALSE,SUMPRODUCT(--ISNUMBER(SEARCH(","&amp;TRIM(TEXTSPLIT(BQ156,","))&amp;",",","&amp;SUBSTITUTE(input_context," ","")&amp;",")))&gt;0)),IF(BS156="",TRUE,IF(input_context="",FALSE,SUMPRODUCT(--ISNUMBER(SEARCH(","&amp;TRIM(TEXTSPLIT(BS156,","))&amp;",",","&amp;SUBSTITUTE(input_context," ","")&amp;",")))=COUNTA(TEXTSPLIT(BS156,",")))))</f>
        <v/>
      </c>
      <c r="IZ156" s="19">
        <f>AND(IF(BU156="",TRUE,IF(input_enews_announcement_type="",FALSE,SUMPRODUCT(--ISNUMBER(SEARCH(","&amp;TRIM(TEXTSPLIT(BU156,","))&amp;",",","&amp;SUBSTITUTE(input_enews_announcement_type," ","")&amp;",")))&gt;0)),IF(BW156="",TRUE,IF(input_enews_announcement_type="",FALSE,SUMPRODUCT(--ISNUMBER(SEARCH(","&amp;TRIM(TEXTSPLIT(BW156,","))&amp;",",","&amp;SUBSTITUTE(input_enews_announcement_type," ","")&amp;",")))=COUNTA(TEXTSPLIT(BW156,",")))),IF(BY156="",TRUE,IF(input_enews_announcement_type="",TRUE,SUMPRODUCT(--ISNUMBER(SEARCH(","&amp;TRIM(TEXTSPLIT(BY156,","))&amp;",",","&amp;SUBSTITUTE(input_enews_announcement_type," ","")&amp;",")))=0)),IF(CA156="",TRUE,IF(input_enews_announcement_type="",FALSE,SUMPRODUCT(--ISNUMBER(SEARCH(","&amp;TRIM(TEXTSPLIT(CA156,","))&amp;",",","&amp;SUBSTITUTE(input_enews_announcement_type," ","")&amp;",")))&gt;0)),IF(CC156="",TRUE,IF(input_enews_announcement_type="",FALSE,SUMPRODUCT(--ISNUMBER(SEARCH(","&amp;TRIM(TEXTSPLIT(CC156,","))&amp;",",","&amp;SUBSTITUTE(input_enews_announcement_type," ","")&amp;",")))=COUNTA(TEXTSPLIT(CC156,",")))))</f>
        <v/>
      </c>
      <c r="JA156" s="19">
        <f>AND(IF(CE156="",TRUE,IF(input_enews_audience="",FALSE,SUMPRODUCT(--ISNUMBER(SEARCH(","&amp;TRIM(TEXTSPLIT(CE156,","))&amp;",",","&amp;SUBSTITUTE(input_enews_audience," ","")&amp;",")))&gt;0)),IF(CG156="",TRUE,IF(input_enews_audience="",FALSE,SUMPRODUCT(--ISNUMBER(SEARCH(","&amp;TRIM(TEXTSPLIT(CG156,","))&amp;",",","&amp;SUBSTITUTE(input_enews_audience," ","")&amp;",")))=COUNTA(TEXTSPLIT(CG156,",")))),IF(CI156="",TRUE,IF(input_enews_audience="",TRUE,SUMPRODUCT(--ISNUMBER(SEARCH(","&amp;TRIM(TEXTSPLIT(CI156,","))&amp;",",","&amp;SUBSTITUTE(input_enews_audience," ","")&amp;",")))=0)),IF(CK156="",TRUE,IF(input_enews_audience="",FALSE,SUMPRODUCT(--ISNUMBER(SEARCH(","&amp;TRIM(TEXTSPLIT(CK156,","))&amp;",",","&amp;SUBSTITUTE(input_enews_audience," ","")&amp;",")))&gt;0)),IF(CM156="",TRUE,IF(input_enews_audience="",FALSE,SUMPRODUCT(--ISNUMBER(SEARCH(","&amp;TRIM(TEXTSPLIT(CM156,","))&amp;",",","&amp;SUBSTITUTE(input_enews_audience," ","")&amp;",")))=COUNTA(TEXTSPLIT(CM156,",")))))</f>
        <v/>
      </c>
      <c r="JB156" s="19">
        <f>AND(IF(CO156="",TRUE,IF(input_event_location="",FALSE,SUMPRODUCT(--ISNUMBER(SEARCH(","&amp;TRIM(TEXTSPLIT(CO156,","))&amp;",",","&amp;SUBSTITUTE(input_event_location," ","")&amp;",")))&gt;0)),IF(CQ156="",TRUE,IF(input_event_location="",FALSE,SUMPRODUCT(--ISNUMBER(SEARCH(","&amp;TRIM(TEXTSPLIT(CQ156,","))&amp;",",","&amp;SUBSTITUTE(input_event_location," ","")&amp;",")))=COUNTA(TEXTSPLIT(CQ156,",")))),IF(CS156="",TRUE,IF(input_event_location="",TRUE,SUMPRODUCT(--ISNUMBER(SEARCH(","&amp;TRIM(TEXTSPLIT(CS156,","))&amp;",",","&amp;SUBSTITUTE(input_event_location," ","")&amp;",")))=0)),IF(CU156="",TRUE,IF(input_event_location="",FALSE,SUMPRODUCT(--ISNUMBER(SEARCH(","&amp;TRIM(TEXTSPLIT(CU156,","))&amp;",",","&amp;SUBSTITUTE(input_event_location," ","")&amp;",")))&gt;0)),IF(CW156="",TRUE,IF(input_event_location="",FALSE,SUMPRODUCT(--ISNUMBER(SEARCH(","&amp;TRIM(TEXTSPLIT(CW156,","))&amp;",",","&amp;SUBSTITUTE(input_event_location," ","")&amp;",")))=COUNTA(TEXTSPLIT(CW156,",")))))</f>
        <v/>
      </c>
      <c r="JC156" s="19">
        <f>AND(IF(CY156="",TRUE,IF(input_event_type="",FALSE,SUMPRODUCT(--ISNUMBER(SEARCH(","&amp;TRIM(TEXTSPLIT(CY156,","))&amp;",",","&amp;SUBSTITUTE(input_event_type," ","")&amp;",")))&gt;0)),IF(DA156="",TRUE,IF(input_event_type="",FALSE,SUMPRODUCT(--ISNUMBER(SEARCH(","&amp;TRIM(TEXTSPLIT(DA156,","))&amp;",",","&amp;SUBSTITUTE(input_event_type," ","")&amp;",")))=COUNTA(TEXTSPLIT(DA156,",")))),IF(DC156="",TRUE,IF(input_event_type="",TRUE,SUMPRODUCT(--ISNUMBER(SEARCH(","&amp;TRIM(TEXTSPLIT(DC156,","))&amp;",",","&amp;SUBSTITUTE(input_event_type," ","")&amp;",")))=0)),IF(DE156="",TRUE,IF(input_event_type="",FALSE,SUMPRODUCT(--ISNUMBER(SEARCH(","&amp;TRIM(TEXTSPLIT(DE156,","))&amp;",",","&amp;SUBSTITUTE(input_event_type," ","")&amp;",")))&gt;0)),IF(DG156="",TRUE,IF(input_event_type="",FALSE,SUMPRODUCT(--ISNUMBER(SEARCH(","&amp;TRIM(TEXTSPLIT(DG156,","))&amp;",",","&amp;SUBSTITUTE(input_event_type," ","")&amp;",")))=COUNTA(TEXTSPLIT(DG156,",")))))</f>
        <v/>
      </c>
      <c r="JD156" s="19">
        <f>AND(IF(DI156="",TRUE,IF(input_executive_education_focus="",FALSE,SUMPRODUCT(--ISNUMBER(SEARCH(","&amp;TRIM(TEXTSPLIT(DI156,","))&amp;",",","&amp;SUBSTITUTE(input_executive_education_focus," ","")&amp;",")))&gt;0)),IF(DK156="",TRUE,IF(input_executive_education_focus="",FALSE,SUMPRODUCT(--ISNUMBER(SEARCH(","&amp;TRIM(TEXTSPLIT(DK156,","))&amp;",",","&amp;SUBSTITUTE(input_executive_education_focus," ","")&amp;",")))=COUNTA(TEXTSPLIT(DK156,",")))),IF(DM156="",TRUE,IF(input_executive_education_focus="",TRUE,SUMPRODUCT(--ISNUMBER(SEARCH(","&amp;TRIM(TEXTSPLIT(DM156,","))&amp;",",","&amp;SUBSTITUTE(input_executive_education_focus," ","")&amp;",")))=0)),IF(DO156="",TRUE,IF(input_executive_education_focus="",FALSE,SUMPRODUCT(--ISNUMBER(SEARCH(","&amp;TRIM(TEXTSPLIT(DO156,","))&amp;",",","&amp;SUBSTITUTE(input_executive_education_focus," ","")&amp;",")))&gt;0)),IF(DQ156="",TRUE,IF(input_executive_education_focus="",FALSE,SUMPRODUCT(--ISNUMBER(SEARCH(","&amp;TRIM(TEXTSPLIT(DQ156,","))&amp;",",","&amp;SUBSTITUTE(input_executive_education_focus," ","")&amp;",")))=COUNTA(TEXTSPLIT(DQ156,",")))))</f>
        <v/>
      </c>
      <c r="JE156" s="19">
        <f>AND(IF(DS156="",TRUE,IF(input_faculty_category="",FALSE,SUMPRODUCT(--ISNUMBER(SEARCH(","&amp;TRIM(TEXTSPLIT(DS156,","))&amp;",",","&amp;SUBSTITUTE(input_faculty_category," ","")&amp;",")))&gt;0)),IF(DU156="",TRUE,IF(input_faculty_category="",FALSE,SUMPRODUCT(--ISNUMBER(SEARCH(","&amp;TRIM(TEXTSPLIT(DU156,","))&amp;",",","&amp;SUBSTITUTE(input_faculty_category," ","")&amp;",")))=COUNTA(TEXTSPLIT(DU156,",")))),IF(DW156="",TRUE,IF(input_faculty_category="",TRUE,SUMPRODUCT(--ISNUMBER(SEARCH(","&amp;TRIM(TEXTSPLIT(DW156,","))&amp;",",","&amp;SUBSTITUTE(input_faculty_category," ","")&amp;",")))=0)),IF(DY156="",TRUE,IF(input_faculty_category="",FALSE,SUMPRODUCT(--ISNUMBER(SEARCH(","&amp;TRIM(TEXTSPLIT(DY156,","))&amp;",",","&amp;SUBSTITUTE(input_faculty_category," ","")&amp;",")))&gt;0)),IF(EA156="",TRUE,IF(input_faculty_category="",FALSE,SUMPRODUCT(--ISNUMBER(SEARCH(","&amp;TRIM(TEXTSPLIT(EA156,","))&amp;",",","&amp;SUBSTITUTE(input_faculty_category," ","")&amp;",")))=COUNTA(TEXTSPLIT(EA156,",")))))</f>
        <v/>
      </c>
      <c r="JF156" s="19">
        <f>AND(IF(EC156="",TRUE,IF(input_faculty_discipline="",FALSE,SUMPRODUCT(--ISNUMBER(SEARCH(","&amp;TRIM(TEXTSPLIT(EC156,","))&amp;",",","&amp;SUBSTITUTE(input_faculty_discipline," ","")&amp;",")))&gt;0)),IF(EE156="",TRUE,IF(input_faculty_discipline="",FALSE,SUMPRODUCT(--ISNUMBER(SEARCH(","&amp;TRIM(TEXTSPLIT(EE156,","))&amp;",",","&amp;SUBSTITUTE(input_faculty_discipline," ","")&amp;",")))=COUNTA(TEXTSPLIT(EE156,",")))),IF(EG156="",TRUE,IF(input_faculty_discipline="",TRUE,SUMPRODUCT(--ISNUMBER(SEARCH(","&amp;TRIM(TEXTSPLIT(EG156,","))&amp;",",","&amp;SUBSTITUTE(input_faculty_discipline," ","")&amp;",")))=0)),IF(EI156="",TRUE,IF(input_faculty_discipline="",FALSE,SUMPRODUCT(--ISNUMBER(SEARCH(","&amp;TRIM(TEXTSPLIT(EI156,","))&amp;",",","&amp;SUBSTITUTE(input_faculty_discipline," ","")&amp;",")))&gt;0)),IF(EK156="",TRUE,IF(input_faculty_discipline="",FALSE,SUMPRODUCT(--ISNUMBER(SEARCH(","&amp;TRIM(TEXTSPLIT(EK156,","))&amp;",",","&amp;SUBSTITUTE(input_faculty_discipline," ","")&amp;",")))=COUNTA(TEXTSPLIT(EK156,",")))))</f>
        <v/>
      </c>
      <c r="JG156" s="19">
        <f>AND(IF(EM156="",TRUE,IF(input_faculty_expertise="",FALSE,SUMPRODUCT(--ISNUMBER(SEARCH(","&amp;TRIM(TEXTSPLIT(EM156,","))&amp;",",","&amp;SUBSTITUTE(input_faculty_expertise," ","")&amp;",")))&gt;0)),IF(EO156="",TRUE,IF(input_faculty_expertise="",FALSE,SUMPRODUCT(--ISNUMBER(SEARCH(","&amp;TRIM(TEXTSPLIT(EO156,","))&amp;",",","&amp;SUBSTITUTE(input_faculty_expertise," ","")&amp;",")))=COUNTA(TEXTSPLIT(EO156,",")))),IF(EQ156="",TRUE,IF(input_faculty_expertise="",TRUE,SUMPRODUCT(--ISNUMBER(SEARCH(","&amp;TRIM(TEXTSPLIT(EQ156,","))&amp;",",","&amp;SUBSTITUTE(input_faculty_expertise," ","")&amp;",")))=0)),IF(ES156="",TRUE,IF(input_faculty_expertise="",FALSE,SUMPRODUCT(--ISNUMBER(SEARCH(","&amp;TRIM(TEXTSPLIT(ES156,","))&amp;",",","&amp;SUBSTITUTE(input_faculty_expertise," ","")&amp;",")))&gt;0)),IF(EU156="",TRUE,IF(input_faculty_expertise="",FALSE,SUMPRODUCT(--ISNUMBER(SEARCH(","&amp;TRIM(TEXTSPLIT(EU156,","))&amp;",",","&amp;SUBSTITUTE(input_faculty_expertise," ","")&amp;",")))=COUNTA(TEXTSPLIT(EU156,",")))))</f>
        <v/>
      </c>
      <c r="JH156" s="19">
        <f>AND(IF(EW156="",TRUE,IF(input_global_network_school="",FALSE,SUMPRODUCT(--ISNUMBER(SEARCH(","&amp;TRIM(TEXTSPLIT(EW156,","))&amp;",",","&amp;SUBSTITUTE(input_global_network_school," ","")&amp;",")))&gt;0)),IF(EY156="",TRUE,IF(input_global_network_school="",FALSE,SUMPRODUCT(--ISNUMBER(SEARCH(","&amp;TRIM(TEXTSPLIT(EY156,","))&amp;",",","&amp;SUBSTITUTE(input_global_network_school," ","")&amp;",")))=COUNTA(TEXTSPLIT(EY156,",")))),IF(FA156="",TRUE,IF(input_global_network_school="",TRUE,SUMPRODUCT(--ISNUMBER(SEARCH(","&amp;TRIM(TEXTSPLIT(FA156,","))&amp;",",","&amp;SUBSTITUTE(input_global_network_school," ","")&amp;",")))=0)),IF(FC156="",TRUE,IF(input_global_network_school="",FALSE,SUMPRODUCT(--ISNUMBER(SEARCH(","&amp;TRIM(TEXTSPLIT(FC156,","))&amp;",",","&amp;SUBSTITUTE(input_global_network_school," ","")&amp;",")))&gt;0)),IF(FE156="",TRUE,IF(input_global_network_school="",FALSE,SUMPRODUCT(--ISNUMBER(SEARCH(","&amp;TRIM(TEXTSPLIT(FE156,","))&amp;",",","&amp;SUBSTITUTE(input_global_network_school," ","")&amp;",")))=COUNTA(TEXTSPLIT(FE156,",")))))</f>
        <v/>
      </c>
      <c r="JI156" s="19">
        <f>AND(IF(FG156="",TRUE,IF(input_industry="",FALSE,SUMPRODUCT(--ISNUMBER(SEARCH(","&amp;TRIM(TEXTSPLIT(FG156,","))&amp;",",","&amp;SUBSTITUTE(input_industry," ","")&amp;",")))&gt;0)),IF(FI156="",TRUE,IF(input_industry="",FALSE,SUMPRODUCT(--ISNUMBER(SEARCH(","&amp;TRIM(TEXTSPLIT(FI156,","))&amp;",",","&amp;SUBSTITUTE(input_industry," ","")&amp;",")))=COUNTA(TEXTSPLIT(FI156,",")))),IF(FK156="",TRUE,IF(input_industry="",TRUE,SUMPRODUCT(--ISNUMBER(SEARCH(","&amp;TRIM(TEXTSPLIT(FK156,","))&amp;",",","&amp;SUBSTITUTE(input_industry," ","")&amp;",")))=0)),IF(FM156="",TRUE,IF(input_industry="",FALSE,SUMPRODUCT(--ISNUMBER(SEARCH(","&amp;TRIM(TEXTSPLIT(FM156,","))&amp;",",","&amp;SUBSTITUTE(input_industry," ","")&amp;",")))&gt;0)),IF(FO156="",TRUE,IF(input_industry="",FALSE,SUMPRODUCT(--ISNUMBER(SEARCH(","&amp;TRIM(TEXTSPLIT(FO156,","))&amp;",",","&amp;SUBSTITUTE(input_industry," ","")&amp;",")))=COUNTA(TEXTSPLIT(FO156,",")))))</f>
        <v/>
      </c>
      <c r="JJ156" s="19">
        <f>AND(IF(FQ156="",TRUE,IF(input_location="",FALSE,SUMPRODUCT(--ISNUMBER(SEARCH(","&amp;TRIM(TEXTSPLIT(FQ156,","))&amp;",",","&amp;SUBSTITUTE(input_location," ","")&amp;",")))&gt;0)),IF(FS156="",TRUE,IF(input_location="",FALSE,SUMPRODUCT(--ISNUMBER(SEARCH(","&amp;TRIM(TEXTSPLIT(FS156,","))&amp;",",","&amp;SUBSTITUTE(input_location," ","")&amp;",")))=COUNTA(TEXTSPLIT(FS156,",")))),IF(FU156="",TRUE,IF(input_location="",TRUE,SUMPRODUCT(--ISNUMBER(SEARCH(","&amp;TRIM(TEXTSPLIT(FU156,","))&amp;",",","&amp;SUBSTITUTE(input_location," ","")&amp;",")))=0)),IF(FW156="",TRUE,IF(input_location="",FALSE,SUMPRODUCT(--ISNUMBER(SEARCH(","&amp;TRIM(TEXTSPLIT(FW156,","))&amp;",",","&amp;SUBSTITUTE(input_location," ","")&amp;",")))&gt;0)),IF(FY156="",TRUE,IF(input_location="",FALSE,SUMPRODUCT(--ISNUMBER(SEARCH(","&amp;TRIM(TEXTSPLIT(FY156,","))&amp;",",","&amp;SUBSTITUTE(input_location," ","")&amp;",")))=COUNTA(TEXTSPLIT(FY156,",")))))</f>
        <v/>
      </c>
      <c r="JK156" s="19">
        <f>AND(IF(GA156="",TRUE,IF(input_modality="",FALSE,SUMPRODUCT(--ISNUMBER(SEARCH(","&amp;TRIM(TEXTSPLIT(GA156,","))&amp;",",","&amp;SUBSTITUTE(input_modality," ","")&amp;",")))&gt;0)),IF(GC156="",TRUE,IF(input_modality="",FALSE,SUMPRODUCT(--ISNUMBER(SEARCH(","&amp;TRIM(TEXTSPLIT(GC156,","))&amp;",",","&amp;SUBSTITUTE(input_modality," ","")&amp;",")))=COUNTA(TEXTSPLIT(GC156,",")))),IF(GE156="",TRUE,IF(input_modality="",TRUE,SUMPRODUCT(--ISNUMBER(SEARCH(","&amp;TRIM(TEXTSPLIT(GE156,","))&amp;",",","&amp;SUBSTITUTE(input_modality," ","")&amp;",")))=0)),IF(GG156="",TRUE,IF(input_modality="",FALSE,SUMPRODUCT(--ISNUMBER(SEARCH(","&amp;TRIM(TEXTSPLIT(GG156,","))&amp;",",","&amp;SUBSTITUTE(input_modality," ","")&amp;",")))&gt;0)),IF(GI156="",TRUE,IF(input_modality="",FALSE,SUMPRODUCT(--ISNUMBER(SEARCH(","&amp;TRIM(TEXTSPLIT(GI156,","))&amp;",",","&amp;SUBSTITUTE(input_modality," ","")&amp;",")))=COUNTA(TEXTSPLIT(GI156,",")))))</f>
        <v/>
      </c>
      <c r="JL156" s="19">
        <f>AND(IF(GK156="",TRUE,IF(input_organizer="",FALSE,SUMPRODUCT(--ISNUMBER(SEARCH(","&amp;TRIM(TEXTSPLIT(GK156,","))&amp;",",","&amp;SUBSTITUTE(input_organizer," ","")&amp;",")))&gt;0)),IF(GM156="",TRUE,IF(input_organizer="",FALSE,SUMPRODUCT(--ISNUMBER(SEARCH(","&amp;TRIM(TEXTSPLIT(GM156,","))&amp;",",","&amp;SUBSTITUTE(input_organizer," ","")&amp;",")))=COUNTA(TEXTSPLIT(GM156,",")))),IF(GO156="",TRUE,IF(input_organizer="",TRUE,SUMPRODUCT(--ISNUMBER(SEARCH(","&amp;TRIM(TEXTSPLIT(GO156,","))&amp;",",","&amp;SUBSTITUTE(input_organizer," ","")&amp;",")))=0)),IF(GQ156="",TRUE,IF(input_organizer="",FALSE,SUMPRODUCT(--ISNUMBER(SEARCH(","&amp;TRIM(TEXTSPLIT(GQ156,","))&amp;",",","&amp;SUBSTITUTE(input_organizer," ","")&amp;",")))&gt;0)),IF(GS156="",TRUE,IF(input_organizer="",FALSE,SUMPRODUCT(--ISNUMBER(SEARCH(","&amp;TRIM(TEXTSPLIT(GS156,","))&amp;",",","&amp;SUBSTITUTE(input_organizer," ","")&amp;",")))=COUNTA(TEXTSPLIT(GS156,",")))))</f>
        <v/>
      </c>
      <c r="JM156" s="19">
        <f>AND(IF(GU156="",TRUE,IF(input_profile_type="",FALSE,SUMPRODUCT(--ISNUMBER(SEARCH(","&amp;TRIM(TEXTSPLIT(GU156,","))&amp;",",","&amp;SUBSTITUTE(input_profile_type," ","")&amp;",")))&gt;0)),IF(GW156="",TRUE,IF(input_profile_type="",FALSE,SUMPRODUCT(--ISNUMBER(SEARCH(","&amp;TRIM(TEXTSPLIT(GW156,","))&amp;",",","&amp;SUBSTITUTE(input_profile_type," ","")&amp;",")))=COUNTA(TEXTSPLIT(GW156,",")))),IF(GY156="",TRUE,IF(input_profile_type="",TRUE,SUMPRODUCT(--ISNUMBER(SEARCH(","&amp;TRIM(TEXTSPLIT(GY156,","))&amp;",",","&amp;SUBSTITUTE(input_profile_type," ","")&amp;",")))=0)),IF(HA156="",TRUE,IF(input_profile_type="",FALSE,SUMPRODUCT(--ISNUMBER(SEARCH(","&amp;TRIM(TEXTSPLIT(HA156,","))&amp;",",","&amp;SUBSTITUTE(input_profile_type," ","")&amp;",")))&gt;0)),IF(HC156="",TRUE,IF(input_profile_type="",FALSE,SUMPRODUCT(--ISNUMBER(SEARCH(","&amp;TRIM(TEXTSPLIT(HC156,","))&amp;",",","&amp;SUBSTITUTE(input_profile_type," ","")&amp;",")))=COUNTA(TEXTSPLIT(HC156,",")))))</f>
        <v/>
      </c>
      <c r="JN156" s="19">
        <f>AND(IF(HE156="",TRUE,IF(input_program="",FALSE,SUMPRODUCT(--ISNUMBER(SEARCH(","&amp;TRIM(TEXTSPLIT(HE156,","))&amp;",",","&amp;SUBSTITUTE(input_program," ","")&amp;",")))&gt;0)),IF(HG156="",TRUE,IF(input_program="",FALSE,SUMPRODUCT(--ISNUMBER(SEARCH(","&amp;TRIM(TEXTSPLIT(HG156,","))&amp;",",","&amp;SUBSTITUTE(input_program," ","")&amp;",")))=COUNTA(TEXTSPLIT(HG156,",")))),IF(HI156="",TRUE,IF(input_program="",TRUE,SUMPRODUCT(--ISNUMBER(SEARCH(","&amp;TRIM(TEXTSPLIT(HI156,","))&amp;",",","&amp;SUBSTITUTE(input_program," ","")&amp;",")))=0)),IF(HK156="",TRUE,IF(input_program="",FALSE,SUMPRODUCT(--ISNUMBER(SEARCH(","&amp;TRIM(TEXTSPLIT(HK156,","))&amp;",",","&amp;SUBSTITUTE(input_program," ","")&amp;",")))&gt;0)),IF(HM156="",TRUE,IF(input_program="",FALSE,SUMPRODUCT(--ISNUMBER(SEARCH(","&amp;TRIM(TEXTSPLIT(HM156,","))&amp;",",","&amp;SUBSTITUTE(input_program," ","")&amp;",")))=COUNTA(TEXTSPLIT(HM156,",")))))</f>
        <v/>
      </c>
      <c r="JO156" s="19">
        <f>AND(IF(HO156="",TRUE,IF(input_story_categories="",FALSE,SUMPRODUCT(--ISNUMBER(SEARCH(","&amp;TRIM(TEXTSPLIT(HO156,","))&amp;",",","&amp;SUBSTITUTE(input_story_categories," ","")&amp;",")))&gt;0)),IF(HQ156="",TRUE,IF(input_story_categories="",FALSE,SUMPRODUCT(--ISNUMBER(SEARCH(","&amp;TRIM(TEXTSPLIT(HQ156,","))&amp;",",","&amp;SUBSTITUTE(input_story_categories," ","")&amp;",")))=COUNTA(TEXTSPLIT(HQ156,",")))),IF(HS156="",TRUE,IF(input_story_categories="",TRUE,SUMPRODUCT(--ISNUMBER(SEARCH(","&amp;TRIM(TEXTSPLIT(HS156,","))&amp;",",","&amp;SUBSTITUTE(input_story_categories," ","")&amp;",")))=0)),IF(HU156="",TRUE,IF(input_story_categories="",FALSE,SUMPRODUCT(--ISNUMBER(SEARCH(","&amp;TRIM(TEXTSPLIT(HU156,","))&amp;",",","&amp;SUBSTITUTE(input_story_categories," ","")&amp;",")))&gt;0)),IF(HW156="",TRUE,IF(input_story_categories="",FALSE,SUMPRODUCT(--ISNUMBER(SEARCH(","&amp;TRIM(TEXTSPLIT(HW156,","))&amp;",",","&amp;SUBSTITUTE(input_story_categories," ","")&amp;",")))=COUNTA(TEXTSPLIT(HW156,",")))))</f>
        <v/>
      </c>
      <c r="JP156" s="19">
        <f>AND(IF(HY156="",TRUE,IF(input_story_type="",FALSE,SUMPRODUCT(--ISNUMBER(SEARCH(","&amp;TRIM(TEXTSPLIT(HY156,","))&amp;",",","&amp;SUBSTITUTE(input_story_type," ","")&amp;",")))&gt;0)),IF(IA156="",TRUE,IF(input_story_type="",FALSE,SUMPRODUCT(--ISNUMBER(SEARCH(","&amp;TRIM(TEXTSPLIT(IA156,","))&amp;",",","&amp;SUBSTITUTE(input_story_type," ","")&amp;",")))=COUNTA(TEXTSPLIT(IA156,",")))),IF(IC156="",TRUE,IF(input_story_type="",TRUE,SUMPRODUCT(--ISNUMBER(SEARCH(","&amp;TRIM(TEXTSPLIT(IC156,","))&amp;",",","&amp;SUBSTITUTE(input_story_type," ","")&amp;",")))=0)),IF(IE156="",TRUE,IF(input_story_type="",FALSE,SUMPRODUCT(--ISNUMBER(SEARCH(","&amp;TRIM(TEXTSPLIT(IE156,","))&amp;",",","&amp;SUBSTITUTE(input_story_type," ","")&amp;",")))&gt;0)),IF(IG156="",TRUE,IF(input_story_type="",FALSE,SUMPRODUCT(--ISNUMBER(SEARCH(","&amp;TRIM(TEXTSPLIT(IG156,","))&amp;",",","&amp;SUBSTITUTE(input_story_type," ","")&amp;",")))=COUNTA(TEXTSPLIT(IG156,",")))))</f>
        <v/>
      </c>
      <c r="JQ156" s="19">
        <f>AND(IF(II156="",TRUE,IF(input_topics="",FALSE,SUMPRODUCT(--ISNUMBER(SEARCH(","&amp;TRIM(TEXTSPLIT(II156,","))&amp;",",","&amp;SUBSTITUTE(input_topics," ","")&amp;",")))&gt;0)),IF(IK156="",TRUE,IF(input_topics="",FALSE,SUMPRODUCT(--ISNUMBER(SEARCH(","&amp;TRIM(TEXTSPLIT(IK156,","))&amp;",",","&amp;SUBSTITUTE(input_topics," ","")&amp;",")))=COUNTA(TEXTSPLIT(IK156,",")))),IF(IM156="",TRUE,IF(input_topics="",TRUE,SUMPRODUCT(--ISNUMBER(SEARCH(","&amp;TRIM(TEXTSPLIT(IM156,","))&amp;",",","&amp;SUBSTITUTE(input_topics," ","")&amp;",")))=0)),IF(IO156="",TRUE,IF(input_topics="",FALSE,SUMPRODUCT(--ISNUMBER(SEARCH(","&amp;TRIM(TEXTSPLIT(IO156,","))&amp;",",","&amp;SUBSTITUTE(input_topics," ","")&amp;",")))&gt;0)),IF(IQ156="",TRUE,IF(input_topics="",FALSE,SUMPRODUCT(--ISNUMBER(SEARCH(","&amp;TRIM(TEXTSPLIT(IQ156,","))&amp;",",","&amp;SUBSTITUTE(input_topics," ","")&amp;",")))=COUNTA(TEXTSPLIT(IQ156,",")))))</f>
        <v/>
      </c>
    </row>
    <row r="157">
      <c r="A157" s="24">
        <f>IF(NOT(IS157),"Excluded",IF(AND(IT157,IU157,IV157,IW157,IX157,IY157,IZ157,JA157,JB157,JC157,JD157,JE157,JF157,JG157,JH157,JI157,JJ157,JK157,JL157,JM157,JN157,JO157,JP157,JQ157),IF(I157&gt;0,"Eligible but limited","Will appear"),"Excluded"))</f>
        <v/>
      </c>
      <c r="B157" s="24" t="inlineStr">
        <is>
          <t>Related profiles on profile pages</t>
        </is>
      </c>
      <c r="C157" s="27" t="inlineStr">
        <is>
          <t>/profile/alejandra-pruneda-22</t>
        </is>
      </c>
      <c r="D157" s="24" t="inlineStr">
        <is>
          <t>/profile/alejandra-pruneda-22
/profile/junko-oguri-20
/profile/nik-adlina-nik-mokhtar-23</t>
        </is>
      </c>
      <c r="E157" s="24" t="n">
        <v>5</v>
      </c>
      <c r="F157" s="24" t="inlineStr">
        <is>
          <t>profile</t>
        </is>
      </c>
      <c r="G157" s="24" t="inlineStr">
        <is>
          <t>profiles_grid</t>
        </is>
      </c>
      <c r="H157" s="24" t="inlineStr">
        <is>
          <t>related</t>
        </is>
      </c>
      <c r="I157" s="24" t="n">
        <v>3</v>
      </c>
      <c r="J157" s="28" t="inlineStr">
        <is>
          <t>Explicit args</t>
        </is>
      </c>
      <c r="K157" s="24" t="inlineStr">
        <is>
          <t>Grouped surface</t>
        </is>
      </c>
      <c r="L157" s="24" t="inlineStr">
        <is>
          <t>Content type: profile; Context uses Profile Type: Student (1551); Context uses Program: Master’s Degree in Systemic Risk (86); Limited to 3 item(s); Source: Explicit args</t>
        </is>
      </c>
      <c r="HA157" s="19" t="inlineStr">
        <is>
          <t>1551</t>
        </is>
      </c>
      <c r="HB157" s="19" t="inlineStr">
        <is>
          <t>Student (1551)</t>
        </is>
      </c>
      <c r="HK157" s="19" t="inlineStr">
        <is>
          <t>86</t>
        </is>
      </c>
      <c r="HL157" s="19" t="inlineStr">
        <is>
          <t>Master’s Degree in Systemic Risk (86)</t>
        </is>
      </c>
      <c r="IS157" s="19">
        <f>IF(input_content_type="",FALSE,ISNUMBER(SEARCH(","&amp;LOWER(input_content_type)&amp;",",","&amp;LOWER(SUBSTITUTE(F157," ",""))&amp;",")))</f>
        <v/>
      </c>
      <c r="IT157" s="19">
        <f>AND(IF(M157="",TRUE,IF(input_affiliations="",FALSE,SUMPRODUCT(--ISNUMBER(SEARCH(","&amp;TRIM(TEXTSPLIT(M157,","))&amp;",",","&amp;SUBSTITUTE(input_affiliations," ","")&amp;",")))&gt;0)),IF(O157="",TRUE,IF(input_affiliations="",FALSE,SUMPRODUCT(--ISNUMBER(SEARCH(","&amp;TRIM(TEXTSPLIT(O157,","))&amp;",",","&amp;SUBSTITUTE(input_affiliations," ","")&amp;",")))=COUNTA(TEXTSPLIT(O157,",")))),IF(Q157="",TRUE,IF(input_affiliations="",TRUE,SUMPRODUCT(--ISNUMBER(SEARCH(","&amp;TRIM(TEXTSPLIT(Q157,","))&amp;",",","&amp;SUBSTITUTE(input_affiliations," ","")&amp;",")))=0)),IF(S157="",TRUE,IF(input_affiliations="",FALSE,SUMPRODUCT(--ISNUMBER(SEARCH(","&amp;TRIM(TEXTSPLIT(S157,","))&amp;",",","&amp;SUBSTITUTE(input_affiliations," ","")&amp;",")))&gt;0)),IF(U157="",TRUE,IF(input_affiliations="",FALSE,SUMPRODUCT(--ISNUMBER(SEARCH(","&amp;TRIM(TEXTSPLIT(U157,","))&amp;",",","&amp;SUBSTITUTE(input_affiliations," ","")&amp;",")))=COUNTA(TEXTSPLIT(U157,",")))))</f>
        <v/>
      </c>
      <c r="IU157" s="19">
        <f>AND(IF(W157="",TRUE,IF(input_announcement_category="",FALSE,SUMPRODUCT(--ISNUMBER(SEARCH(","&amp;TRIM(TEXTSPLIT(W157,","))&amp;",",","&amp;SUBSTITUTE(input_announcement_category," ","")&amp;",")))&gt;0)),IF(Y157="",TRUE,IF(input_announcement_category="",FALSE,SUMPRODUCT(--ISNUMBER(SEARCH(","&amp;TRIM(TEXTSPLIT(Y157,","))&amp;",",","&amp;SUBSTITUTE(input_announcement_category," ","")&amp;",")))=COUNTA(TEXTSPLIT(Y157,",")))),IF(AA157="",TRUE,IF(input_announcement_category="",TRUE,SUMPRODUCT(--ISNUMBER(SEARCH(","&amp;TRIM(TEXTSPLIT(AA157,","))&amp;",",","&amp;SUBSTITUTE(input_announcement_category," ","")&amp;",")))=0)),IF(AC157="",TRUE,IF(input_announcement_category="",FALSE,SUMPRODUCT(--ISNUMBER(SEARCH(","&amp;TRIM(TEXTSPLIT(AC157,","))&amp;",",","&amp;SUBSTITUTE(input_announcement_category," ","")&amp;",")))&gt;0)),IF(AE157="",TRUE,IF(input_announcement_category="",FALSE,SUMPRODUCT(--ISNUMBER(SEARCH(","&amp;TRIM(TEXTSPLIT(AE157,","))&amp;",",","&amp;SUBSTITUTE(input_announcement_category," ","")&amp;",")))=COUNTA(TEXTSPLIT(AE157,",")))))</f>
        <v/>
      </c>
      <c r="IV157" s="19">
        <f>AND(IF(AG157="",TRUE,IF(input_area_of_focus="",FALSE,SUMPRODUCT(--ISNUMBER(SEARCH(","&amp;TRIM(TEXTSPLIT(AG157,","))&amp;",",","&amp;SUBSTITUTE(input_area_of_focus," ","")&amp;",")))&gt;0)),IF(AI157="",TRUE,IF(input_area_of_focus="",FALSE,SUMPRODUCT(--ISNUMBER(SEARCH(","&amp;TRIM(TEXTSPLIT(AI157,","))&amp;",",","&amp;SUBSTITUTE(input_area_of_focus," ","")&amp;",")))=COUNTA(TEXTSPLIT(AI157,",")))),IF(AK157="",TRUE,IF(input_area_of_focus="",TRUE,SUMPRODUCT(--ISNUMBER(SEARCH(","&amp;TRIM(TEXTSPLIT(AK157,","))&amp;",",","&amp;SUBSTITUTE(input_area_of_focus," ","")&amp;",")))=0)),IF(AM157="",TRUE,IF(input_area_of_focus="",FALSE,SUMPRODUCT(--ISNUMBER(SEARCH(","&amp;TRIM(TEXTSPLIT(AM157,","))&amp;",",","&amp;SUBSTITUTE(input_area_of_focus," ","")&amp;",")))&gt;0)),IF(AO157="",TRUE,IF(input_area_of_focus="",FALSE,SUMPRODUCT(--ISNUMBER(SEARCH(","&amp;TRIM(TEXTSPLIT(AO157,","))&amp;",",","&amp;SUBSTITUTE(input_area_of_focus," ","")&amp;",")))=COUNTA(TEXTSPLIT(AO157,",")))))</f>
        <v/>
      </c>
      <c r="IW157" s="19">
        <f>AND(IF(AQ157="",TRUE,IF(input_audience="",FALSE,SUMPRODUCT(--ISNUMBER(SEARCH(","&amp;TRIM(TEXTSPLIT(AQ157,","))&amp;",",","&amp;SUBSTITUTE(input_audience," ","")&amp;",")))&gt;0)),IF(AS157="",TRUE,IF(input_audience="",FALSE,SUMPRODUCT(--ISNUMBER(SEARCH(","&amp;TRIM(TEXTSPLIT(AS157,","))&amp;",",","&amp;SUBSTITUTE(input_audience," ","")&amp;",")))=COUNTA(TEXTSPLIT(AS157,",")))),IF(AU157="",TRUE,IF(input_audience="",TRUE,SUMPRODUCT(--ISNUMBER(SEARCH(","&amp;TRIM(TEXTSPLIT(AU157,","))&amp;",",","&amp;SUBSTITUTE(input_audience," ","")&amp;",")))=0)),IF(AW157="",TRUE,IF(input_audience="",FALSE,SUMPRODUCT(--ISNUMBER(SEARCH(","&amp;TRIM(TEXTSPLIT(AW157,","))&amp;",",","&amp;SUBSTITUTE(input_audience," ","")&amp;",")))&gt;0)),IF(AY157="",TRUE,IF(input_audience="",FALSE,SUMPRODUCT(--ISNUMBER(SEARCH(","&amp;TRIM(TEXTSPLIT(AY157,","))&amp;",",","&amp;SUBSTITUTE(input_audience," ","")&amp;",")))=COUNTA(TEXTSPLIT(AY157,",")))))</f>
        <v/>
      </c>
      <c r="IX157" s="19">
        <f>AND(IF(BA157="",TRUE,IF(input_challenge_opportunities="",FALSE,SUMPRODUCT(--ISNUMBER(SEARCH(","&amp;TRIM(TEXTSPLIT(BA157,","))&amp;",",","&amp;SUBSTITUTE(input_challenge_opportunities," ","")&amp;",")))&gt;0)),IF(BC157="",TRUE,IF(input_challenge_opportunities="",FALSE,SUMPRODUCT(--ISNUMBER(SEARCH(","&amp;TRIM(TEXTSPLIT(BC157,","))&amp;",",","&amp;SUBSTITUTE(input_challenge_opportunities," ","")&amp;",")))=COUNTA(TEXTSPLIT(BC157,",")))),IF(BE157="",TRUE,IF(input_challenge_opportunities="",TRUE,SUMPRODUCT(--ISNUMBER(SEARCH(","&amp;TRIM(TEXTSPLIT(BE157,","))&amp;",",","&amp;SUBSTITUTE(input_challenge_opportunities," ","")&amp;",")))=0)),IF(BG157="",TRUE,IF(input_challenge_opportunities="",FALSE,SUMPRODUCT(--ISNUMBER(SEARCH(","&amp;TRIM(TEXTSPLIT(BG157,","))&amp;",",","&amp;SUBSTITUTE(input_challenge_opportunities," ","")&amp;",")))&gt;0)),IF(BI157="",TRUE,IF(input_challenge_opportunities="",FALSE,SUMPRODUCT(--ISNUMBER(SEARCH(","&amp;TRIM(TEXTSPLIT(BI157,","))&amp;",",","&amp;SUBSTITUTE(input_challenge_opportunities," ","")&amp;",")))=COUNTA(TEXTSPLIT(BI157,",")))))</f>
        <v/>
      </c>
      <c r="IY157" s="19">
        <f>AND(IF(BK157="",TRUE,IF(input_context="",FALSE,SUMPRODUCT(--ISNUMBER(SEARCH(","&amp;TRIM(TEXTSPLIT(BK157,","))&amp;",",","&amp;SUBSTITUTE(input_context," ","")&amp;",")))&gt;0)),IF(BM157="",TRUE,IF(input_context="",FALSE,SUMPRODUCT(--ISNUMBER(SEARCH(","&amp;TRIM(TEXTSPLIT(BM157,","))&amp;",",","&amp;SUBSTITUTE(input_context," ","")&amp;",")))=COUNTA(TEXTSPLIT(BM157,",")))),IF(BO157="",TRUE,IF(input_context="",TRUE,SUMPRODUCT(--ISNUMBER(SEARCH(","&amp;TRIM(TEXTSPLIT(BO157,","))&amp;",",","&amp;SUBSTITUTE(input_context," ","")&amp;",")))=0)),IF(BQ157="",TRUE,IF(input_context="",FALSE,SUMPRODUCT(--ISNUMBER(SEARCH(","&amp;TRIM(TEXTSPLIT(BQ157,","))&amp;",",","&amp;SUBSTITUTE(input_context," ","")&amp;",")))&gt;0)),IF(BS157="",TRUE,IF(input_context="",FALSE,SUMPRODUCT(--ISNUMBER(SEARCH(","&amp;TRIM(TEXTSPLIT(BS157,","))&amp;",",","&amp;SUBSTITUTE(input_context," ","")&amp;",")))=COUNTA(TEXTSPLIT(BS157,",")))))</f>
        <v/>
      </c>
      <c r="IZ157" s="19">
        <f>AND(IF(BU157="",TRUE,IF(input_enews_announcement_type="",FALSE,SUMPRODUCT(--ISNUMBER(SEARCH(","&amp;TRIM(TEXTSPLIT(BU157,","))&amp;",",","&amp;SUBSTITUTE(input_enews_announcement_type," ","")&amp;",")))&gt;0)),IF(BW157="",TRUE,IF(input_enews_announcement_type="",FALSE,SUMPRODUCT(--ISNUMBER(SEARCH(","&amp;TRIM(TEXTSPLIT(BW157,","))&amp;",",","&amp;SUBSTITUTE(input_enews_announcement_type," ","")&amp;",")))=COUNTA(TEXTSPLIT(BW157,",")))),IF(BY157="",TRUE,IF(input_enews_announcement_type="",TRUE,SUMPRODUCT(--ISNUMBER(SEARCH(","&amp;TRIM(TEXTSPLIT(BY157,","))&amp;",",","&amp;SUBSTITUTE(input_enews_announcement_type," ","")&amp;",")))=0)),IF(CA157="",TRUE,IF(input_enews_announcement_type="",FALSE,SUMPRODUCT(--ISNUMBER(SEARCH(","&amp;TRIM(TEXTSPLIT(CA157,","))&amp;",",","&amp;SUBSTITUTE(input_enews_announcement_type," ","")&amp;",")))&gt;0)),IF(CC157="",TRUE,IF(input_enews_announcement_type="",FALSE,SUMPRODUCT(--ISNUMBER(SEARCH(","&amp;TRIM(TEXTSPLIT(CC157,","))&amp;",",","&amp;SUBSTITUTE(input_enews_announcement_type," ","")&amp;",")))=COUNTA(TEXTSPLIT(CC157,",")))))</f>
        <v/>
      </c>
      <c r="JA157" s="19">
        <f>AND(IF(CE157="",TRUE,IF(input_enews_audience="",FALSE,SUMPRODUCT(--ISNUMBER(SEARCH(","&amp;TRIM(TEXTSPLIT(CE157,","))&amp;",",","&amp;SUBSTITUTE(input_enews_audience," ","")&amp;",")))&gt;0)),IF(CG157="",TRUE,IF(input_enews_audience="",FALSE,SUMPRODUCT(--ISNUMBER(SEARCH(","&amp;TRIM(TEXTSPLIT(CG157,","))&amp;",",","&amp;SUBSTITUTE(input_enews_audience," ","")&amp;",")))=COUNTA(TEXTSPLIT(CG157,",")))),IF(CI157="",TRUE,IF(input_enews_audience="",TRUE,SUMPRODUCT(--ISNUMBER(SEARCH(","&amp;TRIM(TEXTSPLIT(CI157,","))&amp;",",","&amp;SUBSTITUTE(input_enews_audience," ","")&amp;",")))=0)),IF(CK157="",TRUE,IF(input_enews_audience="",FALSE,SUMPRODUCT(--ISNUMBER(SEARCH(","&amp;TRIM(TEXTSPLIT(CK157,","))&amp;",",","&amp;SUBSTITUTE(input_enews_audience," ","")&amp;",")))&gt;0)),IF(CM157="",TRUE,IF(input_enews_audience="",FALSE,SUMPRODUCT(--ISNUMBER(SEARCH(","&amp;TRIM(TEXTSPLIT(CM157,","))&amp;",",","&amp;SUBSTITUTE(input_enews_audience," ","")&amp;",")))=COUNTA(TEXTSPLIT(CM157,",")))))</f>
        <v/>
      </c>
      <c r="JB157" s="19">
        <f>AND(IF(CO157="",TRUE,IF(input_event_location="",FALSE,SUMPRODUCT(--ISNUMBER(SEARCH(","&amp;TRIM(TEXTSPLIT(CO157,","))&amp;",",","&amp;SUBSTITUTE(input_event_location," ","")&amp;",")))&gt;0)),IF(CQ157="",TRUE,IF(input_event_location="",FALSE,SUMPRODUCT(--ISNUMBER(SEARCH(","&amp;TRIM(TEXTSPLIT(CQ157,","))&amp;",",","&amp;SUBSTITUTE(input_event_location," ","")&amp;",")))=COUNTA(TEXTSPLIT(CQ157,",")))),IF(CS157="",TRUE,IF(input_event_location="",TRUE,SUMPRODUCT(--ISNUMBER(SEARCH(","&amp;TRIM(TEXTSPLIT(CS157,","))&amp;",",","&amp;SUBSTITUTE(input_event_location," ","")&amp;",")))=0)),IF(CU157="",TRUE,IF(input_event_location="",FALSE,SUMPRODUCT(--ISNUMBER(SEARCH(","&amp;TRIM(TEXTSPLIT(CU157,","))&amp;",",","&amp;SUBSTITUTE(input_event_location," ","")&amp;",")))&gt;0)),IF(CW157="",TRUE,IF(input_event_location="",FALSE,SUMPRODUCT(--ISNUMBER(SEARCH(","&amp;TRIM(TEXTSPLIT(CW157,","))&amp;",",","&amp;SUBSTITUTE(input_event_location," ","")&amp;",")))=COUNTA(TEXTSPLIT(CW157,",")))))</f>
        <v/>
      </c>
      <c r="JC157" s="19">
        <f>AND(IF(CY157="",TRUE,IF(input_event_type="",FALSE,SUMPRODUCT(--ISNUMBER(SEARCH(","&amp;TRIM(TEXTSPLIT(CY157,","))&amp;",",","&amp;SUBSTITUTE(input_event_type," ","")&amp;",")))&gt;0)),IF(DA157="",TRUE,IF(input_event_type="",FALSE,SUMPRODUCT(--ISNUMBER(SEARCH(","&amp;TRIM(TEXTSPLIT(DA157,","))&amp;",",","&amp;SUBSTITUTE(input_event_type," ","")&amp;",")))=COUNTA(TEXTSPLIT(DA157,",")))),IF(DC157="",TRUE,IF(input_event_type="",TRUE,SUMPRODUCT(--ISNUMBER(SEARCH(","&amp;TRIM(TEXTSPLIT(DC157,","))&amp;",",","&amp;SUBSTITUTE(input_event_type," ","")&amp;",")))=0)),IF(DE157="",TRUE,IF(input_event_type="",FALSE,SUMPRODUCT(--ISNUMBER(SEARCH(","&amp;TRIM(TEXTSPLIT(DE157,","))&amp;",",","&amp;SUBSTITUTE(input_event_type," ","")&amp;",")))&gt;0)),IF(DG157="",TRUE,IF(input_event_type="",FALSE,SUMPRODUCT(--ISNUMBER(SEARCH(","&amp;TRIM(TEXTSPLIT(DG157,","))&amp;",",","&amp;SUBSTITUTE(input_event_type," ","")&amp;",")))=COUNTA(TEXTSPLIT(DG157,",")))))</f>
        <v/>
      </c>
      <c r="JD157" s="19">
        <f>AND(IF(DI157="",TRUE,IF(input_executive_education_focus="",FALSE,SUMPRODUCT(--ISNUMBER(SEARCH(","&amp;TRIM(TEXTSPLIT(DI157,","))&amp;",",","&amp;SUBSTITUTE(input_executive_education_focus," ","")&amp;",")))&gt;0)),IF(DK157="",TRUE,IF(input_executive_education_focus="",FALSE,SUMPRODUCT(--ISNUMBER(SEARCH(","&amp;TRIM(TEXTSPLIT(DK157,","))&amp;",",","&amp;SUBSTITUTE(input_executive_education_focus," ","")&amp;",")))=COUNTA(TEXTSPLIT(DK157,",")))),IF(DM157="",TRUE,IF(input_executive_education_focus="",TRUE,SUMPRODUCT(--ISNUMBER(SEARCH(","&amp;TRIM(TEXTSPLIT(DM157,","))&amp;",",","&amp;SUBSTITUTE(input_executive_education_focus," ","")&amp;",")))=0)),IF(DO157="",TRUE,IF(input_executive_education_focus="",FALSE,SUMPRODUCT(--ISNUMBER(SEARCH(","&amp;TRIM(TEXTSPLIT(DO157,","))&amp;",",","&amp;SUBSTITUTE(input_executive_education_focus," ","")&amp;",")))&gt;0)),IF(DQ157="",TRUE,IF(input_executive_education_focus="",FALSE,SUMPRODUCT(--ISNUMBER(SEARCH(","&amp;TRIM(TEXTSPLIT(DQ157,","))&amp;",",","&amp;SUBSTITUTE(input_executive_education_focus," ","")&amp;",")))=COUNTA(TEXTSPLIT(DQ157,",")))))</f>
        <v/>
      </c>
      <c r="JE157" s="19">
        <f>AND(IF(DS157="",TRUE,IF(input_faculty_category="",FALSE,SUMPRODUCT(--ISNUMBER(SEARCH(","&amp;TRIM(TEXTSPLIT(DS157,","))&amp;",",","&amp;SUBSTITUTE(input_faculty_category," ","")&amp;",")))&gt;0)),IF(DU157="",TRUE,IF(input_faculty_category="",FALSE,SUMPRODUCT(--ISNUMBER(SEARCH(","&amp;TRIM(TEXTSPLIT(DU157,","))&amp;",",","&amp;SUBSTITUTE(input_faculty_category," ","")&amp;",")))=COUNTA(TEXTSPLIT(DU157,",")))),IF(DW157="",TRUE,IF(input_faculty_category="",TRUE,SUMPRODUCT(--ISNUMBER(SEARCH(","&amp;TRIM(TEXTSPLIT(DW157,","))&amp;",",","&amp;SUBSTITUTE(input_faculty_category," ","")&amp;",")))=0)),IF(DY157="",TRUE,IF(input_faculty_category="",FALSE,SUMPRODUCT(--ISNUMBER(SEARCH(","&amp;TRIM(TEXTSPLIT(DY157,","))&amp;",",","&amp;SUBSTITUTE(input_faculty_category," ","")&amp;",")))&gt;0)),IF(EA157="",TRUE,IF(input_faculty_category="",FALSE,SUMPRODUCT(--ISNUMBER(SEARCH(","&amp;TRIM(TEXTSPLIT(EA157,","))&amp;",",","&amp;SUBSTITUTE(input_faculty_category," ","")&amp;",")))=COUNTA(TEXTSPLIT(EA157,",")))))</f>
        <v/>
      </c>
      <c r="JF157" s="19">
        <f>AND(IF(EC157="",TRUE,IF(input_faculty_discipline="",FALSE,SUMPRODUCT(--ISNUMBER(SEARCH(","&amp;TRIM(TEXTSPLIT(EC157,","))&amp;",",","&amp;SUBSTITUTE(input_faculty_discipline," ","")&amp;",")))&gt;0)),IF(EE157="",TRUE,IF(input_faculty_discipline="",FALSE,SUMPRODUCT(--ISNUMBER(SEARCH(","&amp;TRIM(TEXTSPLIT(EE157,","))&amp;",",","&amp;SUBSTITUTE(input_faculty_discipline," ","")&amp;",")))=COUNTA(TEXTSPLIT(EE157,",")))),IF(EG157="",TRUE,IF(input_faculty_discipline="",TRUE,SUMPRODUCT(--ISNUMBER(SEARCH(","&amp;TRIM(TEXTSPLIT(EG157,","))&amp;",",","&amp;SUBSTITUTE(input_faculty_discipline," ","")&amp;",")))=0)),IF(EI157="",TRUE,IF(input_faculty_discipline="",FALSE,SUMPRODUCT(--ISNUMBER(SEARCH(","&amp;TRIM(TEXTSPLIT(EI157,","))&amp;",",","&amp;SUBSTITUTE(input_faculty_discipline," ","")&amp;",")))&gt;0)),IF(EK157="",TRUE,IF(input_faculty_discipline="",FALSE,SUMPRODUCT(--ISNUMBER(SEARCH(","&amp;TRIM(TEXTSPLIT(EK157,","))&amp;",",","&amp;SUBSTITUTE(input_faculty_discipline," ","")&amp;",")))=COUNTA(TEXTSPLIT(EK157,",")))))</f>
        <v/>
      </c>
      <c r="JG157" s="19">
        <f>AND(IF(EM157="",TRUE,IF(input_faculty_expertise="",FALSE,SUMPRODUCT(--ISNUMBER(SEARCH(","&amp;TRIM(TEXTSPLIT(EM157,","))&amp;",",","&amp;SUBSTITUTE(input_faculty_expertise," ","")&amp;",")))&gt;0)),IF(EO157="",TRUE,IF(input_faculty_expertise="",FALSE,SUMPRODUCT(--ISNUMBER(SEARCH(","&amp;TRIM(TEXTSPLIT(EO157,","))&amp;",",","&amp;SUBSTITUTE(input_faculty_expertise," ","")&amp;",")))=COUNTA(TEXTSPLIT(EO157,",")))),IF(EQ157="",TRUE,IF(input_faculty_expertise="",TRUE,SUMPRODUCT(--ISNUMBER(SEARCH(","&amp;TRIM(TEXTSPLIT(EQ157,","))&amp;",",","&amp;SUBSTITUTE(input_faculty_expertise," ","")&amp;",")))=0)),IF(ES157="",TRUE,IF(input_faculty_expertise="",FALSE,SUMPRODUCT(--ISNUMBER(SEARCH(","&amp;TRIM(TEXTSPLIT(ES157,","))&amp;",",","&amp;SUBSTITUTE(input_faculty_expertise," ","")&amp;",")))&gt;0)),IF(EU157="",TRUE,IF(input_faculty_expertise="",FALSE,SUMPRODUCT(--ISNUMBER(SEARCH(","&amp;TRIM(TEXTSPLIT(EU157,","))&amp;",",","&amp;SUBSTITUTE(input_faculty_expertise," ","")&amp;",")))=COUNTA(TEXTSPLIT(EU157,",")))))</f>
        <v/>
      </c>
      <c r="JH157" s="19">
        <f>AND(IF(EW157="",TRUE,IF(input_global_network_school="",FALSE,SUMPRODUCT(--ISNUMBER(SEARCH(","&amp;TRIM(TEXTSPLIT(EW157,","))&amp;",",","&amp;SUBSTITUTE(input_global_network_school," ","")&amp;",")))&gt;0)),IF(EY157="",TRUE,IF(input_global_network_school="",FALSE,SUMPRODUCT(--ISNUMBER(SEARCH(","&amp;TRIM(TEXTSPLIT(EY157,","))&amp;",",","&amp;SUBSTITUTE(input_global_network_school," ","")&amp;",")))=COUNTA(TEXTSPLIT(EY157,",")))),IF(FA157="",TRUE,IF(input_global_network_school="",TRUE,SUMPRODUCT(--ISNUMBER(SEARCH(","&amp;TRIM(TEXTSPLIT(FA157,","))&amp;",",","&amp;SUBSTITUTE(input_global_network_school," ","")&amp;",")))=0)),IF(FC157="",TRUE,IF(input_global_network_school="",FALSE,SUMPRODUCT(--ISNUMBER(SEARCH(","&amp;TRIM(TEXTSPLIT(FC157,","))&amp;",",","&amp;SUBSTITUTE(input_global_network_school," ","")&amp;",")))&gt;0)),IF(FE157="",TRUE,IF(input_global_network_school="",FALSE,SUMPRODUCT(--ISNUMBER(SEARCH(","&amp;TRIM(TEXTSPLIT(FE157,","))&amp;",",","&amp;SUBSTITUTE(input_global_network_school," ","")&amp;",")))=COUNTA(TEXTSPLIT(FE157,",")))))</f>
        <v/>
      </c>
      <c r="JI157" s="19">
        <f>AND(IF(FG157="",TRUE,IF(input_industry="",FALSE,SUMPRODUCT(--ISNUMBER(SEARCH(","&amp;TRIM(TEXTSPLIT(FG157,","))&amp;",",","&amp;SUBSTITUTE(input_industry," ","")&amp;",")))&gt;0)),IF(FI157="",TRUE,IF(input_industry="",FALSE,SUMPRODUCT(--ISNUMBER(SEARCH(","&amp;TRIM(TEXTSPLIT(FI157,","))&amp;",",","&amp;SUBSTITUTE(input_industry," ","")&amp;",")))=COUNTA(TEXTSPLIT(FI157,",")))),IF(FK157="",TRUE,IF(input_industry="",TRUE,SUMPRODUCT(--ISNUMBER(SEARCH(","&amp;TRIM(TEXTSPLIT(FK157,","))&amp;",",","&amp;SUBSTITUTE(input_industry," ","")&amp;",")))=0)),IF(FM157="",TRUE,IF(input_industry="",FALSE,SUMPRODUCT(--ISNUMBER(SEARCH(","&amp;TRIM(TEXTSPLIT(FM157,","))&amp;",",","&amp;SUBSTITUTE(input_industry," ","")&amp;",")))&gt;0)),IF(FO157="",TRUE,IF(input_industry="",FALSE,SUMPRODUCT(--ISNUMBER(SEARCH(","&amp;TRIM(TEXTSPLIT(FO157,","))&amp;",",","&amp;SUBSTITUTE(input_industry," ","")&amp;",")))=COUNTA(TEXTSPLIT(FO157,",")))))</f>
        <v/>
      </c>
      <c r="JJ157" s="19">
        <f>AND(IF(FQ157="",TRUE,IF(input_location="",FALSE,SUMPRODUCT(--ISNUMBER(SEARCH(","&amp;TRIM(TEXTSPLIT(FQ157,","))&amp;",",","&amp;SUBSTITUTE(input_location," ","")&amp;",")))&gt;0)),IF(FS157="",TRUE,IF(input_location="",FALSE,SUMPRODUCT(--ISNUMBER(SEARCH(","&amp;TRIM(TEXTSPLIT(FS157,","))&amp;",",","&amp;SUBSTITUTE(input_location," ","")&amp;",")))=COUNTA(TEXTSPLIT(FS157,",")))),IF(FU157="",TRUE,IF(input_location="",TRUE,SUMPRODUCT(--ISNUMBER(SEARCH(","&amp;TRIM(TEXTSPLIT(FU157,","))&amp;",",","&amp;SUBSTITUTE(input_location," ","")&amp;",")))=0)),IF(FW157="",TRUE,IF(input_location="",FALSE,SUMPRODUCT(--ISNUMBER(SEARCH(","&amp;TRIM(TEXTSPLIT(FW157,","))&amp;",",","&amp;SUBSTITUTE(input_location," ","")&amp;",")))&gt;0)),IF(FY157="",TRUE,IF(input_location="",FALSE,SUMPRODUCT(--ISNUMBER(SEARCH(","&amp;TRIM(TEXTSPLIT(FY157,","))&amp;",",","&amp;SUBSTITUTE(input_location," ","")&amp;",")))=COUNTA(TEXTSPLIT(FY157,",")))))</f>
        <v/>
      </c>
      <c r="JK157" s="19">
        <f>AND(IF(GA157="",TRUE,IF(input_modality="",FALSE,SUMPRODUCT(--ISNUMBER(SEARCH(","&amp;TRIM(TEXTSPLIT(GA157,","))&amp;",",","&amp;SUBSTITUTE(input_modality," ","")&amp;",")))&gt;0)),IF(GC157="",TRUE,IF(input_modality="",FALSE,SUMPRODUCT(--ISNUMBER(SEARCH(","&amp;TRIM(TEXTSPLIT(GC157,","))&amp;",",","&amp;SUBSTITUTE(input_modality," ","")&amp;",")))=COUNTA(TEXTSPLIT(GC157,",")))),IF(GE157="",TRUE,IF(input_modality="",TRUE,SUMPRODUCT(--ISNUMBER(SEARCH(","&amp;TRIM(TEXTSPLIT(GE157,","))&amp;",",","&amp;SUBSTITUTE(input_modality," ","")&amp;",")))=0)),IF(GG157="",TRUE,IF(input_modality="",FALSE,SUMPRODUCT(--ISNUMBER(SEARCH(","&amp;TRIM(TEXTSPLIT(GG157,","))&amp;",",","&amp;SUBSTITUTE(input_modality," ","")&amp;",")))&gt;0)),IF(GI157="",TRUE,IF(input_modality="",FALSE,SUMPRODUCT(--ISNUMBER(SEARCH(","&amp;TRIM(TEXTSPLIT(GI157,","))&amp;",",","&amp;SUBSTITUTE(input_modality," ","")&amp;",")))=COUNTA(TEXTSPLIT(GI157,",")))))</f>
        <v/>
      </c>
      <c r="JL157" s="19">
        <f>AND(IF(GK157="",TRUE,IF(input_organizer="",FALSE,SUMPRODUCT(--ISNUMBER(SEARCH(","&amp;TRIM(TEXTSPLIT(GK157,","))&amp;",",","&amp;SUBSTITUTE(input_organizer," ","")&amp;",")))&gt;0)),IF(GM157="",TRUE,IF(input_organizer="",FALSE,SUMPRODUCT(--ISNUMBER(SEARCH(","&amp;TRIM(TEXTSPLIT(GM157,","))&amp;",",","&amp;SUBSTITUTE(input_organizer," ","")&amp;",")))=COUNTA(TEXTSPLIT(GM157,",")))),IF(GO157="",TRUE,IF(input_organizer="",TRUE,SUMPRODUCT(--ISNUMBER(SEARCH(","&amp;TRIM(TEXTSPLIT(GO157,","))&amp;",",","&amp;SUBSTITUTE(input_organizer," ","")&amp;",")))=0)),IF(GQ157="",TRUE,IF(input_organizer="",FALSE,SUMPRODUCT(--ISNUMBER(SEARCH(","&amp;TRIM(TEXTSPLIT(GQ157,","))&amp;",",","&amp;SUBSTITUTE(input_organizer," ","")&amp;",")))&gt;0)),IF(GS157="",TRUE,IF(input_organizer="",FALSE,SUMPRODUCT(--ISNUMBER(SEARCH(","&amp;TRIM(TEXTSPLIT(GS157,","))&amp;",",","&amp;SUBSTITUTE(input_organizer," ","")&amp;",")))=COUNTA(TEXTSPLIT(GS157,",")))))</f>
        <v/>
      </c>
      <c r="JM157" s="19">
        <f>AND(IF(GU157="",TRUE,IF(input_profile_type="",FALSE,SUMPRODUCT(--ISNUMBER(SEARCH(","&amp;TRIM(TEXTSPLIT(GU157,","))&amp;",",","&amp;SUBSTITUTE(input_profile_type," ","")&amp;",")))&gt;0)),IF(GW157="",TRUE,IF(input_profile_type="",FALSE,SUMPRODUCT(--ISNUMBER(SEARCH(","&amp;TRIM(TEXTSPLIT(GW157,","))&amp;",",","&amp;SUBSTITUTE(input_profile_type," ","")&amp;",")))=COUNTA(TEXTSPLIT(GW157,",")))),IF(GY157="",TRUE,IF(input_profile_type="",TRUE,SUMPRODUCT(--ISNUMBER(SEARCH(","&amp;TRIM(TEXTSPLIT(GY157,","))&amp;",",","&amp;SUBSTITUTE(input_profile_type," ","")&amp;",")))=0)),IF(HA157="",TRUE,IF(input_profile_type="",FALSE,SUMPRODUCT(--ISNUMBER(SEARCH(","&amp;TRIM(TEXTSPLIT(HA157,","))&amp;",",","&amp;SUBSTITUTE(input_profile_type," ","")&amp;",")))&gt;0)),IF(HC157="",TRUE,IF(input_profile_type="",FALSE,SUMPRODUCT(--ISNUMBER(SEARCH(","&amp;TRIM(TEXTSPLIT(HC157,","))&amp;",",","&amp;SUBSTITUTE(input_profile_type," ","")&amp;",")))=COUNTA(TEXTSPLIT(HC157,",")))))</f>
        <v/>
      </c>
      <c r="JN157" s="19">
        <f>AND(IF(HE157="",TRUE,IF(input_program="",FALSE,SUMPRODUCT(--ISNUMBER(SEARCH(","&amp;TRIM(TEXTSPLIT(HE157,","))&amp;",",","&amp;SUBSTITUTE(input_program," ","")&amp;",")))&gt;0)),IF(HG157="",TRUE,IF(input_program="",FALSE,SUMPRODUCT(--ISNUMBER(SEARCH(","&amp;TRIM(TEXTSPLIT(HG157,","))&amp;",",","&amp;SUBSTITUTE(input_program," ","")&amp;",")))=COUNTA(TEXTSPLIT(HG157,",")))),IF(HI157="",TRUE,IF(input_program="",TRUE,SUMPRODUCT(--ISNUMBER(SEARCH(","&amp;TRIM(TEXTSPLIT(HI157,","))&amp;",",","&amp;SUBSTITUTE(input_program," ","")&amp;",")))=0)),IF(HK157="",TRUE,IF(input_program="",FALSE,SUMPRODUCT(--ISNUMBER(SEARCH(","&amp;TRIM(TEXTSPLIT(HK157,","))&amp;",",","&amp;SUBSTITUTE(input_program," ","")&amp;",")))&gt;0)),IF(HM157="",TRUE,IF(input_program="",FALSE,SUMPRODUCT(--ISNUMBER(SEARCH(","&amp;TRIM(TEXTSPLIT(HM157,","))&amp;",",","&amp;SUBSTITUTE(input_program," ","")&amp;",")))=COUNTA(TEXTSPLIT(HM157,",")))))</f>
        <v/>
      </c>
      <c r="JO157" s="19">
        <f>AND(IF(HO157="",TRUE,IF(input_story_categories="",FALSE,SUMPRODUCT(--ISNUMBER(SEARCH(","&amp;TRIM(TEXTSPLIT(HO157,","))&amp;",",","&amp;SUBSTITUTE(input_story_categories," ","")&amp;",")))&gt;0)),IF(HQ157="",TRUE,IF(input_story_categories="",FALSE,SUMPRODUCT(--ISNUMBER(SEARCH(","&amp;TRIM(TEXTSPLIT(HQ157,","))&amp;",",","&amp;SUBSTITUTE(input_story_categories," ","")&amp;",")))=COUNTA(TEXTSPLIT(HQ157,",")))),IF(HS157="",TRUE,IF(input_story_categories="",TRUE,SUMPRODUCT(--ISNUMBER(SEARCH(","&amp;TRIM(TEXTSPLIT(HS157,","))&amp;",",","&amp;SUBSTITUTE(input_story_categories," ","")&amp;",")))=0)),IF(HU157="",TRUE,IF(input_story_categories="",FALSE,SUMPRODUCT(--ISNUMBER(SEARCH(","&amp;TRIM(TEXTSPLIT(HU157,","))&amp;",",","&amp;SUBSTITUTE(input_story_categories," ","")&amp;",")))&gt;0)),IF(HW157="",TRUE,IF(input_story_categories="",FALSE,SUMPRODUCT(--ISNUMBER(SEARCH(","&amp;TRIM(TEXTSPLIT(HW157,","))&amp;",",","&amp;SUBSTITUTE(input_story_categories," ","")&amp;",")))=COUNTA(TEXTSPLIT(HW157,",")))))</f>
        <v/>
      </c>
      <c r="JP157" s="19">
        <f>AND(IF(HY157="",TRUE,IF(input_story_type="",FALSE,SUMPRODUCT(--ISNUMBER(SEARCH(","&amp;TRIM(TEXTSPLIT(HY157,","))&amp;",",","&amp;SUBSTITUTE(input_story_type," ","")&amp;",")))&gt;0)),IF(IA157="",TRUE,IF(input_story_type="",FALSE,SUMPRODUCT(--ISNUMBER(SEARCH(","&amp;TRIM(TEXTSPLIT(IA157,","))&amp;",",","&amp;SUBSTITUTE(input_story_type," ","")&amp;",")))=COUNTA(TEXTSPLIT(IA157,",")))),IF(IC157="",TRUE,IF(input_story_type="",TRUE,SUMPRODUCT(--ISNUMBER(SEARCH(","&amp;TRIM(TEXTSPLIT(IC157,","))&amp;",",","&amp;SUBSTITUTE(input_story_type," ","")&amp;",")))=0)),IF(IE157="",TRUE,IF(input_story_type="",FALSE,SUMPRODUCT(--ISNUMBER(SEARCH(","&amp;TRIM(TEXTSPLIT(IE157,","))&amp;",",","&amp;SUBSTITUTE(input_story_type," ","")&amp;",")))&gt;0)),IF(IG157="",TRUE,IF(input_story_type="",FALSE,SUMPRODUCT(--ISNUMBER(SEARCH(","&amp;TRIM(TEXTSPLIT(IG157,","))&amp;",",","&amp;SUBSTITUTE(input_story_type," ","")&amp;",")))=COUNTA(TEXTSPLIT(IG157,",")))))</f>
        <v/>
      </c>
      <c r="JQ157" s="19">
        <f>AND(IF(II157="",TRUE,IF(input_topics="",FALSE,SUMPRODUCT(--ISNUMBER(SEARCH(","&amp;TRIM(TEXTSPLIT(II157,","))&amp;",",","&amp;SUBSTITUTE(input_topics," ","")&amp;",")))&gt;0)),IF(IK157="",TRUE,IF(input_topics="",FALSE,SUMPRODUCT(--ISNUMBER(SEARCH(","&amp;TRIM(TEXTSPLIT(IK157,","))&amp;",",","&amp;SUBSTITUTE(input_topics," ","")&amp;",")))=COUNTA(TEXTSPLIT(IK157,",")))),IF(IM157="",TRUE,IF(input_topics="",TRUE,SUMPRODUCT(--ISNUMBER(SEARCH(","&amp;TRIM(TEXTSPLIT(IM157,","))&amp;",",","&amp;SUBSTITUTE(input_topics," ","")&amp;",")))=0)),IF(IO157="",TRUE,IF(input_topics="",FALSE,SUMPRODUCT(--ISNUMBER(SEARCH(","&amp;TRIM(TEXTSPLIT(IO157,","))&amp;",",","&amp;SUBSTITUTE(input_topics," ","")&amp;",")))&gt;0)),IF(IQ157="",TRUE,IF(input_topics="",FALSE,SUMPRODUCT(--ISNUMBER(SEARCH(","&amp;TRIM(TEXTSPLIT(IQ157,","))&amp;",",","&amp;SUBSTITUTE(input_topics," ","")&amp;",")))=COUNTA(TEXTSPLIT(IQ157,",")))))</f>
        <v/>
      </c>
    </row>
    <row r="158">
      <c r="A158" s="24">
        <f>IF(NOT(IS158),"Excluded",IF(AND(IT158,IU158,IV158,IW158,IX158,IY158,IZ158,JA158,JB158,JC158,JD158,JE158,JF158,JG158,JH158,JI158,JJ158,JK158,JL158,JM158,JN158,JO158,JP158,JQ158),IF(I158&gt;0,"Eligible but limited","Will appear"),"Excluded"))</f>
        <v/>
      </c>
      <c r="B158" s="24" t="inlineStr">
        <is>
          <t>Related profiles on profile pages</t>
        </is>
      </c>
      <c r="C158" s="27" t="inlineStr">
        <is>
          <t>/profile/alexander-costa-22</t>
        </is>
      </c>
      <c r="D158" s="24" t="inlineStr">
        <is>
          <t>/profile/alexander-costa-22
/profile/ann-graf-20
/profile/austin-he-22-0</t>
        </is>
      </c>
      <c r="E158" s="24" t="n">
        <v>20</v>
      </c>
      <c r="F158" s="24" t="inlineStr">
        <is>
          <t>profile</t>
        </is>
      </c>
      <c r="G158" s="24" t="inlineStr">
        <is>
          <t>profiles_grid</t>
        </is>
      </c>
      <c r="H158" s="24" t="inlineStr">
        <is>
          <t>related</t>
        </is>
      </c>
      <c r="I158" s="24" t="n">
        <v>3</v>
      </c>
      <c r="J158" s="28" t="inlineStr">
        <is>
          <t>Explicit args</t>
        </is>
      </c>
      <c r="K158" s="24" t="inlineStr">
        <is>
          <t>Grouped surface</t>
        </is>
      </c>
      <c r="L158" s="24" t="inlineStr">
        <is>
          <t>Content type: profile; Context uses Profile Type: Student (1551); Context uses Program: Master’s Degree in Global Business &amp; Society (84); Limited to 3 item(s); Source: Explicit args</t>
        </is>
      </c>
      <c r="HA158" s="19" t="inlineStr">
        <is>
          <t>1551</t>
        </is>
      </c>
      <c r="HB158" s="19" t="inlineStr">
        <is>
          <t>Student (1551)</t>
        </is>
      </c>
      <c r="HK158" s="19" t="inlineStr">
        <is>
          <t>84</t>
        </is>
      </c>
      <c r="HL158" s="19" t="inlineStr">
        <is>
          <t>Master’s Degree in Global Business &amp; Society (84)</t>
        </is>
      </c>
      <c r="IS158" s="19">
        <f>IF(input_content_type="",FALSE,ISNUMBER(SEARCH(","&amp;LOWER(input_content_type)&amp;",",","&amp;LOWER(SUBSTITUTE(F158," ",""))&amp;",")))</f>
        <v/>
      </c>
      <c r="IT158" s="19">
        <f>AND(IF(M158="",TRUE,IF(input_affiliations="",FALSE,SUMPRODUCT(--ISNUMBER(SEARCH(","&amp;TRIM(TEXTSPLIT(M158,","))&amp;",",","&amp;SUBSTITUTE(input_affiliations," ","")&amp;",")))&gt;0)),IF(O158="",TRUE,IF(input_affiliations="",FALSE,SUMPRODUCT(--ISNUMBER(SEARCH(","&amp;TRIM(TEXTSPLIT(O158,","))&amp;",",","&amp;SUBSTITUTE(input_affiliations," ","")&amp;",")))=COUNTA(TEXTSPLIT(O158,",")))),IF(Q158="",TRUE,IF(input_affiliations="",TRUE,SUMPRODUCT(--ISNUMBER(SEARCH(","&amp;TRIM(TEXTSPLIT(Q158,","))&amp;",",","&amp;SUBSTITUTE(input_affiliations," ","")&amp;",")))=0)),IF(S158="",TRUE,IF(input_affiliations="",FALSE,SUMPRODUCT(--ISNUMBER(SEARCH(","&amp;TRIM(TEXTSPLIT(S158,","))&amp;",",","&amp;SUBSTITUTE(input_affiliations," ","")&amp;",")))&gt;0)),IF(U158="",TRUE,IF(input_affiliations="",FALSE,SUMPRODUCT(--ISNUMBER(SEARCH(","&amp;TRIM(TEXTSPLIT(U158,","))&amp;",",","&amp;SUBSTITUTE(input_affiliations," ","")&amp;",")))=COUNTA(TEXTSPLIT(U158,",")))))</f>
        <v/>
      </c>
      <c r="IU158" s="19">
        <f>AND(IF(W158="",TRUE,IF(input_announcement_category="",FALSE,SUMPRODUCT(--ISNUMBER(SEARCH(","&amp;TRIM(TEXTSPLIT(W158,","))&amp;",",","&amp;SUBSTITUTE(input_announcement_category," ","")&amp;",")))&gt;0)),IF(Y158="",TRUE,IF(input_announcement_category="",FALSE,SUMPRODUCT(--ISNUMBER(SEARCH(","&amp;TRIM(TEXTSPLIT(Y158,","))&amp;",",","&amp;SUBSTITUTE(input_announcement_category," ","")&amp;",")))=COUNTA(TEXTSPLIT(Y158,",")))),IF(AA158="",TRUE,IF(input_announcement_category="",TRUE,SUMPRODUCT(--ISNUMBER(SEARCH(","&amp;TRIM(TEXTSPLIT(AA158,","))&amp;",",","&amp;SUBSTITUTE(input_announcement_category," ","")&amp;",")))=0)),IF(AC158="",TRUE,IF(input_announcement_category="",FALSE,SUMPRODUCT(--ISNUMBER(SEARCH(","&amp;TRIM(TEXTSPLIT(AC158,","))&amp;",",","&amp;SUBSTITUTE(input_announcement_category," ","")&amp;",")))&gt;0)),IF(AE158="",TRUE,IF(input_announcement_category="",FALSE,SUMPRODUCT(--ISNUMBER(SEARCH(","&amp;TRIM(TEXTSPLIT(AE158,","))&amp;",",","&amp;SUBSTITUTE(input_announcement_category," ","")&amp;",")))=COUNTA(TEXTSPLIT(AE158,",")))))</f>
        <v/>
      </c>
      <c r="IV158" s="19">
        <f>AND(IF(AG158="",TRUE,IF(input_area_of_focus="",FALSE,SUMPRODUCT(--ISNUMBER(SEARCH(","&amp;TRIM(TEXTSPLIT(AG158,","))&amp;",",","&amp;SUBSTITUTE(input_area_of_focus," ","")&amp;",")))&gt;0)),IF(AI158="",TRUE,IF(input_area_of_focus="",FALSE,SUMPRODUCT(--ISNUMBER(SEARCH(","&amp;TRIM(TEXTSPLIT(AI158,","))&amp;",",","&amp;SUBSTITUTE(input_area_of_focus," ","")&amp;",")))=COUNTA(TEXTSPLIT(AI158,",")))),IF(AK158="",TRUE,IF(input_area_of_focus="",TRUE,SUMPRODUCT(--ISNUMBER(SEARCH(","&amp;TRIM(TEXTSPLIT(AK158,","))&amp;",",","&amp;SUBSTITUTE(input_area_of_focus," ","")&amp;",")))=0)),IF(AM158="",TRUE,IF(input_area_of_focus="",FALSE,SUMPRODUCT(--ISNUMBER(SEARCH(","&amp;TRIM(TEXTSPLIT(AM158,","))&amp;",",","&amp;SUBSTITUTE(input_area_of_focus," ","")&amp;",")))&gt;0)),IF(AO158="",TRUE,IF(input_area_of_focus="",FALSE,SUMPRODUCT(--ISNUMBER(SEARCH(","&amp;TRIM(TEXTSPLIT(AO158,","))&amp;",",","&amp;SUBSTITUTE(input_area_of_focus," ","")&amp;",")))=COUNTA(TEXTSPLIT(AO158,",")))))</f>
        <v/>
      </c>
      <c r="IW158" s="19">
        <f>AND(IF(AQ158="",TRUE,IF(input_audience="",FALSE,SUMPRODUCT(--ISNUMBER(SEARCH(","&amp;TRIM(TEXTSPLIT(AQ158,","))&amp;",",","&amp;SUBSTITUTE(input_audience," ","")&amp;",")))&gt;0)),IF(AS158="",TRUE,IF(input_audience="",FALSE,SUMPRODUCT(--ISNUMBER(SEARCH(","&amp;TRIM(TEXTSPLIT(AS158,","))&amp;",",","&amp;SUBSTITUTE(input_audience," ","")&amp;",")))=COUNTA(TEXTSPLIT(AS158,",")))),IF(AU158="",TRUE,IF(input_audience="",TRUE,SUMPRODUCT(--ISNUMBER(SEARCH(","&amp;TRIM(TEXTSPLIT(AU158,","))&amp;",",","&amp;SUBSTITUTE(input_audience," ","")&amp;",")))=0)),IF(AW158="",TRUE,IF(input_audience="",FALSE,SUMPRODUCT(--ISNUMBER(SEARCH(","&amp;TRIM(TEXTSPLIT(AW158,","))&amp;",",","&amp;SUBSTITUTE(input_audience," ","")&amp;",")))&gt;0)),IF(AY158="",TRUE,IF(input_audience="",FALSE,SUMPRODUCT(--ISNUMBER(SEARCH(","&amp;TRIM(TEXTSPLIT(AY158,","))&amp;",",","&amp;SUBSTITUTE(input_audience," ","")&amp;",")))=COUNTA(TEXTSPLIT(AY158,",")))))</f>
        <v/>
      </c>
      <c r="IX158" s="19">
        <f>AND(IF(BA158="",TRUE,IF(input_challenge_opportunities="",FALSE,SUMPRODUCT(--ISNUMBER(SEARCH(","&amp;TRIM(TEXTSPLIT(BA158,","))&amp;",",","&amp;SUBSTITUTE(input_challenge_opportunities," ","")&amp;",")))&gt;0)),IF(BC158="",TRUE,IF(input_challenge_opportunities="",FALSE,SUMPRODUCT(--ISNUMBER(SEARCH(","&amp;TRIM(TEXTSPLIT(BC158,","))&amp;",",","&amp;SUBSTITUTE(input_challenge_opportunities," ","")&amp;",")))=COUNTA(TEXTSPLIT(BC158,",")))),IF(BE158="",TRUE,IF(input_challenge_opportunities="",TRUE,SUMPRODUCT(--ISNUMBER(SEARCH(","&amp;TRIM(TEXTSPLIT(BE158,","))&amp;",",","&amp;SUBSTITUTE(input_challenge_opportunities," ","")&amp;",")))=0)),IF(BG158="",TRUE,IF(input_challenge_opportunities="",FALSE,SUMPRODUCT(--ISNUMBER(SEARCH(","&amp;TRIM(TEXTSPLIT(BG158,","))&amp;",",","&amp;SUBSTITUTE(input_challenge_opportunities," ","")&amp;",")))&gt;0)),IF(BI158="",TRUE,IF(input_challenge_opportunities="",FALSE,SUMPRODUCT(--ISNUMBER(SEARCH(","&amp;TRIM(TEXTSPLIT(BI158,","))&amp;",",","&amp;SUBSTITUTE(input_challenge_opportunities," ","")&amp;",")))=COUNTA(TEXTSPLIT(BI158,",")))))</f>
        <v/>
      </c>
      <c r="IY158" s="19">
        <f>AND(IF(BK158="",TRUE,IF(input_context="",FALSE,SUMPRODUCT(--ISNUMBER(SEARCH(","&amp;TRIM(TEXTSPLIT(BK158,","))&amp;",",","&amp;SUBSTITUTE(input_context," ","")&amp;",")))&gt;0)),IF(BM158="",TRUE,IF(input_context="",FALSE,SUMPRODUCT(--ISNUMBER(SEARCH(","&amp;TRIM(TEXTSPLIT(BM158,","))&amp;",",","&amp;SUBSTITUTE(input_context," ","")&amp;",")))=COUNTA(TEXTSPLIT(BM158,",")))),IF(BO158="",TRUE,IF(input_context="",TRUE,SUMPRODUCT(--ISNUMBER(SEARCH(","&amp;TRIM(TEXTSPLIT(BO158,","))&amp;",",","&amp;SUBSTITUTE(input_context," ","")&amp;",")))=0)),IF(BQ158="",TRUE,IF(input_context="",FALSE,SUMPRODUCT(--ISNUMBER(SEARCH(","&amp;TRIM(TEXTSPLIT(BQ158,","))&amp;",",","&amp;SUBSTITUTE(input_context," ","")&amp;",")))&gt;0)),IF(BS158="",TRUE,IF(input_context="",FALSE,SUMPRODUCT(--ISNUMBER(SEARCH(","&amp;TRIM(TEXTSPLIT(BS158,","))&amp;",",","&amp;SUBSTITUTE(input_context," ","")&amp;",")))=COUNTA(TEXTSPLIT(BS158,",")))))</f>
        <v/>
      </c>
      <c r="IZ158" s="19">
        <f>AND(IF(BU158="",TRUE,IF(input_enews_announcement_type="",FALSE,SUMPRODUCT(--ISNUMBER(SEARCH(","&amp;TRIM(TEXTSPLIT(BU158,","))&amp;",",","&amp;SUBSTITUTE(input_enews_announcement_type," ","")&amp;",")))&gt;0)),IF(BW158="",TRUE,IF(input_enews_announcement_type="",FALSE,SUMPRODUCT(--ISNUMBER(SEARCH(","&amp;TRIM(TEXTSPLIT(BW158,","))&amp;",",","&amp;SUBSTITUTE(input_enews_announcement_type," ","")&amp;",")))=COUNTA(TEXTSPLIT(BW158,",")))),IF(BY158="",TRUE,IF(input_enews_announcement_type="",TRUE,SUMPRODUCT(--ISNUMBER(SEARCH(","&amp;TRIM(TEXTSPLIT(BY158,","))&amp;",",","&amp;SUBSTITUTE(input_enews_announcement_type," ","")&amp;",")))=0)),IF(CA158="",TRUE,IF(input_enews_announcement_type="",FALSE,SUMPRODUCT(--ISNUMBER(SEARCH(","&amp;TRIM(TEXTSPLIT(CA158,","))&amp;",",","&amp;SUBSTITUTE(input_enews_announcement_type," ","")&amp;",")))&gt;0)),IF(CC158="",TRUE,IF(input_enews_announcement_type="",FALSE,SUMPRODUCT(--ISNUMBER(SEARCH(","&amp;TRIM(TEXTSPLIT(CC158,","))&amp;",",","&amp;SUBSTITUTE(input_enews_announcement_type," ","")&amp;",")))=COUNTA(TEXTSPLIT(CC158,",")))))</f>
        <v/>
      </c>
      <c r="JA158" s="19">
        <f>AND(IF(CE158="",TRUE,IF(input_enews_audience="",FALSE,SUMPRODUCT(--ISNUMBER(SEARCH(","&amp;TRIM(TEXTSPLIT(CE158,","))&amp;",",","&amp;SUBSTITUTE(input_enews_audience," ","")&amp;",")))&gt;0)),IF(CG158="",TRUE,IF(input_enews_audience="",FALSE,SUMPRODUCT(--ISNUMBER(SEARCH(","&amp;TRIM(TEXTSPLIT(CG158,","))&amp;",",","&amp;SUBSTITUTE(input_enews_audience," ","")&amp;",")))=COUNTA(TEXTSPLIT(CG158,",")))),IF(CI158="",TRUE,IF(input_enews_audience="",TRUE,SUMPRODUCT(--ISNUMBER(SEARCH(","&amp;TRIM(TEXTSPLIT(CI158,","))&amp;",",","&amp;SUBSTITUTE(input_enews_audience," ","")&amp;",")))=0)),IF(CK158="",TRUE,IF(input_enews_audience="",FALSE,SUMPRODUCT(--ISNUMBER(SEARCH(","&amp;TRIM(TEXTSPLIT(CK158,","))&amp;",",","&amp;SUBSTITUTE(input_enews_audience," ","")&amp;",")))&gt;0)),IF(CM158="",TRUE,IF(input_enews_audience="",FALSE,SUMPRODUCT(--ISNUMBER(SEARCH(","&amp;TRIM(TEXTSPLIT(CM158,","))&amp;",",","&amp;SUBSTITUTE(input_enews_audience," ","")&amp;",")))=COUNTA(TEXTSPLIT(CM158,",")))))</f>
        <v/>
      </c>
      <c r="JB158" s="19">
        <f>AND(IF(CO158="",TRUE,IF(input_event_location="",FALSE,SUMPRODUCT(--ISNUMBER(SEARCH(","&amp;TRIM(TEXTSPLIT(CO158,","))&amp;",",","&amp;SUBSTITUTE(input_event_location," ","")&amp;",")))&gt;0)),IF(CQ158="",TRUE,IF(input_event_location="",FALSE,SUMPRODUCT(--ISNUMBER(SEARCH(","&amp;TRIM(TEXTSPLIT(CQ158,","))&amp;",",","&amp;SUBSTITUTE(input_event_location," ","")&amp;",")))=COUNTA(TEXTSPLIT(CQ158,",")))),IF(CS158="",TRUE,IF(input_event_location="",TRUE,SUMPRODUCT(--ISNUMBER(SEARCH(","&amp;TRIM(TEXTSPLIT(CS158,","))&amp;",",","&amp;SUBSTITUTE(input_event_location," ","")&amp;",")))=0)),IF(CU158="",TRUE,IF(input_event_location="",FALSE,SUMPRODUCT(--ISNUMBER(SEARCH(","&amp;TRIM(TEXTSPLIT(CU158,","))&amp;",",","&amp;SUBSTITUTE(input_event_location," ","")&amp;",")))&gt;0)),IF(CW158="",TRUE,IF(input_event_location="",FALSE,SUMPRODUCT(--ISNUMBER(SEARCH(","&amp;TRIM(TEXTSPLIT(CW158,","))&amp;",",","&amp;SUBSTITUTE(input_event_location," ","")&amp;",")))=COUNTA(TEXTSPLIT(CW158,",")))))</f>
        <v/>
      </c>
      <c r="JC158" s="19">
        <f>AND(IF(CY158="",TRUE,IF(input_event_type="",FALSE,SUMPRODUCT(--ISNUMBER(SEARCH(","&amp;TRIM(TEXTSPLIT(CY158,","))&amp;",",","&amp;SUBSTITUTE(input_event_type," ","")&amp;",")))&gt;0)),IF(DA158="",TRUE,IF(input_event_type="",FALSE,SUMPRODUCT(--ISNUMBER(SEARCH(","&amp;TRIM(TEXTSPLIT(DA158,","))&amp;",",","&amp;SUBSTITUTE(input_event_type," ","")&amp;",")))=COUNTA(TEXTSPLIT(DA158,",")))),IF(DC158="",TRUE,IF(input_event_type="",TRUE,SUMPRODUCT(--ISNUMBER(SEARCH(","&amp;TRIM(TEXTSPLIT(DC158,","))&amp;",",","&amp;SUBSTITUTE(input_event_type," ","")&amp;",")))=0)),IF(DE158="",TRUE,IF(input_event_type="",FALSE,SUMPRODUCT(--ISNUMBER(SEARCH(","&amp;TRIM(TEXTSPLIT(DE158,","))&amp;",",","&amp;SUBSTITUTE(input_event_type," ","")&amp;",")))&gt;0)),IF(DG158="",TRUE,IF(input_event_type="",FALSE,SUMPRODUCT(--ISNUMBER(SEARCH(","&amp;TRIM(TEXTSPLIT(DG158,","))&amp;",",","&amp;SUBSTITUTE(input_event_type," ","")&amp;",")))=COUNTA(TEXTSPLIT(DG158,",")))))</f>
        <v/>
      </c>
      <c r="JD158" s="19">
        <f>AND(IF(DI158="",TRUE,IF(input_executive_education_focus="",FALSE,SUMPRODUCT(--ISNUMBER(SEARCH(","&amp;TRIM(TEXTSPLIT(DI158,","))&amp;",",","&amp;SUBSTITUTE(input_executive_education_focus," ","")&amp;",")))&gt;0)),IF(DK158="",TRUE,IF(input_executive_education_focus="",FALSE,SUMPRODUCT(--ISNUMBER(SEARCH(","&amp;TRIM(TEXTSPLIT(DK158,","))&amp;",",","&amp;SUBSTITUTE(input_executive_education_focus," ","")&amp;",")))=COUNTA(TEXTSPLIT(DK158,",")))),IF(DM158="",TRUE,IF(input_executive_education_focus="",TRUE,SUMPRODUCT(--ISNUMBER(SEARCH(","&amp;TRIM(TEXTSPLIT(DM158,","))&amp;",",","&amp;SUBSTITUTE(input_executive_education_focus," ","")&amp;",")))=0)),IF(DO158="",TRUE,IF(input_executive_education_focus="",FALSE,SUMPRODUCT(--ISNUMBER(SEARCH(","&amp;TRIM(TEXTSPLIT(DO158,","))&amp;",",","&amp;SUBSTITUTE(input_executive_education_focus," ","")&amp;",")))&gt;0)),IF(DQ158="",TRUE,IF(input_executive_education_focus="",FALSE,SUMPRODUCT(--ISNUMBER(SEARCH(","&amp;TRIM(TEXTSPLIT(DQ158,","))&amp;",",","&amp;SUBSTITUTE(input_executive_education_focus," ","")&amp;",")))=COUNTA(TEXTSPLIT(DQ158,",")))))</f>
        <v/>
      </c>
      <c r="JE158" s="19">
        <f>AND(IF(DS158="",TRUE,IF(input_faculty_category="",FALSE,SUMPRODUCT(--ISNUMBER(SEARCH(","&amp;TRIM(TEXTSPLIT(DS158,","))&amp;",",","&amp;SUBSTITUTE(input_faculty_category," ","")&amp;",")))&gt;0)),IF(DU158="",TRUE,IF(input_faculty_category="",FALSE,SUMPRODUCT(--ISNUMBER(SEARCH(","&amp;TRIM(TEXTSPLIT(DU158,","))&amp;",",","&amp;SUBSTITUTE(input_faculty_category," ","")&amp;",")))=COUNTA(TEXTSPLIT(DU158,",")))),IF(DW158="",TRUE,IF(input_faculty_category="",TRUE,SUMPRODUCT(--ISNUMBER(SEARCH(","&amp;TRIM(TEXTSPLIT(DW158,","))&amp;",",","&amp;SUBSTITUTE(input_faculty_category," ","")&amp;",")))=0)),IF(DY158="",TRUE,IF(input_faculty_category="",FALSE,SUMPRODUCT(--ISNUMBER(SEARCH(","&amp;TRIM(TEXTSPLIT(DY158,","))&amp;",",","&amp;SUBSTITUTE(input_faculty_category," ","")&amp;",")))&gt;0)),IF(EA158="",TRUE,IF(input_faculty_category="",FALSE,SUMPRODUCT(--ISNUMBER(SEARCH(","&amp;TRIM(TEXTSPLIT(EA158,","))&amp;",",","&amp;SUBSTITUTE(input_faculty_category," ","")&amp;",")))=COUNTA(TEXTSPLIT(EA158,",")))))</f>
        <v/>
      </c>
      <c r="JF158" s="19">
        <f>AND(IF(EC158="",TRUE,IF(input_faculty_discipline="",FALSE,SUMPRODUCT(--ISNUMBER(SEARCH(","&amp;TRIM(TEXTSPLIT(EC158,","))&amp;",",","&amp;SUBSTITUTE(input_faculty_discipline," ","")&amp;",")))&gt;0)),IF(EE158="",TRUE,IF(input_faculty_discipline="",FALSE,SUMPRODUCT(--ISNUMBER(SEARCH(","&amp;TRIM(TEXTSPLIT(EE158,","))&amp;",",","&amp;SUBSTITUTE(input_faculty_discipline," ","")&amp;",")))=COUNTA(TEXTSPLIT(EE158,",")))),IF(EG158="",TRUE,IF(input_faculty_discipline="",TRUE,SUMPRODUCT(--ISNUMBER(SEARCH(","&amp;TRIM(TEXTSPLIT(EG158,","))&amp;",",","&amp;SUBSTITUTE(input_faculty_discipline," ","")&amp;",")))=0)),IF(EI158="",TRUE,IF(input_faculty_discipline="",FALSE,SUMPRODUCT(--ISNUMBER(SEARCH(","&amp;TRIM(TEXTSPLIT(EI158,","))&amp;",",","&amp;SUBSTITUTE(input_faculty_discipline," ","")&amp;",")))&gt;0)),IF(EK158="",TRUE,IF(input_faculty_discipline="",FALSE,SUMPRODUCT(--ISNUMBER(SEARCH(","&amp;TRIM(TEXTSPLIT(EK158,","))&amp;",",","&amp;SUBSTITUTE(input_faculty_discipline," ","")&amp;",")))=COUNTA(TEXTSPLIT(EK158,",")))))</f>
        <v/>
      </c>
      <c r="JG158" s="19">
        <f>AND(IF(EM158="",TRUE,IF(input_faculty_expertise="",FALSE,SUMPRODUCT(--ISNUMBER(SEARCH(","&amp;TRIM(TEXTSPLIT(EM158,","))&amp;",",","&amp;SUBSTITUTE(input_faculty_expertise," ","")&amp;",")))&gt;0)),IF(EO158="",TRUE,IF(input_faculty_expertise="",FALSE,SUMPRODUCT(--ISNUMBER(SEARCH(","&amp;TRIM(TEXTSPLIT(EO158,","))&amp;",",","&amp;SUBSTITUTE(input_faculty_expertise," ","")&amp;",")))=COUNTA(TEXTSPLIT(EO158,",")))),IF(EQ158="",TRUE,IF(input_faculty_expertise="",TRUE,SUMPRODUCT(--ISNUMBER(SEARCH(","&amp;TRIM(TEXTSPLIT(EQ158,","))&amp;",",","&amp;SUBSTITUTE(input_faculty_expertise," ","")&amp;",")))=0)),IF(ES158="",TRUE,IF(input_faculty_expertise="",FALSE,SUMPRODUCT(--ISNUMBER(SEARCH(","&amp;TRIM(TEXTSPLIT(ES158,","))&amp;",",","&amp;SUBSTITUTE(input_faculty_expertise," ","")&amp;",")))&gt;0)),IF(EU158="",TRUE,IF(input_faculty_expertise="",FALSE,SUMPRODUCT(--ISNUMBER(SEARCH(","&amp;TRIM(TEXTSPLIT(EU158,","))&amp;",",","&amp;SUBSTITUTE(input_faculty_expertise," ","")&amp;",")))=COUNTA(TEXTSPLIT(EU158,",")))))</f>
        <v/>
      </c>
      <c r="JH158" s="19">
        <f>AND(IF(EW158="",TRUE,IF(input_global_network_school="",FALSE,SUMPRODUCT(--ISNUMBER(SEARCH(","&amp;TRIM(TEXTSPLIT(EW158,","))&amp;",",","&amp;SUBSTITUTE(input_global_network_school," ","")&amp;",")))&gt;0)),IF(EY158="",TRUE,IF(input_global_network_school="",FALSE,SUMPRODUCT(--ISNUMBER(SEARCH(","&amp;TRIM(TEXTSPLIT(EY158,","))&amp;",",","&amp;SUBSTITUTE(input_global_network_school," ","")&amp;",")))=COUNTA(TEXTSPLIT(EY158,",")))),IF(FA158="",TRUE,IF(input_global_network_school="",TRUE,SUMPRODUCT(--ISNUMBER(SEARCH(","&amp;TRIM(TEXTSPLIT(FA158,","))&amp;",",","&amp;SUBSTITUTE(input_global_network_school," ","")&amp;",")))=0)),IF(FC158="",TRUE,IF(input_global_network_school="",FALSE,SUMPRODUCT(--ISNUMBER(SEARCH(","&amp;TRIM(TEXTSPLIT(FC158,","))&amp;",",","&amp;SUBSTITUTE(input_global_network_school," ","")&amp;",")))&gt;0)),IF(FE158="",TRUE,IF(input_global_network_school="",FALSE,SUMPRODUCT(--ISNUMBER(SEARCH(","&amp;TRIM(TEXTSPLIT(FE158,","))&amp;",",","&amp;SUBSTITUTE(input_global_network_school," ","")&amp;",")))=COUNTA(TEXTSPLIT(FE158,",")))))</f>
        <v/>
      </c>
      <c r="JI158" s="19">
        <f>AND(IF(FG158="",TRUE,IF(input_industry="",FALSE,SUMPRODUCT(--ISNUMBER(SEARCH(","&amp;TRIM(TEXTSPLIT(FG158,","))&amp;",",","&amp;SUBSTITUTE(input_industry," ","")&amp;",")))&gt;0)),IF(FI158="",TRUE,IF(input_industry="",FALSE,SUMPRODUCT(--ISNUMBER(SEARCH(","&amp;TRIM(TEXTSPLIT(FI158,","))&amp;",",","&amp;SUBSTITUTE(input_industry," ","")&amp;",")))=COUNTA(TEXTSPLIT(FI158,",")))),IF(FK158="",TRUE,IF(input_industry="",TRUE,SUMPRODUCT(--ISNUMBER(SEARCH(","&amp;TRIM(TEXTSPLIT(FK158,","))&amp;",",","&amp;SUBSTITUTE(input_industry," ","")&amp;",")))=0)),IF(FM158="",TRUE,IF(input_industry="",FALSE,SUMPRODUCT(--ISNUMBER(SEARCH(","&amp;TRIM(TEXTSPLIT(FM158,","))&amp;",",","&amp;SUBSTITUTE(input_industry," ","")&amp;",")))&gt;0)),IF(FO158="",TRUE,IF(input_industry="",FALSE,SUMPRODUCT(--ISNUMBER(SEARCH(","&amp;TRIM(TEXTSPLIT(FO158,","))&amp;",",","&amp;SUBSTITUTE(input_industry," ","")&amp;",")))=COUNTA(TEXTSPLIT(FO158,",")))))</f>
        <v/>
      </c>
      <c r="JJ158" s="19">
        <f>AND(IF(FQ158="",TRUE,IF(input_location="",FALSE,SUMPRODUCT(--ISNUMBER(SEARCH(","&amp;TRIM(TEXTSPLIT(FQ158,","))&amp;",",","&amp;SUBSTITUTE(input_location," ","")&amp;",")))&gt;0)),IF(FS158="",TRUE,IF(input_location="",FALSE,SUMPRODUCT(--ISNUMBER(SEARCH(","&amp;TRIM(TEXTSPLIT(FS158,","))&amp;",",","&amp;SUBSTITUTE(input_location," ","")&amp;",")))=COUNTA(TEXTSPLIT(FS158,",")))),IF(FU158="",TRUE,IF(input_location="",TRUE,SUMPRODUCT(--ISNUMBER(SEARCH(","&amp;TRIM(TEXTSPLIT(FU158,","))&amp;",",","&amp;SUBSTITUTE(input_location," ","")&amp;",")))=0)),IF(FW158="",TRUE,IF(input_location="",FALSE,SUMPRODUCT(--ISNUMBER(SEARCH(","&amp;TRIM(TEXTSPLIT(FW158,","))&amp;",",","&amp;SUBSTITUTE(input_location," ","")&amp;",")))&gt;0)),IF(FY158="",TRUE,IF(input_location="",FALSE,SUMPRODUCT(--ISNUMBER(SEARCH(","&amp;TRIM(TEXTSPLIT(FY158,","))&amp;",",","&amp;SUBSTITUTE(input_location," ","")&amp;",")))=COUNTA(TEXTSPLIT(FY158,",")))))</f>
        <v/>
      </c>
      <c r="JK158" s="19">
        <f>AND(IF(GA158="",TRUE,IF(input_modality="",FALSE,SUMPRODUCT(--ISNUMBER(SEARCH(","&amp;TRIM(TEXTSPLIT(GA158,","))&amp;",",","&amp;SUBSTITUTE(input_modality," ","")&amp;",")))&gt;0)),IF(GC158="",TRUE,IF(input_modality="",FALSE,SUMPRODUCT(--ISNUMBER(SEARCH(","&amp;TRIM(TEXTSPLIT(GC158,","))&amp;",",","&amp;SUBSTITUTE(input_modality," ","")&amp;",")))=COUNTA(TEXTSPLIT(GC158,",")))),IF(GE158="",TRUE,IF(input_modality="",TRUE,SUMPRODUCT(--ISNUMBER(SEARCH(","&amp;TRIM(TEXTSPLIT(GE158,","))&amp;",",","&amp;SUBSTITUTE(input_modality," ","")&amp;",")))=0)),IF(GG158="",TRUE,IF(input_modality="",FALSE,SUMPRODUCT(--ISNUMBER(SEARCH(","&amp;TRIM(TEXTSPLIT(GG158,","))&amp;",",","&amp;SUBSTITUTE(input_modality," ","")&amp;",")))&gt;0)),IF(GI158="",TRUE,IF(input_modality="",FALSE,SUMPRODUCT(--ISNUMBER(SEARCH(","&amp;TRIM(TEXTSPLIT(GI158,","))&amp;",",","&amp;SUBSTITUTE(input_modality," ","")&amp;",")))=COUNTA(TEXTSPLIT(GI158,",")))))</f>
        <v/>
      </c>
      <c r="JL158" s="19">
        <f>AND(IF(GK158="",TRUE,IF(input_organizer="",FALSE,SUMPRODUCT(--ISNUMBER(SEARCH(","&amp;TRIM(TEXTSPLIT(GK158,","))&amp;",",","&amp;SUBSTITUTE(input_organizer," ","")&amp;",")))&gt;0)),IF(GM158="",TRUE,IF(input_organizer="",FALSE,SUMPRODUCT(--ISNUMBER(SEARCH(","&amp;TRIM(TEXTSPLIT(GM158,","))&amp;",",","&amp;SUBSTITUTE(input_organizer," ","")&amp;",")))=COUNTA(TEXTSPLIT(GM158,",")))),IF(GO158="",TRUE,IF(input_organizer="",TRUE,SUMPRODUCT(--ISNUMBER(SEARCH(","&amp;TRIM(TEXTSPLIT(GO158,","))&amp;",",","&amp;SUBSTITUTE(input_organizer," ","")&amp;",")))=0)),IF(GQ158="",TRUE,IF(input_organizer="",FALSE,SUMPRODUCT(--ISNUMBER(SEARCH(","&amp;TRIM(TEXTSPLIT(GQ158,","))&amp;",",","&amp;SUBSTITUTE(input_organizer," ","")&amp;",")))&gt;0)),IF(GS158="",TRUE,IF(input_organizer="",FALSE,SUMPRODUCT(--ISNUMBER(SEARCH(","&amp;TRIM(TEXTSPLIT(GS158,","))&amp;",",","&amp;SUBSTITUTE(input_organizer," ","")&amp;",")))=COUNTA(TEXTSPLIT(GS158,",")))))</f>
        <v/>
      </c>
      <c r="JM158" s="19">
        <f>AND(IF(GU158="",TRUE,IF(input_profile_type="",FALSE,SUMPRODUCT(--ISNUMBER(SEARCH(","&amp;TRIM(TEXTSPLIT(GU158,","))&amp;",",","&amp;SUBSTITUTE(input_profile_type," ","")&amp;",")))&gt;0)),IF(GW158="",TRUE,IF(input_profile_type="",FALSE,SUMPRODUCT(--ISNUMBER(SEARCH(","&amp;TRIM(TEXTSPLIT(GW158,","))&amp;",",","&amp;SUBSTITUTE(input_profile_type," ","")&amp;",")))=COUNTA(TEXTSPLIT(GW158,",")))),IF(GY158="",TRUE,IF(input_profile_type="",TRUE,SUMPRODUCT(--ISNUMBER(SEARCH(","&amp;TRIM(TEXTSPLIT(GY158,","))&amp;",",","&amp;SUBSTITUTE(input_profile_type," ","")&amp;",")))=0)),IF(HA158="",TRUE,IF(input_profile_type="",FALSE,SUMPRODUCT(--ISNUMBER(SEARCH(","&amp;TRIM(TEXTSPLIT(HA158,","))&amp;",",","&amp;SUBSTITUTE(input_profile_type," ","")&amp;",")))&gt;0)),IF(HC158="",TRUE,IF(input_profile_type="",FALSE,SUMPRODUCT(--ISNUMBER(SEARCH(","&amp;TRIM(TEXTSPLIT(HC158,","))&amp;",",","&amp;SUBSTITUTE(input_profile_type," ","")&amp;",")))=COUNTA(TEXTSPLIT(HC158,",")))))</f>
        <v/>
      </c>
      <c r="JN158" s="19">
        <f>AND(IF(HE158="",TRUE,IF(input_program="",FALSE,SUMPRODUCT(--ISNUMBER(SEARCH(","&amp;TRIM(TEXTSPLIT(HE158,","))&amp;",",","&amp;SUBSTITUTE(input_program," ","")&amp;",")))&gt;0)),IF(HG158="",TRUE,IF(input_program="",FALSE,SUMPRODUCT(--ISNUMBER(SEARCH(","&amp;TRIM(TEXTSPLIT(HG158,","))&amp;",",","&amp;SUBSTITUTE(input_program," ","")&amp;",")))=COUNTA(TEXTSPLIT(HG158,",")))),IF(HI158="",TRUE,IF(input_program="",TRUE,SUMPRODUCT(--ISNUMBER(SEARCH(","&amp;TRIM(TEXTSPLIT(HI158,","))&amp;",",","&amp;SUBSTITUTE(input_program," ","")&amp;",")))=0)),IF(HK158="",TRUE,IF(input_program="",FALSE,SUMPRODUCT(--ISNUMBER(SEARCH(","&amp;TRIM(TEXTSPLIT(HK158,","))&amp;",",","&amp;SUBSTITUTE(input_program," ","")&amp;",")))&gt;0)),IF(HM158="",TRUE,IF(input_program="",FALSE,SUMPRODUCT(--ISNUMBER(SEARCH(","&amp;TRIM(TEXTSPLIT(HM158,","))&amp;",",","&amp;SUBSTITUTE(input_program," ","")&amp;",")))=COUNTA(TEXTSPLIT(HM158,",")))))</f>
        <v/>
      </c>
      <c r="JO158" s="19">
        <f>AND(IF(HO158="",TRUE,IF(input_story_categories="",FALSE,SUMPRODUCT(--ISNUMBER(SEARCH(","&amp;TRIM(TEXTSPLIT(HO158,","))&amp;",",","&amp;SUBSTITUTE(input_story_categories," ","")&amp;",")))&gt;0)),IF(HQ158="",TRUE,IF(input_story_categories="",FALSE,SUMPRODUCT(--ISNUMBER(SEARCH(","&amp;TRIM(TEXTSPLIT(HQ158,","))&amp;",",","&amp;SUBSTITUTE(input_story_categories," ","")&amp;",")))=COUNTA(TEXTSPLIT(HQ158,",")))),IF(HS158="",TRUE,IF(input_story_categories="",TRUE,SUMPRODUCT(--ISNUMBER(SEARCH(","&amp;TRIM(TEXTSPLIT(HS158,","))&amp;",",","&amp;SUBSTITUTE(input_story_categories," ","")&amp;",")))=0)),IF(HU158="",TRUE,IF(input_story_categories="",FALSE,SUMPRODUCT(--ISNUMBER(SEARCH(","&amp;TRIM(TEXTSPLIT(HU158,","))&amp;",",","&amp;SUBSTITUTE(input_story_categories," ","")&amp;",")))&gt;0)),IF(HW158="",TRUE,IF(input_story_categories="",FALSE,SUMPRODUCT(--ISNUMBER(SEARCH(","&amp;TRIM(TEXTSPLIT(HW158,","))&amp;",",","&amp;SUBSTITUTE(input_story_categories," ","")&amp;",")))=COUNTA(TEXTSPLIT(HW158,",")))))</f>
        <v/>
      </c>
      <c r="JP158" s="19">
        <f>AND(IF(HY158="",TRUE,IF(input_story_type="",FALSE,SUMPRODUCT(--ISNUMBER(SEARCH(","&amp;TRIM(TEXTSPLIT(HY158,","))&amp;",",","&amp;SUBSTITUTE(input_story_type," ","")&amp;",")))&gt;0)),IF(IA158="",TRUE,IF(input_story_type="",FALSE,SUMPRODUCT(--ISNUMBER(SEARCH(","&amp;TRIM(TEXTSPLIT(IA158,","))&amp;",",","&amp;SUBSTITUTE(input_story_type," ","")&amp;",")))=COUNTA(TEXTSPLIT(IA158,",")))),IF(IC158="",TRUE,IF(input_story_type="",TRUE,SUMPRODUCT(--ISNUMBER(SEARCH(","&amp;TRIM(TEXTSPLIT(IC158,","))&amp;",",","&amp;SUBSTITUTE(input_story_type," ","")&amp;",")))=0)),IF(IE158="",TRUE,IF(input_story_type="",FALSE,SUMPRODUCT(--ISNUMBER(SEARCH(","&amp;TRIM(TEXTSPLIT(IE158,","))&amp;",",","&amp;SUBSTITUTE(input_story_type," ","")&amp;",")))&gt;0)),IF(IG158="",TRUE,IF(input_story_type="",FALSE,SUMPRODUCT(--ISNUMBER(SEARCH(","&amp;TRIM(TEXTSPLIT(IG158,","))&amp;",",","&amp;SUBSTITUTE(input_story_type," ","")&amp;",")))=COUNTA(TEXTSPLIT(IG158,",")))))</f>
        <v/>
      </c>
      <c r="JQ158" s="19">
        <f>AND(IF(II158="",TRUE,IF(input_topics="",FALSE,SUMPRODUCT(--ISNUMBER(SEARCH(","&amp;TRIM(TEXTSPLIT(II158,","))&amp;",",","&amp;SUBSTITUTE(input_topics," ","")&amp;",")))&gt;0)),IF(IK158="",TRUE,IF(input_topics="",FALSE,SUMPRODUCT(--ISNUMBER(SEARCH(","&amp;TRIM(TEXTSPLIT(IK158,","))&amp;",",","&amp;SUBSTITUTE(input_topics," ","")&amp;",")))=COUNTA(TEXTSPLIT(IK158,",")))),IF(IM158="",TRUE,IF(input_topics="",TRUE,SUMPRODUCT(--ISNUMBER(SEARCH(","&amp;TRIM(TEXTSPLIT(IM158,","))&amp;",",","&amp;SUBSTITUTE(input_topics," ","")&amp;",")))=0)),IF(IO158="",TRUE,IF(input_topics="",FALSE,SUMPRODUCT(--ISNUMBER(SEARCH(","&amp;TRIM(TEXTSPLIT(IO158,","))&amp;",",","&amp;SUBSTITUTE(input_topics," ","")&amp;",")))&gt;0)),IF(IQ158="",TRUE,IF(input_topics="",FALSE,SUMPRODUCT(--ISNUMBER(SEARCH(","&amp;TRIM(TEXTSPLIT(IQ158,","))&amp;",",","&amp;SUBSTITUTE(input_topics," ","")&amp;",")))=COUNTA(TEXTSPLIT(IQ158,",")))))</f>
        <v/>
      </c>
    </row>
    <row r="159">
      <c r="A159" s="24">
        <f>IF(NOT(IS159),"Excluded",IF(AND(IT159,IU159,IV159,IW159,IX159,IY159,IZ159,JA159,JB159,JC159,JD159,JE159,JF159,JG159,JH159,JI159,JJ159,JK159,JL159,JM159,JN159,JO159,JP159,JQ159),IF(I159&gt;0,"Eligible but limited","Will appear"),"Excluded"))</f>
        <v/>
      </c>
      <c r="B159" s="24" t="inlineStr">
        <is>
          <t>Related profiles on profile pages</t>
        </is>
      </c>
      <c r="C159" s="27" t="inlineStr">
        <is>
          <t>/profile/ali-nourang-syed-24</t>
        </is>
      </c>
      <c r="D159" s="24" t="inlineStr">
        <is>
          <t>/profile/ali-nourang-syed-24
/profile/grace-gorman-24
/profile/jackie-peszynski-24</t>
        </is>
      </c>
      <c r="E159" s="24" t="n">
        <v>29</v>
      </c>
      <c r="F159" s="24" t="inlineStr">
        <is>
          <t>profile</t>
        </is>
      </c>
      <c r="G159" s="24" t="inlineStr">
        <is>
          <t>profiles_grid</t>
        </is>
      </c>
      <c r="H159" s="24" t="inlineStr">
        <is>
          <t>related</t>
        </is>
      </c>
      <c r="I159" s="24" t="n">
        <v>3</v>
      </c>
      <c r="J159" s="28" t="inlineStr">
        <is>
          <t>Explicit args</t>
        </is>
      </c>
      <c r="K159" s="24" t="inlineStr">
        <is>
          <t>Grouped surface</t>
        </is>
      </c>
      <c r="L159" s="24" t="inlineStr">
        <is>
          <t>Content type: profile; Context uses Profile Type: Student (1551); Context uses Program: MBA (4); Limited to 3 item(s); Source: Explicit args</t>
        </is>
      </c>
      <c r="HA159" s="19" t="inlineStr">
        <is>
          <t>1551</t>
        </is>
      </c>
      <c r="HB159" s="19" t="inlineStr">
        <is>
          <t>Student (1551)</t>
        </is>
      </c>
      <c r="HK159" s="19" t="inlineStr">
        <is>
          <t>4</t>
        </is>
      </c>
      <c r="HL159" s="19" t="inlineStr">
        <is>
          <t>MBA (4)</t>
        </is>
      </c>
      <c r="IS159" s="19">
        <f>IF(input_content_type="",FALSE,ISNUMBER(SEARCH(","&amp;LOWER(input_content_type)&amp;",",","&amp;LOWER(SUBSTITUTE(F159," ",""))&amp;",")))</f>
        <v/>
      </c>
      <c r="IT159" s="19">
        <f>AND(IF(M159="",TRUE,IF(input_affiliations="",FALSE,SUMPRODUCT(--ISNUMBER(SEARCH(","&amp;TRIM(TEXTSPLIT(M159,","))&amp;",",","&amp;SUBSTITUTE(input_affiliations," ","")&amp;",")))&gt;0)),IF(O159="",TRUE,IF(input_affiliations="",FALSE,SUMPRODUCT(--ISNUMBER(SEARCH(","&amp;TRIM(TEXTSPLIT(O159,","))&amp;",",","&amp;SUBSTITUTE(input_affiliations," ","")&amp;",")))=COUNTA(TEXTSPLIT(O159,",")))),IF(Q159="",TRUE,IF(input_affiliations="",TRUE,SUMPRODUCT(--ISNUMBER(SEARCH(","&amp;TRIM(TEXTSPLIT(Q159,","))&amp;",",","&amp;SUBSTITUTE(input_affiliations," ","")&amp;",")))=0)),IF(S159="",TRUE,IF(input_affiliations="",FALSE,SUMPRODUCT(--ISNUMBER(SEARCH(","&amp;TRIM(TEXTSPLIT(S159,","))&amp;",",","&amp;SUBSTITUTE(input_affiliations," ","")&amp;",")))&gt;0)),IF(U159="",TRUE,IF(input_affiliations="",FALSE,SUMPRODUCT(--ISNUMBER(SEARCH(","&amp;TRIM(TEXTSPLIT(U159,","))&amp;",",","&amp;SUBSTITUTE(input_affiliations," ","")&amp;",")))=COUNTA(TEXTSPLIT(U159,",")))))</f>
        <v/>
      </c>
      <c r="IU159" s="19">
        <f>AND(IF(W159="",TRUE,IF(input_announcement_category="",FALSE,SUMPRODUCT(--ISNUMBER(SEARCH(","&amp;TRIM(TEXTSPLIT(W159,","))&amp;",",","&amp;SUBSTITUTE(input_announcement_category," ","")&amp;",")))&gt;0)),IF(Y159="",TRUE,IF(input_announcement_category="",FALSE,SUMPRODUCT(--ISNUMBER(SEARCH(","&amp;TRIM(TEXTSPLIT(Y159,","))&amp;",",","&amp;SUBSTITUTE(input_announcement_category," ","")&amp;",")))=COUNTA(TEXTSPLIT(Y159,",")))),IF(AA159="",TRUE,IF(input_announcement_category="",TRUE,SUMPRODUCT(--ISNUMBER(SEARCH(","&amp;TRIM(TEXTSPLIT(AA159,","))&amp;",",","&amp;SUBSTITUTE(input_announcement_category," ","")&amp;",")))=0)),IF(AC159="",TRUE,IF(input_announcement_category="",FALSE,SUMPRODUCT(--ISNUMBER(SEARCH(","&amp;TRIM(TEXTSPLIT(AC159,","))&amp;",",","&amp;SUBSTITUTE(input_announcement_category," ","")&amp;",")))&gt;0)),IF(AE159="",TRUE,IF(input_announcement_category="",FALSE,SUMPRODUCT(--ISNUMBER(SEARCH(","&amp;TRIM(TEXTSPLIT(AE159,","))&amp;",",","&amp;SUBSTITUTE(input_announcement_category," ","")&amp;",")))=COUNTA(TEXTSPLIT(AE159,",")))))</f>
        <v/>
      </c>
      <c r="IV159" s="19">
        <f>AND(IF(AG159="",TRUE,IF(input_area_of_focus="",FALSE,SUMPRODUCT(--ISNUMBER(SEARCH(","&amp;TRIM(TEXTSPLIT(AG159,","))&amp;",",","&amp;SUBSTITUTE(input_area_of_focus," ","")&amp;",")))&gt;0)),IF(AI159="",TRUE,IF(input_area_of_focus="",FALSE,SUMPRODUCT(--ISNUMBER(SEARCH(","&amp;TRIM(TEXTSPLIT(AI159,","))&amp;",",","&amp;SUBSTITUTE(input_area_of_focus," ","")&amp;",")))=COUNTA(TEXTSPLIT(AI159,",")))),IF(AK159="",TRUE,IF(input_area_of_focus="",TRUE,SUMPRODUCT(--ISNUMBER(SEARCH(","&amp;TRIM(TEXTSPLIT(AK159,","))&amp;",",","&amp;SUBSTITUTE(input_area_of_focus," ","")&amp;",")))=0)),IF(AM159="",TRUE,IF(input_area_of_focus="",FALSE,SUMPRODUCT(--ISNUMBER(SEARCH(","&amp;TRIM(TEXTSPLIT(AM159,","))&amp;",",","&amp;SUBSTITUTE(input_area_of_focus," ","")&amp;",")))&gt;0)),IF(AO159="",TRUE,IF(input_area_of_focus="",FALSE,SUMPRODUCT(--ISNUMBER(SEARCH(","&amp;TRIM(TEXTSPLIT(AO159,","))&amp;",",","&amp;SUBSTITUTE(input_area_of_focus," ","")&amp;",")))=COUNTA(TEXTSPLIT(AO159,",")))))</f>
        <v/>
      </c>
      <c r="IW159" s="19">
        <f>AND(IF(AQ159="",TRUE,IF(input_audience="",FALSE,SUMPRODUCT(--ISNUMBER(SEARCH(","&amp;TRIM(TEXTSPLIT(AQ159,","))&amp;",",","&amp;SUBSTITUTE(input_audience," ","")&amp;",")))&gt;0)),IF(AS159="",TRUE,IF(input_audience="",FALSE,SUMPRODUCT(--ISNUMBER(SEARCH(","&amp;TRIM(TEXTSPLIT(AS159,","))&amp;",",","&amp;SUBSTITUTE(input_audience," ","")&amp;",")))=COUNTA(TEXTSPLIT(AS159,",")))),IF(AU159="",TRUE,IF(input_audience="",TRUE,SUMPRODUCT(--ISNUMBER(SEARCH(","&amp;TRIM(TEXTSPLIT(AU159,","))&amp;",",","&amp;SUBSTITUTE(input_audience," ","")&amp;",")))=0)),IF(AW159="",TRUE,IF(input_audience="",FALSE,SUMPRODUCT(--ISNUMBER(SEARCH(","&amp;TRIM(TEXTSPLIT(AW159,","))&amp;",",","&amp;SUBSTITUTE(input_audience," ","")&amp;",")))&gt;0)),IF(AY159="",TRUE,IF(input_audience="",FALSE,SUMPRODUCT(--ISNUMBER(SEARCH(","&amp;TRIM(TEXTSPLIT(AY159,","))&amp;",",","&amp;SUBSTITUTE(input_audience," ","")&amp;",")))=COUNTA(TEXTSPLIT(AY159,",")))))</f>
        <v/>
      </c>
      <c r="IX159" s="19">
        <f>AND(IF(BA159="",TRUE,IF(input_challenge_opportunities="",FALSE,SUMPRODUCT(--ISNUMBER(SEARCH(","&amp;TRIM(TEXTSPLIT(BA159,","))&amp;",",","&amp;SUBSTITUTE(input_challenge_opportunities," ","")&amp;",")))&gt;0)),IF(BC159="",TRUE,IF(input_challenge_opportunities="",FALSE,SUMPRODUCT(--ISNUMBER(SEARCH(","&amp;TRIM(TEXTSPLIT(BC159,","))&amp;",",","&amp;SUBSTITUTE(input_challenge_opportunities," ","")&amp;",")))=COUNTA(TEXTSPLIT(BC159,",")))),IF(BE159="",TRUE,IF(input_challenge_opportunities="",TRUE,SUMPRODUCT(--ISNUMBER(SEARCH(","&amp;TRIM(TEXTSPLIT(BE159,","))&amp;",",","&amp;SUBSTITUTE(input_challenge_opportunities," ","")&amp;",")))=0)),IF(BG159="",TRUE,IF(input_challenge_opportunities="",FALSE,SUMPRODUCT(--ISNUMBER(SEARCH(","&amp;TRIM(TEXTSPLIT(BG159,","))&amp;",",","&amp;SUBSTITUTE(input_challenge_opportunities," ","")&amp;",")))&gt;0)),IF(BI159="",TRUE,IF(input_challenge_opportunities="",FALSE,SUMPRODUCT(--ISNUMBER(SEARCH(","&amp;TRIM(TEXTSPLIT(BI159,","))&amp;",",","&amp;SUBSTITUTE(input_challenge_opportunities," ","")&amp;",")))=COUNTA(TEXTSPLIT(BI159,",")))))</f>
        <v/>
      </c>
      <c r="IY159" s="19">
        <f>AND(IF(BK159="",TRUE,IF(input_context="",FALSE,SUMPRODUCT(--ISNUMBER(SEARCH(","&amp;TRIM(TEXTSPLIT(BK159,","))&amp;",",","&amp;SUBSTITUTE(input_context," ","")&amp;",")))&gt;0)),IF(BM159="",TRUE,IF(input_context="",FALSE,SUMPRODUCT(--ISNUMBER(SEARCH(","&amp;TRIM(TEXTSPLIT(BM159,","))&amp;",",","&amp;SUBSTITUTE(input_context," ","")&amp;",")))=COUNTA(TEXTSPLIT(BM159,",")))),IF(BO159="",TRUE,IF(input_context="",TRUE,SUMPRODUCT(--ISNUMBER(SEARCH(","&amp;TRIM(TEXTSPLIT(BO159,","))&amp;",",","&amp;SUBSTITUTE(input_context," ","")&amp;",")))=0)),IF(BQ159="",TRUE,IF(input_context="",FALSE,SUMPRODUCT(--ISNUMBER(SEARCH(","&amp;TRIM(TEXTSPLIT(BQ159,","))&amp;",",","&amp;SUBSTITUTE(input_context," ","")&amp;",")))&gt;0)),IF(BS159="",TRUE,IF(input_context="",FALSE,SUMPRODUCT(--ISNUMBER(SEARCH(","&amp;TRIM(TEXTSPLIT(BS159,","))&amp;",",","&amp;SUBSTITUTE(input_context," ","")&amp;",")))=COUNTA(TEXTSPLIT(BS159,",")))))</f>
        <v/>
      </c>
      <c r="IZ159" s="19">
        <f>AND(IF(BU159="",TRUE,IF(input_enews_announcement_type="",FALSE,SUMPRODUCT(--ISNUMBER(SEARCH(","&amp;TRIM(TEXTSPLIT(BU159,","))&amp;",",","&amp;SUBSTITUTE(input_enews_announcement_type," ","")&amp;",")))&gt;0)),IF(BW159="",TRUE,IF(input_enews_announcement_type="",FALSE,SUMPRODUCT(--ISNUMBER(SEARCH(","&amp;TRIM(TEXTSPLIT(BW159,","))&amp;",",","&amp;SUBSTITUTE(input_enews_announcement_type," ","")&amp;",")))=COUNTA(TEXTSPLIT(BW159,",")))),IF(BY159="",TRUE,IF(input_enews_announcement_type="",TRUE,SUMPRODUCT(--ISNUMBER(SEARCH(","&amp;TRIM(TEXTSPLIT(BY159,","))&amp;",",","&amp;SUBSTITUTE(input_enews_announcement_type," ","")&amp;",")))=0)),IF(CA159="",TRUE,IF(input_enews_announcement_type="",FALSE,SUMPRODUCT(--ISNUMBER(SEARCH(","&amp;TRIM(TEXTSPLIT(CA159,","))&amp;",",","&amp;SUBSTITUTE(input_enews_announcement_type," ","")&amp;",")))&gt;0)),IF(CC159="",TRUE,IF(input_enews_announcement_type="",FALSE,SUMPRODUCT(--ISNUMBER(SEARCH(","&amp;TRIM(TEXTSPLIT(CC159,","))&amp;",",","&amp;SUBSTITUTE(input_enews_announcement_type," ","")&amp;",")))=COUNTA(TEXTSPLIT(CC159,",")))))</f>
        <v/>
      </c>
      <c r="JA159" s="19">
        <f>AND(IF(CE159="",TRUE,IF(input_enews_audience="",FALSE,SUMPRODUCT(--ISNUMBER(SEARCH(","&amp;TRIM(TEXTSPLIT(CE159,","))&amp;",",","&amp;SUBSTITUTE(input_enews_audience," ","")&amp;",")))&gt;0)),IF(CG159="",TRUE,IF(input_enews_audience="",FALSE,SUMPRODUCT(--ISNUMBER(SEARCH(","&amp;TRIM(TEXTSPLIT(CG159,","))&amp;",",","&amp;SUBSTITUTE(input_enews_audience," ","")&amp;",")))=COUNTA(TEXTSPLIT(CG159,",")))),IF(CI159="",TRUE,IF(input_enews_audience="",TRUE,SUMPRODUCT(--ISNUMBER(SEARCH(","&amp;TRIM(TEXTSPLIT(CI159,","))&amp;",",","&amp;SUBSTITUTE(input_enews_audience," ","")&amp;",")))=0)),IF(CK159="",TRUE,IF(input_enews_audience="",FALSE,SUMPRODUCT(--ISNUMBER(SEARCH(","&amp;TRIM(TEXTSPLIT(CK159,","))&amp;",",","&amp;SUBSTITUTE(input_enews_audience," ","")&amp;",")))&gt;0)),IF(CM159="",TRUE,IF(input_enews_audience="",FALSE,SUMPRODUCT(--ISNUMBER(SEARCH(","&amp;TRIM(TEXTSPLIT(CM159,","))&amp;",",","&amp;SUBSTITUTE(input_enews_audience," ","")&amp;",")))=COUNTA(TEXTSPLIT(CM159,",")))))</f>
        <v/>
      </c>
      <c r="JB159" s="19">
        <f>AND(IF(CO159="",TRUE,IF(input_event_location="",FALSE,SUMPRODUCT(--ISNUMBER(SEARCH(","&amp;TRIM(TEXTSPLIT(CO159,","))&amp;",",","&amp;SUBSTITUTE(input_event_location," ","")&amp;",")))&gt;0)),IF(CQ159="",TRUE,IF(input_event_location="",FALSE,SUMPRODUCT(--ISNUMBER(SEARCH(","&amp;TRIM(TEXTSPLIT(CQ159,","))&amp;",",","&amp;SUBSTITUTE(input_event_location," ","")&amp;",")))=COUNTA(TEXTSPLIT(CQ159,",")))),IF(CS159="",TRUE,IF(input_event_location="",TRUE,SUMPRODUCT(--ISNUMBER(SEARCH(","&amp;TRIM(TEXTSPLIT(CS159,","))&amp;",",","&amp;SUBSTITUTE(input_event_location," ","")&amp;",")))=0)),IF(CU159="",TRUE,IF(input_event_location="",FALSE,SUMPRODUCT(--ISNUMBER(SEARCH(","&amp;TRIM(TEXTSPLIT(CU159,","))&amp;",",","&amp;SUBSTITUTE(input_event_location," ","")&amp;",")))&gt;0)),IF(CW159="",TRUE,IF(input_event_location="",FALSE,SUMPRODUCT(--ISNUMBER(SEARCH(","&amp;TRIM(TEXTSPLIT(CW159,","))&amp;",",","&amp;SUBSTITUTE(input_event_location," ","")&amp;",")))=COUNTA(TEXTSPLIT(CW159,",")))))</f>
        <v/>
      </c>
      <c r="JC159" s="19">
        <f>AND(IF(CY159="",TRUE,IF(input_event_type="",FALSE,SUMPRODUCT(--ISNUMBER(SEARCH(","&amp;TRIM(TEXTSPLIT(CY159,","))&amp;",",","&amp;SUBSTITUTE(input_event_type," ","")&amp;",")))&gt;0)),IF(DA159="",TRUE,IF(input_event_type="",FALSE,SUMPRODUCT(--ISNUMBER(SEARCH(","&amp;TRIM(TEXTSPLIT(DA159,","))&amp;",",","&amp;SUBSTITUTE(input_event_type," ","")&amp;",")))=COUNTA(TEXTSPLIT(DA159,",")))),IF(DC159="",TRUE,IF(input_event_type="",TRUE,SUMPRODUCT(--ISNUMBER(SEARCH(","&amp;TRIM(TEXTSPLIT(DC159,","))&amp;",",","&amp;SUBSTITUTE(input_event_type," ","")&amp;",")))=0)),IF(DE159="",TRUE,IF(input_event_type="",FALSE,SUMPRODUCT(--ISNUMBER(SEARCH(","&amp;TRIM(TEXTSPLIT(DE159,","))&amp;",",","&amp;SUBSTITUTE(input_event_type," ","")&amp;",")))&gt;0)),IF(DG159="",TRUE,IF(input_event_type="",FALSE,SUMPRODUCT(--ISNUMBER(SEARCH(","&amp;TRIM(TEXTSPLIT(DG159,","))&amp;",",","&amp;SUBSTITUTE(input_event_type," ","")&amp;",")))=COUNTA(TEXTSPLIT(DG159,",")))))</f>
        <v/>
      </c>
      <c r="JD159" s="19">
        <f>AND(IF(DI159="",TRUE,IF(input_executive_education_focus="",FALSE,SUMPRODUCT(--ISNUMBER(SEARCH(","&amp;TRIM(TEXTSPLIT(DI159,","))&amp;",",","&amp;SUBSTITUTE(input_executive_education_focus," ","")&amp;",")))&gt;0)),IF(DK159="",TRUE,IF(input_executive_education_focus="",FALSE,SUMPRODUCT(--ISNUMBER(SEARCH(","&amp;TRIM(TEXTSPLIT(DK159,","))&amp;",",","&amp;SUBSTITUTE(input_executive_education_focus," ","")&amp;",")))=COUNTA(TEXTSPLIT(DK159,",")))),IF(DM159="",TRUE,IF(input_executive_education_focus="",TRUE,SUMPRODUCT(--ISNUMBER(SEARCH(","&amp;TRIM(TEXTSPLIT(DM159,","))&amp;",",","&amp;SUBSTITUTE(input_executive_education_focus," ","")&amp;",")))=0)),IF(DO159="",TRUE,IF(input_executive_education_focus="",FALSE,SUMPRODUCT(--ISNUMBER(SEARCH(","&amp;TRIM(TEXTSPLIT(DO159,","))&amp;",",","&amp;SUBSTITUTE(input_executive_education_focus," ","")&amp;",")))&gt;0)),IF(DQ159="",TRUE,IF(input_executive_education_focus="",FALSE,SUMPRODUCT(--ISNUMBER(SEARCH(","&amp;TRIM(TEXTSPLIT(DQ159,","))&amp;",",","&amp;SUBSTITUTE(input_executive_education_focus," ","")&amp;",")))=COUNTA(TEXTSPLIT(DQ159,",")))))</f>
        <v/>
      </c>
      <c r="JE159" s="19">
        <f>AND(IF(DS159="",TRUE,IF(input_faculty_category="",FALSE,SUMPRODUCT(--ISNUMBER(SEARCH(","&amp;TRIM(TEXTSPLIT(DS159,","))&amp;",",","&amp;SUBSTITUTE(input_faculty_category," ","")&amp;",")))&gt;0)),IF(DU159="",TRUE,IF(input_faculty_category="",FALSE,SUMPRODUCT(--ISNUMBER(SEARCH(","&amp;TRIM(TEXTSPLIT(DU159,","))&amp;",",","&amp;SUBSTITUTE(input_faculty_category," ","")&amp;",")))=COUNTA(TEXTSPLIT(DU159,",")))),IF(DW159="",TRUE,IF(input_faculty_category="",TRUE,SUMPRODUCT(--ISNUMBER(SEARCH(","&amp;TRIM(TEXTSPLIT(DW159,","))&amp;",",","&amp;SUBSTITUTE(input_faculty_category," ","")&amp;",")))=0)),IF(DY159="",TRUE,IF(input_faculty_category="",FALSE,SUMPRODUCT(--ISNUMBER(SEARCH(","&amp;TRIM(TEXTSPLIT(DY159,","))&amp;",",","&amp;SUBSTITUTE(input_faculty_category," ","")&amp;",")))&gt;0)),IF(EA159="",TRUE,IF(input_faculty_category="",FALSE,SUMPRODUCT(--ISNUMBER(SEARCH(","&amp;TRIM(TEXTSPLIT(EA159,","))&amp;",",","&amp;SUBSTITUTE(input_faculty_category," ","")&amp;",")))=COUNTA(TEXTSPLIT(EA159,",")))))</f>
        <v/>
      </c>
      <c r="JF159" s="19">
        <f>AND(IF(EC159="",TRUE,IF(input_faculty_discipline="",FALSE,SUMPRODUCT(--ISNUMBER(SEARCH(","&amp;TRIM(TEXTSPLIT(EC159,","))&amp;",",","&amp;SUBSTITUTE(input_faculty_discipline," ","")&amp;",")))&gt;0)),IF(EE159="",TRUE,IF(input_faculty_discipline="",FALSE,SUMPRODUCT(--ISNUMBER(SEARCH(","&amp;TRIM(TEXTSPLIT(EE159,","))&amp;",",","&amp;SUBSTITUTE(input_faculty_discipline," ","")&amp;",")))=COUNTA(TEXTSPLIT(EE159,",")))),IF(EG159="",TRUE,IF(input_faculty_discipline="",TRUE,SUMPRODUCT(--ISNUMBER(SEARCH(","&amp;TRIM(TEXTSPLIT(EG159,","))&amp;",",","&amp;SUBSTITUTE(input_faculty_discipline," ","")&amp;",")))=0)),IF(EI159="",TRUE,IF(input_faculty_discipline="",FALSE,SUMPRODUCT(--ISNUMBER(SEARCH(","&amp;TRIM(TEXTSPLIT(EI159,","))&amp;",",","&amp;SUBSTITUTE(input_faculty_discipline," ","")&amp;",")))&gt;0)),IF(EK159="",TRUE,IF(input_faculty_discipline="",FALSE,SUMPRODUCT(--ISNUMBER(SEARCH(","&amp;TRIM(TEXTSPLIT(EK159,","))&amp;",",","&amp;SUBSTITUTE(input_faculty_discipline," ","")&amp;",")))=COUNTA(TEXTSPLIT(EK159,",")))))</f>
        <v/>
      </c>
      <c r="JG159" s="19">
        <f>AND(IF(EM159="",TRUE,IF(input_faculty_expertise="",FALSE,SUMPRODUCT(--ISNUMBER(SEARCH(","&amp;TRIM(TEXTSPLIT(EM159,","))&amp;",",","&amp;SUBSTITUTE(input_faculty_expertise," ","")&amp;",")))&gt;0)),IF(EO159="",TRUE,IF(input_faculty_expertise="",FALSE,SUMPRODUCT(--ISNUMBER(SEARCH(","&amp;TRIM(TEXTSPLIT(EO159,","))&amp;",",","&amp;SUBSTITUTE(input_faculty_expertise," ","")&amp;",")))=COUNTA(TEXTSPLIT(EO159,",")))),IF(EQ159="",TRUE,IF(input_faculty_expertise="",TRUE,SUMPRODUCT(--ISNUMBER(SEARCH(","&amp;TRIM(TEXTSPLIT(EQ159,","))&amp;",",","&amp;SUBSTITUTE(input_faculty_expertise," ","")&amp;",")))=0)),IF(ES159="",TRUE,IF(input_faculty_expertise="",FALSE,SUMPRODUCT(--ISNUMBER(SEARCH(","&amp;TRIM(TEXTSPLIT(ES159,","))&amp;",",","&amp;SUBSTITUTE(input_faculty_expertise," ","")&amp;",")))&gt;0)),IF(EU159="",TRUE,IF(input_faculty_expertise="",FALSE,SUMPRODUCT(--ISNUMBER(SEARCH(","&amp;TRIM(TEXTSPLIT(EU159,","))&amp;",",","&amp;SUBSTITUTE(input_faculty_expertise," ","")&amp;",")))=COUNTA(TEXTSPLIT(EU159,",")))))</f>
        <v/>
      </c>
      <c r="JH159" s="19">
        <f>AND(IF(EW159="",TRUE,IF(input_global_network_school="",FALSE,SUMPRODUCT(--ISNUMBER(SEARCH(","&amp;TRIM(TEXTSPLIT(EW159,","))&amp;",",","&amp;SUBSTITUTE(input_global_network_school," ","")&amp;",")))&gt;0)),IF(EY159="",TRUE,IF(input_global_network_school="",FALSE,SUMPRODUCT(--ISNUMBER(SEARCH(","&amp;TRIM(TEXTSPLIT(EY159,","))&amp;",",","&amp;SUBSTITUTE(input_global_network_school," ","")&amp;",")))=COUNTA(TEXTSPLIT(EY159,",")))),IF(FA159="",TRUE,IF(input_global_network_school="",TRUE,SUMPRODUCT(--ISNUMBER(SEARCH(","&amp;TRIM(TEXTSPLIT(FA159,","))&amp;",",","&amp;SUBSTITUTE(input_global_network_school," ","")&amp;",")))=0)),IF(FC159="",TRUE,IF(input_global_network_school="",FALSE,SUMPRODUCT(--ISNUMBER(SEARCH(","&amp;TRIM(TEXTSPLIT(FC159,","))&amp;",",","&amp;SUBSTITUTE(input_global_network_school," ","")&amp;",")))&gt;0)),IF(FE159="",TRUE,IF(input_global_network_school="",FALSE,SUMPRODUCT(--ISNUMBER(SEARCH(","&amp;TRIM(TEXTSPLIT(FE159,","))&amp;",",","&amp;SUBSTITUTE(input_global_network_school," ","")&amp;",")))=COUNTA(TEXTSPLIT(FE159,",")))))</f>
        <v/>
      </c>
      <c r="JI159" s="19">
        <f>AND(IF(FG159="",TRUE,IF(input_industry="",FALSE,SUMPRODUCT(--ISNUMBER(SEARCH(","&amp;TRIM(TEXTSPLIT(FG159,","))&amp;",",","&amp;SUBSTITUTE(input_industry," ","")&amp;",")))&gt;0)),IF(FI159="",TRUE,IF(input_industry="",FALSE,SUMPRODUCT(--ISNUMBER(SEARCH(","&amp;TRIM(TEXTSPLIT(FI159,","))&amp;",",","&amp;SUBSTITUTE(input_industry," ","")&amp;",")))=COUNTA(TEXTSPLIT(FI159,",")))),IF(FK159="",TRUE,IF(input_industry="",TRUE,SUMPRODUCT(--ISNUMBER(SEARCH(","&amp;TRIM(TEXTSPLIT(FK159,","))&amp;",",","&amp;SUBSTITUTE(input_industry," ","")&amp;",")))=0)),IF(FM159="",TRUE,IF(input_industry="",FALSE,SUMPRODUCT(--ISNUMBER(SEARCH(","&amp;TRIM(TEXTSPLIT(FM159,","))&amp;",",","&amp;SUBSTITUTE(input_industry," ","")&amp;",")))&gt;0)),IF(FO159="",TRUE,IF(input_industry="",FALSE,SUMPRODUCT(--ISNUMBER(SEARCH(","&amp;TRIM(TEXTSPLIT(FO159,","))&amp;",",","&amp;SUBSTITUTE(input_industry," ","")&amp;",")))=COUNTA(TEXTSPLIT(FO159,",")))))</f>
        <v/>
      </c>
      <c r="JJ159" s="19">
        <f>AND(IF(FQ159="",TRUE,IF(input_location="",FALSE,SUMPRODUCT(--ISNUMBER(SEARCH(","&amp;TRIM(TEXTSPLIT(FQ159,","))&amp;",",","&amp;SUBSTITUTE(input_location," ","")&amp;",")))&gt;0)),IF(FS159="",TRUE,IF(input_location="",FALSE,SUMPRODUCT(--ISNUMBER(SEARCH(","&amp;TRIM(TEXTSPLIT(FS159,","))&amp;",",","&amp;SUBSTITUTE(input_location," ","")&amp;",")))=COUNTA(TEXTSPLIT(FS159,",")))),IF(FU159="",TRUE,IF(input_location="",TRUE,SUMPRODUCT(--ISNUMBER(SEARCH(","&amp;TRIM(TEXTSPLIT(FU159,","))&amp;",",","&amp;SUBSTITUTE(input_location," ","")&amp;",")))=0)),IF(FW159="",TRUE,IF(input_location="",FALSE,SUMPRODUCT(--ISNUMBER(SEARCH(","&amp;TRIM(TEXTSPLIT(FW159,","))&amp;",",","&amp;SUBSTITUTE(input_location," ","")&amp;",")))&gt;0)),IF(FY159="",TRUE,IF(input_location="",FALSE,SUMPRODUCT(--ISNUMBER(SEARCH(","&amp;TRIM(TEXTSPLIT(FY159,","))&amp;",",","&amp;SUBSTITUTE(input_location," ","")&amp;",")))=COUNTA(TEXTSPLIT(FY159,",")))))</f>
        <v/>
      </c>
      <c r="JK159" s="19">
        <f>AND(IF(GA159="",TRUE,IF(input_modality="",FALSE,SUMPRODUCT(--ISNUMBER(SEARCH(","&amp;TRIM(TEXTSPLIT(GA159,","))&amp;",",","&amp;SUBSTITUTE(input_modality," ","")&amp;",")))&gt;0)),IF(GC159="",TRUE,IF(input_modality="",FALSE,SUMPRODUCT(--ISNUMBER(SEARCH(","&amp;TRIM(TEXTSPLIT(GC159,","))&amp;",",","&amp;SUBSTITUTE(input_modality," ","")&amp;",")))=COUNTA(TEXTSPLIT(GC159,",")))),IF(GE159="",TRUE,IF(input_modality="",TRUE,SUMPRODUCT(--ISNUMBER(SEARCH(","&amp;TRIM(TEXTSPLIT(GE159,","))&amp;",",","&amp;SUBSTITUTE(input_modality," ","")&amp;",")))=0)),IF(GG159="",TRUE,IF(input_modality="",FALSE,SUMPRODUCT(--ISNUMBER(SEARCH(","&amp;TRIM(TEXTSPLIT(GG159,","))&amp;",",","&amp;SUBSTITUTE(input_modality," ","")&amp;",")))&gt;0)),IF(GI159="",TRUE,IF(input_modality="",FALSE,SUMPRODUCT(--ISNUMBER(SEARCH(","&amp;TRIM(TEXTSPLIT(GI159,","))&amp;",",","&amp;SUBSTITUTE(input_modality," ","")&amp;",")))=COUNTA(TEXTSPLIT(GI159,",")))))</f>
        <v/>
      </c>
      <c r="JL159" s="19">
        <f>AND(IF(GK159="",TRUE,IF(input_organizer="",FALSE,SUMPRODUCT(--ISNUMBER(SEARCH(","&amp;TRIM(TEXTSPLIT(GK159,","))&amp;",",","&amp;SUBSTITUTE(input_organizer," ","")&amp;",")))&gt;0)),IF(GM159="",TRUE,IF(input_organizer="",FALSE,SUMPRODUCT(--ISNUMBER(SEARCH(","&amp;TRIM(TEXTSPLIT(GM159,","))&amp;",",","&amp;SUBSTITUTE(input_organizer," ","")&amp;",")))=COUNTA(TEXTSPLIT(GM159,",")))),IF(GO159="",TRUE,IF(input_organizer="",TRUE,SUMPRODUCT(--ISNUMBER(SEARCH(","&amp;TRIM(TEXTSPLIT(GO159,","))&amp;",",","&amp;SUBSTITUTE(input_organizer," ","")&amp;",")))=0)),IF(GQ159="",TRUE,IF(input_organizer="",FALSE,SUMPRODUCT(--ISNUMBER(SEARCH(","&amp;TRIM(TEXTSPLIT(GQ159,","))&amp;",",","&amp;SUBSTITUTE(input_organizer," ","")&amp;",")))&gt;0)),IF(GS159="",TRUE,IF(input_organizer="",FALSE,SUMPRODUCT(--ISNUMBER(SEARCH(","&amp;TRIM(TEXTSPLIT(GS159,","))&amp;",",","&amp;SUBSTITUTE(input_organizer," ","")&amp;",")))=COUNTA(TEXTSPLIT(GS159,",")))))</f>
        <v/>
      </c>
      <c r="JM159" s="19">
        <f>AND(IF(GU159="",TRUE,IF(input_profile_type="",FALSE,SUMPRODUCT(--ISNUMBER(SEARCH(","&amp;TRIM(TEXTSPLIT(GU159,","))&amp;",",","&amp;SUBSTITUTE(input_profile_type," ","")&amp;",")))&gt;0)),IF(GW159="",TRUE,IF(input_profile_type="",FALSE,SUMPRODUCT(--ISNUMBER(SEARCH(","&amp;TRIM(TEXTSPLIT(GW159,","))&amp;",",","&amp;SUBSTITUTE(input_profile_type," ","")&amp;",")))=COUNTA(TEXTSPLIT(GW159,",")))),IF(GY159="",TRUE,IF(input_profile_type="",TRUE,SUMPRODUCT(--ISNUMBER(SEARCH(","&amp;TRIM(TEXTSPLIT(GY159,","))&amp;",",","&amp;SUBSTITUTE(input_profile_type," ","")&amp;",")))=0)),IF(HA159="",TRUE,IF(input_profile_type="",FALSE,SUMPRODUCT(--ISNUMBER(SEARCH(","&amp;TRIM(TEXTSPLIT(HA159,","))&amp;",",","&amp;SUBSTITUTE(input_profile_type," ","")&amp;",")))&gt;0)),IF(HC159="",TRUE,IF(input_profile_type="",FALSE,SUMPRODUCT(--ISNUMBER(SEARCH(","&amp;TRIM(TEXTSPLIT(HC159,","))&amp;",",","&amp;SUBSTITUTE(input_profile_type," ","")&amp;",")))=COUNTA(TEXTSPLIT(HC159,",")))))</f>
        <v/>
      </c>
      <c r="JN159" s="19">
        <f>AND(IF(HE159="",TRUE,IF(input_program="",FALSE,SUMPRODUCT(--ISNUMBER(SEARCH(","&amp;TRIM(TEXTSPLIT(HE159,","))&amp;",",","&amp;SUBSTITUTE(input_program," ","")&amp;",")))&gt;0)),IF(HG159="",TRUE,IF(input_program="",FALSE,SUMPRODUCT(--ISNUMBER(SEARCH(","&amp;TRIM(TEXTSPLIT(HG159,","))&amp;",",","&amp;SUBSTITUTE(input_program," ","")&amp;",")))=COUNTA(TEXTSPLIT(HG159,",")))),IF(HI159="",TRUE,IF(input_program="",TRUE,SUMPRODUCT(--ISNUMBER(SEARCH(","&amp;TRIM(TEXTSPLIT(HI159,","))&amp;",",","&amp;SUBSTITUTE(input_program," ","")&amp;",")))=0)),IF(HK159="",TRUE,IF(input_program="",FALSE,SUMPRODUCT(--ISNUMBER(SEARCH(","&amp;TRIM(TEXTSPLIT(HK159,","))&amp;",",","&amp;SUBSTITUTE(input_program," ","")&amp;",")))&gt;0)),IF(HM159="",TRUE,IF(input_program="",FALSE,SUMPRODUCT(--ISNUMBER(SEARCH(","&amp;TRIM(TEXTSPLIT(HM159,","))&amp;",",","&amp;SUBSTITUTE(input_program," ","")&amp;",")))=COUNTA(TEXTSPLIT(HM159,",")))))</f>
        <v/>
      </c>
      <c r="JO159" s="19">
        <f>AND(IF(HO159="",TRUE,IF(input_story_categories="",FALSE,SUMPRODUCT(--ISNUMBER(SEARCH(","&amp;TRIM(TEXTSPLIT(HO159,","))&amp;",",","&amp;SUBSTITUTE(input_story_categories," ","")&amp;",")))&gt;0)),IF(HQ159="",TRUE,IF(input_story_categories="",FALSE,SUMPRODUCT(--ISNUMBER(SEARCH(","&amp;TRIM(TEXTSPLIT(HQ159,","))&amp;",",","&amp;SUBSTITUTE(input_story_categories," ","")&amp;",")))=COUNTA(TEXTSPLIT(HQ159,",")))),IF(HS159="",TRUE,IF(input_story_categories="",TRUE,SUMPRODUCT(--ISNUMBER(SEARCH(","&amp;TRIM(TEXTSPLIT(HS159,","))&amp;",",","&amp;SUBSTITUTE(input_story_categories," ","")&amp;",")))=0)),IF(HU159="",TRUE,IF(input_story_categories="",FALSE,SUMPRODUCT(--ISNUMBER(SEARCH(","&amp;TRIM(TEXTSPLIT(HU159,","))&amp;",",","&amp;SUBSTITUTE(input_story_categories," ","")&amp;",")))&gt;0)),IF(HW159="",TRUE,IF(input_story_categories="",FALSE,SUMPRODUCT(--ISNUMBER(SEARCH(","&amp;TRIM(TEXTSPLIT(HW159,","))&amp;",",","&amp;SUBSTITUTE(input_story_categories," ","")&amp;",")))=COUNTA(TEXTSPLIT(HW159,",")))))</f>
        <v/>
      </c>
      <c r="JP159" s="19">
        <f>AND(IF(HY159="",TRUE,IF(input_story_type="",FALSE,SUMPRODUCT(--ISNUMBER(SEARCH(","&amp;TRIM(TEXTSPLIT(HY159,","))&amp;",",","&amp;SUBSTITUTE(input_story_type," ","")&amp;",")))&gt;0)),IF(IA159="",TRUE,IF(input_story_type="",FALSE,SUMPRODUCT(--ISNUMBER(SEARCH(","&amp;TRIM(TEXTSPLIT(IA159,","))&amp;",",","&amp;SUBSTITUTE(input_story_type," ","")&amp;",")))=COUNTA(TEXTSPLIT(IA159,",")))),IF(IC159="",TRUE,IF(input_story_type="",TRUE,SUMPRODUCT(--ISNUMBER(SEARCH(","&amp;TRIM(TEXTSPLIT(IC159,","))&amp;",",","&amp;SUBSTITUTE(input_story_type," ","")&amp;",")))=0)),IF(IE159="",TRUE,IF(input_story_type="",FALSE,SUMPRODUCT(--ISNUMBER(SEARCH(","&amp;TRIM(TEXTSPLIT(IE159,","))&amp;",",","&amp;SUBSTITUTE(input_story_type," ","")&amp;",")))&gt;0)),IF(IG159="",TRUE,IF(input_story_type="",FALSE,SUMPRODUCT(--ISNUMBER(SEARCH(","&amp;TRIM(TEXTSPLIT(IG159,","))&amp;",",","&amp;SUBSTITUTE(input_story_type," ","")&amp;",")))=COUNTA(TEXTSPLIT(IG159,",")))))</f>
        <v/>
      </c>
      <c r="JQ159" s="19">
        <f>AND(IF(II159="",TRUE,IF(input_topics="",FALSE,SUMPRODUCT(--ISNUMBER(SEARCH(","&amp;TRIM(TEXTSPLIT(II159,","))&amp;",",","&amp;SUBSTITUTE(input_topics," ","")&amp;",")))&gt;0)),IF(IK159="",TRUE,IF(input_topics="",FALSE,SUMPRODUCT(--ISNUMBER(SEARCH(","&amp;TRIM(TEXTSPLIT(IK159,","))&amp;",",","&amp;SUBSTITUTE(input_topics," ","")&amp;",")))=COUNTA(TEXTSPLIT(IK159,",")))),IF(IM159="",TRUE,IF(input_topics="",TRUE,SUMPRODUCT(--ISNUMBER(SEARCH(","&amp;TRIM(TEXTSPLIT(IM159,","))&amp;",",","&amp;SUBSTITUTE(input_topics," ","")&amp;",")))=0)),IF(IO159="",TRUE,IF(input_topics="",FALSE,SUMPRODUCT(--ISNUMBER(SEARCH(","&amp;TRIM(TEXTSPLIT(IO159,","))&amp;",",","&amp;SUBSTITUTE(input_topics," ","")&amp;",")))&gt;0)),IF(IQ159="",TRUE,IF(input_topics="",FALSE,SUMPRODUCT(--ISNUMBER(SEARCH(","&amp;TRIM(TEXTSPLIT(IQ159,","))&amp;",",","&amp;SUBSTITUTE(input_topics," ","")&amp;",")))=COUNTA(TEXTSPLIT(IQ159,",")))))</f>
        <v/>
      </c>
    </row>
    <row r="160">
      <c r="A160" s="24">
        <f>IF(NOT(IS160),"Excluded",IF(AND(IT160,IU160,IV160,IW160,IX160,IY160,IZ160,JA160,JB160,JC160,JD160,JE160,JF160,JG160,JH160,JI160,JJ160,JK160,JL160,JM160,JN160,JO160,JP160,JQ160),IF(I160&gt;0,"Eligible but limited","Will appear"),"Excluded"))</f>
        <v/>
      </c>
      <c r="B160" s="24" t="inlineStr">
        <is>
          <t>Related profiles on profile pages</t>
        </is>
      </c>
      <c r="C160" s="27" t="inlineStr">
        <is>
          <t>/profile/alice-ervaz-23</t>
        </is>
      </c>
      <c r="D160" s="24" t="inlineStr">
        <is>
          <t>/profile/alice-ervaz-23
/profile/krishna-polavarapu-24
/profile/michelle-shao-23</t>
        </is>
      </c>
      <c r="E160" s="24" t="n">
        <v>6</v>
      </c>
      <c r="F160" s="24" t="inlineStr">
        <is>
          <t>profile</t>
        </is>
      </c>
      <c r="G160" s="24" t="inlineStr">
        <is>
          <t>profiles_grid</t>
        </is>
      </c>
      <c r="H160" s="24" t="inlineStr">
        <is>
          <t>related</t>
        </is>
      </c>
      <c r="I160" s="24" t="n">
        <v>3</v>
      </c>
      <c r="J160" s="28" t="inlineStr">
        <is>
          <t>Explicit args</t>
        </is>
      </c>
      <c r="K160" s="24" t="inlineStr">
        <is>
          <t>Grouped surface</t>
        </is>
      </c>
      <c r="L160" s="24" t="inlineStr">
        <is>
          <t>Content type: profile; Context uses Profile Type: Student (1551); Context uses Program: Master’s in Asset Management (82); Limited to 3 item(s); Source: Explicit args</t>
        </is>
      </c>
      <c r="HA160" s="19" t="inlineStr">
        <is>
          <t>1551</t>
        </is>
      </c>
      <c r="HB160" s="19" t="inlineStr">
        <is>
          <t>Student (1551)</t>
        </is>
      </c>
      <c r="HK160" s="19" t="inlineStr">
        <is>
          <t>82</t>
        </is>
      </c>
      <c r="HL160" s="19" t="inlineStr">
        <is>
          <t>Master’s in Asset Management (82)</t>
        </is>
      </c>
      <c r="IS160" s="19">
        <f>IF(input_content_type="",FALSE,ISNUMBER(SEARCH(","&amp;LOWER(input_content_type)&amp;",",","&amp;LOWER(SUBSTITUTE(F160," ",""))&amp;",")))</f>
        <v/>
      </c>
      <c r="IT160" s="19">
        <f>AND(IF(M160="",TRUE,IF(input_affiliations="",FALSE,SUMPRODUCT(--ISNUMBER(SEARCH(","&amp;TRIM(TEXTSPLIT(M160,","))&amp;",",","&amp;SUBSTITUTE(input_affiliations," ","")&amp;",")))&gt;0)),IF(O160="",TRUE,IF(input_affiliations="",FALSE,SUMPRODUCT(--ISNUMBER(SEARCH(","&amp;TRIM(TEXTSPLIT(O160,","))&amp;",",","&amp;SUBSTITUTE(input_affiliations," ","")&amp;",")))=COUNTA(TEXTSPLIT(O160,",")))),IF(Q160="",TRUE,IF(input_affiliations="",TRUE,SUMPRODUCT(--ISNUMBER(SEARCH(","&amp;TRIM(TEXTSPLIT(Q160,","))&amp;",",","&amp;SUBSTITUTE(input_affiliations," ","")&amp;",")))=0)),IF(S160="",TRUE,IF(input_affiliations="",FALSE,SUMPRODUCT(--ISNUMBER(SEARCH(","&amp;TRIM(TEXTSPLIT(S160,","))&amp;",",","&amp;SUBSTITUTE(input_affiliations," ","")&amp;",")))&gt;0)),IF(U160="",TRUE,IF(input_affiliations="",FALSE,SUMPRODUCT(--ISNUMBER(SEARCH(","&amp;TRIM(TEXTSPLIT(U160,","))&amp;",",","&amp;SUBSTITUTE(input_affiliations," ","")&amp;",")))=COUNTA(TEXTSPLIT(U160,",")))))</f>
        <v/>
      </c>
      <c r="IU160" s="19">
        <f>AND(IF(W160="",TRUE,IF(input_announcement_category="",FALSE,SUMPRODUCT(--ISNUMBER(SEARCH(","&amp;TRIM(TEXTSPLIT(W160,","))&amp;",",","&amp;SUBSTITUTE(input_announcement_category," ","")&amp;",")))&gt;0)),IF(Y160="",TRUE,IF(input_announcement_category="",FALSE,SUMPRODUCT(--ISNUMBER(SEARCH(","&amp;TRIM(TEXTSPLIT(Y160,","))&amp;",",","&amp;SUBSTITUTE(input_announcement_category," ","")&amp;",")))=COUNTA(TEXTSPLIT(Y160,",")))),IF(AA160="",TRUE,IF(input_announcement_category="",TRUE,SUMPRODUCT(--ISNUMBER(SEARCH(","&amp;TRIM(TEXTSPLIT(AA160,","))&amp;",",","&amp;SUBSTITUTE(input_announcement_category," ","")&amp;",")))=0)),IF(AC160="",TRUE,IF(input_announcement_category="",FALSE,SUMPRODUCT(--ISNUMBER(SEARCH(","&amp;TRIM(TEXTSPLIT(AC160,","))&amp;",",","&amp;SUBSTITUTE(input_announcement_category," ","")&amp;",")))&gt;0)),IF(AE160="",TRUE,IF(input_announcement_category="",FALSE,SUMPRODUCT(--ISNUMBER(SEARCH(","&amp;TRIM(TEXTSPLIT(AE160,","))&amp;",",","&amp;SUBSTITUTE(input_announcement_category," ","")&amp;",")))=COUNTA(TEXTSPLIT(AE160,",")))))</f>
        <v/>
      </c>
      <c r="IV160" s="19">
        <f>AND(IF(AG160="",TRUE,IF(input_area_of_focus="",FALSE,SUMPRODUCT(--ISNUMBER(SEARCH(","&amp;TRIM(TEXTSPLIT(AG160,","))&amp;",",","&amp;SUBSTITUTE(input_area_of_focus," ","")&amp;",")))&gt;0)),IF(AI160="",TRUE,IF(input_area_of_focus="",FALSE,SUMPRODUCT(--ISNUMBER(SEARCH(","&amp;TRIM(TEXTSPLIT(AI160,","))&amp;",",","&amp;SUBSTITUTE(input_area_of_focus," ","")&amp;",")))=COUNTA(TEXTSPLIT(AI160,",")))),IF(AK160="",TRUE,IF(input_area_of_focus="",TRUE,SUMPRODUCT(--ISNUMBER(SEARCH(","&amp;TRIM(TEXTSPLIT(AK160,","))&amp;",",","&amp;SUBSTITUTE(input_area_of_focus," ","")&amp;",")))=0)),IF(AM160="",TRUE,IF(input_area_of_focus="",FALSE,SUMPRODUCT(--ISNUMBER(SEARCH(","&amp;TRIM(TEXTSPLIT(AM160,","))&amp;",",","&amp;SUBSTITUTE(input_area_of_focus," ","")&amp;",")))&gt;0)),IF(AO160="",TRUE,IF(input_area_of_focus="",FALSE,SUMPRODUCT(--ISNUMBER(SEARCH(","&amp;TRIM(TEXTSPLIT(AO160,","))&amp;",",","&amp;SUBSTITUTE(input_area_of_focus," ","")&amp;",")))=COUNTA(TEXTSPLIT(AO160,",")))))</f>
        <v/>
      </c>
      <c r="IW160" s="19">
        <f>AND(IF(AQ160="",TRUE,IF(input_audience="",FALSE,SUMPRODUCT(--ISNUMBER(SEARCH(","&amp;TRIM(TEXTSPLIT(AQ160,","))&amp;",",","&amp;SUBSTITUTE(input_audience," ","")&amp;",")))&gt;0)),IF(AS160="",TRUE,IF(input_audience="",FALSE,SUMPRODUCT(--ISNUMBER(SEARCH(","&amp;TRIM(TEXTSPLIT(AS160,","))&amp;",",","&amp;SUBSTITUTE(input_audience," ","")&amp;",")))=COUNTA(TEXTSPLIT(AS160,",")))),IF(AU160="",TRUE,IF(input_audience="",TRUE,SUMPRODUCT(--ISNUMBER(SEARCH(","&amp;TRIM(TEXTSPLIT(AU160,","))&amp;",",","&amp;SUBSTITUTE(input_audience," ","")&amp;",")))=0)),IF(AW160="",TRUE,IF(input_audience="",FALSE,SUMPRODUCT(--ISNUMBER(SEARCH(","&amp;TRIM(TEXTSPLIT(AW160,","))&amp;",",","&amp;SUBSTITUTE(input_audience," ","")&amp;",")))&gt;0)),IF(AY160="",TRUE,IF(input_audience="",FALSE,SUMPRODUCT(--ISNUMBER(SEARCH(","&amp;TRIM(TEXTSPLIT(AY160,","))&amp;",",","&amp;SUBSTITUTE(input_audience," ","")&amp;",")))=COUNTA(TEXTSPLIT(AY160,",")))))</f>
        <v/>
      </c>
      <c r="IX160" s="19">
        <f>AND(IF(BA160="",TRUE,IF(input_challenge_opportunities="",FALSE,SUMPRODUCT(--ISNUMBER(SEARCH(","&amp;TRIM(TEXTSPLIT(BA160,","))&amp;",",","&amp;SUBSTITUTE(input_challenge_opportunities," ","")&amp;",")))&gt;0)),IF(BC160="",TRUE,IF(input_challenge_opportunities="",FALSE,SUMPRODUCT(--ISNUMBER(SEARCH(","&amp;TRIM(TEXTSPLIT(BC160,","))&amp;",",","&amp;SUBSTITUTE(input_challenge_opportunities," ","")&amp;",")))=COUNTA(TEXTSPLIT(BC160,",")))),IF(BE160="",TRUE,IF(input_challenge_opportunities="",TRUE,SUMPRODUCT(--ISNUMBER(SEARCH(","&amp;TRIM(TEXTSPLIT(BE160,","))&amp;",",","&amp;SUBSTITUTE(input_challenge_opportunities," ","")&amp;",")))=0)),IF(BG160="",TRUE,IF(input_challenge_opportunities="",FALSE,SUMPRODUCT(--ISNUMBER(SEARCH(","&amp;TRIM(TEXTSPLIT(BG160,","))&amp;",",","&amp;SUBSTITUTE(input_challenge_opportunities," ","")&amp;",")))&gt;0)),IF(BI160="",TRUE,IF(input_challenge_opportunities="",FALSE,SUMPRODUCT(--ISNUMBER(SEARCH(","&amp;TRIM(TEXTSPLIT(BI160,","))&amp;",",","&amp;SUBSTITUTE(input_challenge_opportunities," ","")&amp;",")))=COUNTA(TEXTSPLIT(BI160,",")))))</f>
        <v/>
      </c>
      <c r="IY160" s="19">
        <f>AND(IF(BK160="",TRUE,IF(input_context="",FALSE,SUMPRODUCT(--ISNUMBER(SEARCH(","&amp;TRIM(TEXTSPLIT(BK160,","))&amp;",",","&amp;SUBSTITUTE(input_context," ","")&amp;",")))&gt;0)),IF(BM160="",TRUE,IF(input_context="",FALSE,SUMPRODUCT(--ISNUMBER(SEARCH(","&amp;TRIM(TEXTSPLIT(BM160,","))&amp;",",","&amp;SUBSTITUTE(input_context," ","")&amp;",")))=COUNTA(TEXTSPLIT(BM160,",")))),IF(BO160="",TRUE,IF(input_context="",TRUE,SUMPRODUCT(--ISNUMBER(SEARCH(","&amp;TRIM(TEXTSPLIT(BO160,","))&amp;",",","&amp;SUBSTITUTE(input_context," ","")&amp;",")))=0)),IF(BQ160="",TRUE,IF(input_context="",FALSE,SUMPRODUCT(--ISNUMBER(SEARCH(","&amp;TRIM(TEXTSPLIT(BQ160,","))&amp;",",","&amp;SUBSTITUTE(input_context," ","")&amp;",")))&gt;0)),IF(BS160="",TRUE,IF(input_context="",FALSE,SUMPRODUCT(--ISNUMBER(SEARCH(","&amp;TRIM(TEXTSPLIT(BS160,","))&amp;",",","&amp;SUBSTITUTE(input_context," ","")&amp;",")))=COUNTA(TEXTSPLIT(BS160,",")))))</f>
        <v/>
      </c>
      <c r="IZ160" s="19">
        <f>AND(IF(BU160="",TRUE,IF(input_enews_announcement_type="",FALSE,SUMPRODUCT(--ISNUMBER(SEARCH(","&amp;TRIM(TEXTSPLIT(BU160,","))&amp;",",","&amp;SUBSTITUTE(input_enews_announcement_type," ","")&amp;",")))&gt;0)),IF(BW160="",TRUE,IF(input_enews_announcement_type="",FALSE,SUMPRODUCT(--ISNUMBER(SEARCH(","&amp;TRIM(TEXTSPLIT(BW160,","))&amp;",",","&amp;SUBSTITUTE(input_enews_announcement_type," ","")&amp;",")))=COUNTA(TEXTSPLIT(BW160,",")))),IF(BY160="",TRUE,IF(input_enews_announcement_type="",TRUE,SUMPRODUCT(--ISNUMBER(SEARCH(","&amp;TRIM(TEXTSPLIT(BY160,","))&amp;",",","&amp;SUBSTITUTE(input_enews_announcement_type," ","")&amp;",")))=0)),IF(CA160="",TRUE,IF(input_enews_announcement_type="",FALSE,SUMPRODUCT(--ISNUMBER(SEARCH(","&amp;TRIM(TEXTSPLIT(CA160,","))&amp;",",","&amp;SUBSTITUTE(input_enews_announcement_type," ","")&amp;",")))&gt;0)),IF(CC160="",TRUE,IF(input_enews_announcement_type="",FALSE,SUMPRODUCT(--ISNUMBER(SEARCH(","&amp;TRIM(TEXTSPLIT(CC160,","))&amp;",",","&amp;SUBSTITUTE(input_enews_announcement_type," ","")&amp;",")))=COUNTA(TEXTSPLIT(CC160,",")))))</f>
        <v/>
      </c>
      <c r="JA160" s="19">
        <f>AND(IF(CE160="",TRUE,IF(input_enews_audience="",FALSE,SUMPRODUCT(--ISNUMBER(SEARCH(","&amp;TRIM(TEXTSPLIT(CE160,","))&amp;",",","&amp;SUBSTITUTE(input_enews_audience," ","")&amp;",")))&gt;0)),IF(CG160="",TRUE,IF(input_enews_audience="",FALSE,SUMPRODUCT(--ISNUMBER(SEARCH(","&amp;TRIM(TEXTSPLIT(CG160,","))&amp;",",","&amp;SUBSTITUTE(input_enews_audience," ","")&amp;",")))=COUNTA(TEXTSPLIT(CG160,",")))),IF(CI160="",TRUE,IF(input_enews_audience="",TRUE,SUMPRODUCT(--ISNUMBER(SEARCH(","&amp;TRIM(TEXTSPLIT(CI160,","))&amp;",",","&amp;SUBSTITUTE(input_enews_audience," ","")&amp;",")))=0)),IF(CK160="",TRUE,IF(input_enews_audience="",FALSE,SUMPRODUCT(--ISNUMBER(SEARCH(","&amp;TRIM(TEXTSPLIT(CK160,","))&amp;",",","&amp;SUBSTITUTE(input_enews_audience," ","")&amp;",")))&gt;0)),IF(CM160="",TRUE,IF(input_enews_audience="",FALSE,SUMPRODUCT(--ISNUMBER(SEARCH(","&amp;TRIM(TEXTSPLIT(CM160,","))&amp;",",","&amp;SUBSTITUTE(input_enews_audience," ","")&amp;",")))=COUNTA(TEXTSPLIT(CM160,",")))))</f>
        <v/>
      </c>
      <c r="JB160" s="19">
        <f>AND(IF(CO160="",TRUE,IF(input_event_location="",FALSE,SUMPRODUCT(--ISNUMBER(SEARCH(","&amp;TRIM(TEXTSPLIT(CO160,","))&amp;",",","&amp;SUBSTITUTE(input_event_location," ","")&amp;",")))&gt;0)),IF(CQ160="",TRUE,IF(input_event_location="",FALSE,SUMPRODUCT(--ISNUMBER(SEARCH(","&amp;TRIM(TEXTSPLIT(CQ160,","))&amp;",",","&amp;SUBSTITUTE(input_event_location," ","")&amp;",")))=COUNTA(TEXTSPLIT(CQ160,",")))),IF(CS160="",TRUE,IF(input_event_location="",TRUE,SUMPRODUCT(--ISNUMBER(SEARCH(","&amp;TRIM(TEXTSPLIT(CS160,","))&amp;",",","&amp;SUBSTITUTE(input_event_location," ","")&amp;",")))=0)),IF(CU160="",TRUE,IF(input_event_location="",FALSE,SUMPRODUCT(--ISNUMBER(SEARCH(","&amp;TRIM(TEXTSPLIT(CU160,","))&amp;",",","&amp;SUBSTITUTE(input_event_location," ","")&amp;",")))&gt;0)),IF(CW160="",TRUE,IF(input_event_location="",FALSE,SUMPRODUCT(--ISNUMBER(SEARCH(","&amp;TRIM(TEXTSPLIT(CW160,","))&amp;",",","&amp;SUBSTITUTE(input_event_location," ","")&amp;",")))=COUNTA(TEXTSPLIT(CW160,",")))))</f>
        <v/>
      </c>
      <c r="JC160" s="19">
        <f>AND(IF(CY160="",TRUE,IF(input_event_type="",FALSE,SUMPRODUCT(--ISNUMBER(SEARCH(","&amp;TRIM(TEXTSPLIT(CY160,","))&amp;",",","&amp;SUBSTITUTE(input_event_type," ","")&amp;",")))&gt;0)),IF(DA160="",TRUE,IF(input_event_type="",FALSE,SUMPRODUCT(--ISNUMBER(SEARCH(","&amp;TRIM(TEXTSPLIT(DA160,","))&amp;",",","&amp;SUBSTITUTE(input_event_type," ","")&amp;",")))=COUNTA(TEXTSPLIT(DA160,",")))),IF(DC160="",TRUE,IF(input_event_type="",TRUE,SUMPRODUCT(--ISNUMBER(SEARCH(","&amp;TRIM(TEXTSPLIT(DC160,","))&amp;",",","&amp;SUBSTITUTE(input_event_type," ","")&amp;",")))=0)),IF(DE160="",TRUE,IF(input_event_type="",FALSE,SUMPRODUCT(--ISNUMBER(SEARCH(","&amp;TRIM(TEXTSPLIT(DE160,","))&amp;",",","&amp;SUBSTITUTE(input_event_type," ","")&amp;",")))&gt;0)),IF(DG160="",TRUE,IF(input_event_type="",FALSE,SUMPRODUCT(--ISNUMBER(SEARCH(","&amp;TRIM(TEXTSPLIT(DG160,","))&amp;",",","&amp;SUBSTITUTE(input_event_type," ","")&amp;",")))=COUNTA(TEXTSPLIT(DG160,",")))))</f>
        <v/>
      </c>
      <c r="JD160" s="19">
        <f>AND(IF(DI160="",TRUE,IF(input_executive_education_focus="",FALSE,SUMPRODUCT(--ISNUMBER(SEARCH(","&amp;TRIM(TEXTSPLIT(DI160,","))&amp;",",","&amp;SUBSTITUTE(input_executive_education_focus," ","")&amp;",")))&gt;0)),IF(DK160="",TRUE,IF(input_executive_education_focus="",FALSE,SUMPRODUCT(--ISNUMBER(SEARCH(","&amp;TRIM(TEXTSPLIT(DK160,","))&amp;",",","&amp;SUBSTITUTE(input_executive_education_focus," ","")&amp;",")))=COUNTA(TEXTSPLIT(DK160,",")))),IF(DM160="",TRUE,IF(input_executive_education_focus="",TRUE,SUMPRODUCT(--ISNUMBER(SEARCH(","&amp;TRIM(TEXTSPLIT(DM160,","))&amp;",",","&amp;SUBSTITUTE(input_executive_education_focus," ","")&amp;",")))=0)),IF(DO160="",TRUE,IF(input_executive_education_focus="",FALSE,SUMPRODUCT(--ISNUMBER(SEARCH(","&amp;TRIM(TEXTSPLIT(DO160,","))&amp;",",","&amp;SUBSTITUTE(input_executive_education_focus," ","")&amp;",")))&gt;0)),IF(DQ160="",TRUE,IF(input_executive_education_focus="",FALSE,SUMPRODUCT(--ISNUMBER(SEARCH(","&amp;TRIM(TEXTSPLIT(DQ160,","))&amp;",",","&amp;SUBSTITUTE(input_executive_education_focus," ","")&amp;",")))=COUNTA(TEXTSPLIT(DQ160,",")))))</f>
        <v/>
      </c>
      <c r="JE160" s="19">
        <f>AND(IF(DS160="",TRUE,IF(input_faculty_category="",FALSE,SUMPRODUCT(--ISNUMBER(SEARCH(","&amp;TRIM(TEXTSPLIT(DS160,","))&amp;",",","&amp;SUBSTITUTE(input_faculty_category," ","")&amp;",")))&gt;0)),IF(DU160="",TRUE,IF(input_faculty_category="",FALSE,SUMPRODUCT(--ISNUMBER(SEARCH(","&amp;TRIM(TEXTSPLIT(DU160,","))&amp;",",","&amp;SUBSTITUTE(input_faculty_category," ","")&amp;",")))=COUNTA(TEXTSPLIT(DU160,",")))),IF(DW160="",TRUE,IF(input_faculty_category="",TRUE,SUMPRODUCT(--ISNUMBER(SEARCH(","&amp;TRIM(TEXTSPLIT(DW160,","))&amp;",",","&amp;SUBSTITUTE(input_faculty_category," ","")&amp;",")))=0)),IF(DY160="",TRUE,IF(input_faculty_category="",FALSE,SUMPRODUCT(--ISNUMBER(SEARCH(","&amp;TRIM(TEXTSPLIT(DY160,","))&amp;",",","&amp;SUBSTITUTE(input_faculty_category," ","")&amp;",")))&gt;0)),IF(EA160="",TRUE,IF(input_faculty_category="",FALSE,SUMPRODUCT(--ISNUMBER(SEARCH(","&amp;TRIM(TEXTSPLIT(EA160,","))&amp;",",","&amp;SUBSTITUTE(input_faculty_category," ","")&amp;",")))=COUNTA(TEXTSPLIT(EA160,",")))))</f>
        <v/>
      </c>
      <c r="JF160" s="19">
        <f>AND(IF(EC160="",TRUE,IF(input_faculty_discipline="",FALSE,SUMPRODUCT(--ISNUMBER(SEARCH(","&amp;TRIM(TEXTSPLIT(EC160,","))&amp;",",","&amp;SUBSTITUTE(input_faculty_discipline," ","")&amp;",")))&gt;0)),IF(EE160="",TRUE,IF(input_faculty_discipline="",FALSE,SUMPRODUCT(--ISNUMBER(SEARCH(","&amp;TRIM(TEXTSPLIT(EE160,","))&amp;",",","&amp;SUBSTITUTE(input_faculty_discipline," ","")&amp;",")))=COUNTA(TEXTSPLIT(EE160,",")))),IF(EG160="",TRUE,IF(input_faculty_discipline="",TRUE,SUMPRODUCT(--ISNUMBER(SEARCH(","&amp;TRIM(TEXTSPLIT(EG160,","))&amp;",",","&amp;SUBSTITUTE(input_faculty_discipline," ","")&amp;",")))=0)),IF(EI160="",TRUE,IF(input_faculty_discipline="",FALSE,SUMPRODUCT(--ISNUMBER(SEARCH(","&amp;TRIM(TEXTSPLIT(EI160,","))&amp;",",","&amp;SUBSTITUTE(input_faculty_discipline," ","")&amp;",")))&gt;0)),IF(EK160="",TRUE,IF(input_faculty_discipline="",FALSE,SUMPRODUCT(--ISNUMBER(SEARCH(","&amp;TRIM(TEXTSPLIT(EK160,","))&amp;",",","&amp;SUBSTITUTE(input_faculty_discipline," ","")&amp;",")))=COUNTA(TEXTSPLIT(EK160,",")))))</f>
        <v/>
      </c>
      <c r="JG160" s="19">
        <f>AND(IF(EM160="",TRUE,IF(input_faculty_expertise="",FALSE,SUMPRODUCT(--ISNUMBER(SEARCH(","&amp;TRIM(TEXTSPLIT(EM160,","))&amp;",",","&amp;SUBSTITUTE(input_faculty_expertise," ","")&amp;",")))&gt;0)),IF(EO160="",TRUE,IF(input_faculty_expertise="",FALSE,SUMPRODUCT(--ISNUMBER(SEARCH(","&amp;TRIM(TEXTSPLIT(EO160,","))&amp;",",","&amp;SUBSTITUTE(input_faculty_expertise," ","")&amp;",")))=COUNTA(TEXTSPLIT(EO160,",")))),IF(EQ160="",TRUE,IF(input_faculty_expertise="",TRUE,SUMPRODUCT(--ISNUMBER(SEARCH(","&amp;TRIM(TEXTSPLIT(EQ160,","))&amp;",",","&amp;SUBSTITUTE(input_faculty_expertise," ","")&amp;",")))=0)),IF(ES160="",TRUE,IF(input_faculty_expertise="",FALSE,SUMPRODUCT(--ISNUMBER(SEARCH(","&amp;TRIM(TEXTSPLIT(ES160,","))&amp;",",","&amp;SUBSTITUTE(input_faculty_expertise," ","")&amp;",")))&gt;0)),IF(EU160="",TRUE,IF(input_faculty_expertise="",FALSE,SUMPRODUCT(--ISNUMBER(SEARCH(","&amp;TRIM(TEXTSPLIT(EU160,","))&amp;",",","&amp;SUBSTITUTE(input_faculty_expertise," ","")&amp;",")))=COUNTA(TEXTSPLIT(EU160,",")))))</f>
        <v/>
      </c>
      <c r="JH160" s="19">
        <f>AND(IF(EW160="",TRUE,IF(input_global_network_school="",FALSE,SUMPRODUCT(--ISNUMBER(SEARCH(","&amp;TRIM(TEXTSPLIT(EW160,","))&amp;",",","&amp;SUBSTITUTE(input_global_network_school," ","")&amp;",")))&gt;0)),IF(EY160="",TRUE,IF(input_global_network_school="",FALSE,SUMPRODUCT(--ISNUMBER(SEARCH(","&amp;TRIM(TEXTSPLIT(EY160,","))&amp;",",","&amp;SUBSTITUTE(input_global_network_school," ","")&amp;",")))=COUNTA(TEXTSPLIT(EY160,",")))),IF(FA160="",TRUE,IF(input_global_network_school="",TRUE,SUMPRODUCT(--ISNUMBER(SEARCH(","&amp;TRIM(TEXTSPLIT(FA160,","))&amp;",",","&amp;SUBSTITUTE(input_global_network_school," ","")&amp;",")))=0)),IF(FC160="",TRUE,IF(input_global_network_school="",FALSE,SUMPRODUCT(--ISNUMBER(SEARCH(","&amp;TRIM(TEXTSPLIT(FC160,","))&amp;",",","&amp;SUBSTITUTE(input_global_network_school," ","")&amp;",")))&gt;0)),IF(FE160="",TRUE,IF(input_global_network_school="",FALSE,SUMPRODUCT(--ISNUMBER(SEARCH(","&amp;TRIM(TEXTSPLIT(FE160,","))&amp;",",","&amp;SUBSTITUTE(input_global_network_school," ","")&amp;",")))=COUNTA(TEXTSPLIT(FE160,",")))))</f>
        <v/>
      </c>
      <c r="JI160" s="19">
        <f>AND(IF(FG160="",TRUE,IF(input_industry="",FALSE,SUMPRODUCT(--ISNUMBER(SEARCH(","&amp;TRIM(TEXTSPLIT(FG160,","))&amp;",",","&amp;SUBSTITUTE(input_industry," ","")&amp;",")))&gt;0)),IF(FI160="",TRUE,IF(input_industry="",FALSE,SUMPRODUCT(--ISNUMBER(SEARCH(","&amp;TRIM(TEXTSPLIT(FI160,","))&amp;",",","&amp;SUBSTITUTE(input_industry," ","")&amp;",")))=COUNTA(TEXTSPLIT(FI160,",")))),IF(FK160="",TRUE,IF(input_industry="",TRUE,SUMPRODUCT(--ISNUMBER(SEARCH(","&amp;TRIM(TEXTSPLIT(FK160,","))&amp;",",","&amp;SUBSTITUTE(input_industry," ","")&amp;",")))=0)),IF(FM160="",TRUE,IF(input_industry="",FALSE,SUMPRODUCT(--ISNUMBER(SEARCH(","&amp;TRIM(TEXTSPLIT(FM160,","))&amp;",",","&amp;SUBSTITUTE(input_industry," ","")&amp;",")))&gt;0)),IF(FO160="",TRUE,IF(input_industry="",FALSE,SUMPRODUCT(--ISNUMBER(SEARCH(","&amp;TRIM(TEXTSPLIT(FO160,","))&amp;",",","&amp;SUBSTITUTE(input_industry," ","")&amp;",")))=COUNTA(TEXTSPLIT(FO160,",")))))</f>
        <v/>
      </c>
      <c r="JJ160" s="19">
        <f>AND(IF(FQ160="",TRUE,IF(input_location="",FALSE,SUMPRODUCT(--ISNUMBER(SEARCH(","&amp;TRIM(TEXTSPLIT(FQ160,","))&amp;",",","&amp;SUBSTITUTE(input_location," ","")&amp;",")))&gt;0)),IF(FS160="",TRUE,IF(input_location="",FALSE,SUMPRODUCT(--ISNUMBER(SEARCH(","&amp;TRIM(TEXTSPLIT(FS160,","))&amp;",",","&amp;SUBSTITUTE(input_location," ","")&amp;",")))=COUNTA(TEXTSPLIT(FS160,",")))),IF(FU160="",TRUE,IF(input_location="",TRUE,SUMPRODUCT(--ISNUMBER(SEARCH(","&amp;TRIM(TEXTSPLIT(FU160,","))&amp;",",","&amp;SUBSTITUTE(input_location," ","")&amp;",")))=0)),IF(FW160="",TRUE,IF(input_location="",FALSE,SUMPRODUCT(--ISNUMBER(SEARCH(","&amp;TRIM(TEXTSPLIT(FW160,","))&amp;",",","&amp;SUBSTITUTE(input_location," ","")&amp;",")))&gt;0)),IF(FY160="",TRUE,IF(input_location="",FALSE,SUMPRODUCT(--ISNUMBER(SEARCH(","&amp;TRIM(TEXTSPLIT(FY160,","))&amp;",",","&amp;SUBSTITUTE(input_location," ","")&amp;",")))=COUNTA(TEXTSPLIT(FY160,",")))))</f>
        <v/>
      </c>
      <c r="JK160" s="19">
        <f>AND(IF(GA160="",TRUE,IF(input_modality="",FALSE,SUMPRODUCT(--ISNUMBER(SEARCH(","&amp;TRIM(TEXTSPLIT(GA160,","))&amp;",",","&amp;SUBSTITUTE(input_modality," ","")&amp;",")))&gt;0)),IF(GC160="",TRUE,IF(input_modality="",FALSE,SUMPRODUCT(--ISNUMBER(SEARCH(","&amp;TRIM(TEXTSPLIT(GC160,","))&amp;",",","&amp;SUBSTITUTE(input_modality," ","")&amp;",")))=COUNTA(TEXTSPLIT(GC160,",")))),IF(GE160="",TRUE,IF(input_modality="",TRUE,SUMPRODUCT(--ISNUMBER(SEARCH(","&amp;TRIM(TEXTSPLIT(GE160,","))&amp;",",","&amp;SUBSTITUTE(input_modality," ","")&amp;",")))=0)),IF(GG160="",TRUE,IF(input_modality="",FALSE,SUMPRODUCT(--ISNUMBER(SEARCH(","&amp;TRIM(TEXTSPLIT(GG160,","))&amp;",",","&amp;SUBSTITUTE(input_modality," ","")&amp;",")))&gt;0)),IF(GI160="",TRUE,IF(input_modality="",FALSE,SUMPRODUCT(--ISNUMBER(SEARCH(","&amp;TRIM(TEXTSPLIT(GI160,","))&amp;",",","&amp;SUBSTITUTE(input_modality," ","")&amp;",")))=COUNTA(TEXTSPLIT(GI160,",")))))</f>
        <v/>
      </c>
      <c r="JL160" s="19">
        <f>AND(IF(GK160="",TRUE,IF(input_organizer="",FALSE,SUMPRODUCT(--ISNUMBER(SEARCH(","&amp;TRIM(TEXTSPLIT(GK160,","))&amp;",",","&amp;SUBSTITUTE(input_organizer," ","")&amp;",")))&gt;0)),IF(GM160="",TRUE,IF(input_organizer="",FALSE,SUMPRODUCT(--ISNUMBER(SEARCH(","&amp;TRIM(TEXTSPLIT(GM160,","))&amp;",",","&amp;SUBSTITUTE(input_organizer," ","")&amp;",")))=COUNTA(TEXTSPLIT(GM160,",")))),IF(GO160="",TRUE,IF(input_organizer="",TRUE,SUMPRODUCT(--ISNUMBER(SEARCH(","&amp;TRIM(TEXTSPLIT(GO160,","))&amp;",",","&amp;SUBSTITUTE(input_organizer," ","")&amp;",")))=0)),IF(GQ160="",TRUE,IF(input_organizer="",FALSE,SUMPRODUCT(--ISNUMBER(SEARCH(","&amp;TRIM(TEXTSPLIT(GQ160,","))&amp;",",","&amp;SUBSTITUTE(input_organizer," ","")&amp;",")))&gt;0)),IF(GS160="",TRUE,IF(input_organizer="",FALSE,SUMPRODUCT(--ISNUMBER(SEARCH(","&amp;TRIM(TEXTSPLIT(GS160,","))&amp;",",","&amp;SUBSTITUTE(input_organizer," ","")&amp;",")))=COUNTA(TEXTSPLIT(GS160,",")))))</f>
        <v/>
      </c>
      <c r="JM160" s="19">
        <f>AND(IF(GU160="",TRUE,IF(input_profile_type="",FALSE,SUMPRODUCT(--ISNUMBER(SEARCH(","&amp;TRIM(TEXTSPLIT(GU160,","))&amp;",",","&amp;SUBSTITUTE(input_profile_type," ","")&amp;",")))&gt;0)),IF(GW160="",TRUE,IF(input_profile_type="",FALSE,SUMPRODUCT(--ISNUMBER(SEARCH(","&amp;TRIM(TEXTSPLIT(GW160,","))&amp;",",","&amp;SUBSTITUTE(input_profile_type," ","")&amp;",")))=COUNTA(TEXTSPLIT(GW160,",")))),IF(GY160="",TRUE,IF(input_profile_type="",TRUE,SUMPRODUCT(--ISNUMBER(SEARCH(","&amp;TRIM(TEXTSPLIT(GY160,","))&amp;",",","&amp;SUBSTITUTE(input_profile_type," ","")&amp;",")))=0)),IF(HA160="",TRUE,IF(input_profile_type="",FALSE,SUMPRODUCT(--ISNUMBER(SEARCH(","&amp;TRIM(TEXTSPLIT(HA160,","))&amp;",",","&amp;SUBSTITUTE(input_profile_type," ","")&amp;",")))&gt;0)),IF(HC160="",TRUE,IF(input_profile_type="",FALSE,SUMPRODUCT(--ISNUMBER(SEARCH(","&amp;TRIM(TEXTSPLIT(HC160,","))&amp;",",","&amp;SUBSTITUTE(input_profile_type," ","")&amp;",")))=COUNTA(TEXTSPLIT(HC160,",")))))</f>
        <v/>
      </c>
      <c r="JN160" s="19">
        <f>AND(IF(HE160="",TRUE,IF(input_program="",FALSE,SUMPRODUCT(--ISNUMBER(SEARCH(","&amp;TRIM(TEXTSPLIT(HE160,","))&amp;",",","&amp;SUBSTITUTE(input_program," ","")&amp;",")))&gt;0)),IF(HG160="",TRUE,IF(input_program="",FALSE,SUMPRODUCT(--ISNUMBER(SEARCH(","&amp;TRIM(TEXTSPLIT(HG160,","))&amp;",",","&amp;SUBSTITUTE(input_program," ","")&amp;",")))=COUNTA(TEXTSPLIT(HG160,",")))),IF(HI160="",TRUE,IF(input_program="",TRUE,SUMPRODUCT(--ISNUMBER(SEARCH(","&amp;TRIM(TEXTSPLIT(HI160,","))&amp;",",","&amp;SUBSTITUTE(input_program," ","")&amp;",")))=0)),IF(HK160="",TRUE,IF(input_program="",FALSE,SUMPRODUCT(--ISNUMBER(SEARCH(","&amp;TRIM(TEXTSPLIT(HK160,","))&amp;",",","&amp;SUBSTITUTE(input_program," ","")&amp;",")))&gt;0)),IF(HM160="",TRUE,IF(input_program="",FALSE,SUMPRODUCT(--ISNUMBER(SEARCH(","&amp;TRIM(TEXTSPLIT(HM160,","))&amp;",",","&amp;SUBSTITUTE(input_program," ","")&amp;",")))=COUNTA(TEXTSPLIT(HM160,",")))))</f>
        <v/>
      </c>
      <c r="JO160" s="19">
        <f>AND(IF(HO160="",TRUE,IF(input_story_categories="",FALSE,SUMPRODUCT(--ISNUMBER(SEARCH(","&amp;TRIM(TEXTSPLIT(HO160,","))&amp;",",","&amp;SUBSTITUTE(input_story_categories," ","")&amp;",")))&gt;0)),IF(HQ160="",TRUE,IF(input_story_categories="",FALSE,SUMPRODUCT(--ISNUMBER(SEARCH(","&amp;TRIM(TEXTSPLIT(HQ160,","))&amp;",",","&amp;SUBSTITUTE(input_story_categories," ","")&amp;",")))=COUNTA(TEXTSPLIT(HQ160,",")))),IF(HS160="",TRUE,IF(input_story_categories="",TRUE,SUMPRODUCT(--ISNUMBER(SEARCH(","&amp;TRIM(TEXTSPLIT(HS160,","))&amp;",",","&amp;SUBSTITUTE(input_story_categories," ","")&amp;",")))=0)),IF(HU160="",TRUE,IF(input_story_categories="",FALSE,SUMPRODUCT(--ISNUMBER(SEARCH(","&amp;TRIM(TEXTSPLIT(HU160,","))&amp;",",","&amp;SUBSTITUTE(input_story_categories," ","")&amp;",")))&gt;0)),IF(HW160="",TRUE,IF(input_story_categories="",FALSE,SUMPRODUCT(--ISNUMBER(SEARCH(","&amp;TRIM(TEXTSPLIT(HW160,","))&amp;",",","&amp;SUBSTITUTE(input_story_categories," ","")&amp;",")))=COUNTA(TEXTSPLIT(HW160,",")))))</f>
        <v/>
      </c>
      <c r="JP160" s="19">
        <f>AND(IF(HY160="",TRUE,IF(input_story_type="",FALSE,SUMPRODUCT(--ISNUMBER(SEARCH(","&amp;TRIM(TEXTSPLIT(HY160,","))&amp;",",","&amp;SUBSTITUTE(input_story_type," ","")&amp;",")))&gt;0)),IF(IA160="",TRUE,IF(input_story_type="",FALSE,SUMPRODUCT(--ISNUMBER(SEARCH(","&amp;TRIM(TEXTSPLIT(IA160,","))&amp;",",","&amp;SUBSTITUTE(input_story_type," ","")&amp;",")))=COUNTA(TEXTSPLIT(IA160,",")))),IF(IC160="",TRUE,IF(input_story_type="",TRUE,SUMPRODUCT(--ISNUMBER(SEARCH(","&amp;TRIM(TEXTSPLIT(IC160,","))&amp;",",","&amp;SUBSTITUTE(input_story_type," ","")&amp;",")))=0)),IF(IE160="",TRUE,IF(input_story_type="",FALSE,SUMPRODUCT(--ISNUMBER(SEARCH(","&amp;TRIM(TEXTSPLIT(IE160,","))&amp;",",","&amp;SUBSTITUTE(input_story_type," ","")&amp;",")))&gt;0)),IF(IG160="",TRUE,IF(input_story_type="",FALSE,SUMPRODUCT(--ISNUMBER(SEARCH(","&amp;TRIM(TEXTSPLIT(IG160,","))&amp;",",","&amp;SUBSTITUTE(input_story_type," ","")&amp;",")))=COUNTA(TEXTSPLIT(IG160,",")))))</f>
        <v/>
      </c>
      <c r="JQ160" s="19">
        <f>AND(IF(II160="",TRUE,IF(input_topics="",FALSE,SUMPRODUCT(--ISNUMBER(SEARCH(","&amp;TRIM(TEXTSPLIT(II160,","))&amp;",",","&amp;SUBSTITUTE(input_topics," ","")&amp;",")))&gt;0)),IF(IK160="",TRUE,IF(input_topics="",FALSE,SUMPRODUCT(--ISNUMBER(SEARCH(","&amp;TRIM(TEXTSPLIT(IK160,","))&amp;",",","&amp;SUBSTITUTE(input_topics," ","")&amp;",")))=COUNTA(TEXTSPLIT(IK160,",")))),IF(IM160="",TRUE,IF(input_topics="",TRUE,SUMPRODUCT(--ISNUMBER(SEARCH(","&amp;TRIM(TEXTSPLIT(IM160,","))&amp;",",","&amp;SUBSTITUTE(input_topics," ","")&amp;",")))=0)),IF(IO160="",TRUE,IF(input_topics="",FALSE,SUMPRODUCT(--ISNUMBER(SEARCH(","&amp;TRIM(TEXTSPLIT(IO160,","))&amp;",",","&amp;SUBSTITUTE(input_topics," ","")&amp;",")))&gt;0)),IF(IQ160="",TRUE,IF(input_topics="",FALSE,SUMPRODUCT(--ISNUMBER(SEARCH(","&amp;TRIM(TEXTSPLIT(IQ160,","))&amp;",",","&amp;SUBSTITUTE(input_topics," ","")&amp;",")))=COUNTA(TEXTSPLIT(IQ160,",")))))</f>
        <v/>
      </c>
    </row>
    <row r="161">
      <c r="A161" s="24">
        <f>IF(NOT(IS161),"Excluded",IF(AND(IT161,IU161,IV161,IW161,IX161,IY161,IZ161,JA161,JB161,JC161,JD161,JE161,JF161,JG161,JH161,JI161,JJ161,JK161,JL161,JM161,JN161,JO161,JP161,JQ161),IF(I161&gt;0,"Eligible but limited","Will appear"),"Excluded"))</f>
        <v/>
      </c>
      <c r="B161" s="24" t="inlineStr">
        <is>
          <t>Related profiles on profile pages</t>
        </is>
      </c>
      <c r="C161" s="27" t="inlineStr">
        <is>
          <t>/profile/alumni/claire-hughes-johnson-01</t>
        </is>
      </c>
      <c r="D161" s="24" t="inlineStr">
        <is>
          <t>/profile/alumni/claire-hughes-johnson-01
/profile/alumni/corey-harrison-11
/profile/alumni/john-rose-82</t>
        </is>
      </c>
      <c r="E161" s="24" t="n">
        <v>12</v>
      </c>
      <c r="F161" s="24" t="inlineStr">
        <is>
          <t>profile</t>
        </is>
      </c>
      <c r="G161" s="24" t="inlineStr">
        <is>
          <t>profiles_grid</t>
        </is>
      </c>
      <c r="H161" s="24" t="inlineStr">
        <is>
          <t>related</t>
        </is>
      </c>
      <c r="I161" s="24" t="n">
        <v>3</v>
      </c>
      <c r="J161" s="28" t="inlineStr">
        <is>
          <t>Explicit args</t>
        </is>
      </c>
      <c r="K161" s="24" t="inlineStr">
        <is>
          <t>Grouped surface</t>
        </is>
      </c>
      <c r="L161" s="24" t="inlineStr">
        <is>
          <t>Content type: profile; Context uses Profile Type: Alumni (1549); Context uses Program: MBA (4); Limited to 3 item(s); Source: Explicit args</t>
        </is>
      </c>
      <c r="HA161" s="19" t="inlineStr">
        <is>
          <t>1549</t>
        </is>
      </c>
      <c r="HB161" s="19" t="inlineStr">
        <is>
          <t>Alumni (1549)</t>
        </is>
      </c>
      <c r="HK161" s="19" t="inlineStr">
        <is>
          <t>4</t>
        </is>
      </c>
      <c r="HL161" s="19" t="inlineStr">
        <is>
          <t>MBA (4)</t>
        </is>
      </c>
      <c r="IS161" s="19">
        <f>IF(input_content_type="",FALSE,ISNUMBER(SEARCH(","&amp;LOWER(input_content_type)&amp;",",","&amp;LOWER(SUBSTITUTE(F161," ",""))&amp;",")))</f>
        <v/>
      </c>
      <c r="IT161" s="19">
        <f>AND(IF(M161="",TRUE,IF(input_affiliations="",FALSE,SUMPRODUCT(--ISNUMBER(SEARCH(","&amp;TRIM(TEXTSPLIT(M161,","))&amp;",",","&amp;SUBSTITUTE(input_affiliations," ","")&amp;",")))&gt;0)),IF(O161="",TRUE,IF(input_affiliations="",FALSE,SUMPRODUCT(--ISNUMBER(SEARCH(","&amp;TRIM(TEXTSPLIT(O161,","))&amp;",",","&amp;SUBSTITUTE(input_affiliations," ","")&amp;",")))=COUNTA(TEXTSPLIT(O161,",")))),IF(Q161="",TRUE,IF(input_affiliations="",TRUE,SUMPRODUCT(--ISNUMBER(SEARCH(","&amp;TRIM(TEXTSPLIT(Q161,","))&amp;",",","&amp;SUBSTITUTE(input_affiliations," ","")&amp;",")))=0)),IF(S161="",TRUE,IF(input_affiliations="",FALSE,SUMPRODUCT(--ISNUMBER(SEARCH(","&amp;TRIM(TEXTSPLIT(S161,","))&amp;",",","&amp;SUBSTITUTE(input_affiliations," ","")&amp;",")))&gt;0)),IF(U161="",TRUE,IF(input_affiliations="",FALSE,SUMPRODUCT(--ISNUMBER(SEARCH(","&amp;TRIM(TEXTSPLIT(U161,","))&amp;",",","&amp;SUBSTITUTE(input_affiliations," ","")&amp;",")))=COUNTA(TEXTSPLIT(U161,",")))))</f>
        <v/>
      </c>
      <c r="IU161" s="19">
        <f>AND(IF(W161="",TRUE,IF(input_announcement_category="",FALSE,SUMPRODUCT(--ISNUMBER(SEARCH(","&amp;TRIM(TEXTSPLIT(W161,","))&amp;",",","&amp;SUBSTITUTE(input_announcement_category," ","")&amp;",")))&gt;0)),IF(Y161="",TRUE,IF(input_announcement_category="",FALSE,SUMPRODUCT(--ISNUMBER(SEARCH(","&amp;TRIM(TEXTSPLIT(Y161,","))&amp;",",","&amp;SUBSTITUTE(input_announcement_category," ","")&amp;",")))=COUNTA(TEXTSPLIT(Y161,",")))),IF(AA161="",TRUE,IF(input_announcement_category="",TRUE,SUMPRODUCT(--ISNUMBER(SEARCH(","&amp;TRIM(TEXTSPLIT(AA161,","))&amp;",",","&amp;SUBSTITUTE(input_announcement_category," ","")&amp;",")))=0)),IF(AC161="",TRUE,IF(input_announcement_category="",FALSE,SUMPRODUCT(--ISNUMBER(SEARCH(","&amp;TRIM(TEXTSPLIT(AC161,","))&amp;",",","&amp;SUBSTITUTE(input_announcement_category," ","")&amp;",")))&gt;0)),IF(AE161="",TRUE,IF(input_announcement_category="",FALSE,SUMPRODUCT(--ISNUMBER(SEARCH(","&amp;TRIM(TEXTSPLIT(AE161,","))&amp;",",","&amp;SUBSTITUTE(input_announcement_category," ","")&amp;",")))=COUNTA(TEXTSPLIT(AE161,",")))))</f>
        <v/>
      </c>
      <c r="IV161" s="19">
        <f>AND(IF(AG161="",TRUE,IF(input_area_of_focus="",FALSE,SUMPRODUCT(--ISNUMBER(SEARCH(","&amp;TRIM(TEXTSPLIT(AG161,","))&amp;",",","&amp;SUBSTITUTE(input_area_of_focus," ","")&amp;",")))&gt;0)),IF(AI161="",TRUE,IF(input_area_of_focus="",FALSE,SUMPRODUCT(--ISNUMBER(SEARCH(","&amp;TRIM(TEXTSPLIT(AI161,","))&amp;",",","&amp;SUBSTITUTE(input_area_of_focus," ","")&amp;",")))=COUNTA(TEXTSPLIT(AI161,",")))),IF(AK161="",TRUE,IF(input_area_of_focus="",TRUE,SUMPRODUCT(--ISNUMBER(SEARCH(","&amp;TRIM(TEXTSPLIT(AK161,","))&amp;",",","&amp;SUBSTITUTE(input_area_of_focus," ","")&amp;",")))=0)),IF(AM161="",TRUE,IF(input_area_of_focus="",FALSE,SUMPRODUCT(--ISNUMBER(SEARCH(","&amp;TRIM(TEXTSPLIT(AM161,","))&amp;",",","&amp;SUBSTITUTE(input_area_of_focus," ","")&amp;",")))&gt;0)),IF(AO161="",TRUE,IF(input_area_of_focus="",FALSE,SUMPRODUCT(--ISNUMBER(SEARCH(","&amp;TRIM(TEXTSPLIT(AO161,","))&amp;",",","&amp;SUBSTITUTE(input_area_of_focus," ","")&amp;",")))=COUNTA(TEXTSPLIT(AO161,",")))))</f>
        <v/>
      </c>
      <c r="IW161" s="19">
        <f>AND(IF(AQ161="",TRUE,IF(input_audience="",FALSE,SUMPRODUCT(--ISNUMBER(SEARCH(","&amp;TRIM(TEXTSPLIT(AQ161,","))&amp;",",","&amp;SUBSTITUTE(input_audience," ","")&amp;",")))&gt;0)),IF(AS161="",TRUE,IF(input_audience="",FALSE,SUMPRODUCT(--ISNUMBER(SEARCH(","&amp;TRIM(TEXTSPLIT(AS161,","))&amp;",",","&amp;SUBSTITUTE(input_audience," ","")&amp;",")))=COUNTA(TEXTSPLIT(AS161,",")))),IF(AU161="",TRUE,IF(input_audience="",TRUE,SUMPRODUCT(--ISNUMBER(SEARCH(","&amp;TRIM(TEXTSPLIT(AU161,","))&amp;",",","&amp;SUBSTITUTE(input_audience," ","")&amp;",")))=0)),IF(AW161="",TRUE,IF(input_audience="",FALSE,SUMPRODUCT(--ISNUMBER(SEARCH(","&amp;TRIM(TEXTSPLIT(AW161,","))&amp;",",","&amp;SUBSTITUTE(input_audience," ","")&amp;",")))&gt;0)),IF(AY161="",TRUE,IF(input_audience="",FALSE,SUMPRODUCT(--ISNUMBER(SEARCH(","&amp;TRIM(TEXTSPLIT(AY161,","))&amp;",",","&amp;SUBSTITUTE(input_audience," ","")&amp;",")))=COUNTA(TEXTSPLIT(AY161,",")))))</f>
        <v/>
      </c>
      <c r="IX161" s="19">
        <f>AND(IF(BA161="",TRUE,IF(input_challenge_opportunities="",FALSE,SUMPRODUCT(--ISNUMBER(SEARCH(","&amp;TRIM(TEXTSPLIT(BA161,","))&amp;",",","&amp;SUBSTITUTE(input_challenge_opportunities," ","")&amp;",")))&gt;0)),IF(BC161="",TRUE,IF(input_challenge_opportunities="",FALSE,SUMPRODUCT(--ISNUMBER(SEARCH(","&amp;TRIM(TEXTSPLIT(BC161,","))&amp;",",","&amp;SUBSTITUTE(input_challenge_opportunities," ","")&amp;",")))=COUNTA(TEXTSPLIT(BC161,",")))),IF(BE161="",TRUE,IF(input_challenge_opportunities="",TRUE,SUMPRODUCT(--ISNUMBER(SEARCH(","&amp;TRIM(TEXTSPLIT(BE161,","))&amp;",",","&amp;SUBSTITUTE(input_challenge_opportunities," ","")&amp;",")))=0)),IF(BG161="",TRUE,IF(input_challenge_opportunities="",FALSE,SUMPRODUCT(--ISNUMBER(SEARCH(","&amp;TRIM(TEXTSPLIT(BG161,","))&amp;",",","&amp;SUBSTITUTE(input_challenge_opportunities," ","")&amp;",")))&gt;0)),IF(BI161="",TRUE,IF(input_challenge_opportunities="",FALSE,SUMPRODUCT(--ISNUMBER(SEARCH(","&amp;TRIM(TEXTSPLIT(BI161,","))&amp;",",","&amp;SUBSTITUTE(input_challenge_opportunities," ","")&amp;",")))=COUNTA(TEXTSPLIT(BI161,",")))))</f>
        <v/>
      </c>
      <c r="IY161" s="19">
        <f>AND(IF(BK161="",TRUE,IF(input_context="",FALSE,SUMPRODUCT(--ISNUMBER(SEARCH(","&amp;TRIM(TEXTSPLIT(BK161,","))&amp;",",","&amp;SUBSTITUTE(input_context," ","")&amp;",")))&gt;0)),IF(BM161="",TRUE,IF(input_context="",FALSE,SUMPRODUCT(--ISNUMBER(SEARCH(","&amp;TRIM(TEXTSPLIT(BM161,","))&amp;",",","&amp;SUBSTITUTE(input_context," ","")&amp;",")))=COUNTA(TEXTSPLIT(BM161,",")))),IF(BO161="",TRUE,IF(input_context="",TRUE,SUMPRODUCT(--ISNUMBER(SEARCH(","&amp;TRIM(TEXTSPLIT(BO161,","))&amp;",",","&amp;SUBSTITUTE(input_context," ","")&amp;",")))=0)),IF(BQ161="",TRUE,IF(input_context="",FALSE,SUMPRODUCT(--ISNUMBER(SEARCH(","&amp;TRIM(TEXTSPLIT(BQ161,","))&amp;",",","&amp;SUBSTITUTE(input_context," ","")&amp;",")))&gt;0)),IF(BS161="",TRUE,IF(input_context="",FALSE,SUMPRODUCT(--ISNUMBER(SEARCH(","&amp;TRIM(TEXTSPLIT(BS161,","))&amp;",",","&amp;SUBSTITUTE(input_context," ","")&amp;",")))=COUNTA(TEXTSPLIT(BS161,",")))))</f>
        <v/>
      </c>
      <c r="IZ161" s="19">
        <f>AND(IF(BU161="",TRUE,IF(input_enews_announcement_type="",FALSE,SUMPRODUCT(--ISNUMBER(SEARCH(","&amp;TRIM(TEXTSPLIT(BU161,","))&amp;",",","&amp;SUBSTITUTE(input_enews_announcement_type," ","")&amp;",")))&gt;0)),IF(BW161="",TRUE,IF(input_enews_announcement_type="",FALSE,SUMPRODUCT(--ISNUMBER(SEARCH(","&amp;TRIM(TEXTSPLIT(BW161,","))&amp;",",","&amp;SUBSTITUTE(input_enews_announcement_type," ","")&amp;",")))=COUNTA(TEXTSPLIT(BW161,",")))),IF(BY161="",TRUE,IF(input_enews_announcement_type="",TRUE,SUMPRODUCT(--ISNUMBER(SEARCH(","&amp;TRIM(TEXTSPLIT(BY161,","))&amp;",",","&amp;SUBSTITUTE(input_enews_announcement_type," ","")&amp;",")))=0)),IF(CA161="",TRUE,IF(input_enews_announcement_type="",FALSE,SUMPRODUCT(--ISNUMBER(SEARCH(","&amp;TRIM(TEXTSPLIT(CA161,","))&amp;",",","&amp;SUBSTITUTE(input_enews_announcement_type," ","")&amp;",")))&gt;0)),IF(CC161="",TRUE,IF(input_enews_announcement_type="",FALSE,SUMPRODUCT(--ISNUMBER(SEARCH(","&amp;TRIM(TEXTSPLIT(CC161,","))&amp;",",","&amp;SUBSTITUTE(input_enews_announcement_type," ","")&amp;",")))=COUNTA(TEXTSPLIT(CC161,",")))))</f>
        <v/>
      </c>
      <c r="JA161" s="19">
        <f>AND(IF(CE161="",TRUE,IF(input_enews_audience="",FALSE,SUMPRODUCT(--ISNUMBER(SEARCH(","&amp;TRIM(TEXTSPLIT(CE161,","))&amp;",",","&amp;SUBSTITUTE(input_enews_audience," ","")&amp;",")))&gt;0)),IF(CG161="",TRUE,IF(input_enews_audience="",FALSE,SUMPRODUCT(--ISNUMBER(SEARCH(","&amp;TRIM(TEXTSPLIT(CG161,","))&amp;",",","&amp;SUBSTITUTE(input_enews_audience," ","")&amp;",")))=COUNTA(TEXTSPLIT(CG161,",")))),IF(CI161="",TRUE,IF(input_enews_audience="",TRUE,SUMPRODUCT(--ISNUMBER(SEARCH(","&amp;TRIM(TEXTSPLIT(CI161,","))&amp;",",","&amp;SUBSTITUTE(input_enews_audience," ","")&amp;",")))=0)),IF(CK161="",TRUE,IF(input_enews_audience="",FALSE,SUMPRODUCT(--ISNUMBER(SEARCH(","&amp;TRIM(TEXTSPLIT(CK161,","))&amp;",",","&amp;SUBSTITUTE(input_enews_audience," ","")&amp;",")))&gt;0)),IF(CM161="",TRUE,IF(input_enews_audience="",FALSE,SUMPRODUCT(--ISNUMBER(SEARCH(","&amp;TRIM(TEXTSPLIT(CM161,","))&amp;",",","&amp;SUBSTITUTE(input_enews_audience," ","")&amp;",")))=COUNTA(TEXTSPLIT(CM161,",")))))</f>
        <v/>
      </c>
      <c r="JB161" s="19">
        <f>AND(IF(CO161="",TRUE,IF(input_event_location="",FALSE,SUMPRODUCT(--ISNUMBER(SEARCH(","&amp;TRIM(TEXTSPLIT(CO161,","))&amp;",",","&amp;SUBSTITUTE(input_event_location," ","")&amp;",")))&gt;0)),IF(CQ161="",TRUE,IF(input_event_location="",FALSE,SUMPRODUCT(--ISNUMBER(SEARCH(","&amp;TRIM(TEXTSPLIT(CQ161,","))&amp;",",","&amp;SUBSTITUTE(input_event_location," ","")&amp;",")))=COUNTA(TEXTSPLIT(CQ161,",")))),IF(CS161="",TRUE,IF(input_event_location="",TRUE,SUMPRODUCT(--ISNUMBER(SEARCH(","&amp;TRIM(TEXTSPLIT(CS161,","))&amp;",",","&amp;SUBSTITUTE(input_event_location," ","")&amp;",")))=0)),IF(CU161="",TRUE,IF(input_event_location="",FALSE,SUMPRODUCT(--ISNUMBER(SEARCH(","&amp;TRIM(TEXTSPLIT(CU161,","))&amp;",",","&amp;SUBSTITUTE(input_event_location," ","")&amp;",")))&gt;0)),IF(CW161="",TRUE,IF(input_event_location="",FALSE,SUMPRODUCT(--ISNUMBER(SEARCH(","&amp;TRIM(TEXTSPLIT(CW161,","))&amp;",",","&amp;SUBSTITUTE(input_event_location," ","")&amp;",")))=COUNTA(TEXTSPLIT(CW161,",")))))</f>
        <v/>
      </c>
      <c r="JC161" s="19">
        <f>AND(IF(CY161="",TRUE,IF(input_event_type="",FALSE,SUMPRODUCT(--ISNUMBER(SEARCH(","&amp;TRIM(TEXTSPLIT(CY161,","))&amp;",",","&amp;SUBSTITUTE(input_event_type," ","")&amp;",")))&gt;0)),IF(DA161="",TRUE,IF(input_event_type="",FALSE,SUMPRODUCT(--ISNUMBER(SEARCH(","&amp;TRIM(TEXTSPLIT(DA161,","))&amp;",",","&amp;SUBSTITUTE(input_event_type," ","")&amp;",")))=COUNTA(TEXTSPLIT(DA161,",")))),IF(DC161="",TRUE,IF(input_event_type="",TRUE,SUMPRODUCT(--ISNUMBER(SEARCH(","&amp;TRIM(TEXTSPLIT(DC161,","))&amp;",",","&amp;SUBSTITUTE(input_event_type," ","")&amp;",")))=0)),IF(DE161="",TRUE,IF(input_event_type="",FALSE,SUMPRODUCT(--ISNUMBER(SEARCH(","&amp;TRIM(TEXTSPLIT(DE161,","))&amp;",",","&amp;SUBSTITUTE(input_event_type," ","")&amp;",")))&gt;0)),IF(DG161="",TRUE,IF(input_event_type="",FALSE,SUMPRODUCT(--ISNUMBER(SEARCH(","&amp;TRIM(TEXTSPLIT(DG161,","))&amp;",",","&amp;SUBSTITUTE(input_event_type," ","")&amp;",")))=COUNTA(TEXTSPLIT(DG161,",")))))</f>
        <v/>
      </c>
      <c r="JD161" s="19">
        <f>AND(IF(DI161="",TRUE,IF(input_executive_education_focus="",FALSE,SUMPRODUCT(--ISNUMBER(SEARCH(","&amp;TRIM(TEXTSPLIT(DI161,","))&amp;",",","&amp;SUBSTITUTE(input_executive_education_focus," ","")&amp;",")))&gt;0)),IF(DK161="",TRUE,IF(input_executive_education_focus="",FALSE,SUMPRODUCT(--ISNUMBER(SEARCH(","&amp;TRIM(TEXTSPLIT(DK161,","))&amp;",",","&amp;SUBSTITUTE(input_executive_education_focus," ","")&amp;",")))=COUNTA(TEXTSPLIT(DK161,",")))),IF(DM161="",TRUE,IF(input_executive_education_focus="",TRUE,SUMPRODUCT(--ISNUMBER(SEARCH(","&amp;TRIM(TEXTSPLIT(DM161,","))&amp;",",","&amp;SUBSTITUTE(input_executive_education_focus," ","")&amp;",")))=0)),IF(DO161="",TRUE,IF(input_executive_education_focus="",FALSE,SUMPRODUCT(--ISNUMBER(SEARCH(","&amp;TRIM(TEXTSPLIT(DO161,","))&amp;",",","&amp;SUBSTITUTE(input_executive_education_focus," ","")&amp;",")))&gt;0)),IF(DQ161="",TRUE,IF(input_executive_education_focus="",FALSE,SUMPRODUCT(--ISNUMBER(SEARCH(","&amp;TRIM(TEXTSPLIT(DQ161,","))&amp;",",","&amp;SUBSTITUTE(input_executive_education_focus," ","")&amp;",")))=COUNTA(TEXTSPLIT(DQ161,",")))))</f>
        <v/>
      </c>
      <c r="JE161" s="19">
        <f>AND(IF(DS161="",TRUE,IF(input_faculty_category="",FALSE,SUMPRODUCT(--ISNUMBER(SEARCH(","&amp;TRIM(TEXTSPLIT(DS161,","))&amp;",",","&amp;SUBSTITUTE(input_faculty_category," ","")&amp;",")))&gt;0)),IF(DU161="",TRUE,IF(input_faculty_category="",FALSE,SUMPRODUCT(--ISNUMBER(SEARCH(","&amp;TRIM(TEXTSPLIT(DU161,","))&amp;",",","&amp;SUBSTITUTE(input_faculty_category," ","")&amp;",")))=COUNTA(TEXTSPLIT(DU161,",")))),IF(DW161="",TRUE,IF(input_faculty_category="",TRUE,SUMPRODUCT(--ISNUMBER(SEARCH(","&amp;TRIM(TEXTSPLIT(DW161,","))&amp;",",","&amp;SUBSTITUTE(input_faculty_category," ","")&amp;",")))=0)),IF(DY161="",TRUE,IF(input_faculty_category="",FALSE,SUMPRODUCT(--ISNUMBER(SEARCH(","&amp;TRIM(TEXTSPLIT(DY161,","))&amp;",",","&amp;SUBSTITUTE(input_faculty_category," ","")&amp;",")))&gt;0)),IF(EA161="",TRUE,IF(input_faculty_category="",FALSE,SUMPRODUCT(--ISNUMBER(SEARCH(","&amp;TRIM(TEXTSPLIT(EA161,","))&amp;",",","&amp;SUBSTITUTE(input_faculty_category," ","")&amp;",")))=COUNTA(TEXTSPLIT(EA161,",")))))</f>
        <v/>
      </c>
      <c r="JF161" s="19">
        <f>AND(IF(EC161="",TRUE,IF(input_faculty_discipline="",FALSE,SUMPRODUCT(--ISNUMBER(SEARCH(","&amp;TRIM(TEXTSPLIT(EC161,","))&amp;",",","&amp;SUBSTITUTE(input_faculty_discipline," ","")&amp;",")))&gt;0)),IF(EE161="",TRUE,IF(input_faculty_discipline="",FALSE,SUMPRODUCT(--ISNUMBER(SEARCH(","&amp;TRIM(TEXTSPLIT(EE161,","))&amp;",",","&amp;SUBSTITUTE(input_faculty_discipline," ","")&amp;",")))=COUNTA(TEXTSPLIT(EE161,",")))),IF(EG161="",TRUE,IF(input_faculty_discipline="",TRUE,SUMPRODUCT(--ISNUMBER(SEARCH(","&amp;TRIM(TEXTSPLIT(EG161,","))&amp;",",","&amp;SUBSTITUTE(input_faculty_discipline," ","")&amp;",")))=0)),IF(EI161="",TRUE,IF(input_faculty_discipline="",FALSE,SUMPRODUCT(--ISNUMBER(SEARCH(","&amp;TRIM(TEXTSPLIT(EI161,","))&amp;",",","&amp;SUBSTITUTE(input_faculty_discipline," ","")&amp;",")))&gt;0)),IF(EK161="",TRUE,IF(input_faculty_discipline="",FALSE,SUMPRODUCT(--ISNUMBER(SEARCH(","&amp;TRIM(TEXTSPLIT(EK161,","))&amp;",",","&amp;SUBSTITUTE(input_faculty_discipline," ","")&amp;",")))=COUNTA(TEXTSPLIT(EK161,",")))))</f>
        <v/>
      </c>
      <c r="JG161" s="19">
        <f>AND(IF(EM161="",TRUE,IF(input_faculty_expertise="",FALSE,SUMPRODUCT(--ISNUMBER(SEARCH(","&amp;TRIM(TEXTSPLIT(EM161,","))&amp;",",","&amp;SUBSTITUTE(input_faculty_expertise," ","")&amp;",")))&gt;0)),IF(EO161="",TRUE,IF(input_faculty_expertise="",FALSE,SUMPRODUCT(--ISNUMBER(SEARCH(","&amp;TRIM(TEXTSPLIT(EO161,","))&amp;",",","&amp;SUBSTITUTE(input_faculty_expertise," ","")&amp;",")))=COUNTA(TEXTSPLIT(EO161,",")))),IF(EQ161="",TRUE,IF(input_faculty_expertise="",TRUE,SUMPRODUCT(--ISNUMBER(SEARCH(","&amp;TRIM(TEXTSPLIT(EQ161,","))&amp;",",","&amp;SUBSTITUTE(input_faculty_expertise," ","")&amp;",")))=0)),IF(ES161="",TRUE,IF(input_faculty_expertise="",FALSE,SUMPRODUCT(--ISNUMBER(SEARCH(","&amp;TRIM(TEXTSPLIT(ES161,","))&amp;",",","&amp;SUBSTITUTE(input_faculty_expertise," ","")&amp;",")))&gt;0)),IF(EU161="",TRUE,IF(input_faculty_expertise="",FALSE,SUMPRODUCT(--ISNUMBER(SEARCH(","&amp;TRIM(TEXTSPLIT(EU161,","))&amp;",",","&amp;SUBSTITUTE(input_faculty_expertise," ","")&amp;",")))=COUNTA(TEXTSPLIT(EU161,",")))))</f>
        <v/>
      </c>
      <c r="JH161" s="19">
        <f>AND(IF(EW161="",TRUE,IF(input_global_network_school="",FALSE,SUMPRODUCT(--ISNUMBER(SEARCH(","&amp;TRIM(TEXTSPLIT(EW161,","))&amp;",",","&amp;SUBSTITUTE(input_global_network_school," ","")&amp;",")))&gt;0)),IF(EY161="",TRUE,IF(input_global_network_school="",FALSE,SUMPRODUCT(--ISNUMBER(SEARCH(","&amp;TRIM(TEXTSPLIT(EY161,","))&amp;",",","&amp;SUBSTITUTE(input_global_network_school," ","")&amp;",")))=COUNTA(TEXTSPLIT(EY161,",")))),IF(FA161="",TRUE,IF(input_global_network_school="",TRUE,SUMPRODUCT(--ISNUMBER(SEARCH(","&amp;TRIM(TEXTSPLIT(FA161,","))&amp;",",","&amp;SUBSTITUTE(input_global_network_school," ","")&amp;",")))=0)),IF(FC161="",TRUE,IF(input_global_network_school="",FALSE,SUMPRODUCT(--ISNUMBER(SEARCH(","&amp;TRIM(TEXTSPLIT(FC161,","))&amp;",",","&amp;SUBSTITUTE(input_global_network_school," ","")&amp;",")))&gt;0)),IF(FE161="",TRUE,IF(input_global_network_school="",FALSE,SUMPRODUCT(--ISNUMBER(SEARCH(","&amp;TRIM(TEXTSPLIT(FE161,","))&amp;",",","&amp;SUBSTITUTE(input_global_network_school," ","")&amp;",")))=COUNTA(TEXTSPLIT(FE161,",")))))</f>
        <v/>
      </c>
      <c r="JI161" s="19">
        <f>AND(IF(FG161="",TRUE,IF(input_industry="",FALSE,SUMPRODUCT(--ISNUMBER(SEARCH(","&amp;TRIM(TEXTSPLIT(FG161,","))&amp;",",","&amp;SUBSTITUTE(input_industry," ","")&amp;",")))&gt;0)),IF(FI161="",TRUE,IF(input_industry="",FALSE,SUMPRODUCT(--ISNUMBER(SEARCH(","&amp;TRIM(TEXTSPLIT(FI161,","))&amp;",",","&amp;SUBSTITUTE(input_industry," ","")&amp;",")))=COUNTA(TEXTSPLIT(FI161,",")))),IF(FK161="",TRUE,IF(input_industry="",TRUE,SUMPRODUCT(--ISNUMBER(SEARCH(","&amp;TRIM(TEXTSPLIT(FK161,","))&amp;",",","&amp;SUBSTITUTE(input_industry," ","")&amp;",")))=0)),IF(FM161="",TRUE,IF(input_industry="",FALSE,SUMPRODUCT(--ISNUMBER(SEARCH(","&amp;TRIM(TEXTSPLIT(FM161,","))&amp;",",","&amp;SUBSTITUTE(input_industry," ","")&amp;",")))&gt;0)),IF(FO161="",TRUE,IF(input_industry="",FALSE,SUMPRODUCT(--ISNUMBER(SEARCH(","&amp;TRIM(TEXTSPLIT(FO161,","))&amp;",",","&amp;SUBSTITUTE(input_industry," ","")&amp;",")))=COUNTA(TEXTSPLIT(FO161,",")))))</f>
        <v/>
      </c>
      <c r="JJ161" s="19">
        <f>AND(IF(FQ161="",TRUE,IF(input_location="",FALSE,SUMPRODUCT(--ISNUMBER(SEARCH(","&amp;TRIM(TEXTSPLIT(FQ161,","))&amp;",",","&amp;SUBSTITUTE(input_location," ","")&amp;",")))&gt;0)),IF(FS161="",TRUE,IF(input_location="",FALSE,SUMPRODUCT(--ISNUMBER(SEARCH(","&amp;TRIM(TEXTSPLIT(FS161,","))&amp;",",","&amp;SUBSTITUTE(input_location," ","")&amp;",")))=COUNTA(TEXTSPLIT(FS161,",")))),IF(FU161="",TRUE,IF(input_location="",TRUE,SUMPRODUCT(--ISNUMBER(SEARCH(","&amp;TRIM(TEXTSPLIT(FU161,","))&amp;",",","&amp;SUBSTITUTE(input_location," ","")&amp;",")))=0)),IF(FW161="",TRUE,IF(input_location="",FALSE,SUMPRODUCT(--ISNUMBER(SEARCH(","&amp;TRIM(TEXTSPLIT(FW161,","))&amp;",",","&amp;SUBSTITUTE(input_location," ","")&amp;",")))&gt;0)),IF(FY161="",TRUE,IF(input_location="",FALSE,SUMPRODUCT(--ISNUMBER(SEARCH(","&amp;TRIM(TEXTSPLIT(FY161,","))&amp;",",","&amp;SUBSTITUTE(input_location," ","")&amp;",")))=COUNTA(TEXTSPLIT(FY161,",")))))</f>
        <v/>
      </c>
      <c r="JK161" s="19">
        <f>AND(IF(GA161="",TRUE,IF(input_modality="",FALSE,SUMPRODUCT(--ISNUMBER(SEARCH(","&amp;TRIM(TEXTSPLIT(GA161,","))&amp;",",","&amp;SUBSTITUTE(input_modality," ","")&amp;",")))&gt;0)),IF(GC161="",TRUE,IF(input_modality="",FALSE,SUMPRODUCT(--ISNUMBER(SEARCH(","&amp;TRIM(TEXTSPLIT(GC161,","))&amp;",",","&amp;SUBSTITUTE(input_modality," ","")&amp;",")))=COUNTA(TEXTSPLIT(GC161,",")))),IF(GE161="",TRUE,IF(input_modality="",TRUE,SUMPRODUCT(--ISNUMBER(SEARCH(","&amp;TRIM(TEXTSPLIT(GE161,","))&amp;",",","&amp;SUBSTITUTE(input_modality," ","")&amp;",")))=0)),IF(GG161="",TRUE,IF(input_modality="",FALSE,SUMPRODUCT(--ISNUMBER(SEARCH(","&amp;TRIM(TEXTSPLIT(GG161,","))&amp;",",","&amp;SUBSTITUTE(input_modality," ","")&amp;",")))&gt;0)),IF(GI161="",TRUE,IF(input_modality="",FALSE,SUMPRODUCT(--ISNUMBER(SEARCH(","&amp;TRIM(TEXTSPLIT(GI161,","))&amp;",",","&amp;SUBSTITUTE(input_modality," ","")&amp;",")))=COUNTA(TEXTSPLIT(GI161,",")))))</f>
        <v/>
      </c>
      <c r="JL161" s="19">
        <f>AND(IF(GK161="",TRUE,IF(input_organizer="",FALSE,SUMPRODUCT(--ISNUMBER(SEARCH(","&amp;TRIM(TEXTSPLIT(GK161,","))&amp;",",","&amp;SUBSTITUTE(input_organizer," ","")&amp;",")))&gt;0)),IF(GM161="",TRUE,IF(input_organizer="",FALSE,SUMPRODUCT(--ISNUMBER(SEARCH(","&amp;TRIM(TEXTSPLIT(GM161,","))&amp;",",","&amp;SUBSTITUTE(input_organizer," ","")&amp;",")))=COUNTA(TEXTSPLIT(GM161,",")))),IF(GO161="",TRUE,IF(input_organizer="",TRUE,SUMPRODUCT(--ISNUMBER(SEARCH(","&amp;TRIM(TEXTSPLIT(GO161,","))&amp;",",","&amp;SUBSTITUTE(input_organizer," ","")&amp;",")))=0)),IF(GQ161="",TRUE,IF(input_organizer="",FALSE,SUMPRODUCT(--ISNUMBER(SEARCH(","&amp;TRIM(TEXTSPLIT(GQ161,","))&amp;",",","&amp;SUBSTITUTE(input_organizer," ","")&amp;",")))&gt;0)),IF(GS161="",TRUE,IF(input_organizer="",FALSE,SUMPRODUCT(--ISNUMBER(SEARCH(","&amp;TRIM(TEXTSPLIT(GS161,","))&amp;",",","&amp;SUBSTITUTE(input_organizer," ","")&amp;",")))=COUNTA(TEXTSPLIT(GS161,",")))))</f>
        <v/>
      </c>
      <c r="JM161" s="19">
        <f>AND(IF(GU161="",TRUE,IF(input_profile_type="",FALSE,SUMPRODUCT(--ISNUMBER(SEARCH(","&amp;TRIM(TEXTSPLIT(GU161,","))&amp;",",","&amp;SUBSTITUTE(input_profile_type," ","")&amp;",")))&gt;0)),IF(GW161="",TRUE,IF(input_profile_type="",FALSE,SUMPRODUCT(--ISNUMBER(SEARCH(","&amp;TRIM(TEXTSPLIT(GW161,","))&amp;",",","&amp;SUBSTITUTE(input_profile_type," ","")&amp;",")))=COUNTA(TEXTSPLIT(GW161,",")))),IF(GY161="",TRUE,IF(input_profile_type="",TRUE,SUMPRODUCT(--ISNUMBER(SEARCH(","&amp;TRIM(TEXTSPLIT(GY161,","))&amp;",",","&amp;SUBSTITUTE(input_profile_type," ","")&amp;",")))=0)),IF(HA161="",TRUE,IF(input_profile_type="",FALSE,SUMPRODUCT(--ISNUMBER(SEARCH(","&amp;TRIM(TEXTSPLIT(HA161,","))&amp;",",","&amp;SUBSTITUTE(input_profile_type," ","")&amp;",")))&gt;0)),IF(HC161="",TRUE,IF(input_profile_type="",FALSE,SUMPRODUCT(--ISNUMBER(SEARCH(","&amp;TRIM(TEXTSPLIT(HC161,","))&amp;",",","&amp;SUBSTITUTE(input_profile_type," ","")&amp;",")))=COUNTA(TEXTSPLIT(HC161,",")))))</f>
        <v/>
      </c>
      <c r="JN161" s="19">
        <f>AND(IF(HE161="",TRUE,IF(input_program="",FALSE,SUMPRODUCT(--ISNUMBER(SEARCH(","&amp;TRIM(TEXTSPLIT(HE161,","))&amp;",",","&amp;SUBSTITUTE(input_program," ","")&amp;",")))&gt;0)),IF(HG161="",TRUE,IF(input_program="",FALSE,SUMPRODUCT(--ISNUMBER(SEARCH(","&amp;TRIM(TEXTSPLIT(HG161,","))&amp;",",","&amp;SUBSTITUTE(input_program," ","")&amp;",")))=COUNTA(TEXTSPLIT(HG161,",")))),IF(HI161="",TRUE,IF(input_program="",TRUE,SUMPRODUCT(--ISNUMBER(SEARCH(","&amp;TRIM(TEXTSPLIT(HI161,","))&amp;",",","&amp;SUBSTITUTE(input_program," ","")&amp;",")))=0)),IF(HK161="",TRUE,IF(input_program="",FALSE,SUMPRODUCT(--ISNUMBER(SEARCH(","&amp;TRIM(TEXTSPLIT(HK161,","))&amp;",",","&amp;SUBSTITUTE(input_program," ","")&amp;",")))&gt;0)),IF(HM161="",TRUE,IF(input_program="",FALSE,SUMPRODUCT(--ISNUMBER(SEARCH(","&amp;TRIM(TEXTSPLIT(HM161,","))&amp;",",","&amp;SUBSTITUTE(input_program," ","")&amp;",")))=COUNTA(TEXTSPLIT(HM161,",")))))</f>
        <v/>
      </c>
      <c r="JO161" s="19">
        <f>AND(IF(HO161="",TRUE,IF(input_story_categories="",FALSE,SUMPRODUCT(--ISNUMBER(SEARCH(","&amp;TRIM(TEXTSPLIT(HO161,","))&amp;",",","&amp;SUBSTITUTE(input_story_categories," ","")&amp;",")))&gt;0)),IF(HQ161="",TRUE,IF(input_story_categories="",FALSE,SUMPRODUCT(--ISNUMBER(SEARCH(","&amp;TRIM(TEXTSPLIT(HQ161,","))&amp;",",","&amp;SUBSTITUTE(input_story_categories," ","")&amp;",")))=COUNTA(TEXTSPLIT(HQ161,",")))),IF(HS161="",TRUE,IF(input_story_categories="",TRUE,SUMPRODUCT(--ISNUMBER(SEARCH(","&amp;TRIM(TEXTSPLIT(HS161,","))&amp;",",","&amp;SUBSTITUTE(input_story_categories," ","")&amp;",")))=0)),IF(HU161="",TRUE,IF(input_story_categories="",FALSE,SUMPRODUCT(--ISNUMBER(SEARCH(","&amp;TRIM(TEXTSPLIT(HU161,","))&amp;",",","&amp;SUBSTITUTE(input_story_categories," ","")&amp;",")))&gt;0)),IF(HW161="",TRUE,IF(input_story_categories="",FALSE,SUMPRODUCT(--ISNUMBER(SEARCH(","&amp;TRIM(TEXTSPLIT(HW161,","))&amp;",",","&amp;SUBSTITUTE(input_story_categories," ","")&amp;",")))=COUNTA(TEXTSPLIT(HW161,",")))))</f>
        <v/>
      </c>
      <c r="JP161" s="19">
        <f>AND(IF(HY161="",TRUE,IF(input_story_type="",FALSE,SUMPRODUCT(--ISNUMBER(SEARCH(","&amp;TRIM(TEXTSPLIT(HY161,","))&amp;",",","&amp;SUBSTITUTE(input_story_type," ","")&amp;",")))&gt;0)),IF(IA161="",TRUE,IF(input_story_type="",FALSE,SUMPRODUCT(--ISNUMBER(SEARCH(","&amp;TRIM(TEXTSPLIT(IA161,","))&amp;",",","&amp;SUBSTITUTE(input_story_type," ","")&amp;",")))=COUNTA(TEXTSPLIT(IA161,",")))),IF(IC161="",TRUE,IF(input_story_type="",TRUE,SUMPRODUCT(--ISNUMBER(SEARCH(","&amp;TRIM(TEXTSPLIT(IC161,","))&amp;",",","&amp;SUBSTITUTE(input_story_type," ","")&amp;",")))=0)),IF(IE161="",TRUE,IF(input_story_type="",FALSE,SUMPRODUCT(--ISNUMBER(SEARCH(","&amp;TRIM(TEXTSPLIT(IE161,","))&amp;",",","&amp;SUBSTITUTE(input_story_type," ","")&amp;",")))&gt;0)),IF(IG161="",TRUE,IF(input_story_type="",FALSE,SUMPRODUCT(--ISNUMBER(SEARCH(","&amp;TRIM(TEXTSPLIT(IG161,","))&amp;",",","&amp;SUBSTITUTE(input_story_type," ","")&amp;",")))=COUNTA(TEXTSPLIT(IG161,",")))))</f>
        <v/>
      </c>
      <c r="JQ161" s="19">
        <f>AND(IF(II161="",TRUE,IF(input_topics="",FALSE,SUMPRODUCT(--ISNUMBER(SEARCH(","&amp;TRIM(TEXTSPLIT(II161,","))&amp;",",","&amp;SUBSTITUTE(input_topics," ","")&amp;",")))&gt;0)),IF(IK161="",TRUE,IF(input_topics="",FALSE,SUMPRODUCT(--ISNUMBER(SEARCH(","&amp;TRIM(TEXTSPLIT(IK161,","))&amp;",",","&amp;SUBSTITUTE(input_topics," ","")&amp;",")))=COUNTA(TEXTSPLIT(IK161,",")))),IF(IM161="",TRUE,IF(input_topics="",TRUE,SUMPRODUCT(--ISNUMBER(SEARCH(","&amp;TRIM(TEXTSPLIT(IM161,","))&amp;",",","&amp;SUBSTITUTE(input_topics," ","")&amp;",")))=0)),IF(IO161="",TRUE,IF(input_topics="",FALSE,SUMPRODUCT(--ISNUMBER(SEARCH(","&amp;TRIM(TEXTSPLIT(IO161,","))&amp;",",","&amp;SUBSTITUTE(input_topics," ","")&amp;",")))&gt;0)),IF(IQ161="",TRUE,IF(input_topics="",FALSE,SUMPRODUCT(--ISNUMBER(SEARCH(","&amp;TRIM(TEXTSPLIT(IQ161,","))&amp;",",","&amp;SUBSTITUTE(input_topics," ","")&amp;",")))=COUNTA(TEXTSPLIT(IQ161,",")))))</f>
        <v/>
      </c>
    </row>
    <row r="162">
      <c r="A162" s="24">
        <f>IF(NOT(IS162),"Excluded",IF(AND(IT162,IU162,IV162,IW162,IX162,IY162,IZ162,JA162,JB162,JC162,JD162,JE162,JF162,JG162,JH162,JI162,JJ162,JK162,JL162,JM162,JN162,JO162,JP162,JQ162),IF(I162&gt;0,"Eligible but limited","Will appear"),"Excluded"))</f>
        <v/>
      </c>
      <c r="B162" s="24" t="inlineStr">
        <is>
          <t>Related profiles on profile pages</t>
        </is>
      </c>
      <c r="C162" s="27" t="inlineStr">
        <is>
          <t>/profile/alumni/madeline-negron-tbf-2024-25</t>
        </is>
      </c>
      <c r="D162" s="24" t="inlineStr">
        <is>
          <t>/profile/alumni/madeline-negron-tbf-2024-25</t>
        </is>
      </c>
      <c r="E162" s="24" t="n">
        <v>1</v>
      </c>
      <c r="F162" s="24" t="inlineStr">
        <is>
          <t>profile</t>
        </is>
      </c>
      <c r="G162" s="24" t="inlineStr">
        <is>
          <t>profiles_grid</t>
        </is>
      </c>
      <c r="H162" s="24" t="inlineStr">
        <is>
          <t>related</t>
        </is>
      </c>
      <c r="I162" s="24" t="n">
        <v>3</v>
      </c>
      <c r="J162" s="28" t="inlineStr">
        <is>
          <t>Explicit args</t>
        </is>
      </c>
      <c r="K162" s="24" t="inlineStr">
        <is>
          <t>Grouped surface</t>
        </is>
      </c>
      <c r="L162" s="24" t="inlineStr">
        <is>
          <t>Content type: profile; Context uses Profile Type: Alumni (1549); Context uses Program: all; Limited to 3 item(s); Source: Explicit args</t>
        </is>
      </c>
      <c r="HA162" s="19" t="inlineStr">
        <is>
          <t>1549</t>
        </is>
      </c>
      <c r="HB162" s="19" t="inlineStr">
        <is>
          <t>Alumni (1549)</t>
        </is>
      </c>
      <c r="HK162" s="19" t="inlineStr">
        <is>
          <t>all</t>
        </is>
      </c>
      <c r="HL162" s="19" t="inlineStr">
        <is>
          <t>all</t>
        </is>
      </c>
      <c r="IS162" s="19">
        <f>IF(input_content_type="",FALSE,ISNUMBER(SEARCH(","&amp;LOWER(input_content_type)&amp;",",","&amp;LOWER(SUBSTITUTE(F162," ",""))&amp;",")))</f>
        <v/>
      </c>
      <c r="IT162" s="19">
        <f>AND(IF(M162="",TRUE,IF(input_affiliations="",FALSE,SUMPRODUCT(--ISNUMBER(SEARCH(","&amp;TRIM(TEXTSPLIT(M162,","))&amp;",",","&amp;SUBSTITUTE(input_affiliations," ","")&amp;",")))&gt;0)),IF(O162="",TRUE,IF(input_affiliations="",FALSE,SUMPRODUCT(--ISNUMBER(SEARCH(","&amp;TRIM(TEXTSPLIT(O162,","))&amp;",",","&amp;SUBSTITUTE(input_affiliations," ","")&amp;",")))=COUNTA(TEXTSPLIT(O162,",")))),IF(Q162="",TRUE,IF(input_affiliations="",TRUE,SUMPRODUCT(--ISNUMBER(SEARCH(","&amp;TRIM(TEXTSPLIT(Q162,","))&amp;",",","&amp;SUBSTITUTE(input_affiliations," ","")&amp;",")))=0)),IF(S162="",TRUE,IF(input_affiliations="",FALSE,SUMPRODUCT(--ISNUMBER(SEARCH(","&amp;TRIM(TEXTSPLIT(S162,","))&amp;",",","&amp;SUBSTITUTE(input_affiliations," ","")&amp;",")))&gt;0)),IF(U162="",TRUE,IF(input_affiliations="",FALSE,SUMPRODUCT(--ISNUMBER(SEARCH(","&amp;TRIM(TEXTSPLIT(U162,","))&amp;",",","&amp;SUBSTITUTE(input_affiliations," ","")&amp;",")))=COUNTA(TEXTSPLIT(U162,",")))))</f>
        <v/>
      </c>
      <c r="IU162" s="19">
        <f>AND(IF(W162="",TRUE,IF(input_announcement_category="",FALSE,SUMPRODUCT(--ISNUMBER(SEARCH(","&amp;TRIM(TEXTSPLIT(W162,","))&amp;",",","&amp;SUBSTITUTE(input_announcement_category," ","")&amp;",")))&gt;0)),IF(Y162="",TRUE,IF(input_announcement_category="",FALSE,SUMPRODUCT(--ISNUMBER(SEARCH(","&amp;TRIM(TEXTSPLIT(Y162,","))&amp;",",","&amp;SUBSTITUTE(input_announcement_category," ","")&amp;",")))=COUNTA(TEXTSPLIT(Y162,",")))),IF(AA162="",TRUE,IF(input_announcement_category="",TRUE,SUMPRODUCT(--ISNUMBER(SEARCH(","&amp;TRIM(TEXTSPLIT(AA162,","))&amp;",",","&amp;SUBSTITUTE(input_announcement_category," ","")&amp;",")))=0)),IF(AC162="",TRUE,IF(input_announcement_category="",FALSE,SUMPRODUCT(--ISNUMBER(SEARCH(","&amp;TRIM(TEXTSPLIT(AC162,","))&amp;",",","&amp;SUBSTITUTE(input_announcement_category," ","")&amp;",")))&gt;0)),IF(AE162="",TRUE,IF(input_announcement_category="",FALSE,SUMPRODUCT(--ISNUMBER(SEARCH(","&amp;TRIM(TEXTSPLIT(AE162,","))&amp;",",","&amp;SUBSTITUTE(input_announcement_category," ","")&amp;",")))=COUNTA(TEXTSPLIT(AE162,",")))))</f>
        <v/>
      </c>
      <c r="IV162" s="19">
        <f>AND(IF(AG162="",TRUE,IF(input_area_of_focus="",FALSE,SUMPRODUCT(--ISNUMBER(SEARCH(","&amp;TRIM(TEXTSPLIT(AG162,","))&amp;",",","&amp;SUBSTITUTE(input_area_of_focus," ","")&amp;",")))&gt;0)),IF(AI162="",TRUE,IF(input_area_of_focus="",FALSE,SUMPRODUCT(--ISNUMBER(SEARCH(","&amp;TRIM(TEXTSPLIT(AI162,","))&amp;",",","&amp;SUBSTITUTE(input_area_of_focus," ","")&amp;",")))=COUNTA(TEXTSPLIT(AI162,",")))),IF(AK162="",TRUE,IF(input_area_of_focus="",TRUE,SUMPRODUCT(--ISNUMBER(SEARCH(","&amp;TRIM(TEXTSPLIT(AK162,","))&amp;",",","&amp;SUBSTITUTE(input_area_of_focus," ","")&amp;",")))=0)),IF(AM162="",TRUE,IF(input_area_of_focus="",FALSE,SUMPRODUCT(--ISNUMBER(SEARCH(","&amp;TRIM(TEXTSPLIT(AM162,","))&amp;",",","&amp;SUBSTITUTE(input_area_of_focus," ","")&amp;",")))&gt;0)),IF(AO162="",TRUE,IF(input_area_of_focus="",FALSE,SUMPRODUCT(--ISNUMBER(SEARCH(","&amp;TRIM(TEXTSPLIT(AO162,","))&amp;",",","&amp;SUBSTITUTE(input_area_of_focus," ","")&amp;",")))=COUNTA(TEXTSPLIT(AO162,",")))))</f>
        <v/>
      </c>
      <c r="IW162" s="19">
        <f>AND(IF(AQ162="",TRUE,IF(input_audience="",FALSE,SUMPRODUCT(--ISNUMBER(SEARCH(","&amp;TRIM(TEXTSPLIT(AQ162,","))&amp;",",","&amp;SUBSTITUTE(input_audience," ","")&amp;",")))&gt;0)),IF(AS162="",TRUE,IF(input_audience="",FALSE,SUMPRODUCT(--ISNUMBER(SEARCH(","&amp;TRIM(TEXTSPLIT(AS162,","))&amp;",",","&amp;SUBSTITUTE(input_audience," ","")&amp;",")))=COUNTA(TEXTSPLIT(AS162,",")))),IF(AU162="",TRUE,IF(input_audience="",TRUE,SUMPRODUCT(--ISNUMBER(SEARCH(","&amp;TRIM(TEXTSPLIT(AU162,","))&amp;",",","&amp;SUBSTITUTE(input_audience," ","")&amp;",")))=0)),IF(AW162="",TRUE,IF(input_audience="",FALSE,SUMPRODUCT(--ISNUMBER(SEARCH(","&amp;TRIM(TEXTSPLIT(AW162,","))&amp;",",","&amp;SUBSTITUTE(input_audience," ","")&amp;",")))&gt;0)),IF(AY162="",TRUE,IF(input_audience="",FALSE,SUMPRODUCT(--ISNUMBER(SEARCH(","&amp;TRIM(TEXTSPLIT(AY162,","))&amp;",",","&amp;SUBSTITUTE(input_audience," ","")&amp;",")))=COUNTA(TEXTSPLIT(AY162,",")))))</f>
        <v/>
      </c>
      <c r="IX162" s="19">
        <f>AND(IF(BA162="",TRUE,IF(input_challenge_opportunities="",FALSE,SUMPRODUCT(--ISNUMBER(SEARCH(","&amp;TRIM(TEXTSPLIT(BA162,","))&amp;",",","&amp;SUBSTITUTE(input_challenge_opportunities," ","")&amp;",")))&gt;0)),IF(BC162="",TRUE,IF(input_challenge_opportunities="",FALSE,SUMPRODUCT(--ISNUMBER(SEARCH(","&amp;TRIM(TEXTSPLIT(BC162,","))&amp;",",","&amp;SUBSTITUTE(input_challenge_opportunities," ","")&amp;",")))=COUNTA(TEXTSPLIT(BC162,",")))),IF(BE162="",TRUE,IF(input_challenge_opportunities="",TRUE,SUMPRODUCT(--ISNUMBER(SEARCH(","&amp;TRIM(TEXTSPLIT(BE162,","))&amp;",",","&amp;SUBSTITUTE(input_challenge_opportunities," ","")&amp;",")))=0)),IF(BG162="",TRUE,IF(input_challenge_opportunities="",FALSE,SUMPRODUCT(--ISNUMBER(SEARCH(","&amp;TRIM(TEXTSPLIT(BG162,","))&amp;",",","&amp;SUBSTITUTE(input_challenge_opportunities," ","")&amp;",")))&gt;0)),IF(BI162="",TRUE,IF(input_challenge_opportunities="",FALSE,SUMPRODUCT(--ISNUMBER(SEARCH(","&amp;TRIM(TEXTSPLIT(BI162,","))&amp;",",","&amp;SUBSTITUTE(input_challenge_opportunities," ","")&amp;",")))=COUNTA(TEXTSPLIT(BI162,",")))))</f>
        <v/>
      </c>
      <c r="IY162" s="19">
        <f>AND(IF(BK162="",TRUE,IF(input_context="",FALSE,SUMPRODUCT(--ISNUMBER(SEARCH(","&amp;TRIM(TEXTSPLIT(BK162,","))&amp;",",","&amp;SUBSTITUTE(input_context," ","")&amp;",")))&gt;0)),IF(BM162="",TRUE,IF(input_context="",FALSE,SUMPRODUCT(--ISNUMBER(SEARCH(","&amp;TRIM(TEXTSPLIT(BM162,","))&amp;",",","&amp;SUBSTITUTE(input_context," ","")&amp;",")))=COUNTA(TEXTSPLIT(BM162,",")))),IF(BO162="",TRUE,IF(input_context="",TRUE,SUMPRODUCT(--ISNUMBER(SEARCH(","&amp;TRIM(TEXTSPLIT(BO162,","))&amp;",",","&amp;SUBSTITUTE(input_context," ","")&amp;",")))=0)),IF(BQ162="",TRUE,IF(input_context="",FALSE,SUMPRODUCT(--ISNUMBER(SEARCH(","&amp;TRIM(TEXTSPLIT(BQ162,","))&amp;",",","&amp;SUBSTITUTE(input_context," ","")&amp;",")))&gt;0)),IF(BS162="",TRUE,IF(input_context="",FALSE,SUMPRODUCT(--ISNUMBER(SEARCH(","&amp;TRIM(TEXTSPLIT(BS162,","))&amp;",",","&amp;SUBSTITUTE(input_context," ","")&amp;",")))=COUNTA(TEXTSPLIT(BS162,",")))))</f>
        <v/>
      </c>
      <c r="IZ162" s="19">
        <f>AND(IF(BU162="",TRUE,IF(input_enews_announcement_type="",FALSE,SUMPRODUCT(--ISNUMBER(SEARCH(","&amp;TRIM(TEXTSPLIT(BU162,","))&amp;",",","&amp;SUBSTITUTE(input_enews_announcement_type," ","")&amp;",")))&gt;0)),IF(BW162="",TRUE,IF(input_enews_announcement_type="",FALSE,SUMPRODUCT(--ISNUMBER(SEARCH(","&amp;TRIM(TEXTSPLIT(BW162,","))&amp;",",","&amp;SUBSTITUTE(input_enews_announcement_type," ","")&amp;",")))=COUNTA(TEXTSPLIT(BW162,",")))),IF(BY162="",TRUE,IF(input_enews_announcement_type="",TRUE,SUMPRODUCT(--ISNUMBER(SEARCH(","&amp;TRIM(TEXTSPLIT(BY162,","))&amp;",",","&amp;SUBSTITUTE(input_enews_announcement_type," ","")&amp;",")))=0)),IF(CA162="",TRUE,IF(input_enews_announcement_type="",FALSE,SUMPRODUCT(--ISNUMBER(SEARCH(","&amp;TRIM(TEXTSPLIT(CA162,","))&amp;",",","&amp;SUBSTITUTE(input_enews_announcement_type," ","")&amp;",")))&gt;0)),IF(CC162="",TRUE,IF(input_enews_announcement_type="",FALSE,SUMPRODUCT(--ISNUMBER(SEARCH(","&amp;TRIM(TEXTSPLIT(CC162,","))&amp;",",","&amp;SUBSTITUTE(input_enews_announcement_type," ","")&amp;",")))=COUNTA(TEXTSPLIT(CC162,",")))))</f>
        <v/>
      </c>
      <c r="JA162" s="19">
        <f>AND(IF(CE162="",TRUE,IF(input_enews_audience="",FALSE,SUMPRODUCT(--ISNUMBER(SEARCH(","&amp;TRIM(TEXTSPLIT(CE162,","))&amp;",",","&amp;SUBSTITUTE(input_enews_audience," ","")&amp;",")))&gt;0)),IF(CG162="",TRUE,IF(input_enews_audience="",FALSE,SUMPRODUCT(--ISNUMBER(SEARCH(","&amp;TRIM(TEXTSPLIT(CG162,","))&amp;",",","&amp;SUBSTITUTE(input_enews_audience," ","")&amp;",")))=COUNTA(TEXTSPLIT(CG162,",")))),IF(CI162="",TRUE,IF(input_enews_audience="",TRUE,SUMPRODUCT(--ISNUMBER(SEARCH(","&amp;TRIM(TEXTSPLIT(CI162,","))&amp;",",","&amp;SUBSTITUTE(input_enews_audience," ","")&amp;",")))=0)),IF(CK162="",TRUE,IF(input_enews_audience="",FALSE,SUMPRODUCT(--ISNUMBER(SEARCH(","&amp;TRIM(TEXTSPLIT(CK162,","))&amp;",",","&amp;SUBSTITUTE(input_enews_audience," ","")&amp;",")))&gt;0)),IF(CM162="",TRUE,IF(input_enews_audience="",FALSE,SUMPRODUCT(--ISNUMBER(SEARCH(","&amp;TRIM(TEXTSPLIT(CM162,","))&amp;",",","&amp;SUBSTITUTE(input_enews_audience," ","")&amp;",")))=COUNTA(TEXTSPLIT(CM162,",")))))</f>
        <v/>
      </c>
      <c r="JB162" s="19">
        <f>AND(IF(CO162="",TRUE,IF(input_event_location="",FALSE,SUMPRODUCT(--ISNUMBER(SEARCH(","&amp;TRIM(TEXTSPLIT(CO162,","))&amp;",",","&amp;SUBSTITUTE(input_event_location," ","")&amp;",")))&gt;0)),IF(CQ162="",TRUE,IF(input_event_location="",FALSE,SUMPRODUCT(--ISNUMBER(SEARCH(","&amp;TRIM(TEXTSPLIT(CQ162,","))&amp;",",","&amp;SUBSTITUTE(input_event_location," ","")&amp;",")))=COUNTA(TEXTSPLIT(CQ162,",")))),IF(CS162="",TRUE,IF(input_event_location="",TRUE,SUMPRODUCT(--ISNUMBER(SEARCH(","&amp;TRIM(TEXTSPLIT(CS162,","))&amp;",",","&amp;SUBSTITUTE(input_event_location," ","")&amp;",")))=0)),IF(CU162="",TRUE,IF(input_event_location="",FALSE,SUMPRODUCT(--ISNUMBER(SEARCH(","&amp;TRIM(TEXTSPLIT(CU162,","))&amp;",",","&amp;SUBSTITUTE(input_event_location," ","")&amp;",")))&gt;0)),IF(CW162="",TRUE,IF(input_event_location="",FALSE,SUMPRODUCT(--ISNUMBER(SEARCH(","&amp;TRIM(TEXTSPLIT(CW162,","))&amp;",",","&amp;SUBSTITUTE(input_event_location," ","")&amp;",")))=COUNTA(TEXTSPLIT(CW162,",")))))</f>
        <v/>
      </c>
      <c r="JC162" s="19">
        <f>AND(IF(CY162="",TRUE,IF(input_event_type="",FALSE,SUMPRODUCT(--ISNUMBER(SEARCH(","&amp;TRIM(TEXTSPLIT(CY162,","))&amp;",",","&amp;SUBSTITUTE(input_event_type," ","")&amp;",")))&gt;0)),IF(DA162="",TRUE,IF(input_event_type="",FALSE,SUMPRODUCT(--ISNUMBER(SEARCH(","&amp;TRIM(TEXTSPLIT(DA162,","))&amp;",",","&amp;SUBSTITUTE(input_event_type," ","")&amp;",")))=COUNTA(TEXTSPLIT(DA162,",")))),IF(DC162="",TRUE,IF(input_event_type="",TRUE,SUMPRODUCT(--ISNUMBER(SEARCH(","&amp;TRIM(TEXTSPLIT(DC162,","))&amp;",",","&amp;SUBSTITUTE(input_event_type," ","")&amp;",")))=0)),IF(DE162="",TRUE,IF(input_event_type="",FALSE,SUMPRODUCT(--ISNUMBER(SEARCH(","&amp;TRIM(TEXTSPLIT(DE162,","))&amp;",",","&amp;SUBSTITUTE(input_event_type," ","")&amp;",")))&gt;0)),IF(DG162="",TRUE,IF(input_event_type="",FALSE,SUMPRODUCT(--ISNUMBER(SEARCH(","&amp;TRIM(TEXTSPLIT(DG162,","))&amp;",",","&amp;SUBSTITUTE(input_event_type," ","")&amp;",")))=COUNTA(TEXTSPLIT(DG162,",")))))</f>
        <v/>
      </c>
      <c r="JD162" s="19">
        <f>AND(IF(DI162="",TRUE,IF(input_executive_education_focus="",FALSE,SUMPRODUCT(--ISNUMBER(SEARCH(","&amp;TRIM(TEXTSPLIT(DI162,","))&amp;",",","&amp;SUBSTITUTE(input_executive_education_focus," ","")&amp;",")))&gt;0)),IF(DK162="",TRUE,IF(input_executive_education_focus="",FALSE,SUMPRODUCT(--ISNUMBER(SEARCH(","&amp;TRIM(TEXTSPLIT(DK162,","))&amp;",",","&amp;SUBSTITUTE(input_executive_education_focus," ","")&amp;",")))=COUNTA(TEXTSPLIT(DK162,",")))),IF(DM162="",TRUE,IF(input_executive_education_focus="",TRUE,SUMPRODUCT(--ISNUMBER(SEARCH(","&amp;TRIM(TEXTSPLIT(DM162,","))&amp;",",","&amp;SUBSTITUTE(input_executive_education_focus," ","")&amp;",")))=0)),IF(DO162="",TRUE,IF(input_executive_education_focus="",FALSE,SUMPRODUCT(--ISNUMBER(SEARCH(","&amp;TRIM(TEXTSPLIT(DO162,","))&amp;",",","&amp;SUBSTITUTE(input_executive_education_focus," ","")&amp;",")))&gt;0)),IF(DQ162="",TRUE,IF(input_executive_education_focus="",FALSE,SUMPRODUCT(--ISNUMBER(SEARCH(","&amp;TRIM(TEXTSPLIT(DQ162,","))&amp;",",","&amp;SUBSTITUTE(input_executive_education_focus," ","")&amp;",")))=COUNTA(TEXTSPLIT(DQ162,",")))))</f>
        <v/>
      </c>
      <c r="JE162" s="19">
        <f>AND(IF(DS162="",TRUE,IF(input_faculty_category="",FALSE,SUMPRODUCT(--ISNUMBER(SEARCH(","&amp;TRIM(TEXTSPLIT(DS162,","))&amp;",",","&amp;SUBSTITUTE(input_faculty_category," ","")&amp;",")))&gt;0)),IF(DU162="",TRUE,IF(input_faculty_category="",FALSE,SUMPRODUCT(--ISNUMBER(SEARCH(","&amp;TRIM(TEXTSPLIT(DU162,","))&amp;",",","&amp;SUBSTITUTE(input_faculty_category," ","")&amp;",")))=COUNTA(TEXTSPLIT(DU162,",")))),IF(DW162="",TRUE,IF(input_faculty_category="",TRUE,SUMPRODUCT(--ISNUMBER(SEARCH(","&amp;TRIM(TEXTSPLIT(DW162,","))&amp;",",","&amp;SUBSTITUTE(input_faculty_category," ","")&amp;",")))=0)),IF(DY162="",TRUE,IF(input_faculty_category="",FALSE,SUMPRODUCT(--ISNUMBER(SEARCH(","&amp;TRIM(TEXTSPLIT(DY162,","))&amp;",",","&amp;SUBSTITUTE(input_faculty_category," ","")&amp;",")))&gt;0)),IF(EA162="",TRUE,IF(input_faculty_category="",FALSE,SUMPRODUCT(--ISNUMBER(SEARCH(","&amp;TRIM(TEXTSPLIT(EA162,","))&amp;",",","&amp;SUBSTITUTE(input_faculty_category," ","")&amp;",")))=COUNTA(TEXTSPLIT(EA162,",")))))</f>
        <v/>
      </c>
      <c r="JF162" s="19">
        <f>AND(IF(EC162="",TRUE,IF(input_faculty_discipline="",FALSE,SUMPRODUCT(--ISNUMBER(SEARCH(","&amp;TRIM(TEXTSPLIT(EC162,","))&amp;",",","&amp;SUBSTITUTE(input_faculty_discipline," ","")&amp;",")))&gt;0)),IF(EE162="",TRUE,IF(input_faculty_discipline="",FALSE,SUMPRODUCT(--ISNUMBER(SEARCH(","&amp;TRIM(TEXTSPLIT(EE162,","))&amp;",",","&amp;SUBSTITUTE(input_faculty_discipline," ","")&amp;",")))=COUNTA(TEXTSPLIT(EE162,",")))),IF(EG162="",TRUE,IF(input_faculty_discipline="",TRUE,SUMPRODUCT(--ISNUMBER(SEARCH(","&amp;TRIM(TEXTSPLIT(EG162,","))&amp;",",","&amp;SUBSTITUTE(input_faculty_discipline," ","")&amp;",")))=0)),IF(EI162="",TRUE,IF(input_faculty_discipline="",FALSE,SUMPRODUCT(--ISNUMBER(SEARCH(","&amp;TRIM(TEXTSPLIT(EI162,","))&amp;",",","&amp;SUBSTITUTE(input_faculty_discipline," ","")&amp;",")))&gt;0)),IF(EK162="",TRUE,IF(input_faculty_discipline="",FALSE,SUMPRODUCT(--ISNUMBER(SEARCH(","&amp;TRIM(TEXTSPLIT(EK162,","))&amp;",",","&amp;SUBSTITUTE(input_faculty_discipline," ","")&amp;",")))=COUNTA(TEXTSPLIT(EK162,",")))))</f>
        <v/>
      </c>
      <c r="JG162" s="19">
        <f>AND(IF(EM162="",TRUE,IF(input_faculty_expertise="",FALSE,SUMPRODUCT(--ISNUMBER(SEARCH(","&amp;TRIM(TEXTSPLIT(EM162,","))&amp;",",","&amp;SUBSTITUTE(input_faculty_expertise," ","")&amp;",")))&gt;0)),IF(EO162="",TRUE,IF(input_faculty_expertise="",FALSE,SUMPRODUCT(--ISNUMBER(SEARCH(","&amp;TRIM(TEXTSPLIT(EO162,","))&amp;",",","&amp;SUBSTITUTE(input_faculty_expertise," ","")&amp;",")))=COUNTA(TEXTSPLIT(EO162,",")))),IF(EQ162="",TRUE,IF(input_faculty_expertise="",TRUE,SUMPRODUCT(--ISNUMBER(SEARCH(","&amp;TRIM(TEXTSPLIT(EQ162,","))&amp;",",","&amp;SUBSTITUTE(input_faculty_expertise," ","")&amp;",")))=0)),IF(ES162="",TRUE,IF(input_faculty_expertise="",FALSE,SUMPRODUCT(--ISNUMBER(SEARCH(","&amp;TRIM(TEXTSPLIT(ES162,","))&amp;",",","&amp;SUBSTITUTE(input_faculty_expertise," ","")&amp;",")))&gt;0)),IF(EU162="",TRUE,IF(input_faculty_expertise="",FALSE,SUMPRODUCT(--ISNUMBER(SEARCH(","&amp;TRIM(TEXTSPLIT(EU162,","))&amp;",",","&amp;SUBSTITUTE(input_faculty_expertise," ","")&amp;",")))=COUNTA(TEXTSPLIT(EU162,",")))))</f>
        <v/>
      </c>
      <c r="JH162" s="19">
        <f>AND(IF(EW162="",TRUE,IF(input_global_network_school="",FALSE,SUMPRODUCT(--ISNUMBER(SEARCH(","&amp;TRIM(TEXTSPLIT(EW162,","))&amp;",",","&amp;SUBSTITUTE(input_global_network_school," ","")&amp;",")))&gt;0)),IF(EY162="",TRUE,IF(input_global_network_school="",FALSE,SUMPRODUCT(--ISNUMBER(SEARCH(","&amp;TRIM(TEXTSPLIT(EY162,","))&amp;",",","&amp;SUBSTITUTE(input_global_network_school," ","")&amp;",")))=COUNTA(TEXTSPLIT(EY162,",")))),IF(FA162="",TRUE,IF(input_global_network_school="",TRUE,SUMPRODUCT(--ISNUMBER(SEARCH(","&amp;TRIM(TEXTSPLIT(FA162,","))&amp;",",","&amp;SUBSTITUTE(input_global_network_school," ","")&amp;",")))=0)),IF(FC162="",TRUE,IF(input_global_network_school="",FALSE,SUMPRODUCT(--ISNUMBER(SEARCH(","&amp;TRIM(TEXTSPLIT(FC162,","))&amp;",",","&amp;SUBSTITUTE(input_global_network_school," ","")&amp;",")))&gt;0)),IF(FE162="",TRUE,IF(input_global_network_school="",FALSE,SUMPRODUCT(--ISNUMBER(SEARCH(","&amp;TRIM(TEXTSPLIT(FE162,","))&amp;",",","&amp;SUBSTITUTE(input_global_network_school," ","")&amp;",")))=COUNTA(TEXTSPLIT(FE162,",")))))</f>
        <v/>
      </c>
      <c r="JI162" s="19">
        <f>AND(IF(FG162="",TRUE,IF(input_industry="",FALSE,SUMPRODUCT(--ISNUMBER(SEARCH(","&amp;TRIM(TEXTSPLIT(FG162,","))&amp;",",","&amp;SUBSTITUTE(input_industry," ","")&amp;",")))&gt;0)),IF(FI162="",TRUE,IF(input_industry="",FALSE,SUMPRODUCT(--ISNUMBER(SEARCH(","&amp;TRIM(TEXTSPLIT(FI162,","))&amp;",",","&amp;SUBSTITUTE(input_industry," ","")&amp;",")))=COUNTA(TEXTSPLIT(FI162,",")))),IF(FK162="",TRUE,IF(input_industry="",TRUE,SUMPRODUCT(--ISNUMBER(SEARCH(","&amp;TRIM(TEXTSPLIT(FK162,","))&amp;",",","&amp;SUBSTITUTE(input_industry," ","")&amp;",")))=0)),IF(FM162="",TRUE,IF(input_industry="",FALSE,SUMPRODUCT(--ISNUMBER(SEARCH(","&amp;TRIM(TEXTSPLIT(FM162,","))&amp;",",","&amp;SUBSTITUTE(input_industry," ","")&amp;",")))&gt;0)),IF(FO162="",TRUE,IF(input_industry="",FALSE,SUMPRODUCT(--ISNUMBER(SEARCH(","&amp;TRIM(TEXTSPLIT(FO162,","))&amp;",",","&amp;SUBSTITUTE(input_industry," ","")&amp;",")))=COUNTA(TEXTSPLIT(FO162,",")))))</f>
        <v/>
      </c>
      <c r="JJ162" s="19">
        <f>AND(IF(FQ162="",TRUE,IF(input_location="",FALSE,SUMPRODUCT(--ISNUMBER(SEARCH(","&amp;TRIM(TEXTSPLIT(FQ162,","))&amp;",",","&amp;SUBSTITUTE(input_location," ","")&amp;",")))&gt;0)),IF(FS162="",TRUE,IF(input_location="",FALSE,SUMPRODUCT(--ISNUMBER(SEARCH(","&amp;TRIM(TEXTSPLIT(FS162,","))&amp;",",","&amp;SUBSTITUTE(input_location," ","")&amp;",")))=COUNTA(TEXTSPLIT(FS162,",")))),IF(FU162="",TRUE,IF(input_location="",TRUE,SUMPRODUCT(--ISNUMBER(SEARCH(","&amp;TRIM(TEXTSPLIT(FU162,","))&amp;",",","&amp;SUBSTITUTE(input_location," ","")&amp;",")))=0)),IF(FW162="",TRUE,IF(input_location="",FALSE,SUMPRODUCT(--ISNUMBER(SEARCH(","&amp;TRIM(TEXTSPLIT(FW162,","))&amp;",",","&amp;SUBSTITUTE(input_location," ","")&amp;",")))&gt;0)),IF(FY162="",TRUE,IF(input_location="",FALSE,SUMPRODUCT(--ISNUMBER(SEARCH(","&amp;TRIM(TEXTSPLIT(FY162,","))&amp;",",","&amp;SUBSTITUTE(input_location," ","")&amp;",")))=COUNTA(TEXTSPLIT(FY162,",")))))</f>
        <v/>
      </c>
      <c r="JK162" s="19">
        <f>AND(IF(GA162="",TRUE,IF(input_modality="",FALSE,SUMPRODUCT(--ISNUMBER(SEARCH(","&amp;TRIM(TEXTSPLIT(GA162,","))&amp;",",","&amp;SUBSTITUTE(input_modality," ","")&amp;",")))&gt;0)),IF(GC162="",TRUE,IF(input_modality="",FALSE,SUMPRODUCT(--ISNUMBER(SEARCH(","&amp;TRIM(TEXTSPLIT(GC162,","))&amp;",",","&amp;SUBSTITUTE(input_modality," ","")&amp;",")))=COUNTA(TEXTSPLIT(GC162,",")))),IF(GE162="",TRUE,IF(input_modality="",TRUE,SUMPRODUCT(--ISNUMBER(SEARCH(","&amp;TRIM(TEXTSPLIT(GE162,","))&amp;",",","&amp;SUBSTITUTE(input_modality," ","")&amp;",")))=0)),IF(GG162="",TRUE,IF(input_modality="",FALSE,SUMPRODUCT(--ISNUMBER(SEARCH(","&amp;TRIM(TEXTSPLIT(GG162,","))&amp;",",","&amp;SUBSTITUTE(input_modality," ","")&amp;",")))&gt;0)),IF(GI162="",TRUE,IF(input_modality="",FALSE,SUMPRODUCT(--ISNUMBER(SEARCH(","&amp;TRIM(TEXTSPLIT(GI162,","))&amp;",",","&amp;SUBSTITUTE(input_modality," ","")&amp;",")))=COUNTA(TEXTSPLIT(GI162,",")))))</f>
        <v/>
      </c>
      <c r="JL162" s="19">
        <f>AND(IF(GK162="",TRUE,IF(input_organizer="",FALSE,SUMPRODUCT(--ISNUMBER(SEARCH(","&amp;TRIM(TEXTSPLIT(GK162,","))&amp;",",","&amp;SUBSTITUTE(input_organizer," ","")&amp;",")))&gt;0)),IF(GM162="",TRUE,IF(input_organizer="",FALSE,SUMPRODUCT(--ISNUMBER(SEARCH(","&amp;TRIM(TEXTSPLIT(GM162,","))&amp;",",","&amp;SUBSTITUTE(input_organizer," ","")&amp;",")))=COUNTA(TEXTSPLIT(GM162,",")))),IF(GO162="",TRUE,IF(input_organizer="",TRUE,SUMPRODUCT(--ISNUMBER(SEARCH(","&amp;TRIM(TEXTSPLIT(GO162,","))&amp;",",","&amp;SUBSTITUTE(input_organizer," ","")&amp;",")))=0)),IF(GQ162="",TRUE,IF(input_organizer="",FALSE,SUMPRODUCT(--ISNUMBER(SEARCH(","&amp;TRIM(TEXTSPLIT(GQ162,","))&amp;",",","&amp;SUBSTITUTE(input_organizer," ","")&amp;",")))&gt;0)),IF(GS162="",TRUE,IF(input_organizer="",FALSE,SUMPRODUCT(--ISNUMBER(SEARCH(","&amp;TRIM(TEXTSPLIT(GS162,","))&amp;",",","&amp;SUBSTITUTE(input_organizer," ","")&amp;",")))=COUNTA(TEXTSPLIT(GS162,",")))))</f>
        <v/>
      </c>
      <c r="JM162" s="19">
        <f>AND(IF(GU162="",TRUE,IF(input_profile_type="",FALSE,SUMPRODUCT(--ISNUMBER(SEARCH(","&amp;TRIM(TEXTSPLIT(GU162,","))&amp;",",","&amp;SUBSTITUTE(input_profile_type," ","")&amp;",")))&gt;0)),IF(GW162="",TRUE,IF(input_profile_type="",FALSE,SUMPRODUCT(--ISNUMBER(SEARCH(","&amp;TRIM(TEXTSPLIT(GW162,","))&amp;",",","&amp;SUBSTITUTE(input_profile_type," ","")&amp;",")))=COUNTA(TEXTSPLIT(GW162,",")))),IF(GY162="",TRUE,IF(input_profile_type="",TRUE,SUMPRODUCT(--ISNUMBER(SEARCH(","&amp;TRIM(TEXTSPLIT(GY162,","))&amp;",",","&amp;SUBSTITUTE(input_profile_type," ","")&amp;",")))=0)),IF(HA162="",TRUE,IF(input_profile_type="",FALSE,SUMPRODUCT(--ISNUMBER(SEARCH(","&amp;TRIM(TEXTSPLIT(HA162,","))&amp;",",","&amp;SUBSTITUTE(input_profile_type," ","")&amp;",")))&gt;0)),IF(HC162="",TRUE,IF(input_profile_type="",FALSE,SUMPRODUCT(--ISNUMBER(SEARCH(","&amp;TRIM(TEXTSPLIT(HC162,","))&amp;",",","&amp;SUBSTITUTE(input_profile_type," ","")&amp;",")))=COUNTA(TEXTSPLIT(HC162,",")))))</f>
        <v/>
      </c>
      <c r="JN162" s="19">
        <f>AND(IF(HE162="",TRUE,IF(input_program="",FALSE,SUMPRODUCT(--ISNUMBER(SEARCH(","&amp;TRIM(TEXTSPLIT(HE162,","))&amp;",",","&amp;SUBSTITUTE(input_program," ","")&amp;",")))&gt;0)),IF(HG162="",TRUE,IF(input_program="",FALSE,SUMPRODUCT(--ISNUMBER(SEARCH(","&amp;TRIM(TEXTSPLIT(HG162,","))&amp;",",","&amp;SUBSTITUTE(input_program," ","")&amp;",")))=COUNTA(TEXTSPLIT(HG162,",")))),IF(HI162="",TRUE,IF(input_program="",TRUE,SUMPRODUCT(--ISNUMBER(SEARCH(","&amp;TRIM(TEXTSPLIT(HI162,","))&amp;",",","&amp;SUBSTITUTE(input_program," ","")&amp;",")))=0)),IF(HK162="",TRUE,IF(input_program="",FALSE,SUMPRODUCT(--ISNUMBER(SEARCH(","&amp;TRIM(TEXTSPLIT(HK162,","))&amp;",",","&amp;SUBSTITUTE(input_program," ","")&amp;",")))&gt;0)),IF(HM162="",TRUE,IF(input_program="",FALSE,SUMPRODUCT(--ISNUMBER(SEARCH(","&amp;TRIM(TEXTSPLIT(HM162,","))&amp;",",","&amp;SUBSTITUTE(input_program," ","")&amp;",")))=COUNTA(TEXTSPLIT(HM162,",")))))</f>
        <v/>
      </c>
      <c r="JO162" s="19">
        <f>AND(IF(HO162="",TRUE,IF(input_story_categories="",FALSE,SUMPRODUCT(--ISNUMBER(SEARCH(","&amp;TRIM(TEXTSPLIT(HO162,","))&amp;",",","&amp;SUBSTITUTE(input_story_categories," ","")&amp;",")))&gt;0)),IF(HQ162="",TRUE,IF(input_story_categories="",FALSE,SUMPRODUCT(--ISNUMBER(SEARCH(","&amp;TRIM(TEXTSPLIT(HQ162,","))&amp;",",","&amp;SUBSTITUTE(input_story_categories," ","")&amp;",")))=COUNTA(TEXTSPLIT(HQ162,",")))),IF(HS162="",TRUE,IF(input_story_categories="",TRUE,SUMPRODUCT(--ISNUMBER(SEARCH(","&amp;TRIM(TEXTSPLIT(HS162,","))&amp;",",","&amp;SUBSTITUTE(input_story_categories," ","")&amp;",")))=0)),IF(HU162="",TRUE,IF(input_story_categories="",FALSE,SUMPRODUCT(--ISNUMBER(SEARCH(","&amp;TRIM(TEXTSPLIT(HU162,","))&amp;",",","&amp;SUBSTITUTE(input_story_categories," ","")&amp;",")))&gt;0)),IF(HW162="",TRUE,IF(input_story_categories="",FALSE,SUMPRODUCT(--ISNUMBER(SEARCH(","&amp;TRIM(TEXTSPLIT(HW162,","))&amp;",",","&amp;SUBSTITUTE(input_story_categories," ","")&amp;",")))=COUNTA(TEXTSPLIT(HW162,",")))))</f>
        <v/>
      </c>
      <c r="JP162" s="19">
        <f>AND(IF(HY162="",TRUE,IF(input_story_type="",FALSE,SUMPRODUCT(--ISNUMBER(SEARCH(","&amp;TRIM(TEXTSPLIT(HY162,","))&amp;",",","&amp;SUBSTITUTE(input_story_type," ","")&amp;",")))&gt;0)),IF(IA162="",TRUE,IF(input_story_type="",FALSE,SUMPRODUCT(--ISNUMBER(SEARCH(","&amp;TRIM(TEXTSPLIT(IA162,","))&amp;",",","&amp;SUBSTITUTE(input_story_type," ","")&amp;",")))=COUNTA(TEXTSPLIT(IA162,",")))),IF(IC162="",TRUE,IF(input_story_type="",TRUE,SUMPRODUCT(--ISNUMBER(SEARCH(","&amp;TRIM(TEXTSPLIT(IC162,","))&amp;",",","&amp;SUBSTITUTE(input_story_type," ","")&amp;",")))=0)),IF(IE162="",TRUE,IF(input_story_type="",FALSE,SUMPRODUCT(--ISNUMBER(SEARCH(","&amp;TRIM(TEXTSPLIT(IE162,","))&amp;",",","&amp;SUBSTITUTE(input_story_type," ","")&amp;",")))&gt;0)),IF(IG162="",TRUE,IF(input_story_type="",FALSE,SUMPRODUCT(--ISNUMBER(SEARCH(","&amp;TRIM(TEXTSPLIT(IG162,","))&amp;",",","&amp;SUBSTITUTE(input_story_type," ","")&amp;",")))=COUNTA(TEXTSPLIT(IG162,",")))))</f>
        <v/>
      </c>
      <c r="JQ162" s="19">
        <f>AND(IF(II162="",TRUE,IF(input_topics="",FALSE,SUMPRODUCT(--ISNUMBER(SEARCH(","&amp;TRIM(TEXTSPLIT(II162,","))&amp;",",","&amp;SUBSTITUTE(input_topics," ","")&amp;",")))&gt;0)),IF(IK162="",TRUE,IF(input_topics="",FALSE,SUMPRODUCT(--ISNUMBER(SEARCH(","&amp;TRIM(TEXTSPLIT(IK162,","))&amp;",",","&amp;SUBSTITUTE(input_topics," ","")&amp;",")))=COUNTA(TEXTSPLIT(IK162,",")))),IF(IM162="",TRUE,IF(input_topics="",TRUE,SUMPRODUCT(--ISNUMBER(SEARCH(","&amp;TRIM(TEXTSPLIT(IM162,","))&amp;",",","&amp;SUBSTITUTE(input_topics," ","")&amp;",")))=0)),IF(IO162="",TRUE,IF(input_topics="",FALSE,SUMPRODUCT(--ISNUMBER(SEARCH(","&amp;TRIM(TEXTSPLIT(IO162,","))&amp;",",","&amp;SUBSTITUTE(input_topics," ","")&amp;",")))&gt;0)),IF(IQ162="",TRUE,IF(input_topics="",FALSE,SUMPRODUCT(--ISNUMBER(SEARCH(","&amp;TRIM(TEXTSPLIT(IQ162,","))&amp;",",","&amp;SUBSTITUTE(input_topics," ","")&amp;",")))=COUNTA(TEXTSPLIT(IQ162,",")))))</f>
        <v/>
      </c>
    </row>
    <row r="163">
      <c r="A163" s="24">
        <f>IF(NOT(IS163),"Excluded",IF(AND(IT163,IU163,IV163,IW163,IX163,IY163,IZ163,JA163,JB163,JC163,JD163,JE163,JF163,JG163,JH163,JI163,JJ163,JK163,JL163,JM163,JN163,JO163,JP163,JQ163),IF(I163&gt;0,"Eligible but limited","Will appear"),"Excluded"))</f>
        <v/>
      </c>
      <c r="B163" s="24" t="inlineStr">
        <is>
          <t>Related profiles on profile pages</t>
        </is>
      </c>
      <c r="C163" s="27" t="inlineStr">
        <is>
          <t>/profile/ambassador/abhinav-keshri-26</t>
        </is>
      </c>
      <c r="D163" s="24" t="inlineStr">
        <is>
          <t>/profile/ambassador/abhinav-keshri-26</t>
        </is>
      </c>
      <c r="E163" s="24" t="n">
        <v>1</v>
      </c>
      <c r="F163" s="24" t="inlineStr">
        <is>
          <t>profile</t>
        </is>
      </c>
      <c r="G163" s="24" t="inlineStr">
        <is>
          <t>profiles_grid</t>
        </is>
      </c>
      <c r="H163" s="24" t="inlineStr">
        <is>
          <t>related</t>
        </is>
      </c>
      <c r="I163" s="24" t="n">
        <v>3</v>
      </c>
      <c r="J163" s="28" t="inlineStr">
        <is>
          <t>Explicit args</t>
        </is>
      </c>
      <c r="K163" s="24" t="inlineStr">
        <is>
          <t>Grouped surface</t>
        </is>
      </c>
      <c r="L163" s="24" t="inlineStr">
        <is>
          <t>Content type: profile; Context uses Profile Type: Ambassador (1552); Context uses Program: Master’s in Asset Management (82); Limited to 3 item(s); Source: Explicit args</t>
        </is>
      </c>
      <c r="HA163" s="19" t="inlineStr">
        <is>
          <t>1552</t>
        </is>
      </c>
      <c r="HB163" s="19" t="inlineStr">
        <is>
          <t>Ambassador (1552)</t>
        </is>
      </c>
      <c r="HK163" s="19" t="inlineStr">
        <is>
          <t>82</t>
        </is>
      </c>
      <c r="HL163" s="19" t="inlineStr">
        <is>
          <t>Master’s in Asset Management (82)</t>
        </is>
      </c>
      <c r="IS163" s="19">
        <f>IF(input_content_type="",FALSE,ISNUMBER(SEARCH(","&amp;LOWER(input_content_type)&amp;",",","&amp;LOWER(SUBSTITUTE(F163," ",""))&amp;",")))</f>
        <v/>
      </c>
      <c r="IT163" s="19">
        <f>AND(IF(M163="",TRUE,IF(input_affiliations="",FALSE,SUMPRODUCT(--ISNUMBER(SEARCH(","&amp;TRIM(TEXTSPLIT(M163,","))&amp;",",","&amp;SUBSTITUTE(input_affiliations," ","")&amp;",")))&gt;0)),IF(O163="",TRUE,IF(input_affiliations="",FALSE,SUMPRODUCT(--ISNUMBER(SEARCH(","&amp;TRIM(TEXTSPLIT(O163,","))&amp;",",","&amp;SUBSTITUTE(input_affiliations," ","")&amp;",")))=COUNTA(TEXTSPLIT(O163,",")))),IF(Q163="",TRUE,IF(input_affiliations="",TRUE,SUMPRODUCT(--ISNUMBER(SEARCH(","&amp;TRIM(TEXTSPLIT(Q163,","))&amp;",",","&amp;SUBSTITUTE(input_affiliations," ","")&amp;",")))=0)),IF(S163="",TRUE,IF(input_affiliations="",FALSE,SUMPRODUCT(--ISNUMBER(SEARCH(","&amp;TRIM(TEXTSPLIT(S163,","))&amp;",",","&amp;SUBSTITUTE(input_affiliations," ","")&amp;",")))&gt;0)),IF(U163="",TRUE,IF(input_affiliations="",FALSE,SUMPRODUCT(--ISNUMBER(SEARCH(","&amp;TRIM(TEXTSPLIT(U163,","))&amp;",",","&amp;SUBSTITUTE(input_affiliations," ","")&amp;",")))=COUNTA(TEXTSPLIT(U163,",")))))</f>
        <v/>
      </c>
      <c r="IU163" s="19">
        <f>AND(IF(W163="",TRUE,IF(input_announcement_category="",FALSE,SUMPRODUCT(--ISNUMBER(SEARCH(","&amp;TRIM(TEXTSPLIT(W163,","))&amp;",",","&amp;SUBSTITUTE(input_announcement_category," ","")&amp;",")))&gt;0)),IF(Y163="",TRUE,IF(input_announcement_category="",FALSE,SUMPRODUCT(--ISNUMBER(SEARCH(","&amp;TRIM(TEXTSPLIT(Y163,","))&amp;",",","&amp;SUBSTITUTE(input_announcement_category," ","")&amp;",")))=COUNTA(TEXTSPLIT(Y163,",")))),IF(AA163="",TRUE,IF(input_announcement_category="",TRUE,SUMPRODUCT(--ISNUMBER(SEARCH(","&amp;TRIM(TEXTSPLIT(AA163,","))&amp;",",","&amp;SUBSTITUTE(input_announcement_category," ","")&amp;",")))=0)),IF(AC163="",TRUE,IF(input_announcement_category="",FALSE,SUMPRODUCT(--ISNUMBER(SEARCH(","&amp;TRIM(TEXTSPLIT(AC163,","))&amp;",",","&amp;SUBSTITUTE(input_announcement_category," ","")&amp;",")))&gt;0)),IF(AE163="",TRUE,IF(input_announcement_category="",FALSE,SUMPRODUCT(--ISNUMBER(SEARCH(","&amp;TRIM(TEXTSPLIT(AE163,","))&amp;",",","&amp;SUBSTITUTE(input_announcement_category," ","")&amp;",")))=COUNTA(TEXTSPLIT(AE163,",")))))</f>
        <v/>
      </c>
      <c r="IV163" s="19">
        <f>AND(IF(AG163="",TRUE,IF(input_area_of_focus="",FALSE,SUMPRODUCT(--ISNUMBER(SEARCH(","&amp;TRIM(TEXTSPLIT(AG163,","))&amp;",",","&amp;SUBSTITUTE(input_area_of_focus," ","")&amp;",")))&gt;0)),IF(AI163="",TRUE,IF(input_area_of_focus="",FALSE,SUMPRODUCT(--ISNUMBER(SEARCH(","&amp;TRIM(TEXTSPLIT(AI163,","))&amp;",",","&amp;SUBSTITUTE(input_area_of_focus," ","")&amp;",")))=COUNTA(TEXTSPLIT(AI163,",")))),IF(AK163="",TRUE,IF(input_area_of_focus="",TRUE,SUMPRODUCT(--ISNUMBER(SEARCH(","&amp;TRIM(TEXTSPLIT(AK163,","))&amp;",",","&amp;SUBSTITUTE(input_area_of_focus," ","")&amp;",")))=0)),IF(AM163="",TRUE,IF(input_area_of_focus="",FALSE,SUMPRODUCT(--ISNUMBER(SEARCH(","&amp;TRIM(TEXTSPLIT(AM163,","))&amp;",",","&amp;SUBSTITUTE(input_area_of_focus," ","")&amp;",")))&gt;0)),IF(AO163="",TRUE,IF(input_area_of_focus="",FALSE,SUMPRODUCT(--ISNUMBER(SEARCH(","&amp;TRIM(TEXTSPLIT(AO163,","))&amp;",",","&amp;SUBSTITUTE(input_area_of_focus," ","")&amp;",")))=COUNTA(TEXTSPLIT(AO163,",")))))</f>
        <v/>
      </c>
      <c r="IW163" s="19">
        <f>AND(IF(AQ163="",TRUE,IF(input_audience="",FALSE,SUMPRODUCT(--ISNUMBER(SEARCH(","&amp;TRIM(TEXTSPLIT(AQ163,","))&amp;",",","&amp;SUBSTITUTE(input_audience," ","")&amp;",")))&gt;0)),IF(AS163="",TRUE,IF(input_audience="",FALSE,SUMPRODUCT(--ISNUMBER(SEARCH(","&amp;TRIM(TEXTSPLIT(AS163,","))&amp;",",","&amp;SUBSTITUTE(input_audience," ","")&amp;",")))=COUNTA(TEXTSPLIT(AS163,",")))),IF(AU163="",TRUE,IF(input_audience="",TRUE,SUMPRODUCT(--ISNUMBER(SEARCH(","&amp;TRIM(TEXTSPLIT(AU163,","))&amp;",",","&amp;SUBSTITUTE(input_audience," ","")&amp;",")))=0)),IF(AW163="",TRUE,IF(input_audience="",FALSE,SUMPRODUCT(--ISNUMBER(SEARCH(","&amp;TRIM(TEXTSPLIT(AW163,","))&amp;",",","&amp;SUBSTITUTE(input_audience," ","")&amp;",")))&gt;0)),IF(AY163="",TRUE,IF(input_audience="",FALSE,SUMPRODUCT(--ISNUMBER(SEARCH(","&amp;TRIM(TEXTSPLIT(AY163,","))&amp;",",","&amp;SUBSTITUTE(input_audience," ","")&amp;",")))=COUNTA(TEXTSPLIT(AY163,",")))))</f>
        <v/>
      </c>
      <c r="IX163" s="19">
        <f>AND(IF(BA163="",TRUE,IF(input_challenge_opportunities="",FALSE,SUMPRODUCT(--ISNUMBER(SEARCH(","&amp;TRIM(TEXTSPLIT(BA163,","))&amp;",",","&amp;SUBSTITUTE(input_challenge_opportunities," ","")&amp;",")))&gt;0)),IF(BC163="",TRUE,IF(input_challenge_opportunities="",FALSE,SUMPRODUCT(--ISNUMBER(SEARCH(","&amp;TRIM(TEXTSPLIT(BC163,","))&amp;",",","&amp;SUBSTITUTE(input_challenge_opportunities," ","")&amp;",")))=COUNTA(TEXTSPLIT(BC163,",")))),IF(BE163="",TRUE,IF(input_challenge_opportunities="",TRUE,SUMPRODUCT(--ISNUMBER(SEARCH(","&amp;TRIM(TEXTSPLIT(BE163,","))&amp;",",","&amp;SUBSTITUTE(input_challenge_opportunities," ","")&amp;",")))=0)),IF(BG163="",TRUE,IF(input_challenge_opportunities="",FALSE,SUMPRODUCT(--ISNUMBER(SEARCH(","&amp;TRIM(TEXTSPLIT(BG163,","))&amp;",",","&amp;SUBSTITUTE(input_challenge_opportunities," ","")&amp;",")))&gt;0)),IF(BI163="",TRUE,IF(input_challenge_opportunities="",FALSE,SUMPRODUCT(--ISNUMBER(SEARCH(","&amp;TRIM(TEXTSPLIT(BI163,","))&amp;",",","&amp;SUBSTITUTE(input_challenge_opportunities," ","")&amp;",")))=COUNTA(TEXTSPLIT(BI163,",")))))</f>
        <v/>
      </c>
      <c r="IY163" s="19">
        <f>AND(IF(BK163="",TRUE,IF(input_context="",FALSE,SUMPRODUCT(--ISNUMBER(SEARCH(","&amp;TRIM(TEXTSPLIT(BK163,","))&amp;",",","&amp;SUBSTITUTE(input_context," ","")&amp;",")))&gt;0)),IF(BM163="",TRUE,IF(input_context="",FALSE,SUMPRODUCT(--ISNUMBER(SEARCH(","&amp;TRIM(TEXTSPLIT(BM163,","))&amp;",",","&amp;SUBSTITUTE(input_context," ","")&amp;",")))=COUNTA(TEXTSPLIT(BM163,",")))),IF(BO163="",TRUE,IF(input_context="",TRUE,SUMPRODUCT(--ISNUMBER(SEARCH(","&amp;TRIM(TEXTSPLIT(BO163,","))&amp;",",","&amp;SUBSTITUTE(input_context," ","")&amp;",")))=0)),IF(BQ163="",TRUE,IF(input_context="",FALSE,SUMPRODUCT(--ISNUMBER(SEARCH(","&amp;TRIM(TEXTSPLIT(BQ163,","))&amp;",",","&amp;SUBSTITUTE(input_context," ","")&amp;",")))&gt;0)),IF(BS163="",TRUE,IF(input_context="",FALSE,SUMPRODUCT(--ISNUMBER(SEARCH(","&amp;TRIM(TEXTSPLIT(BS163,","))&amp;",",","&amp;SUBSTITUTE(input_context," ","")&amp;",")))=COUNTA(TEXTSPLIT(BS163,",")))))</f>
        <v/>
      </c>
      <c r="IZ163" s="19">
        <f>AND(IF(BU163="",TRUE,IF(input_enews_announcement_type="",FALSE,SUMPRODUCT(--ISNUMBER(SEARCH(","&amp;TRIM(TEXTSPLIT(BU163,","))&amp;",",","&amp;SUBSTITUTE(input_enews_announcement_type," ","")&amp;",")))&gt;0)),IF(BW163="",TRUE,IF(input_enews_announcement_type="",FALSE,SUMPRODUCT(--ISNUMBER(SEARCH(","&amp;TRIM(TEXTSPLIT(BW163,","))&amp;",",","&amp;SUBSTITUTE(input_enews_announcement_type," ","")&amp;",")))=COUNTA(TEXTSPLIT(BW163,",")))),IF(BY163="",TRUE,IF(input_enews_announcement_type="",TRUE,SUMPRODUCT(--ISNUMBER(SEARCH(","&amp;TRIM(TEXTSPLIT(BY163,","))&amp;",",","&amp;SUBSTITUTE(input_enews_announcement_type," ","")&amp;",")))=0)),IF(CA163="",TRUE,IF(input_enews_announcement_type="",FALSE,SUMPRODUCT(--ISNUMBER(SEARCH(","&amp;TRIM(TEXTSPLIT(CA163,","))&amp;",",","&amp;SUBSTITUTE(input_enews_announcement_type," ","")&amp;",")))&gt;0)),IF(CC163="",TRUE,IF(input_enews_announcement_type="",FALSE,SUMPRODUCT(--ISNUMBER(SEARCH(","&amp;TRIM(TEXTSPLIT(CC163,","))&amp;",",","&amp;SUBSTITUTE(input_enews_announcement_type," ","")&amp;",")))=COUNTA(TEXTSPLIT(CC163,",")))))</f>
        <v/>
      </c>
      <c r="JA163" s="19">
        <f>AND(IF(CE163="",TRUE,IF(input_enews_audience="",FALSE,SUMPRODUCT(--ISNUMBER(SEARCH(","&amp;TRIM(TEXTSPLIT(CE163,","))&amp;",",","&amp;SUBSTITUTE(input_enews_audience," ","")&amp;",")))&gt;0)),IF(CG163="",TRUE,IF(input_enews_audience="",FALSE,SUMPRODUCT(--ISNUMBER(SEARCH(","&amp;TRIM(TEXTSPLIT(CG163,","))&amp;",",","&amp;SUBSTITUTE(input_enews_audience," ","")&amp;",")))=COUNTA(TEXTSPLIT(CG163,",")))),IF(CI163="",TRUE,IF(input_enews_audience="",TRUE,SUMPRODUCT(--ISNUMBER(SEARCH(","&amp;TRIM(TEXTSPLIT(CI163,","))&amp;",",","&amp;SUBSTITUTE(input_enews_audience," ","")&amp;",")))=0)),IF(CK163="",TRUE,IF(input_enews_audience="",FALSE,SUMPRODUCT(--ISNUMBER(SEARCH(","&amp;TRIM(TEXTSPLIT(CK163,","))&amp;",",","&amp;SUBSTITUTE(input_enews_audience," ","")&amp;",")))&gt;0)),IF(CM163="",TRUE,IF(input_enews_audience="",FALSE,SUMPRODUCT(--ISNUMBER(SEARCH(","&amp;TRIM(TEXTSPLIT(CM163,","))&amp;",",","&amp;SUBSTITUTE(input_enews_audience," ","")&amp;",")))=COUNTA(TEXTSPLIT(CM163,",")))))</f>
        <v/>
      </c>
      <c r="JB163" s="19">
        <f>AND(IF(CO163="",TRUE,IF(input_event_location="",FALSE,SUMPRODUCT(--ISNUMBER(SEARCH(","&amp;TRIM(TEXTSPLIT(CO163,","))&amp;",",","&amp;SUBSTITUTE(input_event_location," ","")&amp;",")))&gt;0)),IF(CQ163="",TRUE,IF(input_event_location="",FALSE,SUMPRODUCT(--ISNUMBER(SEARCH(","&amp;TRIM(TEXTSPLIT(CQ163,","))&amp;",",","&amp;SUBSTITUTE(input_event_location," ","")&amp;",")))=COUNTA(TEXTSPLIT(CQ163,",")))),IF(CS163="",TRUE,IF(input_event_location="",TRUE,SUMPRODUCT(--ISNUMBER(SEARCH(","&amp;TRIM(TEXTSPLIT(CS163,","))&amp;",",","&amp;SUBSTITUTE(input_event_location," ","")&amp;",")))=0)),IF(CU163="",TRUE,IF(input_event_location="",FALSE,SUMPRODUCT(--ISNUMBER(SEARCH(","&amp;TRIM(TEXTSPLIT(CU163,","))&amp;",",","&amp;SUBSTITUTE(input_event_location," ","")&amp;",")))&gt;0)),IF(CW163="",TRUE,IF(input_event_location="",FALSE,SUMPRODUCT(--ISNUMBER(SEARCH(","&amp;TRIM(TEXTSPLIT(CW163,","))&amp;",",","&amp;SUBSTITUTE(input_event_location," ","")&amp;",")))=COUNTA(TEXTSPLIT(CW163,",")))))</f>
        <v/>
      </c>
      <c r="JC163" s="19">
        <f>AND(IF(CY163="",TRUE,IF(input_event_type="",FALSE,SUMPRODUCT(--ISNUMBER(SEARCH(","&amp;TRIM(TEXTSPLIT(CY163,","))&amp;",",","&amp;SUBSTITUTE(input_event_type," ","")&amp;",")))&gt;0)),IF(DA163="",TRUE,IF(input_event_type="",FALSE,SUMPRODUCT(--ISNUMBER(SEARCH(","&amp;TRIM(TEXTSPLIT(DA163,","))&amp;",",","&amp;SUBSTITUTE(input_event_type," ","")&amp;",")))=COUNTA(TEXTSPLIT(DA163,",")))),IF(DC163="",TRUE,IF(input_event_type="",TRUE,SUMPRODUCT(--ISNUMBER(SEARCH(","&amp;TRIM(TEXTSPLIT(DC163,","))&amp;",",","&amp;SUBSTITUTE(input_event_type," ","")&amp;",")))=0)),IF(DE163="",TRUE,IF(input_event_type="",FALSE,SUMPRODUCT(--ISNUMBER(SEARCH(","&amp;TRIM(TEXTSPLIT(DE163,","))&amp;",",","&amp;SUBSTITUTE(input_event_type," ","")&amp;",")))&gt;0)),IF(DG163="",TRUE,IF(input_event_type="",FALSE,SUMPRODUCT(--ISNUMBER(SEARCH(","&amp;TRIM(TEXTSPLIT(DG163,","))&amp;",",","&amp;SUBSTITUTE(input_event_type," ","")&amp;",")))=COUNTA(TEXTSPLIT(DG163,",")))))</f>
        <v/>
      </c>
      <c r="JD163" s="19">
        <f>AND(IF(DI163="",TRUE,IF(input_executive_education_focus="",FALSE,SUMPRODUCT(--ISNUMBER(SEARCH(","&amp;TRIM(TEXTSPLIT(DI163,","))&amp;",",","&amp;SUBSTITUTE(input_executive_education_focus," ","")&amp;",")))&gt;0)),IF(DK163="",TRUE,IF(input_executive_education_focus="",FALSE,SUMPRODUCT(--ISNUMBER(SEARCH(","&amp;TRIM(TEXTSPLIT(DK163,","))&amp;",",","&amp;SUBSTITUTE(input_executive_education_focus," ","")&amp;",")))=COUNTA(TEXTSPLIT(DK163,",")))),IF(DM163="",TRUE,IF(input_executive_education_focus="",TRUE,SUMPRODUCT(--ISNUMBER(SEARCH(","&amp;TRIM(TEXTSPLIT(DM163,","))&amp;",",","&amp;SUBSTITUTE(input_executive_education_focus," ","")&amp;",")))=0)),IF(DO163="",TRUE,IF(input_executive_education_focus="",FALSE,SUMPRODUCT(--ISNUMBER(SEARCH(","&amp;TRIM(TEXTSPLIT(DO163,","))&amp;",",","&amp;SUBSTITUTE(input_executive_education_focus," ","")&amp;",")))&gt;0)),IF(DQ163="",TRUE,IF(input_executive_education_focus="",FALSE,SUMPRODUCT(--ISNUMBER(SEARCH(","&amp;TRIM(TEXTSPLIT(DQ163,","))&amp;",",","&amp;SUBSTITUTE(input_executive_education_focus," ","")&amp;",")))=COUNTA(TEXTSPLIT(DQ163,",")))))</f>
        <v/>
      </c>
      <c r="JE163" s="19">
        <f>AND(IF(DS163="",TRUE,IF(input_faculty_category="",FALSE,SUMPRODUCT(--ISNUMBER(SEARCH(","&amp;TRIM(TEXTSPLIT(DS163,","))&amp;",",","&amp;SUBSTITUTE(input_faculty_category," ","")&amp;",")))&gt;0)),IF(DU163="",TRUE,IF(input_faculty_category="",FALSE,SUMPRODUCT(--ISNUMBER(SEARCH(","&amp;TRIM(TEXTSPLIT(DU163,","))&amp;",",","&amp;SUBSTITUTE(input_faculty_category," ","")&amp;",")))=COUNTA(TEXTSPLIT(DU163,",")))),IF(DW163="",TRUE,IF(input_faculty_category="",TRUE,SUMPRODUCT(--ISNUMBER(SEARCH(","&amp;TRIM(TEXTSPLIT(DW163,","))&amp;",",","&amp;SUBSTITUTE(input_faculty_category," ","")&amp;",")))=0)),IF(DY163="",TRUE,IF(input_faculty_category="",FALSE,SUMPRODUCT(--ISNUMBER(SEARCH(","&amp;TRIM(TEXTSPLIT(DY163,","))&amp;",",","&amp;SUBSTITUTE(input_faculty_category," ","")&amp;",")))&gt;0)),IF(EA163="",TRUE,IF(input_faculty_category="",FALSE,SUMPRODUCT(--ISNUMBER(SEARCH(","&amp;TRIM(TEXTSPLIT(EA163,","))&amp;",",","&amp;SUBSTITUTE(input_faculty_category," ","")&amp;",")))=COUNTA(TEXTSPLIT(EA163,",")))))</f>
        <v/>
      </c>
      <c r="JF163" s="19">
        <f>AND(IF(EC163="",TRUE,IF(input_faculty_discipline="",FALSE,SUMPRODUCT(--ISNUMBER(SEARCH(","&amp;TRIM(TEXTSPLIT(EC163,","))&amp;",",","&amp;SUBSTITUTE(input_faculty_discipline," ","")&amp;",")))&gt;0)),IF(EE163="",TRUE,IF(input_faculty_discipline="",FALSE,SUMPRODUCT(--ISNUMBER(SEARCH(","&amp;TRIM(TEXTSPLIT(EE163,","))&amp;",",","&amp;SUBSTITUTE(input_faculty_discipline," ","")&amp;",")))=COUNTA(TEXTSPLIT(EE163,",")))),IF(EG163="",TRUE,IF(input_faculty_discipline="",TRUE,SUMPRODUCT(--ISNUMBER(SEARCH(","&amp;TRIM(TEXTSPLIT(EG163,","))&amp;",",","&amp;SUBSTITUTE(input_faculty_discipline," ","")&amp;",")))=0)),IF(EI163="",TRUE,IF(input_faculty_discipline="",FALSE,SUMPRODUCT(--ISNUMBER(SEARCH(","&amp;TRIM(TEXTSPLIT(EI163,","))&amp;",",","&amp;SUBSTITUTE(input_faculty_discipline," ","")&amp;",")))&gt;0)),IF(EK163="",TRUE,IF(input_faculty_discipline="",FALSE,SUMPRODUCT(--ISNUMBER(SEARCH(","&amp;TRIM(TEXTSPLIT(EK163,","))&amp;",",","&amp;SUBSTITUTE(input_faculty_discipline," ","")&amp;",")))=COUNTA(TEXTSPLIT(EK163,",")))))</f>
        <v/>
      </c>
      <c r="JG163" s="19">
        <f>AND(IF(EM163="",TRUE,IF(input_faculty_expertise="",FALSE,SUMPRODUCT(--ISNUMBER(SEARCH(","&amp;TRIM(TEXTSPLIT(EM163,","))&amp;",",","&amp;SUBSTITUTE(input_faculty_expertise," ","")&amp;",")))&gt;0)),IF(EO163="",TRUE,IF(input_faculty_expertise="",FALSE,SUMPRODUCT(--ISNUMBER(SEARCH(","&amp;TRIM(TEXTSPLIT(EO163,","))&amp;",",","&amp;SUBSTITUTE(input_faculty_expertise," ","")&amp;",")))=COUNTA(TEXTSPLIT(EO163,",")))),IF(EQ163="",TRUE,IF(input_faculty_expertise="",TRUE,SUMPRODUCT(--ISNUMBER(SEARCH(","&amp;TRIM(TEXTSPLIT(EQ163,","))&amp;",",","&amp;SUBSTITUTE(input_faculty_expertise," ","")&amp;",")))=0)),IF(ES163="",TRUE,IF(input_faculty_expertise="",FALSE,SUMPRODUCT(--ISNUMBER(SEARCH(","&amp;TRIM(TEXTSPLIT(ES163,","))&amp;",",","&amp;SUBSTITUTE(input_faculty_expertise," ","")&amp;",")))&gt;0)),IF(EU163="",TRUE,IF(input_faculty_expertise="",FALSE,SUMPRODUCT(--ISNUMBER(SEARCH(","&amp;TRIM(TEXTSPLIT(EU163,","))&amp;",",","&amp;SUBSTITUTE(input_faculty_expertise," ","")&amp;",")))=COUNTA(TEXTSPLIT(EU163,",")))))</f>
        <v/>
      </c>
      <c r="JH163" s="19">
        <f>AND(IF(EW163="",TRUE,IF(input_global_network_school="",FALSE,SUMPRODUCT(--ISNUMBER(SEARCH(","&amp;TRIM(TEXTSPLIT(EW163,","))&amp;",",","&amp;SUBSTITUTE(input_global_network_school," ","")&amp;",")))&gt;0)),IF(EY163="",TRUE,IF(input_global_network_school="",FALSE,SUMPRODUCT(--ISNUMBER(SEARCH(","&amp;TRIM(TEXTSPLIT(EY163,","))&amp;",",","&amp;SUBSTITUTE(input_global_network_school," ","")&amp;",")))=COUNTA(TEXTSPLIT(EY163,",")))),IF(FA163="",TRUE,IF(input_global_network_school="",TRUE,SUMPRODUCT(--ISNUMBER(SEARCH(","&amp;TRIM(TEXTSPLIT(FA163,","))&amp;",",","&amp;SUBSTITUTE(input_global_network_school," ","")&amp;",")))=0)),IF(FC163="",TRUE,IF(input_global_network_school="",FALSE,SUMPRODUCT(--ISNUMBER(SEARCH(","&amp;TRIM(TEXTSPLIT(FC163,","))&amp;",",","&amp;SUBSTITUTE(input_global_network_school," ","")&amp;",")))&gt;0)),IF(FE163="",TRUE,IF(input_global_network_school="",FALSE,SUMPRODUCT(--ISNUMBER(SEARCH(","&amp;TRIM(TEXTSPLIT(FE163,","))&amp;",",","&amp;SUBSTITUTE(input_global_network_school," ","")&amp;",")))=COUNTA(TEXTSPLIT(FE163,",")))))</f>
        <v/>
      </c>
      <c r="JI163" s="19">
        <f>AND(IF(FG163="",TRUE,IF(input_industry="",FALSE,SUMPRODUCT(--ISNUMBER(SEARCH(","&amp;TRIM(TEXTSPLIT(FG163,","))&amp;",",","&amp;SUBSTITUTE(input_industry," ","")&amp;",")))&gt;0)),IF(FI163="",TRUE,IF(input_industry="",FALSE,SUMPRODUCT(--ISNUMBER(SEARCH(","&amp;TRIM(TEXTSPLIT(FI163,","))&amp;",",","&amp;SUBSTITUTE(input_industry," ","")&amp;",")))=COUNTA(TEXTSPLIT(FI163,",")))),IF(FK163="",TRUE,IF(input_industry="",TRUE,SUMPRODUCT(--ISNUMBER(SEARCH(","&amp;TRIM(TEXTSPLIT(FK163,","))&amp;",",","&amp;SUBSTITUTE(input_industry," ","")&amp;",")))=0)),IF(FM163="",TRUE,IF(input_industry="",FALSE,SUMPRODUCT(--ISNUMBER(SEARCH(","&amp;TRIM(TEXTSPLIT(FM163,","))&amp;",",","&amp;SUBSTITUTE(input_industry," ","")&amp;",")))&gt;0)),IF(FO163="",TRUE,IF(input_industry="",FALSE,SUMPRODUCT(--ISNUMBER(SEARCH(","&amp;TRIM(TEXTSPLIT(FO163,","))&amp;",",","&amp;SUBSTITUTE(input_industry," ","")&amp;",")))=COUNTA(TEXTSPLIT(FO163,",")))))</f>
        <v/>
      </c>
      <c r="JJ163" s="19">
        <f>AND(IF(FQ163="",TRUE,IF(input_location="",FALSE,SUMPRODUCT(--ISNUMBER(SEARCH(","&amp;TRIM(TEXTSPLIT(FQ163,","))&amp;",",","&amp;SUBSTITUTE(input_location," ","")&amp;",")))&gt;0)),IF(FS163="",TRUE,IF(input_location="",FALSE,SUMPRODUCT(--ISNUMBER(SEARCH(","&amp;TRIM(TEXTSPLIT(FS163,","))&amp;",",","&amp;SUBSTITUTE(input_location," ","")&amp;",")))=COUNTA(TEXTSPLIT(FS163,",")))),IF(FU163="",TRUE,IF(input_location="",TRUE,SUMPRODUCT(--ISNUMBER(SEARCH(","&amp;TRIM(TEXTSPLIT(FU163,","))&amp;",",","&amp;SUBSTITUTE(input_location," ","")&amp;",")))=0)),IF(FW163="",TRUE,IF(input_location="",FALSE,SUMPRODUCT(--ISNUMBER(SEARCH(","&amp;TRIM(TEXTSPLIT(FW163,","))&amp;",",","&amp;SUBSTITUTE(input_location," ","")&amp;",")))&gt;0)),IF(FY163="",TRUE,IF(input_location="",FALSE,SUMPRODUCT(--ISNUMBER(SEARCH(","&amp;TRIM(TEXTSPLIT(FY163,","))&amp;",",","&amp;SUBSTITUTE(input_location," ","")&amp;",")))=COUNTA(TEXTSPLIT(FY163,",")))))</f>
        <v/>
      </c>
      <c r="JK163" s="19">
        <f>AND(IF(GA163="",TRUE,IF(input_modality="",FALSE,SUMPRODUCT(--ISNUMBER(SEARCH(","&amp;TRIM(TEXTSPLIT(GA163,","))&amp;",",","&amp;SUBSTITUTE(input_modality," ","")&amp;",")))&gt;0)),IF(GC163="",TRUE,IF(input_modality="",FALSE,SUMPRODUCT(--ISNUMBER(SEARCH(","&amp;TRIM(TEXTSPLIT(GC163,","))&amp;",",","&amp;SUBSTITUTE(input_modality," ","")&amp;",")))=COUNTA(TEXTSPLIT(GC163,",")))),IF(GE163="",TRUE,IF(input_modality="",TRUE,SUMPRODUCT(--ISNUMBER(SEARCH(","&amp;TRIM(TEXTSPLIT(GE163,","))&amp;",",","&amp;SUBSTITUTE(input_modality," ","")&amp;",")))=0)),IF(GG163="",TRUE,IF(input_modality="",FALSE,SUMPRODUCT(--ISNUMBER(SEARCH(","&amp;TRIM(TEXTSPLIT(GG163,","))&amp;",",","&amp;SUBSTITUTE(input_modality," ","")&amp;",")))&gt;0)),IF(GI163="",TRUE,IF(input_modality="",FALSE,SUMPRODUCT(--ISNUMBER(SEARCH(","&amp;TRIM(TEXTSPLIT(GI163,","))&amp;",",","&amp;SUBSTITUTE(input_modality," ","")&amp;",")))=COUNTA(TEXTSPLIT(GI163,",")))))</f>
        <v/>
      </c>
      <c r="JL163" s="19">
        <f>AND(IF(GK163="",TRUE,IF(input_organizer="",FALSE,SUMPRODUCT(--ISNUMBER(SEARCH(","&amp;TRIM(TEXTSPLIT(GK163,","))&amp;",",","&amp;SUBSTITUTE(input_organizer," ","")&amp;",")))&gt;0)),IF(GM163="",TRUE,IF(input_organizer="",FALSE,SUMPRODUCT(--ISNUMBER(SEARCH(","&amp;TRIM(TEXTSPLIT(GM163,","))&amp;",",","&amp;SUBSTITUTE(input_organizer," ","")&amp;",")))=COUNTA(TEXTSPLIT(GM163,",")))),IF(GO163="",TRUE,IF(input_organizer="",TRUE,SUMPRODUCT(--ISNUMBER(SEARCH(","&amp;TRIM(TEXTSPLIT(GO163,","))&amp;",",","&amp;SUBSTITUTE(input_organizer," ","")&amp;",")))=0)),IF(GQ163="",TRUE,IF(input_organizer="",FALSE,SUMPRODUCT(--ISNUMBER(SEARCH(","&amp;TRIM(TEXTSPLIT(GQ163,","))&amp;",",","&amp;SUBSTITUTE(input_organizer," ","")&amp;",")))&gt;0)),IF(GS163="",TRUE,IF(input_organizer="",FALSE,SUMPRODUCT(--ISNUMBER(SEARCH(","&amp;TRIM(TEXTSPLIT(GS163,","))&amp;",",","&amp;SUBSTITUTE(input_organizer," ","")&amp;",")))=COUNTA(TEXTSPLIT(GS163,",")))))</f>
        <v/>
      </c>
      <c r="JM163" s="19">
        <f>AND(IF(GU163="",TRUE,IF(input_profile_type="",FALSE,SUMPRODUCT(--ISNUMBER(SEARCH(","&amp;TRIM(TEXTSPLIT(GU163,","))&amp;",",","&amp;SUBSTITUTE(input_profile_type," ","")&amp;",")))&gt;0)),IF(GW163="",TRUE,IF(input_profile_type="",FALSE,SUMPRODUCT(--ISNUMBER(SEARCH(","&amp;TRIM(TEXTSPLIT(GW163,","))&amp;",",","&amp;SUBSTITUTE(input_profile_type," ","")&amp;",")))=COUNTA(TEXTSPLIT(GW163,",")))),IF(GY163="",TRUE,IF(input_profile_type="",TRUE,SUMPRODUCT(--ISNUMBER(SEARCH(","&amp;TRIM(TEXTSPLIT(GY163,","))&amp;",",","&amp;SUBSTITUTE(input_profile_type," ","")&amp;",")))=0)),IF(HA163="",TRUE,IF(input_profile_type="",FALSE,SUMPRODUCT(--ISNUMBER(SEARCH(","&amp;TRIM(TEXTSPLIT(HA163,","))&amp;",",","&amp;SUBSTITUTE(input_profile_type," ","")&amp;",")))&gt;0)),IF(HC163="",TRUE,IF(input_profile_type="",FALSE,SUMPRODUCT(--ISNUMBER(SEARCH(","&amp;TRIM(TEXTSPLIT(HC163,","))&amp;",",","&amp;SUBSTITUTE(input_profile_type," ","")&amp;",")))=COUNTA(TEXTSPLIT(HC163,",")))))</f>
        <v/>
      </c>
      <c r="JN163" s="19">
        <f>AND(IF(HE163="",TRUE,IF(input_program="",FALSE,SUMPRODUCT(--ISNUMBER(SEARCH(","&amp;TRIM(TEXTSPLIT(HE163,","))&amp;",",","&amp;SUBSTITUTE(input_program," ","")&amp;",")))&gt;0)),IF(HG163="",TRUE,IF(input_program="",FALSE,SUMPRODUCT(--ISNUMBER(SEARCH(","&amp;TRIM(TEXTSPLIT(HG163,","))&amp;",",","&amp;SUBSTITUTE(input_program," ","")&amp;",")))=COUNTA(TEXTSPLIT(HG163,",")))),IF(HI163="",TRUE,IF(input_program="",TRUE,SUMPRODUCT(--ISNUMBER(SEARCH(","&amp;TRIM(TEXTSPLIT(HI163,","))&amp;",",","&amp;SUBSTITUTE(input_program," ","")&amp;",")))=0)),IF(HK163="",TRUE,IF(input_program="",FALSE,SUMPRODUCT(--ISNUMBER(SEARCH(","&amp;TRIM(TEXTSPLIT(HK163,","))&amp;",",","&amp;SUBSTITUTE(input_program," ","")&amp;",")))&gt;0)),IF(HM163="",TRUE,IF(input_program="",FALSE,SUMPRODUCT(--ISNUMBER(SEARCH(","&amp;TRIM(TEXTSPLIT(HM163,","))&amp;",",","&amp;SUBSTITUTE(input_program," ","")&amp;",")))=COUNTA(TEXTSPLIT(HM163,",")))))</f>
        <v/>
      </c>
      <c r="JO163" s="19">
        <f>AND(IF(HO163="",TRUE,IF(input_story_categories="",FALSE,SUMPRODUCT(--ISNUMBER(SEARCH(","&amp;TRIM(TEXTSPLIT(HO163,","))&amp;",",","&amp;SUBSTITUTE(input_story_categories," ","")&amp;",")))&gt;0)),IF(HQ163="",TRUE,IF(input_story_categories="",FALSE,SUMPRODUCT(--ISNUMBER(SEARCH(","&amp;TRIM(TEXTSPLIT(HQ163,","))&amp;",",","&amp;SUBSTITUTE(input_story_categories," ","")&amp;",")))=COUNTA(TEXTSPLIT(HQ163,",")))),IF(HS163="",TRUE,IF(input_story_categories="",TRUE,SUMPRODUCT(--ISNUMBER(SEARCH(","&amp;TRIM(TEXTSPLIT(HS163,","))&amp;",",","&amp;SUBSTITUTE(input_story_categories," ","")&amp;",")))=0)),IF(HU163="",TRUE,IF(input_story_categories="",FALSE,SUMPRODUCT(--ISNUMBER(SEARCH(","&amp;TRIM(TEXTSPLIT(HU163,","))&amp;",",","&amp;SUBSTITUTE(input_story_categories," ","")&amp;",")))&gt;0)),IF(HW163="",TRUE,IF(input_story_categories="",FALSE,SUMPRODUCT(--ISNUMBER(SEARCH(","&amp;TRIM(TEXTSPLIT(HW163,","))&amp;",",","&amp;SUBSTITUTE(input_story_categories," ","")&amp;",")))=COUNTA(TEXTSPLIT(HW163,",")))))</f>
        <v/>
      </c>
      <c r="JP163" s="19">
        <f>AND(IF(HY163="",TRUE,IF(input_story_type="",FALSE,SUMPRODUCT(--ISNUMBER(SEARCH(","&amp;TRIM(TEXTSPLIT(HY163,","))&amp;",",","&amp;SUBSTITUTE(input_story_type," ","")&amp;",")))&gt;0)),IF(IA163="",TRUE,IF(input_story_type="",FALSE,SUMPRODUCT(--ISNUMBER(SEARCH(","&amp;TRIM(TEXTSPLIT(IA163,","))&amp;",",","&amp;SUBSTITUTE(input_story_type," ","")&amp;",")))=COUNTA(TEXTSPLIT(IA163,",")))),IF(IC163="",TRUE,IF(input_story_type="",TRUE,SUMPRODUCT(--ISNUMBER(SEARCH(","&amp;TRIM(TEXTSPLIT(IC163,","))&amp;",",","&amp;SUBSTITUTE(input_story_type," ","")&amp;",")))=0)),IF(IE163="",TRUE,IF(input_story_type="",FALSE,SUMPRODUCT(--ISNUMBER(SEARCH(","&amp;TRIM(TEXTSPLIT(IE163,","))&amp;",",","&amp;SUBSTITUTE(input_story_type," ","")&amp;",")))&gt;0)),IF(IG163="",TRUE,IF(input_story_type="",FALSE,SUMPRODUCT(--ISNUMBER(SEARCH(","&amp;TRIM(TEXTSPLIT(IG163,","))&amp;",",","&amp;SUBSTITUTE(input_story_type," ","")&amp;",")))=COUNTA(TEXTSPLIT(IG163,",")))))</f>
        <v/>
      </c>
      <c r="JQ163" s="19">
        <f>AND(IF(II163="",TRUE,IF(input_topics="",FALSE,SUMPRODUCT(--ISNUMBER(SEARCH(","&amp;TRIM(TEXTSPLIT(II163,","))&amp;",",","&amp;SUBSTITUTE(input_topics," ","")&amp;",")))&gt;0)),IF(IK163="",TRUE,IF(input_topics="",FALSE,SUMPRODUCT(--ISNUMBER(SEARCH(","&amp;TRIM(TEXTSPLIT(IK163,","))&amp;",",","&amp;SUBSTITUTE(input_topics," ","")&amp;",")))=COUNTA(TEXTSPLIT(IK163,",")))),IF(IM163="",TRUE,IF(input_topics="",TRUE,SUMPRODUCT(--ISNUMBER(SEARCH(","&amp;TRIM(TEXTSPLIT(IM163,","))&amp;",",","&amp;SUBSTITUTE(input_topics," ","")&amp;",")))=0)),IF(IO163="",TRUE,IF(input_topics="",FALSE,SUMPRODUCT(--ISNUMBER(SEARCH(","&amp;TRIM(TEXTSPLIT(IO163,","))&amp;",",","&amp;SUBSTITUTE(input_topics," ","")&amp;",")))&gt;0)),IF(IQ163="",TRUE,IF(input_topics="",FALSE,SUMPRODUCT(--ISNUMBER(SEARCH(","&amp;TRIM(TEXTSPLIT(IQ163,","))&amp;",",","&amp;SUBSTITUTE(input_topics," ","")&amp;",")))=COUNTA(TEXTSPLIT(IQ163,",")))))</f>
        <v/>
      </c>
    </row>
    <row r="164">
      <c r="A164" s="24">
        <f>IF(NOT(IS164),"Excluded",IF(AND(IT164,IU164,IV164,IW164,IX164,IY164,IZ164,JA164,JB164,JC164,JD164,JE164,JF164,JG164,JH164,JI164,JJ164,JK164,JL164,JM164,JN164,JO164,JP164,JQ164),IF(I164&gt;0,"Eligible but limited","Will appear"),"Excluded"))</f>
        <v/>
      </c>
      <c r="B164" s="24" t="inlineStr">
        <is>
          <t>Related profiles on profile pages</t>
        </is>
      </c>
      <c r="C164" s="27" t="inlineStr">
        <is>
          <t>/profile/amy-romano-15</t>
        </is>
      </c>
      <c r="D164" s="24" t="inlineStr">
        <is>
          <t>/profile/amy-romano-15
/profile/jenny-chan-18
/profile/nicolas-encina-10</t>
        </is>
      </c>
      <c r="E164" s="24" t="n">
        <v>4</v>
      </c>
      <c r="F164" s="24" t="inlineStr">
        <is>
          <t>profile</t>
        </is>
      </c>
      <c r="G164" s="24" t="inlineStr">
        <is>
          <t>profiles_grid</t>
        </is>
      </c>
      <c r="H164" s="24" t="inlineStr">
        <is>
          <t>related</t>
        </is>
      </c>
      <c r="I164" s="24" t="n">
        <v>3</v>
      </c>
      <c r="J164" s="28" t="inlineStr">
        <is>
          <t>Explicit args</t>
        </is>
      </c>
      <c r="K164" s="24" t="inlineStr">
        <is>
          <t>Grouped surface</t>
        </is>
      </c>
      <c r="L164" s="24" t="inlineStr">
        <is>
          <t>Content type: profile; Context uses Profile Type: Alumni (1549); Context uses Program: MBA for Executives (80); Limited to 3 item(s); Source: Explicit args</t>
        </is>
      </c>
      <c r="HA164" s="19" t="inlineStr">
        <is>
          <t>1549</t>
        </is>
      </c>
      <c r="HB164" s="19" t="inlineStr">
        <is>
          <t>Alumni (1549)</t>
        </is>
      </c>
      <c r="HK164" s="19" t="inlineStr">
        <is>
          <t>80</t>
        </is>
      </c>
      <c r="HL164" s="19" t="inlineStr">
        <is>
          <t>MBA for Executives (80)</t>
        </is>
      </c>
      <c r="IS164" s="19">
        <f>IF(input_content_type="",FALSE,ISNUMBER(SEARCH(","&amp;LOWER(input_content_type)&amp;",",","&amp;LOWER(SUBSTITUTE(F164," ",""))&amp;",")))</f>
        <v/>
      </c>
      <c r="IT164" s="19">
        <f>AND(IF(M164="",TRUE,IF(input_affiliations="",FALSE,SUMPRODUCT(--ISNUMBER(SEARCH(","&amp;TRIM(TEXTSPLIT(M164,","))&amp;",",","&amp;SUBSTITUTE(input_affiliations," ","")&amp;",")))&gt;0)),IF(O164="",TRUE,IF(input_affiliations="",FALSE,SUMPRODUCT(--ISNUMBER(SEARCH(","&amp;TRIM(TEXTSPLIT(O164,","))&amp;",",","&amp;SUBSTITUTE(input_affiliations," ","")&amp;",")))=COUNTA(TEXTSPLIT(O164,",")))),IF(Q164="",TRUE,IF(input_affiliations="",TRUE,SUMPRODUCT(--ISNUMBER(SEARCH(","&amp;TRIM(TEXTSPLIT(Q164,","))&amp;",",","&amp;SUBSTITUTE(input_affiliations," ","")&amp;",")))=0)),IF(S164="",TRUE,IF(input_affiliations="",FALSE,SUMPRODUCT(--ISNUMBER(SEARCH(","&amp;TRIM(TEXTSPLIT(S164,","))&amp;",",","&amp;SUBSTITUTE(input_affiliations," ","")&amp;",")))&gt;0)),IF(U164="",TRUE,IF(input_affiliations="",FALSE,SUMPRODUCT(--ISNUMBER(SEARCH(","&amp;TRIM(TEXTSPLIT(U164,","))&amp;",",","&amp;SUBSTITUTE(input_affiliations," ","")&amp;",")))=COUNTA(TEXTSPLIT(U164,",")))))</f>
        <v/>
      </c>
      <c r="IU164" s="19">
        <f>AND(IF(W164="",TRUE,IF(input_announcement_category="",FALSE,SUMPRODUCT(--ISNUMBER(SEARCH(","&amp;TRIM(TEXTSPLIT(W164,","))&amp;",",","&amp;SUBSTITUTE(input_announcement_category," ","")&amp;",")))&gt;0)),IF(Y164="",TRUE,IF(input_announcement_category="",FALSE,SUMPRODUCT(--ISNUMBER(SEARCH(","&amp;TRIM(TEXTSPLIT(Y164,","))&amp;",",","&amp;SUBSTITUTE(input_announcement_category," ","")&amp;",")))=COUNTA(TEXTSPLIT(Y164,",")))),IF(AA164="",TRUE,IF(input_announcement_category="",TRUE,SUMPRODUCT(--ISNUMBER(SEARCH(","&amp;TRIM(TEXTSPLIT(AA164,","))&amp;",",","&amp;SUBSTITUTE(input_announcement_category," ","")&amp;",")))=0)),IF(AC164="",TRUE,IF(input_announcement_category="",FALSE,SUMPRODUCT(--ISNUMBER(SEARCH(","&amp;TRIM(TEXTSPLIT(AC164,","))&amp;",",","&amp;SUBSTITUTE(input_announcement_category," ","")&amp;",")))&gt;0)),IF(AE164="",TRUE,IF(input_announcement_category="",FALSE,SUMPRODUCT(--ISNUMBER(SEARCH(","&amp;TRIM(TEXTSPLIT(AE164,","))&amp;",",","&amp;SUBSTITUTE(input_announcement_category," ","")&amp;",")))=COUNTA(TEXTSPLIT(AE164,",")))))</f>
        <v/>
      </c>
      <c r="IV164" s="19">
        <f>AND(IF(AG164="",TRUE,IF(input_area_of_focus="",FALSE,SUMPRODUCT(--ISNUMBER(SEARCH(","&amp;TRIM(TEXTSPLIT(AG164,","))&amp;",",","&amp;SUBSTITUTE(input_area_of_focus," ","")&amp;",")))&gt;0)),IF(AI164="",TRUE,IF(input_area_of_focus="",FALSE,SUMPRODUCT(--ISNUMBER(SEARCH(","&amp;TRIM(TEXTSPLIT(AI164,","))&amp;",",","&amp;SUBSTITUTE(input_area_of_focus," ","")&amp;",")))=COUNTA(TEXTSPLIT(AI164,",")))),IF(AK164="",TRUE,IF(input_area_of_focus="",TRUE,SUMPRODUCT(--ISNUMBER(SEARCH(","&amp;TRIM(TEXTSPLIT(AK164,","))&amp;",",","&amp;SUBSTITUTE(input_area_of_focus," ","")&amp;",")))=0)),IF(AM164="",TRUE,IF(input_area_of_focus="",FALSE,SUMPRODUCT(--ISNUMBER(SEARCH(","&amp;TRIM(TEXTSPLIT(AM164,","))&amp;",",","&amp;SUBSTITUTE(input_area_of_focus," ","")&amp;",")))&gt;0)),IF(AO164="",TRUE,IF(input_area_of_focus="",FALSE,SUMPRODUCT(--ISNUMBER(SEARCH(","&amp;TRIM(TEXTSPLIT(AO164,","))&amp;",",","&amp;SUBSTITUTE(input_area_of_focus," ","")&amp;",")))=COUNTA(TEXTSPLIT(AO164,",")))))</f>
        <v/>
      </c>
      <c r="IW164" s="19">
        <f>AND(IF(AQ164="",TRUE,IF(input_audience="",FALSE,SUMPRODUCT(--ISNUMBER(SEARCH(","&amp;TRIM(TEXTSPLIT(AQ164,","))&amp;",",","&amp;SUBSTITUTE(input_audience," ","")&amp;",")))&gt;0)),IF(AS164="",TRUE,IF(input_audience="",FALSE,SUMPRODUCT(--ISNUMBER(SEARCH(","&amp;TRIM(TEXTSPLIT(AS164,","))&amp;",",","&amp;SUBSTITUTE(input_audience," ","")&amp;",")))=COUNTA(TEXTSPLIT(AS164,",")))),IF(AU164="",TRUE,IF(input_audience="",TRUE,SUMPRODUCT(--ISNUMBER(SEARCH(","&amp;TRIM(TEXTSPLIT(AU164,","))&amp;",",","&amp;SUBSTITUTE(input_audience," ","")&amp;",")))=0)),IF(AW164="",TRUE,IF(input_audience="",FALSE,SUMPRODUCT(--ISNUMBER(SEARCH(","&amp;TRIM(TEXTSPLIT(AW164,","))&amp;",",","&amp;SUBSTITUTE(input_audience," ","")&amp;",")))&gt;0)),IF(AY164="",TRUE,IF(input_audience="",FALSE,SUMPRODUCT(--ISNUMBER(SEARCH(","&amp;TRIM(TEXTSPLIT(AY164,","))&amp;",",","&amp;SUBSTITUTE(input_audience," ","")&amp;",")))=COUNTA(TEXTSPLIT(AY164,",")))))</f>
        <v/>
      </c>
      <c r="IX164" s="19">
        <f>AND(IF(BA164="",TRUE,IF(input_challenge_opportunities="",FALSE,SUMPRODUCT(--ISNUMBER(SEARCH(","&amp;TRIM(TEXTSPLIT(BA164,","))&amp;",",","&amp;SUBSTITUTE(input_challenge_opportunities," ","")&amp;",")))&gt;0)),IF(BC164="",TRUE,IF(input_challenge_opportunities="",FALSE,SUMPRODUCT(--ISNUMBER(SEARCH(","&amp;TRIM(TEXTSPLIT(BC164,","))&amp;",",","&amp;SUBSTITUTE(input_challenge_opportunities," ","")&amp;",")))=COUNTA(TEXTSPLIT(BC164,",")))),IF(BE164="",TRUE,IF(input_challenge_opportunities="",TRUE,SUMPRODUCT(--ISNUMBER(SEARCH(","&amp;TRIM(TEXTSPLIT(BE164,","))&amp;",",","&amp;SUBSTITUTE(input_challenge_opportunities," ","")&amp;",")))=0)),IF(BG164="",TRUE,IF(input_challenge_opportunities="",FALSE,SUMPRODUCT(--ISNUMBER(SEARCH(","&amp;TRIM(TEXTSPLIT(BG164,","))&amp;",",","&amp;SUBSTITUTE(input_challenge_opportunities," ","")&amp;",")))&gt;0)),IF(BI164="",TRUE,IF(input_challenge_opportunities="",FALSE,SUMPRODUCT(--ISNUMBER(SEARCH(","&amp;TRIM(TEXTSPLIT(BI164,","))&amp;",",","&amp;SUBSTITUTE(input_challenge_opportunities," ","")&amp;",")))=COUNTA(TEXTSPLIT(BI164,",")))))</f>
        <v/>
      </c>
      <c r="IY164" s="19">
        <f>AND(IF(BK164="",TRUE,IF(input_context="",FALSE,SUMPRODUCT(--ISNUMBER(SEARCH(","&amp;TRIM(TEXTSPLIT(BK164,","))&amp;",",","&amp;SUBSTITUTE(input_context," ","")&amp;",")))&gt;0)),IF(BM164="",TRUE,IF(input_context="",FALSE,SUMPRODUCT(--ISNUMBER(SEARCH(","&amp;TRIM(TEXTSPLIT(BM164,","))&amp;",",","&amp;SUBSTITUTE(input_context," ","")&amp;",")))=COUNTA(TEXTSPLIT(BM164,",")))),IF(BO164="",TRUE,IF(input_context="",TRUE,SUMPRODUCT(--ISNUMBER(SEARCH(","&amp;TRIM(TEXTSPLIT(BO164,","))&amp;",",","&amp;SUBSTITUTE(input_context," ","")&amp;",")))=0)),IF(BQ164="",TRUE,IF(input_context="",FALSE,SUMPRODUCT(--ISNUMBER(SEARCH(","&amp;TRIM(TEXTSPLIT(BQ164,","))&amp;",",","&amp;SUBSTITUTE(input_context," ","")&amp;",")))&gt;0)),IF(BS164="",TRUE,IF(input_context="",FALSE,SUMPRODUCT(--ISNUMBER(SEARCH(","&amp;TRIM(TEXTSPLIT(BS164,","))&amp;",",","&amp;SUBSTITUTE(input_context," ","")&amp;",")))=COUNTA(TEXTSPLIT(BS164,",")))))</f>
        <v/>
      </c>
      <c r="IZ164" s="19">
        <f>AND(IF(BU164="",TRUE,IF(input_enews_announcement_type="",FALSE,SUMPRODUCT(--ISNUMBER(SEARCH(","&amp;TRIM(TEXTSPLIT(BU164,","))&amp;",",","&amp;SUBSTITUTE(input_enews_announcement_type," ","")&amp;",")))&gt;0)),IF(BW164="",TRUE,IF(input_enews_announcement_type="",FALSE,SUMPRODUCT(--ISNUMBER(SEARCH(","&amp;TRIM(TEXTSPLIT(BW164,","))&amp;",",","&amp;SUBSTITUTE(input_enews_announcement_type," ","")&amp;",")))=COUNTA(TEXTSPLIT(BW164,",")))),IF(BY164="",TRUE,IF(input_enews_announcement_type="",TRUE,SUMPRODUCT(--ISNUMBER(SEARCH(","&amp;TRIM(TEXTSPLIT(BY164,","))&amp;",",","&amp;SUBSTITUTE(input_enews_announcement_type," ","")&amp;",")))=0)),IF(CA164="",TRUE,IF(input_enews_announcement_type="",FALSE,SUMPRODUCT(--ISNUMBER(SEARCH(","&amp;TRIM(TEXTSPLIT(CA164,","))&amp;",",","&amp;SUBSTITUTE(input_enews_announcement_type," ","")&amp;",")))&gt;0)),IF(CC164="",TRUE,IF(input_enews_announcement_type="",FALSE,SUMPRODUCT(--ISNUMBER(SEARCH(","&amp;TRIM(TEXTSPLIT(CC164,","))&amp;",",","&amp;SUBSTITUTE(input_enews_announcement_type," ","")&amp;",")))=COUNTA(TEXTSPLIT(CC164,",")))))</f>
        <v/>
      </c>
      <c r="JA164" s="19">
        <f>AND(IF(CE164="",TRUE,IF(input_enews_audience="",FALSE,SUMPRODUCT(--ISNUMBER(SEARCH(","&amp;TRIM(TEXTSPLIT(CE164,","))&amp;",",","&amp;SUBSTITUTE(input_enews_audience," ","")&amp;",")))&gt;0)),IF(CG164="",TRUE,IF(input_enews_audience="",FALSE,SUMPRODUCT(--ISNUMBER(SEARCH(","&amp;TRIM(TEXTSPLIT(CG164,","))&amp;",",","&amp;SUBSTITUTE(input_enews_audience," ","")&amp;",")))=COUNTA(TEXTSPLIT(CG164,",")))),IF(CI164="",TRUE,IF(input_enews_audience="",TRUE,SUMPRODUCT(--ISNUMBER(SEARCH(","&amp;TRIM(TEXTSPLIT(CI164,","))&amp;",",","&amp;SUBSTITUTE(input_enews_audience," ","")&amp;",")))=0)),IF(CK164="",TRUE,IF(input_enews_audience="",FALSE,SUMPRODUCT(--ISNUMBER(SEARCH(","&amp;TRIM(TEXTSPLIT(CK164,","))&amp;",",","&amp;SUBSTITUTE(input_enews_audience," ","")&amp;",")))&gt;0)),IF(CM164="",TRUE,IF(input_enews_audience="",FALSE,SUMPRODUCT(--ISNUMBER(SEARCH(","&amp;TRIM(TEXTSPLIT(CM164,","))&amp;",",","&amp;SUBSTITUTE(input_enews_audience," ","")&amp;",")))=COUNTA(TEXTSPLIT(CM164,",")))))</f>
        <v/>
      </c>
      <c r="JB164" s="19">
        <f>AND(IF(CO164="",TRUE,IF(input_event_location="",FALSE,SUMPRODUCT(--ISNUMBER(SEARCH(","&amp;TRIM(TEXTSPLIT(CO164,","))&amp;",",","&amp;SUBSTITUTE(input_event_location," ","")&amp;",")))&gt;0)),IF(CQ164="",TRUE,IF(input_event_location="",FALSE,SUMPRODUCT(--ISNUMBER(SEARCH(","&amp;TRIM(TEXTSPLIT(CQ164,","))&amp;",",","&amp;SUBSTITUTE(input_event_location," ","")&amp;",")))=COUNTA(TEXTSPLIT(CQ164,",")))),IF(CS164="",TRUE,IF(input_event_location="",TRUE,SUMPRODUCT(--ISNUMBER(SEARCH(","&amp;TRIM(TEXTSPLIT(CS164,","))&amp;",",","&amp;SUBSTITUTE(input_event_location," ","")&amp;",")))=0)),IF(CU164="",TRUE,IF(input_event_location="",FALSE,SUMPRODUCT(--ISNUMBER(SEARCH(","&amp;TRIM(TEXTSPLIT(CU164,","))&amp;",",","&amp;SUBSTITUTE(input_event_location," ","")&amp;",")))&gt;0)),IF(CW164="",TRUE,IF(input_event_location="",FALSE,SUMPRODUCT(--ISNUMBER(SEARCH(","&amp;TRIM(TEXTSPLIT(CW164,","))&amp;",",","&amp;SUBSTITUTE(input_event_location," ","")&amp;",")))=COUNTA(TEXTSPLIT(CW164,",")))))</f>
        <v/>
      </c>
      <c r="JC164" s="19">
        <f>AND(IF(CY164="",TRUE,IF(input_event_type="",FALSE,SUMPRODUCT(--ISNUMBER(SEARCH(","&amp;TRIM(TEXTSPLIT(CY164,","))&amp;",",","&amp;SUBSTITUTE(input_event_type," ","")&amp;",")))&gt;0)),IF(DA164="",TRUE,IF(input_event_type="",FALSE,SUMPRODUCT(--ISNUMBER(SEARCH(","&amp;TRIM(TEXTSPLIT(DA164,","))&amp;",",","&amp;SUBSTITUTE(input_event_type," ","")&amp;",")))=COUNTA(TEXTSPLIT(DA164,",")))),IF(DC164="",TRUE,IF(input_event_type="",TRUE,SUMPRODUCT(--ISNUMBER(SEARCH(","&amp;TRIM(TEXTSPLIT(DC164,","))&amp;",",","&amp;SUBSTITUTE(input_event_type," ","")&amp;",")))=0)),IF(DE164="",TRUE,IF(input_event_type="",FALSE,SUMPRODUCT(--ISNUMBER(SEARCH(","&amp;TRIM(TEXTSPLIT(DE164,","))&amp;",",","&amp;SUBSTITUTE(input_event_type," ","")&amp;",")))&gt;0)),IF(DG164="",TRUE,IF(input_event_type="",FALSE,SUMPRODUCT(--ISNUMBER(SEARCH(","&amp;TRIM(TEXTSPLIT(DG164,","))&amp;",",","&amp;SUBSTITUTE(input_event_type," ","")&amp;",")))=COUNTA(TEXTSPLIT(DG164,",")))))</f>
        <v/>
      </c>
      <c r="JD164" s="19">
        <f>AND(IF(DI164="",TRUE,IF(input_executive_education_focus="",FALSE,SUMPRODUCT(--ISNUMBER(SEARCH(","&amp;TRIM(TEXTSPLIT(DI164,","))&amp;",",","&amp;SUBSTITUTE(input_executive_education_focus," ","")&amp;",")))&gt;0)),IF(DK164="",TRUE,IF(input_executive_education_focus="",FALSE,SUMPRODUCT(--ISNUMBER(SEARCH(","&amp;TRIM(TEXTSPLIT(DK164,","))&amp;",",","&amp;SUBSTITUTE(input_executive_education_focus," ","")&amp;",")))=COUNTA(TEXTSPLIT(DK164,",")))),IF(DM164="",TRUE,IF(input_executive_education_focus="",TRUE,SUMPRODUCT(--ISNUMBER(SEARCH(","&amp;TRIM(TEXTSPLIT(DM164,","))&amp;",",","&amp;SUBSTITUTE(input_executive_education_focus," ","")&amp;",")))=0)),IF(DO164="",TRUE,IF(input_executive_education_focus="",FALSE,SUMPRODUCT(--ISNUMBER(SEARCH(","&amp;TRIM(TEXTSPLIT(DO164,","))&amp;",",","&amp;SUBSTITUTE(input_executive_education_focus," ","")&amp;",")))&gt;0)),IF(DQ164="",TRUE,IF(input_executive_education_focus="",FALSE,SUMPRODUCT(--ISNUMBER(SEARCH(","&amp;TRIM(TEXTSPLIT(DQ164,","))&amp;",",","&amp;SUBSTITUTE(input_executive_education_focus," ","")&amp;",")))=COUNTA(TEXTSPLIT(DQ164,",")))))</f>
        <v/>
      </c>
      <c r="JE164" s="19">
        <f>AND(IF(DS164="",TRUE,IF(input_faculty_category="",FALSE,SUMPRODUCT(--ISNUMBER(SEARCH(","&amp;TRIM(TEXTSPLIT(DS164,","))&amp;",",","&amp;SUBSTITUTE(input_faculty_category," ","")&amp;",")))&gt;0)),IF(DU164="",TRUE,IF(input_faculty_category="",FALSE,SUMPRODUCT(--ISNUMBER(SEARCH(","&amp;TRIM(TEXTSPLIT(DU164,","))&amp;",",","&amp;SUBSTITUTE(input_faculty_category," ","")&amp;",")))=COUNTA(TEXTSPLIT(DU164,",")))),IF(DW164="",TRUE,IF(input_faculty_category="",TRUE,SUMPRODUCT(--ISNUMBER(SEARCH(","&amp;TRIM(TEXTSPLIT(DW164,","))&amp;",",","&amp;SUBSTITUTE(input_faculty_category," ","")&amp;",")))=0)),IF(DY164="",TRUE,IF(input_faculty_category="",FALSE,SUMPRODUCT(--ISNUMBER(SEARCH(","&amp;TRIM(TEXTSPLIT(DY164,","))&amp;",",","&amp;SUBSTITUTE(input_faculty_category," ","")&amp;",")))&gt;0)),IF(EA164="",TRUE,IF(input_faculty_category="",FALSE,SUMPRODUCT(--ISNUMBER(SEARCH(","&amp;TRIM(TEXTSPLIT(EA164,","))&amp;",",","&amp;SUBSTITUTE(input_faculty_category," ","")&amp;",")))=COUNTA(TEXTSPLIT(EA164,",")))))</f>
        <v/>
      </c>
      <c r="JF164" s="19">
        <f>AND(IF(EC164="",TRUE,IF(input_faculty_discipline="",FALSE,SUMPRODUCT(--ISNUMBER(SEARCH(","&amp;TRIM(TEXTSPLIT(EC164,","))&amp;",",","&amp;SUBSTITUTE(input_faculty_discipline," ","")&amp;",")))&gt;0)),IF(EE164="",TRUE,IF(input_faculty_discipline="",FALSE,SUMPRODUCT(--ISNUMBER(SEARCH(","&amp;TRIM(TEXTSPLIT(EE164,","))&amp;",",","&amp;SUBSTITUTE(input_faculty_discipline," ","")&amp;",")))=COUNTA(TEXTSPLIT(EE164,",")))),IF(EG164="",TRUE,IF(input_faculty_discipline="",TRUE,SUMPRODUCT(--ISNUMBER(SEARCH(","&amp;TRIM(TEXTSPLIT(EG164,","))&amp;",",","&amp;SUBSTITUTE(input_faculty_discipline," ","")&amp;",")))=0)),IF(EI164="",TRUE,IF(input_faculty_discipline="",FALSE,SUMPRODUCT(--ISNUMBER(SEARCH(","&amp;TRIM(TEXTSPLIT(EI164,","))&amp;",",","&amp;SUBSTITUTE(input_faculty_discipline," ","")&amp;",")))&gt;0)),IF(EK164="",TRUE,IF(input_faculty_discipline="",FALSE,SUMPRODUCT(--ISNUMBER(SEARCH(","&amp;TRIM(TEXTSPLIT(EK164,","))&amp;",",","&amp;SUBSTITUTE(input_faculty_discipline," ","")&amp;",")))=COUNTA(TEXTSPLIT(EK164,",")))))</f>
        <v/>
      </c>
      <c r="JG164" s="19">
        <f>AND(IF(EM164="",TRUE,IF(input_faculty_expertise="",FALSE,SUMPRODUCT(--ISNUMBER(SEARCH(","&amp;TRIM(TEXTSPLIT(EM164,","))&amp;",",","&amp;SUBSTITUTE(input_faculty_expertise," ","")&amp;",")))&gt;0)),IF(EO164="",TRUE,IF(input_faculty_expertise="",FALSE,SUMPRODUCT(--ISNUMBER(SEARCH(","&amp;TRIM(TEXTSPLIT(EO164,","))&amp;",",","&amp;SUBSTITUTE(input_faculty_expertise," ","")&amp;",")))=COUNTA(TEXTSPLIT(EO164,",")))),IF(EQ164="",TRUE,IF(input_faculty_expertise="",TRUE,SUMPRODUCT(--ISNUMBER(SEARCH(","&amp;TRIM(TEXTSPLIT(EQ164,","))&amp;",",","&amp;SUBSTITUTE(input_faculty_expertise," ","")&amp;",")))=0)),IF(ES164="",TRUE,IF(input_faculty_expertise="",FALSE,SUMPRODUCT(--ISNUMBER(SEARCH(","&amp;TRIM(TEXTSPLIT(ES164,","))&amp;",",","&amp;SUBSTITUTE(input_faculty_expertise," ","")&amp;",")))&gt;0)),IF(EU164="",TRUE,IF(input_faculty_expertise="",FALSE,SUMPRODUCT(--ISNUMBER(SEARCH(","&amp;TRIM(TEXTSPLIT(EU164,","))&amp;",",","&amp;SUBSTITUTE(input_faculty_expertise," ","")&amp;",")))=COUNTA(TEXTSPLIT(EU164,",")))))</f>
        <v/>
      </c>
      <c r="JH164" s="19">
        <f>AND(IF(EW164="",TRUE,IF(input_global_network_school="",FALSE,SUMPRODUCT(--ISNUMBER(SEARCH(","&amp;TRIM(TEXTSPLIT(EW164,","))&amp;",",","&amp;SUBSTITUTE(input_global_network_school," ","")&amp;",")))&gt;0)),IF(EY164="",TRUE,IF(input_global_network_school="",FALSE,SUMPRODUCT(--ISNUMBER(SEARCH(","&amp;TRIM(TEXTSPLIT(EY164,","))&amp;",",","&amp;SUBSTITUTE(input_global_network_school," ","")&amp;",")))=COUNTA(TEXTSPLIT(EY164,",")))),IF(FA164="",TRUE,IF(input_global_network_school="",TRUE,SUMPRODUCT(--ISNUMBER(SEARCH(","&amp;TRIM(TEXTSPLIT(FA164,","))&amp;",",","&amp;SUBSTITUTE(input_global_network_school," ","")&amp;",")))=0)),IF(FC164="",TRUE,IF(input_global_network_school="",FALSE,SUMPRODUCT(--ISNUMBER(SEARCH(","&amp;TRIM(TEXTSPLIT(FC164,","))&amp;",",","&amp;SUBSTITUTE(input_global_network_school," ","")&amp;",")))&gt;0)),IF(FE164="",TRUE,IF(input_global_network_school="",FALSE,SUMPRODUCT(--ISNUMBER(SEARCH(","&amp;TRIM(TEXTSPLIT(FE164,","))&amp;",",","&amp;SUBSTITUTE(input_global_network_school," ","")&amp;",")))=COUNTA(TEXTSPLIT(FE164,",")))))</f>
        <v/>
      </c>
      <c r="JI164" s="19">
        <f>AND(IF(FG164="",TRUE,IF(input_industry="",FALSE,SUMPRODUCT(--ISNUMBER(SEARCH(","&amp;TRIM(TEXTSPLIT(FG164,","))&amp;",",","&amp;SUBSTITUTE(input_industry," ","")&amp;",")))&gt;0)),IF(FI164="",TRUE,IF(input_industry="",FALSE,SUMPRODUCT(--ISNUMBER(SEARCH(","&amp;TRIM(TEXTSPLIT(FI164,","))&amp;",",","&amp;SUBSTITUTE(input_industry," ","")&amp;",")))=COUNTA(TEXTSPLIT(FI164,",")))),IF(FK164="",TRUE,IF(input_industry="",TRUE,SUMPRODUCT(--ISNUMBER(SEARCH(","&amp;TRIM(TEXTSPLIT(FK164,","))&amp;",",","&amp;SUBSTITUTE(input_industry," ","")&amp;",")))=0)),IF(FM164="",TRUE,IF(input_industry="",FALSE,SUMPRODUCT(--ISNUMBER(SEARCH(","&amp;TRIM(TEXTSPLIT(FM164,","))&amp;",",","&amp;SUBSTITUTE(input_industry," ","")&amp;",")))&gt;0)),IF(FO164="",TRUE,IF(input_industry="",FALSE,SUMPRODUCT(--ISNUMBER(SEARCH(","&amp;TRIM(TEXTSPLIT(FO164,","))&amp;",",","&amp;SUBSTITUTE(input_industry," ","")&amp;",")))=COUNTA(TEXTSPLIT(FO164,",")))))</f>
        <v/>
      </c>
      <c r="JJ164" s="19">
        <f>AND(IF(FQ164="",TRUE,IF(input_location="",FALSE,SUMPRODUCT(--ISNUMBER(SEARCH(","&amp;TRIM(TEXTSPLIT(FQ164,","))&amp;",",","&amp;SUBSTITUTE(input_location," ","")&amp;",")))&gt;0)),IF(FS164="",TRUE,IF(input_location="",FALSE,SUMPRODUCT(--ISNUMBER(SEARCH(","&amp;TRIM(TEXTSPLIT(FS164,","))&amp;",",","&amp;SUBSTITUTE(input_location," ","")&amp;",")))=COUNTA(TEXTSPLIT(FS164,",")))),IF(FU164="",TRUE,IF(input_location="",TRUE,SUMPRODUCT(--ISNUMBER(SEARCH(","&amp;TRIM(TEXTSPLIT(FU164,","))&amp;",",","&amp;SUBSTITUTE(input_location," ","")&amp;",")))=0)),IF(FW164="",TRUE,IF(input_location="",FALSE,SUMPRODUCT(--ISNUMBER(SEARCH(","&amp;TRIM(TEXTSPLIT(FW164,","))&amp;",",","&amp;SUBSTITUTE(input_location," ","")&amp;",")))&gt;0)),IF(FY164="",TRUE,IF(input_location="",FALSE,SUMPRODUCT(--ISNUMBER(SEARCH(","&amp;TRIM(TEXTSPLIT(FY164,","))&amp;",",","&amp;SUBSTITUTE(input_location," ","")&amp;",")))=COUNTA(TEXTSPLIT(FY164,",")))))</f>
        <v/>
      </c>
      <c r="JK164" s="19">
        <f>AND(IF(GA164="",TRUE,IF(input_modality="",FALSE,SUMPRODUCT(--ISNUMBER(SEARCH(","&amp;TRIM(TEXTSPLIT(GA164,","))&amp;",",","&amp;SUBSTITUTE(input_modality," ","")&amp;",")))&gt;0)),IF(GC164="",TRUE,IF(input_modality="",FALSE,SUMPRODUCT(--ISNUMBER(SEARCH(","&amp;TRIM(TEXTSPLIT(GC164,","))&amp;",",","&amp;SUBSTITUTE(input_modality," ","")&amp;",")))=COUNTA(TEXTSPLIT(GC164,",")))),IF(GE164="",TRUE,IF(input_modality="",TRUE,SUMPRODUCT(--ISNUMBER(SEARCH(","&amp;TRIM(TEXTSPLIT(GE164,","))&amp;",",","&amp;SUBSTITUTE(input_modality," ","")&amp;",")))=0)),IF(GG164="",TRUE,IF(input_modality="",FALSE,SUMPRODUCT(--ISNUMBER(SEARCH(","&amp;TRIM(TEXTSPLIT(GG164,","))&amp;",",","&amp;SUBSTITUTE(input_modality," ","")&amp;",")))&gt;0)),IF(GI164="",TRUE,IF(input_modality="",FALSE,SUMPRODUCT(--ISNUMBER(SEARCH(","&amp;TRIM(TEXTSPLIT(GI164,","))&amp;",",","&amp;SUBSTITUTE(input_modality," ","")&amp;",")))=COUNTA(TEXTSPLIT(GI164,",")))))</f>
        <v/>
      </c>
      <c r="JL164" s="19">
        <f>AND(IF(GK164="",TRUE,IF(input_organizer="",FALSE,SUMPRODUCT(--ISNUMBER(SEARCH(","&amp;TRIM(TEXTSPLIT(GK164,","))&amp;",",","&amp;SUBSTITUTE(input_organizer," ","")&amp;",")))&gt;0)),IF(GM164="",TRUE,IF(input_organizer="",FALSE,SUMPRODUCT(--ISNUMBER(SEARCH(","&amp;TRIM(TEXTSPLIT(GM164,","))&amp;",",","&amp;SUBSTITUTE(input_organizer," ","")&amp;",")))=COUNTA(TEXTSPLIT(GM164,",")))),IF(GO164="",TRUE,IF(input_organizer="",TRUE,SUMPRODUCT(--ISNUMBER(SEARCH(","&amp;TRIM(TEXTSPLIT(GO164,","))&amp;",",","&amp;SUBSTITUTE(input_organizer," ","")&amp;",")))=0)),IF(GQ164="",TRUE,IF(input_organizer="",FALSE,SUMPRODUCT(--ISNUMBER(SEARCH(","&amp;TRIM(TEXTSPLIT(GQ164,","))&amp;",",","&amp;SUBSTITUTE(input_organizer," ","")&amp;",")))&gt;0)),IF(GS164="",TRUE,IF(input_organizer="",FALSE,SUMPRODUCT(--ISNUMBER(SEARCH(","&amp;TRIM(TEXTSPLIT(GS164,","))&amp;",",","&amp;SUBSTITUTE(input_organizer," ","")&amp;",")))=COUNTA(TEXTSPLIT(GS164,",")))))</f>
        <v/>
      </c>
      <c r="JM164" s="19">
        <f>AND(IF(GU164="",TRUE,IF(input_profile_type="",FALSE,SUMPRODUCT(--ISNUMBER(SEARCH(","&amp;TRIM(TEXTSPLIT(GU164,","))&amp;",",","&amp;SUBSTITUTE(input_profile_type," ","")&amp;",")))&gt;0)),IF(GW164="",TRUE,IF(input_profile_type="",FALSE,SUMPRODUCT(--ISNUMBER(SEARCH(","&amp;TRIM(TEXTSPLIT(GW164,","))&amp;",",","&amp;SUBSTITUTE(input_profile_type," ","")&amp;",")))=COUNTA(TEXTSPLIT(GW164,",")))),IF(GY164="",TRUE,IF(input_profile_type="",TRUE,SUMPRODUCT(--ISNUMBER(SEARCH(","&amp;TRIM(TEXTSPLIT(GY164,","))&amp;",",","&amp;SUBSTITUTE(input_profile_type," ","")&amp;",")))=0)),IF(HA164="",TRUE,IF(input_profile_type="",FALSE,SUMPRODUCT(--ISNUMBER(SEARCH(","&amp;TRIM(TEXTSPLIT(HA164,","))&amp;",",","&amp;SUBSTITUTE(input_profile_type," ","")&amp;",")))&gt;0)),IF(HC164="",TRUE,IF(input_profile_type="",FALSE,SUMPRODUCT(--ISNUMBER(SEARCH(","&amp;TRIM(TEXTSPLIT(HC164,","))&amp;",",","&amp;SUBSTITUTE(input_profile_type," ","")&amp;",")))=COUNTA(TEXTSPLIT(HC164,",")))))</f>
        <v/>
      </c>
      <c r="JN164" s="19">
        <f>AND(IF(HE164="",TRUE,IF(input_program="",FALSE,SUMPRODUCT(--ISNUMBER(SEARCH(","&amp;TRIM(TEXTSPLIT(HE164,","))&amp;",",","&amp;SUBSTITUTE(input_program," ","")&amp;",")))&gt;0)),IF(HG164="",TRUE,IF(input_program="",FALSE,SUMPRODUCT(--ISNUMBER(SEARCH(","&amp;TRIM(TEXTSPLIT(HG164,","))&amp;",",","&amp;SUBSTITUTE(input_program," ","")&amp;",")))=COUNTA(TEXTSPLIT(HG164,",")))),IF(HI164="",TRUE,IF(input_program="",TRUE,SUMPRODUCT(--ISNUMBER(SEARCH(","&amp;TRIM(TEXTSPLIT(HI164,","))&amp;",",","&amp;SUBSTITUTE(input_program," ","")&amp;",")))=0)),IF(HK164="",TRUE,IF(input_program="",FALSE,SUMPRODUCT(--ISNUMBER(SEARCH(","&amp;TRIM(TEXTSPLIT(HK164,","))&amp;",",","&amp;SUBSTITUTE(input_program," ","")&amp;",")))&gt;0)),IF(HM164="",TRUE,IF(input_program="",FALSE,SUMPRODUCT(--ISNUMBER(SEARCH(","&amp;TRIM(TEXTSPLIT(HM164,","))&amp;",",","&amp;SUBSTITUTE(input_program," ","")&amp;",")))=COUNTA(TEXTSPLIT(HM164,",")))))</f>
        <v/>
      </c>
      <c r="JO164" s="19">
        <f>AND(IF(HO164="",TRUE,IF(input_story_categories="",FALSE,SUMPRODUCT(--ISNUMBER(SEARCH(","&amp;TRIM(TEXTSPLIT(HO164,","))&amp;",",","&amp;SUBSTITUTE(input_story_categories," ","")&amp;",")))&gt;0)),IF(HQ164="",TRUE,IF(input_story_categories="",FALSE,SUMPRODUCT(--ISNUMBER(SEARCH(","&amp;TRIM(TEXTSPLIT(HQ164,","))&amp;",",","&amp;SUBSTITUTE(input_story_categories," ","")&amp;",")))=COUNTA(TEXTSPLIT(HQ164,",")))),IF(HS164="",TRUE,IF(input_story_categories="",TRUE,SUMPRODUCT(--ISNUMBER(SEARCH(","&amp;TRIM(TEXTSPLIT(HS164,","))&amp;",",","&amp;SUBSTITUTE(input_story_categories," ","")&amp;",")))=0)),IF(HU164="",TRUE,IF(input_story_categories="",FALSE,SUMPRODUCT(--ISNUMBER(SEARCH(","&amp;TRIM(TEXTSPLIT(HU164,","))&amp;",",","&amp;SUBSTITUTE(input_story_categories," ","")&amp;",")))&gt;0)),IF(HW164="",TRUE,IF(input_story_categories="",FALSE,SUMPRODUCT(--ISNUMBER(SEARCH(","&amp;TRIM(TEXTSPLIT(HW164,","))&amp;",",","&amp;SUBSTITUTE(input_story_categories," ","")&amp;",")))=COUNTA(TEXTSPLIT(HW164,",")))))</f>
        <v/>
      </c>
      <c r="JP164" s="19">
        <f>AND(IF(HY164="",TRUE,IF(input_story_type="",FALSE,SUMPRODUCT(--ISNUMBER(SEARCH(","&amp;TRIM(TEXTSPLIT(HY164,","))&amp;",",","&amp;SUBSTITUTE(input_story_type," ","")&amp;",")))&gt;0)),IF(IA164="",TRUE,IF(input_story_type="",FALSE,SUMPRODUCT(--ISNUMBER(SEARCH(","&amp;TRIM(TEXTSPLIT(IA164,","))&amp;",",","&amp;SUBSTITUTE(input_story_type," ","")&amp;",")))=COUNTA(TEXTSPLIT(IA164,",")))),IF(IC164="",TRUE,IF(input_story_type="",TRUE,SUMPRODUCT(--ISNUMBER(SEARCH(","&amp;TRIM(TEXTSPLIT(IC164,","))&amp;",",","&amp;SUBSTITUTE(input_story_type," ","")&amp;",")))=0)),IF(IE164="",TRUE,IF(input_story_type="",FALSE,SUMPRODUCT(--ISNUMBER(SEARCH(","&amp;TRIM(TEXTSPLIT(IE164,","))&amp;",",","&amp;SUBSTITUTE(input_story_type," ","")&amp;",")))&gt;0)),IF(IG164="",TRUE,IF(input_story_type="",FALSE,SUMPRODUCT(--ISNUMBER(SEARCH(","&amp;TRIM(TEXTSPLIT(IG164,","))&amp;",",","&amp;SUBSTITUTE(input_story_type," ","")&amp;",")))=COUNTA(TEXTSPLIT(IG164,",")))))</f>
        <v/>
      </c>
      <c r="JQ164" s="19">
        <f>AND(IF(II164="",TRUE,IF(input_topics="",FALSE,SUMPRODUCT(--ISNUMBER(SEARCH(","&amp;TRIM(TEXTSPLIT(II164,","))&amp;",",","&amp;SUBSTITUTE(input_topics," ","")&amp;",")))&gt;0)),IF(IK164="",TRUE,IF(input_topics="",FALSE,SUMPRODUCT(--ISNUMBER(SEARCH(","&amp;TRIM(TEXTSPLIT(IK164,","))&amp;",",","&amp;SUBSTITUTE(input_topics," ","")&amp;",")))=COUNTA(TEXTSPLIT(IK164,",")))),IF(IM164="",TRUE,IF(input_topics="",TRUE,SUMPRODUCT(--ISNUMBER(SEARCH(","&amp;TRIM(TEXTSPLIT(IM164,","))&amp;",",","&amp;SUBSTITUTE(input_topics," ","")&amp;",")))=0)),IF(IO164="",TRUE,IF(input_topics="",FALSE,SUMPRODUCT(--ISNUMBER(SEARCH(","&amp;TRIM(TEXTSPLIT(IO164,","))&amp;",",","&amp;SUBSTITUTE(input_topics," ","")&amp;",")))&gt;0)),IF(IQ164="",TRUE,IF(input_topics="",FALSE,SUMPRODUCT(--ISNUMBER(SEARCH(","&amp;TRIM(TEXTSPLIT(IQ164,","))&amp;",",","&amp;SUBSTITUTE(input_topics," ","")&amp;",")))=COUNTA(TEXTSPLIT(IQ164,",")))))</f>
        <v/>
      </c>
    </row>
    <row r="165">
      <c r="A165" s="24">
        <f>IF(NOT(IS165),"Excluded",IF(AND(IT165,IU165,IV165,IW165,IX165,IY165,IZ165,JA165,JB165,JC165,JD165,JE165,JF165,JG165,JH165,JI165,JJ165,JK165,JL165,JM165,JN165,JO165,JP165,JQ165),IF(I165&gt;0,"Eligible but limited","Will appear"),"Excluded"))</f>
        <v/>
      </c>
      <c r="B165" s="24" t="inlineStr">
        <is>
          <t>Related profiles on profile pages</t>
        </is>
      </c>
      <c r="C165" s="27" t="inlineStr">
        <is>
          <t>/profile/audrey-atwell-23-0</t>
        </is>
      </c>
      <c r="D165" s="24" t="inlineStr">
        <is>
          <t>/profile/audrey-atwell-23-0
/profile/chris-teng-23
/profile/crystal-zhang-23</t>
        </is>
      </c>
      <c r="E165" s="24" t="n">
        <v>50</v>
      </c>
      <c r="F165" s="24" t="inlineStr">
        <is>
          <t>profile</t>
        </is>
      </c>
      <c r="G165" s="24" t="inlineStr">
        <is>
          <t>profiles_grid</t>
        </is>
      </c>
      <c r="H165" s="24" t="inlineStr">
        <is>
          <t>related</t>
        </is>
      </c>
      <c r="I165" s="24" t="n">
        <v>3</v>
      </c>
      <c r="J165" s="28" t="inlineStr">
        <is>
          <t>Explicit args</t>
        </is>
      </c>
      <c r="K165" s="24" t="inlineStr">
        <is>
          <t>Grouped surface</t>
        </is>
      </c>
      <c r="L165" s="24" t="inlineStr">
        <is>
          <t>Content type: profile; Context uses Profile Type: Student (1551); Context uses Program: MBA for Executives (80); Limited to 3 item(s); Source: Explicit args</t>
        </is>
      </c>
      <c r="HA165" s="19" t="inlineStr">
        <is>
          <t>1551</t>
        </is>
      </c>
      <c r="HB165" s="19" t="inlineStr">
        <is>
          <t>Student (1551)</t>
        </is>
      </c>
      <c r="HK165" s="19" t="inlineStr">
        <is>
          <t>80</t>
        </is>
      </c>
      <c r="HL165" s="19" t="inlineStr">
        <is>
          <t>MBA for Executives (80)</t>
        </is>
      </c>
      <c r="IS165" s="19">
        <f>IF(input_content_type="",FALSE,ISNUMBER(SEARCH(","&amp;LOWER(input_content_type)&amp;",",","&amp;LOWER(SUBSTITUTE(F165," ",""))&amp;",")))</f>
        <v/>
      </c>
      <c r="IT165" s="19">
        <f>AND(IF(M165="",TRUE,IF(input_affiliations="",FALSE,SUMPRODUCT(--ISNUMBER(SEARCH(","&amp;TRIM(TEXTSPLIT(M165,","))&amp;",",","&amp;SUBSTITUTE(input_affiliations," ","")&amp;",")))&gt;0)),IF(O165="",TRUE,IF(input_affiliations="",FALSE,SUMPRODUCT(--ISNUMBER(SEARCH(","&amp;TRIM(TEXTSPLIT(O165,","))&amp;",",","&amp;SUBSTITUTE(input_affiliations," ","")&amp;",")))=COUNTA(TEXTSPLIT(O165,",")))),IF(Q165="",TRUE,IF(input_affiliations="",TRUE,SUMPRODUCT(--ISNUMBER(SEARCH(","&amp;TRIM(TEXTSPLIT(Q165,","))&amp;",",","&amp;SUBSTITUTE(input_affiliations," ","")&amp;",")))=0)),IF(S165="",TRUE,IF(input_affiliations="",FALSE,SUMPRODUCT(--ISNUMBER(SEARCH(","&amp;TRIM(TEXTSPLIT(S165,","))&amp;",",","&amp;SUBSTITUTE(input_affiliations," ","")&amp;",")))&gt;0)),IF(U165="",TRUE,IF(input_affiliations="",FALSE,SUMPRODUCT(--ISNUMBER(SEARCH(","&amp;TRIM(TEXTSPLIT(U165,","))&amp;",",","&amp;SUBSTITUTE(input_affiliations," ","")&amp;",")))=COUNTA(TEXTSPLIT(U165,",")))))</f>
        <v/>
      </c>
      <c r="IU165" s="19">
        <f>AND(IF(W165="",TRUE,IF(input_announcement_category="",FALSE,SUMPRODUCT(--ISNUMBER(SEARCH(","&amp;TRIM(TEXTSPLIT(W165,","))&amp;",",","&amp;SUBSTITUTE(input_announcement_category," ","")&amp;",")))&gt;0)),IF(Y165="",TRUE,IF(input_announcement_category="",FALSE,SUMPRODUCT(--ISNUMBER(SEARCH(","&amp;TRIM(TEXTSPLIT(Y165,","))&amp;",",","&amp;SUBSTITUTE(input_announcement_category," ","")&amp;",")))=COUNTA(TEXTSPLIT(Y165,",")))),IF(AA165="",TRUE,IF(input_announcement_category="",TRUE,SUMPRODUCT(--ISNUMBER(SEARCH(","&amp;TRIM(TEXTSPLIT(AA165,","))&amp;",",","&amp;SUBSTITUTE(input_announcement_category," ","")&amp;",")))=0)),IF(AC165="",TRUE,IF(input_announcement_category="",FALSE,SUMPRODUCT(--ISNUMBER(SEARCH(","&amp;TRIM(TEXTSPLIT(AC165,","))&amp;",",","&amp;SUBSTITUTE(input_announcement_category," ","")&amp;",")))&gt;0)),IF(AE165="",TRUE,IF(input_announcement_category="",FALSE,SUMPRODUCT(--ISNUMBER(SEARCH(","&amp;TRIM(TEXTSPLIT(AE165,","))&amp;",",","&amp;SUBSTITUTE(input_announcement_category," ","")&amp;",")))=COUNTA(TEXTSPLIT(AE165,",")))))</f>
        <v/>
      </c>
      <c r="IV165" s="19">
        <f>AND(IF(AG165="",TRUE,IF(input_area_of_focus="",FALSE,SUMPRODUCT(--ISNUMBER(SEARCH(","&amp;TRIM(TEXTSPLIT(AG165,","))&amp;",",","&amp;SUBSTITUTE(input_area_of_focus," ","")&amp;",")))&gt;0)),IF(AI165="",TRUE,IF(input_area_of_focus="",FALSE,SUMPRODUCT(--ISNUMBER(SEARCH(","&amp;TRIM(TEXTSPLIT(AI165,","))&amp;",",","&amp;SUBSTITUTE(input_area_of_focus," ","")&amp;",")))=COUNTA(TEXTSPLIT(AI165,",")))),IF(AK165="",TRUE,IF(input_area_of_focus="",TRUE,SUMPRODUCT(--ISNUMBER(SEARCH(","&amp;TRIM(TEXTSPLIT(AK165,","))&amp;",",","&amp;SUBSTITUTE(input_area_of_focus," ","")&amp;",")))=0)),IF(AM165="",TRUE,IF(input_area_of_focus="",FALSE,SUMPRODUCT(--ISNUMBER(SEARCH(","&amp;TRIM(TEXTSPLIT(AM165,","))&amp;",",","&amp;SUBSTITUTE(input_area_of_focus," ","")&amp;",")))&gt;0)),IF(AO165="",TRUE,IF(input_area_of_focus="",FALSE,SUMPRODUCT(--ISNUMBER(SEARCH(","&amp;TRIM(TEXTSPLIT(AO165,","))&amp;",",","&amp;SUBSTITUTE(input_area_of_focus," ","")&amp;",")))=COUNTA(TEXTSPLIT(AO165,",")))))</f>
        <v/>
      </c>
      <c r="IW165" s="19">
        <f>AND(IF(AQ165="",TRUE,IF(input_audience="",FALSE,SUMPRODUCT(--ISNUMBER(SEARCH(","&amp;TRIM(TEXTSPLIT(AQ165,","))&amp;",",","&amp;SUBSTITUTE(input_audience," ","")&amp;",")))&gt;0)),IF(AS165="",TRUE,IF(input_audience="",FALSE,SUMPRODUCT(--ISNUMBER(SEARCH(","&amp;TRIM(TEXTSPLIT(AS165,","))&amp;",",","&amp;SUBSTITUTE(input_audience," ","")&amp;",")))=COUNTA(TEXTSPLIT(AS165,",")))),IF(AU165="",TRUE,IF(input_audience="",TRUE,SUMPRODUCT(--ISNUMBER(SEARCH(","&amp;TRIM(TEXTSPLIT(AU165,","))&amp;",",","&amp;SUBSTITUTE(input_audience," ","")&amp;",")))=0)),IF(AW165="",TRUE,IF(input_audience="",FALSE,SUMPRODUCT(--ISNUMBER(SEARCH(","&amp;TRIM(TEXTSPLIT(AW165,","))&amp;",",","&amp;SUBSTITUTE(input_audience," ","")&amp;",")))&gt;0)),IF(AY165="",TRUE,IF(input_audience="",FALSE,SUMPRODUCT(--ISNUMBER(SEARCH(","&amp;TRIM(TEXTSPLIT(AY165,","))&amp;",",","&amp;SUBSTITUTE(input_audience," ","")&amp;",")))=COUNTA(TEXTSPLIT(AY165,",")))))</f>
        <v/>
      </c>
      <c r="IX165" s="19">
        <f>AND(IF(BA165="",TRUE,IF(input_challenge_opportunities="",FALSE,SUMPRODUCT(--ISNUMBER(SEARCH(","&amp;TRIM(TEXTSPLIT(BA165,","))&amp;",",","&amp;SUBSTITUTE(input_challenge_opportunities," ","")&amp;",")))&gt;0)),IF(BC165="",TRUE,IF(input_challenge_opportunities="",FALSE,SUMPRODUCT(--ISNUMBER(SEARCH(","&amp;TRIM(TEXTSPLIT(BC165,","))&amp;",",","&amp;SUBSTITUTE(input_challenge_opportunities," ","")&amp;",")))=COUNTA(TEXTSPLIT(BC165,",")))),IF(BE165="",TRUE,IF(input_challenge_opportunities="",TRUE,SUMPRODUCT(--ISNUMBER(SEARCH(","&amp;TRIM(TEXTSPLIT(BE165,","))&amp;",",","&amp;SUBSTITUTE(input_challenge_opportunities," ","")&amp;",")))=0)),IF(BG165="",TRUE,IF(input_challenge_opportunities="",FALSE,SUMPRODUCT(--ISNUMBER(SEARCH(","&amp;TRIM(TEXTSPLIT(BG165,","))&amp;",",","&amp;SUBSTITUTE(input_challenge_opportunities," ","")&amp;",")))&gt;0)),IF(BI165="",TRUE,IF(input_challenge_opportunities="",FALSE,SUMPRODUCT(--ISNUMBER(SEARCH(","&amp;TRIM(TEXTSPLIT(BI165,","))&amp;",",","&amp;SUBSTITUTE(input_challenge_opportunities," ","")&amp;",")))=COUNTA(TEXTSPLIT(BI165,",")))))</f>
        <v/>
      </c>
      <c r="IY165" s="19">
        <f>AND(IF(BK165="",TRUE,IF(input_context="",FALSE,SUMPRODUCT(--ISNUMBER(SEARCH(","&amp;TRIM(TEXTSPLIT(BK165,","))&amp;",",","&amp;SUBSTITUTE(input_context," ","")&amp;",")))&gt;0)),IF(BM165="",TRUE,IF(input_context="",FALSE,SUMPRODUCT(--ISNUMBER(SEARCH(","&amp;TRIM(TEXTSPLIT(BM165,","))&amp;",",","&amp;SUBSTITUTE(input_context," ","")&amp;",")))=COUNTA(TEXTSPLIT(BM165,",")))),IF(BO165="",TRUE,IF(input_context="",TRUE,SUMPRODUCT(--ISNUMBER(SEARCH(","&amp;TRIM(TEXTSPLIT(BO165,","))&amp;",",","&amp;SUBSTITUTE(input_context," ","")&amp;",")))=0)),IF(BQ165="",TRUE,IF(input_context="",FALSE,SUMPRODUCT(--ISNUMBER(SEARCH(","&amp;TRIM(TEXTSPLIT(BQ165,","))&amp;",",","&amp;SUBSTITUTE(input_context," ","")&amp;",")))&gt;0)),IF(BS165="",TRUE,IF(input_context="",FALSE,SUMPRODUCT(--ISNUMBER(SEARCH(","&amp;TRIM(TEXTSPLIT(BS165,","))&amp;",",","&amp;SUBSTITUTE(input_context," ","")&amp;",")))=COUNTA(TEXTSPLIT(BS165,",")))))</f>
        <v/>
      </c>
      <c r="IZ165" s="19">
        <f>AND(IF(BU165="",TRUE,IF(input_enews_announcement_type="",FALSE,SUMPRODUCT(--ISNUMBER(SEARCH(","&amp;TRIM(TEXTSPLIT(BU165,","))&amp;",",","&amp;SUBSTITUTE(input_enews_announcement_type," ","")&amp;",")))&gt;0)),IF(BW165="",TRUE,IF(input_enews_announcement_type="",FALSE,SUMPRODUCT(--ISNUMBER(SEARCH(","&amp;TRIM(TEXTSPLIT(BW165,","))&amp;",",","&amp;SUBSTITUTE(input_enews_announcement_type," ","")&amp;",")))=COUNTA(TEXTSPLIT(BW165,",")))),IF(BY165="",TRUE,IF(input_enews_announcement_type="",TRUE,SUMPRODUCT(--ISNUMBER(SEARCH(","&amp;TRIM(TEXTSPLIT(BY165,","))&amp;",",","&amp;SUBSTITUTE(input_enews_announcement_type," ","")&amp;",")))=0)),IF(CA165="",TRUE,IF(input_enews_announcement_type="",FALSE,SUMPRODUCT(--ISNUMBER(SEARCH(","&amp;TRIM(TEXTSPLIT(CA165,","))&amp;",",","&amp;SUBSTITUTE(input_enews_announcement_type," ","")&amp;",")))&gt;0)),IF(CC165="",TRUE,IF(input_enews_announcement_type="",FALSE,SUMPRODUCT(--ISNUMBER(SEARCH(","&amp;TRIM(TEXTSPLIT(CC165,","))&amp;",",","&amp;SUBSTITUTE(input_enews_announcement_type," ","")&amp;",")))=COUNTA(TEXTSPLIT(CC165,",")))))</f>
        <v/>
      </c>
      <c r="JA165" s="19">
        <f>AND(IF(CE165="",TRUE,IF(input_enews_audience="",FALSE,SUMPRODUCT(--ISNUMBER(SEARCH(","&amp;TRIM(TEXTSPLIT(CE165,","))&amp;",",","&amp;SUBSTITUTE(input_enews_audience," ","")&amp;",")))&gt;0)),IF(CG165="",TRUE,IF(input_enews_audience="",FALSE,SUMPRODUCT(--ISNUMBER(SEARCH(","&amp;TRIM(TEXTSPLIT(CG165,","))&amp;",",","&amp;SUBSTITUTE(input_enews_audience," ","")&amp;",")))=COUNTA(TEXTSPLIT(CG165,",")))),IF(CI165="",TRUE,IF(input_enews_audience="",TRUE,SUMPRODUCT(--ISNUMBER(SEARCH(","&amp;TRIM(TEXTSPLIT(CI165,","))&amp;",",","&amp;SUBSTITUTE(input_enews_audience," ","")&amp;",")))=0)),IF(CK165="",TRUE,IF(input_enews_audience="",FALSE,SUMPRODUCT(--ISNUMBER(SEARCH(","&amp;TRIM(TEXTSPLIT(CK165,","))&amp;",",","&amp;SUBSTITUTE(input_enews_audience," ","")&amp;",")))&gt;0)),IF(CM165="",TRUE,IF(input_enews_audience="",FALSE,SUMPRODUCT(--ISNUMBER(SEARCH(","&amp;TRIM(TEXTSPLIT(CM165,","))&amp;",",","&amp;SUBSTITUTE(input_enews_audience," ","")&amp;",")))=COUNTA(TEXTSPLIT(CM165,",")))))</f>
        <v/>
      </c>
      <c r="JB165" s="19">
        <f>AND(IF(CO165="",TRUE,IF(input_event_location="",FALSE,SUMPRODUCT(--ISNUMBER(SEARCH(","&amp;TRIM(TEXTSPLIT(CO165,","))&amp;",",","&amp;SUBSTITUTE(input_event_location," ","")&amp;",")))&gt;0)),IF(CQ165="",TRUE,IF(input_event_location="",FALSE,SUMPRODUCT(--ISNUMBER(SEARCH(","&amp;TRIM(TEXTSPLIT(CQ165,","))&amp;",",","&amp;SUBSTITUTE(input_event_location," ","")&amp;",")))=COUNTA(TEXTSPLIT(CQ165,",")))),IF(CS165="",TRUE,IF(input_event_location="",TRUE,SUMPRODUCT(--ISNUMBER(SEARCH(","&amp;TRIM(TEXTSPLIT(CS165,","))&amp;",",","&amp;SUBSTITUTE(input_event_location," ","")&amp;",")))=0)),IF(CU165="",TRUE,IF(input_event_location="",FALSE,SUMPRODUCT(--ISNUMBER(SEARCH(","&amp;TRIM(TEXTSPLIT(CU165,","))&amp;",",","&amp;SUBSTITUTE(input_event_location," ","")&amp;",")))&gt;0)),IF(CW165="",TRUE,IF(input_event_location="",FALSE,SUMPRODUCT(--ISNUMBER(SEARCH(","&amp;TRIM(TEXTSPLIT(CW165,","))&amp;",",","&amp;SUBSTITUTE(input_event_location," ","")&amp;",")))=COUNTA(TEXTSPLIT(CW165,",")))))</f>
        <v/>
      </c>
      <c r="JC165" s="19">
        <f>AND(IF(CY165="",TRUE,IF(input_event_type="",FALSE,SUMPRODUCT(--ISNUMBER(SEARCH(","&amp;TRIM(TEXTSPLIT(CY165,","))&amp;",",","&amp;SUBSTITUTE(input_event_type," ","")&amp;",")))&gt;0)),IF(DA165="",TRUE,IF(input_event_type="",FALSE,SUMPRODUCT(--ISNUMBER(SEARCH(","&amp;TRIM(TEXTSPLIT(DA165,","))&amp;",",","&amp;SUBSTITUTE(input_event_type," ","")&amp;",")))=COUNTA(TEXTSPLIT(DA165,",")))),IF(DC165="",TRUE,IF(input_event_type="",TRUE,SUMPRODUCT(--ISNUMBER(SEARCH(","&amp;TRIM(TEXTSPLIT(DC165,","))&amp;",",","&amp;SUBSTITUTE(input_event_type," ","")&amp;",")))=0)),IF(DE165="",TRUE,IF(input_event_type="",FALSE,SUMPRODUCT(--ISNUMBER(SEARCH(","&amp;TRIM(TEXTSPLIT(DE165,","))&amp;",",","&amp;SUBSTITUTE(input_event_type," ","")&amp;",")))&gt;0)),IF(DG165="",TRUE,IF(input_event_type="",FALSE,SUMPRODUCT(--ISNUMBER(SEARCH(","&amp;TRIM(TEXTSPLIT(DG165,","))&amp;",",","&amp;SUBSTITUTE(input_event_type," ","")&amp;",")))=COUNTA(TEXTSPLIT(DG165,",")))))</f>
        <v/>
      </c>
      <c r="JD165" s="19">
        <f>AND(IF(DI165="",TRUE,IF(input_executive_education_focus="",FALSE,SUMPRODUCT(--ISNUMBER(SEARCH(","&amp;TRIM(TEXTSPLIT(DI165,","))&amp;",",","&amp;SUBSTITUTE(input_executive_education_focus," ","")&amp;",")))&gt;0)),IF(DK165="",TRUE,IF(input_executive_education_focus="",FALSE,SUMPRODUCT(--ISNUMBER(SEARCH(","&amp;TRIM(TEXTSPLIT(DK165,","))&amp;",",","&amp;SUBSTITUTE(input_executive_education_focus," ","")&amp;",")))=COUNTA(TEXTSPLIT(DK165,",")))),IF(DM165="",TRUE,IF(input_executive_education_focus="",TRUE,SUMPRODUCT(--ISNUMBER(SEARCH(","&amp;TRIM(TEXTSPLIT(DM165,","))&amp;",",","&amp;SUBSTITUTE(input_executive_education_focus," ","")&amp;",")))=0)),IF(DO165="",TRUE,IF(input_executive_education_focus="",FALSE,SUMPRODUCT(--ISNUMBER(SEARCH(","&amp;TRIM(TEXTSPLIT(DO165,","))&amp;",",","&amp;SUBSTITUTE(input_executive_education_focus," ","")&amp;",")))&gt;0)),IF(DQ165="",TRUE,IF(input_executive_education_focus="",FALSE,SUMPRODUCT(--ISNUMBER(SEARCH(","&amp;TRIM(TEXTSPLIT(DQ165,","))&amp;",",","&amp;SUBSTITUTE(input_executive_education_focus," ","")&amp;",")))=COUNTA(TEXTSPLIT(DQ165,",")))))</f>
        <v/>
      </c>
      <c r="JE165" s="19">
        <f>AND(IF(DS165="",TRUE,IF(input_faculty_category="",FALSE,SUMPRODUCT(--ISNUMBER(SEARCH(","&amp;TRIM(TEXTSPLIT(DS165,","))&amp;",",","&amp;SUBSTITUTE(input_faculty_category," ","")&amp;",")))&gt;0)),IF(DU165="",TRUE,IF(input_faculty_category="",FALSE,SUMPRODUCT(--ISNUMBER(SEARCH(","&amp;TRIM(TEXTSPLIT(DU165,","))&amp;",",","&amp;SUBSTITUTE(input_faculty_category," ","")&amp;",")))=COUNTA(TEXTSPLIT(DU165,",")))),IF(DW165="",TRUE,IF(input_faculty_category="",TRUE,SUMPRODUCT(--ISNUMBER(SEARCH(","&amp;TRIM(TEXTSPLIT(DW165,","))&amp;",",","&amp;SUBSTITUTE(input_faculty_category," ","")&amp;",")))=0)),IF(DY165="",TRUE,IF(input_faculty_category="",FALSE,SUMPRODUCT(--ISNUMBER(SEARCH(","&amp;TRIM(TEXTSPLIT(DY165,","))&amp;",",","&amp;SUBSTITUTE(input_faculty_category," ","")&amp;",")))&gt;0)),IF(EA165="",TRUE,IF(input_faculty_category="",FALSE,SUMPRODUCT(--ISNUMBER(SEARCH(","&amp;TRIM(TEXTSPLIT(EA165,","))&amp;",",","&amp;SUBSTITUTE(input_faculty_category," ","")&amp;",")))=COUNTA(TEXTSPLIT(EA165,",")))))</f>
        <v/>
      </c>
      <c r="JF165" s="19">
        <f>AND(IF(EC165="",TRUE,IF(input_faculty_discipline="",FALSE,SUMPRODUCT(--ISNUMBER(SEARCH(","&amp;TRIM(TEXTSPLIT(EC165,","))&amp;",",","&amp;SUBSTITUTE(input_faculty_discipline," ","")&amp;",")))&gt;0)),IF(EE165="",TRUE,IF(input_faculty_discipline="",FALSE,SUMPRODUCT(--ISNUMBER(SEARCH(","&amp;TRIM(TEXTSPLIT(EE165,","))&amp;",",","&amp;SUBSTITUTE(input_faculty_discipline," ","")&amp;",")))=COUNTA(TEXTSPLIT(EE165,",")))),IF(EG165="",TRUE,IF(input_faculty_discipline="",TRUE,SUMPRODUCT(--ISNUMBER(SEARCH(","&amp;TRIM(TEXTSPLIT(EG165,","))&amp;",",","&amp;SUBSTITUTE(input_faculty_discipline," ","")&amp;",")))=0)),IF(EI165="",TRUE,IF(input_faculty_discipline="",FALSE,SUMPRODUCT(--ISNUMBER(SEARCH(","&amp;TRIM(TEXTSPLIT(EI165,","))&amp;",",","&amp;SUBSTITUTE(input_faculty_discipline," ","")&amp;",")))&gt;0)),IF(EK165="",TRUE,IF(input_faculty_discipline="",FALSE,SUMPRODUCT(--ISNUMBER(SEARCH(","&amp;TRIM(TEXTSPLIT(EK165,","))&amp;",",","&amp;SUBSTITUTE(input_faculty_discipline," ","")&amp;",")))=COUNTA(TEXTSPLIT(EK165,",")))))</f>
        <v/>
      </c>
      <c r="JG165" s="19">
        <f>AND(IF(EM165="",TRUE,IF(input_faculty_expertise="",FALSE,SUMPRODUCT(--ISNUMBER(SEARCH(","&amp;TRIM(TEXTSPLIT(EM165,","))&amp;",",","&amp;SUBSTITUTE(input_faculty_expertise," ","")&amp;",")))&gt;0)),IF(EO165="",TRUE,IF(input_faculty_expertise="",FALSE,SUMPRODUCT(--ISNUMBER(SEARCH(","&amp;TRIM(TEXTSPLIT(EO165,","))&amp;",",","&amp;SUBSTITUTE(input_faculty_expertise," ","")&amp;",")))=COUNTA(TEXTSPLIT(EO165,",")))),IF(EQ165="",TRUE,IF(input_faculty_expertise="",TRUE,SUMPRODUCT(--ISNUMBER(SEARCH(","&amp;TRIM(TEXTSPLIT(EQ165,","))&amp;",",","&amp;SUBSTITUTE(input_faculty_expertise," ","")&amp;",")))=0)),IF(ES165="",TRUE,IF(input_faculty_expertise="",FALSE,SUMPRODUCT(--ISNUMBER(SEARCH(","&amp;TRIM(TEXTSPLIT(ES165,","))&amp;",",","&amp;SUBSTITUTE(input_faculty_expertise," ","")&amp;",")))&gt;0)),IF(EU165="",TRUE,IF(input_faculty_expertise="",FALSE,SUMPRODUCT(--ISNUMBER(SEARCH(","&amp;TRIM(TEXTSPLIT(EU165,","))&amp;",",","&amp;SUBSTITUTE(input_faculty_expertise," ","")&amp;",")))=COUNTA(TEXTSPLIT(EU165,",")))))</f>
        <v/>
      </c>
      <c r="JH165" s="19">
        <f>AND(IF(EW165="",TRUE,IF(input_global_network_school="",FALSE,SUMPRODUCT(--ISNUMBER(SEARCH(","&amp;TRIM(TEXTSPLIT(EW165,","))&amp;",",","&amp;SUBSTITUTE(input_global_network_school," ","")&amp;",")))&gt;0)),IF(EY165="",TRUE,IF(input_global_network_school="",FALSE,SUMPRODUCT(--ISNUMBER(SEARCH(","&amp;TRIM(TEXTSPLIT(EY165,","))&amp;",",","&amp;SUBSTITUTE(input_global_network_school," ","")&amp;",")))=COUNTA(TEXTSPLIT(EY165,",")))),IF(FA165="",TRUE,IF(input_global_network_school="",TRUE,SUMPRODUCT(--ISNUMBER(SEARCH(","&amp;TRIM(TEXTSPLIT(FA165,","))&amp;",",","&amp;SUBSTITUTE(input_global_network_school," ","")&amp;",")))=0)),IF(FC165="",TRUE,IF(input_global_network_school="",FALSE,SUMPRODUCT(--ISNUMBER(SEARCH(","&amp;TRIM(TEXTSPLIT(FC165,","))&amp;",",","&amp;SUBSTITUTE(input_global_network_school," ","")&amp;",")))&gt;0)),IF(FE165="",TRUE,IF(input_global_network_school="",FALSE,SUMPRODUCT(--ISNUMBER(SEARCH(","&amp;TRIM(TEXTSPLIT(FE165,","))&amp;",",","&amp;SUBSTITUTE(input_global_network_school," ","")&amp;",")))=COUNTA(TEXTSPLIT(FE165,",")))))</f>
        <v/>
      </c>
      <c r="JI165" s="19">
        <f>AND(IF(FG165="",TRUE,IF(input_industry="",FALSE,SUMPRODUCT(--ISNUMBER(SEARCH(","&amp;TRIM(TEXTSPLIT(FG165,","))&amp;",",","&amp;SUBSTITUTE(input_industry," ","")&amp;",")))&gt;0)),IF(FI165="",TRUE,IF(input_industry="",FALSE,SUMPRODUCT(--ISNUMBER(SEARCH(","&amp;TRIM(TEXTSPLIT(FI165,","))&amp;",",","&amp;SUBSTITUTE(input_industry," ","")&amp;",")))=COUNTA(TEXTSPLIT(FI165,",")))),IF(FK165="",TRUE,IF(input_industry="",TRUE,SUMPRODUCT(--ISNUMBER(SEARCH(","&amp;TRIM(TEXTSPLIT(FK165,","))&amp;",",","&amp;SUBSTITUTE(input_industry," ","")&amp;",")))=0)),IF(FM165="",TRUE,IF(input_industry="",FALSE,SUMPRODUCT(--ISNUMBER(SEARCH(","&amp;TRIM(TEXTSPLIT(FM165,","))&amp;",",","&amp;SUBSTITUTE(input_industry," ","")&amp;",")))&gt;0)),IF(FO165="",TRUE,IF(input_industry="",FALSE,SUMPRODUCT(--ISNUMBER(SEARCH(","&amp;TRIM(TEXTSPLIT(FO165,","))&amp;",",","&amp;SUBSTITUTE(input_industry," ","")&amp;",")))=COUNTA(TEXTSPLIT(FO165,",")))))</f>
        <v/>
      </c>
      <c r="JJ165" s="19">
        <f>AND(IF(FQ165="",TRUE,IF(input_location="",FALSE,SUMPRODUCT(--ISNUMBER(SEARCH(","&amp;TRIM(TEXTSPLIT(FQ165,","))&amp;",",","&amp;SUBSTITUTE(input_location," ","")&amp;",")))&gt;0)),IF(FS165="",TRUE,IF(input_location="",FALSE,SUMPRODUCT(--ISNUMBER(SEARCH(","&amp;TRIM(TEXTSPLIT(FS165,","))&amp;",",","&amp;SUBSTITUTE(input_location," ","")&amp;",")))=COUNTA(TEXTSPLIT(FS165,",")))),IF(FU165="",TRUE,IF(input_location="",TRUE,SUMPRODUCT(--ISNUMBER(SEARCH(","&amp;TRIM(TEXTSPLIT(FU165,","))&amp;",",","&amp;SUBSTITUTE(input_location," ","")&amp;",")))=0)),IF(FW165="",TRUE,IF(input_location="",FALSE,SUMPRODUCT(--ISNUMBER(SEARCH(","&amp;TRIM(TEXTSPLIT(FW165,","))&amp;",",","&amp;SUBSTITUTE(input_location," ","")&amp;",")))&gt;0)),IF(FY165="",TRUE,IF(input_location="",FALSE,SUMPRODUCT(--ISNUMBER(SEARCH(","&amp;TRIM(TEXTSPLIT(FY165,","))&amp;",",","&amp;SUBSTITUTE(input_location," ","")&amp;",")))=COUNTA(TEXTSPLIT(FY165,",")))))</f>
        <v/>
      </c>
      <c r="JK165" s="19">
        <f>AND(IF(GA165="",TRUE,IF(input_modality="",FALSE,SUMPRODUCT(--ISNUMBER(SEARCH(","&amp;TRIM(TEXTSPLIT(GA165,","))&amp;",",","&amp;SUBSTITUTE(input_modality," ","")&amp;",")))&gt;0)),IF(GC165="",TRUE,IF(input_modality="",FALSE,SUMPRODUCT(--ISNUMBER(SEARCH(","&amp;TRIM(TEXTSPLIT(GC165,","))&amp;",",","&amp;SUBSTITUTE(input_modality," ","")&amp;",")))=COUNTA(TEXTSPLIT(GC165,",")))),IF(GE165="",TRUE,IF(input_modality="",TRUE,SUMPRODUCT(--ISNUMBER(SEARCH(","&amp;TRIM(TEXTSPLIT(GE165,","))&amp;",",","&amp;SUBSTITUTE(input_modality," ","")&amp;",")))=0)),IF(GG165="",TRUE,IF(input_modality="",FALSE,SUMPRODUCT(--ISNUMBER(SEARCH(","&amp;TRIM(TEXTSPLIT(GG165,","))&amp;",",","&amp;SUBSTITUTE(input_modality," ","")&amp;",")))&gt;0)),IF(GI165="",TRUE,IF(input_modality="",FALSE,SUMPRODUCT(--ISNUMBER(SEARCH(","&amp;TRIM(TEXTSPLIT(GI165,","))&amp;",",","&amp;SUBSTITUTE(input_modality," ","")&amp;",")))=COUNTA(TEXTSPLIT(GI165,",")))))</f>
        <v/>
      </c>
      <c r="JL165" s="19">
        <f>AND(IF(GK165="",TRUE,IF(input_organizer="",FALSE,SUMPRODUCT(--ISNUMBER(SEARCH(","&amp;TRIM(TEXTSPLIT(GK165,","))&amp;",",","&amp;SUBSTITUTE(input_organizer," ","")&amp;",")))&gt;0)),IF(GM165="",TRUE,IF(input_organizer="",FALSE,SUMPRODUCT(--ISNUMBER(SEARCH(","&amp;TRIM(TEXTSPLIT(GM165,","))&amp;",",","&amp;SUBSTITUTE(input_organizer," ","")&amp;",")))=COUNTA(TEXTSPLIT(GM165,",")))),IF(GO165="",TRUE,IF(input_organizer="",TRUE,SUMPRODUCT(--ISNUMBER(SEARCH(","&amp;TRIM(TEXTSPLIT(GO165,","))&amp;",",","&amp;SUBSTITUTE(input_organizer," ","")&amp;",")))=0)),IF(GQ165="",TRUE,IF(input_organizer="",FALSE,SUMPRODUCT(--ISNUMBER(SEARCH(","&amp;TRIM(TEXTSPLIT(GQ165,","))&amp;",",","&amp;SUBSTITUTE(input_organizer," ","")&amp;",")))&gt;0)),IF(GS165="",TRUE,IF(input_organizer="",FALSE,SUMPRODUCT(--ISNUMBER(SEARCH(","&amp;TRIM(TEXTSPLIT(GS165,","))&amp;",",","&amp;SUBSTITUTE(input_organizer," ","")&amp;",")))=COUNTA(TEXTSPLIT(GS165,",")))))</f>
        <v/>
      </c>
      <c r="JM165" s="19">
        <f>AND(IF(GU165="",TRUE,IF(input_profile_type="",FALSE,SUMPRODUCT(--ISNUMBER(SEARCH(","&amp;TRIM(TEXTSPLIT(GU165,","))&amp;",",","&amp;SUBSTITUTE(input_profile_type," ","")&amp;",")))&gt;0)),IF(GW165="",TRUE,IF(input_profile_type="",FALSE,SUMPRODUCT(--ISNUMBER(SEARCH(","&amp;TRIM(TEXTSPLIT(GW165,","))&amp;",",","&amp;SUBSTITUTE(input_profile_type," ","")&amp;",")))=COUNTA(TEXTSPLIT(GW165,",")))),IF(GY165="",TRUE,IF(input_profile_type="",TRUE,SUMPRODUCT(--ISNUMBER(SEARCH(","&amp;TRIM(TEXTSPLIT(GY165,","))&amp;",",","&amp;SUBSTITUTE(input_profile_type," ","")&amp;",")))=0)),IF(HA165="",TRUE,IF(input_profile_type="",FALSE,SUMPRODUCT(--ISNUMBER(SEARCH(","&amp;TRIM(TEXTSPLIT(HA165,","))&amp;",",","&amp;SUBSTITUTE(input_profile_type," ","")&amp;",")))&gt;0)),IF(HC165="",TRUE,IF(input_profile_type="",FALSE,SUMPRODUCT(--ISNUMBER(SEARCH(","&amp;TRIM(TEXTSPLIT(HC165,","))&amp;",",","&amp;SUBSTITUTE(input_profile_type," ","")&amp;",")))=COUNTA(TEXTSPLIT(HC165,",")))))</f>
        <v/>
      </c>
      <c r="JN165" s="19">
        <f>AND(IF(HE165="",TRUE,IF(input_program="",FALSE,SUMPRODUCT(--ISNUMBER(SEARCH(","&amp;TRIM(TEXTSPLIT(HE165,","))&amp;",",","&amp;SUBSTITUTE(input_program," ","")&amp;",")))&gt;0)),IF(HG165="",TRUE,IF(input_program="",FALSE,SUMPRODUCT(--ISNUMBER(SEARCH(","&amp;TRIM(TEXTSPLIT(HG165,","))&amp;",",","&amp;SUBSTITUTE(input_program," ","")&amp;",")))=COUNTA(TEXTSPLIT(HG165,",")))),IF(HI165="",TRUE,IF(input_program="",TRUE,SUMPRODUCT(--ISNUMBER(SEARCH(","&amp;TRIM(TEXTSPLIT(HI165,","))&amp;",",","&amp;SUBSTITUTE(input_program," ","")&amp;",")))=0)),IF(HK165="",TRUE,IF(input_program="",FALSE,SUMPRODUCT(--ISNUMBER(SEARCH(","&amp;TRIM(TEXTSPLIT(HK165,","))&amp;",",","&amp;SUBSTITUTE(input_program," ","")&amp;",")))&gt;0)),IF(HM165="",TRUE,IF(input_program="",FALSE,SUMPRODUCT(--ISNUMBER(SEARCH(","&amp;TRIM(TEXTSPLIT(HM165,","))&amp;",",","&amp;SUBSTITUTE(input_program," ","")&amp;",")))=COUNTA(TEXTSPLIT(HM165,",")))))</f>
        <v/>
      </c>
      <c r="JO165" s="19">
        <f>AND(IF(HO165="",TRUE,IF(input_story_categories="",FALSE,SUMPRODUCT(--ISNUMBER(SEARCH(","&amp;TRIM(TEXTSPLIT(HO165,","))&amp;",",","&amp;SUBSTITUTE(input_story_categories," ","")&amp;",")))&gt;0)),IF(HQ165="",TRUE,IF(input_story_categories="",FALSE,SUMPRODUCT(--ISNUMBER(SEARCH(","&amp;TRIM(TEXTSPLIT(HQ165,","))&amp;",",","&amp;SUBSTITUTE(input_story_categories," ","")&amp;",")))=COUNTA(TEXTSPLIT(HQ165,",")))),IF(HS165="",TRUE,IF(input_story_categories="",TRUE,SUMPRODUCT(--ISNUMBER(SEARCH(","&amp;TRIM(TEXTSPLIT(HS165,","))&amp;",",","&amp;SUBSTITUTE(input_story_categories," ","")&amp;",")))=0)),IF(HU165="",TRUE,IF(input_story_categories="",FALSE,SUMPRODUCT(--ISNUMBER(SEARCH(","&amp;TRIM(TEXTSPLIT(HU165,","))&amp;",",","&amp;SUBSTITUTE(input_story_categories," ","")&amp;",")))&gt;0)),IF(HW165="",TRUE,IF(input_story_categories="",FALSE,SUMPRODUCT(--ISNUMBER(SEARCH(","&amp;TRIM(TEXTSPLIT(HW165,","))&amp;",",","&amp;SUBSTITUTE(input_story_categories," ","")&amp;",")))=COUNTA(TEXTSPLIT(HW165,",")))))</f>
        <v/>
      </c>
      <c r="JP165" s="19">
        <f>AND(IF(HY165="",TRUE,IF(input_story_type="",FALSE,SUMPRODUCT(--ISNUMBER(SEARCH(","&amp;TRIM(TEXTSPLIT(HY165,","))&amp;",",","&amp;SUBSTITUTE(input_story_type," ","")&amp;",")))&gt;0)),IF(IA165="",TRUE,IF(input_story_type="",FALSE,SUMPRODUCT(--ISNUMBER(SEARCH(","&amp;TRIM(TEXTSPLIT(IA165,","))&amp;",",","&amp;SUBSTITUTE(input_story_type," ","")&amp;",")))=COUNTA(TEXTSPLIT(IA165,",")))),IF(IC165="",TRUE,IF(input_story_type="",TRUE,SUMPRODUCT(--ISNUMBER(SEARCH(","&amp;TRIM(TEXTSPLIT(IC165,","))&amp;",",","&amp;SUBSTITUTE(input_story_type," ","")&amp;",")))=0)),IF(IE165="",TRUE,IF(input_story_type="",FALSE,SUMPRODUCT(--ISNUMBER(SEARCH(","&amp;TRIM(TEXTSPLIT(IE165,","))&amp;",",","&amp;SUBSTITUTE(input_story_type," ","")&amp;",")))&gt;0)),IF(IG165="",TRUE,IF(input_story_type="",FALSE,SUMPRODUCT(--ISNUMBER(SEARCH(","&amp;TRIM(TEXTSPLIT(IG165,","))&amp;",",","&amp;SUBSTITUTE(input_story_type," ","")&amp;",")))=COUNTA(TEXTSPLIT(IG165,",")))))</f>
        <v/>
      </c>
      <c r="JQ165" s="19">
        <f>AND(IF(II165="",TRUE,IF(input_topics="",FALSE,SUMPRODUCT(--ISNUMBER(SEARCH(","&amp;TRIM(TEXTSPLIT(II165,","))&amp;",",","&amp;SUBSTITUTE(input_topics," ","")&amp;",")))&gt;0)),IF(IK165="",TRUE,IF(input_topics="",FALSE,SUMPRODUCT(--ISNUMBER(SEARCH(","&amp;TRIM(TEXTSPLIT(IK165,","))&amp;",",","&amp;SUBSTITUTE(input_topics," ","")&amp;",")))=COUNTA(TEXTSPLIT(IK165,",")))),IF(IM165="",TRUE,IF(input_topics="",TRUE,SUMPRODUCT(--ISNUMBER(SEARCH(","&amp;TRIM(TEXTSPLIT(IM165,","))&amp;",",","&amp;SUBSTITUTE(input_topics," ","")&amp;",")))=0)),IF(IO165="",TRUE,IF(input_topics="",FALSE,SUMPRODUCT(--ISNUMBER(SEARCH(","&amp;TRIM(TEXTSPLIT(IO165,","))&amp;",",","&amp;SUBSTITUTE(input_topics," ","")&amp;",")))&gt;0)),IF(IQ165="",TRUE,IF(input_topics="",FALSE,SUMPRODUCT(--ISNUMBER(SEARCH(","&amp;TRIM(TEXTSPLIT(IQ165,","))&amp;",",","&amp;SUBSTITUTE(input_topics," ","")&amp;",")))=COUNTA(TEXTSPLIT(IQ165,",")))))</f>
        <v/>
      </c>
    </row>
    <row r="166">
      <c r="A166" s="24">
        <f>IF(NOT(IS166),"Excluded",IF(AND(IT166,IU166,IV166,IW166,IX166,IY166,IZ166,JA166,JB166,JC166,JD166,JE166,JF166,JG166,JH166,JI166,JJ166,JK166,JL166,JM166,JN166,JO166,JP166,JQ166),IF(I166&gt;0,"Eligible but limited","Will appear"),"Excluded"))</f>
        <v/>
      </c>
      <c r="B166" s="24" t="inlineStr">
        <is>
          <t>Related profiles on profile pages</t>
        </is>
      </c>
      <c r="C166" s="27" t="inlineStr">
        <is>
          <t>/profile/faculty/k-sudhir</t>
        </is>
      </c>
      <c r="D166" s="24" t="inlineStr">
        <is>
          <t>/profile/faculty/k-sudhir
/profile/faculty/vahideh-manshadi
/profile/professor-barry-nalebuff</t>
        </is>
      </c>
      <c r="E166" s="24" t="n">
        <v>11</v>
      </c>
      <c r="F166" s="24" t="inlineStr">
        <is>
          <t>profile</t>
        </is>
      </c>
      <c r="G166" s="24" t="inlineStr">
        <is>
          <t>profiles_grid</t>
        </is>
      </c>
      <c r="H166" s="24" t="inlineStr">
        <is>
          <t>related</t>
        </is>
      </c>
      <c r="I166" s="24" t="n">
        <v>3</v>
      </c>
      <c r="J166" s="28" t="inlineStr">
        <is>
          <t>Explicit args</t>
        </is>
      </c>
      <c r="K166" s="24" t="inlineStr">
        <is>
          <t>Grouped surface</t>
        </is>
      </c>
      <c r="L166" s="24" t="inlineStr">
        <is>
          <t>Content type: profile; Context uses Profile Type: Faculty (1550); Context uses Program: all; Limited to 3 item(s); Source: Explicit args</t>
        </is>
      </c>
      <c r="HA166" s="19" t="inlineStr">
        <is>
          <t>1550</t>
        </is>
      </c>
      <c r="HB166" s="19" t="inlineStr">
        <is>
          <t>Faculty (1550)</t>
        </is>
      </c>
      <c r="HK166" s="19" t="inlineStr">
        <is>
          <t>all</t>
        </is>
      </c>
      <c r="HL166" s="19" t="inlineStr">
        <is>
          <t>all</t>
        </is>
      </c>
      <c r="IS166" s="19">
        <f>IF(input_content_type="",FALSE,ISNUMBER(SEARCH(","&amp;LOWER(input_content_type)&amp;",",","&amp;LOWER(SUBSTITUTE(F166," ",""))&amp;",")))</f>
        <v/>
      </c>
      <c r="IT166" s="19">
        <f>AND(IF(M166="",TRUE,IF(input_affiliations="",FALSE,SUMPRODUCT(--ISNUMBER(SEARCH(","&amp;TRIM(TEXTSPLIT(M166,","))&amp;",",","&amp;SUBSTITUTE(input_affiliations," ","")&amp;",")))&gt;0)),IF(O166="",TRUE,IF(input_affiliations="",FALSE,SUMPRODUCT(--ISNUMBER(SEARCH(","&amp;TRIM(TEXTSPLIT(O166,","))&amp;",",","&amp;SUBSTITUTE(input_affiliations," ","")&amp;",")))=COUNTA(TEXTSPLIT(O166,",")))),IF(Q166="",TRUE,IF(input_affiliations="",TRUE,SUMPRODUCT(--ISNUMBER(SEARCH(","&amp;TRIM(TEXTSPLIT(Q166,","))&amp;",",","&amp;SUBSTITUTE(input_affiliations," ","")&amp;",")))=0)),IF(S166="",TRUE,IF(input_affiliations="",FALSE,SUMPRODUCT(--ISNUMBER(SEARCH(","&amp;TRIM(TEXTSPLIT(S166,","))&amp;",",","&amp;SUBSTITUTE(input_affiliations," ","")&amp;",")))&gt;0)),IF(U166="",TRUE,IF(input_affiliations="",FALSE,SUMPRODUCT(--ISNUMBER(SEARCH(","&amp;TRIM(TEXTSPLIT(U166,","))&amp;",",","&amp;SUBSTITUTE(input_affiliations," ","")&amp;",")))=COUNTA(TEXTSPLIT(U166,",")))))</f>
        <v/>
      </c>
      <c r="IU166" s="19">
        <f>AND(IF(W166="",TRUE,IF(input_announcement_category="",FALSE,SUMPRODUCT(--ISNUMBER(SEARCH(","&amp;TRIM(TEXTSPLIT(W166,","))&amp;",",","&amp;SUBSTITUTE(input_announcement_category," ","")&amp;",")))&gt;0)),IF(Y166="",TRUE,IF(input_announcement_category="",FALSE,SUMPRODUCT(--ISNUMBER(SEARCH(","&amp;TRIM(TEXTSPLIT(Y166,","))&amp;",",","&amp;SUBSTITUTE(input_announcement_category," ","")&amp;",")))=COUNTA(TEXTSPLIT(Y166,",")))),IF(AA166="",TRUE,IF(input_announcement_category="",TRUE,SUMPRODUCT(--ISNUMBER(SEARCH(","&amp;TRIM(TEXTSPLIT(AA166,","))&amp;",",","&amp;SUBSTITUTE(input_announcement_category," ","")&amp;",")))=0)),IF(AC166="",TRUE,IF(input_announcement_category="",FALSE,SUMPRODUCT(--ISNUMBER(SEARCH(","&amp;TRIM(TEXTSPLIT(AC166,","))&amp;",",","&amp;SUBSTITUTE(input_announcement_category," ","")&amp;",")))&gt;0)),IF(AE166="",TRUE,IF(input_announcement_category="",FALSE,SUMPRODUCT(--ISNUMBER(SEARCH(","&amp;TRIM(TEXTSPLIT(AE166,","))&amp;",",","&amp;SUBSTITUTE(input_announcement_category," ","")&amp;",")))=COUNTA(TEXTSPLIT(AE166,",")))))</f>
        <v/>
      </c>
      <c r="IV166" s="19">
        <f>AND(IF(AG166="",TRUE,IF(input_area_of_focus="",FALSE,SUMPRODUCT(--ISNUMBER(SEARCH(","&amp;TRIM(TEXTSPLIT(AG166,","))&amp;",",","&amp;SUBSTITUTE(input_area_of_focus," ","")&amp;",")))&gt;0)),IF(AI166="",TRUE,IF(input_area_of_focus="",FALSE,SUMPRODUCT(--ISNUMBER(SEARCH(","&amp;TRIM(TEXTSPLIT(AI166,","))&amp;",",","&amp;SUBSTITUTE(input_area_of_focus," ","")&amp;",")))=COUNTA(TEXTSPLIT(AI166,",")))),IF(AK166="",TRUE,IF(input_area_of_focus="",TRUE,SUMPRODUCT(--ISNUMBER(SEARCH(","&amp;TRIM(TEXTSPLIT(AK166,","))&amp;",",","&amp;SUBSTITUTE(input_area_of_focus," ","")&amp;",")))=0)),IF(AM166="",TRUE,IF(input_area_of_focus="",FALSE,SUMPRODUCT(--ISNUMBER(SEARCH(","&amp;TRIM(TEXTSPLIT(AM166,","))&amp;",",","&amp;SUBSTITUTE(input_area_of_focus," ","")&amp;",")))&gt;0)),IF(AO166="",TRUE,IF(input_area_of_focus="",FALSE,SUMPRODUCT(--ISNUMBER(SEARCH(","&amp;TRIM(TEXTSPLIT(AO166,","))&amp;",",","&amp;SUBSTITUTE(input_area_of_focus," ","")&amp;",")))=COUNTA(TEXTSPLIT(AO166,",")))))</f>
        <v/>
      </c>
      <c r="IW166" s="19">
        <f>AND(IF(AQ166="",TRUE,IF(input_audience="",FALSE,SUMPRODUCT(--ISNUMBER(SEARCH(","&amp;TRIM(TEXTSPLIT(AQ166,","))&amp;",",","&amp;SUBSTITUTE(input_audience," ","")&amp;",")))&gt;0)),IF(AS166="",TRUE,IF(input_audience="",FALSE,SUMPRODUCT(--ISNUMBER(SEARCH(","&amp;TRIM(TEXTSPLIT(AS166,","))&amp;",",","&amp;SUBSTITUTE(input_audience," ","")&amp;",")))=COUNTA(TEXTSPLIT(AS166,",")))),IF(AU166="",TRUE,IF(input_audience="",TRUE,SUMPRODUCT(--ISNUMBER(SEARCH(","&amp;TRIM(TEXTSPLIT(AU166,","))&amp;",",","&amp;SUBSTITUTE(input_audience," ","")&amp;",")))=0)),IF(AW166="",TRUE,IF(input_audience="",FALSE,SUMPRODUCT(--ISNUMBER(SEARCH(","&amp;TRIM(TEXTSPLIT(AW166,","))&amp;",",","&amp;SUBSTITUTE(input_audience," ","")&amp;",")))&gt;0)),IF(AY166="",TRUE,IF(input_audience="",FALSE,SUMPRODUCT(--ISNUMBER(SEARCH(","&amp;TRIM(TEXTSPLIT(AY166,","))&amp;",",","&amp;SUBSTITUTE(input_audience," ","")&amp;",")))=COUNTA(TEXTSPLIT(AY166,",")))))</f>
        <v/>
      </c>
      <c r="IX166" s="19">
        <f>AND(IF(BA166="",TRUE,IF(input_challenge_opportunities="",FALSE,SUMPRODUCT(--ISNUMBER(SEARCH(","&amp;TRIM(TEXTSPLIT(BA166,","))&amp;",",","&amp;SUBSTITUTE(input_challenge_opportunities," ","")&amp;",")))&gt;0)),IF(BC166="",TRUE,IF(input_challenge_opportunities="",FALSE,SUMPRODUCT(--ISNUMBER(SEARCH(","&amp;TRIM(TEXTSPLIT(BC166,","))&amp;",",","&amp;SUBSTITUTE(input_challenge_opportunities," ","")&amp;",")))=COUNTA(TEXTSPLIT(BC166,",")))),IF(BE166="",TRUE,IF(input_challenge_opportunities="",TRUE,SUMPRODUCT(--ISNUMBER(SEARCH(","&amp;TRIM(TEXTSPLIT(BE166,","))&amp;",",","&amp;SUBSTITUTE(input_challenge_opportunities," ","")&amp;",")))=0)),IF(BG166="",TRUE,IF(input_challenge_opportunities="",FALSE,SUMPRODUCT(--ISNUMBER(SEARCH(","&amp;TRIM(TEXTSPLIT(BG166,","))&amp;",",","&amp;SUBSTITUTE(input_challenge_opportunities," ","")&amp;",")))&gt;0)),IF(BI166="",TRUE,IF(input_challenge_opportunities="",FALSE,SUMPRODUCT(--ISNUMBER(SEARCH(","&amp;TRIM(TEXTSPLIT(BI166,","))&amp;",",","&amp;SUBSTITUTE(input_challenge_opportunities," ","")&amp;",")))=COUNTA(TEXTSPLIT(BI166,",")))))</f>
        <v/>
      </c>
      <c r="IY166" s="19">
        <f>AND(IF(BK166="",TRUE,IF(input_context="",FALSE,SUMPRODUCT(--ISNUMBER(SEARCH(","&amp;TRIM(TEXTSPLIT(BK166,","))&amp;",",","&amp;SUBSTITUTE(input_context," ","")&amp;",")))&gt;0)),IF(BM166="",TRUE,IF(input_context="",FALSE,SUMPRODUCT(--ISNUMBER(SEARCH(","&amp;TRIM(TEXTSPLIT(BM166,","))&amp;",",","&amp;SUBSTITUTE(input_context," ","")&amp;",")))=COUNTA(TEXTSPLIT(BM166,",")))),IF(BO166="",TRUE,IF(input_context="",TRUE,SUMPRODUCT(--ISNUMBER(SEARCH(","&amp;TRIM(TEXTSPLIT(BO166,","))&amp;",",","&amp;SUBSTITUTE(input_context," ","")&amp;",")))=0)),IF(BQ166="",TRUE,IF(input_context="",FALSE,SUMPRODUCT(--ISNUMBER(SEARCH(","&amp;TRIM(TEXTSPLIT(BQ166,","))&amp;",",","&amp;SUBSTITUTE(input_context," ","")&amp;",")))&gt;0)),IF(BS166="",TRUE,IF(input_context="",FALSE,SUMPRODUCT(--ISNUMBER(SEARCH(","&amp;TRIM(TEXTSPLIT(BS166,","))&amp;",",","&amp;SUBSTITUTE(input_context," ","")&amp;",")))=COUNTA(TEXTSPLIT(BS166,",")))))</f>
        <v/>
      </c>
      <c r="IZ166" s="19">
        <f>AND(IF(BU166="",TRUE,IF(input_enews_announcement_type="",FALSE,SUMPRODUCT(--ISNUMBER(SEARCH(","&amp;TRIM(TEXTSPLIT(BU166,","))&amp;",",","&amp;SUBSTITUTE(input_enews_announcement_type," ","")&amp;",")))&gt;0)),IF(BW166="",TRUE,IF(input_enews_announcement_type="",FALSE,SUMPRODUCT(--ISNUMBER(SEARCH(","&amp;TRIM(TEXTSPLIT(BW166,","))&amp;",",","&amp;SUBSTITUTE(input_enews_announcement_type," ","")&amp;",")))=COUNTA(TEXTSPLIT(BW166,",")))),IF(BY166="",TRUE,IF(input_enews_announcement_type="",TRUE,SUMPRODUCT(--ISNUMBER(SEARCH(","&amp;TRIM(TEXTSPLIT(BY166,","))&amp;",",","&amp;SUBSTITUTE(input_enews_announcement_type," ","")&amp;",")))=0)),IF(CA166="",TRUE,IF(input_enews_announcement_type="",FALSE,SUMPRODUCT(--ISNUMBER(SEARCH(","&amp;TRIM(TEXTSPLIT(CA166,","))&amp;",",","&amp;SUBSTITUTE(input_enews_announcement_type," ","")&amp;",")))&gt;0)),IF(CC166="",TRUE,IF(input_enews_announcement_type="",FALSE,SUMPRODUCT(--ISNUMBER(SEARCH(","&amp;TRIM(TEXTSPLIT(CC166,","))&amp;",",","&amp;SUBSTITUTE(input_enews_announcement_type," ","")&amp;",")))=COUNTA(TEXTSPLIT(CC166,",")))))</f>
        <v/>
      </c>
      <c r="JA166" s="19">
        <f>AND(IF(CE166="",TRUE,IF(input_enews_audience="",FALSE,SUMPRODUCT(--ISNUMBER(SEARCH(","&amp;TRIM(TEXTSPLIT(CE166,","))&amp;",",","&amp;SUBSTITUTE(input_enews_audience," ","")&amp;",")))&gt;0)),IF(CG166="",TRUE,IF(input_enews_audience="",FALSE,SUMPRODUCT(--ISNUMBER(SEARCH(","&amp;TRIM(TEXTSPLIT(CG166,","))&amp;",",","&amp;SUBSTITUTE(input_enews_audience," ","")&amp;",")))=COUNTA(TEXTSPLIT(CG166,",")))),IF(CI166="",TRUE,IF(input_enews_audience="",TRUE,SUMPRODUCT(--ISNUMBER(SEARCH(","&amp;TRIM(TEXTSPLIT(CI166,","))&amp;",",","&amp;SUBSTITUTE(input_enews_audience," ","")&amp;",")))=0)),IF(CK166="",TRUE,IF(input_enews_audience="",FALSE,SUMPRODUCT(--ISNUMBER(SEARCH(","&amp;TRIM(TEXTSPLIT(CK166,","))&amp;",",","&amp;SUBSTITUTE(input_enews_audience," ","")&amp;",")))&gt;0)),IF(CM166="",TRUE,IF(input_enews_audience="",FALSE,SUMPRODUCT(--ISNUMBER(SEARCH(","&amp;TRIM(TEXTSPLIT(CM166,","))&amp;",",","&amp;SUBSTITUTE(input_enews_audience," ","")&amp;",")))=COUNTA(TEXTSPLIT(CM166,",")))))</f>
        <v/>
      </c>
      <c r="JB166" s="19">
        <f>AND(IF(CO166="",TRUE,IF(input_event_location="",FALSE,SUMPRODUCT(--ISNUMBER(SEARCH(","&amp;TRIM(TEXTSPLIT(CO166,","))&amp;",",","&amp;SUBSTITUTE(input_event_location," ","")&amp;",")))&gt;0)),IF(CQ166="",TRUE,IF(input_event_location="",FALSE,SUMPRODUCT(--ISNUMBER(SEARCH(","&amp;TRIM(TEXTSPLIT(CQ166,","))&amp;",",","&amp;SUBSTITUTE(input_event_location," ","")&amp;",")))=COUNTA(TEXTSPLIT(CQ166,",")))),IF(CS166="",TRUE,IF(input_event_location="",TRUE,SUMPRODUCT(--ISNUMBER(SEARCH(","&amp;TRIM(TEXTSPLIT(CS166,","))&amp;",",","&amp;SUBSTITUTE(input_event_location," ","")&amp;",")))=0)),IF(CU166="",TRUE,IF(input_event_location="",FALSE,SUMPRODUCT(--ISNUMBER(SEARCH(","&amp;TRIM(TEXTSPLIT(CU166,","))&amp;",",","&amp;SUBSTITUTE(input_event_location," ","")&amp;",")))&gt;0)),IF(CW166="",TRUE,IF(input_event_location="",FALSE,SUMPRODUCT(--ISNUMBER(SEARCH(","&amp;TRIM(TEXTSPLIT(CW166,","))&amp;",",","&amp;SUBSTITUTE(input_event_location," ","")&amp;",")))=COUNTA(TEXTSPLIT(CW166,",")))))</f>
        <v/>
      </c>
      <c r="JC166" s="19">
        <f>AND(IF(CY166="",TRUE,IF(input_event_type="",FALSE,SUMPRODUCT(--ISNUMBER(SEARCH(","&amp;TRIM(TEXTSPLIT(CY166,","))&amp;",",","&amp;SUBSTITUTE(input_event_type," ","")&amp;",")))&gt;0)),IF(DA166="",TRUE,IF(input_event_type="",FALSE,SUMPRODUCT(--ISNUMBER(SEARCH(","&amp;TRIM(TEXTSPLIT(DA166,","))&amp;",",","&amp;SUBSTITUTE(input_event_type," ","")&amp;",")))=COUNTA(TEXTSPLIT(DA166,",")))),IF(DC166="",TRUE,IF(input_event_type="",TRUE,SUMPRODUCT(--ISNUMBER(SEARCH(","&amp;TRIM(TEXTSPLIT(DC166,","))&amp;",",","&amp;SUBSTITUTE(input_event_type," ","")&amp;",")))=0)),IF(DE166="",TRUE,IF(input_event_type="",FALSE,SUMPRODUCT(--ISNUMBER(SEARCH(","&amp;TRIM(TEXTSPLIT(DE166,","))&amp;",",","&amp;SUBSTITUTE(input_event_type," ","")&amp;",")))&gt;0)),IF(DG166="",TRUE,IF(input_event_type="",FALSE,SUMPRODUCT(--ISNUMBER(SEARCH(","&amp;TRIM(TEXTSPLIT(DG166,","))&amp;",",","&amp;SUBSTITUTE(input_event_type," ","")&amp;",")))=COUNTA(TEXTSPLIT(DG166,",")))))</f>
        <v/>
      </c>
      <c r="JD166" s="19">
        <f>AND(IF(DI166="",TRUE,IF(input_executive_education_focus="",FALSE,SUMPRODUCT(--ISNUMBER(SEARCH(","&amp;TRIM(TEXTSPLIT(DI166,","))&amp;",",","&amp;SUBSTITUTE(input_executive_education_focus," ","")&amp;",")))&gt;0)),IF(DK166="",TRUE,IF(input_executive_education_focus="",FALSE,SUMPRODUCT(--ISNUMBER(SEARCH(","&amp;TRIM(TEXTSPLIT(DK166,","))&amp;",",","&amp;SUBSTITUTE(input_executive_education_focus," ","")&amp;",")))=COUNTA(TEXTSPLIT(DK166,",")))),IF(DM166="",TRUE,IF(input_executive_education_focus="",TRUE,SUMPRODUCT(--ISNUMBER(SEARCH(","&amp;TRIM(TEXTSPLIT(DM166,","))&amp;",",","&amp;SUBSTITUTE(input_executive_education_focus," ","")&amp;",")))=0)),IF(DO166="",TRUE,IF(input_executive_education_focus="",FALSE,SUMPRODUCT(--ISNUMBER(SEARCH(","&amp;TRIM(TEXTSPLIT(DO166,","))&amp;",",","&amp;SUBSTITUTE(input_executive_education_focus," ","")&amp;",")))&gt;0)),IF(DQ166="",TRUE,IF(input_executive_education_focus="",FALSE,SUMPRODUCT(--ISNUMBER(SEARCH(","&amp;TRIM(TEXTSPLIT(DQ166,","))&amp;",",","&amp;SUBSTITUTE(input_executive_education_focus," ","")&amp;",")))=COUNTA(TEXTSPLIT(DQ166,",")))))</f>
        <v/>
      </c>
      <c r="JE166" s="19">
        <f>AND(IF(DS166="",TRUE,IF(input_faculty_category="",FALSE,SUMPRODUCT(--ISNUMBER(SEARCH(","&amp;TRIM(TEXTSPLIT(DS166,","))&amp;",",","&amp;SUBSTITUTE(input_faculty_category," ","")&amp;",")))&gt;0)),IF(DU166="",TRUE,IF(input_faculty_category="",FALSE,SUMPRODUCT(--ISNUMBER(SEARCH(","&amp;TRIM(TEXTSPLIT(DU166,","))&amp;",",","&amp;SUBSTITUTE(input_faculty_category," ","")&amp;",")))=COUNTA(TEXTSPLIT(DU166,",")))),IF(DW166="",TRUE,IF(input_faculty_category="",TRUE,SUMPRODUCT(--ISNUMBER(SEARCH(","&amp;TRIM(TEXTSPLIT(DW166,","))&amp;",",","&amp;SUBSTITUTE(input_faculty_category," ","")&amp;",")))=0)),IF(DY166="",TRUE,IF(input_faculty_category="",FALSE,SUMPRODUCT(--ISNUMBER(SEARCH(","&amp;TRIM(TEXTSPLIT(DY166,","))&amp;",",","&amp;SUBSTITUTE(input_faculty_category," ","")&amp;",")))&gt;0)),IF(EA166="",TRUE,IF(input_faculty_category="",FALSE,SUMPRODUCT(--ISNUMBER(SEARCH(","&amp;TRIM(TEXTSPLIT(EA166,","))&amp;",",","&amp;SUBSTITUTE(input_faculty_category," ","")&amp;",")))=COUNTA(TEXTSPLIT(EA166,",")))))</f>
        <v/>
      </c>
      <c r="JF166" s="19">
        <f>AND(IF(EC166="",TRUE,IF(input_faculty_discipline="",FALSE,SUMPRODUCT(--ISNUMBER(SEARCH(","&amp;TRIM(TEXTSPLIT(EC166,","))&amp;",",","&amp;SUBSTITUTE(input_faculty_discipline," ","")&amp;",")))&gt;0)),IF(EE166="",TRUE,IF(input_faculty_discipline="",FALSE,SUMPRODUCT(--ISNUMBER(SEARCH(","&amp;TRIM(TEXTSPLIT(EE166,","))&amp;",",","&amp;SUBSTITUTE(input_faculty_discipline," ","")&amp;",")))=COUNTA(TEXTSPLIT(EE166,",")))),IF(EG166="",TRUE,IF(input_faculty_discipline="",TRUE,SUMPRODUCT(--ISNUMBER(SEARCH(","&amp;TRIM(TEXTSPLIT(EG166,","))&amp;",",","&amp;SUBSTITUTE(input_faculty_discipline," ","")&amp;",")))=0)),IF(EI166="",TRUE,IF(input_faculty_discipline="",FALSE,SUMPRODUCT(--ISNUMBER(SEARCH(","&amp;TRIM(TEXTSPLIT(EI166,","))&amp;",",","&amp;SUBSTITUTE(input_faculty_discipline," ","")&amp;",")))&gt;0)),IF(EK166="",TRUE,IF(input_faculty_discipline="",FALSE,SUMPRODUCT(--ISNUMBER(SEARCH(","&amp;TRIM(TEXTSPLIT(EK166,","))&amp;",",","&amp;SUBSTITUTE(input_faculty_discipline," ","")&amp;",")))=COUNTA(TEXTSPLIT(EK166,",")))))</f>
        <v/>
      </c>
      <c r="JG166" s="19">
        <f>AND(IF(EM166="",TRUE,IF(input_faculty_expertise="",FALSE,SUMPRODUCT(--ISNUMBER(SEARCH(","&amp;TRIM(TEXTSPLIT(EM166,","))&amp;",",","&amp;SUBSTITUTE(input_faculty_expertise," ","")&amp;",")))&gt;0)),IF(EO166="",TRUE,IF(input_faculty_expertise="",FALSE,SUMPRODUCT(--ISNUMBER(SEARCH(","&amp;TRIM(TEXTSPLIT(EO166,","))&amp;",",","&amp;SUBSTITUTE(input_faculty_expertise," ","")&amp;",")))=COUNTA(TEXTSPLIT(EO166,",")))),IF(EQ166="",TRUE,IF(input_faculty_expertise="",TRUE,SUMPRODUCT(--ISNUMBER(SEARCH(","&amp;TRIM(TEXTSPLIT(EQ166,","))&amp;",",","&amp;SUBSTITUTE(input_faculty_expertise," ","")&amp;",")))=0)),IF(ES166="",TRUE,IF(input_faculty_expertise="",FALSE,SUMPRODUCT(--ISNUMBER(SEARCH(","&amp;TRIM(TEXTSPLIT(ES166,","))&amp;",",","&amp;SUBSTITUTE(input_faculty_expertise," ","")&amp;",")))&gt;0)),IF(EU166="",TRUE,IF(input_faculty_expertise="",FALSE,SUMPRODUCT(--ISNUMBER(SEARCH(","&amp;TRIM(TEXTSPLIT(EU166,","))&amp;",",","&amp;SUBSTITUTE(input_faculty_expertise," ","")&amp;",")))=COUNTA(TEXTSPLIT(EU166,",")))))</f>
        <v/>
      </c>
      <c r="JH166" s="19">
        <f>AND(IF(EW166="",TRUE,IF(input_global_network_school="",FALSE,SUMPRODUCT(--ISNUMBER(SEARCH(","&amp;TRIM(TEXTSPLIT(EW166,","))&amp;",",","&amp;SUBSTITUTE(input_global_network_school," ","")&amp;",")))&gt;0)),IF(EY166="",TRUE,IF(input_global_network_school="",FALSE,SUMPRODUCT(--ISNUMBER(SEARCH(","&amp;TRIM(TEXTSPLIT(EY166,","))&amp;",",","&amp;SUBSTITUTE(input_global_network_school," ","")&amp;",")))=COUNTA(TEXTSPLIT(EY166,",")))),IF(FA166="",TRUE,IF(input_global_network_school="",TRUE,SUMPRODUCT(--ISNUMBER(SEARCH(","&amp;TRIM(TEXTSPLIT(FA166,","))&amp;",",","&amp;SUBSTITUTE(input_global_network_school," ","")&amp;",")))=0)),IF(FC166="",TRUE,IF(input_global_network_school="",FALSE,SUMPRODUCT(--ISNUMBER(SEARCH(","&amp;TRIM(TEXTSPLIT(FC166,","))&amp;",",","&amp;SUBSTITUTE(input_global_network_school," ","")&amp;",")))&gt;0)),IF(FE166="",TRUE,IF(input_global_network_school="",FALSE,SUMPRODUCT(--ISNUMBER(SEARCH(","&amp;TRIM(TEXTSPLIT(FE166,","))&amp;",",","&amp;SUBSTITUTE(input_global_network_school," ","")&amp;",")))=COUNTA(TEXTSPLIT(FE166,",")))))</f>
        <v/>
      </c>
      <c r="JI166" s="19">
        <f>AND(IF(FG166="",TRUE,IF(input_industry="",FALSE,SUMPRODUCT(--ISNUMBER(SEARCH(","&amp;TRIM(TEXTSPLIT(FG166,","))&amp;",",","&amp;SUBSTITUTE(input_industry," ","")&amp;",")))&gt;0)),IF(FI166="",TRUE,IF(input_industry="",FALSE,SUMPRODUCT(--ISNUMBER(SEARCH(","&amp;TRIM(TEXTSPLIT(FI166,","))&amp;",",","&amp;SUBSTITUTE(input_industry," ","")&amp;",")))=COUNTA(TEXTSPLIT(FI166,",")))),IF(FK166="",TRUE,IF(input_industry="",TRUE,SUMPRODUCT(--ISNUMBER(SEARCH(","&amp;TRIM(TEXTSPLIT(FK166,","))&amp;",",","&amp;SUBSTITUTE(input_industry," ","")&amp;",")))=0)),IF(FM166="",TRUE,IF(input_industry="",FALSE,SUMPRODUCT(--ISNUMBER(SEARCH(","&amp;TRIM(TEXTSPLIT(FM166,","))&amp;",",","&amp;SUBSTITUTE(input_industry," ","")&amp;",")))&gt;0)),IF(FO166="",TRUE,IF(input_industry="",FALSE,SUMPRODUCT(--ISNUMBER(SEARCH(","&amp;TRIM(TEXTSPLIT(FO166,","))&amp;",",","&amp;SUBSTITUTE(input_industry," ","")&amp;",")))=COUNTA(TEXTSPLIT(FO166,",")))))</f>
        <v/>
      </c>
      <c r="JJ166" s="19">
        <f>AND(IF(FQ166="",TRUE,IF(input_location="",FALSE,SUMPRODUCT(--ISNUMBER(SEARCH(","&amp;TRIM(TEXTSPLIT(FQ166,","))&amp;",",","&amp;SUBSTITUTE(input_location," ","")&amp;",")))&gt;0)),IF(FS166="",TRUE,IF(input_location="",FALSE,SUMPRODUCT(--ISNUMBER(SEARCH(","&amp;TRIM(TEXTSPLIT(FS166,","))&amp;",",","&amp;SUBSTITUTE(input_location," ","")&amp;",")))=COUNTA(TEXTSPLIT(FS166,",")))),IF(FU166="",TRUE,IF(input_location="",TRUE,SUMPRODUCT(--ISNUMBER(SEARCH(","&amp;TRIM(TEXTSPLIT(FU166,","))&amp;",",","&amp;SUBSTITUTE(input_location," ","")&amp;",")))=0)),IF(FW166="",TRUE,IF(input_location="",FALSE,SUMPRODUCT(--ISNUMBER(SEARCH(","&amp;TRIM(TEXTSPLIT(FW166,","))&amp;",",","&amp;SUBSTITUTE(input_location," ","")&amp;",")))&gt;0)),IF(FY166="",TRUE,IF(input_location="",FALSE,SUMPRODUCT(--ISNUMBER(SEARCH(","&amp;TRIM(TEXTSPLIT(FY166,","))&amp;",",","&amp;SUBSTITUTE(input_location," ","")&amp;",")))=COUNTA(TEXTSPLIT(FY166,",")))))</f>
        <v/>
      </c>
      <c r="JK166" s="19">
        <f>AND(IF(GA166="",TRUE,IF(input_modality="",FALSE,SUMPRODUCT(--ISNUMBER(SEARCH(","&amp;TRIM(TEXTSPLIT(GA166,","))&amp;",",","&amp;SUBSTITUTE(input_modality," ","")&amp;",")))&gt;0)),IF(GC166="",TRUE,IF(input_modality="",FALSE,SUMPRODUCT(--ISNUMBER(SEARCH(","&amp;TRIM(TEXTSPLIT(GC166,","))&amp;",",","&amp;SUBSTITUTE(input_modality," ","")&amp;",")))=COUNTA(TEXTSPLIT(GC166,",")))),IF(GE166="",TRUE,IF(input_modality="",TRUE,SUMPRODUCT(--ISNUMBER(SEARCH(","&amp;TRIM(TEXTSPLIT(GE166,","))&amp;",",","&amp;SUBSTITUTE(input_modality," ","")&amp;",")))=0)),IF(GG166="",TRUE,IF(input_modality="",FALSE,SUMPRODUCT(--ISNUMBER(SEARCH(","&amp;TRIM(TEXTSPLIT(GG166,","))&amp;",",","&amp;SUBSTITUTE(input_modality," ","")&amp;",")))&gt;0)),IF(GI166="",TRUE,IF(input_modality="",FALSE,SUMPRODUCT(--ISNUMBER(SEARCH(","&amp;TRIM(TEXTSPLIT(GI166,","))&amp;",",","&amp;SUBSTITUTE(input_modality," ","")&amp;",")))=COUNTA(TEXTSPLIT(GI166,",")))))</f>
        <v/>
      </c>
      <c r="JL166" s="19">
        <f>AND(IF(GK166="",TRUE,IF(input_organizer="",FALSE,SUMPRODUCT(--ISNUMBER(SEARCH(","&amp;TRIM(TEXTSPLIT(GK166,","))&amp;",",","&amp;SUBSTITUTE(input_organizer," ","")&amp;",")))&gt;0)),IF(GM166="",TRUE,IF(input_organizer="",FALSE,SUMPRODUCT(--ISNUMBER(SEARCH(","&amp;TRIM(TEXTSPLIT(GM166,","))&amp;",",","&amp;SUBSTITUTE(input_organizer," ","")&amp;",")))=COUNTA(TEXTSPLIT(GM166,",")))),IF(GO166="",TRUE,IF(input_organizer="",TRUE,SUMPRODUCT(--ISNUMBER(SEARCH(","&amp;TRIM(TEXTSPLIT(GO166,","))&amp;",",","&amp;SUBSTITUTE(input_organizer," ","")&amp;",")))=0)),IF(GQ166="",TRUE,IF(input_organizer="",FALSE,SUMPRODUCT(--ISNUMBER(SEARCH(","&amp;TRIM(TEXTSPLIT(GQ166,","))&amp;",",","&amp;SUBSTITUTE(input_organizer," ","")&amp;",")))&gt;0)),IF(GS166="",TRUE,IF(input_organizer="",FALSE,SUMPRODUCT(--ISNUMBER(SEARCH(","&amp;TRIM(TEXTSPLIT(GS166,","))&amp;",",","&amp;SUBSTITUTE(input_organizer," ","")&amp;",")))=COUNTA(TEXTSPLIT(GS166,",")))))</f>
        <v/>
      </c>
      <c r="JM166" s="19">
        <f>AND(IF(GU166="",TRUE,IF(input_profile_type="",FALSE,SUMPRODUCT(--ISNUMBER(SEARCH(","&amp;TRIM(TEXTSPLIT(GU166,","))&amp;",",","&amp;SUBSTITUTE(input_profile_type," ","")&amp;",")))&gt;0)),IF(GW166="",TRUE,IF(input_profile_type="",FALSE,SUMPRODUCT(--ISNUMBER(SEARCH(","&amp;TRIM(TEXTSPLIT(GW166,","))&amp;",",","&amp;SUBSTITUTE(input_profile_type," ","")&amp;",")))=COUNTA(TEXTSPLIT(GW166,",")))),IF(GY166="",TRUE,IF(input_profile_type="",TRUE,SUMPRODUCT(--ISNUMBER(SEARCH(","&amp;TRIM(TEXTSPLIT(GY166,","))&amp;",",","&amp;SUBSTITUTE(input_profile_type," ","")&amp;",")))=0)),IF(HA166="",TRUE,IF(input_profile_type="",FALSE,SUMPRODUCT(--ISNUMBER(SEARCH(","&amp;TRIM(TEXTSPLIT(HA166,","))&amp;",",","&amp;SUBSTITUTE(input_profile_type," ","")&amp;",")))&gt;0)),IF(HC166="",TRUE,IF(input_profile_type="",FALSE,SUMPRODUCT(--ISNUMBER(SEARCH(","&amp;TRIM(TEXTSPLIT(HC166,","))&amp;",",","&amp;SUBSTITUTE(input_profile_type," ","")&amp;",")))=COUNTA(TEXTSPLIT(HC166,",")))))</f>
        <v/>
      </c>
      <c r="JN166" s="19">
        <f>AND(IF(HE166="",TRUE,IF(input_program="",FALSE,SUMPRODUCT(--ISNUMBER(SEARCH(","&amp;TRIM(TEXTSPLIT(HE166,","))&amp;",",","&amp;SUBSTITUTE(input_program," ","")&amp;",")))&gt;0)),IF(HG166="",TRUE,IF(input_program="",FALSE,SUMPRODUCT(--ISNUMBER(SEARCH(","&amp;TRIM(TEXTSPLIT(HG166,","))&amp;",",","&amp;SUBSTITUTE(input_program," ","")&amp;",")))=COUNTA(TEXTSPLIT(HG166,",")))),IF(HI166="",TRUE,IF(input_program="",TRUE,SUMPRODUCT(--ISNUMBER(SEARCH(","&amp;TRIM(TEXTSPLIT(HI166,","))&amp;",",","&amp;SUBSTITUTE(input_program," ","")&amp;",")))=0)),IF(HK166="",TRUE,IF(input_program="",FALSE,SUMPRODUCT(--ISNUMBER(SEARCH(","&amp;TRIM(TEXTSPLIT(HK166,","))&amp;",",","&amp;SUBSTITUTE(input_program," ","")&amp;",")))&gt;0)),IF(HM166="",TRUE,IF(input_program="",FALSE,SUMPRODUCT(--ISNUMBER(SEARCH(","&amp;TRIM(TEXTSPLIT(HM166,","))&amp;",",","&amp;SUBSTITUTE(input_program," ","")&amp;",")))=COUNTA(TEXTSPLIT(HM166,",")))))</f>
        <v/>
      </c>
      <c r="JO166" s="19">
        <f>AND(IF(HO166="",TRUE,IF(input_story_categories="",FALSE,SUMPRODUCT(--ISNUMBER(SEARCH(","&amp;TRIM(TEXTSPLIT(HO166,","))&amp;",",","&amp;SUBSTITUTE(input_story_categories," ","")&amp;",")))&gt;0)),IF(HQ166="",TRUE,IF(input_story_categories="",FALSE,SUMPRODUCT(--ISNUMBER(SEARCH(","&amp;TRIM(TEXTSPLIT(HQ166,","))&amp;",",","&amp;SUBSTITUTE(input_story_categories," ","")&amp;",")))=COUNTA(TEXTSPLIT(HQ166,",")))),IF(HS166="",TRUE,IF(input_story_categories="",TRUE,SUMPRODUCT(--ISNUMBER(SEARCH(","&amp;TRIM(TEXTSPLIT(HS166,","))&amp;",",","&amp;SUBSTITUTE(input_story_categories," ","")&amp;",")))=0)),IF(HU166="",TRUE,IF(input_story_categories="",FALSE,SUMPRODUCT(--ISNUMBER(SEARCH(","&amp;TRIM(TEXTSPLIT(HU166,","))&amp;",",","&amp;SUBSTITUTE(input_story_categories," ","")&amp;",")))&gt;0)),IF(HW166="",TRUE,IF(input_story_categories="",FALSE,SUMPRODUCT(--ISNUMBER(SEARCH(","&amp;TRIM(TEXTSPLIT(HW166,","))&amp;",",","&amp;SUBSTITUTE(input_story_categories," ","")&amp;",")))=COUNTA(TEXTSPLIT(HW166,",")))))</f>
        <v/>
      </c>
      <c r="JP166" s="19">
        <f>AND(IF(HY166="",TRUE,IF(input_story_type="",FALSE,SUMPRODUCT(--ISNUMBER(SEARCH(","&amp;TRIM(TEXTSPLIT(HY166,","))&amp;",",","&amp;SUBSTITUTE(input_story_type," ","")&amp;",")))&gt;0)),IF(IA166="",TRUE,IF(input_story_type="",FALSE,SUMPRODUCT(--ISNUMBER(SEARCH(","&amp;TRIM(TEXTSPLIT(IA166,","))&amp;",",","&amp;SUBSTITUTE(input_story_type," ","")&amp;",")))=COUNTA(TEXTSPLIT(IA166,",")))),IF(IC166="",TRUE,IF(input_story_type="",TRUE,SUMPRODUCT(--ISNUMBER(SEARCH(","&amp;TRIM(TEXTSPLIT(IC166,","))&amp;",",","&amp;SUBSTITUTE(input_story_type," ","")&amp;",")))=0)),IF(IE166="",TRUE,IF(input_story_type="",FALSE,SUMPRODUCT(--ISNUMBER(SEARCH(","&amp;TRIM(TEXTSPLIT(IE166,","))&amp;",",","&amp;SUBSTITUTE(input_story_type," ","")&amp;",")))&gt;0)),IF(IG166="",TRUE,IF(input_story_type="",FALSE,SUMPRODUCT(--ISNUMBER(SEARCH(","&amp;TRIM(TEXTSPLIT(IG166,","))&amp;",",","&amp;SUBSTITUTE(input_story_type," ","")&amp;",")))=COUNTA(TEXTSPLIT(IG166,",")))))</f>
        <v/>
      </c>
      <c r="JQ166" s="19">
        <f>AND(IF(II166="",TRUE,IF(input_topics="",FALSE,SUMPRODUCT(--ISNUMBER(SEARCH(","&amp;TRIM(TEXTSPLIT(II166,","))&amp;",",","&amp;SUBSTITUTE(input_topics," ","")&amp;",")))&gt;0)),IF(IK166="",TRUE,IF(input_topics="",FALSE,SUMPRODUCT(--ISNUMBER(SEARCH(","&amp;TRIM(TEXTSPLIT(IK166,","))&amp;",",","&amp;SUBSTITUTE(input_topics," ","")&amp;",")))=COUNTA(TEXTSPLIT(IK166,",")))),IF(IM166="",TRUE,IF(input_topics="",TRUE,SUMPRODUCT(--ISNUMBER(SEARCH(","&amp;TRIM(TEXTSPLIT(IM166,","))&amp;",",","&amp;SUBSTITUTE(input_topics," ","")&amp;",")))=0)),IF(IO166="",TRUE,IF(input_topics="",FALSE,SUMPRODUCT(--ISNUMBER(SEARCH(","&amp;TRIM(TEXTSPLIT(IO166,","))&amp;",",","&amp;SUBSTITUTE(input_topics," ","")&amp;",")))&gt;0)),IF(IQ166="",TRUE,IF(input_topics="",FALSE,SUMPRODUCT(--ISNUMBER(SEARCH(","&amp;TRIM(TEXTSPLIT(IQ166,","))&amp;",",","&amp;SUBSTITUTE(input_topics," ","")&amp;",")))=COUNTA(TEXTSPLIT(IQ166,",")))))</f>
        <v/>
      </c>
    </row>
    <row r="167">
      <c r="A167" s="24">
        <f>IF(NOT(IS167),"Excluded",IF(AND(IT167,IU167,IV167,IW167,IX167,IY167,IZ167,JA167,JB167,JC167,JD167,JE167,JF167,JG167,JH167,JI167,JJ167,JK167,JL167,JM167,JN167,JO167,JP167,JQ167),IF(I167&gt;0,"Eligible but limited","Will appear"),"Excluded"))</f>
        <v/>
      </c>
      <c r="B167" s="24" t="inlineStr">
        <is>
          <t>Related profiles on profile pages</t>
        </is>
      </c>
      <c r="C167" s="27" t="inlineStr">
        <is>
          <t>/profile/inshard-naizer-23</t>
        </is>
      </c>
      <c r="D167" s="24" t="inlineStr">
        <is>
          <t>/profile/inshard-naizer-23
/profile/mauricio-chiong-24-0
/profile/nicky-ou-23-0</t>
        </is>
      </c>
      <c r="E167" s="24" t="n">
        <v>8</v>
      </c>
      <c r="F167" s="24" t="inlineStr">
        <is>
          <t>profile</t>
        </is>
      </c>
      <c r="G167" s="24" t="inlineStr">
        <is>
          <t>profiles_grid</t>
        </is>
      </c>
      <c r="H167" s="24" t="inlineStr">
        <is>
          <t>related</t>
        </is>
      </c>
      <c r="I167" s="24" t="n">
        <v>3</v>
      </c>
      <c r="J167" s="28" t="inlineStr">
        <is>
          <t>Explicit args</t>
        </is>
      </c>
      <c r="K167" s="24" t="inlineStr">
        <is>
          <t>Grouped surface</t>
        </is>
      </c>
      <c r="L167" s="24" t="inlineStr">
        <is>
          <t>Content type: profile; Context uses Profile Type: Student (1551); Context uses Program: Master of Advanced Management (81); Limited to 3 item(s); Source: Explicit args</t>
        </is>
      </c>
      <c r="HA167" s="19" t="inlineStr">
        <is>
          <t>1551</t>
        </is>
      </c>
      <c r="HB167" s="19" t="inlineStr">
        <is>
          <t>Student (1551)</t>
        </is>
      </c>
      <c r="HK167" s="19" t="inlineStr">
        <is>
          <t>81</t>
        </is>
      </c>
      <c r="HL167" s="19" t="inlineStr">
        <is>
          <t>Master of Advanced Management (81)</t>
        </is>
      </c>
      <c r="IS167" s="19">
        <f>IF(input_content_type="",FALSE,ISNUMBER(SEARCH(","&amp;LOWER(input_content_type)&amp;",",","&amp;LOWER(SUBSTITUTE(F167," ",""))&amp;",")))</f>
        <v/>
      </c>
      <c r="IT167" s="19">
        <f>AND(IF(M167="",TRUE,IF(input_affiliations="",FALSE,SUMPRODUCT(--ISNUMBER(SEARCH(","&amp;TRIM(TEXTSPLIT(M167,","))&amp;",",","&amp;SUBSTITUTE(input_affiliations," ","")&amp;",")))&gt;0)),IF(O167="",TRUE,IF(input_affiliations="",FALSE,SUMPRODUCT(--ISNUMBER(SEARCH(","&amp;TRIM(TEXTSPLIT(O167,","))&amp;",",","&amp;SUBSTITUTE(input_affiliations," ","")&amp;",")))=COUNTA(TEXTSPLIT(O167,",")))),IF(Q167="",TRUE,IF(input_affiliations="",TRUE,SUMPRODUCT(--ISNUMBER(SEARCH(","&amp;TRIM(TEXTSPLIT(Q167,","))&amp;",",","&amp;SUBSTITUTE(input_affiliations," ","")&amp;",")))=0)),IF(S167="",TRUE,IF(input_affiliations="",FALSE,SUMPRODUCT(--ISNUMBER(SEARCH(","&amp;TRIM(TEXTSPLIT(S167,","))&amp;",",","&amp;SUBSTITUTE(input_affiliations," ","")&amp;",")))&gt;0)),IF(U167="",TRUE,IF(input_affiliations="",FALSE,SUMPRODUCT(--ISNUMBER(SEARCH(","&amp;TRIM(TEXTSPLIT(U167,","))&amp;",",","&amp;SUBSTITUTE(input_affiliations," ","")&amp;",")))=COUNTA(TEXTSPLIT(U167,",")))))</f>
        <v/>
      </c>
      <c r="IU167" s="19">
        <f>AND(IF(W167="",TRUE,IF(input_announcement_category="",FALSE,SUMPRODUCT(--ISNUMBER(SEARCH(","&amp;TRIM(TEXTSPLIT(W167,","))&amp;",",","&amp;SUBSTITUTE(input_announcement_category," ","")&amp;",")))&gt;0)),IF(Y167="",TRUE,IF(input_announcement_category="",FALSE,SUMPRODUCT(--ISNUMBER(SEARCH(","&amp;TRIM(TEXTSPLIT(Y167,","))&amp;",",","&amp;SUBSTITUTE(input_announcement_category," ","")&amp;",")))=COUNTA(TEXTSPLIT(Y167,",")))),IF(AA167="",TRUE,IF(input_announcement_category="",TRUE,SUMPRODUCT(--ISNUMBER(SEARCH(","&amp;TRIM(TEXTSPLIT(AA167,","))&amp;",",","&amp;SUBSTITUTE(input_announcement_category," ","")&amp;",")))=0)),IF(AC167="",TRUE,IF(input_announcement_category="",FALSE,SUMPRODUCT(--ISNUMBER(SEARCH(","&amp;TRIM(TEXTSPLIT(AC167,","))&amp;",",","&amp;SUBSTITUTE(input_announcement_category," ","")&amp;",")))&gt;0)),IF(AE167="",TRUE,IF(input_announcement_category="",FALSE,SUMPRODUCT(--ISNUMBER(SEARCH(","&amp;TRIM(TEXTSPLIT(AE167,","))&amp;",",","&amp;SUBSTITUTE(input_announcement_category," ","")&amp;",")))=COUNTA(TEXTSPLIT(AE167,",")))))</f>
        <v/>
      </c>
      <c r="IV167" s="19">
        <f>AND(IF(AG167="",TRUE,IF(input_area_of_focus="",FALSE,SUMPRODUCT(--ISNUMBER(SEARCH(","&amp;TRIM(TEXTSPLIT(AG167,","))&amp;",",","&amp;SUBSTITUTE(input_area_of_focus," ","")&amp;",")))&gt;0)),IF(AI167="",TRUE,IF(input_area_of_focus="",FALSE,SUMPRODUCT(--ISNUMBER(SEARCH(","&amp;TRIM(TEXTSPLIT(AI167,","))&amp;",",","&amp;SUBSTITUTE(input_area_of_focus," ","")&amp;",")))=COUNTA(TEXTSPLIT(AI167,",")))),IF(AK167="",TRUE,IF(input_area_of_focus="",TRUE,SUMPRODUCT(--ISNUMBER(SEARCH(","&amp;TRIM(TEXTSPLIT(AK167,","))&amp;",",","&amp;SUBSTITUTE(input_area_of_focus," ","")&amp;",")))=0)),IF(AM167="",TRUE,IF(input_area_of_focus="",FALSE,SUMPRODUCT(--ISNUMBER(SEARCH(","&amp;TRIM(TEXTSPLIT(AM167,","))&amp;",",","&amp;SUBSTITUTE(input_area_of_focus," ","")&amp;",")))&gt;0)),IF(AO167="",TRUE,IF(input_area_of_focus="",FALSE,SUMPRODUCT(--ISNUMBER(SEARCH(","&amp;TRIM(TEXTSPLIT(AO167,","))&amp;",",","&amp;SUBSTITUTE(input_area_of_focus," ","")&amp;",")))=COUNTA(TEXTSPLIT(AO167,",")))))</f>
        <v/>
      </c>
      <c r="IW167" s="19">
        <f>AND(IF(AQ167="",TRUE,IF(input_audience="",FALSE,SUMPRODUCT(--ISNUMBER(SEARCH(","&amp;TRIM(TEXTSPLIT(AQ167,","))&amp;",",","&amp;SUBSTITUTE(input_audience," ","")&amp;",")))&gt;0)),IF(AS167="",TRUE,IF(input_audience="",FALSE,SUMPRODUCT(--ISNUMBER(SEARCH(","&amp;TRIM(TEXTSPLIT(AS167,","))&amp;",",","&amp;SUBSTITUTE(input_audience," ","")&amp;",")))=COUNTA(TEXTSPLIT(AS167,",")))),IF(AU167="",TRUE,IF(input_audience="",TRUE,SUMPRODUCT(--ISNUMBER(SEARCH(","&amp;TRIM(TEXTSPLIT(AU167,","))&amp;",",","&amp;SUBSTITUTE(input_audience," ","")&amp;",")))=0)),IF(AW167="",TRUE,IF(input_audience="",FALSE,SUMPRODUCT(--ISNUMBER(SEARCH(","&amp;TRIM(TEXTSPLIT(AW167,","))&amp;",",","&amp;SUBSTITUTE(input_audience," ","")&amp;",")))&gt;0)),IF(AY167="",TRUE,IF(input_audience="",FALSE,SUMPRODUCT(--ISNUMBER(SEARCH(","&amp;TRIM(TEXTSPLIT(AY167,","))&amp;",",","&amp;SUBSTITUTE(input_audience," ","")&amp;",")))=COUNTA(TEXTSPLIT(AY167,",")))))</f>
        <v/>
      </c>
      <c r="IX167" s="19">
        <f>AND(IF(BA167="",TRUE,IF(input_challenge_opportunities="",FALSE,SUMPRODUCT(--ISNUMBER(SEARCH(","&amp;TRIM(TEXTSPLIT(BA167,","))&amp;",",","&amp;SUBSTITUTE(input_challenge_opportunities," ","")&amp;",")))&gt;0)),IF(BC167="",TRUE,IF(input_challenge_opportunities="",FALSE,SUMPRODUCT(--ISNUMBER(SEARCH(","&amp;TRIM(TEXTSPLIT(BC167,","))&amp;",",","&amp;SUBSTITUTE(input_challenge_opportunities," ","")&amp;",")))=COUNTA(TEXTSPLIT(BC167,",")))),IF(BE167="",TRUE,IF(input_challenge_opportunities="",TRUE,SUMPRODUCT(--ISNUMBER(SEARCH(","&amp;TRIM(TEXTSPLIT(BE167,","))&amp;",",","&amp;SUBSTITUTE(input_challenge_opportunities," ","")&amp;",")))=0)),IF(BG167="",TRUE,IF(input_challenge_opportunities="",FALSE,SUMPRODUCT(--ISNUMBER(SEARCH(","&amp;TRIM(TEXTSPLIT(BG167,","))&amp;",",","&amp;SUBSTITUTE(input_challenge_opportunities," ","")&amp;",")))&gt;0)),IF(BI167="",TRUE,IF(input_challenge_opportunities="",FALSE,SUMPRODUCT(--ISNUMBER(SEARCH(","&amp;TRIM(TEXTSPLIT(BI167,","))&amp;",",","&amp;SUBSTITUTE(input_challenge_opportunities," ","")&amp;",")))=COUNTA(TEXTSPLIT(BI167,",")))))</f>
        <v/>
      </c>
      <c r="IY167" s="19">
        <f>AND(IF(BK167="",TRUE,IF(input_context="",FALSE,SUMPRODUCT(--ISNUMBER(SEARCH(","&amp;TRIM(TEXTSPLIT(BK167,","))&amp;",",","&amp;SUBSTITUTE(input_context," ","")&amp;",")))&gt;0)),IF(BM167="",TRUE,IF(input_context="",FALSE,SUMPRODUCT(--ISNUMBER(SEARCH(","&amp;TRIM(TEXTSPLIT(BM167,","))&amp;",",","&amp;SUBSTITUTE(input_context," ","")&amp;",")))=COUNTA(TEXTSPLIT(BM167,",")))),IF(BO167="",TRUE,IF(input_context="",TRUE,SUMPRODUCT(--ISNUMBER(SEARCH(","&amp;TRIM(TEXTSPLIT(BO167,","))&amp;",",","&amp;SUBSTITUTE(input_context," ","")&amp;",")))=0)),IF(BQ167="",TRUE,IF(input_context="",FALSE,SUMPRODUCT(--ISNUMBER(SEARCH(","&amp;TRIM(TEXTSPLIT(BQ167,","))&amp;",",","&amp;SUBSTITUTE(input_context," ","")&amp;",")))&gt;0)),IF(BS167="",TRUE,IF(input_context="",FALSE,SUMPRODUCT(--ISNUMBER(SEARCH(","&amp;TRIM(TEXTSPLIT(BS167,","))&amp;",",","&amp;SUBSTITUTE(input_context," ","")&amp;",")))=COUNTA(TEXTSPLIT(BS167,",")))))</f>
        <v/>
      </c>
      <c r="IZ167" s="19">
        <f>AND(IF(BU167="",TRUE,IF(input_enews_announcement_type="",FALSE,SUMPRODUCT(--ISNUMBER(SEARCH(","&amp;TRIM(TEXTSPLIT(BU167,","))&amp;",",","&amp;SUBSTITUTE(input_enews_announcement_type," ","")&amp;",")))&gt;0)),IF(BW167="",TRUE,IF(input_enews_announcement_type="",FALSE,SUMPRODUCT(--ISNUMBER(SEARCH(","&amp;TRIM(TEXTSPLIT(BW167,","))&amp;",",","&amp;SUBSTITUTE(input_enews_announcement_type," ","")&amp;",")))=COUNTA(TEXTSPLIT(BW167,",")))),IF(BY167="",TRUE,IF(input_enews_announcement_type="",TRUE,SUMPRODUCT(--ISNUMBER(SEARCH(","&amp;TRIM(TEXTSPLIT(BY167,","))&amp;",",","&amp;SUBSTITUTE(input_enews_announcement_type," ","")&amp;",")))=0)),IF(CA167="",TRUE,IF(input_enews_announcement_type="",FALSE,SUMPRODUCT(--ISNUMBER(SEARCH(","&amp;TRIM(TEXTSPLIT(CA167,","))&amp;",",","&amp;SUBSTITUTE(input_enews_announcement_type," ","")&amp;",")))&gt;0)),IF(CC167="",TRUE,IF(input_enews_announcement_type="",FALSE,SUMPRODUCT(--ISNUMBER(SEARCH(","&amp;TRIM(TEXTSPLIT(CC167,","))&amp;",",","&amp;SUBSTITUTE(input_enews_announcement_type," ","")&amp;",")))=COUNTA(TEXTSPLIT(CC167,",")))))</f>
        <v/>
      </c>
      <c r="JA167" s="19">
        <f>AND(IF(CE167="",TRUE,IF(input_enews_audience="",FALSE,SUMPRODUCT(--ISNUMBER(SEARCH(","&amp;TRIM(TEXTSPLIT(CE167,","))&amp;",",","&amp;SUBSTITUTE(input_enews_audience," ","")&amp;",")))&gt;0)),IF(CG167="",TRUE,IF(input_enews_audience="",FALSE,SUMPRODUCT(--ISNUMBER(SEARCH(","&amp;TRIM(TEXTSPLIT(CG167,","))&amp;",",","&amp;SUBSTITUTE(input_enews_audience," ","")&amp;",")))=COUNTA(TEXTSPLIT(CG167,",")))),IF(CI167="",TRUE,IF(input_enews_audience="",TRUE,SUMPRODUCT(--ISNUMBER(SEARCH(","&amp;TRIM(TEXTSPLIT(CI167,","))&amp;",",","&amp;SUBSTITUTE(input_enews_audience," ","")&amp;",")))=0)),IF(CK167="",TRUE,IF(input_enews_audience="",FALSE,SUMPRODUCT(--ISNUMBER(SEARCH(","&amp;TRIM(TEXTSPLIT(CK167,","))&amp;",",","&amp;SUBSTITUTE(input_enews_audience," ","")&amp;",")))&gt;0)),IF(CM167="",TRUE,IF(input_enews_audience="",FALSE,SUMPRODUCT(--ISNUMBER(SEARCH(","&amp;TRIM(TEXTSPLIT(CM167,","))&amp;",",","&amp;SUBSTITUTE(input_enews_audience," ","")&amp;",")))=COUNTA(TEXTSPLIT(CM167,",")))))</f>
        <v/>
      </c>
      <c r="JB167" s="19">
        <f>AND(IF(CO167="",TRUE,IF(input_event_location="",FALSE,SUMPRODUCT(--ISNUMBER(SEARCH(","&amp;TRIM(TEXTSPLIT(CO167,","))&amp;",",","&amp;SUBSTITUTE(input_event_location," ","")&amp;",")))&gt;0)),IF(CQ167="",TRUE,IF(input_event_location="",FALSE,SUMPRODUCT(--ISNUMBER(SEARCH(","&amp;TRIM(TEXTSPLIT(CQ167,","))&amp;",",","&amp;SUBSTITUTE(input_event_location," ","")&amp;",")))=COUNTA(TEXTSPLIT(CQ167,",")))),IF(CS167="",TRUE,IF(input_event_location="",TRUE,SUMPRODUCT(--ISNUMBER(SEARCH(","&amp;TRIM(TEXTSPLIT(CS167,","))&amp;",",","&amp;SUBSTITUTE(input_event_location," ","")&amp;",")))=0)),IF(CU167="",TRUE,IF(input_event_location="",FALSE,SUMPRODUCT(--ISNUMBER(SEARCH(","&amp;TRIM(TEXTSPLIT(CU167,","))&amp;",",","&amp;SUBSTITUTE(input_event_location," ","")&amp;",")))&gt;0)),IF(CW167="",TRUE,IF(input_event_location="",FALSE,SUMPRODUCT(--ISNUMBER(SEARCH(","&amp;TRIM(TEXTSPLIT(CW167,","))&amp;",",","&amp;SUBSTITUTE(input_event_location," ","")&amp;",")))=COUNTA(TEXTSPLIT(CW167,",")))))</f>
        <v/>
      </c>
      <c r="JC167" s="19">
        <f>AND(IF(CY167="",TRUE,IF(input_event_type="",FALSE,SUMPRODUCT(--ISNUMBER(SEARCH(","&amp;TRIM(TEXTSPLIT(CY167,","))&amp;",",","&amp;SUBSTITUTE(input_event_type," ","")&amp;",")))&gt;0)),IF(DA167="",TRUE,IF(input_event_type="",FALSE,SUMPRODUCT(--ISNUMBER(SEARCH(","&amp;TRIM(TEXTSPLIT(DA167,","))&amp;",",","&amp;SUBSTITUTE(input_event_type," ","")&amp;",")))=COUNTA(TEXTSPLIT(DA167,",")))),IF(DC167="",TRUE,IF(input_event_type="",TRUE,SUMPRODUCT(--ISNUMBER(SEARCH(","&amp;TRIM(TEXTSPLIT(DC167,","))&amp;",",","&amp;SUBSTITUTE(input_event_type," ","")&amp;",")))=0)),IF(DE167="",TRUE,IF(input_event_type="",FALSE,SUMPRODUCT(--ISNUMBER(SEARCH(","&amp;TRIM(TEXTSPLIT(DE167,","))&amp;",",","&amp;SUBSTITUTE(input_event_type," ","")&amp;",")))&gt;0)),IF(DG167="",TRUE,IF(input_event_type="",FALSE,SUMPRODUCT(--ISNUMBER(SEARCH(","&amp;TRIM(TEXTSPLIT(DG167,","))&amp;",",","&amp;SUBSTITUTE(input_event_type," ","")&amp;",")))=COUNTA(TEXTSPLIT(DG167,",")))))</f>
        <v/>
      </c>
      <c r="JD167" s="19">
        <f>AND(IF(DI167="",TRUE,IF(input_executive_education_focus="",FALSE,SUMPRODUCT(--ISNUMBER(SEARCH(","&amp;TRIM(TEXTSPLIT(DI167,","))&amp;",",","&amp;SUBSTITUTE(input_executive_education_focus," ","")&amp;",")))&gt;0)),IF(DK167="",TRUE,IF(input_executive_education_focus="",FALSE,SUMPRODUCT(--ISNUMBER(SEARCH(","&amp;TRIM(TEXTSPLIT(DK167,","))&amp;",",","&amp;SUBSTITUTE(input_executive_education_focus," ","")&amp;",")))=COUNTA(TEXTSPLIT(DK167,",")))),IF(DM167="",TRUE,IF(input_executive_education_focus="",TRUE,SUMPRODUCT(--ISNUMBER(SEARCH(","&amp;TRIM(TEXTSPLIT(DM167,","))&amp;",",","&amp;SUBSTITUTE(input_executive_education_focus," ","")&amp;",")))=0)),IF(DO167="",TRUE,IF(input_executive_education_focus="",FALSE,SUMPRODUCT(--ISNUMBER(SEARCH(","&amp;TRIM(TEXTSPLIT(DO167,","))&amp;",",","&amp;SUBSTITUTE(input_executive_education_focus," ","")&amp;",")))&gt;0)),IF(DQ167="",TRUE,IF(input_executive_education_focus="",FALSE,SUMPRODUCT(--ISNUMBER(SEARCH(","&amp;TRIM(TEXTSPLIT(DQ167,","))&amp;",",","&amp;SUBSTITUTE(input_executive_education_focus," ","")&amp;",")))=COUNTA(TEXTSPLIT(DQ167,",")))))</f>
        <v/>
      </c>
      <c r="JE167" s="19">
        <f>AND(IF(DS167="",TRUE,IF(input_faculty_category="",FALSE,SUMPRODUCT(--ISNUMBER(SEARCH(","&amp;TRIM(TEXTSPLIT(DS167,","))&amp;",",","&amp;SUBSTITUTE(input_faculty_category," ","")&amp;",")))&gt;0)),IF(DU167="",TRUE,IF(input_faculty_category="",FALSE,SUMPRODUCT(--ISNUMBER(SEARCH(","&amp;TRIM(TEXTSPLIT(DU167,","))&amp;",",","&amp;SUBSTITUTE(input_faculty_category," ","")&amp;",")))=COUNTA(TEXTSPLIT(DU167,",")))),IF(DW167="",TRUE,IF(input_faculty_category="",TRUE,SUMPRODUCT(--ISNUMBER(SEARCH(","&amp;TRIM(TEXTSPLIT(DW167,","))&amp;",",","&amp;SUBSTITUTE(input_faculty_category," ","")&amp;",")))=0)),IF(DY167="",TRUE,IF(input_faculty_category="",FALSE,SUMPRODUCT(--ISNUMBER(SEARCH(","&amp;TRIM(TEXTSPLIT(DY167,","))&amp;",",","&amp;SUBSTITUTE(input_faculty_category," ","")&amp;",")))&gt;0)),IF(EA167="",TRUE,IF(input_faculty_category="",FALSE,SUMPRODUCT(--ISNUMBER(SEARCH(","&amp;TRIM(TEXTSPLIT(EA167,","))&amp;",",","&amp;SUBSTITUTE(input_faculty_category," ","")&amp;",")))=COUNTA(TEXTSPLIT(EA167,",")))))</f>
        <v/>
      </c>
      <c r="JF167" s="19">
        <f>AND(IF(EC167="",TRUE,IF(input_faculty_discipline="",FALSE,SUMPRODUCT(--ISNUMBER(SEARCH(","&amp;TRIM(TEXTSPLIT(EC167,","))&amp;",",","&amp;SUBSTITUTE(input_faculty_discipline," ","")&amp;",")))&gt;0)),IF(EE167="",TRUE,IF(input_faculty_discipline="",FALSE,SUMPRODUCT(--ISNUMBER(SEARCH(","&amp;TRIM(TEXTSPLIT(EE167,","))&amp;",",","&amp;SUBSTITUTE(input_faculty_discipline," ","")&amp;",")))=COUNTA(TEXTSPLIT(EE167,",")))),IF(EG167="",TRUE,IF(input_faculty_discipline="",TRUE,SUMPRODUCT(--ISNUMBER(SEARCH(","&amp;TRIM(TEXTSPLIT(EG167,","))&amp;",",","&amp;SUBSTITUTE(input_faculty_discipline," ","")&amp;",")))=0)),IF(EI167="",TRUE,IF(input_faculty_discipline="",FALSE,SUMPRODUCT(--ISNUMBER(SEARCH(","&amp;TRIM(TEXTSPLIT(EI167,","))&amp;",",","&amp;SUBSTITUTE(input_faculty_discipline," ","")&amp;",")))&gt;0)),IF(EK167="",TRUE,IF(input_faculty_discipline="",FALSE,SUMPRODUCT(--ISNUMBER(SEARCH(","&amp;TRIM(TEXTSPLIT(EK167,","))&amp;",",","&amp;SUBSTITUTE(input_faculty_discipline," ","")&amp;",")))=COUNTA(TEXTSPLIT(EK167,",")))))</f>
        <v/>
      </c>
      <c r="JG167" s="19">
        <f>AND(IF(EM167="",TRUE,IF(input_faculty_expertise="",FALSE,SUMPRODUCT(--ISNUMBER(SEARCH(","&amp;TRIM(TEXTSPLIT(EM167,","))&amp;",",","&amp;SUBSTITUTE(input_faculty_expertise," ","")&amp;",")))&gt;0)),IF(EO167="",TRUE,IF(input_faculty_expertise="",FALSE,SUMPRODUCT(--ISNUMBER(SEARCH(","&amp;TRIM(TEXTSPLIT(EO167,","))&amp;",",","&amp;SUBSTITUTE(input_faculty_expertise," ","")&amp;",")))=COUNTA(TEXTSPLIT(EO167,",")))),IF(EQ167="",TRUE,IF(input_faculty_expertise="",TRUE,SUMPRODUCT(--ISNUMBER(SEARCH(","&amp;TRIM(TEXTSPLIT(EQ167,","))&amp;",",","&amp;SUBSTITUTE(input_faculty_expertise," ","")&amp;",")))=0)),IF(ES167="",TRUE,IF(input_faculty_expertise="",FALSE,SUMPRODUCT(--ISNUMBER(SEARCH(","&amp;TRIM(TEXTSPLIT(ES167,","))&amp;",",","&amp;SUBSTITUTE(input_faculty_expertise," ","")&amp;",")))&gt;0)),IF(EU167="",TRUE,IF(input_faculty_expertise="",FALSE,SUMPRODUCT(--ISNUMBER(SEARCH(","&amp;TRIM(TEXTSPLIT(EU167,","))&amp;",",","&amp;SUBSTITUTE(input_faculty_expertise," ","")&amp;",")))=COUNTA(TEXTSPLIT(EU167,",")))))</f>
        <v/>
      </c>
      <c r="JH167" s="19">
        <f>AND(IF(EW167="",TRUE,IF(input_global_network_school="",FALSE,SUMPRODUCT(--ISNUMBER(SEARCH(","&amp;TRIM(TEXTSPLIT(EW167,","))&amp;",",","&amp;SUBSTITUTE(input_global_network_school," ","")&amp;",")))&gt;0)),IF(EY167="",TRUE,IF(input_global_network_school="",FALSE,SUMPRODUCT(--ISNUMBER(SEARCH(","&amp;TRIM(TEXTSPLIT(EY167,","))&amp;",",","&amp;SUBSTITUTE(input_global_network_school," ","")&amp;",")))=COUNTA(TEXTSPLIT(EY167,",")))),IF(FA167="",TRUE,IF(input_global_network_school="",TRUE,SUMPRODUCT(--ISNUMBER(SEARCH(","&amp;TRIM(TEXTSPLIT(FA167,","))&amp;",",","&amp;SUBSTITUTE(input_global_network_school," ","")&amp;",")))=0)),IF(FC167="",TRUE,IF(input_global_network_school="",FALSE,SUMPRODUCT(--ISNUMBER(SEARCH(","&amp;TRIM(TEXTSPLIT(FC167,","))&amp;",",","&amp;SUBSTITUTE(input_global_network_school," ","")&amp;",")))&gt;0)),IF(FE167="",TRUE,IF(input_global_network_school="",FALSE,SUMPRODUCT(--ISNUMBER(SEARCH(","&amp;TRIM(TEXTSPLIT(FE167,","))&amp;",",","&amp;SUBSTITUTE(input_global_network_school," ","")&amp;",")))=COUNTA(TEXTSPLIT(FE167,",")))))</f>
        <v/>
      </c>
      <c r="JI167" s="19">
        <f>AND(IF(FG167="",TRUE,IF(input_industry="",FALSE,SUMPRODUCT(--ISNUMBER(SEARCH(","&amp;TRIM(TEXTSPLIT(FG167,","))&amp;",",","&amp;SUBSTITUTE(input_industry," ","")&amp;",")))&gt;0)),IF(FI167="",TRUE,IF(input_industry="",FALSE,SUMPRODUCT(--ISNUMBER(SEARCH(","&amp;TRIM(TEXTSPLIT(FI167,","))&amp;",",","&amp;SUBSTITUTE(input_industry," ","")&amp;",")))=COUNTA(TEXTSPLIT(FI167,",")))),IF(FK167="",TRUE,IF(input_industry="",TRUE,SUMPRODUCT(--ISNUMBER(SEARCH(","&amp;TRIM(TEXTSPLIT(FK167,","))&amp;",",","&amp;SUBSTITUTE(input_industry," ","")&amp;",")))=0)),IF(FM167="",TRUE,IF(input_industry="",FALSE,SUMPRODUCT(--ISNUMBER(SEARCH(","&amp;TRIM(TEXTSPLIT(FM167,","))&amp;",",","&amp;SUBSTITUTE(input_industry," ","")&amp;",")))&gt;0)),IF(FO167="",TRUE,IF(input_industry="",FALSE,SUMPRODUCT(--ISNUMBER(SEARCH(","&amp;TRIM(TEXTSPLIT(FO167,","))&amp;",",","&amp;SUBSTITUTE(input_industry," ","")&amp;",")))=COUNTA(TEXTSPLIT(FO167,",")))))</f>
        <v/>
      </c>
      <c r="JJ167" s="19">
        <f>AND(IF(FQ167="",TRUE,IF(input_location="",FALSE,SUMPRODUCT(--ISNUMBER(SEARCH(","&amp;TRIM(TEXTSPLIT(FQ167,","))&amp;",",","&amp;SUBSTITUTE(input_location," ","")&amp;",")))&gt;0)),IF(FS167="",TRUE,IF(input_location="",FALSE,SUMPRODUCT(--ISNUMBER(SEARCH(","&amp;TRIM(TEXTSPLIT(FS167,","))&amp;",",","&amp;SUBSTITUTE(input_location," ","")&amp;",")))=COUNTA(TEXTSPLIT(FS167,",")))),IF(FU167="",TRUE,IF(input_location="",TRUE,SUMPRODUCT(--ISNUMBER(SEARCH(","&amp;TRIM(TEXTSPLIT(FU167,","))&amp;",",","&amp;SUBSTITUTE(input_location," ","")&amp;",")))=0)),IF(FW167="",TRUE,IF(input_location="",FALSE,SUMPRODUCT(--ISNUMBER(SEARCH(","&amp;TRIM(TEXTSPLIT(FW167,","))&amp;",",","&amp;SUBSTITUTE(input_location," ","")&amp;",")))&gt;0)),IF(FY167="",TRUE,IF(input_location="",FALSE,SUMPRODUCT(--ISNUMBER(SEARCH(","&amp;TRIM(TEXTSPLIT(FY167,","))&amp;",",","&amp;SUBSTITUTE(input_location," ","")&amp;",")))=COUNTA(TEXTSPLIT(FY167,",")))))</f>
        <v/>
      </c>
      <c r="JK167" s="19">
        <f>AND(IF(GA167="",TRUE,IF(input_modality="",FALSE,SUMPRODUCT(--ISNUMBER(SEARCH(","&amp;TRIM(TEXTSPLIT(GA167,","))&amp;",",","&amp;SUBSTITUTE(input_modality," ","")&amp;",")))&gt;0)),IF(GC167="",TRUE,IF(input_modality="",FALSE,SUMPRODUCT(--ISNUMBER(SEARCH(","&amp;TRIM(TEXTSPLIT(GC167,","))&amp;",",","&amp;SUBSTITUTE(input_modality," ","")&amp;",")))=COUNTA(TEXTSPLIT(GC167,",")))),IF(GE167="",TRUE,IF(input_modality="",TRUE,SUMPRODUCT(--ISNUMBER(SEARCH(","&amp;TRIM(TEXTSPLIT(GE167,","))&amp;",",","&amp;SUBSTITUTE(input_modality," ","")&amp;",")))=0)),IF(GG167="",TRUE,IF(input_modality="",FALSE,SUMPRODUCT(--ISNUMBER(SEARCH(","&amp;TRIM(TEXTSPLIT(GG167,","))&amp;",",","&amp;SUBSTITUTE(input_modality," ","")&amp;",")))&gt;0)),IF(GI167="",TRUE,IF(input_modality="",FALSE,SUMPRODUCT(--ISNUMBER(SEARCH(","&amp;TRIM(TEXTSPLIT(GI167,","))&amp;",",","&amp;SUBSTITUTE(input_modality," ","")&amp;",")))=COUNTA(TEXTSPLIT(GI167,",")))))</f>
        <v/>
      </c>
      <c r="JL167" s="19">
        <f>AND(IF(GK167="",TRUE,IF(input_organizer="",FALSE,SUMPRODUCT(--ISNUMBER(SEARCH(","&amp;TRIM(TEXTSPLIT(GK167,","))&amp;",",","&amp;SUBSTITUTE(input_organizer," ","")&amp;",")))&gt;0)),IF(GM167="",TRUE,IF(input_organizer="",FALSE,SUMPRODUCT(--ISNUMBER(SEARCH(","&amp;TRIM(TEXTSPLIT(GM167,","))&amp;",",","&amp;SUBSTITUTE(input_organizer," ","")&amp;",")))=COUNTA(TEXTSPLIT(GM167,",")))),IF(GO167="",TRUE,IF(input_organizer="",TRUE,SUMPRODUCT(--ISNUMBER(SEARCH(","&amp;TRIM(TEXTSPLIT(GO167,","))&amp;",",","&amp;SUBSTITUTE(input_organizer," ","")&amp;",")))=0)),IF(GQ167="",TRUE,IF(input_organizer="",FALSE,SUMPRODUCT(--ISNUMBER(SEARCH(","&amp;TRIM(TEXTSPLIT(GQ167,","))&amp;",",","&amp;SUBSTITUTE(input_organizer," ","")&amp;",")))&gt;0)),IF(GS167="",TRUE,IF(input_organizer="",FALSE,SUMPRODUCT(--ISNUMBER(SEARCH(","&amp;TRIM(TEXTSPLIT(GS167,","))&amp;",",","&amp;SUBSTITUTE(input_organizer," ","")&amp;",")))=COUNTA(TEXTSPLIT(GS167,",")))))</f>
        <v/>
      </c>
      <c r="JM167" s="19">
        <f>AND(IF(GU167="",TRUE,IF(input_profile_type="",FALSE,SUMPRODUCT(--ISNUMBER(SEARCH(","&amp;TRIM(TEXTSPLIT(GU167,","))&amp;",",","&amp;SUBSTITUTE(input_profile_type," ","")&amp;",")))&gt;0)),IF(GW167="",TRUE,IF(input_profile_type="",FALSE,SUMPRODUCT(--ISNUMBER(SEARCH(","&amp;TRIM(TEXTSPLIT(GW167,","))&amp;",",","&amp;SUBSTITUTE(input_profile_type," ","")&amp;",")))=COUNTA(TEXTSPLIT(GW167,",")))),IF(GY167="",TRUE,IF(input_profile_type="",TRUE,SUMPRODUCT(--ISNUMBER(SEARCH(","&amp;TRIM(TEXTSPLIT(GY167,","))&amp;",",","&amp;SUBSTITUTE(input_profile_type," ","")&amp;",")))=0)),IF(HA167="",TRUE,IF(input_profile_type="",FALSE,SUMPRODUCT(--ISNUMBER(SEARCH(","&amp;TRIM(TEXTSPLIT(HA167,","))&amp;",",","&amp;SUBSTITUTE(input_profile_type," ","")&amp;",")))&gt;0)),IF(HC167="",TRUE,IF(input_profile_type="",FALSE,SUMPRODUCT(--ISNUMBER(SEARCH(","&amp;TRIM(TEXTSPLIT(HC167,","))&amp;",",","&amp;SUBSTITUTE(input_profile_type," ","")&amp;",")))=COUNTA(TEXTSPLIT(HC167,",")))))</f>
        <v/>
      </c>
      <c r="JN167" s="19">
        <f>AND(IF(HE167="",TRUE,IF(input_program="",FALSE,SUMPRODUCT(--ISNUMBER(SEARCH(","&amp;TRIM(TEXTSPLIT(HE167,","))&amp;",",","&amp;SUBSTITUTE(input_program," ","")&amp;",")))&gt;0)),IF(HG167="",TRUE,IF(input_program="",FALSE,SUMPRODUCT(--ISNUMBER(SEARCH(","&amp;TRIM(TEXTSPLIT(HG167,","))&amp;",",","&amp;SUBSTITUTE(input_program," ","")&amp;",")))=COUNTA(TEXTSPLIT(HG167,",")))),IF(HI167="",TRUE,IF(input_program="",TRUE,SUMPRODUCT(--ISNUMBER(SEARCH(","&amp;TRIM(TEXTSPLIT(HI167,","))&amp;",",","&amp;SUBSTITUTE(input_program," ","")&amp;",")))=0)),IF(HK167="",TRUE,IF(input_program="",FALSE,SUMPRODUCT(--ISNUMBER(SEARCH(","&amp;TRIM(TEXTSPLIT(HK167,","))&amp;",",","&amp;SUBSTITUTE(input_program," ","")&amp;",")))&gt;0)),IF(HM167="",TRUE,IF(input_program="",FALSE,SUMPRODUCT(--ISNUMBER(SEARCH(","&amp;TRIM(TEXTSPLIT(HM167,","))&amp;",",","&amp;SUBSTITUTE(input_program," ","")&amp;",")))=COUNTA(TEXTSPLIT(HM167,",")))))</f>
        <v/>
      </c>
      <c r="JO167" s="19">
        <f>AND(IF(HO167="",TRUE,IF(input_story_categories="",FALSE,SUMPRODUCT(--ISNUMBER(SEARCH(","&amp;TRIM(TEXTSPLIT(HO167,","))&amp;",",","&amp;SUBSTITUTE(input_story_categories," ","")&amp;",")))&gt;0)),IF(HQ167="",TRUE,IF(input_story_categories="",FALSE,SUMPRODUCT(--ISNUMBER(SEARCH(","&amp;TRIM(TEXTSPLIT(HQ167,","))&amp;",",","&amp;SUBSTITUTE(input_story_categories," ","")&amp;",")))=COUNTA(TEXTSPLIT(HQ167,",")))),IF(HS167="",TRUE,IF(input_story_categories="",TRUE,SUMPRODUCT(--ISNUMBER(SEARCH(","&amp;TRIM(TEXTSPLIT(HS167,","))&amp;",",","&amp;SUBSTITUTE(input_story_categories," ","")&amp;",")))=0)),IF(HU167="",TRUE,IF(input_story_categories="",FALSE,SUMPRODUCT(--ISNUMBER(SEARCH(","&amp;TRIM(TEXTSPLIT(HU167,","))&amp;",",","&amp;SUBSTITUTE(input_story_categories," ","")&amp;",")))&gt;0)),IF(HW167="",TRUE,IF(input_story_categories="",FALSE,SUMPRODUCT(--ISNUMBER(SEARCH(","&amp;TRIM(TEXTSPLIT(HW167,","))&amp;",",","&amp;SUBSTITUTE(input_story_categories," ","")&amp;",")))=COUNTA(TEXTSPLIT(HW167,",")))))</f>
        <v/>
      </c>
      <c r="JP167" s="19">
        <f>AND(IF(HY167="",TRUE,IF(input_story_type="",FALSE,SUMPRODUCT(--ISNUMBER(SEARCH(","&amp;TRIM(TEXTSPLIT(HY167,","))&amp;",",","&amp;SUBSTITUTE(input_story_type," ","")&amp;",")))&gt;0)),IF(IA167="",TRUE,IF(input_story_type="",FALSE,SUMPRODUCT(--ISNUMBER(SEARCH(","&amp;TRIM(TEXTSPLIT(IA167,","))&amp;",",","&amp;SUBSTITUTE(input_story_type," ","")&amp;",")))=COUNTA(TEXTSPLIT(IA167,",")))),IF(IC167="",TRUE,IF(input_story_type="",TRUE,SUMPRODUCT(--ISNUMBER(SEARCH(","&amp;TRIM(TEXTSPLIT(IC167,","))&amp;",",","&amp;SUBSTITUTE(input_story_type," ","")&amp;",")))=0)),IF(IE167="",TRUE,IF(input_story_type="",FALSE,SUMPRODUCT(--ISNUMBER(SEARCH(","&amp;TRIM(TEXTSPLIT(IE167,","))&amp;",",","&amp;SUBSTITUTE(input_story_type," ","")&amp;",")))&gt;0)),IF(IG167="",TRUE,IF(input_story_type="",FALSE,SUMPRODUCT(--ISNUMBER(SEARCH(","&amp;TRIM(TEXTSPLIT(IG167,","))&amp;",",","&amp;SUBSTITUTE(input_story_type," ","")&amp;",")))=COUNTA(TEXTSPLIT(IG167,",")))))</f>
        <v/>
      </c>
      <c r="JQ167" s="19">
        <f>AND(IF(II167="",TRUE,IF(input_topics="",FALSE,SUMPRODUCT(--ISNUMBER(SEARCH(","&amp;TRIM(TEXTSPLIT(II167,","))&amp;",",","&amp;SUBSTITUTE(input_topics," ","")&amp;",")))&gt;0)),IF(IK167="",TRUE,IF(input_topics="",FALSE,SUMPRODUCT(--ISNUMBER(SEARCH(","&amp;TRIM(TEXTSPLIT(IK167,","))&amp;",",","&amp;SUBSTITUTE(input_topics," ","")&amp;",")))=COUNTA(TEXTSPLIT(IK167,",")))),IF(IM167="",TRUE,IF(input_topics="",TRUE,SUMPRODUCT(--ISNUMBER(SEARCH(","&amp;TRIM(TEXTSPLIT(IM167,","))&amp;",",","&amp;SUBSTITUTE(input_topics," ","")&amp;",")))=0)),IF(IO167="",TRUE,IF(input_topics="",FALSE,SUMPRODUCT(--ISNUMBER(SEARCH(","&amp;TRIM(TEXTSPLIT(IO167,","))&amp;",",","&amp;SUBSTITUTE(input_topics," ","")&amp;",")))&gt;0)),IF(IQ167="",TRUE,IF(input_topics="",FALSE,SUMPRODUCT(--ISNUMBER(SEARCH(","&amp;TRIM(TEXTSPLIT(IQ167,","))&amp;",",","&amp;SUBSTITUTE(input_topics," ","")&amp;",")))=COUNTA(TEXTSPLIT(IQ167,",")))))</f>
        <v/>
      </c>
    </row>
    <row r="168">
      <c r="A168" s="24">
        <f>IF(NOT(IS168),"Excluded",IF(AND(IT168,IU168,IV168,IW168,IX168,IY168,IZ168,JA168,JB168,JC168,JD168,JE168,JF168,JG168,JH168,JI168,JJ168,JK168,JL168,JM168,JN168,JO168,JP168,JQ168),IF(I168&gt;0,"Eligible but limited","Will appear"),"Excluded"))</f>
        <v/>
      </c>
      <c r="B168" s="24" t="inlineStr">
        <is>
          <t>Related profiles on profile pages</t>
        </is>
      </c>
      <c r="C168" s="27" t="inlineStr">
        <is>
          <t>/profile/peter-akinwande-25</t>
        </is>
      </c>
      <c r="D168" s="24" t="inlineStr">
        <is>
          <t>/profile/peter-akinwande-25</t>
        </is>
      </c>
      <c r="E168" s="24" t="n">
        <v>1</v>
      </c>
      <c r="F168" s="24" t="inlineStr">
        <is>
          <t>profile</t>
        </is>
      </c>
      <c r="G168" s="24" t="inlineStr">
        <is>
          <t>profiles_grid</t>
        </is>
      </c>
      <c r="H168" s="24" t="inlineStr">
        <is>
          <t>related</t>
        </is>
      </c>
      <c r="I168" s="24" t="n">
        <v>3</v>
      </c>
      <c r="J168" s="28" t="inlineStr">
        <is>
          <t>Explicit args</t>
        </is>
      </c>
      <c r="K168" s="24" t="inlineStr">
        <is>
          <t>Grouped surface</t>
        </is>
      </c>
      <c r="L168" s="24" t="inlineStr">
        <is>
          <t>Content type: profile; Context uses Profile Type: all; Context uses Program: Master’s in Asset Management (82); Limited to 3 item(s); Source: Explicit args</t>
        </is>
      </c>
      <c r="HA168" s="19" t="inlineStr">
        <is>
          <t>all</t>
        </is>
      </c>
      <c r="HB168" s="19" t="inlineStr">
        <is>
          <t>all</t>
        </is>
      </c>
      <c r="HK168" s="19" t="inlineStr">
        <is>
          <t>82</t>
        </is>
      </c>
      <c r="HL168" s="19" t="inlineStr">
        <is>
          <t>Master’s in Asset Management (82)</t>
        </is>
      </c>
      <c r="IS168" s="19">
        <f>IF(input_content_type="",FALSE,ISNUMBER(SEARCH(","&amp;LOWER(input_content_type)&amp;",",","&amp;LOWER(SUBSTITUTE(F168," ",""))&amp;",")))</f>
        <v/>
      </c>
      <c r="IT168" s="19">
        <f>AND(IF(M168="",TRUE,IF(input_affiliations="",FALSE,SUMPRODUCT(--ISNUMBER(SEARCH(","&amp;TRIM(TEXTSPLIT(M168,","))&amp;",",","&amp;SUBSTITUTE(input_affiliations," ","")&amp;",")))&gt;0)),IF(O168="",TRUE,IF(input_affiliations="",FALSE,SUMPRODUCT(--ISNUMBER(SEARCH(","&amp;TRIM(TEXTSPLIT(O168,","))&amp;",",","&amp;SUBSTITUTE(input_affiliations," ","")&amp;",")))=COUNTA(TEXTSPLIT(O168,",")))),IF(Q168="",TRUE,IF(input_affiliations="",TRUE,SUMPRODUCT(--ISNUMBER(SEARCH(","&amp;TRIM(TEXTSPLIT(Q168,","))&amp;",",","&amp;SUBSTITUTE(input_affiliations," ","")&amp;",")))=0)),IF(S168="",TRUE,IF(input_affiliations="",FALSE,SUMPRODUCT(--ISNUMBER(SEARCH(","&amp;TRIM(TEXTSPLIT(S168,","))&amp;",",","&amp;SUBSTITUTE(input_affiliations," ","")&amp;",")))&gt;0)),IF(U168="",TRUE,IF(input_affiliations="",FALSE,SUMPRODUCT(--ISNUMBER(SEARCH(","&amp;TRIM(TEXTSPLIT(U168,","))&amp;",",","&amp;SUBSTITUTE(input_affiliations," ","")&amp;",")))=COUNTA(TEXTSPLIT(U168,",")))))</f>
        <v/>
      </c>
      <c r="IU168" s="19">
        <f>AND(IF(W168="",TRUE,IF(input_announcement_category="",FALSE,SUMPRODUCT(--ISNUMBER(SEARCH(","&amp;TRIM(TEXTSPLIT(W168,","))&amp;",",","&amp;SUBSTITUTE(input_announcement_category," ","")&amp;",")))&gt;0)),IF(Y168="",TRUE,IF(input_announcement_category="",FALSE,SUMPRODUCT(--ISNUMBER(SEARCH(","&amp;TRIM(TEXTSPLIT(Y168,","))&amp;",",","&amp;SUBSTITUTE(input_announcement_category," ","")&amp;",")))=COUNTA(TEXTSPLIT(Y168,",")))),IF(AA168="",TRUE,IF(input_announcement_category="",TRUE,SUMPRODUCT(--ISNUMBER(SEARCH(","&amp;TRIM(TEXTSPLIT(AA168,","))&amp;",",","&amp;SUBSTITUTE(input_announcement_category," ","")&amp;",")))=0)),IF(AC168="",TRUE,IF(input_announcement_category="",FALSE,SUMPRODUCT(--ISNUMBER(SEARCH(","&amp;TRIM(TEXTSPLIT(AC168,","))&amp;",",","&amp;SUBSTITUTE(input_announcement_category," ","")&amp;",")))&gt;0)),IF(AE168="",TRUE,IF(input_announcement_category="",FALSE,SUMPRODUCT(--ISNUMBER(SEARCH(","&amp;TRIM(TEXTSPLIT(AE168,","))&amp;",",","&amp;SUBSTITUTE(input_announcement_category," ","")&amp;",")))=COUNTA(TEXTSPLIT(AE168,",")))))</f>
        <v/>
      </c>
      <c r="IV168" s="19">
        <f>AND(IF(AG168="",TRUE,IF(input_area_of_focus="",FALSE,SUMPRODUCT(--ISNUMBER(SEARCH(","&amp;TRIM(TEXTSPLIT(AG168,","))&amp;",",","&amp;SUBSTITUTE(input_area_of_focus," ","")&amp;",")))&gt;0)),IF(AI168="",TRUE,IF(input_area_of_focus="",FALSE,SUMPRODUCT(--ISNUMBER(SEARCH(","&amp;TRIM(TEXTSPLIT(AI168,","))&amp;",",","&amp;SUBSTITUTE(input_area_of_focus," ","")&amp;",")))=COUNTA(TEXTSPLIT(AI168,",")))),IF(AK168="",TRUE,IF(input_area_of_focus="",TRUE,SUMPRODUCT(--ISNUMBER(SEARCH(","&amp;TRIM(TEXTSPLIT(AK168,","))&amp;",",","&amp;SUBSTITUTE(input_area_of_focus," ","")&amp;",")))=0)),IF(AM168="",TRUE,IF(input_area_of_focus="",FALSE,SUMPRODUCT(--ISNUMBER(SEARCH(","&amp;TRIM(TEXTSPLIT(AM168,","))&amp;",",","&amp;SUBSTITUTE(input_area_of_focus," ","")&amp;",")))&gt;0)),IF(AO168="",TRUE,IF(input_area_of_focus="",FALSE,SUMPRODUCT(--ISNUMBER(SEARCH(","&amp;TRIM(TEXTSPLIT(AO168,","))&amp;",",","&amp;SUBSTITUTE(input_area_of_focus," ","")&amp;",")))=COUNTA(TEXTSPLIT(AO168,",")))))</f>
        <v/>
      </c>
      <c r="IW168" s="19">
        <f>AND(IF(AQ168="",TRUE,IF(input_audience="",FALSE,SUMPRODUCT(--ISNUMBER(SEARCH(","&amp;TRIM(TEXTSPLIT(AQ168,","))&amp;",",","&amp;SUBSTITUTE(input_audience," ","")&amp;",")))&gt;0)),IF(AS168="",TRUE,IF(input_audience="",FALSE,SUMPRODUCT(--ISNUMBER(SEARCH(","&amp;TRIM(TEXTSPLIT(AS168,","))&amp;",",","&amp;SUBSTITUTE(input_audience," ","")&amp;",")))=COUNTA(TEXTSPLIT(AS168,",")))),IF(AU168="",TRUE,IF(input_audience="",TRUE,SUMPRODUCT(--ISNUMBER(SEARCH(","&amp;TRIM(TEXTSPLIT(AU168,","))&amp;",",","&amp;SUBSTITUTE(input_audience," ","")&amp;",")))=0)),IF(AW168="",TRUE,IF(input_audience="",FALSE,SUMPRODUCT(--ISNUMBER(SEARCH(","&amp;TRIM(TEXTSPLIT(AW168,","))&amp;",",","&amp;SUBSTITUTE(input_audience," ","")&amp;",")))&gt;0)),IF(AY168="",TRUE,IF(input_audience="",FALSE,SUMPRODUCT(--ISNUMBER(SEARCH(","&amp;TRIM(TEXTSPLIT(AY168,","))&amp;",",","&amp;SUBSTITUTE(input_audience," ","")&amp;",")))=COUNTA(TEXTSPLIT(AY168,",")))))</f>
        <v/>
      </c>
      <c r="IX168" s="19">
        <f>AND(IF(BA168="",TRUE,IF(input_challenge_opportunities="",FALSE,SUMPRODUCT(--ISNUMBER(SEARCH(","&amp;TRIM(TEXTSPLIT(BA168,","))&amp;",",","&amp;SUBSTITUTE(input_challenge_opportunities," ","")&amp;",")))&gt;0)),IF(BC168="",TRUE,IF(input_challenge_opportunities="",FALSE,SUMPRODUCT(--ISNUMBER(SEARCH(","&amp;TRIM(TEXTSPLIT(BC168,","))&amp;",",","&amp;SUBSTITUTE(input_challenge_opportunities," ","")&amp;",")))=COUNTA(TEXTSPLIT(BC168,",")))),IF(BE168="",TRUE,IF(input_challenge_opportunities="",TRUE,SUMPRODUCT(--ISNUMBER(SEARCH(","&amp;TRIM(TEXTSPLIT(BE168,","))&amp;",",","&amp;SUBSTITUTE(input_challenge_opportunities," ","")&amp;",")))=0)),IF(BG168="",TRUE,IF(input_challenge_opportunities="",FALSE,SUMPRODUCT(--ISNUMBER(SEARCH(","&amp;TRIM(TEXTSPLIT(BG168,","))&amp;",",","&amp;SUBSTITUTE(input_challenge_opportunities," ","")&amp;",")))&gt;0)),IF(BI168="",TRUE,IF(input_challenge_opportunities="",FALSE,SUMPRODUCT(--ISNUMBER(SEARCH(","&amp;TRIM(TEXTSPLIT(BI168,","))&amp;",",","&amp;SUBSTITUTE(input_challenge_opportunities," ","")&amp;",")))=COUNTA(TEXTSPLIT(BI168,",")))))</f>
        <v/>
      </c>
      <c r="IY168" s="19">
        <f>AND(IF(BK168="",TRUE,IF(input_context="",FALSE,SUMPRODUCT(--ISNUMBER(SEARCH(","&amp;TRIM(TEXTSPLIT(BK168,","))&amp;",",","&amp;SUBSTITUTE(input_context," ","")&amp;",")))&gt;0)),IF(BM168="",TRUE,IF(input_context="",FALSE,SUMPRODUCT(--ISNUMBER(SEARCH(","&amp;TRIM(TEXTSPLIT(BM168,","))&amp;",",","&amp;SUBSTITUTE(input_context," ","")&amp;",")))=COUNTA(TEXTSPLIT(BM168,",")))),IF(BO168="",TRUE,IF(input_context="",TRUE,SUMPRODUCT(--ISNUMBER(SEARCH(","&amp;TRIM(TEXTSPLIT(BO168,","))&amp;",",","&amp;SUBSTITUTE(input_context," ","")&amp;",")))=0)),IF(BQ168="",TRUE,IF(input_context="",FALSE,SUMPRODUCT(--ISNUMBER(SEARCH(","&amp;TRIM(TEXTSPLIT(BQ168,","))&amp;",",","&amp;SUBSTITUTE(input_context," ","")&amp;",")))&gt;0)),IF(BS168="",TRUE,IF(input_context="",FALSE,SUMPRODUCT(--ISNUMBER(SEARCH(","&amp;TRIM(TEXTSPLIT(BS168,","))&amp;",",","&amp;SUBSTITUTE(input_context," ","")&amp;",")))=COUNTA(TEXTSPLIT(BS168,",")))))</f>
        <v/>
      </c>
      <c r="IZ168" s="19">
        <f>AND(IF(BU168="",TRUE,IF(input_enews_announcement_type="",FALSE,SUMPRODUCT(--ISNUMBER(SEARCH(","&amp;TRIM(TEXTSPLIT(BU168,","))&amp;",",","&amp;SUBSTITUTE(input_enews_announcement_type," ","")&amp;",")))&gt;0)),IF(BW168="",TRUE,IF(input_enews_announcement_type="",FALSE,SUMPRODUCT(--ISNUMBER(SEARCH(","&amp;TRIM(TEXTSPLIT(BW168,","))&amp;",",","&amp;SUBSTITUTE(input_enews_announcement_type," ","")&amp;",")))=COUNTA(TEXTSPLIT(BW168,",")))),IF(BY168="",TRUE,IF(input_enews_announcement_type="",TRUE,SUMPRODUCT(--ISNUMBER(SEARCH(","&amp;TRIM(TEXTSPLIT(BY168,","))&amp;",",","&amp;SUBSTITUTE(input_enews_announcement_type," ","")&amp;",")))=0)),IF(CA168="",TRUE,IF(input_enews_announcement_type="",FALSE,SUMPRODUCT(--ISNUMBER(SEARCH(","&amp;TRIM(TEXTSPLIT(CA168,","))&amp;",",","&amp;SUBSTITUTE(input_enews_announcement_type," ","")&amp;",")))&gt;0)),IF(CC168="",TRUE,IF(input_enews_announcement_type="",FALSE,SUMPRODUCT(--ISNUMBER(SEARCH(","&amp;TRIM(TEXTSPLIT(CC168,","))&amp;",",","&amp;SUBSTITUTE(input_enews_announcement_type," ","")&amp;",")))=COUNTA(TEXTSPLIT(CC168,",")))))</f>
        <v/>
      </c>
      <c r="JA168" s="19">
        <f>AND(IF(CE168="",TRUE,IF(input_enews_audience="",FALSE,SUMPRODUCT(--ISNUMBER(SEARCH(","&amp;TRIM(TEXTSPLIT(CE168,","))&amp;",",","&amp;SUBSTITUTE(input_enews_audience," ","")&amp;",")))&gt;0)),IF(CG168="",TRUE,IF(input_enews_audience="",FALSE,SUMPRODUCT(--ISNUMBER(SEARCH(","&amp;TRIM(TEXTSPLIT(CG168,","))&amp;",",","&amp;SUBSTITUTE(input_enews_audience," ","")&amp;",")))=COUNTA(TEXTSPLIT(CG168,",")))),IF(CI168="",TRUE,IF(input_enews_audience="",TRUE,SUMPRODUCT(--ISNUMBER(SEARCH(","&amp;TRIM(TEXTSPLIT(CI168,","))&amp;",",","&amp;SUBSTITUTE(input_enews_audience," ","")&amp;",")))=0)),IF(CK168="",TRUE,IF(input_enews_audience="",FALSE,SUMPRODUCT(--ISNUMBER(SEARCH(","&amp;TRIM(TEXTSPLIT(CK168,","))&amp;",",","&amp;SUBSTITUTE(input_enews_audience," ","")&amp;",")))&gt;0)),IF(CM168="",TRUE,IF(input_enews_audience="",FALSE,SUMPRODUCT(--ISNUMBER(SEARCH(","&amp;TRIM(TEXTSPLIT(CM168,","))&amp;",",","&amp;SUBSTITUTE(input_enews_audience," ","")&amp;",")))=COUNTA(TEXTSPLIT(CM168,",")))))</f>
        <v/>
      </c>
      <c r="JB168" s="19">
        <f>AND(IF(CO168="",TRUE,IF(input_event_location="",FALSE,SUMPRODUCT(--ISNUMBER(SEARCH(","&amp;TRIM(TEXTSPLIT(CO168,","))&amp;",",","&amp;SUBSTITUTE(input_event_location," ","")&amp;",")))&gt;0)),IF(CQ168="",TRUE,IF(input_event_location="",FALSE,SUMPRODUCT(--ISNUMBER(SEARCH(","&amp;TRIM(TEXTSPLIT(CQ168,","))&amp;",",","&amp;SUBSTITUTE(input_event_location," ","")&amp;",")))=COUNTA(TEXTSPLIT(CQ168,",")))),IF(CS168="",TRUE,IF(input_event_location="",TRUE,SUMPRODUCT(--ISNUMBER(SEARCH(","&amp;TRIM(TEXTSPLIT(CS168,","))&amp;",",","&amp;SUBSTITUTE(input_event_location," ","")&amp;",")))=0)),IF(CU168="",TRUE,IF(input_event_location="",FALSE,SUMPRODUCT(--ISNUMBER(SEARCH(","&amp;TRIM(TEXTSPLIT(CU168,","))&amp;",",","&amp;SUBSTITUTE(input_event_location," ","")&amp;",")))&gt;0)),IF(CW168="",TRUE,IF(input_event_location="",FALSE,SUMPRODUCT(--ISNUMBER(SEARCH(","&amp;TRIM(TEXTSPLIT(CW168,","))&amp;",",","&amp;SUBSTITUTE(input_event_location," ","")&amp;",")))=COUNTA(TEXTSPLIT(CW168,",")))))</f>
        <v/>
      </c>
      <c r="JC168" s="19">
        <f>AND(IF(CY168="",TRUE,IF(input_event_type="",FALSE,SUMPRODUCT(--ISNUMBER(SEARCH(","&amp;TRIM(TEXTSPLIT(CY168,","))&amp;",",","&amp;SUBSTITUTE(input_event_type," ","")&amp;",")))&gt;0)),IF(DA168="",TRUE,IF(input_event_type="",FALSE,SUMPRODUCT(--ISNUMBER(SEARCH(","&amp;TRIM(TEXTSPLIT(DA168,","))&amp;",",","&amp;SUBSTITUTE(input_event_type," ","")&amp;",")))=COUNTA(TEXTSPLIT(DA168,",")))),IF(DC168="",TRUE,IF(input_event_type="",TRUE,SUMPRODUCT(--ISNUMBER(SEARCH(","&amp;TRIM(TEXTSPLIT(DC168,","))&amp;",",","&amp;SUBSTITUTE(input_event_type," ","")&amp;",")))=0)),IF(DE168="",TRUE,IF(input_event_type="",FALSE,SUMPRODUCT(--ISNUMBER(SEARCH(","&amp;TRIM(TEXTSPLIT(DE168,","))&amp;",",","&amp;SUBSTITUTE(input_event_type," ","")&amp;",")))&gt;0)),IF(DG168="",TRUE,IF(input_event_type="",FALSE,SUMPRODUCT(--ISNUMBER(SEARCH(","&amp;TRIM(TEXTSPLIT(DG168,","))&amp;",",","&amp;SUBSTITUTE(input_event_type," ","")&amp;",")))=COUNTA(TEXTSPLIT(DG168,",")))))</f>
        <v/>
      </c>
      <c r="JD168" s="19">
        <f>AND(IF(DI168="",TRUE,IF(input_executive_education_focus="",FALSE,SUMPRODUCT(--ISNUMBER(SEARCH(","&amp;TRIM(TEXTSPLIT(DI168,","))&amp;",",","&amp;SUBSTITUTE(input_executive_education_focus," ","")&amp;",")))&gt;0)),IF(DK168="",TRUE,IF(input_executive_education_focus="",FALSE,SUMPRODUCT(--ISNUMBER(SEARCH(","&amp;TRIM(TEXTSPLIT(DK168,","))&amp;",",","&amp;SUBSTITUTE(input_executive_education_focus," ","")&amp;",")))=COUNTA(TEXTSPLIT(DK168,",")))),IF(DM168="",TRUE,IF(input_executive_education_focus="",TRUE,SUMPRODUCT(--ISNUMBER(SEARCH(","&amp;TRIM(TEXTSPLIT(DM168,","))&amp;",",","&amp;SUBSTITUTE(input_executive_education_focus," ","")&amp;",")))=0)),IF(DO168="",TRUE,IF(input_executive_education_focus="",FALSE,SUMPRODUCT(--ISNUMBER(SEARCH(","&amp;TRIM(TEXTSPLIT(DO168,","))&amp;",",","&amp;SUBSTITUTE(input_executive_education_focus," ","")&amp;",")))&gt;0)),IF(DQ168="",TRUE,IF(input_executive_education_focus="",FALSE,SUMPRODUCT(--ISNUMBER(SEARCH(","&amp;TRIM(TEXTSPLIT(DQ168,","))&amp;",",","&amp;SUBSTITUTE(input_executive_education_focus," ","")&amp;",")))=COUNTA(TEXTSPLIT(DQ168,",")))))</f>
        <v/>
      </c>
      <c r="JE168" s="19">
        <f>AND(IF(DS168="",TRUE,IF(input_faculty_category="",FALSE,SUMPRODUCT(--ISNUMBER(SEARCH(","&amp;TRIM(TEXTSPLIT(DS168,","))&amp;",",","&amp;SUBSTITUTE(input_faculty_category," ","")&amp;",")))&gt;0)),IF(DU168="",TRUE,IF(input_faculty_category="",FALSE,SUMPRODUCT(--ISNUMBER(SEARCH(","&amp;TRIM(TEXTSPLIT(DU168,","))&amp;",",","&amp;SUBSTITUTE(input_faculty_category," ","")&amp;",")))=COUNTA(TEXTSPLIT(DU168,",")))),IF(DW168="",TRUE,IF(input_faculty_category="",TRUE,SUMPRODUCT(--ISNUMBER(SEARCH(","&amp;TRIM(TEXTSPLIT(DW168,","))&amp;",",","&amp;SUBSTITUTE(input_faculty_category," ","")&amp;",")))=0)),IF(DY168="",TRUE,IF(input_faculty_category="",FALSE,SUMPRODUCT(--ISNUMBER(SEARCH(","&amp;TRIM(TEXTSPLIT(DY168,","))&amp;",",","&amp;SUBSTITUTE(input_faculty_category," ","")&amp;",")))&gt;0)),IF(EA168="",TRUE,IF(input_faculty_category="",FALSE,SUMPRODUCT(--ISNUMBER(SEARCH(","&amp;TRIM(TEXTSPLIT(EA168,","))&amp;",",","&amp;SUBSTITUTE(input_faculty_category," ","")&amp;",")))=COUNTA(TEXTSPLIT(EA168,",")))))</f>
        <v/>
      </c>
      <c r="JF168" s="19">
        <f>AND(IF(EC168="",TRUE,IF(input_faculty_discipline="",FALSE,SUMPRODUCT(--ISNUMBER(SEARCH(","&amp;TRIM(TEXTSPLIT(EC168,","))&amp;",",","&amp;SUBSTITUTE(input_faculty_discipline," ","")&amp;",")))&gt;0)),IF(EE168="",TRUE,IF(input_faculty_discipline="",FALSE,SUMPRODUCT(--ISNUMBER(SEARCH(","&amp;TRIM(TEXTSPLIT(EE168,","))&amp;",",","&amp;SUBSTITUTE(input_faculty_discipline," ","")&amp;",")))=COUNTA(TEXTSPLIT(EE168,",")))),IF(EG168="",TRUE,IF(input_faculty_discipline="",TRUE,SUMPRODUCT(--ISNUMBER(SEARCH(","&amp;TRIM(TEXTSPLIT(EG168,","))&amp;",",","&amp;SUBSTITUTE(input_faculty_discipline," ","")&amp;",")))=0)),IF(EI168="",TRUE,IF(input_faculty_discipline="",FALSE,SUMPRODUCT(--ISNUMBER(SEARCH(","&amp;TRIM(TEXTSPLIT(EI168,","))&amp;",",","&amp;SUBSTITUTE(input_faculty_discipline," ","")&amp;",")))&gt;0)),IF(EK168="",TRUE,IF(input_faculty_discipline="",FALSE,SUMPRODUCT(--ISNUMBER(SEARCH(","&amp;TRIM(TEXTSPLIT(EK168,","))&amp;",",","&amp;SUBSTITUTE(input_faculty_discipline," ","")&amp;",")))=COUNTA(TEXTSPLIT(EK168,",")))))</f>
        <v/>
      </c>
      <c r="JG168" s="19">
        <f>AND(IF(EM168="",TRUE,IF(input_faculty_expertise="",FALSE,SUMPRODUCT(--ISNUMBER(SEARCH(","&amp;TRIM(TEXTSPLIT(EM168,","))&amp;",",","&amp;SUBSTITUTE(input_faculty_expertise," ","")&amp;",")))&gt;0)),IF(EO168="",TRUE,IF(input_faculty_expertise="",FALSE,SUMPRODUCT(--ISNUMBER(SEARCH(","&amp;TRIM(TEXTSPLIT(EO168,","))&amp;",",","&amp;SUBSTITUTE(input_faculty_expertise," ","")&amp;",")))=COUNTA(TEXTSPLIT(EO168,",")))),IF(EQ168="",TRUE,IF(input_faculty_expertise="",TRUE,SUMPRODUCT(--ISNUMBER(SEARCH(","&amp;TRIM(TEXTSPLIT(EQ168,","))&amp;",",","&amp;SUBSTITUTE(input_faculty_expertise," ","")&amp;",")))=0)),IF(ES168="",TRUE,IF(input_faculty_expertise="",FALSE,SUMPRODUCT(--ISNUMBER(SEARCH(","&amp;TRIM(TEXTSPLIT(ES168,","))&amp;",",","&amp;SUBSTITUTE(input_faculty_expertise," ","")&amp;",")))&gt;0)),IF(EU168="",TRUE,IF(input_faculty_expertise="",FALSE,SUMPRODUCT(--ISNUMBER(SEARCH(","&amp;TRIM(TEXTSPLIT(EU168,","))&amp;",",","&amp;SUBSTITUTE(input_faculty_expertise," ","")&amp;",")))=COUNTA(TEXTSPLIT(EU168,",")))))</f>
        <v/>
      </c>
      <c r="JH168" s="19">
        <f>AND(IF(EW168="",TRUE,IF(input_global_network_school="",FALSE,SUMPRODUCT(--ISNUMBER(SEARCH(","&amp;TRIM(TEXTSPLIT(EW168,","))&amp;",",","&amp;SUBSTITUTE(input_global_network_school," ","")&amp;",")))&gt;0)),IF(EY168="",TRUE,IF(input_global_network_school="",FALSE,SUMPRODUCT(--ISNUMBER(SEARCH(","&amp;TRIM(TEXTSPLIT(EY168,","))&amp;",",","&amp;SUBSTITUTE(input_global_network_school," ","")&amp;",")))=COUNTA(TEXTSPLIT(EY168,",")))),IF(FA168="",TRUE,IF(input_global_network_school="",TRUE,SUMPRODUCT(--ISNUMBER(SEARCH(","&amp;TRIM(TEXTSPLIT(FA168,","))&amp;",",","&amp;SUBSTITUTE(input_global_network_school," ","")&amp;",")))=0)),IF(FC168="",TRUE,IF(input_global_network_school="",FALSE,SUMPRODUCT(--ISNUMBER(SEARCH(","&amp;TRIM(TEXTSPLIT(FC168,","))&amp;",",","&amp;SUBSTITUTE(input_global_network_school," ","")&amp;",")))&gt;0)),IF(FE168="",TRUE,IF(input_global_network_school="",FALSE,SUMPRODUCT(--ISNUMBER(SEARCH(","&amp;TRIM(TEXTSPLIT(FE168,","))&amp;",",","&amp;SUBSTITUTE(input_global_network_school," ","")&amp;",")))=COUNTA(TEXTSPLIT(FE168,",")))))</f>
        <v/>
      </c>
      <c r="JI168" s="19">
        <f>AND(IF(FG168="",TRUE,IF(input_industry="",FALSE,SUMPRODUCT(--ISNUMBER(SEARCH(","&amp;TRIM(TEXTSPLIT(FG168,","))&amp;",",","&amp;SUBSTITUTE(input_industry," ","")&amp;",")))&gt;0)),IF(FI168="",TRUE,IF(input_industry="",FALSE,SUMPRODUCT(--ISNUMBER(SEARCH(","&amp;TRIM(TEXTSPLIT(FI168,","))&amp;",",","&amp;SUBSTITUTE(input_industry," ","")&amp;",")))=COUNTA(TEXTSPLIT(FI168,",")))),IF(FK168="",TRUE,IF(input_industry="",TRUE,SUMPRODUCT(--ISNUMBER(SEARCH(","&amp;TRIM(TEXTSPLIT(FK168,","))&amp;",",","&amp;SUBSTITUTE(input_industry," ","")&amp;",")))=0)),IF(FM168="",TRUE,IF(input_industry="",FALSE,SUMPRODUCT(--ISNUMBER(SEARCH(","&amp;TRIM(TEXTSPLIT(FM168,","))&amp;",",","&amp;SUBSTITUTE(input_industry," ","")&amp;",")))&gt;0)),IF(FO168="",TRUE,IF(input_industry="",FALSE,SUMPRODUCT(--ISNUMBER(SEARCH(","&amp;TRIM(TEXTSPLIT(FO168,","))&amp;",",","&amp;SUBSTITUTE(input_industry," ","")&amp;",")))=COUNTA(TEXTSPLIT(FO168,",")))))</f>
        <v/>
      </c>
      <c r="JJ168" s="19">
        <f>AND(IF(FQ168="",TRUE,IF(input_location="",FALSE,SUMPRODUCT(--ISNUMBER(SEARCH(","&amp;TRIM(TEXTSPLIT(FQ168,","))&amp;",",","&amp;SUBSTITUTE(input_location," ","")&amp;",")))&gt;0)),IF(FS168="",TRUE,IF(input_location="",FALSE,SUMPRODUCT(--ISNUMBER(SEARCH(","&amp;TRIM(TEXTSPLIT(FS168,","))&amp;",",","&amp;SUBSTITUTE(input_location," ","")&amp;",")))=COUNTA(TEXTSPLIT(FS168,",")))),IF(FU168="",TRUE,IF(input_location="",TRUE,SUMPRODUCT(--ISNUMBER(SEARCH(","&amp;TRIM(TEXTSPLIT(FU168,","))&amp;",",","&amp;SUBSTITUTE(input_location," ","")&amp;",")))=0)),IF(FW168="",TRUE,IF(input_location="",FALSE,SUMPRODUCT(--ISNUMBER(SEARCH(","&amp;TRIM(TEXTSPLIT(FW168,","))&amp;",",","&amp;SUBSTITUTE(input_location," ","")&amp;",")))&gt;0)),IF(FY168="",TRUE,IF(input_location="",FALSE,SUMPRODUCT(--ISNUMBER(SEARCH(","&amp;TRIM(TEXTSPLIT(FY168,","))&amp;",",","&amp;SUBSTITUTE(input_location," ","")&amp;",")))=COUNTA(TEXTSPLIT(FY168,",")))))</f>
        <v/>
      </c>
      <c r="JK168" s="19">
        <f>AND(IF(GA168="",TRUE,IF(input_modality="",FALSE,SUMPRODUCT(--ISNUMBER(SEARCH(","&amp;TRIM(TEXTSPLIT(GA168,","))&amp;",",","&amp;SUBSTITUTE(input_modality," ","")&amp;",")))&gt;0)),IF(GC168="",TRUE,IF(input_modality="",FALSE,SUMPRODUCT(--ISNUMBER(SEARCH(","&amp;TRIM(TEXTSPLIT(GC168,","))&amp;",",","&amp;SUBSTITUTE(input_modality," ","")&amp;",")))=COUNTA(TEXTSPLIT(GC168,",")))),IF(GE168="",TRUE,IF(input_modality="",TRUE,SUMPRODUCT(--ISNUMBER(SEARCH(","&amp;TRIM(TEXTSPLIT(GE168,","))&amp;",",","&amp;SUBSTITUTE(input_modality," ","")&amp;",")))=0)),IF(GG168="",TRUE,IF(input_modality="",FALSE,SUMPRODUCT(--ISNUMBER(SEARCH(","&amp;TRIM(TEXTSPLIT(GG168,","))&amp;",",","&amp;SUBSTITUTE(input_modality," ","")&amp;",")))&gt;0)),IF(GI168="",TRUE,IF(input_modality="",FALSE,SUMPRODUCT(--ISNUMBER(SEARCH(","&amp;TRIM(TEXTSPLIT(GI168,","))&amp;",",","&amp;SUBSTITUTE(input_modality," ","")&amp;",")))=COUNTA(TEXTSPLIT(GI168,",")))))</f>
        <v/>
      </c>
      <c r="JL168" s="19">
        <f>AND(IF(GK168="",TRUE,IF(input_organizer="",FALSE,SUMPRODUCT(--ISNUMBER(SEARCH(","&amp;TRIM(TEXTSPLIT(GK168,","))&amp;",",","&amp;SUBSTITUTE(input_organizer," ","")&amp;",")))&gt;0)),IF(GM168="",TRUE,IF(input_organizer="",FALSE,SUMPRODUCT(--ISNUMBER(SEARCH(","&amp;TRIM(TEXTSPLIT(GM168,","))&amp;",",","&amp;SUBSTITUTE(input_organizer," ","")&amp;",")))=COUNTA(TEXTSPLIT(GM168,",")))),IF(GO168="",TRUE,IF(input_organizer="",TRUE,SUMPRODUCT(--ISNUMBER(SEARCH(","&amp;TRIM(TEXTSPLIT(GO168,","))&amp;",",","&amp;SUBSTITUTE(input_organizer," ","")&amp;",")))=0)),IF(GQ168="",TRUE,IF(input_organizer="",FALSE,SUMPRODUCT(--ISNUMBER(SEARCH(","&amp;TRIM(TEXTSPLIT(GQ168,","))&amp;",",","&amp;SUBSTITUTE(input_organizer," ","")&amp;",")))&gt;0)),IF(GS168="",TRUE,IF(input_organizer="",FALSE,SUMPRODUCT(--ISNUMBER(SEARCH(","&amp;TRIM(TEXTSPLIT(GS168,","))&amp;",",","&amp;SUBSTITUTE(input_organizer," ","")&amp;",")))=COUNTA(TEXTSPLIT(GS168,",")))))</f>
        <v/>
      </c>
      <c r="JM168" s="19">
        <f>AND(IF(GU168="",TRUE,IF(input_profile_type="",FALSE,SUMPRODUCT(--ISNUMBER(SEARCH(","&amp;TRIM(TEXTSPLIT(GU168,","))&amp;",",","&amp;SUBSTITUTE(input_profile_type," ","")&amp;",")))&gt;0)),IF(GW168="",TRUE,IF(input_profile_type="",FALSE,SUMPRODUCT(--ISNUMBER(SEARCH(","&amp;TRIM(TEXTSPLIT(GW168,","))&amp;",",","&amp;SUBSTITUTE(input_profile_type," ","")&amp;",")))=COUNTA(TEXTSPLIT(GW168,",")))),IF(GY168="",TRUE,IF(input_profile_type="",TRUE,SUMPRODUCT(--ISNUMBER(SEARCH(","&amp;TRIM(TEXTSPLIT(GY168,","))&amp;",",","&amp;SUBSTITUTE(input_profile_type," ","")&amp;",")))=0)),IF(HA168="",TRUE,IF(input_profile_type="",FALSE,SUMPRODUCT(--ISNUMBER(SEARCH(","&amp;TRIM(TEXTSPLIT(HA168,","))&amp;",",","&amp;SUBSTITUTE(input_profile_type," ","")&amp;",")))&gt;0)),IF(HC168="",TRUE,IF(input_profile_type="",FALSE,SUMPRODUCT(--ISNUMBER(SEARCH(","&amp;TRIM(TEXTSPLIT(HC168,","))&amp;",",","&amp;SUBSTITUTE(input_profile_type," ","")&amp;",")))=COUNTA(TEXTSPLIT(HC168,",")))))</f>
        <v/>
      </c>
      <c r="JN168" s="19">
        <f>AND(IF(HE168="",TRUE,IF(input_program="",FALSE,SUMPRODUCT(--ISNUMBER(SEARCH(","&amp;TRIM(TEXTSPLIT(HE168,","))&amp;",",","&amp;SUBSTITUTE(input_program," ","")&amp;",")))&gt;0)),IF(HG168="",TRUE,IF(input_program="",FALSE,SUMPRODUCT(--ISNUMBER(SEARCH(","&amp;TRIM(TEXTSPLIT(HG168,","))&amp;",",","&amp;SUBSTITUTE(input_program," ","")&amp;",")))=COUNTA(TEXTSPLIT(HG168,",")))),IF(HI168="",TRUE,IF(input_program="",TRUE,SUMPRODUCT(--ISNUMBER(SEARCH(","&amp;TRIM(TEXTSPLIT(HI168,","))&amp;",",","&amp;SUBSTITUTE(input_program," ","")&amp;",")))=0)),IF(HK168="",TRUE,IF(input_program="",FALSE,SUMPRODUCT(--ISNUMBER(SEARCH(","&amp;TRIM(TEXTSPLIT(HK168,","))&amp;",",","&amp;SUBSTITUTE(input_program," ","")&amp;",")))&gt;0)),IF(HM168="",TRUE,IF(input_program="",FALSE,SUMPRODUCT(--ISNUMBER(SEARCH(","&amp;TRIM(TEXTSPLIT(HM168,","))&amp;",",","&amp;SUBSTITUTE(input_program," ","")&amp;",")))=COUNTA(TEXTSPLIT(HM168,",")))))</f>
        <v/>
      </c>
      <c r="JO168" s="19">
        <f>AND(IF(HO168="",TRUE,IF(input_story_categories="",FALSE,SUMPRODUCT(--ISNUMBER(SEARCH(","&amp;TRIM(TEXTSPLIT(HO168,","))&amp;",",","&amp;SUBSTITUTE(input_story_categories," ","")&amp;",")))&gt;0)),IF(HQ168="",TRUE,IF(input_story_categories="",FALSE,SUMPRODUCT(--ISNUMBER(SEARCH(","&amp;TRIM(TEXTSPLIT(HQ168,","))&amp;",",","&amp;SUBSTITUTE(input_story_categories," ","")&amp;",")))=COUNTA(TEXTSPLIT(HQ168,",")))),IF(HS168="",TRUE,IF(input_story_categories="",TRUE,SUMPRODUCT(--ISNUMBER(SEARCH(","&amp;TRIM(TEXTSPLIT(HS168,","))&amp;",",","&amp;SUBSTITUTE(input_story_categories," ","")&amp;",")))=0)),IF(HU168="",TRUE,IF(input_story_categories="",FALSE,SUMPRODUCT(--ISNUMBER(SEARCH(","&amp;TRIM(TEXTSPLIT(HU168,","))&amp;",",","&amp;SUBSTITUTE(input_story_categories," ","")&amp;",")))&gt;0)),IF(HW168="",TRUE,IF(input_story_categories="",FALSE,SUMPRODUCT(--ISNUMBER(SEARCH(","&amp;TRIM(TEXTSPLIT(HW168,","))&amp;",",","&amp;SUBSTITUTE(input_story_categories," ","")&amp;",")))=COUNTA(TEXTSPLIT(HW168,",")))))</f>
        <v/>
      </c>
      <c r="JP168" s="19">
        <f>AND(IF(HY168="",TRUE,IF(input_story_type="",FALSE,SUMPRODUCT(--ISNUMBER(SEARCH(","&amp;TRIM(TEXTSPLIT(HY168,","))&amp;",",","&amp;SUBSTITUTE(input_story_type," ","")&amp;",")))&gt;0)),IF(IA168="",TRUE,IF(input_story_type="",FALSE,SUMPRODUCT(--ISNUMBER(SEARCH(","&amp;TRIM(TEXTSPLIT(IA168,","))&amp;",",","&amp;SUBSTITUTE(input_story_type," ","")&amp;",")))=COUNTA(TEXTSPLIT(IA168,",")))),IF(IC168="",TRUE,IF(input_story_type="",TRUE,SUMPRODUCT(--ISNUMBER(SEARCH(","&amp;TRIM(TEXTSPLIT(IC168,","))&amp;",",","&amp;SUBSTITUTE(input_story_type," ","")&amp;",")))=0)),IF(IE168="",TRUE,IF(input_story_type="",FALSE,SUMPRODUCT(--ISNUMBER(SEARCH(","&amp;TRIM(TEXTSPLIT(IE168,","))&amp;",",","&amp;SUBSTITUTE(input_story_type," ","")&amp;",")))&gt;0)),IF(IG168="",TRUE,IF(input_story_type="",FALSE,SUMPRODUCT(--ISNUMBER(SEARCH(","&amp;TRIM(TEXTSPLIT(IG168,","))&amp;",",","&amp;SUBSTITUTE(input_story_type," ","")&amp;",")))=COUNTA(TEXTSPLIT(IG168,",")))))</f>
        <v/>
      </c>
      <c r="JQ168" s="19">
        <f>AND(IF(II168="",TRUE,IF(input_topics="",FALSE,SUMPRODUCT(--ISNUMBER(SEARCH(","&amp;TRIM(TEXTSPLIT(II168,","))&amp;",",","&amp;SUBSTITUTE(input_topics," ","")&amp;",")))&gt;0)),IF(IK168="",TRUE,IF(input_topics="",FALSE,SUMPRODUCT(--ISNUMBER(SEARCH(","&amp;TRIM(TEXTSPLIT(IK168,","))&amp;",",","&amp;SUBSTITUTE(input_topics," ","")&amp;",")))=COUNTA(TEXTSPLIT(IK168,",")))),IF(IM168="",TRUE,IF(input_topics="",TRUE,SUMPRODUCT(--ISNUMBER(SEARCH(","&amp;TRIM(TEXTSPLIT(IM168,","))&amp;",",","&amp;SUBSTITUTE(input_topics," ","")&amp;",")))=0)),IF(IO168="",TRUE,IF(input_topics="",FALSE,SUMPRODUCT(--ISNUMBER(SEARCH(","&amp;TRIM(TEXTSPLIT(IO168,","))&amp;",",","&amp;SUBSTITUTE(input_topics," ","")&amp;",")))&gt;0)),IF(IQ168="",TRUE,IF(input_topics="",FALSE,SUMPRODUCT(--ISNUMBER(SEARCH(","&amp;TRIM(TEXTSPLIT(IQ168,","))&amp;",",","&amp;SUBSTITUTE(input_topics," ","")&amp;",")))=COUNTA(TEXTSPLIT(IQ168,",")))))</f>
        <v/>
      </c>
    </row>
    <row r="169">
      <c r="A169" s="24">
        <f>IF(NOT(IS169),"Excluded",IF(AND(IT169,IU169,IV169,IW169,IX169,IY169,IZ169,JA169,JB169,JC169,JD169,JE169,JF169,JG169,JH169,JI169,JJ169,JK169,JL169,JM169,JN169,JO169,JP169,JQ169),IF(I169&gt;0,"Eligible but limited","Will appear"),"Excluded"))</f>
        <v/>
      </c>
      <c r="B169" s="24" t="inlineStr">
        <is>
          <t>Related profiles on profile pages</t>
        </is>
      </c>
      <c r="C169" s="27" t="inlineStr">
        <is>
          <t>/profile/student/bobby-trevino-24</t>
        </is>
      </c>
      <c r="D169" s="24" t="inlineStr">
        <is>
          <t>/profile/student/bobby-trevino-24
/profile/student/chris-moore-25
/profile/student/christy-brown-25</t>
        </is>
      </c>
      <c r="E169" s="24" t="n">
        <v>6</v>
      </c>
      <c r="F169" s="24" t="inlineStr">
        <is>
          <t>profile</t>
        </is>
      </c>
      <c r="G169" s="24" t="inlineStr">
        <is>
          <t>profiles_grid</t>
        </is>
      </c>
      <c r="H169" s="24" t="inlineStr">
        <is>
          <t>related</t>
        </is>
      </c>
      <c r="I169" s="24" t="n">
        <v>3</v>
      </c>
      <c r="J169" s="28" t="inlineStr">
        <is>
          <t>Explicit args</t>
        </is>
      </c>
      <c r="K169" s="24" t="inlineStr">
        <is>
          <t>Grouped surface</t>
        </is>
      </c>
      <c r="L169" s="24" t="inlineStr">
        <is>
          <t>Content type: profile; Context uses Profile Type: Student (1551); Context uses Program: Master’s Degree in Public Education Management (85); Limited to 3 item(s); Source: Explicit args</t>
        </is>
      </c>
      <c r="HA169" s="19" t="inlineStr">
        <is>
          <t>1551</t>
        </is>
      </c>
      <c r="HB169" s="19" t="inlineStr">
        <is>
          <t>Student (1551)</t>
        </is>
      </c>
      <c r="HK169" s="19" t="inlineStr">
        <is>
          <t>85</t>
        </is>
      </c>
      <c r="HL169" s="19" t="inlineStr">
        <is>
          <t>Master’s Degree in Public Education Management (85)</t>
        </is>
      </c>
      <c r="IS169" s="19">
        <f>IF(input_content_type="",FALSE,ISNUMBER(SEARCH(","&amp;LOWER(input_content_type)&amp;",",","&amp;LOWER(SUBSTITUTE(F169," ",""))&amp;",")))</f>
        <v/>
      </c>
      <c r="IT169" s="19">
        <f>AND(IF(M169="",TRUE,IF(input_affiliations="",FALSE,SUMPRODUCT(--ISNUMBER(SEARCH(","&amp;TRIM(TEXTSPLIT(M169,","))&amp;",",","&amp;SUBSTITUTE(input_affiliations," ","")&amp;",")))&gt;0)),IF(O169="",TRUE,IF(input_affiliations="",FALSE,SUMPRODUCT(--ISNUMBER(SEARCH(","&amp;TRIM(TEXTSPLIT(O169,","))&amp;",",","&amp;SUBSTITUTE(input_affiliations," ","")&amp;",")))=COUNTA(TEXTSPLIT(O169,",")))),IF(Q169="",TRUE,IF(input_affiliations="",TRUE,SUMPRODUCT(--ISNUMBER(SEARCH(","&amp;TRIM(TEXTSPLIT(Q169,","))&amp;",",","&amp;SUBSTITUTE(input_affiliations," ","")&amp;",")))=0)),IF(S169="",TRUE,IF(input_affiliations="",FALSE,SUMPRODUCT(--ISNUMBER(SEARCH(","&amp;TRIM(TEXTSPLIT(S169,","))&amp;",",","&amp;SUBSTITUTE(input_affiliations," ","")&amp;",")))&gt;0)),IF(U169="",TRUE,IF(input_affiliations="",FALSE,SUMPRODUCT(--ISNUMBER(SEARCH(","&amp;TRIM(TEXTSPLIT(U169,","))&amp;",",","&amp;SUBSTITUTE(input_affiliations," ","")&amp;",")))=COUNTA(TEXTSPLIT(U169,",")))))</f>
        <v/>
      </c>
      <c r="IU169" s="19">
        <f>AND(IF(W169="",TRUE,IF(input_announcement_category="",FALSE,SUMPRODUCT(--ISNUMBER(SEARCH(","&amp;TRIM(TEXTSPLIT(W169,","))&amp;",",","&amp;SUBSTITUTE(input_announcement_category," ","")&amp;",")))&gt;0)),IF(Y169="",TRUE,IF(input_announcement_category="",FALSE,SUMPRODUCT(--ISNUMBER(SEARCH(","&amp;TRIM(TEXTSPLIT(Y169,","))&amp;",",","&amp;SUBSTITUTE(input_announcement_category," ","")&amp;",")))=COUNTA(TEXTSPLIT(Y169,",")))),IF(AA169="",TRUE,IF(input_announcement_category="",TRUE,SUMPRODUCT(--ISNUMBER(SEARCH(","&amp;TRIM(TEXTSPLIT(AA169,","))&amp;",",","&amp;SUBSTITUTE(input_announcement_category," ","")&amp;",")))=0)),IF(AC169="",TRUE,IF(input_announcement_category="",FALSE,SUMPRODUCT(--ISNUMBER(SEARCH(","&amp;TRIM(TEXTSPLIT(AC169,","))&amp;",",","&amp;SUBSTITUTE(input_announcement_category," ","")&amp;",")))&gt;0)),IF(AE169="",TRUE,IF(input_announcement_category="",FALSE,SUMPRODUCT(--ISNUMBER(SEARCH(","&amp;TRIM(TEXTSPLIT(AE169,","))&amp;",",","&amp;SUBSTITUTE(input_announcement_category," ","")&amp;",")))=COUNTA(TEXTSPLIT(AE169,",")))))</f>
        <v/>
      </c>
      <c r="IV169" s="19">
        <f>AND(IF(AG169="",TRUE,IF(input_area_of_focus="",FALSE,SUMPRODUCT(--ISNUMBER(SEARCH(","&amp;TRIM(TEXTSPLIT(AG169,","))&amp;",",","&amp;SUBSTITUTE(input_area_of_focus," ","")&amp;",")))&gt;0)),IF(AI169="",TRUE,IF(input_area_of_focus="",FALSE,SUMPRODUCT(--ISNUMBER(SEARCH(","&amp;TRIM(TEXTSPLIT(AI169,","))&amp;",",","&amp;SUBSTITUTE(input_area_of_focus," ","")&amp;",")))=COUNTA(TEXTSPLIT(AI169,",")))),IF(AK169="",TRUE,IF(input_area_of_focus="",TRUE,SUMPRODUCT(--ISNUMBER(SEARCH(","&amp;TRIM(TEXTSPLIT(AK169,","))&amp;",",","&amp;SUBSTITUTE(input_area_of_focus," ","")&amp;",")))=0)),IF(AM169="",TRUE,IF(input_area_of_focus="",FALSE,SUMPRODUCT(--ISNUMBER(SEARCH(","&amp;TRIM(TEXTSPLIT(AM169,","))&amp;",",","&amp;SUBSTITUTE(input_area_of_focus," ","")&amp;",")))&gt;0)),IF(AO169="",TRUE,IF(input_area_of_focus="",FALSE,SUMPRODUCT(--ISNUMBER(SEARCH(","&amp;TRIM(TEXTSPLIT(AO169,","))&amp;",",","&amp;SUBSTITUTE(input_area_of_focus," ","")&amp;",")))=COUNTA(TEXTSPLIT(AO169,",")))))</f>
        <v/>
      </c>
      <c r="IW169" s="19">
        <f>AND(IF(AQ169="",TRUE,IF(input_audience="",FALSE,SUMPRODUCT(--ISNUMBER(SEARCH(","&amp;TRIM(TEXTSPLIT(AQ169,","))&amp;",",","&amp;SUBSTITUTE(input_audience," ","")&amp;",")))&gt;0)),IF(AS169="",TRUE,IF(input_audience="",FALSE,SUMPRODUCT(--ISNUMBER(SEARCH(","&amp;TRIM(TEXTSPLIT(AS169,","))&amp;",",","&amp;SUBSTITUTE(input_audience," ","")&amp;",")))=COUNTA(TEXTSPLIT(AS169,",")))),IF(AU169="",TRUE,IF(input_audience="",TRUE,SUMPRODUCT(--ISNUMBER(SEARCH(","&amp;TRIM(TEXTSPLIT(AU169,","))&amp;",",","&amp;SUBSTITUTE(input_audience," ","")&amp;",")))=0)),IF(AW169="",TRUE,IF(input_audience="",FALSE,SUMPRODUCT(--ISNUMBER(SEARCH(","&amp;TRIM(TEXTSPLIT(AW169,","))&amp;",",","&amp;SUBSTITUTE(input_audience," ","")&amp;",")))&gt;0)),IF(AY169="",TRUE,IF(input_audience="",FALSE,SUMPRODUCT(--ISNUMBER(SEARCH(","&amp;TRIM(TEXTSPLIT(AY169,","))&amp;",",","&amp;SUBSTITUTE(input_audience," ","")&amp;",")))=COUNTA(TEXTSPLIT(AY169,",")))))</f>
        <v/>
      </c>
      <c r="IX169" s="19">
        <f>AND(IF(BA169="",TRUE,IF(input_challenge_opportunities="",FALSE,SUMPRODUCT(--ISNUMBER(SEARCH(","&amp;TRIM(TEXTSPLIT(BA169,","))&amp;",",","&amp;SUBSTITUTE(input_challenge_opportunities," ","")&amp;",")))&gt;0)),IF(BC169="",TRUE,IF(input_challenge_opportunities="",FALSE,SUMPRODUCT(--ISNUMBER(SEARCH(","&amp;TRIM(TEXTSPLIT(BC169,","))&amp;",",","&amp;SUBSTITUTE(input_challenge_opportunities," ","")&amp;",")))=COUNTA(TEXTSPLIT(BC169,",")))),IF(BE169="",TRUE,IF(input_challenge_opportunities="",TRUE,SUMPRODUCT(--ISNUMBER(SEARCH(","&amp;TRIM(TEXTSPLIT(BE169,","))&amp;",",","&amp;SUBSTITUTE(input_challenge_opportunities," ","")&amp;",")))=0)),IF(BG169="",TRUE,IF(input_challenge_opportunities="",FALSE,SUMPRODUCT(--ISNUMBER(SEARCH(","&amp;TRIM(TEXTSPLIT(BG169,","))&amp;",",","&amp;SUBSTITUTE(input_challenge_opportunities," ","")&amp;",")))&gt;0)),IF(BI169="",TRUE,IF(input_challenge_opportunities="",FALSE,SUMPRODUCT(--ISNUMBER(SEARCH(","&amp;TRIM(TEXTSPLIT(BI169,","))&amp;",",","&amp;SUBSTITUTE(input_challenge_opportunities," ","")&amp;",")))=COUNTA(TEXTSPLIT(BI169,",")))))</f>
        <v/>
      </c>
      <c r="IY169" s="19">
        <f>AND(IF(BK169="",TRUE,IF(input_context="",FALSE,SUMPRODUCT(--ISNUMBER(SEARCH(","&amp;TRIM(TEXTSPLIT(BK169,","))&amp;",",","&amp;SUBSTITUTE(input_context," ","")&amp;",")))&gt;0)),IF(BM169="",TRUE,IF(input_context="",FALSE,SUMPRODUCT(--ISNUMBER(SEARCH(","&amp;TRIM(TEXTSPLIT(BM169,","))&amp;",",","&amp;SUBSTITUTE(input_context," ","")&amp;",")))=COUNTA(TEXTSPLIT(BM169,",")))),IF(BO169="",TRUE,IF(input_context="",TRUE,SUMPRODUCT(--ISNUMBER(SEARCH(","&amp;TRIM(TEXTSPLIT(BO169,","))&amp;",",","&amp;SUBSTITUTE(input_context," ","")&amp;",")))=0)),IF(BQ169="",TRUE,IF(input_context="",FALSE,SUMPRODUCT(--ISNUMBER(SEARCH(","&amp;TRIM(TEXTSPLIT(BQ169,","))&amp;",",","&amp;SUBSTITUTE(input_context," ","")&amp;",")))&gt;0)),IF(BS169="",TRUE,IF(input_context="",FALSE,SUMPRODUCT(--ISNUMBER(SEARCH(","&amp;TRIM(TEXTSPLIT(BS169,","))&amp;",",","&amp;SUBSTITUTE(input_context," ","")&amp;",")))=COUNTA(TEXTSPLIT(BS169,",")))))</f>
        <v/>
      </c>
      <c r="IZ169" s="19">
        <f>AND(IF(BU169="",TRUE,IF(input_enews_announcement_type="",FALSE,SUMPRODUCT(--ISNUMBER(SEARCH(","&amp;TRIM(TEXTSPLIT(BU169,","))&amp;",",","&amp;SUBSTITUTE(input_enews_announcement_type," ","")&amp;",")))&gt;0)),IF(BW169="",TRUE,IF(input_enews_announcement_type="",FALSE,SUMPRODUCT(--ISNUMBER(SEARCH(","&amp;TRIM(TEXTSPLIT(BW169,","))&amp;",",","&amp;SUBSTITUTE(input_enews_announcement_type," ","")&amp;",")))=COUNTA(TEXTSPLIT(BW169,",")))),IF(BY169="",TRUE,IF(input_enews_announcement_type="",TRUE,SUMPRODUCT(--ISNUMBER(SEARCH(","&amp;TRIM(TEXTSPLIT(BY169,","))&amp;",",","&amp;SUBSTITUTE(input_enews_announcement_type," ","")&amp;",")))=0)),IF(CA169="",TRUE,IF(input_enews_announcement_type="",FALSE,SUMPRODUCT(--ISNUMBER(SEARCH(","&amp;TRIM(TEXTSPLIT(CA169,","))&amp;",",","&amp;SUBSTITUTE(input_enews_announcement_type," ","")&amp;",")))&gt;0)),IF(CC169="",TRUE,IF(input_enews_announcement_type="",FALSE,SUMPRODUCT(--ISNUMBER(SEARCH(","&amp;TRIM(TEXTSPLIT(CC169,","))&amp;",",","&amp;SUBSTITUTE(input_enews_announcement_type," ","")&amp;",")))=COUNTA(TEXTSPLIT(CC169,",")))))</f>
        <v/>
      </c>
      <c r="JA169" s="19">
        <f>AND(IF(CE169="",TRUE,IF(input_enews_audience="",FALSE,SUMPRODUCT(--ISNUMBER(SEARCH(","&amp;TRIM(TEXTSPLIT(CE169,","))&amp;",",","&amp;SUBSTITUTE(input_enews_audience," ","")&amp;",")))&gt;0)),IF(CG169="",TRUE,IF(input_enews_audience="",FALSE,SUMPRODUCT(--ISNUMBER(SEARCH(","&amp;TRIM(TEXTSPLIT(CG169,","))&amp;",",","&amp;SUBSTITUTE(input_enews_audience," ","")&amp;",")))=COUNTA(TEXTSPLIT(CG169,",")))),IF(CI169="",TRUE,IF(input_enews_audience="",TRUE,SUMPRODUCT(--ISNUMBER(SEARCH(","&amp;TRIM(TEXTSPLIT(CI169,","))&amp;",",","&amp;SUBSTITUTE(input_enews_audience," ","")&amp;",")))=0)),IF(CK169="",TRUE,IF(input_enews_audience="",FALSE,SUMPRODUCT(--ISNUMBER(SEARCH(","&amp;TRIM(TEXTSPLIT(CK169,","))&amp;",",","&amp;SUBSTITUTE(input_enews_audience," ","")&amp;",")))&gt;0)),IF(CM169="",TRUE,IF(input_enews_audience="",FALSE,SUMPRODUCT(--ISNUMBER(SEARCH(","&amp;TRIM(TEXTSPLIT(CM169,","))&amp;",",","&amp;SUBSTITUTE(input_enews_audience," ","")&amp;",")))=COUNTA(TEXTSPLIT(CM169,",")))))</f>
        <v/>
      </c>
      <c r="JB169" s="19">
        <f>AND(IF(CO169="",TRUE,IF(input_event_location="",FALSE,SUMPRODUCT(--ISNUMBER(SEARCH(","&amp;TRIM(TEXTSPLIT(CO169,","))&amp;",",","&amp;SUBSTITUTE(input_event_location," ","")&amp;",")))&gt;0)),IF(CQ169="",TRUE,IF(input_event_location="",FALSE,SUMPRODUCT(--ISNUMBER(SEARCH(","&amp;TRIM(TEXTSPLIT(CQ169,","))&amp;",",","&amp;SUBSTITUTE(input_event_location," ","")&amp;",")))=COUNTA(TEXTSPLIT(CQ169,",")))),IF(CS169="",TRUE,IF(input_event_location="",TRUE,SUMPRODUCT(--ISNUMBER(SEARCH(","&amp;TRIM(TEXTSPLIT(CS169,","))&amp;",",","&amp;SUBSTITUTE(input_event_location," ","")&amp;",")))=0)),IF(CU169="",TRUE,IF(input_event_location="",FALSE,SUMPRODUCT(--ISNUMBER(SEARCH(","&amp;TRIM(TEXTSPLIT(CU169,","))&amp;",",","&amp;SUBSTITUTE(input_event_location," ","")&amp;",")))&gt;0)),IF(CW169="",TRUE,IF(input_event_location="",FALSE,SUMPRODUCT(--ISNUMBER(SEARCH(","&amp;TRIM(TEXTSPLIT(CW169,","))&amp;",",","&amp;SUBSTITUTE(input_event_location," ","")&amp;",")))=COUNTA(TEXTSPLIT(CW169,",")))))</f>
        <v/>
      </c>
      <c r="JC169" s="19">
        <f>AND(IF(CY169="",TRUE,IF(input_event_type="",FALSE,SUMPRODUCT(--ISNUMBER(SEARCH(","&amp;TRIM(TEXTSPLIT(CY169,","))&amp;",",","&amp;SUBSTITUTE(input_event_type," ","")&amp;",")))&gt;0)),IF(DA169="",TRUE,IF(input_event_type="",FALSE,SUMPRODUCT(--ISNUMBER(SEARCH(","&amp;TRIM(TEXTSPLIT(DA169,","))&amp;",",","&amp;SUBSTITUTE(input_event_type," ","")&amp;",")))=COUNTA(TEXTSPLIT(DA169,",")))),IF(DC169="",TRUE,IF(input_event_type="",TRUE,SUMPRODUCT(--ISNUMBER(SEARCH(","&amp;TRIM(TEXTSPLIT(DC169,","))&amp;",",","&amp;SUBSTITUTE(input_event_type," ","")&amp;",")))=0)),IF(DE169="",TRUE,IF(input_event_type="",FALSE,SUMPRODUCT(--ISNUMBER(SEARCH(","&amp;TRIM(TEXTSPLIT(DE169,","))&amp;",",","&amp;SUBSTITUTE(input_event_type," ","")&amp;",")))&gt;0)),IF(DG169="",TRUE,IF(input_event_type="",FALSE,SUMPRODUCT(--ISNUMBER(SEARCH(","&amp;TRIM(TEXTSPLIT(DG169,","))&amp;",",","&amp;SUBSTITUTE(input_event_type," ","")&amp;",")))=COUNTA(TEXTSPLIT(DG169,",")))))</f>
        <v/>
      </c>
      <c r="JD169" s="19">
        <f>AND(IF(DI169="",TRUE,IF(input_executive_education_focus="",FALSE,SUMPRODUCT(--ISNUMBER(SEARCH(","&amp;TRIM(TEXTSPLIT(DI169,","))&amp;",",","&amp;SUBSTITUTE(input_executive_education_focus," ","")&amp;",")))&gt;0)),IF(DK169="",TRUE,IF(input_executive_education_focus="",FALSE,SUMPRODUCT(--ISNUMBER(SEARCH(","&amp;TRIM(TEXTSPLIT(DK169,","))&amp;",",","&amp;SUBSTITUTE(input_executive_education_focus," ","")&amp;",")))=COUNTA(TEXTSPLIT(DK169,",")))),IF(DM169="",TRUE,IF(input_executive_education_focus="",TRUE,SUMPRODUCT(--ISNUMBER(SEARCH(","&amp;TRIM(TEXTSPLIT(DM169,","))&amp;",",","&amp;SUBSTITUTE(input_executive_education_focus," ","")&amp;",")))=0)),IF(DO169="",TRUE,IF(input_executive_education_focus="",FALSE,SUMPRODUCT(--ISNUMBER(SEARCH(","&amp;TRIM(TEXTSPLIT(DO169,","))&amp;",",","&amp;SUBSTITUTE(input_executive_education_focus," ","")&amp;",")))&gt;0)),IF(DQ169="",TRUE,IF(input_executive_education_focus="",FALSE,SUMPRODUCT(--ISNUMBER(SEARCH(","&amp;TRIM(TEXTSPLIT(DQ169,","))&amp;",",","&amp;SUBSTITUTE(input_executive_education_focus," ","")&amp;",")))=COUNTA(TEXTSPLIT(DQ169,",")))))</f>
        <v/>
      </c>
      <c r="JE169" s="19">
        <f>AND(IF(DS169="",TRUE,IF(input_faculty_category="",FALSE,SUMPRODUCT(--ISNUMBER(SEARCH(","&amp;TRIM(TEXTSPLIT(DS169,","))&amp;",",","&amp;SUBSTITUTE(input_faculty_category," ","")&amp;",")))&gt;0)),IF(DU169="",TRUE,IF(input_faculty_category="",FALSE,SUMPRODUCT(--ISNUMBER(SEARCH(","&amp;TRIM(TEXTSPLIT(DU169,","))&amp;",",","&amp;SUBSTITUTE(input_faculty_category," ","")&amp;",")))=COUNTA(TEXTSPLIT(DU169,",")))),IF(DW169="",TRUE,IF(input_faculty_category="",TRUE,SUMPRODUCT(--ISNUMBER(SEARCH(","&amp;TRIM(TEXTSPLIT(DW169,","))&amp;",",","&amp;SUBSTITUTE(input_faculty_category," ","")&amp;",")))=0)),IF(DY169="",TRUE,IF(input_faculty_category="",FALSE,SUMPRODUCT(--ISNUMBER(SEARCH(","&amp;TRIM(TEXTSPLIT(DY169,","))&amp;",",","&amp;SUBSTITUTE(input_faculty_category," ","")&amp;",")))&gt;0)),IF(EA169="",TRUE,IF(input_faculty_category="",FALSE,SUMPRODUCT(--ISNUMBER(SEARCH(","&amp;TRIM(TEXTSPLIT(EA169,","))&amp;",",","&amp;SUBSTITUTE(input_faculty_category," ","")&amp;",")))=COUNTA(TEXTSPLIT(EA169,",")))))</f>
        <v/>
      </c>
      <c r="JF169" s="19">
        <f>AND(IF(EC169="",TRUE,IF(input_faculty_discipline="",FALSE,SUMPRODUCT(--ISNUMBER(SEARCH(","&amp;TRIM(TEXTSPLIT(EC169,","))&amp;",",","&amp;SUBSTITUTE(input_faculty_discipline," ","")&amp;",")))&gt;0)),IF(EE169="",TRUE,IF(input_faculty_discipline="",FALSE,SUMPRODUCT(--ISNUMBER(SEARCH(","&amp;TRIM(TEXTSPLIT(EE169,","))&amp;",",","&amp;SUBSTITUTE(input_faculty_discipline," ","")&amp;",")))=COUNTA(TEXTSPLIT(EE169,",")))),IF(EG169="",TRUE,IF(input_faculty_discipline="",TRUE,SUMPRODUCT(--ISNUMBER(SEARCH(","&amp;TRIM(TEXTSPLIT(EG169,","))&amp;",",","&amp;SUBSTITUTE(input_faculty_discipline," ","")&amp;",")))=0)),IF(EI169="",TRUE,IF(input_faculty_discipline="",FALSE,SUMPRODUCT(--ISNUMBER(SEARCH(","&amp;TRIM(TEXTSPLIT(EI169,","))&amp;",",","&amp;SUBSTITUTE(input_faculty_discipline," ","")&amp;",")))&gt;0)),IF(EK169="",TRUE,IF(input_faculty_discipline="",FALSE,SUMPRODUCT(--ISNUMBER(SEARCH(","&amp;TRIM(TEXTSPLIT(EK169,","))&amp;",",","&amp;SUBSTITUTE(input_faculty_discipline," ","")&amp;",")))=COUNTA(TEXTSPLIT(EK169,",")))))</f>
        <v/>
      </c>
      <c r="JG169" s="19">
        <f>AND(IF(EM169="",TRUE,IF(input_faculty_expertise="",FALSE,SUMPRODUCT(--ISNUMBER(SEARCH(","&amp;TRIM(TEXTSPLIT(EM169,","))&amp;",",","&amp;SUBSTITUTE(input_faculty_expertise," ","")&amp;",")))&gt;0)),IF(EO169="",TRUE,IF(input_faculty_expertise="",FALSE,SUMPRODUCT(--ISNUMBER(SEARCH(","&amp;TRIM(TEXTSPLIT(EO169,","))&amp;",",","&amp;SUBSTITUTE(input_faculty_expertise," ","")&amp;",")))=COUNTA(TEXTSPLIT(EO169,",")))),IF(EQ169="",TRUE,IF(input_faculty_expertise="",TRUE,SUMPRODUCT(--ISNUMBER(SEARCH(","&amp;TRIM(TEXTSPLIT(EQ169,","))&amp;",",","&amp;SUBSTITUTE(input_faculty_expertise," ","")&amp;",")))=0)),IF(ES169="",TRUE,IF(input_faculty_expertise="",FALSE,SUMPRODUCT(--ISNUMBER(SEARCH(","&amp;TRIM(TEXTSPLIT(ES169,","))&amp;",",","&amp;SUBSTITUTE(input_faculty_expertise," ","")&amp;",")))&gt;0)),IF(EU169="",TRUE,IF(input_faculty_expertise="",FALSE,SUMPRODUCT(--ISNUMBER(SEARCH(","&amp;TRIM(TEXTSPLIT(EU169,","))&amp;",",","&amp;SUBSTITUTE(input_faculty_expertise," ","")&amp;",")))=COUNTA(TEXTSPLIT(EU169,",")))))</f>
        <v/>
      </c>
      <c r="JH169" s="19">
        <f>AND(IF(EW169="",TRUE,IF(input_global_network_school="",FALSE,SUMPRODUCT(--ISNUMBER(SEARCH(","&amp;TRIM(TEXTSPLIT(EW169,","))&amp;",",","&amp;SUBSTITUTE(input_global_network_school," ","")&amp;",")))&gt;0)),IF(EY169="",TRUE,IF(input_global_network_school="",FALSE,SUMPRODUCT(--ISNUMBER(SEARCH(","&amp;TRIM(TEXTSPLIT(EY169,","))&amp;",",","&amp;SUBSTITUTE(input_global_network_school," ","")&amp;",")))=COUNTA(TEXTSPLIT(EY169,",")))),IF(FA169="",TRUE,IF(input_global_network_school="",TRUE,SUMPRODUCT(--ISNUMBER(SEARCH(","&amp;TRIM(TEXTSPLIT(FA169,","))&amp;",",","&amp;SUBSTITUTE(input_global_network_school," ","")&amp;",")))=0)),IF(FC169="",TRUE,IF(input_global_network_school="",FALSE,SUMPRODUCT(--ISNUMBER(SEARCH(","&amp;TRIM(TEXTSPLIT(FC169,","))&amp;",",","&amp;SUBSTITUTE(input_global_network_school," ","")&amp;",")))&gt;0)),IF(FE169="",TRUE,IF(input_global_network_school="",FALSE,SUMPRODUCT(--ISNUMBER(SEARCH(","&amp;TRIM(TEXTSPLIT(FE169,","))&amp;",",","&amp;SUBSTITUTE(input_global_network_school," ","")&amp;",")))=COUNTA(TEXTSPLIT(FE169,",")))))</f>
        <v/>
      </c>
      <c r="JI169" s="19">
        <f>AND(IF(FG169="",TRUE,IF(input_industry="",FALSE,SUMPRODUCT(--ISNUMBER(SEARCH(","&amp;TRIM(TEXTSPLIT(FG169,","))&amp;",",","&amp;SUBSTITUTE(input_industry," ","")&amp;",")))&gt;0)),IF(FI169="",TRUE,IF(input_industry="",FALSE,SUMPRODUCT(--ISNUMBER(SEARCH(","&amp;TRIM(TEXTSPLIT(FI169,","))&amp;",",","&amp;SUBSTITUTE(input_industry," ","")&amp;",")))=COUNTA(TEXTSPLIT(FI169,",")))),IF(FK169="",TRUE,IF(input_industry="",TRUE,SUMPRODUCT(--ISNUMBER(SEARCH(","&amp;TRIM(TEXTSPLIT(FK169,","))&amp;",",","&amp;SUBSTITUTE(input_industry," ","")&amp;",")))=0)),IF(FM169="",TRUE,IF(input_industry="",FALSE,SUMPRODUCT(--ISNUMBER(SEARCH(","&amp;TRIM(TEXTSPLIT(FM169,","))&amp;",",","&amp;SUBSTITUTE(input_industry," ","")&amp;",")))&gt;0)),IF(FO169="",TRUE,IF(input_industry="",FALSE,SUMPRODUCT(--ISNUMBER(SEARCH(","&amp;TRIM(TEXTSPLIT(FO169,","))&amp;",",","&amp;SUBSTITUTE(input_industry," ","")&amp;",")))=COUNTA(TEXTSPLIT(FO169,",")))))</f>
        <v/>
      </c>
      <c r="JJ169" s="19">
        <f>AND(IF(FQ169="",TRUE,IF(input_location="",FALSE,SUMPRODUCT(--ISNUMBER(SEARCH(","&amp;TRIM(TEXTSPLIT(FQ169,","))&amp;",",","&amp;SUBSTITUTE(input_location," ","")&amp;",")))&gt;0)),IF(FS169="",TRUE,IF(input_location="",FALSE,SUMPRODUCT(--ISNUMBER(SEARCH(","&amp;TRIM(TEXTSPLIT(FS169,","))&amp;",",","&amp;SUBSTITUTE(input_location," ","")&amp;",")))=COUNTA(TEXTSPLIT(FS169,",")))),IF(FU169="",TRUE,IF(input_location="",TRUE,SUMPRODUCT(--ISNUMBER(SEARCH(","&amp;TRIM(TEXTSPLIT(FU169,","))&amp;",",","&amp;SUBSTITUTE(input_location," ","")&amp;",")))=0)),IF(FW169="",TRUE,IF(input_location="",FALSE,SUMPRODUCT(--ISNUMBER(SEARCH(","&amp;TRIM(TEXTSPLIT(FW169,","))&amp;",",","&amp;SUBSTITUTE(input_location," ","")&amp;",")))&gt;0)),IF(FY169="",TRUE,IF(input_location="",FALSE,SUMPRODUCT(--ISNUMBER(SEARCH(","&amp;TRIM(TEXTSPLIT(FY169,","))&amp;",",","&amp;SUBSTITUTE(input_location," ","")&amp;",")))=COUNTA(TEXTSPLIT(FY169,",")))))</f>
        <v/>
      </c>
      <c r="JK169" s="19">
        <f>AND(IF(GA169="",TRUE,IF(input_modality="",FALSE,SUMPRODUCT(--ISNUMBER(SEARCH(","&amp;TRIM(TEXTSPLIT(GA169,","))&amp;",",","&amp;SUBSTITUTE(input_modality," ","")&amp;",")))&gt;0)),IF(GC169="",TRUE,IF(input_modality="",FALSE,SUMPRODUCT(--ISNUMBER(SEARCH(","&amp;TRIM(TEXTSPLIT(GC169,","))&amp;",",","&amp;SUBSTITUTE(input_modality," ","")&amp;",")))=COUNTA(TEXTSPLIT(GC169,",")))),IF(GE169="",TRUE,IF(input_modality="",TRUE,SUMPRODUCT(--ISNUMBER(SEARCH(","&amp;TRIM(TEXTSPLIT(GE169,","))&amp;",",","&amp;SUBSTITUTE(input_modality," ","")&amp;",")))=0)),IF(GG169="",TRUE,IF(input_modality="",FALSE,SUMPRODUCT(--ISNUMBER(SEARCH(","&amp;TRIM(TEXTSPLIT(GG169,","))&amp;",",","&amp;SUBSTITUTE(input_modality," ","")&amp;",")))&gt;0)),IF(GI169="",TRUE,IF(input_modality="",FALSE,SUMPRODUCT(--ISNUMBER(SEARCH(","&amp;TRIM(TEXTSPLIT(GI169,","))&amp;",",","&amp;SUBSTITUTE(input_modality," ","")&amp;",")))=COUNTA(TEXTSPLIT(GI169,",")))))</f>
        <v/>
      </c>
      <c r="JL169" s="19">
        <f>AND(IF(GK169="",TRUE,IF(input_organizer="",FALSE,SUMPRODUCT(--ISNUMBER(SEARCH(","&amp;TRIM(TEXTSPLIT(GK169,","))&amp;",",","&amp;SUBSTITUTE(input_organizer," ","")&amp;",")))&gt;0)),IF(GM169="",TRUE,IF(input_organizer="",FALSE,SUMPRODUCT(--ISNUMBER(SEARCH(","&amp;TRIM(TEXTSPLIT(GM169,","))&amp;",",","&amp;SUBSTITUTE(input_organizer," ","")&amp;",")))=COUNTA(TEXTSPLIT(GM169,",")))),IF(GO169="",TRUE,IF(input_organizer="",TRUE,SUMPRODUCT(--ISNUMBER(SEARCH(","&amp;TRIM(TEXTSPLIT(GO169,","))&amp;",",","&amp;SUBSTITUTE(input_organizer," ","")&amp;",")))=0)),IF(GQ169="",TRUE,IF(input_organizer="",FALSE,SUMPRODUCT(--ISNUMBER(SEARCH(","&amp;TRIM(TEXTSPLIT(GQ169,","))&amp;",",","&amp;SUBSTITUTE(input_organizer," ","")&amp;",")))&gt;0)),IF(GS169="",TRUE,IF(input_organizer="",FALSE,SUMPRODUCT(--ISNUMBER(SEARCH(","&amp;TRIM(TEXTSPLIT(GS169,","))&amp;",",","&amp;SUBSTITUTE(input_organizer," ","")&amp;",")))=COUNTA(TEXTSPLIT(GS169,",")))))</f>
        <v/>
      </c>
      <c r="JM169" s="19">
        <f>AND(IF(GU169="",TRUE,IF(input_profile_type="",FALSE,SUMPRODUCT(--ISNUMBER(SEARCH(","&amp;TRIM(TEXTSPLIT(GU169,","))&amp;",",","&amp;SUBSTITUTE(input_profile_type," ","")&amp;",")))&gt;0)),IF(GW169="",TRUE,IF(input_profile_type="",FALSE,SUMPRODUCT(--ISNUMBER(SEARCH(","&amp;TRIM(TEXTSPLIT(GW169,","))&amp;",",","&amp;SUBSTITUTE(input_profile_type," ","")&amp;",")))=COUNTA(TEXTSPLIT(GW169,",")))),IF(GY169="",TRUE,IF(input_profile_type="",TRUE,SUMPRODUCT(--ISNUMBER(SEARCH(","&amp;TRIM(TEXTSPLIT(GY169,","))&amp;",",","&amp;SUBSTITUTE(input_profile_type," ","")&amp;",")))=0)),IF(HA169="",TRUE,IF(input_profile_type="",FALSE,SUMPRODUCT(--ISNUMBER(SEARCH(","&amp;TRIM(TEXTSPLIT(HA169,","))&amp;",",","&amp;SUBSTITUTE(input_profile_type," ","")&amp;",")))&gt;0)),IF(HC169="",TRUE,IF(input_profile_type="",FALSE,SUMPRODUCT(--ISNUMBER(SEARCH(","&amp;TRIM(TEXTSPLIT(HC169,","))&amp;",",","&amp;SUBSTITUTE(input_profile_type," ","")&amp;",")))=COUNTA(TEXTSPLIT(HC169,",")))))</f>
        <v/>
      </c>
      <c r="JN169" s="19">
        <f>AND(IF(HE169="",TRUE,IF(input_program="",FALSE,SUMPRODUCT(--ISNUMBER(SEARCH(","&amp;TRIM(TEXTSPLIT(HE169,","))&amp;",",","&amp;SUBSTITUTE(input_program," ","")&amp;",")))&gt;0)),IF(HG169="",TRUE,IF(input_program="",FALSE,SUMPRODUCT(--ISNUMBER(SEARCH(","&amp;TRIM(TEXTSPLIT(HG169,","))&amp;",",","&amp;SUBSTITUTE(input_program," ","")&amp;",")))=COUNTA(TEXTSPLIT(HG169,",")))),IF(HI169="",TRUE,IF(input_program="",TRUE,SUMPRODUCT(--ISNUMBER(SEARCH(","&amp;TRIM(TEXTSPLIT(HI169,","))&amp;",",","&amp;SUBSTITUTE(input_program," ","")&amp;",")))=0)),IF(HK169="",TRUE,IF(input_program="",FALSE,SUMPRODUCT(--ISNUMBER(SEARCH(","&amp;TRIM(TEXTSPLIT(HK169,","))&amp;",",","&amp;SUBSTITUTE(input_program," ","")&amp;",")))&gt;0)),IF(HM169="",TRUE,IF(input_program="",FALSE,SUMPRODUCT(--ISNUMBER(SEARCH(","&amp;TRIM(TEXTSPLIT(HM169,","))&amp;",",","&amp;SUBSTITUTE(input_program," ","")&amp;",")))=COUNTA(TEXTSPLIT(HM169,",")))))</f>
        <v/>
      </c>
      <c r="JO169" s="19">
        <f>AND(IF(HO169="",TRUE,IF(input_story_categories="",FALSE,SUMPRODUCT(--ISNUMBER(SEARCH(","&amp;TRIM(TEXTSPLIT(HO169,","))&amp;",",","&amp;SUBSTITUTE(input_story_categories," ","")&amp;",")))&gt;0)),IF(HQ169="",TRUE,IF(input_story_categories="",FALSE,SUMPRODUCT(--ISNUMBER(SEARCH(","&amp;TRIM(TEXTSPLIT(HQ169,","))&amp;",",","&amp;SUBSTITUTE(input_story_categories," ","")&amp;",")))=COUNTA(TEXTSPLIT(HQ169,",")))),IF(HS169="",TRUE,IF(input_story_categories="",TRUE,SUMPRODUCT(--ISNUMBER(SEARCH(","&amp;TRIM(TEXTSPLIT(HS169,","))&amp;",",","&amp;SUBSTITUTE(input_story_categories," ","")&amp;",")))=0)),IF(HU169="",TRUE,IF(input_story_categories="",FALSE,SUMPRODUCT(--ISNUMBER(SEARCH(","&amp;TRIM(TEXTSPLIT(HU169,","))&amp;",",","&amp;SUBSTITUTE(input_story_categories," ","")&amp;",")))&gt;0)),IF(HW169="",TRUE,IF(input_story_categories="",FALSE,SUMPRODUCT(--ISNUMBER(SEARCH(","&amp;TRIM(TEXTSPLIT(HW169,","))&amp;",",","&amp;SUBSTITUTE(input_story_categories," ","")&amp;",")))=COUNTA(TEXTSPLIT(HW169,",")))))</f>
        <v/>
      </c>
      <c r="JP169" s="19">
        <f>AND(IF(HY169="",TRUE,IF(input_story_type="",FALSE,SUMPRODUCT(--ISNUMBER(SEARCH(","&amp;TRIM(TEXTSPLIT(HY169,","))&amp;",",","&amp;SUBSTITUTE(input_story_type," ","")&amp;",")))&gt;0)),IF(IA169="",TRUE,IF(input_story_type="",FALSE,SUMPRODUCT(--ISNUMBER(SEARCH(","&amp;TRIM(TEXTSPLIT(IA169,","))&amp;",",","&amp;SUBSTITUTE(input_story_type," ","")&amp;",")))=COUNTA(TEXTSPLIT(IA169,",")))),IF(IC169="",TRUE,IF(input_story_type="",TRUE,SUMPRODUCT(--ISNUMBER(SEARCH(","&amp;TRIM(TEXTSPLIT(IC169,","))&amp;",",","&amp;SUBSTITUTE(input_story_type," ","")&amp;",")))=0)),IF(IE169="",TRUE,IF(input_story_type="",FALSE,SUMPRODUCT(--ISNUMBER(SEARCH(","&amp;TRIM(TEXTSPLIT(IE169,","))&amp;",",","&amp;SUBSTITUTE(input_story_type," ","")&amp;",")))&gt;0)),IF(IG169="",TRUE,IF(input_story_type="",FALSE,SUMPRODUCT(--ISNUMBER(SEARCH(","&amp;TRIM(TEXTSPLIT(IG169,","))&amp;",",","&amp;SUBSTITUTE(input_story_type," ","")&amp;",")))=COUNTA(TEXTSPLIT(IG169,",")))))</f>
        <v/>
      </c>
      <c r="JQ169" s="19">
        <f>AND(IF(II169="",TRUE,IF(input_topics="",FALSE,SUMPRODUCT(--ISNUMBER(SEARCH(","&amp;TRIM(TEXTSPLIT(II169,","))&amp;",",","&amp;SUBSTITUTE(input_topics," ","")&amp;",")))&gt;0)),IF(IK169="",TRUE,IF(input_topics="",FALSE,SUMPRODUCT(--ISNUMBER(SEARCH(","&amp;TRIM(TEXTSPLIT(IK169,","))&amp;",",","&amp;SUBSTITUTE(input_topics," ","")&amp;",")))=COUNTA(TEXTSPLIT(IK169,",")))),IF(IM169="",TRUE,IF(input_topics="",TRUE,SUMPRODUCT(--ISNUMBER(SEARCH(","&amp;TRIM(TEXTSPLIT(IM169,","))&amp;",",","&amp;SUBSTITUTE(input_topics," ","")&amp;",")))=0)),IF(IO169="",TRUE,IF(input_topics="",FALSE,SUMPRODUCT(--ISNUMBER(SEARCH(","&amp;TRIM(TEXTSPLIT(IO169,","))&amp;",",","&amp;SUBSTITUTE(input_topics," ","")&amp;",")))&gt;0)),IF(IQ169="",TRUE,IF(input_topics="",FALSE,SUMPRODUCT(--ISNUMBER(SEARCH(","&amp;TRIM(TEXTSPLIT(IQ169,","))&amp;",",","&amp;SUBSTITUTE(input_topics," ","")&amp;",")))=COUNTA(TEXTSPLIT(IQ169,",")))))</f>
        <v/>
      </c>
    </row>
    <row r="170">
      <c r="A170" s="24">
        <f>IF(NOT(IS170),"Excluded",IF(AND(IT170,IU170,IV170,IW170,IX170,IY170,IZ170,JA170,JB170,JC170,JD170,JE170,JF170,JG170,JH170,JI170,JJ170,JK170,JL170,JM170,JN170,JO170,JP170,JQ170),IF(I170&gt;0,"Eligible but limited","Will appear"),"Excluded"))</f>
        <v/>
      </c>
      <c r="B170" s="24" t="inlineStr">
        <is>
          <t>Related stories</t>
        </is>
      </c>
      <c r="C170" s="27" t="inlineStr">
        <is>
          <t>/about/history</t>
        </is>
      </c>
      <c r="D170" s="24" t="inlineStr">
        <is>
          <t>/about/history</t>
        </is>
      </c>
      <c r="E170" s="24" t="n">
        <v>1</v>
      </c>
      <c r="F170" s="24" t="inlineStr">
        <is>
          <t>story</t>
        </is>
      </c>
      <c r="G170" s="24" t="inlineStr">
        <is>
          <t>stories_teaser_cards</t>
        </is>
      </c>
      <c r="H170" s="24" t="inlineStr">
        <is>
          <t>embed_blog</t>
        </is>
      </c>
      <c r="I170" s="24" t="n">
        <v>3</v>
      </c>
      <c r="J170" s="24" t="inlineStr">
        <is>
          <t>View/config rules</t>
        </is>
      </c>
      <c r="K170" s="24" t="inlineStr">
        <is>
          <t>Page placement</t>
        </is>
      </c>
      <c r="L170" s="24" t="inlineStr">
        <is>
          <t>Content type: story; Needs any Story Type: Blog (974); Limited to 3 item(s); Source: View/config rules</t>
        </is>
      </c>
      <c r="HY170" s="19" t="inlineStr">
        <is>
          <t>974</t>
        </is>
      </c>
      <c r="HZ170" s="19" t="inlineStr">
        <is>
          <t>Blog (974)</t>
        </is>
      </c>
      <c r="IS170" s="19">
        <f>IF(input_content_type="",FALSE,ISNUMBER(SEARCH(","&amp;LOWER(input_content_type)&amp;",",","&amp;LOWER(SUBSTITUTE(F170," ",""))&amp;",")))</f>
        <v/>
      </c>
      <c r="IT170" s="19">
        <f>AND(IF(M170="",TRUE,IF(input_affiliations="",FALSE,SUMPRODUCT(--ISNUMBER(SEARCH(","&amp;TRIM(TEXTSPLIT(M170,","))&amp;",",","&amp;SUBSTITUTE(input_affiliations," ","")&amp;",")))&gt;0)),IF(O170="",TRUE,IF(input_affiliations="",FALSE,SUMPRODUCT(--ISNUMBER(SEARCH(","&amp;TRIM(TEXTSPLIT(O170,","))&amp;",",","&amp;SUBSTITUTE(input_affiliations," ","")&amp;",")))=COUNTA(TEXTSPLIT(O170,",")))),IF(Q170="",TRUE,IF(input_affiliations="",TRUE,SUMPRODUCT(--ISNUMBER(SEARCH(","&amp;TRIM(TEXTSPLIT(Q170,","))&amp;",",","&amp;SUBSTITUTE(input_affiliations," ","")&amp;",")))=0)),IF(S170="",TRUE,IF(input_affiliations="",FALSE,SUMPRODUCT(--ISNUMBER(SEARCH(","&amp;TRIM(TEXTSPLIT(S170,","))&amp;",",","&amp;SUBSTITUTE(input_affiliations," ","")&amp;",")))&gt;0)),IF(U170="",TRUE,IF(input_affiliations="",FALSE,SUMPRODUCT(--ISNUMBER(SEARCH(","&amp;TRIM(TEXTSPLIT(U170,","))&amp;",",","&amp;SUBSTITUTE(input_affiliations," ","")&amp;",")))=COUNTA(TEXTSPLIT(U170,",")))))</f>
        <v/>
      </c>
      <c r="IU170" s="19">
        <f>AND(IF(W170="",TRUE,IF(input_announcement_category="",FALSE,SUMPRODUCT(--ISNUMBER(SEARCH(","&amp;TRIM(TEXTSPLIT(W170,","))&amp;",",","&amp;SUBSTITUTE(input_announcement_category," ","")&amp;",")))&gt;0)),IF(Y170="",TRUE,IF(input_announcement_category="",FALSE,SUMPRODUCT(--ISNUMBER(SEARCH(","&amp;TRIM(TEXTSPLIT(Y170,","))&amp;",",","&amp;SUBSTITUTE(input_announcement_category," ","")&amp;",")))=COUNTA(TEXTSPLIT(Y170,",")))),IF(AA170="",TRUE,IF(input_announcement_category="",TRUE,SUMPRODUCT(--ISNUMBER(SEARCH(","&amp;TRIM(TEXTSPLIT(AA170,","))&amp;",",","&amp;SUBSTITUTE(input_announcement_category," ","")&amp;",")))=0)),IF(AC170="",TRUE,IF(input_announcement_category="",FALSE,SUMPRODUCT(--ISNUMBER(SEARCH(","&amp;TRIM(TEXTSPLIT(AC170,","))&amp;",",","&amp;SUBSTITUTE(input_announcement_category," ","")&amp;",")))&gt;0)),IF(AE170="",TRUE,IF(input_announcement_category="",FALSE,SUMPRODUCT(--ISNUMBER(SEARCH(","&amp;TRIM(TEXTSPLIT(AE170,","))&amp;",",","&amp;SUBSTITUTE(input_announcement_category," ","")&amp;",")))=COUNTA(TEXTSPLIT(AE170,",")))))</f>
        <v/>
      </c>
      <c r="IV170" s="19">
        <f>AND(IF(AG170="",TRUE,IF(input_area_of_focus="",FALSE,SUMPRODUCT(--ISNUMBER(SEARCH(","&amp;TRIM(TEXTSPLIT(AG170,","))&amp;",",","&amp;SUBSTITUTE(input_area_of_focus," ","")&amp;",")))&gt;0)),IF(AI170="",TRUE,IF(input_area_of_focus="",FALSE,SUMPRODUCT(--ISNUMBER(SEARCH(","&amp;TRIM(TEXTSPLIT(AI170,","))&amp;",",","&amp;SUBSTITUTE(input_area_of_focus," ","")&amp;",")))=COUNTA(TEXTSPLIT(AI170,",")))),IF(AK170="",TRUE,IF(input_area_of_focus="",TRUE,SUMPRODUCT(--ISNUMBER(SEARCH(","&amp;TRIM(TEXTSPLIT(AK170,","))&amp;",",","&amp;SUBSTITUTE(input_area_of_focus," ","")&amp;",")))=0)),IF(AM170="",TRUE,IF(input_area_of_focus="",FALSE,SUMPRODUCT(--ISNUMBER(SEARCH(","&amp;TRIM(TEXTSPLIT(AM170,","))&amp;",",","&amp;SUBSTITUTE(input_area_of_focus," ","")&amp;",")))&gt;0)),IF(AO170="",TRUE,IF(input_area_of_focus="",FALSE,SUMPRODUCT(--ISNUMBER(SEARCH(","&amp;TRIM(TEXTSPLIT(AO170,","))&amp;",",","&amp;SUBSTITUTE(input_area_of_focus," ","")&amp;",")))=COUNTA(TEXTSPLIT(AO170,",")))))</f>
        <v/>
      </c>
      <c r="IW170" s="19">
        <f>AND(IF(AQ170="",TRUE,IF(input_audience="",FALSE,SUMPRODUCT(--ISNUMBER(SEARCH(","&amp;TRIM(TEXTSPLIT(AQ170,","))&amp;",",","&amp;SUBSTITUTE(input_audience," ","")&amp;",")))&gt;0)),IF(AS170="",TRUE,IF(input_audience="",FALSE,SUMPRODUCT(--ISNUMBER(SEARCH(","&amp;TRIM(TEXTSPLIT(AS170,","))&amp;",",","&amp;SUBSTITUTE(input_audience," ","")&amp;",")))=COUNTA(TEXTSPLIT(AS170,",")))),IF(AU170="",TRUE,IF(input_audience="",TRUE,SUMPRODUCT(--ISNUMBER(SEARCH(","&amp;TRIM(TEXTSPLIT(AU170,","))&amp;",",","&amp;SUBSTITUTE(input_audience," ","")&amp;",")))=0)),IF(AW170="",TRUE,IF(input_audience="",FALSE,SUMPRODUCT(--ISNUMBER(SEARCH(","&amp;TRIM(TEXTSPLIT(AW170,","))&amp;",",","&amp;SUBSTITUTE(input_audience," ","")&amp;",")))&gt;0)),IF(AY170="",TRUE,IF(input_audience="",FALSE,SUMPRODUCT(--ISNUMBER(SEARCH(","&amp;TRIM(TEXTSPLIT(AY170,","))&amp;",",","&amp;SUBSTITUTE(input_audience," ","")&amp;",")))=COUNTA(TEXTSPLIT(AY170,",")))))</f>
        <v/>
      </c>
      <c r="IX170" s="19">
        <f>AND(IF(BA170="",TRUE,IF(input_challenge_opportunities="",FALSE,SUMPRODUCT(--ISNUMBER(SEARCH(","&amp;TRIM(TEXTSPLIT(BA170,","))&amp;",",","&amp;SUBSTITUTE(input_challenge_opportunities," ","")&amp;",")))&gt;0)),IF(BC170="",TRUE,IF(input_challenge_opportunities="",FALSE,SUMPRODUCT(--ISNUMBER(SEARCH(","&amp;TRIM(TEXTSPLIT(BC170,","))&amp;",",","&amp;SUBSTITUTE(input_challenge_opportunities," ","")&amp;",")))=COUNTA(TEXTSPLIT(BC170,",")))),IF(BE170="",TRUE,IF(input_challenge_opportunities="",TRUE,SUMPRODUCT(--ISNUMBER(SEARCH(","&amp;TRIM(TEXTSPLIT(BE170,","))&amp;",",","&amp;SUBSTITUTE(input_challenge_opportunities," ","")&amp;",")))=0)),IF(BG170="",TRUE,IF(input_challenge_opportunities="",FALSE,SUMPRODUCT(--ISNUMBER(SEARCH(","&amp;TRIM(TEXTSPLIT(BG170,","))&amp;",",","&amp;SUBSTITUTE(input_challenge_opportunities," ","")&amp;",")))&gt;0)),IF(BI170="",TRUE,IF(input_challenge_opportunities="",FALSE,SUMPRODUCT(--ISNUMBER(SEARCH(","&amp;TRIM(TEXTSPLIT(BI170,","))&amp;",",","&amp;SUBSTITUTE(input_challenge_opportunities," ","")&amp;",")))=COUNTA(TEXTSPLIT(BI170,",")))))</f>
        <v/>
      </c>
      <c r="IY170" s="19">
        <f>AND(IF(BK170="",TRUE,IF(input_context="",FALSE,SUMPRODUCT(--ISNUMBER(SEARCH(","&amp;TRIM(TEXTSPLIT(BK170,","))&amp;",",","&amp;SUBSTITUTE(input_context," ","")&amp;",")))&gt;0)),IF(BM170="",TRUE,IF(input_context="",FALSE,SUMPRODUCT(--ISNUMBER(SEARCH(","&amp;TRIM(TEXTSPLIT(BM170,","))&amp;",",","&amp;SUBSTITUTE(input_context," ","")&amp;",")))=COUNTA(TEXTSPLIT(BM170,",")))),IF(BO170="",TRUE,IF(input_context="",TRUE,SUMPRODUCT(--ISNUMBER(SEARCH(","&amp;TRIM(TEXTSPLIT(BO170,","))&amp;",",","&amp;SUBSTITUTE(input_context," ","")&amp;",")))=0)),IF(BQ170="",TRUE,IF(input_context="",FALSE,SUMPRODUCT(--ISNUMBER(SEARCH(","&amp;TRIM(TEXTSPLIT(BQ170,","))&amp;",",","&amp;SUBSTITUTE(input_context," ","")&amp;",")))&gt;0)),IF(BS170="",TRUE,IF(input_context="",FALSE,SUMPRODUCT(--ISNUMBER(SEARCH(","&amp;TRIM(TEXTSPLIT(BS170,","))&amp;",",","&amp;SUBSTITUTE(input_context," ","")&amp;",")))=COUNTA(TEXTSPLIT(BS170,",")))))</f>
        <v/>
      </c>
      <c r="IZ170" s="19">
        <f>AND(IF(BU170="",TRUE,IF(input_enews_announcement_type="",FALSE,SUMPRODUCT(--ISNUMBER(SEARCH(","&amp;TRIM(TEXTSPLIT(BU170,","))&amp;",",","&amp;SUBSTITUTE(input_enews_announcement_type," ","")&amp;",")))&gt;0)),IF(BW170="",TRUE,IF(input_enews_announcement_type="",FALSE,SUMPRODUCT(--ISNUMBER(SEARCH(","&amp;TRIM(TEXTSPLIT(BW170,","))&amp;",",","&amp;SUBSTITUTE(input_enews_announcement_type," ","")&amp;",")))=COUNTA(TEXTSPLIT(BW170,",")))),IF(BY170="",TRUE,IF(input_enews_announcement_type="",TRUE,SUMPRODUCT(--ISNUMBER(SEARCH(","&amp;TRIM(TEXTSPLIT(BY170,","))&amp;",",","&amp;SUBSTITUTE(input_enews_announcement_type," ","")&amp;",")))=0)),IF(CA170="",TRUE,IF(input_enews_announcement_type="",FALSE,SUMPRODUCT(--ISNUMBER(SEARCH(","&amp;TRIM(TEXTSPLIT(CA170,","))&amp;",",","&amp;SUBSTITUTE(input_enews_announcement_type," ","")&amp;",")))&gt;0)),IF(CC170="",TRUE,IF(input_enews_announcement_type="",FALSE,SUMPRODUCT(--ISNUMBER(SEARCH(","&amp;TRIM(TEXTSPLIT(CC170,","))&amp;",",","&amp;SUBSTITUTE(input_enews_announcement_type," ","")&amp;",")))=COUNTA(TEXTSPLIT(CC170,",")))))</f>
        <v/>
      </c>
      <c r="JA170" s="19">
        <f>AND(IF(CE170="",TRUE,IF(input_enews_audience="",FALSE,SUMPRODUCT(--ISNUMBER(SEARCH(","&amp;TRIM(TEXTSPLIT(CE170,","))&amp;",",","&amp;SUBSTITUTE(input_enews_audience," ","")&amp;",")))&gt;0)),IF(CG170="",TRUE,IF(input_enews_audience="",FALSE,SUMPRODUCT(--ISNUMBER(SEARCH(","&amp;TRIM(TEXTSPLIT(CG170,","))&amp;",",","&amp;SUBSTITUTE(input_enews_audience," ","")&amp;",")))=COUNTA(TEXTSPLIT(CG170,",")))),IF(CI170="",TRUE,IF(input_enews_audience="",TRUE,SUMPRODUCT(--ISNUMBER(SEARCH(","&amp;TRIM(TEXTSPLIT(CI170,","))&amp;",",","&amp;SUBSTITUTE(input_enews_audience," ","")&amp;",")))=0)),IF(CK170="",TRUE,IF(input_enews_audience="",FALSE,SUMPRODUCT(--ISNUMBER(SEARCH(","&amp;TRIM(TEXTSPLIT(CK170,","))&amp;",",","&amp;SUBSTITUTE(input_enews_audience," ","")&amp;",")))&gt;0)),IF(CM170="",TRUE,IF(input_enews_audience="",FALSE,SUMPRODUCT(--ISNUMBER(SEARCH(","&amp;TRIM(TEXTSPLIT(CM170,","))&amp;",",","&amp;SUBSTITUTE(input_enews_audience," ","")&amp;",")))=COUNTA(TEXTSPLIT(CM170,",")))))</f>
        <v/>
      </c>
      <c r="JB170" s="19">
        <f>AND(IF(CO170="",TRUE,IF(input_event_location="",FALSE,SUMPRODUCT(--ISNUMBER(SEARCH(","&amp;TRIM(TEXTSPLIT(CO170,","))&amp;",",","&amp;SUBSTITUTE(input_event_location," ","")&amp;",")))&gt;0)),IF(CQ170="",TRUE,IF(input_event_location="",FALSE,SUMPRODUCT(--ISNUMBER(SEARCH(","&amp;TRIM(TEXTSPLIT(CQ170,","))&amp;",",","&amp;SUBSTITUTE(input_event_location," ","")&amp;",")))=COUNTA(TEXTSPLIT(CQ170,",")))),IF(CS170="",TRUE,IF(input_event_location="",TRUE,SUMPRODUCT(--ISNUMBER(SEARCH(","&amp;TRIM(TEXTSPLIT(CS170,","))&amp;",",","&amp;SUBSTITUTE(input_event_location," ","")&amp;",")))=0)),IF(CU170="",TRUE,IF(input_event_location="",FALSE,SUMPRODUCT(--ISNUMBER(SEARCH(","&amp;TRIM(TEXTSPLIT(CU170,","))&amp;",",","&amp;SUBSTITUTE(input_event_location," ","")&amp;",")))&gt;0)),IF(CW170="",TRUE,IF(input_event_location="",FALSE,SUMPRODUCT(--ISNUMBER(SEARCH(","&amp;TRIM(TEXTSPLIT(CW170,","))&amp;",",","&amp;SUBSTITUTE(input_event_location," ","")&amp;",")))=COUNTA(TEXTSPLIT(CW170,",")))))</f>
        <v/>
      </c>
      <c r="JC170" s="19">
        <f>AND(IF(CY170="",TRUE,IF(input_event_type="",FALSE,SUMPRODUCT(--ISNUMBER(SEARCH(","&amp;TRIM(TEXTSPLIT(CY170,","))&amp;",",","&amp;SUBSTITUTE(input_event_type," ","")&amp;",")))&gt;0)),IF(DA170="",TRUE,IF(input_event_type="",FALSE,SUMPRODUCT(--ISNUMBER(SEARCH(","&amp;TRIM(TEXTSPLIT(DA170,","))&amp;",",","&amp;SUBSTITUTE(input_event_type," ","")&amp;",")))=COUNTA(TEXTSPLIT(DA170,",")))),IF(DC170="",TRUE,IF(input_event_type="",TRUE,SUMPRODUCT(--ISNUMBER(SEARCH(","&amp;TRIM(TEXTSPLIT(DC170,","))&amp;",",","&amp;SUBSTITUTE(input_event_type," ","")&amp;",")))=0)),IF(DE170="",TRUE,IF(input_event_type="",FALSE,SUMPRODUCT(--ISNUMBER(SEARCH(","&amp;TRIM(TEXTSPLIT(DE170,","))&amp;",",","&amp;SUBSTITUTE(input_event_type," ","")&amp;",")))&gt;0)),IF(DG170="",TRUE,IF(input_event_type="",FALSE,SUMPRODUCT(--ISNUMBER(SEARCH(","&amp;TRIM(TEXTSPLIT(DG170,","))&amp;",",","&amp;SUBSTITUTE(input_event_type," ","")&amp;",")))=COUNTA(TEXTSPLIT(DG170,",")))))</f>
        <v/>
      </c>
      <c r="JD170" s="19">
        <f>AND(IF(DI170="",TRUE,IF(input_executive_education_focus="",FALSE,SUMPRODUCT(--ISNUMBER(SEARCH(","&amp;TRIM(TEXTSPLIT(DI170,","))&amp;",",","&amp;SUBSTITUTE(input_executive_education_focus," ","")&amp;",")))&gt;0)),IF(DK170="",TRUE,IF(input_executive_education_focus="",FALSE,SUMPRODUCT(--ISNUMBER(SEARCH(","&amp;TRIM(TEXTSPLIT(DK170,","))&amp;",",","&amp;SUBSTITUTE(input_executive_education_focus," ","")&amp;",")))=COUNTA(TEXTSPLIT(DK170,",")))),IF(DM170="",TRUE,IF(input_executive_education_focus="",TRUE,SUMPRODUCT(--ISNUMBER(SEARCH(","&amp;TRIM(TEXTSPLIT(DM170,","))&amp;",",","&amp;SUBSTITUTE(input_executive_education_focus," ","")&amp;",")))=0)),IF(DO170="",TRUE,IF(input_executive_education_focus="",FALSE,SUMPRODUCT(--ISNUMBER(SEARCH(","&amp;TRIM(TEXTSPLIT(DO170,","))&amp;",",","&amp;SUBSTITUTE(input_executive_education_focus," ","")&amp;",")))&gt;0)),IF(DQ170="",TRUE,IF(input_executive_education_focus="",FALSE,SUMPRODUCT(--ISNUMBER(SEARCH(","&amp;TRIM(TEXTSPLIT(DQ170,","))&amp;",",","&amp;SUBSTITUTE(input_executive_education_focus," ","")&amp;",")))=COUNTA(TEXTSPLIT(DQ170,",")))))</f>
        <v/>
      </c>
      <c r="JE170" s="19">
        <f>AND(IF(DS170="",TRUE,IF(input_faculty_category="",FALSE,SUMPRODUCT(--ISNUMBER(SEARCH(","&amp;TRIM(TEXTSPLIT(DS170,","))&amp;",",","&amp;SUBSTITUTE(input_faculty_category," ","")&amp;",")))&gt;0)),IF(DU170="",TRUE,IF(input_faculty_category="",FALSE,SUMPRODUCT(--ISNUMBER(SEARCH(","&amp;TRIM(TEXTSPLIT(DU170,","))&amp;",",","&amp;SUBSTITUTE(input_faculty_category," ","")&amp;",")))=COUNTA(TEXTSPLIT(DU170,",")))),IF(DW170="",TRUE,IF(input_faculty_category="",TRUE,SUMPRODUCT(--ISNUMBER(SEARCH(","&amp;TRIM(TEXTSPLIT(DW170,","))&amp;",",","&amp;SUBSTITUTE(input_faculty_category," ","")&amp;",")))=0)),IF(DY170="",TRUE,IF(input_faculty_category="",FALSE,SUMPRODUCT(--ISNUMBER(SEARCH(","&amp;TRIM(TEXTSPLIT(DY170,","))&amp;",",","&amp;SUBSTITUTE(input_faculty_category," ","")&amp;",")))&gt;0)),IF(EA170="",TRUE,IF(input_faculty_category="",FALSE,SUMPRODUCT(--ISNUMBER(SEARCH(","&amp;TRIM(TEXTSPLIT(EA170,","))&amp;",",","&amp;SUBSTITUTE(input_faculty_category," ","")&amp;",")))=COUNTA(TEXTSPLIT(EA170,",")))))</f>
        <v/>
      </c>
      <c r="JF170" s="19">
        <f>AND(IF(EC170="",TRUE,IF(input_faculty_discipline="",FALSE,SUMPRODUCT(--ISNUMBER(SEARCH(","&amp;TRIM(TEXTSPLIT(EC170,","))&amp;",",","&amp;SUBSTITUTE(input_faculty_discipline," ","")&amp;",")))&gt;0)),IF(EE170="",TRUE,IF(input_faculty_discipline="",FALSE,SUMPRODUCT(--ISNUMBER(SEARCH(","&amp;TRIM(TEXTSPLIT(EE170,","))&amp;",",","&amp;SUBSTITUTE(input_faculty_discipline," ","")&amp;",")))=COUNTA(TEXTSPLIT(EE170,",")))),IF(EG170="",TRUE,IF(input_faculty_discipline="",TRUE,SUMPRODUCT(--ISNUMBER(SEARCH(","&amp;TRIM(TEXTSPLIT(EG170,","))&amp;",",","&amp;SUBSTITUTE(input_faculty_discipline," ","")&amp;",")))=0)),IF(EI170="",TRUE,IF(input_faculty_discipline="",FALSE,SUMPRODUCT(--ISNUMBER(SEARCH(","&amp;TRIM(TEXTSPLIT(EI170,","))&amp;",",","&amp;SUBSTITUTE(input_faculty_discipline," ","")&amp;",")))&gt;0)),IF(EK170="",TRUE,IF(input_faculty_discipline="",FALSE,SUMPRODUCT(--ISNUMBER(SEARCH(","&amp;TRIM(TEXTSPLIT(EK170,","))&amp;",",","&amp;SUBSTITUTE(input_faculty_discipline," ","")&amp;",")))=COUNTA(TEXTSPLIT(EK170,",")))))</f>
        <v/>
      </c>
      <c r="JG170" s="19">
        <f>AND(IF(EM170="",TRUE,IF(input_faculty_expertise="",FALSE,SUMPRODUCT(--ISNUMBER(SEARCH(","&amp;TRIM(TEXTSPLIT(EM170,","))&amp;",",","&amp;SUBSTITUTE(input_faculty_expertise," ","")&amp;",")))&gt;0)),IF(EO170="",TRUE,IF(input_faculty_expertise="",FALSE,SUMPRODUCT(--ISNUMBER(SEARCH(","&amp;TRIM(TEXTSPLIT(EO170,","))&amp;",",","&amp;SUBSTITUTE(input_faculty_expertise," ","")&amp;",")))=COUNTA(TEXTSPLIT(EO170,",")))),IF(EQ170="",TRUE,IF(input_faculty_expertise="",TRUE,SUMPRODUCT(--ISNUMBER(SEARCH(","&amp;TRIM(TEXTSPLIT(EQ170,","))&amp;",",","&amp;SUBSTITUTE(input_faculty_expertise," ","")&amp;",")))=0)),IF(ES170="",TRUE,IF(input_faculty_expertise="",FALSE,SUMPRODUCT(--ISNUMBER(SEARCH(","&amp;TRIM(TEXTSPLIT(ES170,","))&amp;",",","&amp;SUBSTITUTE(input_faculty_expertise," ","")&amp;",")))&gt;0)),IF(EU170="",TRUE,IF(input_faculty_expertise="",FALSE,SUMPRODUCT(--ISNUMBER(SEARCH(","&amp;TRIM(TEXTSPLIT(EU170,","))&amp;",",","&amp;SUBSTITUTE(input_faculty_expertise," ","")&amp;",")))=COUNTA(TEXTSPLIT(EU170,",")))))</f>
        <v/>
      </c>
      <c r="JH170" s="19">
        <f>AND(IF(EW170="",TRUE,IF(input_global_network_school="",FALSE,SUMPRODUCT(--ISNUMBER(SEARCH(","&amp;TRIM(TEXTSPLIT(EW170,","))&amp;",",","&amp;SUBSTITUTE(input_global_network_school," ","")&amp;",")))&gt;0)),IF(EY170="",TRUE,IF(input_global_network_school="",FALSE,SUMPRODUCT(--ISNUMBER(SEARCH(","&amp;TRIM(TEXTSPLIT(EY170,","))&amp;",",","&amp;SUBSTITUTE(input_global_network_school," ","")&amp;",")))=COUNTA(TEXTSPLIT(EY170,",")))),IF(FA170="",TRUE,IF(input_global_network_school="",TRUE,SUMPRODUCT(--ISNUMBER(SEARCH(","&amp;TRIM(TEXTSPLIT(FA170,","))&amp;",",","&amp;SUBSTITUTE(input_global_network_school," ","")&amp;",")))=0)),IF(FC170="",TRUE,IF(input_global_network_school="",FALSE,SUMPRODUCT(--ISNUMBER(SEARCH(","&amp;TRIM(TEXTSPLIT(FC170,","))&amp;",",","&amp;SUBSTITUTE(input_global_network_school," ","")&amp;",")))&gt;0)),IF(FE170="",TRUE,IF(input_global_network_school="",FALSE,SUMPRODUCT(--ISNUMBER(SEARCH(","&amp;TRIM(TEXTSPLIT(FE170,","))&amp;",",","&amp;SUBSTITUTE(input_global_network_school," ","")&amp;",")))=COUNTA(TEXTSPLIT(FE170,",")))))</f>
        <v/>
      </c>
      <c r="JI170" s="19">
        <f>AND(IF(FG170="",TRUE,IF(input_industry="",FALSE,SUMPRODUCT(--ISNUMBER(SEARCH(","&amp;TRIM(TEXTSPLIT(FG170,","))&amp;",",","&amp;SUBSTITUTE(input_industry," ","")&amp;",")))&gt;0)),IF(FI170="",TRUE,IF(input_industry="",FALSE,SUMPRODUCT(--ISNUMBER(SEARCH(","&amp;TRIM(TEXTSPLIT(FI170,","))&amp;",",","&amp;SUBSTITUTE(input_industry," ","")&amp;",")))=COUNTA(TEXTSPLIT(FI170,",")))),IF(FK170="",TRUE,IF(input_industry="",TRUE,SUMPRODUCT(--ISNUMBER(SEARCH(","&amp;TRIM(TEXTSPLIT(FK170,","))&amp;",",","&amp;SUBSTITUTE(input_industry," ","")&amp;",")))=0)),IF(FM170="",TRUE,IF(input_industry="",FALSE,SUMPRODUCT(--ISNUMBER(SEARCH(","&amp;TRIM(TEXTSPLIT(FM170,","))&amp;",",","&amp;SUBSTITUTE(input_industry," ","")&amp;",")))&gt;0)),IF(FO170="",TRUE,IF(input_industry="",FALSE,SUMPRODUCT(--ISNUMBER(SEARCH(","&amp;TRIM(TEXTSPLIT(FO170,","))&amp;",",","&amp;SUBSTITUTE(input_industry," ","")&amp;",")))=COUNTA(TEXTSPLIT(FO170,",")))))</f>
        <v/>
      </c>
      <c r="JJ170" s="19">
        <f>AND(IF(FQ170="",TRUE,IF(input_location="",FALSE,SUMPRODUCT(--ISNUMBER(SEARCH(","&amp;TRIM(TEXTSPLIT(FQ170,","))&amp;",",","&amp;SUBSTITUTE(input_location," ","")&amp;",")))&gt;0)),IF(FS170="",TRUE,IF(input_location="",FALSE,SUMPRODUCT(--ISNUMBER(SEARCH(","&amp;TRIM(TEXTSPLIT(FS170,","))&amp;",",","&amp;SUBSTITUTE(input_location," ","")&amp;",")))=COUNTA(TEXTSPLIT(FS170,",")))),IF(FU170="",TRUE,IF(input_location="",TRUE,SUMPRODUCT(--ISNUMBER(SEARCH(","&amp;TRIM(TEXTSPLIT(FU170,","))&amp;",",","&amp;SUBSTITUTE(input_location," ","")&amp;",")))=0)),IF(FW170="",TRUE,IF(input_location="",FALSE,SUMPRODUCT(--ISNUMBER(SEARCH(","&amp;TRIM(TEXTSPLIT(FW170,","))&amp;",",","&amp;SUBSTITUTE(input_location," ","")&amp;",")))&gt;0)),IF(FY170="",TRUE,IF(input_location="",FALSE,SUMPRODUCT(--ISNUMBER(SEARCH(","&amp;TRIM(TEXTSPLIT(FY170,","))&amp;",",","&amp;SUBSTITUTE(input_location," ","")&amp;",")))=COUNTA(TEXTSPLIT(FY170,",")))))</f>
        <v/>
      </c>
      <c r="JK170" s="19">
        <f>AND(IF(GA170="",TRUE,IF(input_modality="",FALSE,SUMPRODUCT(--ISNUMBER(SEARCH(","&amp;TRIM(TEXTSPLIT(GA170,","))&amp;",",","&amp;SUBSTITUTE(input_modality," ","")&amp;",")))&gt;0)),IF(GC170="",TRUE,IF(input_modality="",FALSE,SUMPRODUCT(--ISNUMBER(SEARCH(","&amp;TRIM(TEXTSPLIT(GC170,","))&amp;",",","&amp;SUBSTITUTE(input_modality," ","")&amp;",")))=COUNTA(TEXTSPLIT(GC170,",")))),IF(GE170="",TRUE,IF(input_modality="",TRUE,SUMPRODUCT(--ISNUMBER(SEARCH(","&amp;TRIM(TEXTSPLIT(GE170,","))&amp;",",","&amp;SUBSTITUTE(input_modality," ","")&amp;",")))=0)),IF(GG170="",TRUE,IF(input_modality="",FALSE,SUMPRODUCT(--ISNUMBER(SEARCH(","&amp;TRIM(TEXTSPLIT(GG170,","))&amp;",",","&amp;SUBSTITUTE(input_modality," ","")&amp;",")))&gt;0)),IF(GI170="",TRUE,IF(input_modality="",FALSE,SUMPRODUCT(--ISNUMBER(SEARCH(","&amp;TRIM(TEXTSPLIT(GI170,","))&amp;",",","&amp;SUBSTITUTE(input_modality," ","")&amp;",")))=COUNTA(TEXTSPLIT(GI170,",")))))</f>
        <v/>
      </c>
      <c r="JL170" s="19">
        <f>AND(IF(GK170="",TRUE,IF(input_organizer="",FALSE,SUMPRODUCT(--ISNUMBER(SEARCH(","&amp;TRIM(TEXTSPLIT(GK170,","))&amp;",",","&amp;SUBSTITUTE(input_organizer," ","")&amp;",")))&gt;0)),IF(GM170="",TRUE,IF(input_organizer="",FALSE,SUMPRODUCT(--ISNUMBER(SEARCH(","&amp;TRIM(TEXTSPLIT(GM170,","))&amp;",",","&amp;SUBSTITUTE(input_organizer," ","")&amp;",")))=COUNTA(TEXTSPLIT(GM170,",")))),IF(GO170="",TRUE,IF(input_organizer="",TRUE,SUMPRODUCT(--ISNUMBER(SEARCH(","&amp;TRIM(TEXTSPLIT(GO170,","))&amp;",",","&amp;SUBSTITUTE(input_organizer," ","")&amp;",")))=0)),IF(GQ170="",TRUE,IF(input_organizer="",FALSE,SUMPRODUCT(--ISNUMBER(SEARCH(","&amp;TRIM(TEXTSPLIT(GQ170,","))&amp;",",","&amp;SUBSTITUTE(input_organizer," ","")&amp;",")))&gt;0)),IF(GS170="",TRUE,IF(input_organizer="",FALSE,SUMPRODUCT(--ISNUMBER(SEARCH(","&amp;TRIM(TEXTSPLIT(GS170,","))&amp;",",","&amp;SUBSTITUTE(input_organizer," ","")&amp;",")))=COUNTA(TEXTSPLIT(GS170,",")))))</f>
        <v/>
      </c>
      <c r="JM170" s="19">
        <f>AND(IF(GU170="",TRUE,IF(input_profile_type="",FALSE,SUMPRODUCT(--ISNUMBER(SEARCH(","&amp;TRIM(TEXTSPLIT(GU170,","))&amp;",",","&amp;SUBSTITUTE(input_profile_type," ","")&amp;",")))&gt;0)),IF(GW170="",TRUE,IF(input_profile_type="",FALSE,SUMPRODUCT(--ISNUMBER(SEARCH(","&amp;TRIM(TEXTSPLIT(GW170,","))&amp;",",","&amp;SUBSTITUTE(input_profile_type," ","")&amp;",")))=COUNTA(TEXTSPLIT(GW170,",")))),IF(GY170="",TRUE,IF(input_profile_type="",TRUE,SUMPRODUCT(--ISNUMBER(SEARCH(","&amp;TRIM(TEXTSPLIT(GY170,","))&amp;",",","&amp;SUBSTITUTE(input_profile_type," ","")&amp;",")))=0)),IF(HA170="",TRUE,IF(input_profile_type="",FALSE,SUMPRODUCT(--ISNUMBER(SEARCH(","&amp;TRIM(TEXTSPLIT(HA170,","))&amp;",",","&amp;SUBSTITUTE(input_profile_type," ","")&amp;",")))&gt;0)),IF(HC170="",TRUE,IF(input_profile_type="",FALSE,SUMPRODUCT(--ISNUMBER(SEARCH(","&amp;TRIM(TEXTSPLIT(HC170,","))&amp;",",","&amp;SUBSTITUTE(input_profile_type," ","")&amp;",")))=COUNTA(TEXTSPLIT(HC170,",")))))</f>
        <v/>
      </c>
      <c r="JN170" s="19">
        <f>AND(IF(HE170="",TRUE,IF(input_program="",FALSE,SUMPRODUCT(--ISNUMBER(SEARCH(","&amp;TRIM(TEXTSPLIT(HE170,","))&amp;",",","&amp;SUBSTITUTE(input_program," ","")&amp;",")))&gt;0)),IF(HG170="",TRUE,IF(input_program="",FALSE,SUMPRODUCT(--ISNUMBER(SEARCH(","&amp;TRIM(TEXTSPLIT(HG170,","))&amp;",",","&amp;SUBSTITUTE(input_program," ","")&amp;",")))=COUNTA(TEXTSPLIT(HG170,",")))),IF(HI170="",TRUE,IF(input_program="",TRUE,SUMPRODUCT(--ISNUMBER(SEARCH(","&amp;TRIM(TEXTSPLIT(HI170,","))&amp;",",","&amp;SUBSTITUTE(input_program," ","")&amp;",")))=0)),IF(HK170="",TRUE,IF(input_program="",FALSE,SUMPRODUCT(--ISNUMBER(SEARCH(","&amp;TRIM(TEXTSPLIT(HK170,","))&amp;",",","&amp;SUBSTITUTE(input_program," ","")&amp;",")))&gt;0)),IF(HM170="",TRUE,IF(input_program="",FALSE,SUMPRODUCT(--ISNUMBER(SEARCH(","&amp;TRIM(TEXTSPLIT(HM170,","))&amp;",",","&amp;SUBSTITUTE(input_program," ","")&amp;",")))=COUNTA(TEXTSPLIT(HM170,",")))))</f>
        <v/>
      </c>
      <c r="JO170" s="19">
        <f>AND(IF(HO170="",TRUE,IF(input_story_categories="",FALSE,SUMPRODUCT(--ISNUMBER(SEARCH(","&amp;TRIM(TEXTSPLIT(HO170,","))&amp;",",","&amp;SUBSTITUTE(input_story_categories," ","")&amp;",")))&gt;0)),IF(HQ170="",TRUE,IF(input_story_categories="",FALSE,SUMPRODUCT(--ISNUMBER(SEARCH(","&amp;TRIM(TEXTSPLIT(HQ170,","))&amp;",",","&amp;SUBSTITUTE(input_story_categories," ","")&amp;",")))=COUNTA(TEXTSPLIT(HQ170,",")))),IF(HS170="",TRUE,IF(input_story_categories="",TRUE,SUMPRODUCT(--ISNUMBER(SEARCH(","&amp;TRIM(TEXTSPLIT(HS170,","))&amp;",",","&amp;SUBSTITUTE(input_story_categories," ","")&amp;",")))=0)),IF(HU170="",TRUE,IF(input_story_categories="",FALSE,SUMPRODUCT(--ISNUMBER(SEARCH(","&amp;TRIM(TEXTSPLIT(HU170,","))&amp;",",","&amp;SUBSTITUTE(input_story_categories," ","")&amp;",")))&gt;0)),IF(HW170="",TRUE,IF(input_story_categories="",FALSE,SUMPRODUCT(--ISNUMBER(SEARCH(","&amp;TRIM(TEXTSPLIT(HW170,","))&amp;",",","&amp;SUBSTITUTE(input_story_categories," ","")&amp;",")))=COUNTA(TEXTSPLIT(HW170,",")))))</f>
        <v/>
      </c>
      <c r="JP170" s="19">
        <f>AND(IF(HY170="",TRUE,IF(input_story_type="",FALSE,SUMPRODUCT(--ISNUMBER(SEARCH(","&amp;TRIM(TEXTSPLIT(HY170,","))&amp;",",","&amp;SUBSTITUTE(input_story_type," ","")&amp;",")))&gt;0)),IF(IA170="",TRUE,IF(input_story_type="",FALSE,SUMPRODUCT(--ISNUMBER(SEARCH(","&amp;TRIM(TEXTSPLIT(IA170,","))&amp;",",","&amp;SUBSTITUTE(input_story_type," ","")&amp;",")))=COUNTA(TEXTSPLIT(IA170,",")))),IF(IC170="",TRUE,IF(input_story_type="",TRUE,SUMPRODUCT(--ISNUMBER(SEARCH(","&amp;TRIM(TEXTSPLIT(IC170,","))&amp;",",","&amp;SUBSTITUTE(input_story_type," ","")&amp;",")))=0)),IF(IE170="",TRUE,IF(input_story_type="",FALSE,SUMPRODUCT(--ISNUMBER(SEARCH(","&amp;TRIM(TEXTSPLIT(IE170,","))&amp;",",","&amp;SUBSTITUTE(input_story_type," ","")&amp;",")))&gt;0)),IF(IG170="",TRUE,IF(input_story_type="",FALSE,SUMPRODUCT(--ISNUMBER(SEARCH(","&amp;TRIM(TEXTSPLIT(IG170,","))&amp;",",","&amp;SUBSTITUTE(input_story_type," ","")&amp;",")))=COUNTA(TEXTSPLIT(IG170,",")))))</f>
        <v/>
      </c>
      <c r="JQ170" s="19">
        <f>AND(IF(II170="",TRUE,IF(input_topics="",FALSE,SUMPRODUCT(--ISNUMBER(SEARCH(","&amp;TRIM(TEXTSPLIT(II170,","))&amp;",",","&amp;SUBSTITUTE(input_topics," ","")&amp;",")))&gt;0)),IF(IK170="",TRUE,IF(input_topics="",FALSE,SUMPRODUCT(--ISNUMBER(SEARCH(","&amp;TRIM(TEXTSPLIT(IK170,","))&amp;",",","&amp;SUBSTITUTE(input_topics," ","")&amp;",")))=COUNTA(TEXTSPLIT(IK170,",")))),IF(IM170="",TRUE,IF(input_topics="",TRUE,SUMPRODUCT(--ISNUMBER(SEARCH(","&amp;TRIM(TEXTSPLIT(IM170,","))&amp;",",","&amp;SUBSTITUTE(input_topics," ","")&amp;",")))=0)),IF(IO170="",TRUE,IF(input_topics="",FALSE,SUMPRODUCT(--ISNUMBER(SEARCH(","&amp;TRIM(TEXTSPLIT(IO170,","))&amp;",",","&amp;SUBSTITUTE(input_topics," ","")&amp;",")))&gt;0)),IF(IQ170="",TRUE,IF(input_topics="",FALSE,SUMPRODUCT(--ISNUMBER(SEARCH(","&amp;TRIM(TEXTSPLIT(IQ170,","))&amp;",",","&amp;SUBSTITUTE(input_topics," ","")&amp;",")))=COUNTA(TEXTSPLIT(IQ170,",")))))</f>
        <v/>
      </c>
    </row>
    <row r="171">
      <c r="A171" s="24">
        <f>IF(NOT(IS171),"Excluded",IF(AND(IT171,IU171,IV171,IW171,IX171,IY171,IZ171,JA171,JB171,JC171,JD171,JE171,JF171,JG171,JH171,JI171,JJ171,JK171,JL171,JM171,JN171,JO171,JP171,JQ171),IF(I171&gt;0,"Eligible but limited","Will appear"),"Excluded"))</f>
        <v/>
      </c>
      <c r="B171" s="24" t="inlineStr">
        <is>
          <t>Related stories</t>
        </is>
      </c>
      <c r="C171" s="27" t="inlineStr">
        <is>
          <t>/centers/the-broad-center/masters-degree-in-public-education-management</t>
        </is>
      </c>
      <c r="D171" s="24" t="inlineStr">
        <is>
          <t>/centers/the-broad-center/masters-degree-in-public-education-management</t>
        </is>
      </c>
      <c r="E171" s="24" t="n">
        <v>1</v>
      </c>
      <c r="F171" s="24" t="inlineStr">
        <is>
          <t>story</t>
        </is>
      </c>
      <c r="G171" s="24" t="inlineStr">
        <is>
          <t>stories_teaser_cards</t>
        </is>
      </c>
      <c r="H171" s="24" t="inlineStr">
        <is>
          <t>embed_news</t>
        </is>
      </c>
      <c r="I171" s="24" t="n">
        <v>3</v>
      </c>
      <c r="J171" s="29" t="inlineStr">
        <is>
          <t>Section inferred</t>
        </is>
      </c>
      <c r="K171" s="24" t="inlineStr">
        <is>
          <t>Page placement</t>
        </is>
      </c>
      <c r="L171" s="24" t="inlineStr">
        <is>
          <t>Content type: story; Context uses Courses Context: The Broad Center (926); Needs any Story Type: News (924); Limited to 3 item(s); Source: Section inferred</t>
        </is>
      </c>
      <c r="BQ171" s="19" t="inlineStr">
        <is>
          <t>926</t>
        </is>
      </c>
      <c r="BR171" s="19" t="inlineStr">
        <is>
          <t>The Broad Center (926)</t>
        </is>
      </c>
      <c r="HY171" s="19" t="inlineStr">
        <is>
          <t>924</t>
        </is>
      </c>
      <c r="HZ171" s="19" t="inlineStr">
        <is>
          <t>News (924)</t>
        </is>
      </c>
      <c r="IS171" s="19">
        <f>IF(input_content_type="",FALSE,ISNUMBER(SEARCH(","&amp;LOWER(input_content_type)&amp;",",","&amp;LOWER(SUBSTITUTE(F171," ",""))&amp;",")))</f>
        <v/>
      </c>
      <c r="IT171" s="19">
        <f>AND(IF(M171="",TRUE,IF(input_affiliations="",FALSE,SUMPRODUCT(--ISNUMBER(SEARCH(","&amp;TRIM(TEXTSPLIT(M171,","))&amp;",",","&amp;SUBSTITUTE(input_affiliations," ","")&amp;",")))&gt;0)),IF(O171="",TRUE,IF(input_affiliations="",FALSE,SUMPRODUCT(--ISNUMBER(SEARCH(","&amp;TRIM(TEXTSPLIT(O171,","))&amp;",",","&amp;SUBSTITUTE(input_affiliations," ","")&amp;",")))=COUNTA(TEXTSPLIT(O171,",")))),IF(Q171="",TRUE,IF(input_affiliations="",TRUE,SUMPRODUCT(--ISNUMBER(SEARCH(","&amp;TRIM(TEXTSPLIT(Q171,","))&amp;",",","&amp;SUBSTITUTE(input_affiliations," ","")&amp;",")))=0)),IF(S171="",TRUE,IF(input_affiliations="",FALSE,SUMPRODUCT(--ISNUMBER(SEARCH(","&amp;TRIM(TEXTSPLIT(S171,","))&amp;",",","&amp;SUBSTITUTE(input_affiliations," ","")&amp;",")))&gt;0)),IF(U171="",TRUE,IF(input_affiliations="",FALSE,SUMPRODUCT(--ISNUMBER(SEARCH(","&amp;TRIM(TEXTSPLIT(U171,","))&amp;",",","&amp;SUBSTITUTE(input_affiliations," ","")&amp;",")))=COUNTA(TEXTSPLIT(U171,",")))))</f>
        <v/>
      </c>
      <c r="IU171" s="19">
        <f>AND(IF(W171="",TRUE,IF(input_announcement_category="",FALSE,SUMPRODUCT(--ISNUMBER(SEARCH(","&amp;TRIM(TEXTSPLIT(W171,","))&amp;",",","&amp;SUBSTITUTE(input_announcement_category," ","")&amp;",")))&gt;0)),IF(Y171="",TRUE,IF(input_announcement_category="",FALSE,SUMPRODUCT(--ISNUMBER(SEARCH(","&amp;TRIM(TEXTSPLIT(Y171,","))&amp;",",","&amp;SUBSTITUTE(input_announcement_category," ","")&amp;",")))=COUNTA(TEXTSPLIT(Y171,",")))),IF(AA171="",TRUE,IF(input_announcement_category="",TRUE,SUMPRODUCT(--ISNUMBER(SEARCH(","&amp;TRIM(TEXTSPLIT(AA171,","))&amp;",",","&amp;SUBSTITUTE(input_announcement_category," ","")&amp;",")))=0)),IF(AC171="",TRUE,IF(input_announcement_category="",FALSE,SUMPRODUCT(--ISNUMBER(SEARCH(","&amp;TRIM(TEXTSPLIT(AC171,","))&amp;",",","&amp;SUBSTITUTE(input_announcement_category," ","")&amp;",")))&gt;0)),IF(AE171="",TRUE,IF(input_announcement_category="",FALSE,SUMPRODUCT(--ISNUMBER(SEARCH(","&amp;TRIM(TEXTSPLIT(AE171,","))&amp;",",","&amp;SUBSTITUTE(input_announcement_category," ","")&amp;",")))=COUNTA(TEXTSPLIT(AE171,",")))))</f>
        <v/>
      </c>
      <c r="IV171" s="19">
        <f>AND(IF(AG171="",TRUE,IF(input_area_of_focus="",FALSE,SUMPRODUCT(--ISNUMBER(SEARCH(","&amp;TRIM(TEXTSPLIT(AG171,","))&amp;",",","&amp;SUBSTITUTE(input_area_of_focus," ","")&amp;",")))&gt;0)),IF(AI171="",TRUE,IF(input_area_of_focus="",FALSE,SUMPRODUCT(--ISNUMBER(SEARCH(","&amp;TRIM(TEXTSPLIT(AI171,","))&amp;",",","&amp;SUBSTITUTE(input_area_of_focus," ","")&amp;",")))=COUNTA(TEXTSPLIT(AI171,",")))),IF(AK171="",TRUE,IF(input_area_of_focus="",TRUE,SUMPRODUCT(--ISNUMBER(SEARCH(","&amp;TRIM(TEXTSPLIT(AK171,","))&amp;",",","&amp;SUBSTITUTE(input_area_of_focus," ","")&amp;",")))=0)),IF(AM171="",TRUE,IF(input_area_of_focus="",FALSE,SUMPRODUCT(--ISNUMBER(SEARCH(","&amp;TRIM(TEXTSPLIT(AM171,","))&amp;",",","&amp;SUBSTITUTE(input_area_of_focus," ","")&amp;",")))&gt;0)),IF(AO171="",TRUE,IF(input_area_of_focus="",FALSE,SUMPRODUCT(--ISNUMBER(SEARCH(","&amp;TRIM(TEXTSPLIT(AO171,","))&amp;",",","&amp;SUBSTITUTE(input_area_of_focus," ","")&amp;",")))=COUNTA(TEXTSPLIT(AO171,",")))))</f>
        <v/>
      </c>
      <c r="IW171" s="19">
        <f>AND(IF(AQ171="",TRUE,IF(input_audience="",FALSE,SUMPRODUCT(--ISNUMBER(SEARCH(","&amp;TRIM(TEXTSPLIT(AQ171,","))&amp;",",","&amp;SUBSTITUTE(input_audience," ","")&amp;",")))&gt;0)),IF(AS171="",TRUE,IF(input_audience="",FALSE,SUMPRODUCT(--ISNUMBER(SEARCH(","&amp;TRIM(TEXTSPLIT(AS171,","))&amp;",",","&amp;SUBSTITUTE(input_audience," ","")&amp;",")))=COUNTA(TEXTSPLIT(AS171,",")))),IF(AU171="",TRUE,IF(input_audience="",TRUE,SUMPRODUCT(--ISNUMBER(SEARCH(","&amp;TRIM(TEXTSPLIT(AU171,","))&amp;",",","&amp;SUBSTITUTE(input_audience," ","")&amp;",")))=0)),IF(AW171="",TRUE,IF(input_audience="",FALSE,SUMPRODUCT(--ISNUMBER(SEARCH(","&amp;TRIM(TEXTSPLIT(AW171,","))&amp;",",","&amp;SUBSTITUTE(input_audience," ","")&amp;",")))&gt;0)),IF(AY171="",TRUE,IF(input_audience="",FALSE,SUMPRODUCT(--ISNUMBER(SEARCH(","&amp;TRIM(TEXTSPLIT(AY171,","))&amp;",",","&amp;SUBSTITUTE(input_audience," ","")&amp;",")))=COUNTA(TEXTSPLIT(AY171,",")))))</f>
        <v/>
      </c>
      <c r="IX171" s="19">
        <f>AND(IF(BA171="",TRUE,IF(input_challenge_opportunities="",FALSE,SUMPRODUCT(--ISNUMBER(SEARCH(","&amp;TRIM(TEXTSPLIT(BA171,","))&amp;",",","&amp;SUBSTITUTE(input_challenge_opportunities," ","")&amp;",")))&gt;0)),IF(BC171="",TRUE,IF(input_challenge_opportunities="",FALSE,SUMPRODUCT(--ISNUMBER(SEARCH(","&amp;TRIM(TEXTSPLIT(BC171,","))&amp;",",","&amp;SUBSTITUTE(input_challenge_opportunities," ","")&amp;",")))=COUNTA(TEXTSPLIT(BC171,",")))),IF(BE171="",TRUE,IF(input_challenge_opportunities="",TRUE,SUMPRODUCT(--ISNUMBER(SEARCH(","&amp;TRIM(TEXTSPLIT(BE171,","))&amp;",",","&amp;SUBSTITUTE(input_challenge_opportunities," ","")&amp;",")))=0)),IF(BG171="",TRUE,IF(input_challenge_opportunities="",FALSE,SUMPRODUCT(--ISNUMBER(SEARCH(","&amp;TRIM(TEXTSPLIT(BG171,","))&amp;",",","&amp;SUBSTITUTE(input_challenge_opportunities," ","")&amp;",")))&gt;0)),IF(BI171="",TRUE,IF(input_challenge_opportunities="",FALSE,SUMPRODUCT(--ISNUMBER(SEARCH(","&amp;TRIM(TEXTSPLIT(BI171,","))&amp;",",","&amp;SUBSTITUTE(input_challenge_opportunities," ","")&amp;",")))=COUNTA(TEXTSPLIT(BI171,",")))))</f>
        <v/>
      </c>
      <c r="IY171" s="19">
        <f>AND(IF(BK171="",TRUE,IF(input_context="",FALSE,SUMPRODUCT(--ISNUMBER(SEARCH(","&amp;TRIM(TEXTSPLIT(BK171,","))&amp;",",","&amp;SUBSTITUTE(input_context," ","")&amp;",")))&gt;0)),IF(BM171="",TRUE,IF(input_context="",FALSE,SUMPRODUCT(--ISNUMBER(SEARCH(","&amp;TRIM(TEXTSPLIT(BM171,","))&amp;",",","&amp;SUBSTITUTE(input_context," ","")&amp;",")))=COUNTA(TEXTSPLIT(BM171,",")))),IF(BO171="",TRUE,IF(input_context="",TRUE,SUMPRODUCT(--ISNUMBER(SEARCH(","&amp;TRIM(TEXTSPLIT(BO171,","))&amp;",",","&amp;SUBSTITUTE(input_context," ","")&amp;",")))=0)),IF(BQ171="",TRUE,IF(input_context="",FALSE,SUMPRODUCT(--ISNUMBER(SEARCH(","&amp;TRIM(TEXTSPLIT(BQ171,","))&amp;",",","&amp;SUBSTITUTE(input_context," ","")&amp;",")))&gt;0)),IF(BS171="",TRUE,IF(input_context="",FALSE,SUMPRODUCT(--ISNUMBER(SEARCH(","&amp;TRIM(TEXTSPLIT(BS171,","))&amp;",",","&amp;SUBSTITUTE(input_context," ","")&amp;",")))=COUNTA(TEXTSPLIT(BS171,",")))))</f>
        <v/>
      </c>
      <c r="IZ171" s="19">
        <f>AND(IF(BU171="",TRUE,IF(input_enews_announcement_type="",FALSE,SUMPRODUCT(--ISNUMBER(SEARCH(","&amp;TRIM(TEXTSPLIT(BU171,","))&amp;",",","&amp;SUBSTITUTE(input_enews_announcement_type," ","")&amp;",")))&gt;0)),IF(BW171="",TRUE,IF(input_enews_announcement_type="",FALSE,SUMPRODUCT(--ISNUMBER(SEARCH(","&amp;TRIM(TEXTSPLIT(BW171,","))&amp;",",","&amp;SUBSTITUTE(input_enews_announcement_type," ","")&amp;",")))=COUNTA(TEXTSPLIT(BW171,",")))),IF(BY171="",TRUE,IF(input_enews_announcement_type="",TRUE,SUMPRODUCT(--ISNUMBER(SEARCH(","&amp;TRIM(TEXTSPLIT(BY171,","))&amp;",",","&amp;SUBSTITUTE(input_enews_announcement_type," ","")&amp;",")))=0)),IF(CA171="",TRUE,IF(input_enews_announcement_type="",FALSE,SUMPRODUCT(--ISNUMBER(SEARCH(","&amp;TRIM(TEXTSPLIT(CA171,","))&amp;",",","&amp;SUBSTITUTE(input_enews_announcement_type," ","")&amp;",")))&gt;0)),IF(CC171="",TRUE,IF(input_enews_announcement_type="",FALSE,SUMPRODUCT(--ISNUMBER(SEARCH(","&amp;TRIM(TEXTSPLIT(CC171,","))&amp;",",","&amp;SUBSTITUTE(input_enews_announcement_type," ","")&amp;",")))=COUNTA(TEXTSPLIT(CC171,",")))))</f>
        <v/>
      </c>
      <c r="JA171" s="19">
        <f>AND(IF(CE171="",TRUE,IF(input_enews_audience="",FALSE,SUMPRODUCT(--ISNUMBER(SEARCH(","&amp;TRIM(TEXTSPLIT(CE171,","))&amp;",",","&amp;SUBSTITUTE(input_enews_audience," ","")&amp;",")))&gt;0)),IF(CG171="",TRUE,IF(input_enews_audience="",FALSE,SUMPRODUCT(--ISNUMBER(SEARCH(","&amp;TRIM(TEXTSPLIT(CG171,","))&amp;",",","&amp;SUBSTITUTE(input_enews_audience," ","")&amp;",")))=COUNTA(TEXTSPLIT(CG171,",")))),IF(CI171="",TRUE,IF(input_enews_audience="",TRUE,SUMPRODUCT(--ISNUMBER(SEARCH(","&amp;TRIM(TEXTSPLIT(CI171,","))&amp;",",","&amp;SUBSTITUTE(input_enews_audience," ","")&amp;",")))=0)),IF(CK171="",TRUE,IF(input_enews_audience="",FALSE,SUMPRODUCT(--ISNUMBER(SEARCH(","&amp;TRIM(TEXTSPLIT(CK171,","))&amp;",",","&amp;SUBSTITUTE(input_enews_audience," ","")&amp;",")))&gt;0)),IF(CM171="",TRUE,IF(input_enews_audience="",FALSE,SUMPRODUCT(--ISNUMBER(SEARCH(","&amp;TRIM(TEXTSPLIT(CM171,","))&amp;",",","&amp;SUBSTITUTE(input_enews_audience," ","")&amp;",")))=COUNTA(TEXTSPLIT(CM171,",")))))</f>
        <v/>
      </c>
      <c r="JB171" s="19">
        <f>AND(IF(CO171="",TRUE,IF(input_event_location="",FALSE,SUMPRODUCT(--ISNUMBER(SEARCH(","&amp;TRIM(TEXTSPLIT(CO171,","))&amp;",",","&amp;SUBSTITUTE(input_event_location," ","")&amp;",")))&gt;0)),IF(CQ171="",TRUE,IF(input_event_location="",FALSE,SUMPRODUCT(--ISNUMBER(SEARCH(","&amp;TRIM(TEXTSPLIT(CQ171,","))&amp;",",","&amp;SUBSTITUTE(input_event_location," ","")&amp;",")))=COUNTA(TEXTSPLIT(CQ171,",")))),IF(CS171="",TRUE,IF(input_event_location="",TRUE,SUMPRODUCT(--ISNUMBER(SEARCH(","&amp;TRIM(TEXTSPLIT(CS171,","))&amp;",",","&amp;SUBSTITUTE(input_event_location," ","")&amp;",")))=0)),IF(CU171="",TRUE,IF(input_event_location="",FALSE,SUMPRODUCT(--ISNUMBER(SEARCH(","&amp;TRIM(TEXTSPLIT(CU171,","))&amp;",",","&amp;SUBSTITUTE(input_event_location," ","")&amp;",")))&gt;0)),IF(CW171="",TRUE,IF(input_event_location="",FALSE,SUMPRODUCT(--ISNUMBER(SEARCH(","&amp;TRIM(TEXTSPLIT(CW171,","))&amp;",",","&amp;SUBSTITUTE(input_event_location," ","")&amp;",")))=COUNTA(TEXTSPLIT(CW171,",")))))</f>
        <v/>
      </c>
      <c r="JC171" s="19">
        <f>AND(IF(CY171="",TRUE,IF(input_event_type="",FALSE,SUMPRODUCT(--ISNUMBER(SEARCH(","&amp;TRIM(TEXTSPLIT(CY171,","))&amp;",",","&amp;SUBSTITUTE(input_event_type," ","")&amp;",")))&gt;0)),IF(DA171="",TRUE,IF(input_event_type="",FALSE,SUMPRODUCT(--ISNUMBER(SEARCH(","&amp;TRIM(TEXTSPLIT(DA171,","))&amp;",",","&amp;SUBSTITUTE(input_event_type," ","")&amp;",")))=COUNTA(TEXTSPLIT(DA171,",")))),IF(DC171="",TRUE,IF(input_event_type="",TRUE,SUMPRODUCT(--ISNUMBER(SEARCH(","&amp;TRIM(TEXTSPLIT(DC171,","))&amp;",",","&amp;SUBSTITUTE(input_event_type," ","")&amp;",")))=0)),IF(DE171="",TRUE,IF(input_event_type="",FALSE,SUMPRODUCT(--ISNUMBER(SEARCH(","&amp;TRIM(TEXTSPLIT(DE171,","))&amp;",",","&amp;SUBSTITUTE(input_event_type," ","")&amp;",")))&gt;0)),IF(DG171="",TRUE,IF(input_event_type="",FALSE,SUMPRODUCT(--ISNUMBER(SEARCH(","&amp;TRIM(TEXTSPLIT(DG171,","))&amp;",",","&amp;SUBSTITUTE(input_event_type," ","")&amp;",")))=COUNTA(TEXTSPLIT(DG171,",")))))</f>
        <v/>
      </c>
      <c r="JD171" s="19">
        <f>AND(IF(DI171="",TRUE,IF(input_executive_education_focus="",FALSE,SUMPRODUCT(--ISNUMBER(SEARCH(","&amp;TRIM(TEXTSPLIT(DI171,","))&amp;",",","&amp;SUBSTITUTE(input_executive_education_focus," ","")&amp;",")))&gt;0)),IF(DK171="",TRUE,IF(input_executive_education_focus="",FALSE,SUMPRODUCT(--ISNUMBER(SEARCH(","&amp;TRIM(TEXTSPLIT(DK171,","))&amp;",",","&amp;SUBSTITUTE(input_executive_education_focus," ","")&amp;",")))=COUNTA(TEXTSPLIT(DK171,",")))),IF(DM171="",TRUE,IF(input_executive_education_focus="",TRUE,SUMPRODUCT(--ISNUMBER(SEARCH(","&amp;TRIM(TEXTSPLIT(DM171,","))&amp;",",","&amp;SUBSTITUTE(input_executive_education_focus," ","")&amp;",")))=0)),IF(DO171="",TRUE,IF(input_executive_education_focus="",FALSE,SUMPRODUCT(--ISNUMBER(SEARCH(","&amp;TRIM(TEXTSPLIT(DO171,","))&amp;",",","&amp;SUBSTITUTE(input_executive_education_focus," ","")&amp;",")))&gt;0)),IF(DQ171="",TRUE,IF(input_executive_education_focus="",FALSE,SUMPRODUCT(--ISNUMBER(SEARCH(","&amp;TRIM(TEXTSPLIT(DQ171,","))&amp;",",","&amp;SUBSTITUTE(input_executive_education_focus," ","")&amp;",")))=COUNTA(TEXTSPLIT(DQ171,",")))))</f>
        <v/>
      </c>
      <c r="JE171" s="19">
        <f>AND(IF(DS171="",TRUE,IF(input_faculty_category="",FALSE,SUMPRODUCT(--ISNUMBER(SEARCH(","&amp;TRIM(TEXTSPLIT(DS171,","))&amp;",",","&amp;SUBSTITUTE(input_faculty_category," ","")&amp;",")))&gt;0)),IF(DU171="",TRUE,IF(input_faculty_category="",FALSE,SUMPRODUCT(--ISNUMBER(SEARCH(","&amp;TRIM(TEXTSPLIT(DU171,","))&amp;",",","&amp;SUBSTITUTE(input_faculty_category," ","")&amp;",")))=COUNTA(TEXTSPLIT(DU171,",")))),IF(DW171="",TRUE,IF(input_faculty_category="",TRUE,SUMPRODUCT(--ISNUMBER(SEARCH(","&amp;TRIM(TEXTSPLIT(DW171,","))&amp;",",","&amp;SUBSTITUTE(input_faculty_category," ","")&amp;",")))=0)),IF(DY171="",TRUE,IF(input_faculty_category="",FALSE,SUMPRODUCT(--ISNUMBER(SEARCH(","&amp;TRIM(TEXTSPLIT(DY171,","))&amp;",",","&amp;SUBSTITUTE(input_faculty_category," ","")&amp;",")))&gt;0)),IF(EA171="",TRUE,IF(input_faculty_category="",FALSE,SUMPRODUCT(--ISNUMBER(SEARCH(","&amp;TRIM(TEXTSPLIT(EA171,","))&amp;",",","&amp;SUBSTITUTE(input_faculty_category," ","")&amp;",")))=COUNTA(TEXTSPLIT(EA171,",")))))</f>
        <v/>
      </c>
      <c r="JF171" s="19">
        <f>AND(IF(EC171="",TRUE,IF(input_faculty_discipline="",FALSE,SUMPRODUCT(--ISNUMBER(SEARCH(","&amp;TRIM(TEXTSPLIT(EC171,","))&amp;",",","&amp;SUBSTITUTE(input_faculty_discipline," ","")&amp;",")))&gt;0)),IF(EE171="",TRUE,IF(input_faculty_discipline="",FALSE,SUMPRODUCT(--ISNUMBER(SEARCH(","&amp;TRIM(TEXTSPLIT(EE171,","))&amp;",",","&amp;SUBSTITUTE(input_faculty_discipline," ","")&amp;",")))=COUNTA(TEXTSPLIT(EE171,",")))),IF(EG171="",TRUE,IF(input_faculty_discipline="",TRUE,SUMPRODUCT(--ISNUMBER(SEARCH(","&amp;TRIM(TEXTSPLIT(EG171,","))&amp;",",","&amp;SUBSTITUTE(input_faculty_discipline," ","")&amp;",")))=0)),IF(EI171="",TRUE,IF(input_faculty_discipline="",FALSE,SUMPRODUCT(--ISNUMBER(SEARCH(","&amp;TRIM(TEXTSPLIT(EI171,","))&amp;",",","&amp;SUBSTITUTE(input_faculty_discipline," ","")&amp;",")))&gt;0)),IF(EK171="",TRUE,IF(input_faculty_discipline="",FALSE,SUMPRODUCT(--ISNUMBER(SEARCH(","&amp;TRIM(TEXTSPLIT(EK171,","))&amp;",",","&amp;SUBSTITUTE(input_faculty_discipline," ","")&amp;",")))=COUNTA(TEXTSPLIT(EK171,",")))))</f>
        <v/>
      </c>
      <c r="JG171" s="19">
        <f>AND(IF(EM171="",TRUE,IF(input_faculty_expertise="",FALSE,SUMPRODUCT(--ISNUMBER(SEARCH(","&amp;TRIM(TEXTSPLIT(EM171,","))&amp;",",","&amp;SUBSTITUTE(input_faculty_expertise," ","")&amp;",")))&gt;0)),IF(EO171="",TRUE,IF(input_faculty_expertise="",FALSE,SUMPRODUCT(--ISNUMBER(SEARCH(","&amp;TRIM(TEXTSPLIT(EO171,","))&amp;",",","&amp;SUBSTITUTE(input_faculty_expertise," ","")&amp;",")))=COUNTA(TEXTSPLIT(EO171,",")))),IF(EQ171="",TRUE,IF(input_faculty_expertise="",TRUE,SUMPRODUCT(--ISNUMBER(SEARCH(","&amp;TRIM(TEXTSPLIT(EQ171,","))&amp;",",","&amp;SUBSTITUTE(input_faculty_expertise," ","")&amp;",")))=0)),IF(ES171="",TRUE,IF(input_faculty_expertise="",FALSE,SUMPRODUCT(--ISNUMBER(SEARCH(","&amp;TRIM(TEXTSPLIT(ES171,","))&amp;",",","&amp;SUBSTITUTE(input_faculty_expertise," ","")&amp;",")))&gt;0)),IF(EU171="",TRUE,IF(input_faculty_expertise="",FALSE,SUMPRODUCT(--ISNUMBER(SEARCH(","&amp;TRIM(TEXTSPLIT(EU171,","))&amp;",",","&amp;SUBSTITUTE(input_faculty_expertise," ","")&amp;",")))=COUNTA(TEXTSPLIT(EU171,",")))))</f>
        <v/>
      </c>
      <c r="JH171" s="19">
        <f>AND(IF(EW171="",TRUE,IF(input_global_network_school="",FALSE,SUMPRODUCT(--ISNUMBER(SEARCH(","&amp;TRIM(TEXTSPLIT(EW171,","))&amp;",",","&amp;SUBSTITUTE(input_global_network_school," ","")&amp;",")))&gt;0)),IF(EY171="",TRUE,IF(input_global_network_school="",FALSE,SUMPRODUCT(--ISNUMBER(SEARCH(","&amp;TRIM(TEXTSPLIT(EY171,","))&amp;",",","&amp;SUBSTITUTE(input_global_network_school," ","")&amp;",")))=COUNTA(TEXTSPLIT(EY171,",")))),IF(FA171="",TRUE,IF(input_global_network_school="",TRUE,SUMPRODUCT(--ISNUMBER(SEARCH(","&amp;TRIM(TEXTSPLIT(FA171,","))&amp;",",","&amp;SUBSTITUTE(input_global_network_school," ","")&amp;",")))=0)),IF(FC171="",TRUE,IF(input_global_network_school="",FALSE,SUMPRODUCT(--ISNUMBER(SEARCH(","&amp;TRIM(TEXTSPLIT(FC171,","))&amp;",",","&amp;SUBSTITUTE(input_global_network_school," ","")&amp;",")))&gt;0)),IF(FE171="",TRUE,IF(input_global_network_school="",FALSE,SUMPRODUCT(--ISNUMBER(SEARCH(","&amp;TRIM(TEXTSPLIT(FE171,","))&amp;",",","&amp;SUBSTITUTE(input_global_network_school," ","")&amp;",")))=COUNTA(TEXTSPLIT(FE171,",")))))</f>
        <v/>
      </c>
      <c r="JI171" s="19">
        <f>AND(IF(FG171="",TRUE,IF(input_industry="",FALSE,SUMPRODUCT(--ISNUMBER(SEARCH(","&amp;TRIM(TEXTSPLIT(FG171,","))&amp;",",","&amp;SUBSTITUTE(input_industry," ","")&amp;",")))&gt;0)),IF(FI171="",TRUE,IF(input_industry="",FALSE,SUMPRODUCT(--ISNUMBER(SEARCH(","&amp;TRIM(TEXTSPLIT(FI171,","))&amp;",",","&amp;SUBSTITUTE(input_industry," ","")&amp;",")))=COUNTA(TEXTSPLIT(FI171,",")))),IF(FK171="",TRUE,IF(input_industry="",TRUE,SUMPRODUCT(--ISNUMBER(SEARCH(","&amp;TRIM(TEXTSPLIT(FK171,","))&amp;",",","&amp;SUBSTITUTE(input_industry," ","")&amp;",")))=0)),IF(FM171="",TRUE,IF(input_industry="",FALSE,SUMPRODUCT(--ISNUMBER(SEARCH(","&amp;TRIM(TEXTSPLIT(FM171,","))&amp;",",","&amp;SUBSTITUTE(input_industry," ","")&amp;",")))&gt;0)),IF(FO171="",TRUE,IF(input_industry="",FALSE,SUMPRODUCT(--ISNUMBER(SEARCH(","&amp;TRIM(TEXTSPLIT(FO171,","))&amp;",",","&amp;SUBSTITUTE(input_industry," ","")&amp;",")))=COUNTA(TEXTSPLIT(FO171,",")))))</f>
        <v/>
      </c>
      <c r="JJ171" s="19">
        <f>AND(IF(FQ171="",TRUE,IF(input_location="",FALSE,SUMPRODUCT(--ISNUMBER(SEARCH(","&amp;TRIM(TEXTSPLIT(FQ171,","))&amp;",",","&amp;SUBSTITUTE(input_location," ","")&amp;",")))&gt;0)),IF(FS171="",TRUE,IF(input_location="",FALSE,SUMPRODUCT(--ISNUMBER(SEARCH(","&amp;TRIM(TEXTSPLIT(FS171,","))&amp;",",","&amp;SUBSTITUTE(input_location," ","")&amp;",")))=COUNTA(TEXTSPLIT(FS171,",")))),IF(FU171="",TRUE,IF(input_location="",TRUE,SUMPRODUCT(--ISNUMBER(SEARCH(","&amp;TRIM(TEXTSPLIT(FU171,","))&amp;",",","&amp;SUBSTITUTE(input_location," ","")&amp;",")))=0)),IF(FW171="",TRUE,IF(input_location="",FALSE,SUMPRODUCT(--ISNUMBER(SEARCH(","&amp;TRIM(TEXTSPLIT(FW171,","))&amp;",",","&amp;SUBSTITUTE(input_location," ","")&amp;",")))&gt;0)),IF(FY171="",TRUE,IF(input_location="",FALSE,SUMPRODUCT(--ISNUMBER(SEARCH(","&amp;TRIM(TEXTSPLIT(FY171,","))&amp;",",","&amp;SUBSTITUTE(input_location," ","")&amp;",")))=COUNTA(TEXTSPLIT(FY171,",")))))</f>
        <v/>
      </c>
      <c r="JK171" s="19">
        <f>AND(IF(GA171="",TRUE,IF(input_modality="",FALSE,SUMPRODUCT(--ISNUMBER(SEARCH(","&amp;TRIM(TEXTSPLIT(GA171,","))&amp;",",","&amp;SUBSTITUTE(input_modality," ","")&amp;",")))&gt;0)),IF(GC171="",TRUE,IF(input_modality="",FALSE,SUMPRODUCT(--ISNUMBER(SEARCH(","&amp;TRIM(TEXTSPLIT(GC171,","))&amp;",",","&amp;SUBSTITUTE(input_modality," ","")&amp;",")))=COUNTA(TEXTSPLIT(GC171,",")))),IF(GE171="",TRUE,IF(input_modality="",TRUE,SUMPRODUCT(--ISNUMBER(SEARCH(","&amp;TRIM(TEXTSPLIT(GE171,","))&amp;",",","&amp;SUBSTITUTE(input_modality," ","")&amp;",")))=0)),IF(GG171="",TRUE,IF(input_modality="",FALSE,SUMPRODUCT(--ISNUMBER(SEARCH(","&amp;TRIM(TEXTSPLIT(GG171,","))&amp;",",","&amp;SUBSTITUTE(input_modality," ","")&amp;",")))&gt;0)),IF(GI171="",TRUE,IF(input_modality="",FALSE,SUMPRODUCT(--ISNUMBER(SEARCH(","&amp;TRIM(TEXTSPLIT(GI171,","))&amp;",",","&amp;SUBSTITUTE(input_modality," ","")&amp;",")))=COUNTA(TEXTSPLIT(GI171,",")))))</f>
        <v/>
      </c>
      <c r="JL171" s="19">
        <f>AND(IF(GK171="",TRUE,IF(input_organizer="",FALSE,SUMPRODUCT(--ISNUMBER(SEARCH(","&amp;TRIM(TEXTSPLIT(GK171,","))&amp;",",","&amp;SUBSTITUTE(input_organizer," ","")&amp;",")))&gt;0)),IF(GM171="",TRUE,IF(input_organizer="",FALSE,SUMPRODUCT(--ISNUMBER(SEARCH(","&amp;TRIM(TEXTSPLIT(GM171,","))&amp;",",","&amp;SUBSTITUTE(input_organizer," ","")&amp;",")))=COUNTA(TEXTSPLIT(GM171,",")))),IF(GO171="",TRUE,IF(input_organizer="",TRUE,SUMPRODUCT(--ISNUMBER(SEARCH(","&amp;TRIM(TEXTSPLIT(GO171,","))&amp;",",","&amp;SUBSTITUTE(input_organizer," ","")&amp;",")))=0)),IF(GQ171="",TRUE,IF(input_organizer="",FALSE,SUMPRODUCT(--ISNUMBER(SEARCH(","&amp;TRIM(TEXTSPLIT(GQ171,","))&amp;",",","&amp;SUBSTITUTE(input_organizer," ","")&amp;",")))&gt;0)),IF(GS171="",TRUE,IF(input_organizer="",FALSE,SUMPRODUCT(--ISNUMBER(SEARCH(","&amp;TRIM(TEXTSPLIT(GS171,","))&amp;",",","&amp;SUBSTITUTE(input_organizer," ","")&amp;",")))=COUNTA(TEXTSPLIT(GS171,",")))))</f>
        <v/>
      </c>
      <c r="JM171" s="19">
        <f>AND(IF(GU171="",TRUE,IF(input_profile_type="",FALSE,SUMPRODUCT(--ISNUMBER(SEARCH(","&amp;TRIM(TEXTSPLIT(GU171,","))&amp;",",","&amp;SUBSTITUTE(input_profile_type," ","")&amp;",")))&gt;0)),IF(GW171="",TRUE,IF(input_profile_type="",FALSE,SUMPRODUCT(--ISNUMBER(SEARCH(","&amp;TRIM(TEXTSPLIT(GW171,","))&amp;",",","&amp;SUBSTITUTE(input_profile_type," ","")&amp;",")))=COUNTA(TEXTSPLIT(GW171,",")))),IF(GY171="",TRUE,IF(input_profile_type="",TRUE,SUMPRODUCT(--ISNUMBER(SEARCH(","&amp;TRIM(TEXTSPLIT(GY171,","))&amp;",",","&amp;SUBSTITUTE(input_profile_type," ","")&amp;",")))=0)),IF(HA171="",TRUE,IF(input_profile_type="",FALSE,SUMPRODUCT(--ISNUMBER(SEARCH(","&amp;TRIM(TEXTSPLIT(HA171,","))&amp;",",","&amp;SUBSTITUTE(input_profile_type," ","")&amp;",")))&gt;0)),IF(HC171="",TRUE,IF(input_profile_type="",FALSE,SUMPRODUCT(--ISNUMBER(SEARCH(","&amp;TRIM(TEXTSPLIT(HC171,","))&amp;",",","&amp;SUBSTITUTE(input_profile_type," ","")&amp;",")))=COUNTA(TEXTSPLIT(HC171,",")))))</f>
        <v/>
      </c>
      <c r="JN171" s="19">
        <f>AND(IF(HE171="",TRUE,IF(input_program="",FALSE,SUMPRODUCT(--ISNUMBER(SEARCH(","&amp;TRIM(TEXTSPLIT(HE171,","))&amp;",",","&amp;SUBSTITUTE(input_program," ","")&amp;",")))&gt;0)),IF(HG171="",TRUE,IF(input_program="",FALSE,SUMPRODUCT(--ISNUMBER(SEARCH(","&amp;TRIM(TEXTSPLIT(HG171,","))&amp;",",","&amp;SUBSTITUTE(input_program," ","")&amp;",")))=COUNTA(TEXTSPLIT(HG171,",")))),IF(HI171="",TRUE,IF(input_program="",TRUE,SUMPRODUCT(--ISNUMBER(SEARCH(","&amp;TRIM(TEXTSPLIT(HI171,","))&amp;",",","&amp;SUBSTITUTE(input_program," ","")&amp;",")))=0)),IF(HK171="",TRUE,IF(input_program="",FALSE,SUMPRODUCT(--ISNUMBER(SEARCH(","&amp;TRIM(TEXTSPLIT(HK171,","))&amp;",",","&amp;SUBSTITUTE(input_program," ","")&amp;",")))&gt;0)),IF(HM171="",TRUE,IF(input_program="",FALSE,SUMPRODUCT(--ISNUMBER(SEARCH(","&amp;TRIM(TEXTSPLIT(HM171,","))&amp;",",","&amp;SUBSTITUTE(input_program," ","")&amp;",")))=COUNTA(TEXTSPLIT(HM171,",")))))</f>
        <v/>
      </c>
      <c r="JO171" s="19">
        <f>AND(IF(HO171="",TRUE,IF(input_story_categories="",FALSE,SUMPRODUCT(--ISNUMBER(SEARCH(","&amp;TRIM(TEXTSPLIT(HO171,","))&amp;",",","&amp;SUBSTITUTE(input_story_categories," ","")&amp;",")))&gt;0)),IF(HQ171="",TRUE,IF(input_story_categories="",FALSE,SUMPRODUCT(--ISNUMBER(SEARCH(","&amp;TRIM(TEXTSPLIT(HQ171,","))&amp;",",","&amp;SUBSTITUTE(input_story_categories," ","")&amp;",")))=COUNTA(TEXTSPLIT(HQ171,",")))),IF(HS171="",TRUE,IF(input_story_categories="",TRUE,SUMPRODUCT(--ISNUMBER(SEARCH(","&amp;TRIM(TEXTSPLIT(HS171,","))&amp;",",","&amp;SUBSTITUTE(input_story_categories," ","")&amp;",")))=0)),IF(HU171="",TRUE,IF(input_story_categories="",FALSE,SUMPRODUCT(--ISNUMBER(SEARCH(","&amp;TRIM(TEXTSPLIT(HU171,","))&amp;",",","&amp;SUBSTITUTE(input_story_categories," ","")&amp;",")))&gt;0)),IF(HW171="",TRUE,IF(input_story_categories="",FALSE,SUMPRODUCT(--ISNUMBER(SEARCH(","&amp;TRIM(TEXTSPLIT(HW171,","))&amp;",",","&amp;SUBSTITUTE(input_story_categories," ","")&amp;",")))=COUNTA(TEXTSPLIT(HW171,",")))))</f>
        <v/>
      </c>
      <c r="JP171" s="19">
        <f>AND(IF(HY171="",TRUE,IF(input_story_type="",FALSE,SUMPRODUCT(--ISNUMBER(SEARCH(","&amp;TRIM(TEXTSPLIT(HY171,","))&amp;",",","&amp;SUBSTITUTE(input_story_type," ","")&amp;",")))&gt;0)),IF(IA171="",TRUE,IF(input_story_type="",FALSE,SUMPRODUCT(--ISNUMBER(SEARCH(","&amp;TRIM(TEXTSPLIT(IA171,","))&amp;",",","&amp;SUBSTITUTE(input_story_type," ","")&amp;",")))=COUNTA(TEXTSPLIT(IA171,",")))),IF(IC171="",TRUE,IF(input_story_type="",TRUE,SUMPRODUCT(--ISNUMBER(SEARCH(","&amp;TRIM(TEXTSPLIT(IC171,","))&amp;",",","&amp;SUBSTITUTE(input_story_type," ","")&amp;",")))=0)),IF(IE171="",TRUE,IF(input_story_type="",FALSE,SUMPRODUCT(--ISNUMBER(SEARCH(","&amp;TRIM(TEXTSPLIT(IE171,","))&amp;",",","&amp;SUBSTITUTE(input_story_type," ","")&amp;",")))&gt;0)),IF(IG171="",TRUE,IF(input_story_type="",FALSE,SUMPRODUCT(--ISNUMBER(SEARCH(","&amp;TRIM(TEXTSPLIT(IG171,","))&amp;",",","&amp;SUBSTITUTE(input_story_type," ","")&amp;",")))=COUNTA(TEXTSPLIT(IG171,",")))))</f>
        <v/>
      </c>
      <c r="JQ171" s="19">
        <f>AND(IF(II171="",TRUE,IF(input_topics="",FALSE,SUMPRODUCT(--ISNUMBER(SEARCH(","&amp;TRIM(TEXTSPLIT(II171,","))&amp;",",","&amp;SUBSTITUTE(input_topics," ","")&amp;",")))&gt;0)),IF(IK171="",TRUE,IF(input_topics="",FALSE,SUMPRODUCT(--ISNUMBER(SEARCH(","&amp;TRIM(TEXTSPLIT(IK171,","))&amp;",",","&amp;SUBSTITUTE(input_topics," ","")&amp;",")))=COUNTA(TEXTSPLIT(IK171,",")))),IF(IM171="",TRUE,IF(input_topics="",TRUE,SUMPRODUCT(--ISNUMBER(SEARCH(","&amp;TRIM(TEXTSPLIT(IM171,","))&amp;",",","&amp;SUBSTITUTE(input_topics," ","")&amp;",")))=0)),IF(IO171="",TRUE,IF(input_topics="",FALSE,SUMPRODUCT(--ISNUMBER(SEARCH(","&amp;TRIM(TEXTSPLIT(IO171,","))&amp;",",","&amp;SUBSTITUTE(input_topics," ","")&amp;",")))&gt;0)),IF(IQ171="",TRUE,IF(input_topics="",FALSE,SUMPRODUCT(--ISNUMBER(SEARCH(","&amp;TRIM(TEXTSPLIT(IQ171,","))&amp;",",","&amp;SUBSTITUTE(input_topics," ","")&amp;",")))=COUNTA(TEXTSPLIT(IQ171,",")))))</f>
        <v/>
      </c>
    </row>
    <row r="172">
      <c r="A172" s="24">
        <f>IF(NOT(IS172),"Excluded",IF(AND(IT172,IU172,IV172,IW172,IX172,IY172,IZ172,JA172,JB172,JC172,JD172,JE172,JF172,JG172,JH172,JI172,JJ172,JK172,JL172,JM172,JN172,JO172,JP172,JQ172),IF(I172&gt;0,"Eligible but limited","Will appear"),"Excluded"))</f>
        <v/>
      </c>
      <c r="B172" s="24" t="inlineStr">
        <is>
          <t>Related stories</t>
        </is>
      </c>
      <c r="C172" s="27" t="inlineStr">
        <is>
          <t>/programs/emba</t>
        </is>
      </c>
      <c r="D172" s="24" t="inlineStr">
        <is>
          <t>/programs/emba</t>
        </is>
      </c>
      <c r="E172" s="24" t="n">
        <v>1</v>
      </c>
      <c r="F172" s="24" t="inlineStr">
        <is>
          <t>story</t>
        </is>
      </c>
      <c r="G172" s="24" t="inlineStr">
        <is>
          <t>stories_teaser_cards</t>
        </is>
      </c>
      <c r="H172" s="24" t="inlineStr">
        <is>
          <t>embed_blog</t>
        </is>
      </c>
      <c r="I172" s="24" t="n">
        <v>3</v>
      </c>
      <c r="J172" s="29" t="inlineStr">
        <is>
          <t>Section inferred</t>
        </is>
      </c>
      <c r="K172" s="24" t="inlineStr">
        <is>
          <t>Page placement</t>
        </is>
      </c>
      <c r="L172" s="24" t="inlineStr">
        <is>
          <t>Content type: story; Context uses Courses Context: MBA For Executives (928); Needs any Story Type: Blog (974); Limited to 3 item(s); Source: Section inferred</t>
        </is>
      </c>
      <c r="BQ172" s="19" t="inlineStr">
        <is>
          <t>928</t>
        </is>
      </c>
      <c r="BR172" s="19" t="inlineStr">
        <is>
          <t>MBA For Executives (928)</t>
        </is>
      </c>
      <c r="HY172" s="19" t="inlineStr">
        <is>
          <t>974</t>
        </is>
      </c>
      <c r="HZ172" s="19" t="inlineStr">
        <is>
          <t>Blog (974)</t>
        </is>
      </c>
      <c r="IS172" s="19">
        <f>IF(input_content_type="",FALSE,ISNUMBER(SEARCH(","&amp;LOWER(input_content_type)&amp;",",","&amp;LOWER(SUBSTITUTE(F172," ",""))&amp;",")))</f>
        <v/>
      </c>
      <c r="IT172" s="19">
        <f>AND(IF(M172="",TRUE,IF(input_affiliations="",FALSE,SUMPRODUCT(--ISNUMBER(SEARCH(","&amp;TRIM(TEXTSPLIT(M172,","))&amp;",",","&amp;SUBSTITUTE(input_affiliations," ","")&amp;",")))&gt;0)),IF(O172="",TRUE,IF(input_affiliations="",FALSE,SUMPRODUCT(--ISNUMBER(SEARCH(","&amp;TRIM(TEXTSPLIT(O172,","))&amp;",",","&amp;SUBSTITUTE(input_affiliations," ","")&amp;",")))=COUNTA(TEXTSPLIT(O172,",")))),IF(Q172="",TRUE,IF(input_affiliations="",TRUE,SUMPRODUCT(--ISNUMBER(SEARCH(","&amp;TRIM(TEXTSPLIT(Q172,","))&amp;",",","&amp;SUBSTITUTE(input_affiliations," ","")&amp;",")))=0)),IF(S172="",TRUE,IF(input_affiliations="",FALSE,SUMPRODUCT(--ISNUMBER(SEARCH(","&amp;TRIM(TEXTSPLIT(S172,","))&amp;",",","&amp;SUBSTITUTE(input_affiliations," ","")&amp;",")))&gt;0)),IF(U172="",TRUE,IF(input_affiliations="",FALSE,SUMPRODUCT(--ISNUMBER(SEARCH(","&amp;TRIM(TEXTSPLIT(U172,","))&amp;",",","&amp;SUBSTITUTE(input_affiliations," ","")&amp;",")))=COUNTA(TEXTSPLIT(U172,",")))))</f>
        <v/>
      </c>
      <c r="IU172" s="19">
        <f>AND(IF(W172="",TRUE,IF(input_announcement_category="",FALSE,SUMPRODUCT(--ISNUMBER(SEARCH(","&amp;TRIM(TEXTSPLIT(W172,","))&amp;",",","&amp;SUBSTITUTE(input_announcement_category," ","")&amp;",")))&gt;0)),IF(Y172="",TRUE,IF(input_announcement_category="",FALSE,SUMPRODUCT(--ISNUMBER(SEARCH(","&amp;TRIM(TEXTSPLIT(Y172,","))&amp;",",","&amp;SUBSTITUTE(input_announcement_category," ","")&amp;",")))=COUNTA(TEXTSPLIT(Y172,",")))),IF(AA172="",TRUE,IF(input_announcement_category="",TRUE,SUMPRODUCT(--ISNUMBER(SEARCH(","&amp;TRIM(TEXTSPLIT(AA172,","))&amp;",",","&amp;SUBSTITUTE(input_announcement_category," ","")&amp;",")))=0)),IF(AC172="",TRUE,IF(input_announcement_category="",FALSE,SUMPRODUCT(--ISNUMBER(SEARCH(","&amp;TRIM(TEXTSPLIT(AC172,","))&amp;",",","&amp;SUBSTITUTE(input_announcement_category," ","")&amp;",")))&gt;0)),IF(AE172="",TRUE,IF(input_announcement_category="",FALSE,SUMPRODUCT(--ISNUMBER(SEARCH(","&amp;TRIM(TEXTSPLIT(AE172,","))&amp;",",","&amp;SUBSTITUTE(input_announcement_category," ","")&amp;",")))=COUNTA(TEXTSPLIT(AE172,",")))))</f>
        <v/>
      </c>
      <c r="IV172" s="19">
        <f>AND(IF(AG172="",TRUE,IF(input_area_of_focus="",FALSE,SUMPRODUCT(--ISNUMBER(SEARCH(","&amp;TRIM(TEXTSPLIT(AG172,","))&amp;",",","&amp;SUBSTITUTE(input_area_of_focus," ","")&amp;",")))&gt;0)),IF(AI172="",TRUE,IF(input_area_of_focus="",FALSE,SUMPRODUCT(--ISNUMBER(SEARCH(","&amp;TRIM(TEXTSPLIT(AI172,","))&amp;",",","&amp;SUBSTITUTE(input_area_of_focus," ","")&amp;",")))=COUNTA(TEXTSPLIT(AI172,",")))),IF(AK172="",TRUE,IF(input_area_of_focus="",TRUE,SUMPRODUCT(--ISNUMBER(SEARCH(","&amp;TRIM(TEXTSPLIT(AK172,","))&amp;",",","&amp;SUBSTITUTE(input_area_of_focus," ","")&amp;",")))=0)),IF(AM172="",TRUE,IF(input_area_of_focus="",FALSE,SUMPRODUCT(--ISNUMBER(SEARCH(","&amp;TRIM(TEXTSPLIT(AM172,","))&amp;",",","&amp;SUBSTITUTE(input_area_of_focus," ","")&amp;",")))&gt;0)),IF(AO172="",TRUE,IF(input_area_of_focus="",FALSE,SUMPRODUCT(--ISNUMBER(SEARCH(","&amp;TRIM(TEXTSPLIT(AO172,","))&amp;",",","&amp;SUBSTITUTE(input_area_of_focus," ","")&amp;",")))=COUNTA(TEXTSPLIT(AO172,",")))))</f>
        <v/>
      </c>
      <c r="IW172" s="19">
        <f>AND(IF(AQ172="",TRUE,IF(input_audience="",FALSE,SUMPRODUCT(--ISNUMBER(SEARCH(","&amp;TRIM(TEXTSPLIT(AQ172,","))&amp;",",","&amp;SUBSTITUTE(input_audience," ","")&amp;",")))&gt;0)),IF(AS172="",TRUE,IF(input_audience="",FALSE,SUMPRODUCT(--ISNUMBER(SEARCH(","&amp;TRIM(TEXTSPLIT(AS172,","))&amp;",",","&amp;SUBSTITUTE(input_audience," ","")&amp;",")))=COUNTA(TEXTSPLIT(AS172,",")))),IF(AU172="",TRUE,IF(input_audience="",TRUE,SUMPRODUCT(--ISNUMBER(SEARCH(","&amp;TRIM(TEXTSPLIT(AU172,","))&amp;",",","&amp;SUBSTITUTE(input_audience," ","")&amp;",")))=0)),IF(AW172="",TRUE,IF(input_audience="",FALSE,SUMPRODUCT(--ISNUMBER(SEARCH(","&amp;TRIM(TEXTSPLIT(AW172,","))&amp;",",","&amp;SUBSTITUTE(input_audience," ","")&amp;",")))&gt;0)),IF(AY172="",TRUE,IF(input_audience="",FALSE,SUMPRODUCT(--ISNUMBER(SEARCH(","&amp;TRIM(TEXTSPLIT(AY172,","))&amp;",",","&amp;SUBSTITUTE(input_audience," ","")&amp;",")))=COUNTA(TEXTSPLIT(AY172,",")))))</f>
        <v/>
      </c>
      <c r="IX172" s="19">
        <f>AND(IF(BA172="",TRUE,IF(input_challenge_opportunities="",FALSE,SUMPRODUCT(--ISNUMBER(SEARCH(","&amp;TRIM(TEXTSPLIT(BA172,","))&amp;",",","&amp;SUBSTITUTE(input_challenge_opportunities," ","")&amp;",")))&gt;0)),IF(BC172="",TRUE,IF(input_challenge_opportunities="",FALSE,SUMPRODUCT(--ISNUMBER(SEARCH(","&amp;TRIM(TEXTSPLIT(BC172,","))&amp;",",","&amp;SUBSTITUTE(input_challenge_opportunities," ","")&amp;",")))=COUNTA(TEXTSPLIT(BC172,",")))),IF(BE172="",TRUE,IF(input_challenge_opportunities="",TRUE,SUMPRODUCT(--ISNUMBER(SEARCH(","&amp;TRIM(TEXTSPLIT(BE172,","))&amp;",",","&amp;SUBSTITUTE(input_challenge_opportunities," ","")&amp;",")))=0)),IF(BG172="",TRUE,IF(input_challenge_opportunities="",FALSE,SUMPRODUCT(--ISNUMBER(SEARCH(","&amp;TRIM(TEXTSPLIT(BG172,","))&amp;",",","&amp;SUBSTITUTE(input_challenge_opportunities," ","")&amp;",")))&gt;0)),IF(BI172="",TRUE,IF(input_challenge_opportunities="",FALSE,SUMPRODUCT(--ISNUMBER(SEARCH(","&amp;TRIM(TEXTSPLIT(BI172,","))&amp;",",","&amp;SUBSTITUTE(input_challenge_opportunities," ","")&amp;",")))=COUNTA(TEXTSPLIT(BI172,",")))))</f>
        <v/>
      </c>
      <c r="IY172" s="19">
        <f>AND(IF(BK172="",TRUE,IF(input_context="",FALSE,SUMPRODUCT(--ISNUMBER(SEARCH(","&amp;TRIM(TEXTSPLIT(BK172,","))&amp;",",","&amp;SUBSTITUTE(input_context," ","")&amp;",")))&gt;0)),IF(BM172="",TRUE,IF(input_context="",FALSE,SUMPRODUCT(--ISNUMBER(SEARCH(","&amp;TRIM(TEXTSPLIT(BM172,","))&amp;",",","&amp;SUBSTITUTE(input_context," ","")&amp;",")))=COUNTA(TEXTSPLIT(BM172,",")))),IF(BO172="",TRUE,IF(input_context="",TRUE,SUMPRODUCT(--ISNUMBER(SEARCH(","&amp;TRIM(TEXTSPLIT(BO172,","))&amp;",",","&amp;SUBSTITUTE(input_context," ","")&amp;",")))=0)),IF(BQ172="",TRUE,IF(input_context="",FALSE,SUMPRODUCT(--ISNUMBER(SEARCH(","&amp;TRIM(TEXTSPLIT(BQ172,","))&amp;",",","&amp;SUBSTITUTE(input_context," ","")&amp;",")))&gt;0)),IF(BS172="",TRUE,IF(input_context="",FALSE,SUMPRODUCT(--ISNUMBER(SEARCH(","&amp;TRIM(TEXTSPLIT(BS172,","))&amp;",",","&amp;SUBSTITUTE(input_context," ","")&amp;",")))=COUNTA(TEXTSPLIT(BS172,",")))))</f>
        <v/>
      </c>
      <c r="IZ172" s="19">
        <f>AND(IF(BU172="",TRUE,IF(input_enews_announcement_type="",FALSE,SUMPRODUCT(--ISNUMBER(SEARCH(","&amp;TRIM(TEXTSPLIT(BU172,","))&amp;",",","&amp;SUBSTITUTE(input_enews_announcement_type," ","")&amp;",")))&gt;0)),IF(BW172="",TRUE,IF(input_enews_announcement_type="",FALSE,SUMPRODUCT(--ISNUMBER(SEARCH(","&amp;TRIM(TEXTSPLIT(BW172,","))&amp;",",","&amp;SUBSTITUTE(input_enews_announcement_type," ","")&amp;",")))=COUNTA(TEXTSPLIT(BW172,",")))),IF(BY172="",TRUE,IF(input_enews_announcement_type="",TRUE,SUMPRODUCT(--ISNUMBER(SEARCH(","&amp;TRIM(TEXTSPLIT(BY172,","))&amp;",",","&amp;SUBSTITUTE(input_enews_announcement_type," ","")&amp;",")))=0)),IF(CA172="",TRUE,IF(input_enews_announcement_type="",FALSE,SUMPRODUCT(--ISNUMBER(SEARCH(","&amp;TRIM(TEXTSPLIT(CA172,","))&amp;",",","&amp;SUBSTITUTE(input_enews_announcement_type," ","")&amp;",")))&gt;0)),IF(CC172="",TRUE,IF(input_enews_announcement_type="",FALSE,SUMPRODUCT(--ISNUMBER(SEARCH(","&amp;TRIM(TEXTSPLIT(CC172,","))&amp;",",","&amp;SUBSTITUTE(input_enews_announcement_type," ","")&amp;",")))=COUNTA(TEXTSPLIT(CC172,",")))))</f>
        <v/>
      </c>
      <c r="JA172" s="19">
        <f>AND(IF(CE172="",TRUE,IF(input_enews_audience="",FALSE,SUMPRODUCT(--ISNUMBER(SEARCH(","&amp;TRIM(TEXTSPLIT(CE172,","))&amp;",",","&amp;SUBSTITUTE(input_enews_audience," ","")&amp;",")))&gt;0)),IF(CG172="",TRUE,IF(input_enews_audience="",FALSE,SUMPRODUCT(--ISNUMBER(SEARCH(","&amp;TRIM(TEXTSPLIT(CG172,","))&amp;",",","&amp;SUBSTITUTE(input_enews_audience," ","")&amp;",")))=COUNTA(TEXTSPLIT(CG172,",")))),IF(CI172="",TRUE,IF(input_enews_audience="",TRUE,SUMPRODUCT(--ISNUMBER(SEARCH(","&amp;TRIM(TEXTSPLIT(CI172,","))&amp;",",","&amp;SUBSTITUTE(input_enews_audience," ","")&amp;",")))=0)),IF(CK172="",TRUE,IF(input_enews_audience="",FALSE,SUMPRODUCT(--ISNUMBER(SEARCH(","&amp;TRIM(TEXTSPLIT(CK172,","))&amp;",",","&amp;SUBSTITUTE(input_enews_audience," ","")&amp;",")))&gt;0)),IF(CM172="",TRUE,IF(input_enews_audience="",FALSE,SUMPRODUCT(--ISNUMBER(SEARCH(","&amp;TRIM(TEXTSPLIT(CM172,","))&amp;",",","&amp;SUBSTITUTE(input_enews_audience," ","")&amp;",")))=COUNTA(TEXTSPLIT(CM172,",")))))</f>
        <v/>
      </c>
      <c r="JB172" s="19">
        <f>AND(IF(CO172="",TRUE,IF(input_event_location="",FALSE,SUMPRODUCT(--ISNUMBER(SEARCH(","&amp;TRIM(TEXTSPLIT(CO172,","))&amp;",",","&amp;SUBSTITUTE(input_event_location," ","")&amp;",")))&gt;0)),IF(CQ172="",TRUE,IF(input_event_location="",FALSE,SUMPRODUCT(--ISNUMBER(SEARCH(","&amp;TRIM(TEXTSPLIT(CQ172,","))&amp;",",","&amp;SUBSTITUTE(input_event_location," ","")&amp;",")))=COUNTA(TEXTSPLIT(CQ172,",")))),IF(CS172="",TRUE,IF(input_event_location="",TRUE,SUMPRODUCT(--ISNUMBER(SEARCH(","&amp;TRIM(TEXTSPLIT(CS172,","))&amp;",",","&amp;SUBSTITUTE(input_event_location," ","")&amp;",")))=0)),IF(CU172="",TRUE,IF(input_event_location="",FALSE,SUMPRODUCT(--ISNUMBER(SEARCH(","&amp;TRIM(TEXTSPLIT(CU172,","))&amp;",",","&amp;SUBSTITUTE(input_event_location," ","")&amp;",")))&gt;0)),IF(CW172="",TRUE,IF(input_event_location="",FALSE,SUMPRODUCT(--ISNUMBER(SEARCH(","&amp;TRIM(TEXTSPLIT(CW172,","))&amp;",",","&amp;SUBSTITUTE(input_event_location," ","")&amp;",")))=COUNTA(TEXTSPLIT(CW172,",")))))</f>
        <v/>
      </c>
      <c r="JC172" s="19">
        <f>AND(IF(CY172="",TRUE,IF(input_event_type="",FALSE,SUMPRODUCT(--ISNUMBER(SEARCH(","&amp;TRIM(TEXTSPLIT(CY172,","))&amp;",",","&amp;SUBSTITUTE(input_event_type," ","")&amp;",")))&gt;0)),IF(DA172="",TRUE,IF(input_event_type="",FALSE,SUMPRODUCT(--ISNUMBER(SEARCH(","&amp;TRIM(TEXTSPLIT(DA172,","))&amp;",",","&amp;SUBSTITUTE(input_event_type," ","")&amp;",")))=COUNTA(TEXTSPLIT(DA172,",")))),IF(DC172="",TRUE,IF(input_event_type="",TRUE,SUMPRODUCT(--ISNUMBER(SEARCH(","&amp;TRIM(TEXTSPLIT(DC172,","))&amp;",",","&amp;SUBSTITUTE(input_event_type," ","")&amp;",")))=0)),IF(DE172="",TRUE,IF(input_event_type="",FALSE,SUMPRODUCT(--ISNUMBER(SEARCH(","&amp;TRIM(TEXTSPLIT(DE172,","))&amp;",",","&amp;SUBSTITUTE(input_event_type," ","")&amp;",")))&gt;0)),IF(DG172="",TRUE,IF(input_event_type="",FALSE,SUMPRODUCT(--ISNUMBER(SEARCH(","&amp;TRIM(TEXTSPLIT(DG172,","))&amp;",",","&amp;SUBSTITUTE(input_event_type," ","")&amp;",")))=COUNTA(TEXTSPLIT(DG172,",")))))</f>
        <v/>
      </c>
      <c r="JD172" s="19">
        <f>AND(IF(DI172="",TRUE,IF(input_executive_education_focus="",FALSE,SUMPRODUCT(--ISNUMBER(SEARCH(","&amp;TRIM(TEXTSPLIT(DI172,","))&amp;",",","&amp;SUBSTITUTE(input_executive_education_focus," ","")&amp;",")))&gt;0)),IF(DK172="",TRUE,IF(input_executive_education_focus="",FALSE,SUMPRODUCT(--ISNUMBER(SEARCH(","&amp;TRIM(TEXTSPLIT(DK172,","))&amp;",",","&amp;SUBSTITUTE(input_executive_education_focus," ","")&amp;",")))=COUNTA(TEXTSPLIT(DK172,",")))),IF(DM172="",TRUE,IF(input_executive_education_focus="",TRUE,SUMPRODUCT(--ISNUMBER(SEARCH(","&amp;TRIM(TEXTSPLIT(DM172,","))&amp;",",","&amp;SUBSTITUTE(input_executive_education_focus," ","")&amp;",")))=0)),IF(DO172="",TRUE,IF(input_executive_education_focus="",FALSE,SUMPRODUCT(--ISNUMBER(SEARCH(","&amp;TRIM(TEXTSPLIT(DO172,","))&amp;",",","&amp;SUBSTITUTE(input_executive_education_focus," ","")&amp;",")))&gt;0)),IF(DQ172="",TRUE,IF(input_executive_education_focus="",FALSE,SUMPRODUCT(--ISNUMBER(SEARCH(","&amp;TRIM(TEXTSPLIT(DQ172,","))&amp;",",","&amp;SUBSTITUTE(input_executive_education_focus," ","")&amp;",")))=COUNTA(TEXTSPLIT(DQ172,",")))))</f>
        <v/>
      </c>
      <c r="JE172" s="19">
        <f>AND(IF(DS172="",TRUE,IF(input_faculty_category="",FALSE,SUMPRODUCT(--ISNUMBER(SEARCH(","&amp;TRIM(TEXTSPLIT(DS172,","))&amp;",",","&amp;SUBSTITUTE(input_faculty_category," ","")&amp;",")))&gt;0)),IF(DU172="",TRUE,IF(input_faculty_category="",FALSE,SUMPRODUCT(--ISNUMBER(SEARCH(","&amp;TRIM(TEXTSPLIT(DU172,","))&amp;",",","&amp;SUBSTITUTE(input_faculty_category," ","")&amp;",")))=COUNTA(TEXTSPLIT(DU172,",")))),IF(DW172="",TRUE,IF(input_faculty_category="",TRUE,SUMPRODUCT(--ISNUMBER(SEARCH(","&amp;TRIM(TEXTSPLIT(DW172,","))&amp;",",","&amp;SUBSTITUTE(input_faculty_category," ","")&amp;",")))=0)),IF(DY172="",TRUE,IF(input_faculty_category="",FALSE,SUMPRODUCT(--ISNUMBER(SEARCH(","&amp;TRIM(TEXTSPLIT(DY172,","))&amp;",",","&amp;SUBSTITUTE(input_faculty_category," ","")&amp;",")))&gt;0)),IF(EA172="",TRUE,IF(input_faculty_category="",FALSE,SUMPRODUCT(--ISNUMBER(SEARCH(","&amp;TRIM(TEXTSPLIT(EA172,","))&amp;",",","&amp;SUBSTITUTE(input_faculty_category," ","")&amp;",")))=COUNTA(TEXTSPLIT(EA172,",")))))</f>
        <v/>
      </c>
      <c r="JF172" s="19">
        <f>AND(IF(EC172="",TRUE,IF(input_faculty_discipline="",FALSE,SUMPRODUCT(--ISNUMBER(SEARCH(","&amp;TRIM(TEXTSPLIT(EC172,","))&amp;",",","&amp;SUBSTITUTE(input_faculty_discipline," ","")&amp;",")))&gt;0)),IF(EE172="",TRUE,IF(input_faculty_discipline="",FALSE,SUMPRODUCT(--ISNUMBER(SEARCH(","&amp;TRIM(TEXTSPLIT(EE172,","))&amp;",",","&amp;SUBSTITUTE(input_faculty_discipline," ","")&amp;",")))=COUNTA(TEXTSPLIT(EE172,",")))),IF(EG172="",TRUE,IF(input_faculty_discipline="",TRUE,SUMPRODUCT(--ISNUMBER(SEARCH(","&amp;TRIM(TEXTSPLIT(EG172,","))&amp;",",","&amp;SUBSTITUTE(input_faculty_discipline," ","")&amp;",")))=0)),IF(EI172="",TRUE,IF(input_faculty_discipline="",FALSE,SUMPRODUCT(--ISNUMBER(SEARCH(","&amp;TRIM(TEXTSPLIT(EI172,","))&amp;",",","&amp;SUBSTITUTE(input_faculty_discipline," ","")&amp;",")))&gt;0)),IF(EK172="",TRUE,IF(input_faculty_discipline="",FALSE,SUMPRODUCT(--ISNUMBER(SEARCH(","&amp;TRIM(TEXTSPLIT(EK172,","))&amp;",",","&amp;SUBSTITUTE(input_faculty_discipline," ","")&amp;",")))=COUNTA(TEXTSPLIT(EK172,",")))))</f>
        <v/>
      </c>
      <c r="JG172" s="19">
        <f>AND(IF(EM172="",TRUE,IF(input_faculty_expertise="",FALSE,SUMPRODUCT(--ISNUMBER(SEARCH(","&amp;TRIM(TEXTSPLIT(EM172,","))&amp;",",","&amp;SUBSTITUTE(input_faculty_expertise," ","")&amp;",")))&gt;0)),IF(EO172="",TRUE,IF(input_faculty_expertise="",FALSE,SUMPRODUCT(--ISNUMBER(SEARCH(","&amp;TRIM(TEXTSPLIT(EO172,","))&amp;",",","&amp;SUBSTITUTE(input_faculty_expertise," ","")&amp;",")))=COUNTA(TEXTSPLIT(EO172,",")))),IF(EQ172="",TRUE,IF(input_faculty_expertise="",TRUE,SUMPRODUCT(--ISNUMBER(SEARCH(","&amp;TRIM(TEXTSPLIT(EQ172,","))&amp;",",","&amp;SUBSTITUTE(input_faculty_expertise," ","")&amp;",")))=0)),IF(ES172="",TRUE,IF(input_faculty_expertise="",FALSE,SUMPRODUCT(--ISNUMBER(SEARCH(","&amp;TRIM(TEXTSPLIT(ES172,","))&amp;",",","&amp;SUBSTITUTE(input_faculty_expertise," ","")&amp;",")))&gt;0)),IF(EU172="",TRUE,IF(input_faculty_expertise="",FALSE,SUMPRODUCT(--ISNUMBER(SEARCH(","&amp;TRIM(TEXTSPLIT(EU172,","))&amp;",",","&amp;SUBSTITUTE(input_faculty_expertise," ","")&amp;",")))=COUNTA(TEXTSPLIT(EU172,",")))))</f>
        <v/>
      </c>
      <c r="JH172" s="19">
        <f>AND(IF(EW172="",TRUE,IF(input_global_network_school="",FALSE,SUMPRODUCT(--ISNUMBER(SEARCH(","&amp;TRIM(TEXTSPLIT(EW172,","))&amp;",",","&amp;SUBSTITUTE(input_global_network_school," ","")&amp;",")))&gt;0)),IF(EY172="",TRUE,IF(input_global_network_school="",FALSE,SUMPRODUCT(--ISNUMBER(SEARCH(","&amp;TRIM(TEXTSPLIT(EY172,","))&amp;",",","&amp;SUBSTITUTE(input_global_network_school," ","")&amp;",")))=COUNTA(TEXTSPLIT(EY172,",")))),IF(FA172="",TRUE,IF(input_global_network_school="",TRUE,SUMPRODUCT(--ISNUMBER(SEARCH(","&amp;TRIM(TEXTSPLIT(FA172,","))&amp;",",","&amp;SUBSTITUTE(input_global_network_school," ","")&amp;",")))=0)),IF(FC172="",TRUE,IF(input_global_network_school="",FALSE,SUMPRODUCT(--ISNUMBER(SEARCH(","&amp;TRIM(TEXTSPLIT(FC172,","))&amp;",",","&amp;SUBSTITUTE(input_global_network_school," ","")&amp;",")))&gt;0)),IF(FE172="",TRUE,IF(input_global_network_school="",FALSE,SUMPRODUCT(--ISNUMBER(SEARCH(","&amp;TRIM(TEXTSPLIT(FE172,","))&amp;",",","&amp;SUBSTITUTE(input_global_network_school," ","")&amp;",")))=COUNTA(TEXTSPLIT(FE172,",")))))</f>
        <v/>
      </c>
      <c r="JI172" s="19">
        <f>AND(IF(FG172="",TRUE,IF(input_industry="",FALSE,SUMPRODUCT(--ISNUMBER(SEARCH(","&amp;TRIM(TEXTSPLIT(FG172,","))&amp;",",","&amp;SUBSTITUTE(input_industry," ","")&amp;",")))&gt;0)),IF(FI172="",TRUE,IF(input_industry="",FALSE,SUMPRODUCT(--ISNUMBER(SEARCH(","&amp;TRIM(TEXTSPLIT(FI172,","))&amp;",",","&amp;SUBSTITUTE(input_industry," ","")&amp;",")))=COUNTA(TEXTSPLIT(FI172,",")))),IF(FK172="",TRUE,IF(input_industry="",TRUE,SUMPRODUCT(--ISNUMBER(SEARCH(","&amp;TRIM(TEXTSPLIT(FK172,","))&amp;",",","&amp;SUBSTITUTE(input_industry," ","")&amp;",")))=0)),IF(FM172="",TRUE,IF(input_industry="",FALSE,SUMPRODUCT(--ISNUMBER(SEARCH(","&amp;TRIM(TEXTSPLIT(FM172,","))&amp;",",","&amp;SUBSTITUTE(input_industry," ","")&amp;",")))&gt;0)),IF(FO172="",TRUE,IF(input_industry="",FALSE,SUMPRODUCT(--ISNUMBER(SEARCH(","&amp;TRIM(TEXTSPLIT(FO172,","))&amp;",",","&amp;SUBSTITUTE(input_industry," ","")&amp;",")))=COUNTA(TEXTSPLIT(FO172,",")))))</f>
        <v/>
      </c>
      <c r="JJ172" s="19">
        <f>AND(IF(FQ172="",TRUE,IF(input_location="",FALSE,SUMPRODUCT(--ISNUMBER(SEARCH(","&amp;TRIM(TEXTSPLIT(FQ172,","))&amp;",",","&amp;SUBSTITUTE(input_location," ","")&amp;",")))&gt;0)),IF(FS172="",TRUE,IF(input_location="",FALSE,SUMPRODUCT(--ISNUMBER(SEARCH(","&amp;TRIM(TEXTSPLIT(FS172,","))&amp;",",","&amp;SUBSTITUTE(input_location," ","")&amp;",")))=COUNTA(TEXTSPLIT(FS172,",")))),IF(FU172="",TRUE,IF(input_location="",TRUE,SUMPRODUCT(--ISNUMBER(SEARCH(","&amp;TRIM(TEXTSPLIT(FU172,","))&amp;",",","&amp;SUBSTITUTE(input_location," ","")&amp;",")))=0)),IF(FW172="",TRUE,IF(input_location="",FALSE,SUMPRODUCT(--ISNUMBER(SEARCH(","&amp;TRIM(TEXTSPLIT(FW172,","))&amp;",",","&amp;SUBSTITUTE(input_location," ","")&amp;",")))&gt;0)),IF(FY172="",TRUE,IF(input_location="",FALSE,SUMPRODUCT(--ISNUMBER(SEARCH(","&amp;TRIM(TEXTSPLIT(FY172,","))&amp;",",","&amp;SUBSTITUTE(input_location," ","")&amp;",")))=COUNTA(TEXTSPLIT(FY172,",")))))</f>
        <v/>
      </c>
      <c r="JK172" s="19">
        <f>AND(IF(GA172="",TRUE,IF(input_modality="",FALSE,SUMPRODUCT(--ISNUMBER(SEARCH(","&amp;TRIM(TEXTSPLIT(GA172,","))&amp;",",","&amp;SUBSTITUTE(input_modality," ","")&amp;",")))&gt;0)),IF(GC172="",TRUE,IF(input_modality="",FALSE,SUMPRODUCT(--ISNUMBER(SEARCH(","&amp;TRIM(TEXTSPLIT(GC172,","))&amp;",",","&amp;SUBSTITUTE(input_modality," ","")&amp;",")))=COUNTA(TEXTSPLIT(GC172,",")))),IF(GE172="",TRUE,IF(input_modality="",TRUE,SUMPRODUCT(--ISNUMBER(SEARCH(","&amp;TRIM(TEXTSPLIT(GE172,","))&amp;",",","&amp;SUBSTITUTE(input_modality," ","")&amp;",")))=0)),IF(GG172="",TRUE,IF(input_modality="",FALSE,SUMPRODUCT(--ISNUMBER(SEARCH(","&amp;TRIM(TEXTSPLIT(GG172,","))&amp;",",","&amp;SUBSTITUTE(input_modality," ","")&amp;",")))&gt;0)),IF(GI172="",TRUE,IF(input_modality="",FALSE,SUMPRODUCT(--ISNUMBER(SEARCH(","&amp;TRIM(TEXTSPLIT(GI172,","))&amp;",",","&amp;SUBSTITUTE(input_modality," ","")&amp;",")))=COUNTA(TEXTSPLIT(GI172,",")))))</f>
        <v/>
      </c>
      <c r="JL172" s="19">
        <f>AND(IF(GK172="",TRUE,IF(input_organizer="",FALSE,SUMPRODUCT(--ISNUMBER(SEARCH(","&amp;TRIM(TEXTSPLIT(GK172,","))&amp;",",","&amp;SUBSTITUTE(input_organizer," ","")&amp;",")))&gt;0)),IF(GM172="",TRUE,IF(input_organizer="",FALSE,SUMPRODUCT(--ISNUMBER(SEARCH(","&amp;TRIM(TEXTSPLIT(GM172,","))&amp;",",","&amp;SUBSTITUTE(input_organizer," ","")&amp;",")))=COUNTA(TEXTSPLIT(GM172,",")))),IF(GO172="",TRUE,IF(input_organizer="",TRUE,SUMPRODUCT(--ISNUMBER(SEARCH(","&amp;TRIM(TEXTSPLIT(GO172,","))&amp;",",","&amp;SUBSTITUTE(input_organizer," ","")&amp;",")))=0)),IF(GQ172="",TRUE,IF(input_organizer="",FALSE,SUMPRODUCT(--ISNUMBER(SEARCH(","&amp;TRIM(TEXTSPLIT(GQ172,","))&amp;",",","&amp;SUBSTITUTE(input_organizer," ","")&amp;",")))&gt;0)),IF(GS172="",TRUE,IF(input_organizer="",FALSE,SUMPRODUCT(--ISNUMBER(SEARCH(","&amp;TRIM(TEXTSPLIT(GS172,","))&amp;",",","&amp;SUBSTITUTE(input_organizer," ","")&amp;",")))=COUNTA(TEXTSPLIT(GS172,",")))))</f>
        <v/>
      </c>
      <c r="JM172" s="19">
        <f>AND(IF(GU172="",TRUE,IF(input_profile_type="",FALSE,SUMPRODUCT(--ISNUMBER(SEARCH(","&amp;TRIM(TEXTSPLIT(GU172,","))&amp;",",","&amp;SUBSTITUTE(input_profile_type," ","")&amp;",")))&gt;0)),IF(GW172="",TRUE,IF(input_profile_type="",FALSE,SUMPRODUCT(--ISNUMBER(SEARCH(","&amp;TRIM(TEXTSPLIT(GW172,","))&amp;",",","&amp;SUBSTITUTE(input_profile_type," ","")&amp;",")))=COUNTA(TEXTSPLIT(GW172,",")))),IF(GY172="",TRUE,IF(input_profile_type="",TRUE,SUMPRODUCT(--ISNUMBER(SEARCH(","&amp;TRIM(TEXTSPLIT(GY172,","))&amp;",",","&amp;SUBSTITUTE(input_profile_type," ","")&amp;",")))=0)),IF(HA172="",TRUE,IF(input_profile_type="",FALSE,SUMPRODUCT(--ISNUMBER(SEARCH(","&amp;TRIM(TEXTSPLIT(HA172,","))&amp;",",","&amp;SUBSTITUTE(input_profile_type," ","")&amp;",")))&gt;0)),IF(HC172="",TRUE,IF(input_profile_type="",FALSE,SUMPRODUCT(--ISNUMBER(SEARCH(","&amp;TRIM(TEXTSPLIT(HC172,","))&amp;",",","&amp;SUBSTITUTE(input_profile_type," ","")&amp;",")))=COUNTA(TEXTSPLIT(HC172,",")))))</f>
        <v/>
      </c>
      <c r="JN172" s="19">
        <f>AND(IF(HE172="",TRUE,IF(input_program="",FALSE,SUMPRODUCT(--ISNUMBER(SEARCH(","&amp;TRIM(TEXTSPLIT(HE172,","))&amp;",",","&amp;SUBSTITUTE(input_program," ","")&amp;",")))&gt;0)),IF(HG172="",TRUE,IF(input_program="",FALSE,SUMPRODUCT(--ISNUMBER(SEARCH(","&amp;TRIM(TEXTSPLIT(HG172,","))&amp;",",","&amp;SUBSTITUTE(input_program," ","")&amp;",")))=COUNTA(TEXTSPLIT(HG172,",")))),IF(HI172="",TRUE,IF(input_program="",TRUE,SUMPRODUCT(--ISNUMBER(SEARCH(","&amp;TRIM(TEXTSPLIT(HI172,","))&amp;",",","&amp;SUBSTITUTE(input_program," ","")&amp;",")))=0)),IF(HK172="",TRUE,IF(input_program="",FALSE,SUMPRODUCT(--ISNUMBER(SEARCH(","&amp;TRIM(TEXTSPLIT(HK172,","))&amp;",",","&amp;SUBSTITUTE(input_program," ","")&amp;",")))&gt;0)),IF(HM172="",TRUE,IF(input_program="",FALSE,SUMPRODUCT(--ISNUMBER(SEARCH(","&amp;TRIM(TEXTSPLIT(HM172,","))&amp;",",","&amp;SUBSTITUTE(input_program," ","")&amp;",")))=COUNTA(TEXTSPLIT(HM172,",")))))</f>
        <v/>
      </c>
      <c r="JO172" s="19">
        <f>AND(IF(HO172="",TRUE,IF(input_story_categories="",FALSE,SUMPRODUCT(--ISNUMBER(SEARCH(","&amp;TRIM(TEXTSPLIT(HO172,","))&amp;",",","&amp;SUBSTITUTE(input_story_categories," ","")&amp;",")))&gt;0)),IF(HQ172="",TRUE,IF(input_story_categories="",FALSE,SUMPRODUCT(--ISNUMBER(SEARCH(","&amp;TRIM(TEXTSPLIT(HQ172,","))&amp;",",","&amp;SUBSTITUTE(input_story_categories," ","")&amp;",")))=COUNTA(TEXTSPLIT(HQ172,",")))),IF(HS172="",TRUE,IF(input_story_categories="",TRUE,SUMPRODUCT(--ISNUMBER(SEARCH(","&amp;TRIM(TEXTSPLIT(HS172,","))&amp;",",","&amp;SUBSTITUTE(input_story_categories," ","")&amp;",")))=0)),IF(HU172="",TRUE,IF(input_story_categories="",FALSE,SUMPRODUCT(--ISNUMBER(SEARCH(","&amp;TRIM(TEXTSPLIT(HU172,","))&amp;",",","&amp;SUBSTITUTE(input_story_categories," ","")&amp;",")))&gt;0)),IF(HW172="",TRUE,IF(input_story_categories="",FALSE,SUMPRODUCT(--ISNUMBER(SEARCH(","&amp;TRIM(TEXTSPLIT(HW172,","))&amp;",",","&amp;SUBSTITUTE(input_story_categories," ","")&amp;",")))=COUNTA(TEXTSPLIT(HW172,",")))))</f>
        <v/>
      </c>
      <c r="JP172" s="19">
        <f>AND(IF(HY172="",TRUE,IF(input_story_type="",FALSE,SUMPRODUCT(--ISNUMBER(SEARCH(","&amp;TRIM(TEXTSPLIT(HY172,","))&amp;",",","&amp;SUBSTITUTE(input_story_type," ","")&amp;",")))&gt;0)),IF(IA172="",TRUE,IF(input_story_type="",FALSE,SUMPRODUCT(--ISNUMBER(SEARCH(","&amp;TRIM(TEXTSPLIT(IA172,","))&amp;",",","&amp;SUBSTITUTE(input_story_type," ","")&amp;",")))=COUNTA(TEXTSPLIT(IA172,",")))),IF(IC172="",TRUE,IF(input_story_type="",TRUE,SUMPRODUCT(--ISNUMBER(SEARCH(","&amp;TRIM(TEXTSPLIT(IC172,","))&amp;",",","&amp;SUBSTITUTE(input_story_type," ","")&amp;",")))=0)),IF(IE172="",TRUE,IF(input_story_type="",FALSE,SUMPRODUCT(--ISNUMBER(SEARCH(","&amp;TRIM(TEXTSPLIT(IE172,","))&amp;",",","&amp;SUBSTITUTE(input_story_type," ","")&amp;",")))&gt;0)),IF(IG172="",TRUE,IF(input_story_type="",FALSE,SUMPRODUCT(--ISNUMBER(SEARCH(","&amp;TRIM(TEXTSPLIT(IG172,","))&amp;",",","&amp;SUBSTITUTE(input_story_type," ","")&amp;",")))=COUNTA(TEXTSPLIT(IG172,",")))))</f>
        <v/>
      </c>
      <c r="JQ172" s="19">
        <f>AND(IF(II172="",TRUE,IF(input_topics="",FALSE,SUMPRODUCT(--ISNUMBER(SEARCH(","&amp;TRIM(TEXTSPLIT(II172,","))&amp;",",","&amp;SUBSTITUTE(input_topics," ","")&amp;",")))&gt;0)),IF(IK172="",TRUE,IF(input_topics="",FALSE,SUMPRODUCT(--ISNUMBER(SEARCH(","&amp;TRIM(TEXTSPLIT(IK172,","))&amp;",",","&amp;SUBSTITUTE(input_topics," ","")&amp;",")))=COUNTA(TEXTSPLIT(IK172,",")))),IF(IM172="",TRUE,IF(input_topics="",TRUE,SUMPRODUCT(--ISNUMBER(SEARCH(","&amp;TRIM(TEXTSPLIT(IM172,","))&amp;",",","&amp;SUBSTITUTE(input_topics," ","")&amp;",")))=0)),IF(IO172="",TRUE,IF(input_topics="",FALSE,SUMPRODUCT(--ISNUMBER(SEARCH(","&amp;TRIM(TEXTSPLIT(IO172,","))&amp;",",","&amp;SUBSTITUTE(input_topics," ","")&amp;",")))&gt;0)),IF(IQ172="",TRUE,IF(input_topics="",FALSE,SUMPRODUCT(--ISNUMBER(SEARCH(","&amp;TRIM(TEXTSPLIT(IQ172,","))&amp;",",","&amp;SUBSTITUTE(input_topics," ","")&amp;",")))=COUNTA(TEXTSPLIT(IQ172,",")))))</f>
        <v/>
      </c>
    </row>
    <row r="173">
      <c r="A173" s="24">
        <f>IF(NOT(IS173),"Excluded",IF(AND(IT173,IU173,IV173,IW173,IX173,IY173,IZ173,JA173,JB173,JC173,JD173,JE173,JF173,JG173,JH173,JI173,JJ173,JK173,JL173,JM173,JN173,JO173,JP173,JQ173),IF(I173&gt;0,"Eligible but limited","Will appear"),"Excluded"))</f>
        <v/>
      </c>
      <c r="B173" s="24" t="inlineStr">
        <is>
          <t>Related stories</t>
        </is>
      </c>
      <c r="C173" s="27" t="inlineStr">
        <is>
          <t>/programs/emba/admissions</t>
        </is>
      </c>
      <c r="D173" s="24" t="inlineStr">
        <is>
          <t>/programs/emba/admissions</t>
        </is>
      </c>
      <c r="E173" s="24" t="n">
        <v>1</v>
      </c>
      <c r="F173" s="24" t="inlineStr">
        <is>
          <t>story</t>
        </is>
      </c>
      <c r="G173" s="24" t="inlineStr">
        <is>
          <t>stories_teaser_cards</t>
        </is>
      </c>
      <c r="H173" s="24" t="inlineStr">
        <is>
          <t>embed_blog</t>
        </is>
      </c>
      <c r="I173" s="24" t="n">
        <v>3</v>
      </c>
      <c r="J173" s="29" t="inlineStr">
        <is>
          <t>Section inferred</t>
        </is>
      </c>
      <c r="K173" s="24" t="inlineStr">
        <is>
          <t>Page placement</t>
        </is>
      </c>
      <c r="L173" s="24" t="inlineStr">
        <is>
          <t>Content type: story; Context uses Courses Context: MBA For Executives (928); Needs any Story Type: Blog (974); Limited to 3 item(s); Source: Section inferred</t>
        </is>
      </c>
      <c r="BQ173" s="19" t="inlineStr">
        <is>
          <t>928</t>
        </is>
      </c>
      <c r="BR173" s="19" t="inlineStr">
        <is>
          <t>MBA For Executives (928)</t>
        </is>
      </c>
      <c r="HY173" s="19" t="inlineStr">
        <is>
          <t>974</t>
        </is>
      </c>
      <c r="HZ173" s="19" t="inlineStr">
        <is>
          <t>Blog (974)</t>
        </is>
      </c>
      <c r="IS173" s="19">
        <f>IF(input_content_type="",FALSE,ISNUMBER(SEARCH(","&amp;LOWER(input_content_type)&amp;",",","&amp;LOWER(SUBSTITUTE(F173," ",""))&amp;",")))</f>
        <v/>
      </c>
      <c r="IT173" s="19">
        <f>AND(IF(M173="",TRUE,IF(input_affiliations="",FALSE,SUMPRODUCT(--ISNUMBER(SEARCH(","&amp;TRIM(TEXTSPLIT(M173,","))&amp;",",","&amp;SUBSTITUTE(input_affiliations," ","")&amp;",")))&gt;0)),IF(O173="",TRUE,IF(input_affiliations="",FALSE,SUMPRODUCT(--ISNUMBER(SEARCH(","&amp;TRIM(TEXTSPLIT(O173,","))&amp;",",","&amp;SUBSTITUTE(input_affiliations," ","")&amp;",")))=COUNTA(TEXTSPLIT(O173,",")))),IF(Q173="",TRUE,IF(input_affiliations="",TRUE,SUMPRODUCT(--ISNUMBER(SEARCH(","&amp;TRIM(TEXTSPLIT(Q173,","))&amp;",",","&amp;SUBSTITUTE(input_affiliations," ","")&amp;",")))=0)),IF(S173="",TRUE,IF(input_affiliations="",FALSE,SUMPRODUCT(--ISNUMBER(SEARCH(","&amp;TRIM(TEXTSPLIT(S173,","))&amp;",",","&amp;SUBSTITUTE(input_affiliations," ","")&amp;",")))&gt;0)),IF(U173="",TRUE,IF(input_affiliations="",FALSE,SUMPRODUCT(--ISNUMBER(SEARCH(","&amp;TRIM(TEXTSPLIT(U173,","))&amp;",",","&amp;SUBSTITUTE(input_affiliations," ","")&amp;",")))=COUNTA(TEXTSPLIT(U173,",")))))</f>
        <v/>
      </c>
      <c r="IU173" s="19">
        <f>AND(IF(W173="",TRUE,IF(input_announcement_category="",FALSE,SUMPRODUCT(--ISNUMBER(SEARCH(","&amp;TRIM(TEXTSPLIT(W173,","))&amp;",",","&amp;SUBSTITUTE(input_announcement_category," ","")&amp;",")))&gt;0)),IF(Y173="",TRUE,IF(input_announcement_category="",FALSE,SUMPRODUCT(--ISNUMBER(SEARCH(","&amp;TRIM(TEXTSPLIT(Y173,","))&amp;",",","&amp;SUBSTITUTE(input_announcement_category," ","")&amp;",")))=COUNTA(TEXTSPLIT(Y173,",")))),IF(AA173="",TRUE,IF(input_announcement_category="",TRUE,SUMPRODUCT(--ISNUMBER(SEARCH(","&amp;TRIM(TEXTSPLIT(AA173,","))&amp;",",","&amp;SUBSTITUTE(input_announcement_category," ","")&amp;",")))=0)),IF(AC173="",TRUE,IF(input_announcement_category="",FALSE,SUMPRODUCT(--ISNUMBER(SEARCH(","&amp;TRIM(TEXTSPLIT(AC173,","))&amp;",",","&amp;SUBSTITUTE(input_announcement_category," ","")&amp;",")))&gt;0)),IF(AE173="",TRUE,IF(input_announcement_category="",FALSE,SUMPRODUCT(--ISNUMBER(SEARCH(","&amp;TRIM(TEXTSPLIT(AE173,","))&amp;",",","&amp;SUBSTITUTE(input_announcement_category," ","")&amp;",")))=COUNTA(TEXTSPLIT(AE173,",")))))</f>
        <v/>
      </c>
      <c r="IV173" s="19">
        <f>AND(IF(AG173="",TRUE,IF(input_area_of_focus="",FALSE,SUMPRODUCT(--ISNUMBER(SEARCH(","&amp;TRIM(TEXTSPLIT(AG173,","))&amp;",",","&amp;SUBSTITUTE(input_area_of_focus," ","")&amp;",")))&gt;0)),IF(AI173="",TRUE,IF(input_area_of_focus="",FALSE,SUMPRODUCT(--ISNUMBER(SEARCH(","&amp;TRIM(TEXTSPLIT(AI173,","))&amp;",",","&amp;SUBSTITUTE(input_area_of_focus," ","")&amp;",")))=COUNTA(TEXTSPLIT(AI173,",")))),IF(AK173="",TRUE,IF(input_area_of_focus="",TRUE,SUMPRODUCT(--ISNUMBER(SEARCH(","&amp;TRIM(TEXTSPLIT(AK173,","))&amp;",",","&amp;SUBSTITUTE(input_area_of_focus," ","")&amp;",")))=0)),IF(AM173="",TRUE,IF(input_area_of_focus="",FALSE,SUMPRODUCT(--ISNUMBER(SEARCH(","&amp;TRIM(TEXTSPLIT(AM173,","))&amp;",",","&amp;SUBSTITUTE(input_area_of_focus," ","")&amp;",")))&gt;0)),IF(AO173="",TRUE,IF(input_area_of_focus="",FALSE,SUMPRODUCT(--ISNUMBER(SEARCH(","&amp;TRIM(TEXTSPLIT(AO173,","))&amp;",",","&amp;SUBSTITUTE(input_area_of_focus," ","")&amp;",")))=COUNTA(TEXTSPLIT(AO173,",")))))</f>
        <v/>
      </c>
      <c r="IW173" s="19">
        <f>AND(IF(AQ173="",TRUE,IF(input_audience="",FALSE,SUMPRODUCT(--ISNUMBER(SEARCH(","&amp;TRIM(TEXTSPLIT(AQ173,","))&amp;",",","&amp;SUBSTITUTE(input_audience," ","")&amp;",")))&gt;0)),IF(AS173="",TRUE,IF(input_audience="",FALSE,SUMPRODUCT(--ISNUMBER(SEARCH(","&amp;TRIM(TEXTSPLIT(AS173,","))&amp;",",","&amp;SUBSTITUTE(input_audience," ","")&amp;",")))=COUNTA(TEXTSPLIT(AS173,",")))),IF(AU173="",TRUE,IF(input_audience="",TRUE,SUMPRODUCT(--ISNUMBER(SEARCH(","&amp;TRIM(TEXTSPLIT(AU173,","))&amp;",",","&amp;SUBSTITUTE(input_audience," ","")&amp;",")))=0)),IF(AW173="",TRUE,IF(input_audience="",FALSE,SUMPRODUCT(--ISNUMBER(SEARCH(","&amp;TRIM(TEXTSPLIT(AW173,","))&amp;",",","&amp;SUBSTITUTE(input_audience," ","")&amp;",")))&gt;0)),IF(AY173="",TRUE,IF(input_audience="",FALSE,SUMPRODUCT(--ISNUMBER(SEARCH(","&amp;TRIM(TEXTSPLIT(AY173,","))&amp;",",","&amp;SUBSTITUTE(input_audience," ","")&amp;",")))=COUNTA(TEXTSPLIT(AY173,",")))))</f>
        <v/>
      </c>
      <c r="IX173" s="19">
        <f>AND(IF(BA173="",TRUE,IF(input_challenge_opportunities="",FALSE,SUMPRODUCT(--ISNUMBER(SEARCH(","&amp;TRIM(TEXTSPLIT(BA173,","))&amp;",",","&amp;SUBSTITUTE(input_challenge_opportunities," ","")&amp;",")))&gt;0)),IF(BC173="",TRUE,IF(input_challenge_opportunities="",FALSE,SUMPRODUCT(--ISNUMBER(SEARCH(","&amp;TRIM(TEXTSPLIT(BC173,","))&amp;",",","&amp;SUBSTITUTE(input_challenge_opportunities," ","")&amp;",")))=COUNTA(TEXTSPLIT(BC173,",")))),IF(BE173="",TRUE,IF(input_challenge_opportunities="",TRUE,SUMPRODUCT(--ISNUMBER(SEARCH(","&amp;TRIM(TEXTSPLIT(BE173,","))&amp;",",","&amp;SUBSTITUTE(input_challenge_opportunities," ","")&amp;",")))=0)),IF(BG173="",TRUE,IF(input_challenge_opportunities="",FALSE,SUMPRODUCT(--ISNUMBER(SEARCH(","&amp;TRIM(TEXTSPLIT(BG173,","))&amp;",",","&amp;SUBSTITUTE(input_challenge_opportunities," ","")&amp;",")))&gt;0)),IF(BI173="",TRUE,IF(input_challenge_opportunities="",FALSE,SUMPRODUCT(--ISNUMBER(SEARCH(","&amp;TRIM(TEXTSPLIT(BI173,","))&amp;",",","&amp;SUBSTITUTE(input_challenge_opportunities," ","")&amp;",")))=COUNTA(TEXTSPLIT(BI173,",")))))</f>
        <v/>
      </c>
      <c r="IY173" s="19">
        <f>AND(IF(BK173="",TRUE,IF(input_context="",FALSE,SUMPRODUCT(--ISNUMBER(SEARCH(","&amp;TRIM(TEXTSPLIT(BK173,","))&amp;",",","&amp;SUBSTITUTE(input_context," ","")&amp;",")))&gt;0)),IF(BM173="",TRUE,IF(input_context="",FALSE,SUMPRODUCT(--ISNUMBER(SEARCH(","&amp;TRIM(TEXTSPLIT(BM173,","))&amp;",",","&amp;SUBSTITUTE(input_context," ","")&amp;",")))=COUNTA(TEXTSPLIT(BM173,",")))),IF(BO173="",TRUE,IF(input_context="",TRUE,SUMPRODUCT(--ISNUMBER(SEARCH(","&amp;TRIM(TEXTSPLIT(BO173,","))&amp;",",","&amp;SUBSTITUTE(input_context," ","")&amp;",")))=0)),IF(BQ173="",TRUE,IF(input_context="",FALSE,SUMPRODUCT(--ISNUMBER(SEARCH(","&amp;TRIM(TEXTSPLIT(BQ173,","))&amp;",",","&amp;SUBSTITUTE(input_context," ","")&amp;",")))&gt;0)),IF(BS173="",TRUE,IF(input_context="",FALSE,SUMPRODUCT(--ISNUMBER(SEARCH(","&amp;TRIM(TEXTSPLIT(BS173,","))&amp;",",","&amp;SUBSTITUTE(input_context," ","")&amp;",")))=COUNTA(TEXTSPLIT(BS173,",")))))</f>
        <v/>
      </c>
      <c r="IZ173" s="19">
        <f>AND(IF(BU173="",TRUE,IF(input_enews_announcement_type="",FALSE,SUMPRODUCT(--ISNUMBER(SEARCH(","&amp;TRIM(TEXTSPLIT(BU173,","))&amp;",",","&amp;SUBSTITUTE(input_enews_announcement_type," ","")&amp;",")))&gt;0)),IF(BW173="",TRUE,IF(input_enews_announcement_type="",FALSE,SUMPRODUCT(--ISNUMBER(SEARCH(","&amp;TRIM(TEXTSPLIT(BW173,","))&amp;",",","&amp;SUBSTITUTE(input_enews_announcement_type," ","")&amp;",")))=COUNTA(TEXTSPLIT(BW173,",")))),IF(BY173="",TRUE,IF(input_enews_announcement_type="",TRUE,SUMPRODUCT(--ISNUMBER(SEARCH(","&amp;TRIM(TEXTSPLIT(BY173,","))&amp;",",","&amp;SUBSTITUTE(input_enews_announcement_type," ","")&amp;",")))=0)),IF(CA173="",TRUE,IF(input_enews_announcement_type="",FALSE,SUMPRODUCT(--ISNUMBER(SEARCH(","&amp;TRIM(TEXTSPLIT(CA173,","))&amp;",",","&amp;SUBSTITUTE(input_enews_announcement_type," ","")&amp;",")))&gt;0)),IF(CC173="",TRUE,IF(input_enews_announcement_type="",FALSE,SUMPRODUCT(--ISNUMBER(SEARCH(","&amp;TRIM(TEXTSPLIT(CC173,","))&amp;",",","&amp;SUBSTITUTE(input_enews_announcement_type," ","")&amp;",")))=COUNTA(TEXTSPLIT(CC173,",")))))</f>
        <v/>
      </c>
      <c r="JA173" s="19">
        <f>AND(IF(CE173="",TRUE,IF(input_enews_audience="",FALSE,SUMPRODUCT(--ISNUMBER(SEARCH(","&amp;TRIM(TEXTSPLIT(CE173,","))&amp;",",","&amp;SUBSTITUTE(input_enews_audience," ","")&amp;",")))&gt;0)),IF(CG173="",TRUE,IF(input_enews_audience="",FALSE,SUMPRODUCT(--ISNUMBER(SEARCH(","&amp;TRIM(TEXTSPLIT(CG173,","))&amp;",",","&amp;SUBSTITUTE(input_enews_audience," ","")&amp;",")))=COUNTA(TEXTSPLIT(CG173,",")))),IF(CI173="",TRUE,IF(input_enews_audience="",TRUE,SUMPRODUCT(--ISNUMBER(SEARCH(","&amp;TRIM(TEXTSPLIT(CI173,","))&amp;",",","&amp;SUBSTITUTE(input_enews_audience," ","")&amp;",")))=0)),IF(CK173="",TRUE,IF(input_enews_audience="",FALSE,SUMPRODUCT(--ISNUMBER(SEARCH(","&amp;TRIM(TEXTSPLIT(CK173,","))&amp;",",","&amp;SUBSTITUTE(input_enews_audience," ","")&amp;",")))&gt;0)),IF(CM173="",TRUE,IF(input_enews_audience="",FALSE,SUMPRODUCT(--ISNUMBER(SEARCH(","&amp;TRIM(TEXTSPLIT(CM173,","))&amp;",",","&amp;SUBSTITUTE(input_enews_audience," ","")&amp;",")))=COUNTA(TEXTSPLIT(CM173,",")))))</f>
        <v/>
      </c>
      <c r="JB173" s="19">
        <f>AND(IF(CO173="",TRUE,IF(input_event_location="",FALSE,SUMPRODUCT(--ISNUMBER(SEARCH(","&amp;TRIM(TEXTSPLIT(CO173,","))&amp;",",","&amp;SUBSTITUTE(input_event_location," ","")&amp;",")))&gt;0)),IF(CQ173="",TRUE,IF(input_event_location="",FALSE,SUMPRODUCT(--ISNUMBER(SEARCH(","&amp;TRIM(TEXTSPLIT(CQ173,","))&amp;",",","&amp;SUBSTITUTE(input_event_location," ","")&amp;",")))=COUNTA(TEXTSPLIT(CQ173,",")))),IF(CS173="",TRUE,IF(input_event_location="",TRUE,SUMPRODUCT(--ISNUMBER(SEARCH(","&amp;TRIM(TEXTSPLIT(CS173,","))&amp;",",","&amp;SUBSTITUTE(input_event_location," ","")&amp;",")))=0)),IF(CU173="",TRUE,IF(input_event_location="",FALSE,SUMPRODUCT(--ISNUMBER(SEARCH(","&amp;TRIM(TEXTSPLIT(CU173,","))&amp;",",","&amp;SUBSTITUTE(input_event_location," ","")&amp;",")))&gt;0)),IF(CW173="",TRUE,IF(input_event_location="",FALSE,SUMPRODUCT(--ISNUMBER(SEARCH(","&amp;TRIM(TEXTSPLIT(CW173,","))&amp;",",","&amp;SUBSTITUTE(input_event_location," ","")&amp;",")))=COUNTA(TEXTSPLIT(CW173,",")))))</f>
        <v/>
      </c>
      <c r="JC173" s="19">
        <f>AND(IF(CY173="",TRUE,IF(input_event_type="",FALSE,SUMPRODUCT(--ISNUMBER(SEARCH(","&amp;TRIM(TEXTSPLIT(CY173,","))&amp;",",","&amp;SUBSTITUTE(input_event_type," ","")&amp;",")))&gt;0)),IF(DA173="",TRUE,IF(input_event_type="",FALSE,SUMPRODUCT(--ISNUMBER(SEARCH(","&amp;TRIM(TEXTSPLIT(DA173,","))&amp;",",","&amp;SUBSTITUTE(input_event_type," ","")&amp;",")))=COUNTA(TEXTSPLIT(DA173,",")))),IF(DC173="",TRUE,IF(input_event_type="",TRUE,SUMPRODUCT(--ISNUMBER(SEARCH(","&amp;TRIM(TEXTSPLIT(DC173,","))&amp;",",","&amp;SUBSTITUTE(input_event_type," ","")&amp;",")))=0)),IF(DE173="",TRUE,IF(input_event_type="",FALSE,SUMPRODUCT(--ISNUMBER(SEARCH(","&amp;TRIM(TEXTSPLIT(DE173,","))&amp;",",","&amp;SUBSTITUTE(input_event_type," ","")&amp;",")))&gt;0)),IF(DG173="",TRUE,IF(input_event_type="",FALSE,SUMPRODUCT(--ISNUMBER(SEARCH(","&amp;TRIM(TEXTSPLIT(DG173,","))&amp;",",","&amp;SUBSTITUTE(input_event_type," ","")&amp;",")))=COUNTA(TEXTSPLIT(DG173,",")))))</f>
        <v/>
      </c>
      <c r="JD173" s="19">
        <f>AND(IF(DI173="",TRUE,IF(input_executive_education_focus="",FALSE,SUMPRODUCT(--ISNUMBER(SEARCH(","&amp;TRIM(TEXTSPLIT(DI173,","))&amp;",",","&amp;SUBSTITUTE(input_executive_education_focus," ","")&amp;",")))&gt;0)),IF(DK173="",TRUE,IF(input_executive_education_focus="",FALSE,SUMPRODUCT(--ISNUMBER(SEARCH(","&amp;TRIM(TEXTSPLIT(DK173,","))&amp;",",","&amp;SUBSTITUTE(input_executive_education_focus," ","")&amp;",")))=COUNTA(TEXTSPLIT(DK173,",")))),IF(DM173="",TRUE,IF(input_executive_education_focus="",TRUE,SUMPRODUCT(--ISNUMBER(SEARCH(","&amp;TRIM(TEXTSPLIT(DM173,","))&amp;",",","&amp;SUBSTITUTE(input_executive_education_focus," ","")&amp;",")))=0)),IF(DO173="",TRUE,IF(input_executive_education_focus="",FALSE,SUMPRODUCT(--ISNUMBER(SEARCH(","&amp;TRIM(TEXTSPLIT(DO173,","))&amp;",",","&amp;SUBSTITUTE(input_executive_education_focus," ","")&amp;",")))&gt;0)),IF(DQ173="",TRUE,IF(input_executive_education_focus="",FALSE,SUMPRODUCT(--ISNUMBER(SEARCH(","&amp;TRIM(TEXTSPLIT(DQ173,","))&amp;",",","&amp;SUBSTITUTE(input_executive_education_focus," ","")&amp;",")))=COUNTA(TEXTSPLIT(DQ173,",")))))</f>
        <v/>
      </c>
      <c r="JE173" s="19">
        <f>AND(IF(DS173="",TRUE,IF(input_faculty_category="",FALSE,SUMPRODUCT(--ISNUMBER(SEARCH(","&amp;TRIM(TEXTSPLIT(DS173,","))&amp;",",","&amp;SUBSTITUTE(input_faculty_category," ","")&amp;",")))&gt;0)),IF(DU173="",TRUE,IF(input_faculty_category="",FALSE,SUMPRODUCT(--ISNUMBER(SEARCH(","&amp;TRIM(TEXTSPLIT(DU173,","))&amp;",",","&amp;SUBSTITUTE(input_faculty_category," ","")&amp;",")))=COUNTA(TEXTSPLIT(DU173,",")))),IF(DW173="",TRUE,IF(input_faculty_category="",TRUE,SUMPRODUCT(--ISNUMBER(SEARCH(","&amp;TRIM(TEXTSPLIT(DW173,","))&amp;",",","&amp;SUBSTITUTE(input_faculty_category," ","")&amp;",")))=0)),IF(DY173="",TRUE,IF(input_faculty_category="",FALSE,SUMPRODUCT(--ISNUMBER(SEARCH(","&amp;TRIM(TEXTSPLIT(DY173,","))&amp;",",","&amp;SUBSTITUTE(input_faculty_category," ","")&amp;",")))&gt;0)),IF(EA173="",TRUE,IF(input_faculty_category="",FALSE,SUMPRODUCT(--ISNUMBER(SEARCH(","&amp;TRIM(TEXTSPLIT(EA173,","))&amp;",",","&amp;SUBSTITUTE(input_faculty_category," ","")&amp;",")))=COUNTA(TEXTSPLIT(EA173,",")))))</f>
        <v/>
      </c>
      <c r="JF173" s="19">
        <f>AND(IF(EC173="",TRUE,IF(input_faculty_discipline="",FALSE,SUMPRODUCT(--ISNUMBER(SEARCH(","&amp;TRIM(TEXTSPLIT(EC173,","))&amp;",",","&amp;SUBSTITUTE(input_faculty_discipline," ","")&amp;",")))&gt;0)),IF(EE173="",TRUE,IF(input_faculty_discipline="",FALSE,SUMPRODUCT(--ISNUMBER(SEARCH(","&amp;TRIM(TEXTSPLIT(EE173,","))&amp;",",","&amp;SUBSTITUTE(input_faculty_discipline," ","")&amp;",")))=COUNTA(TEXTSPLIT(EE173,",")))),IF(EG173="",TRUE,IF(input_faculty_discipline="",TRUE,SUMPRODUCT(--ISNUMBER(SEARCH(","&amp;TRIM(TEXTSPLIT(EG173,","))&amp;",",","&amp;SUBSTITUTE(input_faculty_discipline," ","")&amp;",")))=0)),IF(EI173="",TRUE,IF(input_faculty_discipline="",FALSE,SUMPRODUCT(--ISNUMBER(SEARCH(","&amp;TRIM(TEXTSPLIT(EI173,","))&amp;",",","&amp;SUBSTITUTE(input_faculty_discipline," ","")&amp;",")))&gt;0)),IF(EK173="",TRUE,IF(input_faculty_discipline="",FALSE,SUMPRODUCT(--ISNUMBER(SEARCH(","&amp;TRIM(TEXTSPLIT(EK173,","))&amp;",",","&amp;SUBSTITUTE(input_faculty_discipline," ","")&amp;",")))=COUNTA(TEXTSPLIT(EK173,",")))))</f>
        <v/>
      </c>
      <c r="JG173" s="19">
        <f>AND(IF(EM173="",TRUE,IF(input_faculty_expertise="",FALSE,SUMPRODUCT(--ISNUMBER(SEARCH(","&amp;TRIM(TEXTSPLIT(EM173,","))&amp;",",","&amp;SUBSTITUTE(input_faculty_expertise," ","")&amp;",")))&gt;0)),IF(EO173="",TRUE,IF(input_faculty_expertise="",FALSE,SUMPRODUCT(--ISNUMBER(SEARCH(","&amp;TRIM(TEXTSPLIT(EO173,","))&amp;",",","&amp;SUBSTITUTE(input_faculty_expertise," ","")&amp;",")))=COUNTA(TEXTSPLIT(EO173,",")))),IF(EQ173="",TRUE,IF(input_faculty_expertise="",TRUE,SUMPRODUCT(--ISNUMBER(SEARCH(","&amp;TRIM(TEXTSPLIT(EQ173,","))&amp;",",","&amp;SUBSTITUTE(input_faculty_expertise," ","")&amp;",")))=0)),IF(ES173="",TRUE,IF(input_faculty_expertise="",FALSE,SUMPRODUCT(--ISNUMBER(SEARCH(","&amp;TRIM(TEXTSPLIT(ES173,","))&amp;",",","&amp;SUBSTITUTE(input_faculty_expertise," ","")&amp;",")))&gt;0)),IF(EU173="",TRUE,IF(input_faculty_expertise="",FALSE,SUMPRODUCT(--ISNUMBER(SEARCH(","&amp;TRIM(TEXTSPLIT(EU173,","))&amp;",",","&amp;SUBSTITUTE(input_faculty_expertise," ","")&amp;",")))=COUNTA(TEXTSPLIT(EU173,",")))))</f>
        <v/>
      </c>
      <c r="JH173" s="19">
        <f>AND(IF(EW173="",TRUE,IF(input_global_network_school="",FALSE,SUMPRODUCT(--ISNUMBER(SEARCH(","&amp;TRIM(TEXTSPLIT(EW173,","))&amp;",",","&amp;SUBSTITUTE(input_global_network_school," ","")&amp;",")))&gt;0)),IF(EY173="",TRUE,IF(input_global_network_school="",FALSE,SUMPRODUCT(--ISNUMBER(SEARCH(","&amp;TRIM(TEXTSPLIT(EY173,","))&amp;",",","&amp;SUBSTITUTE(input_global_network_school," ","")&amp;",")))=COUNTA(TEXTSPLIT(EY173,",")))),IF(FA173="",TRUE,IF(input_global_network_school="",TRUE,SUMPRODUCT(--ISNUMBER(SEARCH(","&amp;TRIM(TEXTSPLIT(FA173,","))&amp;",",","&amp;SUBSTITUTE(input_global_network_school," ","")&amp;",")))=0)),IF(FC173="",TRUE,IF(input_global_network_school="",FALSE,SUMPRODUCT(--ISNUMBER(SEARCH(","&amp;TRIM(TEXTSPLIT(FC173,","))&amp;",",","&amp;SUBSTITUTE(input_global_network_school," ","")&amp;",")))&gt;0)),IF(FE173="",TRUE,IF(input_global_network_school="",FALSE,SUMPRODUCT(--ISNUMBER(SEARCH(","&amp;TRIM(TEXTSPLIT(FE173,","))&amp;",",","&amp;SUBSTITUTE(input_global_network_school," ","")&amp;",")))=COUNTA(TEXTSPLIT(FE173,",")))))</f>
        <v/>
      </c>
      <c r="JI173" s="19">
        <f>AND(IF(FG173="",TRUE,IF(input_industry="",FALSE,SUMPRODUCT(--ISNUMBER(SEARCH(","&amp;TRIM(TEXTSPLIT(FG173,","))&amp;",",","&amp;SUBSTITUTE(input_industry," ","")&amp;",")))&gt;0)),IF(FI173="",TRUE,IF(input_industry="",FALSE,SUMPRODUCT(--ISNUMBER(SEARCH(","&amp;TRIM(TEXTSPLIT(FI173,","))&amp;",",","&amp;SUBSTITUTE(input_industry," ","")&amp;",")))=COUNTA(TEXTSPLIT(FI173,",")))),IF(FK173="",TRUE,IF(input_industry="",TRUE,SUMPRODUCT(--ISNUMBER(SEARCH(","&amp;TRIM(TEXTSPLIT(FK173,","))&amp;",",","&amp;SUBSTITUTE(input_industry," ","")&amp;",")))=0)),IF(FM173="",TRUE,IF(input_industry="",FALSE,SUMPRODUCT(--ISNUMBER(SEARCH(","&amp;TRIM(TEXTSPLIT(FM173,","))&amp;",",","&amp;SUBSTITUTE(input_industry," ","")&amp;",")))&gt;0)),IF(FO173="",TRUE,IF(input_industry="",FALSE,SUMPRODUCT(--ISNUMBER(SEARCH(","&amp;TRIM(TEXTSPLIT(FO173,","))&amp;",",","&amp;SUBSTITUTE(input_industry," ","")&amp;",")))=COUNTA(TEXTSPLIT(FO173,",")))))</f>
        <v/>
      </c>
      <c r="JJ173" s="19">
        <f>AND(IF(FQ173="",TRUE,IF(input_location="",FALSE,SUMPRODUCT(--ISNUMBER(SEARCH(","&amp;TRIM(TEXTSPLIT(FQ173,","))&amp;",",","&amp;SUBSTITUTE(input_location," ","")&amp;",")))&gt;0)),IF(FS173="",TRUE,IF(input_location="",FALSE,SUMPRODUCT(--ISNUMBER(SEARCH(","&amp;TRIM(TEXTSPLIT(FS173,","))&amp;",",","&amp;SUBSTITUTE(input_location," ","")&amp;",")))=COUNTA(TEXTSPLIT(FS173,",")))),IF(FU173="",TRUE,IF(input_location="",TRUE,SUMPRODUCT(--ISNUMBER(SEARCH(","&amp;TRIM(TEXTSPLIT(FU173,","))&amp;",",","&amp;SUBSTITUTE(input_location," ","")&amp;",")))=0)),IF(FW173="",TRUE,IF(input_location="",FALSE,SUMPRODUCT(--ISNUMBER(SEARCH(","&amp;TRIM(TEXTSPLIT(FW173,","))&amp;",",","&amp;SUBSTITUTE(input_location," ","")&amp;",")))&gt;0)),IF(FY173="",TRUE,IF(input_location="",FALSE,SUMPRODUCT(--ISNUMBER(SEARCH(","&amp;TRIM(TEXTSPLIT(FY173,","))&amp;",",","&amp;SUBSTITUTE(input_location," ","")&amp;",")))=COUNTA(TEXTSPLIT(FY173,",")))))</f>
        <v/>
      </c>
      <c r="JK173" s="19">
        <f>AND(IF(GA173="",TRUE,IF(input_modality="",FALSE,SUMPRODUCT(--ISNUMBER(SEARCH(","&amp;TRIM(TEXTSPLIT(GA173,","))&amp;",",","&amp;SUBSTITUTE(input_modality," ","")&amp;",")))&gt;0)),IF(GC173="",TRUE,IF(input_modality="",FALSE,SUMPRODUCT(--ISNUMBER(SEARCH(","&amp;TRIM(TEXTSPLIT(GC173,","))&amp;",",","&amp;SUBSTITUTE(input_modality," ","")&amp;",")))=COUNTA(TEXTSPLIT(GC173,",")))),IF(GE173="",TRUE,IF(input_modality="",TRUE,SUMPRODUCT(--ISNUMBER(SEARCH(","&amp;TRIM(TEXTSPLIT(GE173,","))&amp;",",","&amp;SUBSTITUTE(input_modality," ","")&amp;",")))=0)),IF(GG173="",TRUE,IF(input_modality="",FALSE,SUMPRODUCT(--ISNUMBER(SEARCH(","&amp;TRIM(TEXTSPLIT(GG173,","))&amp;",",","&amp;SUBSTITUTE(input_modality," ","")&amp;",")))&gt;0)),IF(GI173="",TRUE,IF(input_modality="",FALSE,SUMPRODUCT(--ISNUMBER(SEARCH(","&amp;TRIM(TEXTSPLIT(GI173,","))&amp;",",","&amp;SUBSTITUTE(input_modality," ","")&amp;",")))=COUNTA(TEXTSPLIT(GI173,",")))))</f>
        <v/>
      </c>
      <c r="JL173" s="19">
        <f>AND(IF(GK173="",TRUE,IF(input_organizer="",FALSE,SUMPRODUCT(--ISNUMBER(SEARCH(","&amp;TRIM(TEXTSPLIT(GK173,","))&amp;",",","&amp;SUBSTITUTE(input_organizer," ","")&amp;",")))&gt;0)),IF(GM173="",TRUE,IF(input_organizer="",FALSE,SUMPRODUCT(--ISNUMBER(SEARCH(","&amp;TRIM(TEXTSPLIT(GM173,","))&amp;",",","&amp;SUBSTITUTE(input_organizer," ","")&amp;",")))=COUNTA(TEXTSPLIT(GM173,",")))),IF(GO173="",TRUE,IF(input_organizer="",TRUE,SUMPRODUCT(--ISNUMBER(SEARCH(","&amp;TRIM(TEXTSPLIT(GO173,","))&amp;",",","&amp;SUBSTITUTE(input_organizer," ","")&amp;",")))=0)),IF(GQ173="",TRUE,IF(input_organizer="",FALSE,SUMPRODUCT(--ISNUMBER(SEARCH(","&amp;TRIM(TEXTSPLIT(GQ173,","))&amp;",",","&amp;SUBSTITUTE(input_organizer," ","")&amp;",")))&gt;0)),IF(GS173="",TRUE,IF(input_organizer="",FALSE,SUMPRODUCT(--ISNUMBER(SEARCH(","&amp;TRIM(TEXTSPLIT(GS173,","))&amp;",",","&amp;SUBSTITUTE(input_organizer," ","")&amp;",")))=COUNTA(TEXTSPLIT(GS173,",")))))</f>
        <v/>
      </c>
      <c r="JM173" s="19">
        <f>AND(IF(GU173="",TRUE,IF(input_profile_type="",FALSE,SUMPRODUCT(--ISNUMBER(SEARCH(","&amp;TRIM(TEXTSPLIT(GU173,","))&amp;",",","&amp;SUBSTITUTE(input_profile_type," ","")&amp;",")))&gt;0)),IF(GW173="",TRUE,IF(input_profile_type="",FALSE,SUMPRODUCT(--ISNUMBER(SEARCH(","&amp;TRIM(TEXTSPLIT(GW173,","))&amp;",",","&amp;SUBSTITUTE(input_profile_type," ","")&amp;",")))=COUNTA(TEXTSPLIT(GW173,",")))),IF(GY173="",TRUE,IF(input_profile_type="",TRUE,SUMPRODUCT(--ISNUMBER(SEARCH(","&amp;TRIM(TEXTSPLIT(GY173,","))&amp;",",","&amp;SUBSTITUTE(input_profile_type," ","")&amp;",")))=0)),IF(HA173="",TRUE,IF(input_profile_type="",FALSE,SUMPRODUCT(--ISNUMBER(SEARCH(","&amp;TRIM(TEXTSPLIT(HA173,","))&amp;",",","&amp;SUBSTITUTE(input_profile_type," ","")&amp;",")))&gt;0)),IF(HC173="",TRUE,IF(input_profile_type="",FALSE,SUMPRODUCT(--ISNUMBER(SEARCH(","&amp;TRIM(TEXTSPLIT(HC173,","))&amp;",",","&amp;SUBSTITUTE(input_profile_type," ","")&amp;",")))=COUNTA(TEXTSPLIT(HC173,",")))))</f>
        <v/>
      </c>
      <c r="JN173" s="19">
        <f>AND(IF(HE173="",TRUE,IF(input_program="",FALSE,SUMPRODUCT(--ISNUMBER(SEARCH(","&amp;TRIM(TEXTSPLIT(HE173,","))&amp;",",","&amp;SUBSTITUTE(input_program," ","")&amp;",")))&gt;0)),IF(HG173="",TRUE,IF(input_program="",FALSE,SUMPRODUCT(--ISNUMBER(SEARCH(","&amp;TRIM(TEXTSPLIT(HG173,","))&amp;",",","&amp;SUBSTITUTE(input_program," ","")&amp;",")))=COUNTA(TEXTSPLIT(HG173,",")))),IF(HI173="",TRUE,IF(input_program="",TRUE,SUMPRODUCT(--ISNUMBER(SEARCH(","&amp;TRIM(TEXTSPLIT(HI173,","))&amp;",",","&amp;SUBSTITUTE(input_program," ","")&amp;",")))=0)),IF(HK173="",TRUE,IF(input_program="",FALSE,SUMPRODUCT(--ISNUMBER(SEARCH(","&amp;TRIM(TEXTSPLIT(HK173,","))&amp;",",","&amp;SUBSTITUTE(input_program," ","")&amp;",")))&gt;0)),IF(HM173="",TRUE,IF(input_program="",FALSE,SUMPRODUCT(--ISNUMBER(SEARCH(","&amp;TRIM(TEXTSPLIT(HM173,","))&amp;",",","&amp;SUBSTITUTE(input_program," ","")&amp;",")))=COUNTA(TEXTSPLIT(HM173,",")))))</f>
        <v/>
      </c>
      <c r="JO173" s="19">
        <f>AND(IF(HO173="",TRUE,IF(input_story_categories="",FALSE,SUMPRODUCT(--ISNUMBER(SEARCH(","&amp;TRIM(TEXTSPLIT(HO173,","))&amp;",",","&amp;SUBSTITUTE(input_story_categories," ","")&amp;",")))&gt;0)),IF(HQ173="",TRUE,IF(input_story_categories="",FALSE,SUMPRODUCT(--ISNUMBER(SEARCH(","&amp;TRIM(TEXTSPLIT(HQ173,","))&amp;",",","&amp;SUBSTITUTE(input_story_categories," ","")&amp;",")))=COUNTA(TEXTSPLIT(HQ173,",")))),IF(HS173="",TRUE,IF(input_story_categories="",TRUE,SUMPRODUCT(--ISNUMBER(SEARCH(","&amp;TRIM(TEXTSPLIT(HS173,","))&amp;",",","&amp;SUBSTITUTE(input_story_categories," ","")&amp;",")))=0)),IF(HU173="",TRUE,IF(input_story_categories="",FALSE,SUMPRODUCT(--ISNUMBER(SEARCH(","&amp;TRIM(TEXTSPLIT(HU173,","))&amp;",",","&amp;SUBSTITUTE(input_story_categories," ","")&amp;",")))&gt;0)),IF(HW173="",TRUE,IF(input_story_categories="",FALSE,SUMPRODUCT(--ISNUMBER(SEARCH(","&amp;TRIM(TEXTSPLIT(HW173,","))&amp;",",","&amp;SUBSTITUTE(input_story_categories," ","")&amp;",")))=COUNTA(TEXTSPLIT(HW173,",")))))</f>
        <v/>
      </c>
      <c r="JP173" s="19">
        <f>AND(IF(HY173="",TRUE,IF(input_story_type="",FALSE,SUMPRODUCT(--ISNUMBER(SEARCH(","&amp;TRIM(TEXTSPLIT(HY173,","))&amp;",",","&amp;SUBSTITUTE(input_story_type," ","")&amp;",")))&gt;0)),IF(IA173="",TRUE,IF(input_story_type="",FALSE,SUMPRODUCT(--ISNUMBER(SEARCH(","&amp;TRIM(TEXTSPLIT(IA173,","))&amp;",",","&amp;SUBSTITUTE(input_story_type," ","")&amp;",")))=COUNTA(TEXTSPLIT(IA173,",")))),IF(IC173="",TRUE,IF(input_story_type="",TRUE,SUMPRODUCT(--ISNUMBER(SEARCH(","&amp;TRIM(TEXTSPLIT(IC173,","))&amp;",",","&amp;SUBSTITUTE(input_story_type," ","")&amp;",")))=0)),IF(IE173="",TRUE,IF(input_story_type="",FALSE,SUMPRODUCT(--ISNUMBER(SEARCH(","&amp;TRIM(TEXTSPLIT(IE173,","))&amp;",",","&amp;SUBSTITUTE(input_story_type," ","")&amp;",")))&gt;0)),IF(IG173="",TRUE,IF(input_story_type="",FALSE,SUMPRODUCT(--ISNUMBER(SEARCH(","&amp;TRIM(TEXTSPLIT(IG173,","))&amp;",",","&amp;SUBSTITUTE(input_story_type," ","")&amp;",")))=COUNTA(TEXTSPLIT(IG173,",")))))</f>
        <v/>
      </c>
      <c r="JQ173" s="19">
        <f>AND(IF(II173="",TRUE,IF(input_topics="",FALSE,SUMPRODUCT(--ISNUMBER(SEARCH(","&amp;TRIM(TEXTSPLIT(II173,","))&amp;",",","&amp;SUBSTITUTE(input_topics," ","")&amp;",")))&gt;0)),IF(IK173="",TRUE,IF(input_topics="",FALSE,SUMPRODUCT(--ISNUMBER(SEARCH(","&amp;TRIM(TEXTSPLIT(IK173,","))&amp;",",","&amp;SUBSTITUTE(input_topics," ","")&amp;",")))=COUNTA(TEXTSPLIT(IK173,",")))),IF(IM173="",TRUE,IF(input_topics="",TRUE,SUMPRODUCT(--ISNUMBER(SEARCH(","&amp;TRIM(TEXTSPLIT(IM173,","))&amp;",",","&amp;SUBSTITUTE(input_topics," ","")&amp;",")))=0)),IF(IO173="",TRUE,IF(input_topics="",FALSE,SUMPRODUCT(--ISNUMBER(SEARCH(","&amp;TRIM(TEXTSPLIT(IO173,","))&amp;",",","&amp;SUBSTITUTE(input_topics," ","")&amp;",")))&gt;0)),IF(IQ173="",TRUE,IF(input_topics="",FALSE,SUMPRODUCT(--ISNUMBER(SEARCH(","&amp;TRIM(TEXTSPLIT(IQ173,","))&amp;",",","&amp;SUBSTITUTE(input_topics," ","")&amp;",")))=COUNTA(TEXTSPLIT(IQ173,",")))))</f>
        <v/>
      </c>
    </row>
    <row r="174">
      <c r="A174" s="24">
        <f>IF(NOT(IS174),"Excluded",IF(AND(IT174,IU174,IV174,IW174,IX174,IY174,IZ174,JA174,JB174,JC174,JD174,JE174,JF174,JG174,JH174,JI174,JJ174,JK174,JL174,JM174,JN174,JO174,JP174,JQ174),IF(I174&gt;0,"Eligible but limited","Will appear"),"Excluded"))</f>
        <v/>
      </c>
      <c r="B174" s="24" t="inlineStr">
        <is>
          <t>Related stories</t>
        </is>
      </c>
      <c r="C174" s="27" t="inlineStr">
        <is>
          <t>/programs/emba/curriculum/global-offerings</t>
        </is>
      </c>
      <c r="D174" s="24" t="inlineStr">
        <is>
          <t>/programs/emba/curriculum/global-offerings</t>
        </is>
      </c>
      <c r="E174" s="24" t="n">
        <v>1</v>
      </c>
      <c r="F174" s="24" t="inlineStr">
        <is>
          <t>story</t>
        </is>
      </c>
      <c r="G174" s="24" t="inlineStr">
        <is>
          <t>stories_teaser_cards</t>
        </is>
      </c>
      <c r="H174" s="24" t="inlineStr">
        <is>
          <t>embed_blog</t>
        </is>
      </c>
      <c r="I174" s="24" t="n">
        <v>3</v>
      </c>
      <c r="J174" s="29" t="inlineStr">
        <is>
          <t>Section inferred</t>
        </is>
      </c>
      <c r="K174" s="24" t="inlineStr">
        <is>
          <t>Page placement</t>
        </is>
      </c>
      <c r="L174" s="24" t="inlineStr">
        <is>
          <t>Content type: story; Context uses Courses Context: MBA For Executives (928); Needs any Story Type: Blog (974); Limited to 3 item(s); Source: Section inferred</t>
        </is>
      </c>
      <c r="BQ174" s="19" t="inlineStr">
        <is>
          <t>928</t>
        </is>
      </c>
      <c r="BR174" s="19" t="inlineStr">
        <is>
          <t>MBA For Executives (928)</t>
        </is>
      </c>
      <c r="HY174" s="19" t="inlineStr">
        <is>
          <t>974</t>
        </is>
      </c>
      <c r="HZ174" s="19" t="inlineStr">
        <is>
          <t>Blog (974)</t>
        </is>
      </c>
      <c r="IS174" s="19">
        <f>IF(input_content_type="",FALSE,ISNUMBER(SEARCH(","&amp;LOWER(input_content_type)&amp;",",","&amp;LOWER(SUBSTITUTE(F174," ",""))&amp;",")))</f>
        <v/>
      </c>
      <c r="IT174" s="19">
        <f>AND(IF(M174="",TRUE,IF(input_affiliations="",FALSE,SUMPRODUCT(--ISNUMBER(SEARCH(","&amp;TRIM(TEXTSPLIT(M174,","))&amp;",",","&amp;SUBSTITUTE(input_affiliations," ","")&amp;",")))&gt;0)),IF(O174="",TRUE,IF(input_affiliations="",FALSE,SUMPRODUCT(--ISNUMBER(SEARCH(","&amp;TRIM(TEXTSPLIT(O174,","))&amp;",",","&amp;SUBSTITUTE(input_affiliations," ","")&amp;",")))=COUNTA(TEXTSPLIT(O174,",")))),IF(Q174="",TRUE,IF(input_affiliations="",TRUE,SUMPRODUCT(--ISNUMBER(SEARCH(","&amp;TRIM(TEXTSPLIT(Q174,","))&amp;",",","&amp;SUBSTITUTE(input_affiliations," ","")&amp;",")))=0)),IF(S174="",TRUE,IF(input_affiliations="",FALSE,SUMPRODUCT(--ISNUMBER(SEARCH(","&amp;TRIM(TEXTSPLIT(S174,","))&amp;",",","&amp;SUBSTITUTE(input_affiliations," ","")&amp;",")))&gt;0)),IF(U174="",TRUE,IF(input_affiliations="",FALSE,SUMPRODUCT(--ISNUMBER(SEARCH(","&amp;TRIM(TEXTSPLIT(U174,","))&amp;",",","&amp;SUBSTITUTE(input_affiliations," ","")&amp;",")))=COUNTA(TEXTSPLIT(U174,",")))))</f>
        <v/>
      </c>
      <c r="IU174" s="19">
        <f>AND(IF(W174="",TRUE,IF(input_announcement_category="",FALSE,SUMPRODUCT(--ISNUMBER(SEARCH(","&amp;TRIM(TEXTSPLIT(W174,","))&amp;",",","&amp;SUBSTITUTE(input_announcement_category," ","")&amp;",")))&gt;0)),IF(Y174="",TRUE,IF(input_announcement_category="",FALSE,SUMPRODUCT(--ISNUMBER(SEARCH(","&amp;TRIM(TEXTSPLIT(Y174,","))&amp;",",","&amp;SUBSTITUTE(input_announcement_category," ","")&amp;",")))=COUNTA(TEXTSPLIT(Y174,",")))),IF(AA174="",TRUE,IF(input_announcement_category="",TRUE,SUMPRODUCT(--ISNUMBER(SEARCH(","&amp;TRIM(TEXTSPLIT(AA174,","))&amp;",",","&amp;SUBSTITUTE(input_announcement_category," ","")&amp;",")))=0)),IF(AC174="",TRUE,IF(input_announcement_category="",FALSE,SUMPRODUCT(--ISNUMBER(SEARCH(","&amp;TRIM(TEXTSPLIT(AC174,","))&amp;",",","&amp;SUBSTITUTE(input_announcement_category," ","")&amp;",")))&gt;0)),IF(AE174="",TRUE,IF(input_announcement_category="",FALSE,SUMPRODUCT(--ISNUMBER(SEARCH(","&amp;TRIM(TEXTSPLIT(AE174,","))&amp;",",","&amp;SUBSTITUTE(input_announcement_category," ","")&amp;",")))=COUNTA(TEXTSPLIT(AE174,",")))))</f>
        <v/>
      </c>
      <c r="IV174" s="19">
        <f>AND(IF(AG174="",TRUE,IF(input_area_of_focus="",FALSE,SUMPRODUCT(--ISNUMBER(SEARCH(","&amp;TRIM(TEXTSPLIT(AG174,","))&amp;",",","&amp;SUBSTITUTE(input_area_of_focus," ","")&amp;",")))&gt;0)),IF(AI174="",TRUE,IF(input_area_of_focus="",FALSE,SUMPRODUCT(--ISNUMBER(SEARCH(","&amp;TRIM(TEXTSPLIT(AI174,","))&amp;",",","&amp;SUBSTITUTE(input_area_of_focus," ","")&amp;",")))=COUNTA(TEXTSPLIT(AI174,",")))),IF(AK174="",TRUE,IF(input_area_of_focus="",TRUE,SUMPRODUCT(--ISNUMBER(SEARCH(","&amp;TRIM(TEXTSPLIT(AK174,","))&amp;",",","&amp;SUBSTITUTE(input_area_of_focus," ","")&amp;",")))=0)),IF(AM174="",TRUE,IF(input_area_of_focus="",FALSE,SUMPRODUCT(--ISNUMBER(SEARCH(","&amp;TRIM(TEXTSPLIT(AM174,","))&amp;",",","&amp;SUBSTITUTE(input_area_of_focus," ","")&amp;",")))&gt;0)),IF(AO174="",TRUE,IF(input_area_of_focus="",FALSE,SUMPRODUCT(--ISNUMBER(SEARCH(","&amp;TRIM(TEXTSPLIT(AO174,","))&amp;",",","&amp;SUBSTITUTE(input_area_of_focus," ","")&amp;",")))=COUNTA(TEXTSPLIT(AO174,",")))))</f>
        <v/>
      </c>
      <c r="IW174" s="19">
        <f>AND(IF(AQ174="",TRUE,IF(input_audience="",FALSE,SUMPRODUCT(--ISNUMBER(SEARCH(","&amp;TRIM(TEXTSPLIT(AQ174,","))&amp;",",","&amp;SUBSTITUTE(input_audience," ","")&amp;",")))&gt;0)),IF(AS174="",TRUE,IF(input_audience="",FALSE,SUMPRODUCT(--ISNUMBER(SEARCH(","&amp;TRIM(TEXTSPLIT(AS174,","))&amp;",",","&amp;SUBSTITUTE(input_audience," ","")&amp;",")))=COUNTA(TEXTSPLIT(AS174,",")))),IF(AU174="",TRUE,IF(input_audience="",TRUE,SUMPRODUCT(--ISNUMBER(SEARCH(","&amp;TRIM(TEXTSPLIT(AU174,","))&amp;",",","&amp;SUBSTITUTE(input_audience," ","")&amp;",")))=0)),IF(AW174="",TRUE,IF(input_audience="",FALSE,SUMPRODUCT(--ISNUMBER(SEARCH(","&amp;TRIM(TEXTSPLIT(AW174,","))&amp;",",","&amp;SUBSTITUTE(input_audience," ","")&amp;",")))&gt;0)),IF(AY174="",TRUE,IF(input_audience="",FALSE,SUMPRODUCT(--ISNUMBER(SEARCH(","&amp;TRIM(TEXTSPLIT(AY174,","))&amp;",",","&amp;SUBSTITUTE(input_audience," ","")&amp;",")))=COUNTA(TEXTSPLIT(AY174,",")))))</f>
        <v/>
      </c>
      <c r="IX174" s="19">
        <f>AND(IF(BA174="",TRUE,IF(input_challenge_opportunities="",FALSE,SUMPRODUCT(--ISNUMBER(SEARCH(","&amp;TRIM(TEXTSPLIT(BA174,","))&amp;",",","&amp;SUBSTITUTE(input_challenge_opportunities," ","")&amp;",")))&gt;0)),IF(BC174="",TRUE,IF(input_challenge_opportunities="",FALSE,SUMPRODUCT(--ISNUMBER(SEARCH(","&amp;TRIM(TEXTSPLIT(BC174,","))&amp;",",","&amp;SUBSTITUTE(input_challenge_opportunities," ","")&amp;",")))=COUNTA(TEXTSPLIT(BC174,",")))),IF(BE174="",TRUE,IF(input_challenge_opportunities="",TRUE,SUMPRODUCT(--ISNUMBER(SEARCH(","&amp;TRIM(TEXTSPLIT(BE174,","))&amp;",",","&amp;SUBSTITUTE(input_challenge_opportunities," ","")&amp;",")))=0)),IF(BG174="",TRUE,IF(input_challenge_opportunities="",FALSE,SUMPRODUCT(--ISNUMBER(SEARCH(","&amp;TRIM(TEXTSPLIT(BG174,","))&amp;",",","&amp;SUBSTITUTE(input_challenge_opportunities," ","")&amp;",")))&gt;0)),IF(BI174="",TRUE,IF(input_challenge_opportunities="",FALSE,SUMPRODUCT(--ISNUMBER(SEARCH(","&amp;TRIM(TEXTSPLIT(BI174,","))&amp;",",","&amp;SUBSTITUTE(input_challenge_opportunities," ","")&amp;",")))=COUNTA(TEXTSPLIT(BI174,",")))))</f>
        <v/>
      </c>
      <c r="IY174" s="19">
        <f>AND(IF(BK174="",TRUE,IF(input_context="",FALSE,SUMPRODUCT(--ISNUMBER(SEARCH(","&amp;TRIM(TEXTSPLIT(BK174,","))&amp;",",","&amp;SUBSTITUTE(input_context," ","")&amp;",")))&gt;0)),IF(BM174="",TRUE,IF(input_context="",FALSE,SUMPRODUCT(--ISNUMBER(SEARCH(","&amp;TRIM(TEXTSPLIT(BM174,","))&amp;",",","&amp;SUBSTITUTE(input_context," ","")&amp;",")))=COUNTA(TEXTSPLIT(BM174,",")))),IF(BO174="",TRUE,IF(input_context="",TRUE,SUMPRODUCT(--ISNUMBER(SEARCH(","&amp;TRIM(TEXTSPLIT(BO174,","))&amp;",",","&amp;SUBSTITUTE(input_context," ","")&amp;",")))=0)),IF(BQ174="",TRUE,IF(input_context="",FALSE,SUMPRODUCT(--ISNUMBER(SEARCH(","&amp;TRIM(TEXTSPLIT(BQ174,","))&amp;",",","&amp;SUBSTITUTE(input_context," ","")&amp;",")))&gt;0)),IF(BS174="",TRUE,IF(input_context="",FALSE,SUMPRODUCT(--ISNUMBER(SEARCH(","&amp;TRIM(TEXTSPLIT(BS174,","))&amp;",",","&amp;SUBSTITUTE(input_context," ","")&amp;",")))=COUNTA(TEXTSPLIT(BS174,",")))))</f>
        <v/>
      </c>
      <c r="IZ174" s="19">
        <f>AND(IF(BU174="",TRUE,IF(input_enews_announcement_type="",FALSE,SUMPRODUCT(--ISNUMBER(SEARCH(","&amp;TRIM(TEXTSPLIT(BU174,","))&amp;",",","&amp;SUBSTITUTE(input_enews_announcement_type," ","")&amp;",")))&gt;0)),IF(BW174="",TRUE,IF(input_enews_announcement_type="",FALSE,SUMPRODUCT(--ISNUMBER(SEARCH(","&amp;TRIM(TEXTSPLIT(BW174,","))&amp;",",","&amp;SUBSTITUTE(input_enews_announcement_type," ","")&amp;",")))=COUNTA(TEXTSPLIT(BW174,",")))),IF(BY174="",TRUE,IF(input_enews_announcement_type="",TRUE,SUMPRODUCT(--ISNUMBER(SEARCH(","&amp;TRIM(TEXTSPLIT(BY174,","))&amp;",",","&amp;SUBSTITUTE(input_enews_announcement_type," ","")&amp;",")))=0)),IF(CA174="",TRUE,IF(input_enews_announcement_type="",FALSE,SUMPRODUCT(--ISNUMBER(SEARCH(","&amp;TRIM(TEXTSPLIT(CA174,","))&amp;",",","&amp;SUBSTITUTE(input_enews_announcement_type," ","")&amp;",")))&gt;0)),IF(CC174="",TRUE,IF(input_enews_announcement_type="",FALSE,SUMPRODUCT(--ISNUMBER(SEARCH(","&amp;TRIM(TEXTSPLIT(CC174,","))&amp;",",","&amp;SUBSTITUTE(input_enews_announcement_type," ","")&amp;",")))=COUNTA(TEXTSPLIT(CC174,",")))))</f>
        <v/>
      </c>
      <c r="JA174" s="19">
        <f>AND(IF(CE174="",TRUE,IF(input_enews_audience="",FALSE,SUMPRODUCT(--ISNUMBER(SEARCH(","&amp;TRIM(TEXTSPLIT(CE174,","))&amp;",",","&amp;SUBSTITUTE(input_enews_audience," ","")&amp;",")))&gt;0)),IF(CG174="",TRUE,IF(input_enews_audience="",FALSE,SUMPRODUCT(--ISNUMBER(SEARCH(","&amp;TRIM(TEXTSPLIT(CG174,","))&amp;",",","&amp;SUBSTITUTE(input_enews_audience," ","")&amp;",")))=COUNTA(TEXTSPLIT(CG174,",")))),IF(CI174="",TRUE,IF(input_enews_audience="",TRUE,SUMPRODUCT(--ISNUMBER(SEARCH(","&amp;TRIM(TEXTSPLIT(CI174,","))&amp;",",","&amp;SUBSTITUTE(input_enews_audience," ","")&amp;",")))=0)),IF(CK174="",TRUE,IF(input_enews_audience="",FALSE,SUMPRODUCT(--ISNUMBER(SEARCH(","&amp;TRIM(TEXTSPLIT(CK174,","))&amp;",",","&amp;SUBSTITUTE(input_enews_audience," ","")&amp;",")))&gt;0)),IF(CM174="",TRUE,IF(input_enews_audience="",FALSE,SUMPRODUCT(--ISNUMBER(SEARCH(","&amp;TRIM(TEXTSPLIT(CM174,","))&amp;",",","&amp;SUBSTITUTE(input_enews_audience," ","")&amp;",")))=COUNTA(TEXTSPLIT(CM174,",")))))</f>
        <v/>
      </c>
      <c r="JB174" s="19">
        <f>AND(IF(CO174="",TRUE,IF(input_event_location="",FALSE,SUMPRODUCT(--ISNUMBER(SEARCH(","&amp;TRIM(TEXTSPLIT(CO174,","))&amp;",",","&amp;SUBSTITUTE(input_event_location," ","")&amp;",")))&gt;0)),IF(CQ174="",TRUE,IF(input_event_location="",FALSE,SUMPRODUCT(--ISNUMBER(SEARCH(","&amp;TRIM(TEXTSPLIT(CQ174,","))&amp;",",","&amp;SUBSTITUTE(input_event_location," ","")&amp;",")))=COUNTA(TEXTSPLIT(CQ174,",")))),IF(CS174="",TRUE,IF(input_event_location="",TRUE,SUMPRODUCT(--ISNUMBER(SEARCH(","&amp;TRIM(TEXTSPLIT(CS174,","))&amp;",",","&amp;SUBSTITUTE(input_event_location," ","")&amp;",")))=0)),IF(CU174="",TRUE,IF(input_event_location="",FALSE,SUMPRODUCT(--ISNUMBER(SEARCH(","&amp;TRIM(TEXTSPLIT(CU174,","))&amp;",",","&amp;SUBSTITUTE(input_event_location," ","")&amp;",")))&gt;0)),IF(CW174="",TRUE,IF(input_event_location="",FALSE,SUMPRODUCT(--ISNUMBER(SEARCH(","&amp;TRIM(TEXTSPLIT(CW174,","))&amp;",",","&amp;SUBSTITUTE(input_event_location," ","")&amp;",")))=COUNTA(TEXTSPLIT(CW174,",")))))</f>
        <v/>
      </c>
      <c r="JC174" s="19">
        <f>AND(IF(CY174="",TRUE,IF(input_event_type="",FALSE,SUMPRODUCT(--ISNUMBER(SEARCH(","&amp;TRIM(TEXTSPLIT(CY174,","))&amp;",",","&amp;SUBSTITUTE(input_event_type," ","")&amp;",")))&gt;0)),IF(DA174="",TRUE,IF(input_event_type="",FALSE,SUMPRODUCT(--ISNUMBER(SEARCH(","&amp;TRIM(TEXTSPLIT(DA174,","))&amp;",",","&amp;SUBSTITUTE(input_event_type," ","")&amp;",")))=COUNTA(TEXTSPLIT(DA174,",")))),IF(DC174="",TRUE,IF(input_event_type="",TRUE,SUMPRODUCT(--ISNUMBER(SEARCH(","&amp;TRIM(TEXTSPLIT(DC174,","))&amp;",",","&amp;SUBSTITUTE(input_event_type," ","")&amp;",")))=0)),IF(DE174="",TRUE,IF(input_event_type="",FALSE,SUMPRODUCT(--ISNUMBER(SEARCH(","&amp;TRIM(TEXTSPLIT(DE174,","))&amp;",",","&amp;SUBSTITUTE(input_event_type," ","")&amp;",")))&gt;0)),IF(DG174="",TRUE,IF(input_event_type="",FALSE,SUMPRODUCT(--ISNUMBER(SEARCH(","&amp;TRIM(TEXTSPLIT(DG174,","))&amp;",",","&amp;SUBSTITUTE(input_event_type," ","")&amp;",")))=COUNTA(TEXTSPLIT(DG174,",")))))</f>
        <v/>
      </c>
      <c r="JD174" s="19">
        <f>AND(IF(DI174="",TRUE,IF(input_executive_education_focus="",FALSE,SUMPRODUCT(--ISNUMBER(SEARCH(","&amp;TRIM(TEXTSPLIT(DI174,","))&amp;",",","&amp;SUBSTITUTE(input_executive_education_focus," ","")&amp;",")))&gt;0)),IF(DK174="",TRUE,IF(input_executive_education_focus="",FALSE,SUMPRODUCT(--ISNUMBER(SEARCH(","&amp;TRIM(TEXTSPLIT(DK174,","))&amp;",",","&amp;SUBSTITUTE(input_executive_education_focus," ","")&amp;",")))=COUNTA(TEXTSPLIT(DK174,",")))),IF(DM174="",TRUE,IF(input_executive_education_focus="",TRUE,SUMPRODUCT(--ISNUMBER(SEARCH(","&amp;TRIM(TEXTSPLIT(DM174,","))&amp;",",","&amp;SUBSTITUTE(input_executive_education_focus," ","")&amp;",")))=0)),IF(DO174="",TRUE,IF(input_executive_education_focus="",FALSE,SUMPRODUCT(--ISNUMBER(SEARCH(","&amp;TRIM(TEXTSPLIT(DO174,","))&amp;",",","&amp;SUBSTITUTE(input_executive_education_focus," ","")&amp;",")))&gt;0)),IF(DQ174="",TRUE,IF(input_executive_education_focus="",FALSE,SUMPRODUCT(--ISNUMBER(SEARCH(","&amp;TRIM(TEXTSPLIT(DQ174,","))&amp;",",","&amp;SUBSTITUTE(input_executive_education_focus," ","")&amp;",")))=COUNTA(TEXTSPLIT(DQ174,",")))))</f>
        <v/>
      </c>
      <c r="JE174" s="19">
        <f>AND(IF(DS174="",TRUE,IF(input_faculty_category="",FALSE,SUMPRODUCT(--ISNUMBER(SEARCH(","&amp;TRIM(TEXTSPLIT(DS174,","))&amp;",",","&amp;SUBSTITUTE(input_faculty_category," ","")&amp;",")))&gt;0)),IF(DU174="",TRUE,IF(input_faculty_category="",FALSE,SUMPRODUCT(--ISNUMBER(SEARCH(","&amp;TRIM(TEXTSPLIT(DU174,","))&amp;",",","&amp;SUBSTITUTE(input_faculty_category," ","")&amp;",")))=COUNTA(TEXTSPLIT(DU174,",")))),IF(DW174="",TRUE,IF(input_faculty_category="",TRUE,SUMPRODUCT(--ISNUMBER(SEARCH(","&amp;TRIM(TEXTSPLIT(DW174,","))&amp;",",","&amp;SUBSTITUTE(input_faculty_category," ","")&amp;",")))=0)),IF(DY174="",TRUE,IF(input_faculty_category="",FALSE,SUMPRODUCT(--ISNUMBER(SEARCH(","&amp;TRIM(TEXTSPLIT(DY174,","))&amp;",",","&amp;SUBSTITUTE(input_faculty_category," ","")&amp;",")))&gt;0)),IF(EA174="",TRUE,IF(input_faculty_category="",FALSE,SUMPRODUCT(--ISNUMBER(SEARCH(","&amp;TRIM(TEXTSPLIT(EA174,","))&amp;",",","&amp;SUBSTITUTE(input_faculty_category," ","")&amp;",")))=COUNTA(TEXTSPLIT(EA174,",")))))</f>
        <v/>
      </c>
      <c r="JF174" s="19">
        <f>AND(IF(EC174="",TRUE,IF(input_faculty_discipline="",FALSE,SUMPRODUCT(--ISNUMBER(SEARCH(","&amp;TRIM(TEXTSPLIT(EC174,","))&amp;",",","&amp;SUBSTITUTE(input_faculty_discipline," ","")&amp;",")))&gt;0)),IF(EE174="",TRUE,IF(input_faculty_discipline="",FALSE,SUMPRODUCT(--ISNUMBER(SEARCH(","&amp;TRIM(TEXTSPLIT(EE174,","))&amp;",",","&amp;SUBSTITUTE(input_faculty_discipline," ","")&amp;",")))=COUNTA(TEXTSPLIT(EE174,",")))),IF(EG174="",TRUE,IF(input_faculty_discipline="",TRUE,SUMPRODUCT(--ISNUMBER(SEARCH(","&amp;TRIM(TEXTSPLIT(EG174,","))&amp;",",","&amp;SUBSTITUTE(input_faculty_discipline," ","")&amp;",")))=0)),IF(EI174="",TRUE,IF(input_faculty_discipline="",FALSE,SUMPRODUCT(--ISNUMBER(SEARCH(","&amp;TRIM(TEXTSPLIT(EI174,","))&amp;",",","&amp;SUBSTITUTE(input_faculty_discipline," ","")&amp;",")))&gt;0)),IF(EK174="",TRUE,IF(input_faculty_discipline="",FALSE,SUMPRODUCT(--ISNUMBER(SEARCH(","&amp;TRIM(TEXTSPLIT(EK174,","))&amp;",",","&amp;SUBSTITUTE(input_faculty_discipline," ","")&amp;",")))=COUNTA(TEXTSPLIT(EK174,",")))))</f>
        <v/>
      </c>
      <c r="JG174" s="19">
        <f>AND(IF(EM174="",TRUE,IF(input_faculty_expertise="",FALSE,SUMPRODUCT(--ISNUMBER(SEARCH(","&amp;TRIM(TEXTSPLIT(EM174,","))&amp;",",","&amp;SUBSTITUTE(input_faculty_expertise," ","")&amp;",")))&gt;0)),IF(EO174="",TRUE,IF(input_faculty_expertise="",FALSE,SUMPRODUCT(--ISNUMBER(SEARCH(","&amp;TRIM(TEXTSPLIT(EO174,","))&amp;",",","&amp;SUBSTITUTE(input_faculty_expertise," ","")&amp;",")))=COUNTA(TEXTSPLIT(EO174,",")))),IF(EQ174="",TRUE,IF(input_faculty_expertise="",TRUE,SUMPRODUCT(--ISNUMBER(SEARCH(","&amp;TRIM(TEXTSPLIT(EQ174,","))&amp;",",","&amp;SUBSTITUTE(input_faculty_expertise," ","")&amp;",")))=0)),IF(ES174="",TRUE,IF(input_faculty_expertise="",FALSE,SUMPRODUCT(--ISNUMBER(SEARCH(","&amp;TRIM(TEXTSPLIT(ES174,","))&amp;",",","&amp;SUBSTITUTE(input_faculty_expertise," ","")&amp;",")))&gt;0)),IF(EU174="",TRUE,IF(input_faculty_expertise="",FALSE,SUMPRODUCT(--ISNUMBER(SEARCH(","&amp;TRIM(TEXTSPLIT(EU174,","))&amp;",",","&amp;SUBSTITUTE(input_faculty_expertise," ","")&amp;",")))=COUNTA(TEXTSPLIT(EU174,",")))))</f>
        <v/>
      </c>
      <c r="JH174" s="19">
        <f>AND(IF(EW174="",TRUE,IF(input_global_network_school="",FALSE,SUMPRODUCT(--ISNUMBER(SEARCH(","&amp;TRIM(TEXTSPLIT(EW174,","))&amp;",",","&amp;SUBSTITUTE(input_global_network_school," ","")&amp;",")))&gt;0)),IF(EY174="",TRUE,IF(input_global_network_school="",FALSE,SUMPRODUCT(--ISNUMBER(SEARCH(","&amp;TRIM(TEXTSPLIT(EY174,","))&amp;",",","&amp;SUBSTITUTE(input_global_network_school," ","")&amp;",")))=COUNTA(TEXTSPLIT(EY174,",")))),IF(FA174="",TRUE,IF(input_global_network_school="",TRUE,SUMPRODUCT(--ISNUMBER(SEARCH(","&amp;TRIM(TEXTSPLIT(FA174,","))&amp;",",","&amp;SUBSTITUTE(input_global_network_school," ","")&amp;",")))=0)),IF(FC174="",TRUE,IF(input_global_network_school="",FALSE,SUMPRODUCT(--ISNUMBER(SEARCH(","&amp;TRIM(TEXTSPLIT(FC174,","))&amp;",",","&amp;SUBSTITUTE(input_global_network_school," ","")&amp;",")))&gt;0)),IF(FE174="",TRUE,IF(input_global_network_school="",FALSE,SUMPRODUCT(--ISNUMBER(SEARCH(","&amp;TRIM(TEXTSPLIT(FE174,","))&amp;",",","&amp;SUBSTITUTE(input_global_network_school," ","")&amp;",")))=COUNTA(TEXTSPLIT(FE174,",")))))</f>
        <v/>
      </c>
      <c r="JI174" s="19">
        <f>AND(IF(FG174="",TRUE,IF(input_industry="",FALSE,SUMPRODUCT(--ISNUMBER(SEARCH(","&amp;TRIM(TEXTSPLIT(FG174,","))&amp;",",","&amp;SUBSTITUTE(input_industry," ","")&amp;",")))&gt;0)),IF(FI174="",TRUE,IF(input_industry="",FALSE,SUMPRODUCT(--ISNUMBER(SEARCH(","&amp;TRIM(TEXTSPLIT(FI174,","))&amp;",",","&amp;SUBSTITUTE(input_industry," ","")&amp;",")))=COUNTA(TEXTSPLIT(FI174,",")))),IF(FK174="",TRUE,IF(input_industry="",TRUE,SUMPRODUCT(--ISNUMBER(SEARCH(","&amp;TRIM(TEXTSPLIT(FK174,","))&amp;",",","&amp;SUBSTITUTE(input_industry," ","")&amp;",")))=0)),IF(FM174="",TRUE,IF(input_industry="",FALSE,SUMPRODUCT(--ISNUMBER(SEARCH(","&amp;TRIM(TEXTSPLIT(FM174,","))&amp;",",","&amp;SUBSTITUTE(input_industry," ","")&amp;",")))&gt;0)),IF(FO174="",TRUE,IF(input_industry="",FALSE,SUMPRODUCT(--ISNUMBER(SEARCH(","&amp;TRIM(TEXTSPLIT(FO174,","))&amp;",",","&amp;SUBSTITUTE(input_industry," ","")&amp;",")))=COUNTA(TEXTSPLIT(FO174,",")))))</f>
        <v/>
      </c>
      <c r="JJ174" s="19">
        <f>AND(IF(FQ174="",TRUE,IF(input_location="",FALSE,SUMPRODUCT(--ISNUMBER(SEARCH(","&amp;TRIM(TEXTSPLIT(FQ174,","))&amp;",",","&amp;SUBSTITUTE(input_location," ","")&amp;",")))&gt;0)),IF(FS174="",TRUE,IF(input_location="",FALSE,SUMPRODUCT(--ISNUMBER(SEARCH(","&amp;TRIM(TEXTSPLIT(FS174,","))&amp;",",","&amp;SUBSTITUTE(input_location," ","")&amp;",")))=COUNTA(TEXTSPLIT(FS174,",")))),IF(FU174="",TRUE,IF(input_location="",TRUE,SUMPRODUCT(--ISNUMBER(SEARCH(","&amp;TRIM(TEXTSPLIT(FU174,","))&amp;",",","&amp;SUBSTITUTE(input_location," ","")&amp;",")))=0)),IF(FW174="",TRUE,IF(input_location="",FALSE,SUMPRODUCT(--ISNUMBER(SEARCH(","&amp;TRIM(TEXTSPLIT(FW174,","))&amp;",",","&amp;SUBSTITUTE(input_location," ","")&amp;",")))&gt;0)),IF(FY174="",TRUE,IF(input_location="",FALSE,SUMPRODUCT(--ISNUMBER(SEARCH(","&amp;TRIM(TEXTSPLIT(FY174,","))&amp;",",","&amp;SUBSTITUTE(input_location," ","")&amp;",")))=COUNTA(TEXTSPLIT(FY174,",")))))</f>
        <v/>
      </c>
      <c r="JK174" s="19">
        <f>AND(IF(GA174="",TRUE,IF(input_modality="",FALSE,SUMPRODUCT(--ISNUMBER(SEARCH(","&amp;TRIM(TEXTSPLIT(GA174,","))&amp;",",","&amp;SUBSTITUTE(input_modality," ","")&amp;",")))&gt;0)),IF(GC174="",TRUE,IF(input_modality="",FALSE,SUMPRODUCT(--ISNUMBER(SEARCH(","&amp;TRIM(TEXTSPLIT(GC174,","))&amp;",",","&amp;SUBSTITUTE(input_modality," ","")&amp;",")))=COUNTA(TEXTSPLIT(GC174,",")))),IF(GE174="",TRUE,IF(input_modality="",TRUE,SUMPRODUCT(--ISNUMBER(SEARCH(","&amp;TRIM(TEXTSPLIT(GE174,","))&amp;",",","&amp;SUBSTITUTE(input_modality," ","")&amp;",")))=0)),IF(GG174="",TRUE,IF(input_modality="",FALSE,SUMPRODUCT(--ISNUMBER(SEARCH(","&amp;TRIM(TEXTSPLIT(GG174,","))&amp;",",","&amp;SUBSTITUTE(input_modality," ","")&amp;",")))&gt;0)),IF(GI174="",TRUE,IF(input_modality="",FALSE,SUMPRODUCT(--ISNUMBER(SEARCH(","&amp;TRIM(TEXTSPLIT(GI174,","))&amp;",",","&amp;SUBSTITUTE(input_modality," ","")&amp;",")))=COUNTA(TEXTSPLIT(GI174,",")))))</f>
        <v/>
      </c>
      <c r="JL174" s="19">
        <f>AND(IF(GK174="",TRUE,IF(input_organizer="",FALSE,SUMPRODUCT(--ISNUMBER(SEARCH(","&amp;TRIM(TEXTSPLIT(GK174,","))&amp;",",","&amp;SUBSTITUTE(input_organizer," ","")&amp;",")))&gt;0)),IF(GM174="",TRUE,IF(input_organizer="",FALSE,SUMPRODUCT(--ISNUMBER(SEARCH(","&amp;TRIM(TEXTSPLIT(GM174,","))&amp;",",","&amp;SUBSTITUTE(input_organizer," ","")&amp;",")))=COUNTA(TEXTSPLIT(GM174,",")))),IF(GO174="",TRUE,IF(input_organizer="",TRUE,SUMPRODUCT(--ISNUMBER(SEARCH(","&amp;TRIM(TEXTSPLIT(GO174,","))&amp;",",","&amp;SUBSTITUTE(input_organizer," ","")&amp;",")))=0)),IF(GQ174="",TRUE,IF(input_organizer="",FALSE,SUMPRODUCT(--ISNUMBER(SEARCH(","&amp;TRIM(TEXTSPLIT(GQ174,","))&amp;",",","&amp;SUBSTITUTE(input_organizer," ","")&amp;",")))&gt;0)),IF(GS174="",TRUE,IF(input_organizer="",FALSE,SUMPRODUCT(--ISNUMBER(SEARCH(","&amp;TRIM(TEXTSPLIT(GS174,","))&amp;",",","&amp;SUBSTITUTE(input_organizer," ","")&amp;",")))=COUNTA(TEXTSPLIT(GS174,",")))))</f>
        <v/>
      </c>
      <c r="JM174" s="19">
        <f>AND(IF(GU174="",TRUE,IF(input_profile_type="",FALSE,SUMPRODUCT(--ISNUMBER(SEARCH(","&amp;TRIM(TEXTSPLIT(GU174,","))&amp;",",","&amp;SUBSTITUTE(input_profile_type," ","")&amp;",")))&gt;0)),IF(GW174="",TRUE,IF(input_profile_type="",FALSE,SUMPRODUCT(--ISNUMBER(SEARCH(","&amp;TRIM(TEXTSPLIT(GW174,","))&amp;",",","&amp;SUBSTITUTE(input_profile_type," ","")&amp;",")))=COUNTA(TEXTSPLIT(GW174,",")))),IF(GY174="",TRUE,IF(input_profile_type="",TRUE,SUMPRODUCT(--ISNUMBER(SEARCH(","&amp;TRIM(TEXTSPLIT(GY174,","))&amp;",",","&amp;SUBSTITUTE(input_profile_type," ","")&amp;",")))=0)),IF(HA174="",TRUE,IF(input_profile_type="",FALSE,SUMPRODUCT(--ISNUMBER(SEARCH(","&amp;TRIM(TEXTSPLIT(HA174,","))&amp;",",","&amp;SUBSTITUTE(input_profile_type," ","")&amp;",")))&gt;0)),IF(HC174="",TRUE,IF(input_profile_type="",FALSE,SUMPRODUCT(--ISNUMBER(SEARCH(","&amp;TRIM(TEXTSPLIT(HC174,","))&amp;",",","&amp;SUBSTITUTE(input_profile_type," ","")&amp;",")))=COUNTA(TEXTSPLIT(HC174,",")))))</f>
        <v/>
      </c>
      <c r="JN174" s="19">
        <f>AND(IF(HE174="",TRUE,IF(input_program="",FALSE,SUMPRODUCT(--ISNUMBER(SEARCH(","&amp;TRIM(TEXTSPLIT(HE174,","))&amp;",",","&amp;SUBSTITUTE(input_program," ","")&amp;",")))&gt;0)),IF(HG174="",TRUE,IF(input_program="",FALSE,SUMPRODUCT(--ISNUMBER(SEARCH(","&amp;TRIM(TEXTSPLIT(HG174,","))&amp;",",","&amp;SUBSTITUTE(input_program," ","")&amp;",")))=COUNTA(TEXTSPLIT(HG174,",")))),IF(HI174="",TRUE,IF(input_program="",TRUE,SUMPRODUCT(--ISNUMBER(SEARCH(","&amp;TRIM(TEXTSPLIT(HI174,","))&amp;",",","&amp;SUBSTITUTE(input_program," ","")&amp;",")))=0)),IF(HK174="",TRUE,IF(input_program="",FALSE,SUMPRODUCT(--ISNUMBER(SEARCH(","&amp;TRIM(TEXTSPLIT(HK174,","))&amp;",",","&amp;SUBSTITUTE(input_program," ","")&amp;",")))&gt;0)),IF(HM174="",TRUE,IF(input_program="",FALSE,SUMPRODUCT(--ISNUMBER(SEARCH(","&amp;TRIM(TEXTSPLIT(HM174,","))&amp;",",","&amp;SUBSTITUTE(input_program," ","")&amp;",")))=COUNTA(TEXTSPLIT(HM174,",")))))</f>
        <v/>
      </c>
      <c r="JO174" s="19">
        <f>AND(IF(HO174="",TRUE,IF(input_story_categories="",FALSE,SUMPRODUCT(--ISNUMBER(SEARCH(","&amp;TRIM(TEXTSPLIT(HO174,","))&amp;",",","&amp;SUBSTITUTE(input_story_categories," ","")&amp;",")))&gt;0)),IF(HQ174="",TRUE,IF(input_story_categories="",FALSE,SUMPRODUCT(--ISNUMBER(SEARCH(","&amp;TRIM(TEXTSPLIT(HQ174,","))&amp;",",","&amp;SUBSTITUTE(input_story_categories," ","")&amp;",")))=COUNTA(TEXTSPLIT(HQ174,",")))),IF(HS174="",TRUE,IF(input_story_categories="",TRUE,SUMPRODUCT(--ISNUMBER(SEARCH(","&amp;TRIM(TEXTSPLIT(HS174,","))&amp;",",","&amp;SUBSTITUTE(input_story_categories," ","")&amp;",")))=0)),IF(HU174="",TRUE,IF(input_story_categories="",FALSE,SUMPRODUCT(--ISNUMBER(SEARCH(","&amp;TRIM(TEXTSPLIT(HU174,","))&amp;",",","&amp;SUBSTITUTE(input_story_categories," ","")&amp;",")))&gt;0)),IF(HW174="",TRUE,IF(input_story_categories="",FALSE,SUMPRODUCT(--ISNUMBER(SEARCH(","&amp;TRIM(TEXTSPLIT(HW174,","))&amp;",",","&amp;SUBSTITUTE(input_story_categories," ","")&amp;",")))=COUNTA(TEXTSPLIT(HW174,",")))))</f>
        <v/>
      </c>
      <c r="JP174" s="19">
        <f>AND(IF(HY174="",TRUE,IF(input_story_type="",FALSE,SUMPRODUCT(--ISNUMBER(SEARCH(","&amp;TRIM(TEXTSPLIT(HY174,","))&amp;",",","&amp;SUBSTITUTE(input_story_type," ","")&amp;",")))&gt;0)),IF(IA174="",TRUE,IF(input_story_type="",FALSE,SUMPRODUCT(--ISNUMBER(SEARCH(","&amp;TRIM(TEXTSPLIT(IA174,","))&amp;",",","&amp;SUBSTITUTE(input_story_type," ","")&amp;",")))=COUNTA(TEXTSPLIT(IA174,",")))),IF(IC174="",TRUE,IF(input_story_type="",TRUE,SUMPRODUCT(--ISNUMBER(SEARCH(","&amp;TRIM(TEXTSPLIT(IC174,","))&amp;",",","&amp;SUBSTITUTE(input_story_type," ","")&amp;",")))=0)),IF(IE174="",TRUE,IF(input_story_type="",FALSE,SUMPRODUCT(--ISNUMBER(SEARCH(","&amp;TRIM(TEXTSPLIT(IE174,","))&amp;",",","&amp;SUBSTITUTE(input_story_type," ","")&amp;",")))&gt;0)),IF(IG174="",TRUE,IF(input_story_type="",FALSE,SUMPRODUCT(--ISNUMBER(SEARCH(","&amp;TRIM(TEXTSPLIT(IG174,","))&amp;",",","&amp;SUBSTITUTE(input_story_type," ","")&amp;",")))=COUNTA(TEXTSPLIT(IG174,",")))))</f>
        <v/>
      </c>
      <c r="JQ174" s="19">
        <f>AND(IF(II174="",TRUE,IF(input_topics="",FALSE,SUMPRODUCT(--ISNUMBER(SEARCH(","&amp;TRIM(TEXTSPLIT(II174,","))&amp;",",","&amp;SUBSTITUTE(input_topics," ","")&amp;",")))&gt;0)),IF(IK174="",TRUE,IF(input_topics="",FALSE,SUMPRODUCT(--ISNUMBER(SEARCH(","&amp;TRIM(TEXTSPLIT(IK174,","))&amp;",",","&amp;SUBSTITUTE(input_topics," ","")&amp;",")))=COUNTA(TEXTSPLIT(IK174,",")))),IF(IM174="",TRUE,IF(input_topics="",TRUE,SUMPRODUCT(--ISNUMBER(SEARCH(","&amp;TRIM(TEXTSPLIT(IM174,","))&amp;",",","&amp;SUBSTITUTE(input_topics," ","")&amp;",")))=0)),IF(IO174="",TRUE,IF(input_topics="",FALSE,SUMPRODUCT(--ISNUMBER(SEARCH(","&amp;TRIM(TEXTSPLIT(IO174,","))&amp;",",","&amp;SUBSTITUTE(input_topics," ","")&amp;",")))&gt;0)),IF(IQ174="",TRUE,IF(input_topics="",FALSE,SUMPRODUCT(--ISNUMBER(SEARCH(","&amp;TRIM(TEXTSPLIT(IQ174,","))&amp;",",","&amp;SUBSTITUTE(input_topics," ","")&amp;",")))=COUNTA(TEXTSPLIT(IQ174,",")))))</f>
        <v/>
      </c>
    </row>
    <row r="175">
      <c r="A175" s="24">
        <f>IF(NOT(IS175),"Excluded",IF(AND(IT175,IU175,IV175,IW175,IX175,IY175,IZ175,JA175,JB175,JC175,JD175,JE175,JF175,JG175,JH175,JI175,JJ175,JK175,JL175,JM175,JN175,JO175,JP175,JQ175),IF(I175&gt;0,"Eligible but limited","Will appear"),"Excluded"))</f>
        <v/>
      </c>
      <c r="B175" s="24" t="inlineStr">
        <is>
          <t>Related stories</t>
        </is>
      </c>
      <c r="C175" s="27" t="inlineStr">
        <is>
          <t>/programs/mam</t>
        </is>
      </c>
      <c r="D175" s="24" t="inlineStr">
        <is>
          <t>/programs/mam</t>
        </is>
      </c>
      <c r="E175" s="24" t="n">
        <v>1</v>
      </c>
      <c r="F175" s="24" t="inlineStr">
        <is>
          <t>story</t>
        </is>
      </c>
      <c r="G175" s="24" t="inlineStr">
        <is>
          <t>stories_teaser_cards</t>
        </is>
      </c>
      <c r="H175" s="24" t="inlineStr">
        <is>
          <t>embed_blog</t>
        </is>
      </c>
      <c r="I175" s="24" t="n">
        <v>3</v>
      </c>
      <c r="J175" s="29" t="inlineStr">
        <is>
          <t>Section inferred</t>
        </is>
      </c>
      <c r="K175" s="24" t="inlineStr">
        <is>
          <t>Page placement</t>
        </is>
      </c>
      <c r="L175" s="24" t="inlineStr">
        <is>
          <t>Content type: story; Context uses Courses Context: Master of Advanced Management (932); Needs any Story Type: Blog (974); Limited to 3 item(s); Source: Section inferred</t>
        </is>
      </c>
      <c r="BQ175" s="19" t="inlineStr">
        <is>
          <t>932</t>
        </is>
      </c>
      <c r="BR175" s="19" t="inlineStr">
        <is>
          <t>Master of Advanced Management (932)</t>
        </is>
      </c>
      <c r="HY175" s="19" t="inlineStr">
        <is>
          <t>974</t>
        </is>
      </c>
      <c r="HZ175" s="19" t="inlineStr">
        <is>
          <t>Blog (974)</t>
        </is>
      </c>
      <c r="IS175" s="19">
        <f>IF(input_content_type="",FALSE,ISNUMBER(SEARCH(","&amp;LOWER(input_content_type)&amp;",",","&amp;LOWER(SUBSTITUTE(F175," ",""))&amp;",")))</f>
        <v/>
      </c>
      <c r="IT175" s="19">
        <f>AND(IF(M175="",TRUE,IF(input_affiliations="",FALSE,SUMPRODUCT(--ISNUMBER(SEARCH(","&amp;TRIM(TEXTSPLIT(M175,","))&amp;",",","&amp;SUBSTITUTE(input_affiliations," ","")&amp;",")))&gt;0)),IF(O175="",TRUE,IF(input_affiliations="",FALSE,SUMPRODUCT(--ISNUMBER(SEARCH(","&amp;TRIM(TEXTSPLIT(O175,","))&amp;",",","&amp;SUBSTITUTE(input_affiliations," ","")&amp;",")))=COUNTA(TEXTSPLIT(O175,",")))),IF(Q175="",TRUE,IF(input_affiliations="",TRUE,SUMPRODUCT(--ISNUMBER(SEARCH(","&amp;TRIM(TEXTSPLIT(Q175,","))&amp;",",","&amp;SUBSTITUTE(input_affiliations," ","")&amp;",")))=0)),IF(S175="",TRUE,IF(input_affiliations="",FALSE,SUMPRODUCT(--ISNUMBER(SEARCH(","&amp;TRIM(TEXTSPLIT(S175,","))&amp;",",","&amp;SUBSTITUTE(input_affiliations," ","")&amp;",")))&gt;0)),IF(U175="",TRUE,IF(input_affiliations="",FALSE,SUMPRODUCT(--ISNUMBER(SEARCH(","&amp;TRIM(TEXTSPLIT(U175,","))&amp;",",","&amp;SUBSTITUTE(input_affiliations," ","")&amp;",")))=COUNTA(TEXTSPLIT(U175,",")))))</f>
        <v/>
      </c>
      <c r="IU175" s="19">
        <f>AND(IF(W175="",TRUE,IF(input_announcement_category="",FALSE,SUMPRODUCT(--ISNUMBER(SEARCH(","&amp;TRIM(TEXTSPLIT(W175,","))&amp;",",","&amp;SUBSTITUTE(input_announcement_category," ","")&amp;",")))&gt;0)),IF(Y175="",TRUE,IF(input_announcement_category="",FALSE,SUMPRODUCT(--ISNUMBER(SEARCH(","&amp;TRIM(TEXTSPLIT(Y175,","))&amp;",",","&amp;SUBSTITUTE(input_announcement_category," ","")&amp;",")))=COUNTA(TEXTSPLIT(Y175,",")))),IF(AA175="",TRUE,IF(input_announcement_category="",TRUE,SUMPRODUCT(--ISNUMBER(SEARCH(","&amp;TRIM(TEXTSPLIT(AA175,","))&amp;",",","&amp;SUBSTITUTE(input_announcement_category," ","")&amp;",")))=0)),IF(AC175="",TRUE,IF(input_announcement_category="",FALSE,SUMPRODUCT(--ISNUMBER(SEARCH(","&amp;TRIM(TEXTSPLIT(AC175,","))&amp;",",","&amp;SUBSTITUTE(input_announcement_category," ","")&amp;",")))&gt;0)),IF(AE175="",TRUE,IF(input_announcement_category="",FALSE,SUMPRODUCT(--ISNUMBER(SEARCH(","&amp;TRIM(TEXTSPLIT(AE175,","))&amp;",",","&amp;SUBSTITUTE(input_announcement_category," ","")&amp;",")))=COUNTA(TEXTSPLIT(AE175,",")))))</f>
        <v/>
      </c>
      <c r="IV175" s="19">
        <f>AND(IF(AG175="",TRUE,IF(input_area_of_focus="",FALSE,SUMPRODUCT(--ISNUMBER(SEARCH(","&amp;TRIM(TEXTSPLIT(AG175,","))&amp;",",","&amp;SUBSTITUTE(input_area_of_focus," ","")&amp;",")))&gt;0)),IF(AI175="",TRUE,IF(input_area_of_focus="",FALSE,SUMPRODUCT(--ISNUMBER(SEARCH(","&amp;TRIM(TEXTSPLIT(AI175,","))&amp;",",","&amp;SUBSTITUTE(input_area_of_focus," ","")&amp;",")))=COUNTA(TEXTSPLIT(AI175,",")))),IF(AK175="",TRUE,IF(input_area_of_focus="",TRUE,SUMPRODUCT(--ISNUMBER(SEARCH(","&amp;TRIM(TEXTSPLIT(AK175,","))&amp;",",","&amp;SUBSTITUTE(input_area_of_focus," ","")&amp;",")))=0)),IF(AM175="",TRUE,IF(input_area_of_focus="",FALSE,SUMPRODUCT(--ISNUMBER(SEARCH(","&amp;TRIM(TEXTSPLIT(AM175,","))&amp;",",","&amp;SUBSTITUTE(input_area_of_focus," ","")&amp;",")))&gt;0)),IF(AO175="",TRUE,IF(input_area_of_focus="",FALSE,SUMPRODUCT(--ISNUMBER(SEARCH(","&amp;TRIM(TEXTSPLIT(AO175,","))&amp;",",","&amp;SUBSTITUTE(input_area_of_focus," ","")&amp;",")))=COUNTA(TEXTSPLIT(AO175,",")))))</f>
        <v/>
      </c>
      <c r="IW175" s="19">
        <f>AND(IF(AQ175="",TRUE,IF(input_audience="",FALSE,SUMPRODUCT(--ISNUMBER(SEARCH(","&amp;TRIM(TEXTSPLIT(AQ175,","))&amp;",",","&amp;SUBSTITUTE(input_audience," ","")&amp;",")))&gt;0)),IF(AS175="",TRUE,IF(input_audience="",FALSE,SUMPRODUCT(--ISNUMBER(SEARCH(","&amp;TRIM(TEXTSPLIT(AS175,","))&amp;",",","&amp;SUBSTITUTE(input_audience," ","")&amp;",")))=COUNTA(TEXTSPLIT(AS175,",")))),IF(AU175="",TRUE,IF(input_audience="",TRUE,SUMPRODUCT(--ISNUMBER(SEARCH(","&amp;TRIM(TEXTSPLIT(AU175,","))&amp;",",","&amp;SUBSTITUTE(input_audience," ","")&amp;",")))=0)),IF(AW175="",TRUE,IF(input_audience="",FALSE,SUMPRODUCT(--ISNUMBER(SEARCH(","&amp;TRIM(TEXTSPLIT(AW175,","))&amp;",",","&amp;SUBSTITUTE(input_audience," ","")&amp;",")))&gt;0)),IF(AY175="",TRUE,IF(input_audience="",FALSE,SUMPRODUCT(--ISNUMBER(SEARCH(","&amp;TRIM(TEXTSPLIT(AY175,","))&amp;",",","&amp;SUBSTITUTE(input_audience," ","")&amp;",")))=COUNTA(TEXTSPLIT(AY175,",")))))</f>
        <v/>
      </c>
      <c r="IX175" s="19">
        <f>AND(IF(BA175="",TRUE,IF(input_challenge_opportunities="",FALSE,SUMPRODUCT(--ISNUMBER(SEARCH(","&amp;TRIM(TEXTSPLIT(BA175,","))&amp;",",","&amp;SUBSTITUTE(input_challenge_opportunities," ","")&amp;",")))&gt;0)),IF(BC175="",TRUE,IF(input_challenge_opportunities="",FALSE,SUMPRODUCT(--ISNUMBER(SEARCH(","&amp;TRIM(TEXTSPLIT(BC175,","))&amp;",",","&amp;SUBSTITUTE(input_challenge_opportunities," ","")&amp;",")))=COUNTA(TEXTSPLIT(BC175,",")))),IF(BE175="",TRUE,IF(input_challenge_opportunities="",TRUE,SUMPRODUCT(--ISNUMBER(SEARCH(","&amp;TRIM(TEXTSPLIT(BE175,","))&amp;",",","&amp;SUBSTITUTE(input_challenge_opportunities," ","")&amp;",")))=0)),IF(BG175="",TRUE,IF(input_challenge_opportunities="",FALSE,SUMPRODUCT(--ISNUMBER(SEARCH(","&amp;TRIM(TEXTSPLIT(BG175,","))&amp;",",","&amp;SUBSTITUTE(input_challenge_opportunities," ","")&amp;",")))&gt;0)),IF(BI175="",TRUE,IF(input_challenge_opportunities="",FALSE,SUMPRODUCT(--ISNUMBER(SEARCH(","&amp;TRIM(TEXTSPLIT(BI175,","))&amp;",",","&amp;SUBSTITUTE(input_challenge_opportunities," ","")&amp;",")))=COUNTA(TEXTSPLIT(BI175,",")))))</f>
        <v/>
      </c>
      <c r="IY175" s="19">
        <f>AND(IF(BK175="",TRUE,IF(input_context="",FALSE,SUMPRODUCT(--ISNUMBER(SEARCH(","&amp;TRIM(TEXTSPLIT(BK175,","))&amp;",",","&amp;SUBSTITUTE(input_context," ","")&amp;",")))&gt;0)),IF(BM175="",TRUE,IF(input_context="",FALSE,SUMPRODUCT(--ISNUMBER(SEARCH(","&amp;TRIM(TEXTSPLIT(BM175,","))&amp;",",","&amp;SUBSTITUTE(input_context," ","")&amp;",")))=COUNTA(TEXTSPLIT(BM175,",")))),IF(BO175="",TRUE,IF(input_context="",TRUE,SUMPRODUCT(--ISNUMBER(SEARCH(","&amp;TRIM(TEXTSPLIT(BO175,","))&amp;",",","&amp;SUBSTITUTE(input_context," ","")&amp;",")))=0)),IF(BQ175="",TRUE,IF(input_context="",FALSE,SUMPRODUCT(--ISNUMBER(SEARCH(","&amp;TRIM(TEXTSPLIT(BQ175,","))&amp;",",","&amp;SUBSTITUTE(input_context," ","")&amp;",")))&gt;0)),IF(BS175="",TRUE,IF(input_context="",FALSE,SUMPRODUCT(--ISNUMBER(SEARCH(","&amp;TRIM(TEXTSPLIT(BS175,","))&amp;",",","&amp;SUBSTITUTE(input_context," ","")&amp;",")))=COUNTA(TEXTSPLIT(BS175,",")))))</f>
        <v/>
      </c>
      <c r="IZ175" s="19">
        <f>AND(IF(BU175="",TRUE,IF(input_enews_announcement_type="",FALSE,SUMPRODUCT(--ISNUMBER(SEARCH(","&amp;TRIM(TEXTSPLIT(BU175,","))&amp;",",","&amp;SUBSTITUTE(input_enews_announcement_type," ","")&amp;",")))&gt;0)),IF(BW175="",TRUE,IF(input_enews_announcement_type="",FALSE,SUMPRODUCT(--ISNUMBER(SEARCH(","&amp;TRIM(TEXTSPLIT(BW175,","))&amp;",",","&amp;SUBSTITUTE(input_enews_announcement_type," ","")&amp;",")))=COUNTA(TEXTSPLIT(BW175,",")))),IF(BY175="",TRUE,IF(input_enews_announcement_type="",TRUE,SUMPRODUCT(--ISNUMBER(SEARCH(","&amp;TRIM(TEXTSPLIT(BY175,","))&amp;",",","&amp;SUBSTITUTE(input_enews_announcement_type," ","")&amp;",")))=0)),IF(CA175="",TRUE,IF(input_enews_announcement_type="",FALSE,SUMPRODUCT(--ISNUMBER(SEARCH(","&amp;TRIM(TEXTSPLIT(CA175,","))&amp;",",","&amp;SUBSTITUTE(input_enews_announcement_type," ","")&amp;",")))&gt;0)),IF(CC175="",TRUE,IF(input_enews_announcement_type="",FALSE,SUMPRODUCT(--ISNUMBER(SEARCH(","&amp;TRIM(TEXTSPLIT(CC175,","))&amp;",",","&amp;SUBSTITUTE(input_enews_announcement_type," ","")&amp;",")))=COUNTA(TEXTSPLIT(CC175,",")))))</f>
        <v/>
      </c>
      <c r="JA175" s="19">
        <f>AND(IF(CE175="",TRUE,IF(input_enews_audience="",FALSE,SUMPRODUCT(--ISNUMBER(SEARCH(","&amp;TRIM(TEXTSPLIT(CE175,","))&amp;",",","&amp;SUBSTITUTE(input_enews_audience," ","")&amp;",")))&gt;0)),IF(CG175="",TRUE,IF(input_enews_audience="",FALSE,SUMPRODUCT(--ISNUMBER(SEARCH(","&amp;TRIM(TEXTSPLIT(CG175,","))&amp;",",","&amp;SUBSTITUTE(input_enews_audience," ","")&amp;",")))=COUNTA(TEXTSPLIT(CG175,",")))),IF(CI175="",TRUE,IF(input_enews_audience="",TRUE,SUMPRODUCT(--ISNUMBER(SEARCH(","&amp;TRIM(TEXTSPLIT(CI175,","))&amp;",",","&amp;SUBSTITUTE(input_enews_audience," ","")&amp;",")))=0)),IF(CK175="",TRUE,IF(input_enews_audience="",FALSE,SUMPRODUCT(--ISNUMBER(SEARCH(","&amp;TRIM(TEXTSPLIT(CK175,","))&amp;",",","&amp;SUBSTITUTE(input_enews_audience," ","")&amp;",")))&gt;0)),IF(CM175="",TRUE,IF(input_enews_audience="",FALSE,SUMPRODUCT(--ISNUMBER(SEARCH(","&amp;TRIM(TEXTSPLIT(CM175,","))&amp;",",","&amp;SUBSTITUTE(input_enews_audience," ","")&amp;",")))=COUNTA(TEXTSPLIT(CM175,",")))))</f>
        <v/>
      </c>
      <c r="JB175" s="19">
        <f>AND(IF(CO175="",TRUE,IF(input_event_location="",FALSE,SUMPRODUCT(--ISNUMBER(SEARCH(","&amp;TRIM(TEXTSPLIT(CO175,","))&amp;",",","&amp;SUBSTITUTE(input_event_location," ","")&amp;",")))&gt;0)),IF(CQ175="",TRUE,IF(input_event_location="",FALSE,SUMPRODUCT(--ISNUMBER(SEARCH(","&amp;TRIM(TEXTSPLIT(CQ175,","))&amp;",",","&amp;SUBSTITUTE(input_event_location," ","")&amp;",")))=COUNTA(TEXTSPLIT(CQ175,",")))),IF(CS175="",TRUE,IF(input_event_location="",TRUE,SUMPRODUCT(--ISNUMBER(SEARCH(","&amp;TRIM(TEXTSPLIT(CS175,","))&amp;",",","&amp;SUBSTITUTE(input_event_location," ","")&amp;",")))=0)),IF(CU175="",TRUE,IF(input_event_location="",FALSE,SUMPRODUCT(--ISNUMBER(SEARCH(","&amp;TRIM(TEXTSPLIT(CU175,","))&amp;",",","&amp;SUBSTITUTE(input_event_location," ","")&amp;",")))&gt;0)),IF(CW175="",TRUE,IF(input_event_location="",FALSE,SUMPRODUCT(--ISNUMBER(SEARCH(","&amp;TRIM(TEXTSPLIT(CW175,","))&amp;",",","&amp;SUBSTITUTE(input_event_location," ","")&amp;",")))=COUNTA(TEXTSPLIT(CW175,",")))))</f>
        <v/>
      </c>
      <c r="JC175" s="19">
        <f>AND(IF(CY175="",TRUE,IF(input_event_type="",FALSE,SUMPRODUCT(--ISNUMBER(SEARCH(","&amp;TRIM(TEXTSPLIT(CY175,","))&amp;",",","&amp;SUBSTITUTE(input_event_type," ","")&amp;",")))&gt;0)),IF(DA175="",TRUE,IF(input_event_type="",FALSE,SUMPRODUCT(--ISNUMBER(SEARCH(","&amp;TRIM(TEXTSPLIT(DA175,","))&amp;",",","&amp;SUBSTITUTE(input_event_type," ","")&amp;",")))=COUNTA(TEXTSPLIT(DA175,",")))),IF(DC175="",TRUE,IF(input_event_type="",TRUE,SUMPRODUCT(--ISNUMBER(SEARCH(","&amp;TRIM(TEXTSPLIT(DC175,","))&amp;",",","&amp;SUBSTITUTE(input_event_type," ","")&amp;",")))=0)),IF(DE175="",TRUE,IF(input_event_type="",FALSE,SUMPRODUCT(--ISNUMBER(SEARCH(","&amp;TRIM(TEXTSPLIT(DE175,","))&amp;",",","&amp;SUBSTITUTE(input_event_type," ","")&amp;",")))&gt;0)),IF(DG175="",TRUE,IF(input_event_type="",FALSE,SUMPRODUCT(--ISNUMBER(SEARCH(","&amp;TRIM(TEXTSPLIT(DG175,","))&amp;",",","&amp;SUBSTITUTE(input_event_type," ","")&amp;",")))=COUNTA(TEXTSPLIT(DG175,",")))))</f>
        <v/>
      </c>
      <c r="JD175" s="19">
        <f>AND(IF(DI175="",TRUE,IF(input_executive_education_focus="",FALSE,SUMPRODUCT(--ISNUMBER(SEARCH(","&amp;TRIM(TEXTSPLIT(DI175,","))&amp;",",","&amp;SUBSTITUTE(input_executive_education_focus," ","")&amp;",")))&gt;0)),IF(DK175="",TRUE,IF(input_executive_education_focus="",FALSE,SUMPRODUCT(--ISNUMBER(SEARCH(","&amp;TRIM(TEXTSPLIT(DK175,","))&amp;",",","&amp;SUBSTITUTE(input_executive_education_focus," ","")&amp;",")))=COUNTA(TEXTSPLIT(DK175,",")))),IF(DM175="",TRUE,IF(input_executive_education_focus="",TRUE,SUMPRODUCT(--ISNUMBER(SEARCH(","&amp;TRIM(TEXTSPLIT(DM175,","))&amp;",",","&amp;SUBSTITUTE(input_executive_education_focus," ","")&amp;",")))=0)),IF(DO175="",TRUE,IF(input_executive_education_focus="",FALSE,SUMPRODUCT(--ISNUMBER(SEARCH(","&amp;TRIM(TEXTSPLIT(DO175,","))&amp;",",","&amp;SUBSTITUTE(input_executive_education_focus," ","")&amp;",")))&gt;0)),IF(DQ175="",TRUE,IF(input_executive_education_focus="",FALSE,SUMPRODUCT(--ISNUMBER(SEARCH(","&amp;TRIM(TEXTSPLIT(DQ175,","))&amp;",",","&amp;SUBSTITUTE(input_executive_education_focus," ","")&amp;",")))=COUNTA(TEXTSPLIT(DQ175,",")))))</f>
        <v/>
      </c>
      <c r="JE175" s="19">
        <f>AND(IF(DS175="",TRUE,IF(input_faculty_category="",FALSE,SUMPRODUCT(--ISNUMBER(SEARCH(","&amp;TRIM(TEXTSPLIT(DS175,","))&amp;",",","&amp;SUBSTITUTE(input_faculty_category," ","")&amp;",")))&gt;0)),IF(DU175="",TRUE,IF(input_faculty_category="",FALSE,SUMPRODUCT(--ISNUMBER(SEARCH(","&amp;TRIM(TEXTSPLIT(DU175,","))&amp;",",","&amp;SUBSTITUTE(input_faculty_category," ","")&amp;",")))=COUNTA(TEXTSPLIT(DU175,",")))),IF(DW175="",TRUE,IF(input_faculty_category="",TRUE,SUMPRODUCT(--ISNUMBER(SEARCH(","&amp;TRIM(TEXTSPLIT(DW175,","))&amp;",",","&amp;SUBSTITUTE(input_faculty_category," ","")&amp;",")))=0)),IF(DY175="",TRUE,IF(input_faculty_category="",FALSE,SUMPRODUCT(--ISNUMBER(SEARCH(","&amp;TRIM(TEXTSPLIT(DY175,","))&amp;",",","&amp;SUBSTITUTE(input_faculty_category," ","")&amp;",")))&gt;0)),IF(EA175="",TRUE,IF(input_faculty_category="",FALSE,SUMPRODUCT(--ISNUMBER(SEARCH(","&amp;TRIM(TEXTSPLIT(EA175,","))&amp;",",","&amp;SUBSTITUTE(input_faculty_category," ","")&amp;",")))=COUNTA(TEXTSPLIT(EA175,",")))))</f>
        <v/>
      </c>
      <c r="JF175" s="19">
        <f>AND(IF(EC175="",TRUE,IF(input_faculty_discipline="",FALSE,SUMPRODUCT(--ISNUMBER(SEARCH(","&amp;TRIM(TEXTSPLIT(EC175,","))&amp;",",","&amp;SUBSTITUTE(input_faculty_discipline," ","")&amp;",")))&gt;0)),IF(EE175="",TRUE,IF(input_faculty_discipline="",FALSE,SUMPRODUCT(--ISNUMBER(SEARCH(","&amp;TRIM(TEXTSPLIT(EE175,","))&amp;",",","&amp;SUBSTITUTE(input_faculty_discipline," ","")&amp;",")))=COUNTA(TEXTSPLIT(EE175,",")))),IF(EG175="",TRUE,IF(input_faculty_discipline="",TRUE,SUMPRODUCT(--ISNUMBER(SEARCH(","&amp;TRIM(TEXTSPLIT(EG175,","))&amp;",",","&amp;SUBSTITUTE(input_faculty_discipline," ","")&amp;",")))=0)),IF(EI175="",TRUE,IF(input_faculty_discipline="",FALSE,SUMPRODUCT(--ISNUMBER(SEARCH(","&amp;TRIM(TEXTSPLIT(EI175,","))&amp;",",","&amp;SUBSTITUTE(input_faculty_discipline," ","")&amp;",")))&gt;0)),IF(EK175="",TRUE,IF(input_faculty_discipline="",FALSE,SUMPRODUCT(--ISNUMBER(SEARCH(","&amp;TRIM(TEXTSPLIT(EK175,","))&amp;",",","&amp;SUBSTITUTE(input_faculty_discipline," ","")&amp;",")))=COUNTA(TEXTSPLIT(EK175,",")))))</f>
        <v/>
      </c>
      <c r="JG175" s="19">
        <f>AND(IF(EM175="",TRUE,IF(input_faculty_expertise="",FALSE,SUMPRODUCT(--ISNUMBER(SEARCH(","&amp;TRIM(TEXTSPLIT(EM175,","))&amp;",",","&amp;SUBSTITUTE(input_faculty_expertise," ","")&amp;",")))&gt;0)),IF(EO175="",TRUE,IF(input_faculty_expertise="",FALSE,SUMPRODUCT(--ISNUMBER(SEARCH(","&amp;TRIM(TEXTSPLIT(EO175,","))&amp;",",","&amp;SUBSTITUTE(input_faculty_expertise," ","")&amp;",")))=COUNTA(TEXTSPLIT(EO175,",")))),IF(EQ175="",TRUE,IF(input_faculty_expertise="",TRUE,SUMPRODUCT(--ISNUMBER(SEARCH(","&amp;TRIM(TEXTSPLIT(EQ175,","))&amp;",",","&amp;SUBSTITUTE(input_faculty_expertise," ","")&amp;",")))=0)),IF(ES175="",TRUE,IF(input_faculty_expertise="",FALSE,SUMPRODUCT(--ISNUMBER(SEARCH(","&amp;TRIM(TEXTSPLIT(ES175,","))&amp;",",","&amp;SUBSTITUTE(input_faculty_expertise," ","")&amp;",")))&gt;0)),IF(EU175="",TRUE,IF(input_faculty_expertise="",FALSE,SUMPRODUCT(--ISNUMBER(SEARCH(","&amp;TRIM(TEXTSPLIT(EU175,","))&amp;",",","&amp;SUBSTITUTE(input_faculty_expertise," ","")&amp;",")))=COUNTA(TEXTSPLIT(EU175,",")))))</f>
        <v/>
      </c>
      <c r="JH175" s="19">
        <f>AND(IF(EW175="",TRUE,IF(input_global_network_school="",FALSE,SUMPRODUCT(--ISNUMBER(SEARCH(","&amp;TRIM(TEXTSPLIT(EW175,","))&amp;",",","&amp;SUBSTITUTE(input_global_network_school," ","")&amp;",")))&gt;0)),IF(EY175="",TRUE,IF(input_global_network_school="",FALSE,SUMPRODUCT(--ISNUMBER(SEARCH(","&amp;TRIM(TEXTSPLIT(EY175,","))&amp;",",","&amp;SUBSTITUTE(input_global_network_school," ","")&amp;",")))=COUNTA(TEXTSPLIT(EY175,",")))),IF(FA175="",TRUE,IF(input_global_network_school="",TRUE,SUMPRODUCT(--ISNUMBER(SEARCH(","&amp;TRIM(TEXTSPLIT(FA175,","))&amp;",",","&amp;SUBSTITUTE(input_global_network_school," ","")&amp;",")))=0)),IF(FC175="",TRUE,IF(input_global_network_school="",FALSE,SUMPRODUCT(--ISNUMBER(SEARCH(","&amp;TRIM(TEXTSPLIT(FC175,","))&amp;",",","&amp;SUBSTITUTE(input_global_network_school," ","")&amp;",")))&gt;0)),IF(FE175="",TRUE,IF(input_global_network_school="",FALSE,SUMPRODUCT(--ISNUMBER(SEARCH(","&amp;TRIM(TEXTSPLIT(FE175,","))&amp;",",","&amp;SUBSTITUTE(input_global_network_school," ","")&amp;",")))=COUNTA(TEXTSPLIT(FE175,",")))))</f>
        <v/>
      </c>
      <c r="JI175" s="19">
        <f>AND(IF(FG175="",TRUE,IF(input_industry="",FALSE,SUMPRODUCT(--ISNUMBER(SEARCH(","&amp;TRIM(TEXTSPLIT(FG175,","))&amp;",",","&amp;SUBSTITUTE(input_industry," ","")&amp;",")))&gt;0)),IF(FI175="",TRUE,IF(input_industry="",FALSE,SUMPRODUCT(--ISNUMBER(SEARCH(","&amp;TRIM(TEXTSPLIT(FI175,","))&amp;",",","&amp;SUBSTITUTE(input_industry," ","")&amp;",")))=COUNTA(TEXTSPLIT(FI175,",")))),IF(FK175="",TRUE,IF(input_industry="",TRUE,SUMPRODUCT(--ISNUMBER(SEARCH(","&amp;TRIM(TEXTSPLIT(FK175,","))&amp;",",","&amp;SUBSTITUTE(input_industry," ","")&amp;",")))=0)),IF(FM175="",TRUE,IF(input_industry="",FALSE,SUMPRODUCT(--ISNUMBER(SEARCH(","&amp;TRIM(TEXTSPLIT(FM175,","))&amp;",",","&amp;SUBSTITUTE(input_industry," ","")&amp;",")))&gt;0)),IF(FO175="",TRUE,IF(input_industry="",FALSE,SUMPRODUCT(--ISNUMBER(SEARCH(","&amp;TRIM(TEXTSPLIT(FO175,","))&amp;",",","&amp;SUBSTITUTE(input_industry," ","")&amp;",")))=COUNTA(TEXTSPLIT(FO175,",")))))</f>
        <v/>
      </c>
      <c r="JJ175" s="19">
        <f>AND(IF(FQ175="",TRUE,IF(input_location="",FALSE,SUMPRODUCT(--ISNUMBER(SEARCH(","&amp;TRIM(TEXTSPLIT(FQ175,","))&amp;",",","&amp;SUBSTITUTE(input_location," ","")&amp;",")))&gt;0)),IF(FS175="",TRUE,IF(input_location="",FALSE,SUMPRODUCT(--ISNUMBER(SEARCH(","&amp;TRIM(TEXTSPLIT(FS175,","))&amp;",",","&amp;SUBSTITUTE(input_location," ","")&amp;",")))=COUNTA(TEXTSPLIT(FS175,",")))),IF(FU175="",TRUE,IF(input_location="",TRUE,SUMPRODUCT(--ISNUMBER(SEARCH(","&amp;TRIM(TEXTSPLIT(FU175,","))&amp;",",","&amp;SUBSTITUTE(input_location," ","")&amp;",")))=0)),IF(FW175="",TRUE,IF(input_location="",FALSE,SUMPRODUCT(--ISNUMBER(SEARCH(","&amp;TRIM(TEXTSPLIT(FW175,","))&amp;",",","&amp;SUBSTITUTE(input_location," ","")&amp;",")))&gt;0)),IF(FY175="",TRUE,IF(input_location="",FALSE,SUMPRODUCT(--ISNUMBER(SEARCH(","&amp;TRIM(TEXTSPLIT(FY175,","))&amp;",",","&amp;SUBSTITUTE(input_location," ","")&amp;",")))=COUNTA(TEXTSPLIT(FY175,",")))))</f>
        <v/>
      </c>
      <c r="JK175" s="19">
        <f>AND(IF(GA175="",TRUE,IF(input_modality="",FALSE,SUMPRODUCT(--ISNUMBER(SEARCH(","&amp;TRIM(TEXTSPLIT(GA175,","))&amp;",",","&amp;SUBSTITUTE(input_modality," ","")&amp;",")))&gt;0)),IF(GC175="",TRUE,IF(input_modality="",FALSE,SUMPRODUCT(--ISNUMBER(SEARCH(","&amp;TRIM(TEXTSPLIT(GC175,","))&amp;",",","&amp;SUBSTITUTE(input_modality," ","")&amp;",")))=COUNTA(TEXTSPLIT(GC175,",")))),IF(GE175="",TRUE,IF(input_modality="",TRUE,SUMPRODUCT(--ISNUMBER(SEARCH(","&amp;TRIM(TEXTSPLIT(GE175,","))&amp;",",","&amp;SUBSTITUTE(input_modality," ","")&amp;",")))=0)),IF(GG175="",TRUE,IF(input_modality="",FALSE,SUMPRODUCT(--ISNUMBER(SEARCH(","&amp;TRIM(TEXTSPLIT(GG175,","))&amp;",",","&amp;SUBSTITUTE(input_modality," ","")&amp;",")))&gt;0)),IF(GI175="",TRUE,IF(input_modality="",FALSE,SUMPRODUCT(--ISNUMBER(SEARCH(","&amp;TRIM(TEXTSPLIT(GI175,","))&amp;",",","&amp;SUBSTITUTE(input_modality," ","")&amp;",")))=COUNTA(TEXTSPLIT(GI175,",")))))</f>
        <v/>
      </c>
      <c r="JL175" s="19">
        <f>AND(IF(GK175="",TRUE,IF(input_organizer="",FALSE,SUMPRODUCT(--ISNUMBER(SEARCH(","&amp;TRIM(TEXTSPLIT(GK175,","))&amp;",",","&amp;SUBSTITUTE(input_organizer," ","")&amp;",")))&gt;0)),IF(GM175="",TRUE,IF(input_organizer="",FALSE,SUMPRODUCT(--ISNUMBER(SEARCH(","&amp;TRIM(TEXTSPLIT(GM175,","))&amp;",",","&amp;SUBSTITUTE(input_organizer," ","")&amp;",")))=COUNTA(TEXTSPLIT(GM175,",")))),IF(GO175="",TRUE,IF(input_organizer="",TRUE,SUMPRODUCT(--ISNUMBER(SEARCH(","&amp;TRIM(TEXTSPLIT(GO175,","))&amp;",",","&amp;SUBSTITUTE(input_organizer," ","")&amp;",")))=0)),IF(GQ175="",TRUE,IF(input_organizer="",FALSE,SUMPRODUCT(--ISNUMBER(SEARCH(","&amp;TRIM(TEXTSPLIT(GQ175,","))&amp;",",","&amp;SUBSTITUTE(input_organizer," ","")&amp;",")))&gt;0)),IF(GS175="",TRUE,IF(input_organizer="",FALSE,SUMPRODUCT(--ISNUMBER(SEARCH(","&amp;TRIM(TEXTSPLIT(GS175,","))&amp;",",","&amp;SUBSTITUTE(input_organizer," ","")&amp;",")))=COUNTA(TEXTSPLIT(GS175,",")))))</f>
        <v/>
      </c>
      <c r="JM175" s="19">
        <f>AND(IF(GU175="",TRUE,IF(input_profile_type="",FALSE,SUMPRODUCT(--ISNUMBER(SEARCH(","&amp;TRIM(TEXTSPLIT(GU175,","))&amp;",",","&amp;SUBSTITUTE(input_profile_type," ","")&amp;",")))&gt;0)),IF(GW175="",TRUE,IF(input_profile_type="",FALSE,SUMPRODUCT(--ISNUMBER(SEARCH(","&amp;TRIM(TEXTSPLIT(GW175,","))&amp;",",","&amp;SUBSTITUTE(input_profile_type," ","")&amp;",")))=COUNTA(TEXTSPLIT(GW175,",")))),IF(GY175="",TRUE,IF(input_profile_type="",TRUE,SUMPRODUCT(--ISNUMBER(SEARCH(","&amp;TRIM(TEXTSPLIT(GY175,","))&amp;",",","&amp;SUBSTITUTE(input_profile_type," ","")&amp;",")))=0)),IF(HA175="",TRUE,IF(input_profile_type="",FALSE,SUMPRODUCT(--ISNUMBER(SEARCH(","&amp;TRIM(TEXTSPLIT(HA175,","))&amp;",",","&amp;SUBSTITUTE(input_profile_type," ","")&amp;",")))&gt;0)),IF(HC175="",TRUE,IF(input_profile_type="",FALSE,SUMPRODUCT(--ISNUMBER(SEARCH(","&amp;TRIM(TEXTSPLIT(HC175,","))&amp;",",","&amp;SUBSTITUTE(input_profile_type," ","")&amp;",")))=COUNTA(TEXTSPLIT(HC175,",")))))</f>
        <v/>
      </c>
      <c r="JN175" s="19">
        <f>AND(IF(HE175="",TRUE,IF(input_program="",FALSE,SUMPRODUCT(--ISNUMBER(SEARCH(","&amp;TRIM(TEXTSPLIT(HE175,","))&amp;",",","&amp;SUBSTITUTE(input_program," ","")&amp;",")))&gt;0)),IF(HG175="",TRUE,IF(input_program="",FALSE,SUMPRODUCT(--ISNUMBER(SEARCH(","&amp;TRIM(TEXTSPLIT(HG175,","))&amp;",",","&amp;SUBSTITUTE(input_program," ","")&amp;",")))=COUNTA(TEXTSPLIT(HG175,",")))),IF(HI175="",TRUE,IF(input_program="",TRUE,SUMPRODUCT(--ISNUMBER(SEARCH(","&amp;TRIM(TEXTSPLIT(HI175,","))&amp;",",","&amp;SUBSTITUTE(input_program," ","")&amp;",")))=0)),IF(HK175="",TRUE,IF(input_program="",FALSE,SUMPRODUCT(--ISNUMBER(SEARCH(","&amp;TRIM(TEXTSPLIT(HK175,","))&amp;",",","&amp;SUBSTITUTE(input_program," ","")&amp;",")))&gt;0)),IF(HM175="",TRUE,IF(input_program="",FALSE,SUMPRODUCT(--ISNUMBER(SEARCH(","&amp;TRIM(TEXTSPLIT(HM175,","))&amp;",",","&amp;SUBSTITUTE(input_program," ","")&amp;",")))=COUNTA(TEXTSPLIT(HM175,",")))))</f>
        <v/>
      </c>
      <c r="JO175" s="19">
        <f>AND(IF(HO175="",TRUE,IF(input_story_categories="",FALSE,SUMPRODUCT(--ISNUMBER(SEARCH(","&amp;TRIM(TEXTSPLIT(HO175,","))&amp;",",","&amp;SUBSTITUTE(input_story_categories," ","")&amp;",")))&gt;0)),IF(HQ175="",TRUE,IF(input_story_categories="",FALSE,SUMPRODUCT(--ISNUMBER(SEARCH(","&amp;TRIM(TEXTSPLIT(HQ175,","))&amp;",",","&amp;SUBSTITUTE(input_story_categories," ","")&amp;",")))=COUNTA(TEXTSPLIT(HQ175,",")))),IF(HS175="",TRUE,IF(input_story_categories="",TRUE,SUMPRODUCT(--ISNUMBER(SEARCH(","&amp;TRIM(TEXTSPLIT(HS175,","))&amp;",",","&amp;SUBSTITUTE(input_story_categories," ","")&amp;",")))=0)),IF(HU175="",TRUE,IF(input_story_categories="",FALSE,SUMPRODUCT(--ISNUMBER(SEARCH(","&amp;TRIM(TEXTSPLIT(HU175,","))&amp;",",","&amp;SUBSTITUTE(input_story_categories," ","")&amp;",")))&gt;0)),IF(HW175="",TRUE,IF(input_story_categories="",FALSE,SUMPRODUCT(--ISNUMBER(SEARCH(","&amp;TRIM(TEXTSPLIT(HW175,","))&amp;",",","&amp;SUBSTITUTE(input_story_categories," ","")&amp;",")))=COUNTA(TEXTSPLIT(HW175,",")))))</f>
        <v/>
      </c>
      <c r="JP175" s="19">
        <f>AND(IF(HY175="",TRUE,IF(input_story_type="",FALSE,SUMPRODUCT(--ISNUMBER(SEARCH(","&amp;TRIM(TEXTSPLIT(HY175,","))&amp;",",","&amp;SUBSTITUTE(input_story_type," ","")&amp;",")))&gt;0)),IF(IA175="",TRUE,IF(input_story_type="",FALSE,SUMPRODUCT(--ISNUMBER(SEARCH(","&amp;TRIM(TEXTSPLIT(IA175,","))&amp;",",","&amp;SUBSTITUTE(input_story_type," ","")&amp;",")))=COUNTA(TEXTSPLIT(IA175,",")))),IF(IC175="",TRUE,IF(input_story_type="",TRUE,SUMPRODUCT(--ISNUMBER(SEARCH(","&amp;TRIM(TEXTSPLIT(IC175,","))&amp;",",","&amp;SUBSTITUTE(input_story_type," ","")&amp;",")))=0)),IF(IE175="",TRUE,IF(input_story_type="",FALSE,SUMPRODUCT(--ISNUMBER(SEARCH(","&amp;TRIM(TEXTSPLIT(IE175,","))&amp;",",","&amp;SUBSTITUTE(input_story_type," ","")&amp;",")))&gt;0)),IF(IG175="",TRUE,IF(input_story_type="",FALSE,SUMPRODUCT(--ISNUMBER(SEARCH(","&amp;TRIM(TEXTSPLIT(IG175,","))&amp;",",","&amp;SUBSTITUTE(input_story_type," ","")&amp;",")))=COUNTA(TEXTSPLIT(IG175,",")))))</f>
        <v/>
      </c>
      <c r="JQ175" s="19">
        <f>AND(IF(II175="",TRUE,IF(input_topics="",FALSE,SUMPRODUCT(--ISNUMBER(SEARCH(","&amp;TRIM(TEXTSPLIT(II175,","))&amp;",",","&amp;SUBSTITUTE(input_topics," ","")&amp;",")))&gt;0)),IF(IK175="",TRUE,IF(input_topics="",FALSE,SUMPRODUCT(--ISNUMBER(SEARCH(","&amp;TRIM(TEXTSPLIT(IK175,","))&amp;",",","&amp;SUBSTITUTE(input_topics," ","")&amp;",")))=COUNTA(TEXTSPLIT(IK175,",")))),IF(IM175="",TRUE,IF(input_topics="",TRUE,SUMPRODUCT(--ISNUMBER(SEARCH(","&amp;TRIM(TEXTSPLIT(IM175,","))&amp;",",","&amp;SUBSTITUTE(input_topics," ","")&amp;",")))=0)),IF(IO175="",TRUE,IF(input_topics="",FALSE,SUMPRODUCT(--ISNUMBER(SEARCH(","&amp;TRIM(TEXTSPLIT(IO175,","))&amp;",",","&amp;SUBSTITUTE(input_topics," ","")&amp;",")))&gt;0)),IF(IQ175="",TRUE,IF(input_topics="",FALSE,SUMPRODUCT(--ISNUMBER(SEARCH(","&amp;TRIM(TEXTSPLIT(IQ175,","))&amp;",",","&amp;SUBSTITUTE(input_topics," ","")&amp;",")))=COUNTA(TEXTSPLIT(IQ175,",")))))</f>
        <v/>
      </c>
    </row>
    <row r="176">
      <c r="A176" s="24">
        <f>IF(NOT(IS176),"Excluded",IF(AND(IT176,IU176,IV176,IW176,IX176,IY176,IZ176,JA176,JB176,JC176,JD176,JE176,JF176,JG176,JH176,JI176,JJ176,JK176,JL176,JM176,JN176,JO176,JP176,JQ176),IF(I176&gt;0,"Eligible but limited","Will appear"),"Excluded"))</f>
        <v/>
      </c>
      <c r="B176" s="24" t="inlineStr">
        <is>
          <t>Related stories</t>
        </is>
      </c>
      <c r="C176" s="27" t="inlineStr">
        <is>
          <t>/programs/mba</t>
        </is>
      </c>
      <c r="D176" s="24" t="inlineStr">
        <is>
          <t>/programs/mba</t>
        </is>
      </c>
      <c r="E176" s="24" t="n">
        <v>1</v>
      </c>
      <c r="F176" s="24" t="inlineStr">
        <is>
          <t>story</t>
        </is>
      </c>
      <c r="G176" s="24" t="inlineStr">
        <is>
          <t>stories_teaser_cards</t>
        </is>
      </c>
      <c r="H176" s="24" t="inlineStr">
        <is>
          <t>embed_blog</t>
        </is>
      </c>
      <c r="I176" s="24" t="n">
        <v>3</v>
      </c>
      <c r="J176" s="29" t="inlineStr">
        <is>
          <t>Section inferred</t>
        </is>
      </c>
      <c r="K176" s="24" t="inlineStr">
        <is>
          <t>Page placement</t>
        </is>
      </c>
      <c r="L176" s="24" t="inlineStr">
        <is>
          <t>Content type: story; Context uses Courses Context: MBA (92); Needs any Story Type: Blog (974); Limited to 3 item(s); Source: Section inferred</t>
        </is>
      </c>
      <c r="BQ176" s="19" t="inlineStr">
        <is>
          <t>92</t>
        </is>
      </c>
      <c r="BR176" s="19" t="inlineStr">
        <is>
          <t>MBA (92)</t>
        </is>
      </c>
      <c r="HY176" s="19" t="inlineStr">
        <is>
          <t>974</t>
        </is>
      </c>
      <c r="HZ176" s="19" t="inlineStr">
        <is>
          <t>Blog (974)</t>
        </is>
      </c>
      <c r="IS176" s="19">
        <f>IF(input_content_type="",FALSE,ISNUMBER(SEARCH(","&amp;LOWER(input_content_type)&amp;",",","&amp;LOWER(SUBSTITUTE(F176," ",""))&amp;",")))</f>
        <v/>
      </c>
      <c r="IT176" s="19">
        <f>AND(IF(M176="",TRUE,IF(input_affiliations="",FALSE,SUMPRODUCT(--ISNUMBER(SEARCH(","&amp;TRIM(TEXTSPLIT(M176,","))&amp;",",","&amp;SUBSTITUTE(input_affiliations," ","")&amp;",")))&gt;0)),IF(O176="",TRUE,IF(input_affiliations="",FALSE,SUMPRODUCT(--ISNUMBER(SEARCH(","&amp;TRIM(TEXTSPLIT(O176,","))&amp;",",","&amp;SUBSTITUTE(input_affiliations," ","")&amp;",")))=COUNTA(TEXTSPLIT(O176,",")))),IF(Q176="",TRUE,IF(input_affiliations="",TRUE,SUMPRODUCT(--ISNUMBER(SEARCH(","&amp;TRIM(TEXTSPLIT(Q176,","))&amp;",",","&amp;SUBSTITUTE(input_affiliations," ","")&amp;",")))=0)),IF(S176="",TRUE,IF(input_affiliations="",FALSE,SUMPRODUCT(--ISNUMBER(SEARCH(","&amp;TRIM(TEXTSPLIT(S176,","))&amp;",",","&amp;SUBSTITUTE(input_affiliations," ","")&amp;",")))&gt;0)),IF(U176="",TRUE,IF(input_affiliations="",FALSE,SUMPRODUCT(--ISNUMBER(SEARCH(","&amp;TRIM(TEXTSPLIT(U176,","))&amp;",",","&amp;SUBSTITUTE(input_affiliations," ","")&amp;",")))=COUNTA(TEXTSPLIT(U176,",")))))</f>
        <v/>
      </c>
      <c r="IU176" s="19">
        <f>AND(IF(W176="",TRUE,IF(input_announcement_category="",FALSE,SUMPRODUCT(--ISNUMBER(SEARCH(","&amp;TRIM(TEXTSPLIT(W176,","))&amp;",",","&amp;SUBSTITUTE(input_announcement_category," ","")&amp;",")))&gt;0)),IF(Y176="",TRUE,IF(input_announcement_category="",FALSE,SUMPRODUCT(--ISNUMBER(SEARCH(","&amp;TRIM(TEXTSPLIT(Y176,","))&amp;",",","&amp;SUBSTITUTE(input_announcement_category," ","")&amp;",")))=COUNTA(TEXTSPLIT(Y176,",")))),IF(AA176="",TRUE,IF(input_announcement_category="",TRUE,SUMPRODUCT(--ISNUMBER(SEARCH(","&amp;TRIM(TEXTSPLIT(AA176,","))&amp;",",","&amp;SUBSTITUTE(input_announcement_category," ","")&amp;",")))=0)),IF(AC176="",TRUE,IF(input_announcement_category="",FALSE,SUMPRODUCT(--ISNUMBER(SEARCH(","&amp;TRIM(TEXTSPLIT(AC176,","))&amp;",",","&amp;SUBSTITUTE(input_announcement_category," ","")&amp;",")))&gt;0)),IF(AE176="",TRUE,IF(input_announcement_category="",FALSE,SUMPRODUCT(--ISNUMBER(SEARCH(","&amp;TRIM(TEXTSPLIT(AE176,","))&amp;",",","&amp;SUBSTITUTE(input_announcement_category," ","")&amp;",")))=COUNTA(TEXTSPLIT(AE176,",")))))</f>
        <v/>
      </c>
      <c r="IV176" s="19">
        <f>AND(IF(AG176="",TRUE,IF(input_area_of_focus="",FALSE,SUMPRODUCT(--ISNUMBER(SEARCH(","&amp;TRIM(TEXTSPLIT(AG176,","))&amp;",",","&amp;SUBSTITUTE(input_area_of_focus," ","")&amp;",")))&gt;0)),IF(AI176="",TRUE,IF(input_area_of_focus="",FALSE,SUMPRODUCT(--ISNUMBER(SEARCH(","&amp;TRIM(TEXTSPLIT(AI176,","))&amp;",",","&amp;SUBSTITUTE(input_area_of_focus," ","")&amp;",")))=COUNTA(TEXTSPLIT(AI176,",")))),IF(AK176="",TRUE,IF(input_area_of_focus="",TRUE,SUMPRODUCT(--ISNUMBER(SEARCH(","&amp;TRIM(TEXTSPLIT(AK176,","))&amp;",",","&amp;SUBSTITUTE(input_area_of_focus," ","")&amp;",")))=0)),IF(AM176="",TRUE,IF(input_area_of_focus="",FALSE,SUMPRODUCT(--ISNUMBER(SEARCH(","&amp;TRIM(TEXTSPLIT(AM176,","))&amp;",",","&amp;SUBSTITUTE(input_area_of_focus," ","")&amp;",")))&gt;0)),IF(AO176="",TRUE,IF(input_area_of_focus="",FALSE,SUMPRODUCT(--ISNUMBER(SEARCH(","&amp;TRIM(TEXTSPLIT(AO176,","))&amp;",",","&amp;SUBSTITUTE(input_area_of_focus," ","")&amp;",")))=COUNTA(TEXTSPLIT(AO176,",")))))</f>
        <v/>
      </c>
      <c r="IW176" s="19">
        <f>AND(IF(AQ176="",TRUE,IF(input_audience="",FALSE,SUMPRODUCT(--ISNUMBER(SEARCH(","&amp;TRIM(TEXTSPLIT(AQ176,","))&amp;",",","&amp;SUBSTITUTE(input_audience," ","")&amp;",")))&gt;0)),IF(AS176="",TRUE,IF(input_audience="",FALSE,SUMPRODUCT(--ISNUMBER(SEARCH(","&amp;TRIM(TEXTSPLIT(AS176,","))&amp;",",","&amp;SUBSTITUTE(input_audience," ","")&amp;",")))=COUNTA(TEXTSPLIT(AS176,",")))),IF(AU176="",TRUE,IF(input_audience="",TRUE,SUMPRODUCT(--ISNUMBER(SEARCH(","&amp;TRIM(TEXTSPLIT(AU176,","))&amp;",",","&amp;SUBSTITUTE(input_audience," ","")&amp;",")))=0)),IF(AW176="",TRUE,IF(input_audience="",FALSE,SUMPRODUCT(--ISNUMBER(SEARCH(","&amp;TRIM(TEXTSPLIT(AW176,","))&amp;",",","&amp;SUBSTITUTE(input_audience," ","")&amp;",")))&gt;0)),IF(AY176="",TRUE,IF(input_audience="",FALSE,SUMPRODUCT(--ISNUMBER(SEARCH(","&amp;TRIM(TEXTSPLIT(AY176,","))&amp;",",","&amp;SUBSTITUTE(input_audience," ","")&amp;",")))=COUNTA(TEXTSPLIT(AY176,",")))))</f>
        <v/>
      </c>
      <c r="IX176" s="19">
        <f>AND(IF(BA176="",TRUE,IF(input_challenge_opportunities="",FALSE,SUMPRODUCT(--ISNUMBER(SEARCH(","&amp;TRIM(TEXTSPLIT(BA176,","))&amp;",",","&amp;SUBSTITUTE(input_challenge_opportunities," ","")&amp;",")))&gt;0)),IF(BC176="",TRUE,IF(input_challenge_opportunities="",FALSE,SUMPRODUCT(--ISNUMBER(SEARCH(","&amp;TRIM(TEXTSPLIT(BC176,","))&amp;",",","&amp;SUBSTITUTE(input_challenge_opportunities," ","")&amp;",")))=COUNTA(TEXTSPLIT(BC176,",")))),IF(BE176="",TRUE,IF(input_challenge_opportunities="",TRUE,SUMPRODUCT(--ISNUMBER(SEARCH(","&amp;TRIM(TEXTSPLIT(BE176,","))&amp;",",","&amp;SUBSTITUTE(input_challenge_opportunities," ","")&amp;",")))=0)),IF(BG176="",TRUE,IF(input_challenge_opportunities="",FALSE,SUMPRODUCT(--ISNUMBER(SEARCH(","&amp;TRIM(TEXTSPLIT(BG176,","))&amp;",",","&amp;SUBSTITUTE(input_challenge_opportunities," ","")&amp;",")))&gt;0)),IF(BI176="",TRUE,IF(input_challenge_opportunities="",FALSE,SUMPRODUCT(--ISNUMBER(SEARCH(","&amp;TRIM(TEXTSPLIT(BI176,","))&amp;",",","&amp;SUBSTITUTE(input_challenge_opportunities," ","")&amp;",")))=COUNTA(TEXTSPLIT(BI176,",")))))</f>
        <v/>
      </c>
      <c r="IY176" s="19">
        <f>AND(IF(BK176="",TRUE,IF(input_context="",FALSE,SUMPRODUCT(--ISNUMBER(SEARCH(","&amp;TRIM(TEXTSPLIT(BK176,","))&amp;",",","&amp;SUBSTITUTE(input_context," ","")&amp;",")))&gt;0)),IF(BM176="",TRUE,IF(input_context="",FALSE,SUMPRODUCT(--ISNUMBER(SEARCH(","&amp;TRIM(TEXTSPLIT(BM176,","))&amp;",",","&amp;SUBSTITUTE(input_context," ","")&amp;",")))=COUNTA(TEXTSPLIT(BM176,",")))),IF(BO176="",TRUE,IF(input_context="",TRUE,SUMPRODUCT(--ISNUMBER(SEARCH(","&amp;TRIM(TEXTSPLIT(BO176,","))&amp;",",","&amp;SUBSTITUTE(input_context," ","")&amp;",")))=0)),IF(BQ176="",TRUE,IF(input_context="",FALSE,SUMPRODUCT(--ISNUMBER(SEARCH(","&amp;TRIM(TEXTSPLIT(BQ176,","))&amp;",",","&amp;SUBSTITUTE(input_context," ","")&amp;",")))&gt;0)),IF(BS176="",TRUE,IF(input_context="",FALSE,SUMPRODUCT(--ISNUMBER(SEARCH(","&amp;TRIM(TEXTSPLIT(BS176,","))&amp;",",","&amp;SUBSTITUTE(input_context," ","")&amp;",")))=COUNTA(TEXTSPLIT(BS176,",")))))</f>
        <v/>
      </c>
      <c r="IZ176" s="19">
        <f>AND(IF(BU176="",TRUE,IF(input_enews_announcement_type="",FALSE,SUMPRODUCT(--ISNUMBER(SEARCH(","&amp;TRIM(TEXTSPLIT(BU176,","))&amp;",",","&amp;SUBSTITUTE(input_enews_announcement_type," ","")&amp;",")))&gt;0)),IF(BW176="",TRUE,IF(input_enews_announcement_type="",FALSE,SUMPRODUCT(--ISNUMBER(SEARCH(","&amp;TRIM(TEXTSPLIT(BW176,","))&amp;",",","&amp;SUBSTITUTE(input_enews_announcement_type," ","")&amp;",")))=COUNTA(TEXTSPLIT(BW176,",")))),IF(BY176="",TRUE,IF(input_enews_announcement_type="",TRUE,SUMPRODUCT(--ISNUMBER(SEARCH(","&amp;TRIM(TEXTSPLIT(BY176,","))&amp;",",","&amp;SUBSTITUTE(input_enews_announcement_type," ","")&amp;",")))=0)),IF(CA176="",TRUE,IF(input_enews_announcement_type="",FALSE,SUMPRODUCT(--ISNUMBER(SEARCH(","&amp;TRIM(TEXTSPLIT(CA176,","))&amp;",",","&amp;SUBSTITUTE(input_enews_announcement_type," ","")&amp;",")))&gt;0)),IF(CC176="",TRUE,IF(input_enews_announcement_type="",FALSE,SUMPRODUCT(--ISNUMBER(SEARCH(","&amp;TRIM(TEXTSPLIT(CC176,","))&amp;",",","&amp;SUBSTITUTE(input_enews_announcement_type," ","")&amp;",")))=COUNTA(TEXTSPLIT(CC176,",")))))</f>
        <v/>
      </c>
      <c r="JA176" s="19">
        <f>AND(IF(CE176="",TRUE,IF(input_enews_audience="",FALSE,SUMPRODUCT(--ISNUMBER(SEARCH(","&amp;TRIM(TEXTSPLIT(CE176,","))&amp;",",","&amp;SUBSTITUTE(input_enews_audience," ","")&amp;",")))&gt;0)),IF(CG176="",TRUE,IF(input_enews_audience="",FALSE,SUMPRODUCT(--ISNUMBER(SEARCH(","&amp;TRIM(TEXTSPLIT(CG176,","))&amp;",",","&amp;SUBSTITUTE(input_enews_audience," ","")&amp;",")))=COUNTA(TEXTSPLIT(CG176,",")))),IF(CI176="",TRUE,IF(input_enews_audience="",TRUE,SUMPRODUCT(--ISNUMBER(SEARCH(","&amp;TRIM(TEXTSPLIT(CI176,","))&amp;",",","&amp;SUBSTITUTE(input_enews_audience," ","")&amp;",")))=0)),IF(CK176="",TRUE,IF(input_enews_audience="",FALSE,SUMPRODUCT(--ISNUMBER(SEARCH(","&amp;TRIM(TEXTSPLIT(CK176,","))&amp;",",","&amp;SUBSTITUTE(input_enews_audience," ","")&amp;",")))&gt;0)),IF(CM176="",TRUE,IF(input_enews_audience="",FALSE,SUMPRODUCT(--ISNUMBER(SEARCH(","&amp;TRIM(TEXTSPLIT(CM176,","))&amp;",",","&amp;SUBSTITUTE(input_enews_audience," ","")&amp;",")))=COUNTA(TEXTSPLIT(CM176,",")))))</f>
        <v/>
      </c>
      <c r="JB176" s="19">
        <f>AND(IF(CO176="",TRUE,IF(input_event_location="",FALSE,SUMPRODUCT(--ISNUMBER(SEARCH(","&amp;TRIM(TEXTSPLIT(CO176,","))&amp;",",","&amp;SUBSTITUTE(input_event_location," ","")&amp;",")))&gt;0)),IF(CQ176="",TRUE,IF(input_event_location="",FALSE,SUMPRODUCT(--ISNUMBER(SEARCH(","&amp;TRIM(TEXTSPLIT(CQ176,","))&amp;",",","&amp;SUBSTITUTE(input_event_location," ","")&amp;",")))=COUNTA(TEXTSPLIT(CQ176,",")))),IF(CS176="",TRUE,IF(input_event_location="",TRUE,SUMPRODUCT(--ISNUMBER(SEARCH(","&amp;TRIM(TEXTSPLIT(CS176,","))&amp;",",","&amp;SUBSTITUTE(input_event_location," ","")&amp;",")))=0)),IF(CU176="",TRUE,IF(input_event_location="",FALSE,SUMPRODUCT(--ISNUMBER(SEARCH(","&amp;TRIM(TEXTSPLIT(CU176,","))&amp;",",","&amp;SUBSTITUTE(input_event_location," ","")&amp;",")))&gt;0)),IF(CW176="",TRUE,IF(input_event_location="",FALSE,SUMPRODUCT(--ISNUMBER(SEARCH(","&amp;TRIM(TEXTSPLIT(CW176,","))&amp;",",","&amp;SUBSTITUTE(input_event_location," ","")&amp;",")))=COUNTA(TEXTSPLIT(CW176,",")))))</f>
        <v/>
      </c>
      <c r="JC176" s="19">
        <f>AND(IF(CY176="",TRUE,IF(input_event_type="",FALSE,SUMPRODUCT(--ISNUMBER(SEARCH(","&amp;TRIM(TEXTSPLIT(CY176,","))&amp;",",","&amp;SUBSTITUTE(input_event_type," ","")&amp;",")))&gt;0)),IF(DA176="",TRUE,IF(input_event_type="",FALSE,SUMPRODUCT(--ISNUMBER(SEARCH(","&amp;TRIM(TEXTSPLIT(DA176,","))&amp;",",","&amp;SUBSTITUTE(input_event_type," ","")&amp;",")))=COUNTA(TEXTSPLIT(DA176,",")))),IF(DC176="",TRUE,IF(input_event_type="",TRUE,SUMPRODUCT(--ISNUMBER(SEARCH(","&amp;TRIM(TEXTSPLIT(DC176,","))&amp;",",","&amp;SUBSTITUTE(input_event_type," ","")&amp;",")))=0)),IF(DE176="",TRUE,IF(input_event_type="",FALSE,SUMPRODUCT(--ISNUMBER(SEARCH(","&amp;TRIM(TEXTSPLIT(DE176,","))&amp;",",","&amp;SUBSTITUTE(input_event_type," ","")&amp;",")))&gt;0)),IF(DG176="",TRUE,IF(input_event_type="",FALSE,SUMPRODUCT(--ISNUMBER(SEARCH(","&amp;TRIM(TEXTSPLIT(DG176,","))&amp;",",","&amp;SUBSTITUTE(input_event_type," ","")&amp;",")))=COUNTA(TEXTSPLIT(DG176,",")))))</f>
        <v/>
      </c>
      <c r="JD176" s="19">
        <f>AND(IF(DI176="",TRUE,IF(input_executive_education_focus="",FALSE,SUMPRODUCT(--ISNUMBER(SEARCH(","&amp;TRIM(TEXTSPLIT(DI176,","))&amp;",",","&amp;SUBSTITUTE(input_executive_education_focus," ","")&amp;",")))&gt;0)),IF(DK176="",TRUE,IF(input_executive_education_focus="",FALSE,SUMPRODUCT(--ISNUMBER(SEARCH(","&amp;TRIM(TEXTSPLIT(DK176,","))&amp;",",","&amp;SUBSTITUTE(input_executive_education_focus," ","")&amp;",")))=COUNTA(TEXTSPLIT(DK176,",")))),IF(DM176="",TRUE,IF(input_executive_education_focus="",TRUE,SUMPRODUCT(--ISNUMBER(SEARCH(","&amp;TRIM(TEXTSPLIT(DM176,","))&amp;",",","&amp;SUBSTITUTE(input_executive_education_focus," ","")&amp;",")))=0)),IF(DO176="",TRUE,IF(input_executive_education_focus="",FALSE,SUMPRODUCT(--ISNUMBER(SEARCH(","&amp;TRIM(TEXTSPLIT(DO176,","))&amp;",",","&amp;SUBSTITUTE(input_executive_education_focus," ","")&amp;",")))&gt;0)),IF(DQ176="",TRUE,IF(input_executive_education_focus="",FALSE,SUMPRODUCT(--ISNUMBER(SEARCH(","&amp;TRIM(TEXTSPLIT(DQ176,","))&amp;",",","&amp;SUBSTITUTE(input_executive_education_focus," ","")&amp;",")))=COUNTA(TEXTSPLIT(DQ176,",")))))</f>
        <v/>
      </c>
      <c r="JE176" s="19">
        <f>AND(IF(DS176="",TRUE,IF(input_faculty_category="",FALSE,SUMPRODUCT(--ISNUMBER(SEARCH(","&amp;TRIM(TEXTSPLIT(DS176,","))&amp;",",","&amp;SUBSTITUTE(input_faculty_category," ","")&amp;",")))&gt;0)),IF(DU176="",TRUE,IF(input_faculty_category="",FALSE,SUMPRODUCT(--ISNUMBER(SEARCH(","&amp;TRIM(TEXTSPLIT(DU176,","))&amp;",",","&amp;SUBSTITUTE(input_faculty_category," ","")&amp;",")))=COUNTA(TEXTSPLIT(DU176,",")))),IF(DW176="",TRUE,IF(input_faculty_category="",TRUE,SUMPRODUCT(--ISNUMBER(SEARCH(","&amp;TRIM(TEXTSPLIT(DW176,","))&amp;",",","&amp;SUBSTITUTE(input_faculty_category," ","")&amp;",")))=0)),IF(DY176="",TRUE,IF(input_faculty_category="",FALSE,SUMPRODUCT(--ISNUMBER(SEARCH(","&amp;TRIM(TEXTSPLIT(DY176,","))&amp;",",","&amp;SUBSTITUTE(input_faculty_category," ","")&amp;",")))&gt;0)),IF(EA176="",TRUE,IF(input_faculty_category="",FALSE,SUMPRODUCT(--ISNUMBER(SEARCH(","&amp;TRIM(TEXTSPLIT(EA176,","))&amp;",",","&amp;SUBSTITUTE(input_faculty_category," ","")&amp;",")))=COUNTA(TEXTSPLIT(EA176,",")))))</f>
        <v/>
      </c>
      <c r="JF176" s="19">
        <f>AND(IF(EC176="",TRUE,IF(input_faculty_discipline="",FALSE,SUMPRODUCT(--ISNUMBER(SEARCH(","&amp;TRIM(TEXTSPLIT(EC176,","))&amp;",",","&amp;SUBSTITUTE(input_faculty_discipline," ","")&amp;",")))&gt;0)),IF(EE176="",TRUE,IF(input_faculty_discipline="",FALSE,SUMPRODUCT(--ISNUMBER(SEARCH(","&amp;TRIM(TEXTSPLIT(EE176,","))&amp;",",","&amp;SUBSTITUTE(input_faculty_discipline," ","")&amp;",")))=COUNTA(TEXTSPLIT(EE176,",")))),IF(EG176="",TRUE,IF(input_faculty_discipline="",TRUE,SUMPRODUCT(--ISNUMBER(SEARCH(","&amp;TRIM(TEXTSPLIT(EG176,","))&amp;",",","&amp;SUBSTITUTE(input_faculty_discipline," ","")&amp;",")))=0)),IF(EI176="",TRUE,IF(input_faculty_discipline="",FALSE,SUMPRODUCT(--ISNUMBER(SEARCH(","&amp;TRIM(TEXTSPLIT(EI176,","))&amp;",",","&amp;SUBSTITUTE(input_faculty_discipline," ","")&amp;",")))&gt;0)),IF(EK176="",TRUE,IF(input_faculty_discipline="",FALSE,SUMPRODUCT(--ISNUMBER(SEARCH(","&amp;TRIM(TEXTSPLIT(EK176,","))&amp;",",","&amp;SUBSTITUTE(input_faculty_discipline," ","")&amp;",")))=COUNTA(TEXTSPLIT(EK176,",")))))</f>
        <v/>
      </c>
      <c r="JG176" s="19">
        <f>AND(IF(EM176="",TRUE,IF(input_faculty_expertise="",FALSE,SUMPRODUCT(--ISNUMBER(SEARCH(","&amp;TRIM(TEXTSPLIT(EM176,","))&amp;",",","&amp;SUBSTITUTE(input_faculty_expertise," ","")&amp;",")))&gt;0)),IF(EO176="",TRUE,IF(input_faculty_expertise="",FALSE,SUMPRODUCT(--ISNUMBER(SEARCH(","&amp;TRIM(TEXTSPLIT(EO176,","))&amp;",",","&amp;SUBSTITUTE(input_faculty_expertise," ","")&amp;",")))=COUNTA(TEXTSPLIT(EO176,",")))),IF(EQ176="",TRUE,IF(input_faculty_expertise="",TRUE,SUMPRODUCT(--ISNUMBER(SEARCH(","&amp;TRIM(TEXTSPLIT(EQ176,","))&amp;",",","&amp;SUBSTITUTE(input_faculty_expertise," ","")&amp;",")))=0)),IF(ES176="",TRUE,IF(input_faculty_expertise="",FALSE,SUMPRODUCT(--ISNUMBER(SEARCH(","&amp;TRIM(TEXTSPLIT(ES176,","))&amp;",",","&amp;SUBSTITUTE(input_faculty_expertise," ","")&amp;",")))&gt;0)),IF(EU176="",TRUE,IF(input_faculty_expertise="",FALSE,SUMPRODUCT(--ISNUMBER(SEARCH(","&amp;TRIM(TEXTSPLIT(EU176,","))&amp;",",","&amp;SUBSTITUTE(input_faculty_expertise," ","")&amp;",")))=COUNTA(TEXTSPLIT(EU176,",")))))</f>
        <v/>
      </c>
      <c r="JH176" s="19">
        <f>AND(IF(EW176="",TRUE,IF(input_global_network_school="",FALSE,SUMPRODUCT(--ISNUMBER(SEARCH(","&amp;TRIM(TEXTSPLIT(EW176,","))&amp;",",","&amp;SUBSTITUTE(input_global_network_school," ","")&amp;",")))&gt;0)),IF(EY176="",TRUE,IF(input_global_network_school="",FALSE,SUMPRODUCT(--ISNUMBER(SEARCH(","&amp;TRIM(TEXTSPLIT(EY176,","))&amp;",",","&amp;SUBSTITUTE(input_global_network_school," ","")&amp;",")))=COUNTA(TEXTSPLIT(EY176,",")))),IF(FA176="",TRUE,IF(input_global_network_school="",TRUE,SUMPRODUCT(--ISNUMBER(SEARCH(","&amp;TRIM(TEXTSPLIT(FA176,","))&amp;",",","&amp;SUBSTITUTE(input_global_network_school," ","")&amp;",")))=0)),IF(FC176="",TRUE,IF(input_global_network_school="",FALSE,SUMPRODUCT(--ISNUMBER(SEARCH(","&amp;TRIM(TEXTSPLIT(FC176,","))&amp;",",","&amp;SUBSTITUTE(input_global_network_school," ","")&amp;",")))&gt;0)),IF(FE176="",TRUE,IF(input_global_network_school="",FALSE,SUMPRODUCT(--ISNUMBER(SEARCH(","&amp;TRIM(TEXTSPLIT(FE176,","))&amp;",",","&amp;SUBSTITUTE(input_global_network_school," ","")&amp;",")))=COUNTA(TEXTSPLIT(FE176,",")))))</f>
        <v/>
      </c>
      <c r="JI176" s="19">
        <f>AND(IF(FG176="",TRUE,IF(input_industry="",FALSE,SUMPRODUCT(--ISNUMBER(SEARCH(","&amp;TRIM(TEXTSPLIT(FG176,","))&amp;",",","&amp;SUBSTITUTE(input_industry," ","")&amp;",")))&gt;0)),IF(FI176="",TRUE,IF(input_industry="",FALSE,SUMPRODUCT(--ISNUMBER(SEARCH(","&amp;TRIM(TEXTSPLIT(FI176,","))&amp;",",","&amp;SUBSTITUTE(input_industry," ","")&amp;",")))=COUNTA(TEXTSPLIT(FI176,",")))),IF(FK176="",TRUE,IF(input_industry="",TRUE,SUMPRODUCT(--ISNUMBER(SEARCH(","&amp;TRIM(TEXTSPLIT(FK176,","))&amp;",",","&amp;SUBSTITUTE(input_industry," ","")&amp;",")))=0)),IF(FM176="",TRUE,IF(input_industry="",FALSE,SUMPRODUCT(--ISNUMBER(SEARCH(","&amp;TRIM(TEXTSPLIT(FM176,","))&amp;",",","&amp;SUBSTITUTE(input_industry," ","")&amp;",")))&gt;0)),IF(FO176="",TRUE,IF(input_industry="",FALSE,SUMPRODUCT(--ISNUMBER(SEARCH(","&amp;TRIM(TEXTSPLIT(FO176,","))&amp;",",","&amp;SUBSTITUTE(input_industry," ","")&amp;",")))=COUNTA(TEXTSPLIT(FO176,",")))))</f>
        <v/>
      </c>
      <c r="JJ176" s="19">
        <f>AND(IF(FQ176="",TRUE,IF(input_location="",FALSE,SUMPRODUCT(--ISNUMBER(SEARCH(","&amp;TRIM(TEXTSPLIT(FQ176,","))&amp;",",","&amp;SUBSTITUTE(input_location," ","")&amp;",")))&gt;0)),IF(FS176="",TRUE,IF(input_location="",FALSE,SUMPRODUCT(--ISNUMBER(SEARCH(","&amp;TRIM(TEXTSPLIT(FS176,","))&amp;",",","&amp;SUBSTITUTE(input_location," ","")&amp;",")))=COUNTA(TEXTSPLIT(FS176,",")))),IF(FU176="",TRUE,IF(input_location="",TRUE,SUMPRODUCT(--ISNUMBER(SEARCH(","&amp;TRIM(TEXTSPLIT(FU176,","))&amp;",",","&amp;SUBSTITUTE(input_location," ","")&amp;",")))=0)),IF(FW176="",TRUE,IF(input_location="",FALSE,SUMPRODUCT(--ISNUMBER(SEARCH(","&amp;TRIM(TEXTSPLIT(FW176,","))&amp;",",","&amp;SUBSTITUTE(input_location," ","")&amp;",")))&gt;0)),IF(FY176="",TRUE,IF(input_location="",FALSE,SUMPRODUCT(--ISNUMBER(SEARCH(","&amp;TRIM(TEXTSPLIT(FY176,","))&amp;",",","&amp;SUBSTITUTE(input_location," ","")&amp;",")))=COUNTA(TEXTSPLIT(FY176,",")))))</f>
        <v/>
      </c>
      <c r="JK176" s="19">
        <f>AND(IF(GA176="",TRUE,IF(input_modality="",FALSE,SUMPRODUCT(--ISNUMBER(SEARCH(","&amp;TRIM(TEXTSPLIT(GA176,","))&amp;",",","&amp;SUBSTITUTE(input_modality," ","")&amp;",")))&gt;0)),IF(GC176="",TRUE,IF(input_modality="",FALSE,SUMPRODUCT(--ISNUMBER(SEARCH(","&amp;TRIM(TEXTSPLIT(GC176,","))&amp;",",","&amp;SUBSTITUTE(input_modality," ","")&amp;",")))=COUNTA(TEXTSPLIT(GC176,",")))),IF(GE176="",TRUE,IF(input_modality="",TRUE,SUMPRODUCT(--ISNUMBER(SEARCH(","&amp;TRIM(TEXTSPLIT(GE176,","))&amp;",",","&amp;SUBSTITUTE(input_modality," ","")&amp;",")))=0)),IF(GG176="",TRUE,IF(input_modality="",FALSE,SUMPRODUCT(--ISNUMBER(SEARCH(","&amp;TRIM(TEXTSPLIT(GG176,","))&amp;",",","&amp;SUBSTITUTE(input_modality," ","")&amp;",")))&gt;0)),IF(GI176="",TRUE,IF(input_modality="",FALSE,SUMPRODUCT(--ISNUMBER(SEARCH(","&amp;TRIM(TEXTSPLIT(GI176,","))&amp;",",","&amp;SUBSTITUTE(input_modality," ","")&amp;",")))=COUNTA(TEXTSPLIT(GI176,",")))))</f>
        <v/>
      </c>
      <c r="JL176" s="19">
        <f>AND(IF(GK176="",TRUE,IF(input_organizer="",FALSE,SUMPRODUCT(--ISNUMBER(SEARCH(","&amp;TRIM(TEXTSPLIT(GK176,","))&amp;",",","&amp;SUBSTITUTE(input_organizer," ","")&amp;",")))&gt;0)),IF(GM176="",TRUE,IF(input_organizer="",FALSE,SUMPRODUCT(--ISNUMBER(SEARCH(","&amp;TRIM(TEXTSPLIT(GM176,","))&amp;",",","&amp;SUBSTITUTE(input_organizer," ","")&amp;",")))=COUNTA(TEXTSPLIT(GM176,",")))),IF(GO176="",TRUE,IF(input_organizer="",TRUE,SUMPRODUCT(--ISNUMBER(SEARCH(","&amp;TRIM(TEXTSPLIT(GO176,","))&amp;",",","&amp;SUBSTITUTE(input_organizer," ","")&amp;",")))=0)),IF(GQ176="",TRUE,IF(input_organizer="",FALSE,SUMPRODUCT(--ISNUMBER(SEARCH(","&amp;TRIM(TEXTSPLIT(GQ176,","))&amp;",",","&amp;SUBSTITUTE(input_organizer," ","")&amp;",")))&gt;0)),IF(GS176="",TRUE,IF(input_organizer="",FALSE,SUMPRODUCT(--ISNUMBER(SEARCH(","&amp;TRIM(TEXTSPLIT(GS176,","))&amp;",",","&amp;SUBSTITUTE(input_organizer," ","")&amp;",")))=COUNTA(TEXTSPLIT(GS176,",")))))</f>
        <v/>
      </c>
      <c r="JM176" s="19">
        <f>AND(IF(GU176="",TRUE,IF(input_profile_type="",FALSE,SUMPRODUCT(--ISNUMBER(SEARCH(","&amp;TRIM(TEXTSPLIT(GU176,","))&amp;",",","&amp;SUBSTITUTE(input_profile_type," ","")&amp;",")))&gt;0)),IF(GW176="",TRUE,IF(input_profile_type="",FALSE,SUMPRODUCT(--ISNUMBER(SEARCH(","&amp;TRIM(TEXTSPLIT(GW176,","))&amp;",",","&amp;SUBSTITUTE(input_profile_type," ","")&amp;",")))=COUNTA(TEXTSPLIT(GW176,",")))),IF(GY176="",TRUE,IF(input_profile_type="",TRUE,SUMPRODUCT(--ISNUMBER(SEARCH(","&amp;TRIM(TEXTSPLIT(GY176,","))&amp;",",","&amp;SUBSTITUTE(input_profile_type," ","")&amp;",")))=0)),IF(HA176="",TRUE,IF(input_profile_type="",FALSE,SUMPRODUCT(--ISNUMBER(SEARCH(","&amp;TRIM(TEXTSPLIT(HA176,","))&amp;",",","&amp;SUBSTITUTE(input_profile_type," ","")&amp;",")))&gt;0)),IF(HC176="",TRUE,IF(input_profile_type="",FALSE,SUMPRODUCT(--ISNUMBER(SEARCH(","&amp;TRIM(TEXTSPLIT(HC176,","))&amp;",",","&amp;SUBSTITUTE(input_profile_type," ","")&amp;",")))=COUNTA(TEXTSPLIT(HC176,",")))))</f>
        <v/>
      </c>
      <c r="JN176" s="19">
        <f>AND(IF(HE176="",TRUE,IF(input_program="",FALSE,SUMPRODUCT(--ISNUMBER(SEARCH(","&amp;TRIM(TEXTSPLIT(HE176,","))&amp;",",","&amp;SUBSTITUTE(input_program," ","")&amp;",")))&gt;0)),IF(HG176="",TRUE,IF(input_program="",FALSE,SUMPRODUCT(--ISNUMBER(SEARCH(","&amp;TRIM(TEXTSPLIT(HG176,","))&amp;",",","&amp;SUBSTITUTE(input_program," ","")&amp;",")))=COUNTA(TEXTSPLIT(HG176,",")))),IF(HI176="",TRUE,IF(input_program="",TRUE,SUMPRODUCT(--ISNUMBER(SEARCH(","&amp;TRIM(TEXTSPLIT(HI176,","))&amp;",",","&amp;SUBSTITUTE(input_program," ","")&amp;",")))=0)),IF(HK176="",TRUE,IF(input_program="",FALSE,SUMPRODUCT(--ISNUMBER(SEARCH(","&amp;TRIM(TEXTSPLIT(HK176,","))&amp;",",","&amp;SUBSTITUTE(input_program," ","")&amp;",")))&gt;0)),IF(HM176="",TRUE,IF(input_program="",FALSE,SUMPRODUCT(--ISNUMBER(SEARCH(","&amp;TRIM(TEXTSPLIT(HM176,","))&amp;",",","&amp;SUBSTITUTE(input_program," ","")&amp;",")))=COUNTA(TEXTSPLIT(HM176,",")))))</f>
        <v/>
      </c>
      <c r="JO176" s="19">
        <f>AND(IF(HO176="",TRUE,IF(input_story_categories="",FALSE,SUMPRODUCT(--ISNUMBER(SEARCH(","&amp;TRIM(TEXTSPLIT(HO176,","))&amp;",",","&amp;SUBSTITUTE(input_story_categories," ","")&amp;",")))&gt;0)),IF(HQ176="",TRUE,IF(input_story_categories="",FALSE,SUMPRODUCT(--ISNUMBER(SEARCH(","&amp;TRIM(TEXTSPLIT(HQ176,","))&amp;",",","&amp;SUBSTITUTE(input_story_categories," ","")&amp;",")))=COUNTA(TEXTSPLIT(HQ176,",")))),IF(HS176="",TRUE,IF(input_story_categories="",TRUE,SUMPRODUCT(--ISNUMBER(SEARCH(","&amp;TRIM(TEXTSPLIT(HS176,","))&amp;",",","&amp;SUBSTITUTE(input_story_categories," ","")&amp;",")))=0)),IF(HU176="",TRUE,IF(input_story_categories="",FALSE,SUMPRODUCT(--ISNUMBER(SEARCH(","&amp;TRIM(TEXTSPLIT(HU176,","))&amp;",",","&amp;SUBSTITUTE(input_story_categories," ","")&amp;",")))&gt;0)),IF(HW176="",TRUE,IF(input_story_categories="",FALSE,SUMPRODUCT(--ISNUMBER(SEARCH(","&amp;TRIM(TEXTSPLIT(HW176,","))&amp;",",","&amp;SUBSTITUTE(input_story_categories," ","")&amp;",")))=COUNTA(TEXTSPLIT(HW176,",")))))</f>
        <v/>
      </c>
      <c r="JP176" s="19">
        <f>AND(IF(HY176="",TRUE,IF(input_story_type="",FALSE,SUMPRODUCT(--ISNUMBER(SEARCH(","&amp;TRIM(TEXTSPLIT(HY176,","))&amp;",",","&amp;SUBSTITUTE(input_story_type," ","")&amp;",")))&gt;0)),IF(IA176="",TRUE,IF(input_story_type="",FALSE,SUMPRODUCT(--ISNUMBER(SEARCH(","&amp;TRIM(TEXTSPLIT(IA176,","))&amp;",",","&amp;SUBSTITUTE(input_story_type," ","")&amp;",")))=COUNTA(TEXTSPLIT(IA176,",")))),IF(IC176="",TRUE,IF(input_story_type="",TRUE,SUMPRODUCT(--ISNUMBER(SEARCH(","&amp;TRIM(TEXTSPLIT(IC176,","))&amp;",",","&amp;SUBSTITUTE(input_story_type," ","")&amp;",")))=0)),IF(IE176="",TRUE,IF(input_story_type="",FALSE,SUMPRODUCT(--ISNUMBER(SEARCH(","&amp;TRIM(TEXTSPLIT(IE176,","))&amp;",",","&amp;SUBSTITUTE(input_story_type," ","")&amp;",")))&gt;0)),IF(IG176="",TRUE,IF(input_story_type="",FALSE,SUMPRODUCT(--ISNUMBER(SEARCH(","&amp;TRIM(TEXTSPLIT(IG176,","))&amp;",",","&amp;SUBSTITUTE(input_story_type," ","")&amp;",")))=COUNTA(TEXTSPLIT(IG176,",")))))</f>
        <v/>
      </c>
      <c r="JQ176" s="19">
        <f>AND(IF(II176="",TRUE,IF(input_topics="",FALSE,SUMPRODUCT(--ISNUMBER(SEARCH(","&amp;TRIM(TEXTSPLIT(II176,","))&amp;",",","&amp;SUBSTITUTE(input_topics," ","")&amp;",")))&gt;0)),IF(IK176="",TRUE,IF(input_topics="",FALSE,SUMPRODUCT(--ISNUMBER(SEARCH(","&amp;TRIM(TEXTSPLIT(IK176,","))&amp;",",","&amp;SUBSTITUTE(input_topics," ","")&amp;",")))=COUNTA(TEXTSPLIT(IK176,",")))),IF(IM176="",TRUE,IF(input_topics="",TRUE,SUMPRODUCT(--ISNUMBER(SEARCH(","&amp;TRIM(TEXTSPLIT(IM176,","))&amp;",",","&amp;SUBSTITUTE(input_topics," ","")&amp;",")))=0)),IF(IO176="",TRUE,IF(input_topics="",FALSE,SUMPRODUCT(--ISNUMBER(SEARCH(","&amp;TRIM(TEXTSPLIT(IO176,","))&amp;",",","&amp;SUBSTITUTE(input_topics," ","")&amp;",")))&gt;0)),IF(IQ176="",TRUE,IF(input_topics="",FALSE,SUMPRODUCT(--ISNUMBER(SEARCH(","&amp;TRIM(TEXTSPLIT(IQ176,","))&amp;",",","&amp;SUBSTITUTE(input_topics," ","")&amp;",")))=COUNTA(TEXTSPLIT(IQ176,",")))))</f>
        <v/>
      </c>
    </row>
    <row r="177">
      <c r="A177" s="24">
        <f>IF(NOT(IS177),"Excluded",IF(AND(IT177,IU177,IV177,IW177,IX177,IY177,IZ177,JA177,JB177,JC177,JD177,JE177,JF177,JG177,JH177,JI177,JJ177,JK177,JL177,JM177,JN177,JO177,JP177,JQ177),IF(I177&gt;0,"Eligible but limited","Will appear"),"Excluded"))</f>
        <v/>
      </c>
      <c r="B177" s="24" t="inlineStr">
        <is>
          <t>Related stories</t>
        </is>
      </c>
      <c r="C177" s="27" t="inlineStr">
        <is>
          <t>/programs/mba/integrated-curriculum/global-study</t>
        </is>
      </c>
      <c r="D177" s="24" t="inlineStr">
        <is>
          <t>/programs/mba/integrated-curriculum/global-study</t>
        </is>
      </c>
      <c r="E177" s="24" t="n">
        <v>1</v>
      </c>
      <c r="F177" s="24" t="inlineStr">
        <is>
          <t>story</t>
        </is>
      </c>
      <c r="G177" s="24" t="inlineStr">
        <is>
          <t>stories_teaser_cards</t>
        </is>
      </c>
      <c r="H177" s="24" t="inlineStr">
        <is>
          <t>embed_blog</t>
        </is>
      </c>
      <c r="I177" s="24" t="n">
        <v>3</v>
      </c>
      <c r="J177" s="29" t="inlineStr">
        <is>
          <t>Section inferred</t>
        </is>
      </c>
      <c r="K177" s="24" t="inlineStr">
        <is>
          <t>Page placement</t>
        </is>
      </c>
      <c r="L177" s="24" t="inlineStr">
        <is>
          <t>Content type: story; Context uses Courses Context: MBA (92); Needs any Story Type: Blog (974); Limited to 3 item(s); Source: Section inferred</t>
        </is>
      </c>
      <c r="BQ177" s="19" t="inlineStr">
        <is>
          <t>92</t>
        </is>
      </c>
      <c r="BR177" s="19" t="inlineStr">
        <is>
          <t>MBA (92)</t>
        </is>
      </c>
      <c r="HY177" s="19" t="inlineStr">
        <is>
          <t>974</t>
        </is>
      </c>
      <c r="HZ177" s="19" t="inlineStr">
        <is>
          <t>Blog (974)</t>
        </is>
      </c>
      <c r="IS177" s="19">
        <f>IF(input_content_type="",FALSE,ISNUMBER(SEARCH(","&amp;LOWER(input_content_type)&amp;",",","&amp;LOWER(SUBSTITUTE(F177," ",""))&amp;",")))</f>
        <v/>
      </c>
      <c r="IT177" s="19">
        <f>AND(IF(M177="",TRUE,IF(input_affiliations="",FALSE,SUMPRODUCT(--ISNUMBER(SEARCH(","&amp;TRIM(TEXTSPLIT(M177,","))&amp;",",","&amp;SUBSTITUTE(input_affiliations," ","")&amp;",")))&gt;0)),IF(O177="",TRUE,IF(input_affiliations="",FALSE,SUMPRODUCT(--ISNUMBER(SEARCH(","&amp;TRIM(TEXTSPLIT(O177,","))&amp;",",","&amp;SUBSTITUTE(input_affiliations," ","")&amp;",")))=COUNTA(TEXTSPLIT(O177,",")))),IF(Q177="",TRUE,IF(input_affiliations="",TRUE,SUMPRODUCT(--ISNUMBER(SEARCH(","&amp;TRIM(TEXTSPLIT(Q177,","))&amp;",",","&amp;SUBSTITUTE(input_affiliations," ","")&amp;",")))=0)),IF(S177="",TRUE,IF(input_affiliations="",FALSE,SUMPRODUCT(--ISNUMBER(SEARCH(","&amp;TRIM(TEXTSPLIT(S177,","))&amp;",",","&amp;SUBSTITUTE(input_affiliations," ","")&amp;",")))&gt;0)),IF(U177="",TRUE,IF(input_affiliations="",FALSE,SUMPRODUCT(--ISNUMBER(SEARCH(","&amp;TRIM(TEXTSPLIT(U177,","))&amp;",",","&amp;SUBSTITUTE(input_affiliations," ","")&amp;",")))=COUNTA(TEXTSPLIT(U177,",")))))</f>
        <v/>
      </c>
      <c r="IU177" s="19">
        <f>AND(IF(W177="",TRUE,IF(input_announcement_category="",FALSE,SUMPRODUCT(--ISNUMBER(SEARCH(","&amp;TRIM(TEXTSPLIT(W177,","))&amp;",",","&amp;SUBSTITUTE(input_announcement_category," ","")&amp;",")))&gt;0)),IF(Y177="",TRUE,IF(input_announcement_category="",FALSE,SUMPRODUCT(--ISNUMBER(SEARCH(","&amp;TRIM(TEXTSPLIT(Y177,","))&amp;",",","&amp;SUBSTITUTE(input_announcement_category," ","")&amp;",")))=COUNTA(TEXTSPLIT(Y177,",")))),IF(AA177="",TRUE,IF(input_announcement_category="",TRUE,SUMPRODUCT(--ISNUMBER(SEARCH(","&amp;TRIM(TEXTSPLIT(AA177,","))&amp;",",","&amp;SUBSTITUTE(input_announcement_category," ","")&amp;",")))=0)),IF(AC177="",TRUE,IF(input_announcement_category="",FALSE,SUMPRODUCT(--ISNUMBER(SEARCH(","&amp;TRIM(TEXTSPLIT(AC177,","))&amp;",",","&amp;SUBSTITUTE(input_announcement_category," ","")&amp;",")))&gt;0)),IF(AE177="",TRUE,IF(input_announcement_category="",FALSE,SUMPRODUCT(--ISNUMBER(SEARCH(","&amp;TRIM(TEXTSPLIT(AE177,","))&amp;",",","&amp;SUBSTITUTE(input_announcement_category," ","")&amp;",")))=COUNTA(TEXTSPLIT(AE177,",")))))</f>
        <v/>
      </c>
      <c r="IV177" s="19">
        <f>AND(IF(AG177="",TRUE,IF(input_area_of_focus="",FALSE,SUMPRODUCT(--ISNUMBER(SEARCH(","&amp;TRIM(TEXTSPLIT(AG177,","))&amp;",",","&amp;SUBSTITUTE(input_area_of_focus," ","")&amp;",")))&gt;0)),IF(AI177="",TRUE,IF(input_area_of_focus="",FALSE,SUMPRODUCT(--ISNUMBER(SEARCH(","&amp;TRIM(TEXTSPLIT(AI177,","))&amp;",",","&amp;SUBSTITUTE(input_area_of_focus," ","")&amp;",")))=COUNTA(TEXTSPLIT(AI177,",")))),IF(AK177="",TRUE,IF(input_area_of_focus="",TRUE,SUMPRODUCT(--ISNUMBER(SEARCH(","&amp;TRIM(TEXTSPLIT(AK177,","))&amp;",",","&amp;SUBSTITUTE(input_area_of_focus," ","")&amp;",")))=0)),IF(AM177="",TRUE,IF(input_area_of_focus="",FALSE,SUMPRODUCT(--ISNUMBER(SEARCH(","&amp;TRIM(TEXTSPLIT(AM177,","))&amp;",",","&amp;SUBSTITUTE(input_area_of_focus," ","")&amp;",")))&gt;0)),IF(AO177="",TRUE,IF(input_area_of_focus="",FALSE,SUMPRODUCT(--ISNUMBER(SEARCH(","&amp;TRIM(TEXTSPLIT(AO177,","))&amp;",",","&amp;SUBSTITUTE(input_area_of_focus," ","")&amp;",")))=COUNTA(TEXTSPLIT(AO177,",")))))</f>
        <v/>
      </c>
      <c r="IW177" s="19">
        <f>AND(IF(AQ177="",TRUE,IF(input_audience="",FALSE,SUMPRODUCT(--ISNUMBER(SEARCH(","&amp;TRIM(TEXTSPLIT(AQ177,","))&amp;",",","&amp;SUBSTITUTE(input_audience," ","")&amp;",")))&gt;0)),IF(AS177="",TRUE,IF(input_audience="",FALSE,SUMPRODUCT(--ISNUMBER(SEARCH(","&amp;TRIM(TEXTSPLIT(AS177,","))&amp;",",","&amp;SUBSTITUTE(input_audience," ","")&amp;",")))=COUNTA(TEXTSPLIT(AS177,",")))),IF(AU177="",TRUE,IF(input_audience="",TRUE,SUMPRODUCT(--ISNUMBER(SEARCH(","&amp;TRIM(TEXTSPLIT(AU177,","))&amp;",",","&amp;SUBSTITUTE(input_audience," ","")&amp;",")))=0)),IF(AW177="",TRUE,IF(input_audience="",FALSE,SUMPRODUCT(--ISNUMBER(SEARCH(","&amp;TRIM(TEXTSPLIT(AW177,","))&amp;",",","&amp;SUBSTITUTE(input_audience," ","")&amp;",")))&gt;0)),IF(AY177="",TRUE,IF(input_audience="",FALSE,SUMPRODUCT(--ISNUMBER(SEARCH(","&amp;TRIM(TEXTSPLIT(AY177,","))&amp;",",","&amp;SUBSTITUTE(input_audience," ","")&amp;",")))=COUNTA(TEXTSPLIT(AY177,",")))))</f>
        <v/>
      </c>
      <c r="IX177" s="19">
        <f>AND(IF(BA177="",TRUE,IF(input_challenge_opportunities="",FALSE,SUMPRODUCT(--ISNUMBER(SEARCH(","&amp;TRIM(TEXTSPLIT(BA177,","))&amp;",",","&amp;SUBSTITUTE(input_challenge_opportunities," ","")&amp;",")))&gt;0)),IF(BC177="",TRUE,IF(input_challenge_opportunities="",FALSE,SUMPRODUCT(--ISNUMBER(SEARCH(","&amp;TRIM(TEXTSPLIT(BC177,","))&amp;",",","&amp;SUBSTITUTE(input_challenge_opportunities," ","")&amp;",")))=COUNTA(TEXTSPLIT(BC177,",")))),IF(BE177="",TRUE,IF(input_challenge_opportunities="",TRUE,SUMPRODUCT(--ISNUMBER(SEARCH(","&amp;TRIM(TEXTSPLIT(BE177,","))&amp;",",","&amp;SUBSTITUTE(input_challenge_opportunities," ","")&amp;",")))=0)),IF(BG177="",TRUE,IF(input_challenge_opportunities="",FALSE,SUMPRODUCT(--ISNUMBER(SEARCH(","&amp;TRIM(TEXTSPLIT(BG177,","))&amp;",",","&amp;SUBSTITUTE(input_challenge_opportunities," ","")&amp;",")))&gt;0)),IF(BI177="",TRUE,IF(input_challenge_opportunities="",FALSE,SUMPRODUCT(--ISNUMBER(SEARCH(","&amp;TRIM(TEXTSPLIT(BI177,","))&amp;",",","&amp;SUBSTITUTE(input_challenge_opportunities," ","")&amp;",")))=COUNTA(TEXTSPLIT(BI177,",")))))</f>
        <v/>
      </c>
      <c r="IY177" s="19">
        <f>AND(IF(BK177="",TRUE,IF(input_context="",FALSE,SUMPRODUCT(--ISNUMBER(SEARCH(","&amp;TRIM(TEXTSPLIT(BK177,","))&amp;",",","&amp;SUBSTITUTE(input_context," ","")&amp;",")))&gt;0)),IF(BM177="",TRUE,IF(input_context="",FALSE,SUMPRODUCT(--ISNUMBER(SEARCH(","&amp;TRIM(TEXTSPLIT(BM177,","))&amp;",",","&amp;SUBSTITUTE(input_context," ","")&amp;",")))=COUNTA(TEXTSPLIT(BM177,",")))),IF(BO177="",TRUE,IF(input_context="",TRUE,SUMPRODUCT(--ISNUMBER(SEARCH(","&amp;TRIM(TEXTSPLIT(BO177,","))&amp;",",","&amp;SUBSTITUTE(input_context," ","")&amp;",")))=0)),IF(BQ177="",TRUE,IF(input_context="",FALSE,SUMPRODUCT(--ISNUMBER(SEARCH(","&amp;TRIM(TEXTSPLIT(BQ177,","))&amp;",",","&amp;SUBSTITUTE(input_context," ","")&amp;",")))&gt;0)),IF(BS177="",TRUE,IF(input_context="",FALSE,SUMPRODUCT(--ISNUMBER(SEARCH(","&amp;TRIM(TEXTSPLIT(BS177,","))&amp;",",","&amp;SUBSTITUTE(input_context," ","")&amp;",")))=COUNTA(TEXTSPLIT(BS177,",")))))</f>
        <v/>
      </c>
      <c r="IZ177" s="19">
        <f>AND(IF(BU177="",TRUE,IF(input_enews_announcement_type="",FALSE,SUMPRODUCT(--ISNUMBER(SEARCH(","&amp;TRIM(TEXTSPLIT(BU177,","))&amp;",",","&amp;SUBSTITUTE(input_enews_announcement_type," ","")&amp;",")))&gt;0)),IF(BW177="",TRUE,IF(input_enews_announcement_type="",FALSE,SUMPRODUCT(--ISNUMBER(SEARCH(","&amp;TRIM(TEXTSPLIT(BW177,","))&amp;",",","&amp;SUBSTITUTE(input_enews_announcement_type," ","")&amp;",")))=COUNTA(TEXTSPLIT(BW177,",")))),IF(BY177="",TRUE,IF(input_enews_announcement_type="",TRUE,SUMPRODUCT(--ISNUMBER(SEARCH(","&amp;TRIM(TEXTSPLIT(BY177,","))&amp;",",","&amp;SUBSTITUTE(input_enews_announcement_type," ","")&amp;",")))=0)),IF(CA177="",TRUE,IF(input_enews_announcement_type="",FALSE,SUMPRODUCT(--ISNUMBER(SEARCH(","&amp;TRIM(TEXTSPLIT(CA177,","))&amp;",",","&amp;SUBSTITUTE(input_enews_announcement_type," ","")&amp;",")))&gt;0)),IF(CC177="",TRUE,IF(input_enews_announcement_type="",FALSE,SUMPRODUCT(--ISNUMBER(SEARCH(","&amp;TRIM(TEXTSPLIT(CC177,","))&amp;",",","&amp;SUBSTITUTE(input_enews_announcement_type," ","")&amp;",")))=COUNTA(TEXTSPLIT(CC177,",")))))</f>
        <v/>
      </c>
      <c r="JA177" s="19">
        <f>AND(IF(CE177="",TRUE,IF(input_enews_audience="",FALSE,SUMPRODUCT(--ISNUMBER(SEARCH(","&amp;TRIM(TEXTSPLIT(CE177,","))&amp;",",","&amp;SUBSTITUTE(input_enews_audience," ","")&amp;",")))&gt;0)),IF(CG177="",TRUE,IF(input_enews_audience="",FALSE,SUMPRODUCT(--ISNUMBER(SEARCH(","&amp;TRIM(TEXTSPLIT(CG177,","))&amp;",",","&amp;SUBSTITUTE(input_enews_audience," ","")&amp;",")))=COUNTA(TEXTSPLIT(CG177,",")))),IF(CI177="",TRUE,IF(input_enews_audience="",TRUE,SUMPRODUCT(--ISNUMBER(SEARCH(","&amp;TRIM(TEXTSPLIT(CI177,","))&amp;",",","&amp;SUBSTITUTE(input_enews_audience," ","")&amp;",")))=0)),IF(CK177="",TRUE,IF(input_enews_audience="",FALSE,SUMPRODUCT(--ISNUMBER(SEARCH(","&amp;TRIM(TEXTSPLIT(CK177,","))&amp;",",","&amp;SUBSTITUTE(input_enews_audience," ","")&amp;",")))&gt;0)),IF(CM177="",TRUE,IF(input_enews_audience="",FALSE,SUMPRODUCT(--ISNUMBER(SEARCH(","&amp;TRIM(TEXTSPLIT(CM177,","))&amp;",",","&amp;SUBSTITUTE(input_enews_audience," ","")&amp;",")))=COUNTA(TEXTSPLIT(CM177,",")))))</f>
        <v/>
      </c>
      <c r="JB177" s="19">
        <f>AND(IF(CO177="",TRUE,IF(input_event_location="",FALSE,SUMPRODUCT(--ISNUMBER(SEARCH(","&amp;TRIM(TEXTSPLIT(CO177,","))&amp;",",","&amp;SUBSTITUTE(input_event_location," ","")&amp;",")))&gt;0)),IF(CQ177="",TRUE,IF(input_event_location="",FALSE,SUMPRODUCT(--ISNUMBER(SEARCH(","&amp;TRIM(TEXTSPLIT(CQ177,","))&amp;",",","&amp;SUBSTITUTE(input_event_location," ","")&amp;",")))=COUNTA(TEXTSPLIT(CQ177,",")))),IF(CS177="",TRUE,IF(input_event_location="",TRUE,SUMPRODUCT(--ISNUMBER(SEARCH(","&amp;TRIM(TEXTSPLIT(CS177,","))&amp;",",","&amp;SUBSTITUTE(input_event_location," ","")&amp;",")))=0)),IF(CU177="",TRUE,IF(input_event_location="",FALSE,SUMPRODUCT(--ISNUMBER(SEARCH(","&amp;TRIM(TEXTSPLIT(CU177,","))&amp;",",","&amp;SUBSTITUTE(input_event_location," ","")&amp;",")))&gt;0)),IF(CW177="",TRUE,IF(input_event_location="",FALSE,SUMPRODUCT(--ISNUMBER(SEARCH(","&amp;TRIM(TEXTSPLIT(CW177,","))&amp;",",","&amp;SUBSTITUTE(input_event_location," ","")&amp;",")))=COUNTA(TEXTSPLIT(CW177,",")))))</f>
        <v/>
      </c>
      <c r="JC177" s="19">
        <f>AND(IF(CY177="",TRUE,IF(input_event_type="",FALSE,SUMPRODUCT(--ISNUMBER(SEARCH(","&amp;TRIM(TEXTSPLIT(CY177,","))&amp;",",","&amp;SUBSTITUTE(input_event_type," ","")&amp;",")))&gt;0)),IF(DA177="",TRUE,IF(input_event_type="",FALSE,SUMPRODUCT(--ISNUMBER(SEARCH(","&amp;TRIM(TEXTSPLIT(DA177,","))&amp;",",","&amp;SUBSTITUTE(input_event_type," ","")&amp;",")))=COUNTA(TEXTSPLIT(DA177,",")))),IF(DC177="",TRUE,IF(input_event_type="",TRUE,SUMPRODUCT(--ISNUMBER(SEARCH(","&amp;TRIM(TEXTSPLIT(DC177,","))&amp;",",","&amp;SUBSTITUTE(input_event_type," ","")&amp;",")))=0)),IF(DE177="",TRUE,IF(input_event_type="",FALSE,SUMPRODUCT(--ISNUMBER(SEARCH(","&amp;TRIM(TEXTSPLIT(DE177,","))&amp;",",","&amp;SUBSTITUTE(input_event_type," ","")&amp;",")))&gt;0)),IF(DG177="",TRUE,IF(input_event_type="",FALSE,SUMPRODUCT(--ISNUMBER(SEARCH(","&amp;TRIM(TEXTSPLIT(DG177,","))&amp;",",","&amp;SUBSTITUTE(input_event_type," ","")&amp;",")))=COUNTA(TEXTSPLIT(DG177,",")))))</f>
        <v/>
      </c>
      <c r="JD177" s="19">
        <f>AND(IF(DI177="",TRUE,IF(input_executive_education_focus="",FALSE,SUMPRODUCT(--ISNUMBER(SEARCH(","&amp;TRIM(TEXTSPLIT(DI177,","))&amp;",",","&amp;SUBSTITUTE(input_executive_education_focus," ","")&amp;",")))&gt;0)),IF(DK177="",TRUE,IF(input_executive_education_focus="",FALSE,SUMPRODUCT(--ISNUMBER(SEARCH(","&amp;TRIM(TEXTSPLIT(DK177,","))&amp;",",","&amp;SUBSTITUTE(input_executive_education_focus," ","")&amp;",")))=COUNTA(TEXTSPLIT(DK177,",")))),IF(DM177="",TRUE,IF(input_executive_education_focus="",TRUE,SUMPRODUCT(--ISNUMBER(SEARCH(","&amp;TRIM(TEXTSPLIT(DM177,","))&amp;",",","&amp;SUBSTITUTE(input_executive_education_focus," ","")&amp;",")))=0)),IF(DO177="",TRUE,IF(input_executive_education_focus="",FALSE,SUMPRODUCT(--ISNUMBER(SEARCH(","&amp;TRIM(TEXTSPLIT(DO177,","))&amp;",",","&amp;SUBSTITUTE(input_executive_education_focus," ","")&amp;",")))&gt;0)),IF(DQ177="",TRUE,IF(input_executive_education_focus="",FALSE,SUMPRODUCT(--ISNUMBER(SEARCH(","&amp;TRIM(TEXTSPLIT(DQ177,","))&amp;",",","&amp;SUBSTITUTE(input_executive_education_focus," ","")&amp;",")))=COUNTA(TEXTSPLIT(DQ177,",")))))</f>
        <v/>
      </c>
      <c r="JE177" s="19">
        <f>AND(IF(DS177="",TRUE,IF(input_faculty_category="",FALSE,SUMPRODUCT(--ISNUMBER(SEARCH(","&amp;TRIM(TEXTSPLIT(DS177,","))&amp;",",","&amp;SUBSTITUTE(input_faculty_category," ","")&amp;",")))&gt;0)),IF(DU177="",TRUE,IF(input_faculty_category="",FALSE,SUMPRODUCT(--ISNUMBER(SEARCH(","&amp;TRIM(TEXTSPLIT(DU177,","))&amp;",",","&amp;SUBSTITUTE(input_faculty_category," ","")&amp;",")))=COUNTA(TEXTSPLIT(DU177,",")))),IF(DW177="",TRUE,IF(input_faculty_category="",TRUE,SUMPRODUCT(--ISNUMBER(SEARCH(","&amp;TRIM(TEXTSPLIT(DW177,","))&amp;",",","&amp;SUBSTITUTE(input_faculty_category," ","")&amp;",")))=0)),IF(DY177="",TRUE,IF(input_faculty_category="",FALSE,SUMPRODUCT(--ISNUMBER(SEARCH(","&amp;TRIM(TEXTSPLIT(DY177,","))&amp;",",","&amp;SUBSTITUTE(input_faculty_category," ","")&amp;",")))&gt;0)),IF(EA177="",TRUE,IF(input_faculty_category="",FALSE,SUMPRODUCT(--ISNUMBER(SEARCH(","&amp;TRIM(TEXTSPLIT(EA177,","))&amp;",",","&amp;SUBSTITUTE(input_faculty_category," ","")&amp;",")))=COUNTA(TEXTSPLIT(EA177,",")))))</f>
        <v/>
      </c>
      <c r="JF177" s="19">
        <f>AND(IF(EC177="",TRUE,IF(input_faculty_discipline="",FALSE,SUMPRODUCT(--ISNUMBER(SEARCH(","&amp;TRIM(TEXTSPLIT(EC177,","))&amp;",",","&amp;SUBSTITUTE(input_faculty_discipline," ","")&amp;",")))&gt;0)),IF(EE177="",TRUE,IF(input_faculty_discipline="",FALSE,SUMPRODUCT(--ISNUMBER(SEARCH(","&amp;TRIM(TEXTSPLIT(EE177,","))&amp;",",","&amp;SUBSTITUTE(input_faculty_discipline," ","")&amp;",")))=COUNTA(TEXTSPLIT(EE177,",")))),IF(EG177="",TRUE,IF(input_faculty_discipline="",TRUE,SUMPRODUCT(--ISNUMBER(SEARCH(","&amp;TRIM(TEXTSPLIT(EG177,","))&amp;",",","&amp;SUBSTITUTE(input_faculty_discipline," ","")&amp;",")))=0)),IF(EI177="",TRUE,IF(input_faculty_discipline="",FALSE,SUMPRODUCT(--ISNUMBER(SEARCH(","&amp;TRIM(TEXTSPLIT(EI177,","))&amp;",",","&amp;SUBSTITUTE(input_faculty_discipline," ","")&amp;",")))&gt;0)),IF(EK177="",TRUE,IF(input_faculty_discipline="",FALSE,SUMPRODUCT(--ISNUMBER(SEARCH(","&amp;TRIM(TEXTSPLIT(EK177,","))&amp;",",","&amp;SUBSTITUTE(input_faculty_discipline," ","")&amp;",")))=COUNTA(TEXTSPLIT(EK177,",")))))</f>
        <v/>
      </c>
      <c r="JG177" s="19">
        <f>AND(IF(EM177="",TRUE,IF(input_faculty_expertise="",FALSE,SUMPRODUCT(--ISNUMBER(SEARCH(","&amp;TRIM(TEXTSPLIT(EM177,","))&amp;",",","&amp;SUBSTITUTE(input_faculty_expertise," ","")&amp;",")))&gt;0)),IF(EO177="",TRUE,IF(input_faculty_expertise="",FALSE,SUMPRODUCT(--ISNUMBER(SEARCH(","&amp;TRIM(TEXTSPLIT(EO177,","))&amp;",",","&amp;SUBSTITUTE(input_faculty_expertise," ","")&amp;",")))=COUNTA(TEXTSPLIT(EO177,",")))),IF(EQ177="",TRUE,IF(input_faculty_expertise="",TRUE,SUMPRODUCT(--ISNUMBER(SEARCH(","&amp;TRIM(TEXTSPLIT(EQ177,","))&amp;",",","&amp;SUBSTITUTE(input_faculty_expertise," ","")&amp;",")))=0)),IF(ES177="",TRUE,IF(input_faculty_expertise="",FALSE,SUMPRODUCT(--ISNUMBER(SEARCH(","&amp;TRIM(TEXTSPLIT(ES177,","))&amp;",",","&amp;SUBSTITUTE(input_faculty_expertise," ","")&amp;",")))&gt;0)),IF(EU177="",TRUE,IF(input_faculty_expertise="",FALSE,SUMPRODUCT(--ISNUMBER(SEARCH(","&amp;TRIM(TEXTSPLIT(EU177,","))&amp;",",","&amp;SUBSTITUTE(input_faculty_expertise," ","")&amp;",")))=COUNTA(TEXTSPLIT(EU177,",")))))</f>
        <v/>
      </c>
      <c r="JH177" s="19">
        <f>AND(IF(EW177="",TRUE,IF(input_global_network_school="",FALSE,SUMPRODUCT(--ISNUMBER(SEARCH(","&amp;TRIM(TEXTSPLIT(EW177,","))&amp;",",","&amp;SUBSTITUTE(input_global_network_school," ","")&amp;",")))&gt;0)),IF(EY177="",TRUE,IF(input_global_network_school="",FALSE,SUMPRODUCT(--ISNUMBER(SEARCH(","&amp;TRIM(TEXTSPLIT(EY177,","))&amp;",",","&amp;SUBSTITUTE(input_global_network_school," ","")&amp;",")))=COUNTA(TEXTSPLIT(EY177,",")))),IF(FA177="",TRUE,IF(input_global_network_school="",TRUE,SUMPRODUCT(--ISNUMBER(SEARCH(","&amp;TRIM(TEXTSPLIT(FA177,","))&amp;",",","&amp;SUBSTITUTE(input_global_network_school," ","")&amp;",")))=0)),IF(FC177="",TRUE,IF(input_global_network_school="",FALSE,SUMPRODUCT(--ISNUMBER(SEARCH(","&amp;TRIM(TEXTSPLIT(FC177,","))&amp;",",","&amp;SUBSTITUTE(input_global_network_school," ","")&amp;",")))&gt;0)),IF(FE177="",TRUE,IF(input_global_network_school="",FALSE,SUMPRODUCT(--ISNUMBER(SEARCH(","&amp;TRIM(TEXTSPLIT(FE177,","))&amp;",",","&amp;SUBSTITUTE(input_global_network_school," ","")&amp;",")))=COUNTA(TEXTSPLIT(FE177,",")))))</f>
        <v/>
      </c>
      <c r="JI177" s="19">
        <f>AND(IF(FG177="",TRUE,IF(input_industry="",FALSE,SUMPRODUCT(--ISNUMBER(SEARCH(","&amp;TRIM(TEXTSPLIT(FG177,","))&amp;",",","&amp;SUBSTITUTE(input_industry," ","")&amp;",")))&gt;0)),IF(FI177="",TRUE,IF(input_industry="",FALSE,SUMPRODUCT(--ISNUMBER(SEARCH(","&amp;TRIM(TEXTSPLIT(FI177,","))&amp;",",","&amp;SUBSTITUTE(input_industry," ","")&amp;",")))=COUNTA(TEXTSPLIT(FI177,",")))),IF(FK177="",TRUE,IF(input_industry="",TRUE,SUMPRODUCT(--ISNUMBER(SEARCH(","&amp;TRIM(TEXTSPLIT(FK177,","))&amp;",",","&amp;SUBSTITUTE(input_industry," ","")&amp;",")))=0)),IF(FM177="",TRUE,IF(input_industry="",FALSE,SUMPRODUCT(--ISNUMBER(SEARCH(","&amp;TRIM(TEXTSPLIT(FM177,","))&amp;",",","&amp;SUBSTITUTE(input_industry," ","")&amp;",")))&gt;0)),IF(FO177="",TRUE,IF(input_industry="",FALSE,SUMPRODUCT(--ISNUMBER(SEARCH(","&amp;TRIM(TEXTSPLIT(FO177,","))&amp;",",","&amp;SUBSTITUTE(input_industry," ","")&amp;",")))=COUNTA(TEXTSPLIT(FO177,",")))))</f>
        <v/>
      </c>
      <c r="JJ177" s="19">
        <f>AND(IF(FQ177="",TRUE,IF(input_location="",FALSE,SUMPRODUCT(--ISNUMBER(SEARCH(","&amp;TRIM(TEXTSPLIT(FQ177,","))&amp;",",","&amp;SUBSTITUTE(input_location," ","")&amp;",")))&gt;0)),IF(FS177="",TRUE,IF(input_location="",FALSE,SUMPRODUCT(--ISNUMBER(SEARCH(","&amp;TRIM(TEXTSPLIT(FS177,","))&amp;",",","&amp;SUBSTITUTE(input_location," ","")&amp;",")))=COUNTA(TEXTSPLIT(FS177,",")))),IF(FU177="",TRUE,IF(input_location="",TRUE,SUMPRODUCT(--ISNUMBER(SEARCH(","&amp;TRIM(TEXTSPLIT(FU177,","))&amp;",",","&amp;SUBSTITUTE(input_location," ","")&amp;",")))=0)),IF(FW177="",TRUE,IF(input_location="",FALSE,SUMPRODUCT(--ISNUMBER(SEARCH(","&amp;TRIM(TEXTSPLIT(FW177,","))&amp;",",","&amp;SUBSTITUTE(input_location," ","")&amp;",")))&gt;0)),IF(FY177="",TRUE,IF(input_location="",FALSE,SUMPRODUCT(--ISNUMBER(SEARCH(","&amp;TRIM(TEXTSPLIT(FY177,","))&amp;",",","&amp;SUBSTITUTE(input_location," ","")&amp;",")))=COUNTA(TEXTSPLIT(FY177,",")))))</f>
        <v/>
      </c>
      <c r="JK177" s="19">
        <f>AND(IF(GA177="",TRUE,IF(input_modality="",FALSE,SUMPRODUCT(--ISNUMBER(SEARCH(","&amp;TRIM(TEXTSPLIT(GA177,","))&amp;",",","&amp;SUBSTITUTE(input_modality," ","")&amp;",")))&gt;0)),IF(GC177="",TRUE,IF(input_modality="",FALSE,SUMPRODUCT(--ISNUMBER(SEARCH(","&amp;TRIM(TEXTSPLIT(GC177,","))&amp;",",","&amp;SUBSTITUTE(input_modality," ","")&amp;",")))=COUNTA(TEXTSPLIT(GC177,",")))),IF(GE177="",TRUE,IF(input_modality="",TRUE,SUMPRODUCT(--ISNUMBER(SEARCH(","&amp;TRIM(TEXTSPLIT(GE177,","))&amp;",",","&amp;SUBSTITUTE(input_modality," ","")&amp;",")))=0)),IF(GG177="",TRUE,IF(input_modality="",FALSE,SUMPRODUCT(--ISNUMBER(SEARCH(","&amp;TRIM(TEXTSPLIT(GG177,","))&amp;",",","&amp;SUBSTITUTE(input_modality," ","")&amp;",")))&gt;0)),IF(GI177="",TRUE,IF(input_modality="",FALSE,SUMPRODUCT(--ISNUMBER(SEARCH(","&amp;TRIM(TEXTSPLIT(GI177,","))&amp;",",","&amp;SUBSTITUTE(input_modality," ","")&amp;",")))=COUNTA(TEXTSPLIT(GI177,",")))))</f>
        <v/>
      </c>
      <c r="JL177" s="19">
        <f>AND(IF(GK177="",TRUE,IF(input_organizer="",FALSE,SUMPRODUCT(--ISNUMBER(SEARCH(","&amp;TRIM(TEXTSPLIT(GK177,","))&amp;",",","&amp;SUBSTITUTE(input_organizer," ","")&amp;",")))&gt;0)),IF(GM177="",TRUE,IF(input_organizer="",FALSE,SUMPRODUCT(--ISNUMBER(SEARCH(","&amp;TRIM(TEXTSPLIT(GM177,","))&amp;",",","&amp;SUBSTITUTE(input_organizer," ","")&amp;",")))=COUNTA(TEXTSPLIT(GM177,",")))),IF(GO177="",TRUE,IF(input_organizer="",TRUE,SUMPRODUCT(--ISNUMBER(SEARCH(","&amp;TRIM(TEXTSPLIT(GO177,","))&amp;",",","&amp;SUBSTITUTE(input_organizer," ","")&amp;",")))=0)),IF(GQ177="",TRUE,IF(input_organizer="",FALSE,SUMPRODUCT(--ISNUMBER(SEARCH(","&amp;TRIM(TEXTSPLIT(GQ177,","))&amp;",",","&amp;SUBSTITUTE(input_organizer," ","")&amp;",")))&gt;0)),IF(GS177="",TRUE,IF(input_organizer="",FALSE,SUMPRODUCT(--ISNUMBER(SEARCH(","&amp;TRIM(TEXTSPLIT(GS177,","))&amp;",",","&amp;SUBSTITUTE(input_organizer," ","")&amp;",")))=COUNTA(TEXTSPLIT(GS177,",")))))</f>
        <v/>
      </c>
      <c r="JM177" s="19">
        <f>AND(IF(GU177="",TRUE,IF(input_profile_type="",FALSE,SUMPRODUCT(--ISNUMBER(SEARCH(","&amp;TRIM(TEXTSPLIT(GU177,","))&amp;",",","&amp;SUBSTITUTE(input_profile_type," ","")&amp;",")))&gt;0)),IF(GW177="",TRUE,IF(input_profile_type="",FALSE,SUMPRODUCT(--ISNUMBER(SEARCH(","&amp;TRIM(TEXTSPLIT(GW177,","))&amp;",",","&amp;SUBSTITUTE(input_profile_type," ","")&amp;",")))=COUNTA(TEXTSPLIT(GW177,",")))),IF(GY177="",TRUE,IF(input_profile_type="",TRUE,SUMPRODUCT(--ISNUMBER(SEARCH(","&amp;TRIM(TEXTSPLIT(GY177,","))&amp;",",","&amp;SUBSTITUTE(input_profile_type," ","")&amp;",")))=0)),IF(HA177="",TRUE,IF(input_profile_type="",FALSE,SUMPRODUCT(--ISNUMBER(SEARCH(","&amp;TRIM(TEXTSPLIT(HA177,","))&amp;",",","&amp;SUBSTITUTE(input_profile_type," ","")&amp;",")))&gt;0)),IF(HC177="",TRUE,IF(input_profile_type="",FALSE,SUMPRODUCT(--ISNUMBER(SEARCH(","&amp;TRIM(TEXTSPLIT(HC177,","))&amp;",",","&amp;SUBSTITUTE(input_profile_type," ","")&amp;",")))=COUNTA(TEXTSPLIT(HC177,",")))))</f>
        <v/>
      </c>
      <c r="JN177" s="19">
        <f>AND(IF(HE177="",TRUE,IF(input_program="",FALSE,SUMPRODUCT(--ISNUMBER(SEARCH(","&amp;TRIM(TEXTSPLIT(HE177,","))&amp;",",","&amp;SUBSTITUTE(input_program," ","")&amp;",")))&gt;0)),IF(HG177="",TRUE,IF(input_program="",FALSE,SUMPRODUCT(--ISNUMBER(SEARCH(","&amp;TRIM(TEXTSPLIT(HG177,","))&amp;",",","&amp;SUBSTITUTE(input_program," ","")&amp;",")))=COUNTA(TEXTSPLIT(HG177,",")))),IF(HI177="",TRUE,IF(input_program="",TRUE,SUMPRODUCT(--ISNUMBER(SEARCH(","&amp;TRIM(TEXTSPLIT(HI177,","))&amp;",",","&amp;SUBSTITUTE(input_program," ","")&amp;",")))=0)),IF(HK177="",TRUE,IF(input_program="",FALSE,SUMPRODUCT(--ISNUMBER(SEARCH(","&amp;TRIM(TEXTSPLIT(HK177,","))&amp;",",","&amp;SUBSTITUTE(input_program," ","")&amp;",")))&gt;0)),IF(HM177="",TRUE,IF(input_program="",FALSE,SUMPRODUCT(--ISNUMBER(SEARCH(","&amp;TRIM(TEXTSPLIT(HM177,","))&amp;",",","&amp;SUBSTITUTE(input_program," ","")&amp;",")))=COUNTA(TEXTSPLIT(HM177,",")))))</f>
        <v/>
      </c>
      <c r="JO177" s="19">
        <f>AND(IF(HO177="",TRUE,IF(input_story_categories="",FALSE,SUMPRODUCT(--ISNUMBER(SEARCH(","&amp;TRIM(TEXTSPLIT(HO177,","))&amp;",",","&amp;SUBSTITUTE(input_story_categories," ","")&amp;",")))&gt;0)),IF(HQ177="",TRUE,IF(input_story_categories="",FALSE,SUMPRODUCT(--ISNUMBER(SEARCH(","&amp;TRIM(TEXTSPLIT(HQ177,","))&amp;",",","&amp;SUBSTITUTE(input_story_categories," ","")&amp;",")))=COUNTA(TEXTSPLIT(HQ177,",")))),IF(HS177="",TRUE,IF(input_story_categories="",TRUE,SUMPRODUCT(--ISNUMBER(SEARCH(","&amp;TRIM(TEXTSPLIT(HS177,","))&amp;",",","&amp;SUBSTITUTE(input_story_categories," ","")&amp;",")))=0)),IF(HU177="",TRUE,IF(input_story_categories="",FALSE,SUMPRODUCT(--ISNUMBER(SEARCH(","&amp;TRIM(TEXTSPLIT(HU177,","))&amp;",",","&amp;SUBSTITUTE(input_story_categories," ","")&amp;",")))&gt;0)),IF(HW177="",TRUE,IF(input_story_categories="",FALSE,SUMPRODUCT(--ISNUMBER(SEARCH(","&amp;TRIM(TEXTSPLIT(HW177,","))&amp;",",","&amp;SUBSTITUTE(input_story_categories," ","")&amp;",")))=COUNTA(TEXTSPLIT(HW177,",")))))</f>
        <v/>
      </c>
      <c r="JP177" s="19">
        <f>AND(IF(HY177="",TRUE,IF(input_story_type="",FALSE,SUMPRODUCT(--ISNUMBER(SEARCH(","&amp;TRIM(TEXTSPLIT(HY177,","))&amp;",",","&amp;SUBSTITUTE(input_story_type," ","")&amp;",")))&gt;0)),IF(IA177="",TRUE,IF(input_story_type="",FALSE,SUMPRODUCT(--ISNUMBER(SEARCH(","&amp;TRIM(TEXTSPLIT(IA177,","))&amp;",",","&amp;SUBSTITUTE(input_story_type," ","")&amp;",")))=COUNTA(TEXTSPLIT(IA177,",")))),IF(IC177="",TRUE,IF(input_story_type="",TRUE,SUMPRODUCT(--ISNUMBER(SEARCH(","&amp;TRIM(TEXTSPLIT(IC177,","))&amp;",",","&amp;SUBSTITUTE(input_story_type," ","")&amp;",")))=0)),IF(IE177="",TRUE,IF(input_story_type="",FALSE,SUMPRODUCT(--ISNUMBER(SEARCH(","&amp;TRIM(TEXTSPLIT(IE177,","))&amp;",",","&amp;SUBSTITUTE(input_story_type," ","")&amp;",")))&gt;0)),IF(IG177="",TRUE,IF(input_story_type="",FALSE,SUMPRODUCT(--ISNUMBER(SEARCH(","&amp;TRIM(TEXTSPLIT(IG177,","))&amp;",",","&amp;SUBSTITUTE(input_story_type," ","")&amp;",")))=COUNTA(TEXTSPLIT(IG177,",")))))</f>
        <v/>
      </c>
      <c r="JQ177" s="19">
        <f>AND(IF(II177="",TRUE,IF(input_topics="",FALSE,SUMPRODUCT(--ISNUMBER(SEARCH(","&amp;TRIM(TEXTSPLIT(II177,","))&amp;",",","&amp;SUBSTITUTE(input_topics," ","")&amp;",")))&gt;0)),IF(IK177="",TRUE,IF(input_topics="",FALSE,SUMPRODUCT(--ISNUMBER(SEARCH(","&amp;TRIM(TEXTSPLIT(IK177,","))&amp;",",","&amp;SUBSTITUTE(input_topics," ","")&amp;",")))=COUNTA(TEXTSPLIT(IK177,",")))),IF(IM177="",TRUE,IF(input_topics="",TRUE,SUMPRODUCT(--ISNUMBER(SEARCH(","&amp;TRIM(TEXTSPLIT(IM177,","))&amp;",",","&amp;SUBSTITUTE(input_topics," ","")&amp;",")))=0)),IF(IO177="",TRUE,IF(input_topics="",FALSE,SUMPRODUCT(--ISNUMBER(SEARCH(","&amp;TRIM(TEXTSPLIT(IO177,","))&amp;",",","&amp;SUBSTITUTE(input_topics," ","")&amp;",")))&gt;0)),IF(IQ177="",TRUE,IF(input_topics="",FALSE,SUMPRODUCT(--ISNUMBER(SEARCH(","&amp;TRIM(TEXTSPLIT(IQ177,","))&amp;",",","&amp;SUBSTITUTE(input_topics," ","")&amp;",")))=COUNTA(TEXTSPLIT(IQ177,",")))))</f>
        <v/>
      </c>
    </row>
    <row r="178">
      <c r="A178" s="24">
        <f>IF(NOT(IS178),"Excluded",IF(AND(IT178,IU178,IV178,IW178,IX178,IY178,IZ178,JA178,JB178,JC178,JD178,JE178,JF178,JG178,JH178,JI178,JJ178,JK178,JL178,JM178,JN178,JO178,JP178,JQ178),IF(I178&gt;0,"Eligible but limited","Will appear"),"Excluded"))</f>
        <v/>
      </c>
      <c r="B178" s="24" t="inlineStr">
        <is>
          <t>Related stories</t>
        </is>
      </c>
      <c r="C178" s="27" t="inlineStr">
        <is>
          <t>/programs/mms-asset-management</t>
        </is>
      </c>
      <c r="D178" s="24" t="inlineStr">
        <is>
          <t>/programs/mms-asset-management</t>
        </is>
      </c>
      <c r="E178" s="24" t="n">
        <v>1</v>
      </c>
      <c r="F178" s="24" t="inlineStr">
        <is>
          <t>story</t>
        </is>
      </c>
      <c r="G178" s="24" t="inlineStr">
        <is>
          <t>stories_teaser_cards</t>
        </is>
      </c>
      <c r="H178" s="24" t="inlineStr">
        <is>
          <t>embed_blog</t>
        </is>
      </c>
      <c r="I178" s="24" t="n">
        <v>3</v>
      </c>
      <c r="J178" s="29" t="inlineStr">
        <is>
          <t>Section inferred</t>
        </is>
      </c>
      <c r="K178" s="24" t="inlineStr">
        <is>
          <t>Page placement</t>
        </is>
      </c>
      <c r="L178" s="24" t="inlineStr">
        <is>
          <t>Content type: story; Context uses Courses Context: Master's Degree in Asset Management (930); Needs any Story Type: Blog (974); Limited to 3 item(s); Source: Section inferred</t>
        </is>
      </c>
      <c r="BQ178" s="19" t="inlineStr">
        <is>
          <t>930</t>
        </is>
      </c>
      <c r="BR178" s="19" t="inlineStr">
        <is>
          <t>Master's Degree in Asset Management (930)</t>
        </is>
      </c>
      <c r="HY178" s="19" t="inlineStr">
        <is>
          <t>974</t>
        </is>
      </c>
      <c r="HZ178" s="19" t="inlineStr">
        <is>
          <t>Blog (974)</t>
        </is>
      </c>
      <c r="IS178" s="19">
        <f>IF(input_content_type="",FALSE,ISNUMBER(SEARCH(","&amp;LOWER(input_content_type)&amp;",",","&amp;LOWER(SUBSTITUTE(F178," ",""))&amp;",")))</f>
        <v/>
      </c>
      <c r="IT178" s="19">
        <f>AND(IF(M178="",TRUE,IF(input_affiliations="",FALSE,SUMPRODUCT(--ISNUMBER(SEARCH(","&amp;TRIM(TEXTSPLIT(M178,","))&amp;",",","&amp;SUBSTITUTE(input_affiliations," ","")&amp;",")))&gt;0)),IF(O178="",TRUE,IF(input_affiliations="",FALSE,SUMPRODUCT(--ISNUMBER(SEARCH(","&amp;TRIM(TEXTSPLIT(O178,","))&amp;",",","&amp;SUBSTITUTE(input_affiliations," ","")&amp;",")))=COUNTA(TEXTSPLIT(O178,",")))),IF(Q178="",TRUE,IF(input_affiliations="",TRUE,SUMPRODUCT(--ISNUMBER(SEARCH(","&amp;TRIM(TEXTSPLIT(Q178,","))&amp;",",","&amp;SUBSTITUTE(input_affiliations," ","")&amp;",")))=0)),IF(S178="",TRUE,IF(input_affiliations="",FALSE,SUMPRODUCT(--ISNUMBER(SEARCH(","&amp;TRIM(TEXTSPLIT(S178,","))&amp;",",","&amp;SUBSTITUTE(input_affiliations," ","")&amp;",")))&gt;0)),IF(U178="",TRUE,IF(input_affiliations="",FALSE,SUMPRODUCT(--ISNUMBER(SEARCH(","&amp;TRIM(TEXTSPLIT(U178,","))&amp;",",","&amp;SUBSTITUTE(input_affiliations," ","")&amp;",")))=COUNTA(TEXTSPLIT(U178,",")))))</f>
        <v/>
      </c>
      <c r="IU178" s="19">
        <f>AND(IF(W178="",TRUE,IF(input_announcement_category="",FALSE,SUMPRODUCT(--ISNUMBER(SEARCH(","&amp;TRIM(TEXTSPLIT(W178,","))&amp;",",","&amp;SUBSTITUTE(input_announcement_category," ","")&amp;",")))&gt;0)),IF(Y178="",TRUE,IF(input_announcement_category="",FALSE,SUMPRODUCT(--ISNUMBER(SEARCH(","&amp;TRIM(TEXTSPLIT(Y178,","))&amp;",",","&amp;SUBSTITUTE(input_announcement_category," ","")&amp;",")))=COUNTA(TEXTSPLIT(Y178,",")))),IF(AA178="",TRUE,IF(input_announcement_category="",TRUE,SUMPRODUCT(--ISNUMBER(SEARCH(","&amp;TRIM(TEXTSPLIT(AA178,","))&amp;",",","&amp;SUBSTITUTE(input_announcement_category," ","")&amp;",")))=0)),IF(AC178="",TRUE,IF(input_announcement_category="",FALSE,SUMPRODUCT(--ISNUMBER(SEARCH(","&amp;TRIM(TEXTSPLIT(AC178,","))&amp;",",","&amp;SUBSTITUTE(input_announcement_category," ","")&amp;",")))&gt;0)),IF(AE178="",TRUE,IF(input_announcement_category="",FALSE,SUMPRODUCT(--ISNUMBER(SEARCH(","&amp;TRIM(TEXTSPLIT(AE178,","))&amp;",",","&amp;SUBSTITUTE(input_announcement_category," ","")&amp;",")))=COUNTA(TEXTSPLIT(AE178,",")))))</f>
        <v/>
      </c>
      <c r="IV178" s="19">
        <f>AND(IF(AG178="",TRUE,IF(input_area_of_focus="",FALSE,SUMPRODUCT(--ISNUMBER(SEARCH(","&amp;TRIM(TEXTSPLIT(AG178,","))&amp;",",","&amp;SUBSTITUTE(input_area_of_focus," ","")&amp;",")))&gt;0)),IF(AI178="",TRUE,IF(input_area_of_focus="",FALSE,SUMPRODUCT(--ISNUMBER(SEARCH(","&amp;TRIM(TEXTSPLIT(AI178,","))&amp;",",","&amp;SUBSTITUTE(input_area_of_focus," ","")&amp;",")))=COUNTA(TEXTSPLIT(AI178,",")))),IF(AK178="",TRUE,IF(input_area_of_focus="",TRUE,SUMPRODUCT(--ISNUMBER(SEARCH(","&amp;TRIM(TEXTSPLIT(AK178,","))&amp;",",","&amp;SUBSTITUTE(input_area_of_focus," ","")&amp;",")))=0)),IF(AM178="",TRUE,IF(input_area_of_focus="",FALSE,SUMPRODUCT(--ISNUMBER(SEARCH(","&amp;TRIM(TEXTSPLIT(AM178,","))&amp;",",","&amp;SUBSTITUTE(input_area_of_focus," ","")&amp;",")))&gt;0)),IF(AO178="",TRUE,IF(input_area_of_focus="",FALSE,SUMPRODUCT(--ISNUMBER(SEARCH(","&amp;TRIM(TEXTSPLIT(AO178,","))&amp;",",","&amp;SUBSTITUTE(input_area_of_focus," ","")&amp;",")))=COUNTA(TEXTSPLIT(AO178,",")))))</f>
        <v/>
      </c>
      <c r="IW178" s="19">
        <f>AND(IF(AQ178="",TRUE,IF(input_audience="",FALSE,SUMPRODUCT(--ISNUMBER(SEARCH(","&amp;TRIM(TEXTSPLIT(AQ178,","))&amp;",",","&amp;SUBSTITUTE(input_audience," ","")&amp;",")))&gt;0)),IF(AS178="",TRUE,IF(input_audience="",FALSE,SUMPRODUCT(--ISNUMBER(SEARCH(","&amp;TRIM(TEXTSPLIT(AS178,","))&amp;",",","&amp;SUBSTITUTE(input_audience," ","")&amp;",")))=COUNTA(TEXTSPLIT(AS178,",")))),IF(AU178="",TRUE,IF(input_audience="",TRUE,SUMPRODUCT(--ISNUMBER(SEARCH(","&amp;TRIM(TEXTSPLIT(AU178,","))&amp;",",","&amp;SUBSTITUTE(input_audience," ","")&amp;",")))=0)),IF(AW178="",TRUE,IF(input_audience="",FALSE,SUMPRODUCT(--ISNUMBER(SEARCH(","&amp;TRIM(TEXTSPLIT(AW178,","))&amp;",",","&amp;SUBSTITUTE(input_audience," ","")&amp;",")))&gt;0)),IF(AY178="",TRUE,IF(input_audience="",FALSE,SUMPRODUCT(--ISNUMBER(SEARCH(","&amp;TRIM(TEXTSPLIT(AY178,","))&amp;",",","&amp;SUBSTITUTE(input_audience," ","")&amp;",")))=COUNTA(TEXTSPLIT(AY178,",")))))</f>
        <v/>
      </c>
      <c r="IX178" s="19">
        <f>AND(IF(BA178="",TRUE,IF(input_challenge_opportunities="",FALSE,SUMPRODUCT(--ISNUMBER(SEARCH(","&amp;TRIM(TEXTSPLIT(BA178,","))&amp;",",","&amp;SUBSTITUTE(input_challenge_opportunities," ","")&amp;",")))&gt;0)),IF(BC178="",TRUE,IF(input_challenge_opportunities="",FALSE,SUMPRODUCT(--ISNUMBER(SEARCH(","&amp;TRIM(TEXTSPLIT(BC178,","))&amp;",",","&amp;SUBSTITUTE(input_challenge_opportunities," ","")&amp;",")))=COUNTA(TEXTSPLIT(BC178,",")))),IF(BE178="",TRUE,IF(input_challenge_opportunities="",TRUE,SUMPRODUCT(--ISNUMBER(SEARCH(","&amp;TRIM(TEXTSPLIT(BE178,","))&amp;",",","&amp;SUBSTITUTE(input_challenge_opportunities," ","")&amp;",")))=0)),IF(BG178="",TRUE,IF(input_challenge_opportunities="",FALSE,SUMPRODUCT(--ISNUMBER(SEARCH(","&amp;TRIM(TEXTSPLIT(BG178,","))&amp;",",","&amp;SUBSTITUTE(input_challenge_opportunities," ","")&amp;",")))&gt;0)),IF(BI178="",TRUE,IF(input_challenge_opportunities="",FALSE,SUMPRODUCT(--ISNUMBER(SEARCH(","&amp;TRIM(TEXTSPLIT(BI178,","))&amp;",",","&amp;SUBSTITUTE(input_challenge_opportunities," ","")&amp;",")))=COUNTA(TEXTSPLIT(BI178,",")))))</f>
        <v/>
      </c>
      <c r="IY178" s="19">
        <f>AND(IF(BK178="",TRUE,IF(input_context="",FALSE,SUMPRODUCT(--ISNUMBER(SEARCH(","&amp;TRIM(TEXTSPLIT(BK178,","))&amp;",",","&amp;SUBSTITUTE(input_context," ","")&amp;",")))&gt;0)),IF(BM178="",TRUE,IF(input_context="",FALSE,SUMPRODUCT(--ISNUMBER(SEARCH(","&amp;TRIM(TEXTSPLIT(BM178,","))&amp;",",","&amp;SUBSTITUTE(input_context," ","")&amp;",")))=COUNTA(TEXTSPLIT(BM178,",")))),IF(BO178="",TRUE,IF(input_context="",TRUE,SUMPRODUCT(--ISNUMBER(SEARCH(","&amp;TRIM(TEXTSPLIT(BO178,","))&amp;",",","&amp;SUBSTITUTE(input_context," ","")&amp;",")))=0)),IF(BQ178="",TRUE,IF(input_context="",FALSE,SUMPRODUCT(--ISNUMBER(SEARCH(","&amp;TRIM(TEXTSPLIT(BQ178,","))&amp;",",","&amp;SUBSTITUTE(input_context," ","")&amp;",")))&gt;0)),IF(BS178="",TRUE,IF(input_context="",FALSE,SUMPRODUCT(--ISNUMBER(SEARCH(","&amp;TRIM(TEXTSPLIT(BS178,","))&amp;",",","&amp;SUBSTITUTE(input_context," ","")&amp;",")))=COUNTA(TEXTSPLIT(BS178,",")))))</f>
        <v/>
      </c>
      <c r="IZ178" s="19">
        <f>AND(IF(BU178="",TRUE,IF(input_enews_announcement_type="",FALSE,SUMPRODUCT(--ISNUMBER(SEARCH(","&amp;TRIM(TEXTSPLIT(BU178,","))&amp;",",","&amp;SUBSTITUTE(input_enews_announcement_type," ","")&amp;",")))&gt;0)),IF(BW178="",TRUE,IF(input_enews_announcement_type="",FALSE,SUMPRODUCT(--ISNUMBER(SEARCH(","&amp;TRIM(TEXTSPLIT(BW178,","))&amp;",",","&amp;SUBSTITUTE(input_enews_announcement_type," ","")&amp;",")))=COUNTA(TEXTSPLIT(BW178,",")))),IF(BY178="",TRUE,IF(input_enews_announcement_type="",TRUE,SUMPRODUCT(--ISNUMBER(SEARCH(","&amp;TRIM(TEXTSPLIT(BY178,","))&amp;",",","&amp;SUBSTITUTE(input_enews_announcement_type," ","")&amp;",")))=0)),IF(CA178="",TRUE,IF(input_enews_announcement_type="",FALSE,SUMPRODUCT(--ISNUMBER(SEARCH(","&amp;TRIM(TEXTSPLIT(CA178,","))&amp;",",","&amp;SUBSTITUTE(input_enews_announcement_type," ","")&amp;",")))&gt;0)),IF(CC178="",TRUE,IF(input_enews_announcement_type="",FALSE,SUMPRODUCT(--ISNUMBER(SEARCH(","&amp;TRIM(TEXTSPLIT(CC178,","))&amp;",",","&amp;SUBSTITUTE(input_enews_announcement_type," ","")&amp;",")))=COUNTA(TEXTSPLIT(CC178,",")))))</f>
        <v/>
      </c>
      <c r="JA178" s="19">
        <f>AND(IF(CE178="",TRUE,IF(input_enews_audience="",FALSE,SUMPRODUCT(--ISNUMBER(SEARCH(","&amp;TRIM(TEXTSPLIT(CE178,","))&amp;",",","&amp;SUBSTITUTE(input_enews_audience," ","")&amp;",")))&gt;0)),IF(CG178="",TRUE,IF(input_enews_audience="",FALSE,SUMPRODUCT(--ISNUMBER(SEARCH(","&amp;TRIM(TEXTSPLIT(CG178,","))&amp;",",","&amp;SUBSTITUTE(input_enews_audience," ","")&amp;",")))=COUNTA(TEXTSPLIT(CG178,",")))),IF(CI178="",TRUE,IF(input_enews_audience="",TRUE,SUMPRODUCT(--ISNUMBER(SEARCH(","&amp;TRIM(TEXTSPLIT(CI178,","))&amp;",",","&amp;SUBSTITUTE(input_enews_audience," ","")&amp;",")))=0)),IF(CK178="",TRUE,IF(input_enews_audience="",FALSE,SUMPRODUCT(--ISNUMBER(SEARCH(","&amp;TRIM(TEXTSPLIT(CK178,","))&amp;",",","&amp;SUBSTITUTE(input_enews_audience," ","")&amp;",")))&gt;0)),IF(CM178="",TRUE,IF(input_enews_audience="",FALSE,SUMPRODUCT(--ISNUMBER(SEARCH(","&amp;TRIM(TEXTSPLIT(CM178,","))&amp;",",","&amp;SUBSTITUTE(input_enews_audience," ","")&amp;",")))=COUNTA(TEXTSPLIT(CM178,",")))))</f>
        <v/>
      </c>
      <c r="JB178" s="19">
        <f>AND(IF(CO178="",TRUE,IF(input_event_location="",FALSE,SUMPRODUCT(--ISNUMBER(SEARCH(","&amp;TRIM(TEXTSPLIT(CO178,","))&amp;",",","&amp;SUBSTITUTE(input_event_location," ","")&amp;",")))&gt;0)),IF(CQ178="",TRUE,IF(input_event_location="",FALSE,SUMPRODUCT(--ISNUMBER(SEARCH(","&amp;TRIM(TEXTSPLIT(CQ178,","))&amp;",",","&amp;SUBSTITUTE(input_event_location," ","")&amp;",")))=COUNTA(TEXTSPLIT(CQ178,",")))),IF(CS178="",TRUE,IF(input_event_location="",TRUE,SUMPRODUCT(--ISNUMBER(SEARCH(","&amp;TRIM(TEXTSPLIT(CS178,","))&amp;",",","&amp;SUBSTITUTE(input_event_location," ","")&amp;",")))=0)),IF(CU178="",TRUE,IF(input_event_location="",FALSE,SUMPRODUCT(--ISNUMBER(SEARCH(","&amp;TRIM(TEXTSPLIT(CU178,","))&amp;",",","&amp;SUBSTITUTE(input_event_location," ","")&amp;",")))&gt;0)),IF(CW178="",TRUE,IF(input_event_location="",FALSE,SUMPRODUCT(--ISNUMBER(SEARCH(","&amp;TRIM(TEXTSPLIT(CW178,","))&amp;",",","&amp;SUBSTITUTE(input_event_location," ","")&amp;",")))=COUNTA(TEXTSPLIT(CW178,",")))))</f>
        <v/>
      </c>
      <c r="JC178" s="19">
        <f>AND(IF(CY178="",TRUE,IF(input_event_type="",FALSE,SUMPRODUCT(--ISNUMBER(SEARCH(","&amp;TRIM(TEXTSPLIT(CY178,","))&amp;",",","&amp;SUBSTITUTE(input_event_type," ","")&amp;",")))&gt;0)),IF(DA178="",TRUE,IF(input_event_type="",FALSE,SUMPRODUCT(--ISNUMBER(SEARCH(","&amp;TRIM(TEXTSPLIT(DA178,","))&amp;",",","&amp;SUBSTITUTE(input_event_type," ","")&amp;",")))=COUNTA(TEXTSPLIT(DA178,",")))),IF(DC178="",TRUE,IF(input_event_type="",TRUE,SUMPRODUCT(--ISNUMBER(SEARCH(","&amp;TRIM(TEXTSPLIT(DC178,","))&amp;",",","&amp;SUBSTITUTE(input_event_type," ","")&amp;",")))=0)),IF(DE178="",TRUE,IF(input_event_type="",FALSE,SUMPRODUCT(--ISNUMBER(SEARCH(","&amp;TRIM(TEXTSPLIT(DE178,","))&amp;",",","&amp;SUBSTITUTE(input_event_type," ","")&amp;",")))&gt;0)),IF(DG178="",TRUE,IF(input_event_type="",FALSE,SUMPRODUCT(--ISNUMBER(SEARCH(","&amp;TRIM(TEXTSPLIT(DG178,","))&amp;",",","&amp;SUBSTITUTE(input_event_type," ","")&amp;",")))=COUNTA(TEXTSPLIT(DG178,",")))))</f>
        <v/>
      </c>
      <c r="JD178" s="19">
        <f>AND(IF(DI178="",TRUE,IF(input_executive_education_focus="",FALSE,SUMPRODUCT(--ISNUMBER(SEARCH(","&amp;TRIM(TEXTSPLIT(DI178,","))&amp;",",","&amp;SUBSTITUTE(input_executive_education_focus," ","")&amp;",")))&gt;0)),IF(DK178="",TRUE,IF(input_executive_education_focus="",FALSE,SUMPRODUCT(--ISNUMBER(SEARCH(","&amp;TRIM(TEXTSPLIT(DK178,","))&amp;",",","&amp;SUBSTITUTE(input_executive_education_focus," ","")&amp;",")))=COUNTA(TEXTSPLIT(DK178,",")))),IF(DM178="",TRUE,IF(input_executive_education_focus="",TRUE,SUMPRODUCT(--ISNUMBER(SEARCH(","&amp;TRIM(TEXTSPLIT(DM178,","))&amp;",",","&amp;SUBSTITUTE(input_executive_education_focus," ","")&amp;",")))=0)),IF(DO178="",TRUE,IF(input_executive_education_focus="",FALSE,SUMPRODUCT(--ISNUMBER(SEARCH(","&amp;TRIM(TEXTSPLIT(DO178,","))&amp;",",","&amp;SUBSTITUTE(input_executive_education_focus," ","")&amp;",")))&gt;0)),IF(DQ178="",TRUE,IF(input_executive_education_focus="",FALSE,SUMPRODUCT(--ISNUMBER(SEARCH(","&amp;TRIM(TEXTSPLIT(DQ178,","))&amp;",",","&amp;SUBSTITUTE(input_executive_education_focus," ","")&amp;",")))=COUNTA(TEXTSPLIT(DQ178,",")))))</f>
        <v/>
      </c>
      <c r="JE178" s="19">
        <f>AND(IF(DS178="",TRUE,IF(input_faculty_category="",FALSE,SUMPRODUCT(--ISNUMBER(SEARCH(","&amp;TRIM(TEXTSPLIT(DS178,","))&amp;",",","&amp;SUBSTITUTE(input_faculty_category," ","")&amp;",")))&gt;0)),IF(DU178="",TRUE,IF(input_faculty_category="",FALSE,SUMPRODUCT(--ISNUMBER(SEARCH(","&amp;TRIM(TEXTSPLIT(DU178,","))&amp;",",","&amp;SUBSTITUTE(input_faculty_category," ","")&amp;",")))=COUNTA(TEXTSPLIT(DU178,",")))),IF(DW178="",TRUE,IF(input_faculty_category="",TRUE,SUMPRODUCT(--ISNUMBER(SEARCH(","&amp;TRIM(TEXTSPLIT(DW178,","))&amp;",",","&amp;SUBSTITUTE(input_faculty_category," ","")&amp;",")))=0)),IF(DY178="",TRUE,IF(input_faculty_category="",FALSE,SUMPRODUCT(--ISNUMBER(SEARCH(","&amp;TRIM(TEXTSPLIT(DY178,","))&amp;",",","&amp;SUBSTITUTE(input_faculty_category," ","")&amp;",")))&gt;0)),IF(EA178="",TRUE,IF(input_faculty_category="",FALSE,SUMPRODUCT(--ISNUMBER(SEARCH(","&amp;TRIM(TEXTSPLIT(EA178,","))&amp;",",","&amp;SUBSTITUTE(input_faculty_category," ","")&amp;",")))=COUNTA(TEXTSPLIT(EA178,",")))))</f>
        <v/>
      </c>
      <c r="JF178" s="19">
        <f>AND(IF(EC178="",TRUE,IF(input_faculty_discipline="",FALSE,SUMPRODUCT(--ISNUMBER(SEARCH(","&amp;TRIM(TEXTSPLIT(EC178,","))&amp;",",","&amp;SUBSTITUTE(input_faculty_discipline," ","")&amp;",")))&gt;0)),IF(EE178="",TRUE,IF(input_faculty_discipline="",FALSE,SUMPRODUCT(--ISNUMBER(SEARCH(","&amp;TRIM(TEXTSPLIT(EE178,","))&amp;",",","&amp;SUBSTITUTE(input_faculty_discipline," ","")&amp;",")))=COUNTA(TEXTSPLIT(EE178,",")))),IF(EG178="",TRUE,IF(input_faculty_discipline="",TRUE,SUMPRODUCT(--ISNUMBER(SEARCH(","&amp;TRIM(TEXTSPLIT(EG178,","))&amp;",",","&amp;SUBSTITUTE(input_faculty_discipline," ","")&amp;",")))=0)),IF(EI178="",TRUE,IF(input_faculty_discipline="",FALSE,SUMPRODUCT(--ISNUMBER(SEARCH(","&amp;TRIM(TEXTSPLIT(EI178,","))&amp;",",","&amp;SUBSTITUTE(input_faculty_discipline," ","")&amp;",")))&gt;0)),IF(EK178="",TRUE,IF(input_faculty_discipline="",FALSE,SUMPRODUCT(--ISNUMBER(SEARCH(","&amp;TRIM(TEXTSPLIT(EK178,","))&amp;",",","&amp;SUBSTITUTE(input_faculty_discipline," ","")&amp;",")))=COUNTA(TEXTSPLIT(EK178,",")))))</f>
        <v/>
      </c>
      <c r="JG178" s="19">
        <f>AND(IF(EM178="",TRUE,IF(input_faculty_expertise="",FALSE,SUMPRODUCT(--ISNUMBER(SEARCH(","&amp;TRIM(TEXTSPLIT(EM178,","))&amp;",",","&amp;SUBSTITUTE(input_faculty_expertise," ","")&amp;",")))&gt;0)),IF(EO178="",TRUE,IF(input_faculty_expertise="",FALSE,SUMPRODUCT(--ISNUMBER(SEARCH(","&amp;TRIM(TEXTSPLIT(EO178,","))&amp;",",","&amp;SUBSTITUTE(input_faculty_expertise," ","")&amp;",")))=COUNTA(TEXTSPLIT(EO178,",")))),IF(EQ178="",TRUE,IF(input_faculty_expertise="",TRUE,SUMPRODUCT(--ISNUMBER(SEARCH(","&amp;TRIM(TEXTSPLIT(EQ178,","))&amp;",",","&amp;SUBSTITUTE(input_faculty_expertise," ","")&amp;",")))=0)),IF(ES178="",TRUE,IF(input_faculty_expertise="",FALSE,SUMPRODUCT(--ISNUMBER(SEARCH(","&amp;TRIM(TEXTSPLIT(ES178,","))&amp;",",","&amp;SUBSTITUTE(input_faculty_expertise," ","")&amp;",")))&gt;0)),IF(EU178="",TRUE,IF(input_faculty_expertise="",FALSE,SUMPRODUCT(--ISNUMBER(SEARCH(","&amp;TRIM(TEXTSPLIT(EU178,","))&amp;",",","&amp;SUBSTITUTE(input_faculty_expertise," ","")&amp;",")))=COUNTA(TEXTSPLIT(EU178,",")))))</f>
        <v/>
      </c>
      <c r="JH178" s="19">
        <f>AND(IF(EW178="",TRUE,IF(input_global_network_school="",FALSE,SUMPRODUCT(--ISNUMBER(SEARCH(","&amp;TRIM(TEXTSPLIT(EW178,","))&amp;",",","&amp;SUBSTITUTE(input_global_network_school," ","")&amp;",")))&gt;0)),IF(EY178="",TRUE,IF(input_global_network_school="",FALSE,SUMPRODUCT(--ISNUMBER(SEARCH(","&amp;TRIM(TEXTSPLIT(EY178,","))&amp;",",","&amp;SUBSTITUTE(input_global_network_school," ","")&amp;",")))=COUNTA(TEXTSPLIT(EY178,",")))),IF(FA178="",TRUE,IF(input_global_network_school="",TRUE,SUMPRODUCT(--ISNUMBER(SEARCH(","&amp;TRIM(TEXTSPLIT(FA178,","))&amp;",",","&amp;SUBSTITUTE(input_global_network_school," ","")&amp;",")))=0)),IF(FC178="",TRUE,IF(input_global_network_school="",FALSE,SUMPRODUCT(--ISNUMBER(SEARCH(","&amp;TRIM(TEXTSPLIT(FC178,","))&amp;",",","&amp;SUBSTITUTE(input_global_network_school," ","")&amp;",")))&gt;0)),IF(FE178="",TRUE,IF(input_global_network_school="",FALSE,SUMPRODUCT(--ISNUMBER(SEARCH(","&amp;TRIM(TEXTSPLIT(FE178,","))&amp;",",","&amp;SUBSTITUTE(input_global_network_school," ","")&amp;",")))=COUNTA(TEXTSPLIT(FE178,",")))))</f>
        <v/>
      </c>
      <c r="JI178" s="19">
        <f>AND(IF(FG178="",TRUE,IF(input_industry="",FALSE,SUMPRODUCT(--ISNUMBER(SEARCH(","&amp;TRIM(TEXTSPLIT(FG178,","))&amp;",",","&amp;SUBSTITUTE(input_industry," ","")&amp;",")))&gt;0)),IF(FI178="",TRUE,IF(input_industry="",FALSE,SUMPRODUCT(--ISNUMBER(SEARCH(","&amp;TRIM(TEXTSPLIT(FI178,","))&amp;",",","&amp;SUBSTITUTE(input_industry," ","")&amp;",")))=COUNTA(TEXTSPLIT(FI178,",")))),IF(FK178="",TRUE,IF(input_industry="",TRUE,SUMPRODUCT(--ISNUMBER(SEARCH(","&amp;TRIM(TEXTSPLIT(FK178,","))&amp;",",","&amp;SUBSTITUTE(input_industry," ","")&amp;",")))=0)),IF(FM178="",TRUE,IF(input_industry="",FALSE,SUMPRODUCT(--ISNUMBER(SEARCH(","&amp;TRIM(TEXTSPLIT(FM178,","))&amp;",",","&amp;SUBSTITUTE(input_industry," ","")&amp;",")))&gt;0)),IF(FO178="",TRUE,IF(input_industry="",FALSE,SUMPRODUCT(--ISNUMBER(SEARCH(","&amp;TRIM(TEXTSPLIT(FO178,","))&amp;",",","&amp;SUBSTITUTE(input_industry," ","")&amp;",")))=COUNTA(TEXTSPLIT(FO178,",")))))</f>
        <v/>
      </c>
      <c r="JJ178" s="19">
        <f>AND(IF(FQ178="",TRUE,IF(input_location="",FALSE,SUMPRODUCT(--ISNUMBER(SEARCH(","&amp;TRIM(TEXTSPLIT(FQ178,","))&amp;",",","&amp;SUBSTITUTE(input_location," ","")&amp;",")))&gt;0)),IF(FS178="",TRUE,IF(input_location="",FALSE,SUMPRODUCT(--ISNUMBER(SEARCH(","&amp;TRIM(TEXTSPLIT(FS178,","))&amp;",",","&amp;SUBSTITUTE(input_location," ","")&amp;",")))=COUNTA(TEXTSPLIT(FS178,",")))),IF(FU178="",TRUE,IF(input_location="",TRUE,SUMPRODUCT(--ISNUMBER(SEARCH(","&amp;TRIM(TEXTSPLIT(FU178,","))&amp;",",","&amp;SUBSTITUTE(input_location," ","")&amp;",")))=0)),IF(FW178="",TRUE,IF(input_location="",FALSE,SUMPRODUCT(--ISNUMBER(SEARCH(","&amp;TRIM(TEXTSPLIT(FW178,","))&amp;",",","&amp;SUBSTITUTE(input_location," ","")&amp;",")))&gt;0)),IF(FY178="",TRUE,IF(input_location="",FALSE,SUMPRODUCT(--ISNUMBER(SEARCH(","&amp;TRIM(TEXTSPLIT(FY178,","))&amp;",",","&amp;SUBSTITUTE(input_location," ","")&amp;",")))=COUNTA(TEXTSPLIT(FY178,",")))))</f>
        <v/>
      </c>
      <c r="JK178" s="19">
        <f>AND(IF(GA178="",TRUE,IF(input_modality="",FALSE,SUMPRODUCT(--ISNUMBER(SEARCH(","&amp;TRIM(TEXTSPLIT(GA178,","))&amp;",",","&amp;SUBSTITUTE(input_modality," ","")&amp;",")))&gt;0)),IF(GC178="",TRUE,IF(input_modality="",FALSE,SUMPRODUCT(--ISNUMBER(SEARCH(","&amp;TRIM(TEXTSPLIT(GC178,","))&amp;",",","&amp;SUBSTITUTE(input_modality," ","")&amp;",")))=COUNTA(TEXTSPLIT(GC178,",")))),IF(GE178="",TRUE,IF(input_modality="",TRUE,SUMPRODUCT(--ISNUMBER(SEARCH(","&amp;TRIM(TEXTSPLIT(GE178,","))&amp;",",","&amp;SUBSTITUTE(input_modality," ","")&amp;",")))=0)),IF(GG178="",TRUE,IF(input_modality="",FALSE,SUMPRODUCT(--ISNUMBER(SEARCH(","&amp;TRIM(TEXTSPLIT(GG178,","))&amp;",",","&amp;SUBSTITUTE(input_modality," ","")&amp;",")))&gt;0)),IF(GI178="",TRUE,IF(input_modality="",FALSE,SUMPRODUCT(--ISNUMBER(SEARCH(","&amp;TRIM(TEXTSPLIT(GI178,","))&amp;",",","&amp;SUBSTITUTE(input_modality," ","")&amp;",")))=COUNTA(TEXTSPLIT(GI178,",")))))</f>
        <v/>
      </c>
      <c r="JL178" s="19">
        <f>AND(IF(GK178="",TRUE,IF(input_organizer="",FALSE,SUMPRODUCT(--ISNUMBER(SEARCH(","&amp;TRIM(TEXTSPLIT(GK178,","))&amp;",",","&amp;SUBSTITUTE(input_organizer," ","")&amp;",")))&gt;0)),IF(GM178="",TRUE,IF(input_organizer="",FALSE,SUMPRODUCT(--ISNUMBER(SEARCH(","&amp;TRIM(TEXTSPLIT(GM178,","))&amp;",",","&amp;SUBSTITUTE(input_organizer," ","")&amp;",")))=COUNTA(TEXTSPLIT(GM178,",")))),IF(GO178="",TRUE,IF(input_organizer="",TRUE,SUMPRODUCT(--ISNUMBER(SEARCH(","&amp;TRIM(TEXTSPLIT(GO178,","))&amp;",",","&amp;SUBSTITUTE(input_organizer," ","")&amp;",")))=0)),IF(GQ178="",TRUE,IF(input_organizer="",FALSE,SUMPRODUCT(--ISNUMBER(SEARCH(","&amp;TRIM(TEXTSPLIT(GQ178,","))&amp;",",","&amp;SUBSTITUTE(input_organizer," ","")&amp;",")))&gt;0)),IF(GS178="",TRUE,IF(input_organizer="",FALSE,SUMPRODUCT(--ISNUMBER(SEARCH(","&amp;TRIM(TEXTSPLIT(GS178,","))&amp;",",","&amp;SUBSTITUTE(input_organizer," ","")&amp;",")))=COUNTA(TEXTSPLIT(GS178,",")))))</f>
        <v/>
      </c>
      <c r="JM178" s="19">
        <f>AND(IF(GU178="",TRUE,IF(input_profile_type="",FALSE,SUMPRODUCT(--ISNUMBER(SEARCH(","&amp;TRIM(TEXTSPLIT(GU178,","))&amp;",",","&amp;SUBSTITUTE(input_profile_type," ","")&amp;",")))&gt;0)),IF(GW178="",TRUE,IF(input_profile_type="",FALSE,SUMPRODUCT(--ISNUMBER(SEARCH(","&amp;TRIM(TEXTSPLIT(GW178,","))&amp;",",","&amp;SUBSTITUTE(input_profile_type," ","")&amp;",")))=COUNTA(TEXTSPLIT(GW178,",")))),IF(GY178="",TRUE,IF(input_profile_type="",TRUE,SUMPRODUCT(--ISNUMBER(SEARCH(","&amp;TRIM(TEXTSPLIT(GY178,","))&amp;",",","&amp;SUBSTITUTE(input_profile_type," ","")&amp;",")))=0)),IF(HA178="",TRUE,IF(input_profile_type="",FALSE,SUMPRODUCT(--ISNUMBER(SEARCH(","&amp;TRIM(TEXTSPLIT(HA178,","))&amp;",",","&amp;SUBSTITUTE(input_profile_type," ","")&amp;",")))&gt;0)),IF(HC178="",TRUE,IF(input_profile_type="",FALSE,SUMPRODUCT(--ISNUMBER(SEARCH(","&amp;TRIM(TEXTSPLIT(HC178,","))&amp;",",","&amp;SUBSTITUTE(input_profile_type," ","")&amp;",")))=COUNTA(TEXTSPLIT(HC178,",")))))</f>
        <v/>
      </c>
      <c r="JN178" s="19">
        <f>AND(IF(HE178="",TRUE,IF(input_program="",FALSE,SUMPRODUCT(--ISNUMBER(SEARCH(","&amp;TRIM(TEXTSPLIT(HE178,","))&amp;",",","&amp;SUBSTITUTE(input_program," ","")&amp;",")))&gt;0)),IF(HG178="",TRUE,IF(input_program="",FALSE,SUMPRODUCT(--ISNUMBER(SEARCH(","&amp;TRIM(TEXTSPLIT(HG178,","))&amp;",",","&amp;SUBSTITUTE(input_program," ","")&amp;",")))=COUNTA(TEXTSPLIT(HG178,",")))),IF(HI178="",TRUE,IF(input_program="",TRUE,SUMPRODUCT(--ISNUMBER(SEARCH(","&amp;TRIM(TEXTSPLIT(HI178,","))&amp;",",","&amp;SUBSTITUTE(input_program," ","")&amp;",")))=0)),IF(HK178="",TRUE,IF(input_program="",FALSE,SUMPRODUCT(--ISNUMBER(SEARCH(","&amp;TRIM(TEXTSPLIT(HK178,","))&amp;",",","&amp;SUBSTITUTE(input_program," ","")&amp;",")))&gt;0)),IF(HM178="",TRUE,IF(input_program="",FALSE,SUMPRODUCT(--ISNUMBER(SEARCH(","&amp;TRIM(TEXTSPLIT(HM178,","))&amp;",",","&amp;SUBSTITUTE(input_program," ","")&amp;",")))=COUNTA(TEXTSPLIT(HM178,",")))))</f>
        <v/>
      </c>
      <c r="JO178" s="19">
        <f>AND(IF(HO178="",TRUE,IF(input_story_categories="",FALSE,SUMPRODUCT(--ISNUMBER(SEARCH(","&amp;TRIM(TEXTSPLIT(HO178,","))&amp;",",","&amp;SUBSTITUTE(input_story_categories," ","")&amp;",")))&gt;0)),IF(HQ178="",TRUE,IF(input_story_categories="",FALSE,SUMPRODUCT(--ISNUMBER(SEARCH(","&amp;TRIM(TEXTSPLIT(HQ178,","))&amp;",",","&amp;SUBSTITUTE(input_story_categories," ","")&amp;",")))=COUNTA(TEXTSPLIT(HQ178,",")))),IF(HS178="",TRUE,IF(input_story_categories="",TRUE,SUMPRODUCT(--ISNUMBER(SEARCH(","&amp;TRIM(TEXTSPLIT(HS178,","))&amp;",",","&amp;SUBSTITUTE(input_story_categories," ","")&amp;",")))=0)),IF(HU178="",TRUE,IF(input_story_categories="",FALSE,SUMPRODUCT(--ISNUMBER(SEARCH(","&amp;TRIM(TEXTSPLIT(HU178,","))&amp;",",","&amp;SUBSTITUTE(input_story_categories," ","")&amp;",")))&gt;0)),IF(HW178="",TRUE,IF(input_story_categories="",FALSE,SUMPRODUCT(--ISNUMBER(SEARCH(","&amp;TRIM(TEXTSPLIT(HW178,","))&amp;",",","&amp;SUBSTITUTE(input_story_categories," ","")&amp;",")))=COUNTA(TEXTSPLIT(HW178,",")))))</f>
        <v/>
      </c>
      <c r="JP178" s="19">
        <f>AND(IF(HY178="",TRUE,IF(input_story_type="",FALSE,SUMPRODUCT(--ISNUMBER(SEARCH(","&amp;TRIM(TEXTSPLIT(HY178,","))&amp;",",","&amp;SUBSTITUTE(input_story_type," ","")&amp;",")))&gt;0)),IF(IA178="",TRUE,IF(input_story_type="",FALSE,SUMPRODUCT(--ISNUMBER(SEARCH(","&amp;TRIM(TEXTSPLIT(IA178,","))&amp;",",","&amp;SUBSTITUTE(input_story_type," ","")&amp;",")))=COUNTA(TEXTSPLIT(IA178,",")))),IF(IC178="",TRUE,IF(input_story_type="",TRUE,SUMPRODUCT(--ISNUMBER(SEARCH(","&amp;TRIM(TEXTSPLIT(IC178,","))&amp;",",","&amp;SUBSTITUTE(input_story_type," ","")&amp;",")))=0)),IF(IE178="",TRUE,IF(input_story_type="",FALSE,SUMPRODUCT(--ISNUMBER(SEARCH(","&amp;TRIM(TEXTSPLIT(IE178,","))&amp;",",","&amp;SUBSTITUTE(input_story_type," ","")&amp;",")))&gt;0)),IF(IG178="",TRUE,IF(input_story_type="",FALSE,SUMPRODUCT(--ISNUMBER(SEARCH(","&amp;TRIM(TEXTSPLIT(IG178,","))&amp;",",","&amp;SUBSTITUTE(input_story_type," ","")&amp;",")))=COUNTA(TEXTSPLIT(IG178,",")))))</f>
        <v/>
      </c>
      <c r="JQ178" s="19">
        <f>AND(IF(II178="",TRUE,IF(input_topics="",FALSE,SUMPRODUCT(--ISNUMBER(SEARCH(","&amp;TRIM(TEXTSPLIT(II178,","))&amp;",",","&amp;SUBSTITUTE(input_topics," ","")&amp;",")))&gt;0)),IF(IK178="",TRUE,IF(input_topics="",FALSE,SUMPRODUCT(--ISNUMBER(SEARCH(","&amp;TRIM(TEXTSPLIT(IK178,","))&amp;",",","&amp;SUBSTITUTE(input_topics," ","")&amp;",")))=COUNTA(TEXTSPLIT(IK178,",")))),IF(IM178="",TRUE,IF(input_topics="",TRUE,SUMPRODUCT(--ISNUMBER(SEARCH(","&amp;TRIM(TEXTSPLIT(IM178,","))&amp;",",","&amp;SUBSTITUTE(input_topics," ","")&amp;",")))=0)),IF(IO178="",TRUE,IF(input_topics="",FALSE,SUMPRODUCT(--ISNUMBER(SEARCH(","&amp;TRIM(TEXTSPLIT(IO178,","))&amp;",",","&amp;SUBSTITUTE(input_topics," ","")&amp;",")))&gt;0)),IF(IQ178="",TRUE,IF(input_topics="",FALSE,SUMPRODUCT(--ISNUMBER(SEARCH(","&amp;TRIM(TEXTSPLIT(IQ178,","))&amp;",",","&amp;SUBSTITUTE(input_topics," ","")&amp;",")))=COUNTA(TEXTSPLIT(IQ178,",")))))</f>
        <v/>
      </c>
    </row>
    <row r="179">
      <c r="A179" s="24">
        <f>IF(NOT(IS179),"Excluded",IF(AND(IT179,IU179,IV179,IW179,IX179,IY179,IZ179,JA179,JB179,JC179,JD179,JE179,JF179,JG179,JH179,JI179,JJ179,JK179,JL179,JM179,JN179,JO179,JP179,JQ179),IF(I179&gt;0,"Eligible but limited","Will appear"),"Excluded"))</f>
        <v/>
      </c>
      <c r="B179" s="24" t="inlineStr">
        <is>
          <t>Related stories</t>
        </is>
      </c>
      <c r="C179" s="27" t="inlineStr">
        <is>
          <t>/programs/mms-global-business-and-society</t>
        </is>
      </c>
      <c r="D179" s="24" t="inlineStr">
        <is>
          <t>/programs/mms-global-business-and-society</t>
        </is>
      </c>
      <c r="E179" s="24" t="n">
        <v>1</v>
      </c>
      <c r="F179" s="24" t="inlineStr">
        <is>
          <t>story</t>
        </is>
      </c>
      <c r="G179" s="24" t="inlineStr">
        <is>
          <t>stories_teaser_cards</t>
        </is>
      </c>
      <c r="H179" s="24" t="inlineStr">
        <is>
          <t>embed_blog</t>
        </is>
      </c>
      <c r="I179" s="24" t="n">
        <v>3</v>
      </c>
      <c r="J179" s="29" t="inlineStr">
        <is>
          <t>Section inferred</t>
        </is>
      </c>
      <c r="K179" s="24" t="inlineStr">
        <is>
          <t>Page placement</t>
        </is>
      </c>
      <c r="L179" s="24" t="inlineStr">
        <is>
          <t>Content type: story; Context uses Courses Context: Master's Degree in Global Business and Society (950); Needs any Story Type: Blog (974); Limited to 3 item(s); Source: Section inferred</t>
        </is>
      </c>
      <c r="BQ179" s="19" t="inlineStr">
        <is>
          <t>950</t>
        </is>
      </c>
      <c r="BR179" s="19" t="inlineStr">
        <is>
          <t>Master's Degree in Global Business and Society (950)</t>
        </is>
      </c>
      <c r="HY179" s="19" t="inlineStr">
        <is>
          <t>974</t>
        </is>
      </c>
      <c r="HZ179" s="19" t="inlineStr">
        <is>
          <t>Blog (974)</t>
        </is>
      </c>
      <c r="IS179" s="19">
        <f>IF(input_content_type="",FALSE,ISNUMBER(SEARCH(","&amp;LOWER(input_content_type)&amp;",",","&amp;LOWER(SUBSTITUTE(F179," ",""))&amp;",")))</f>
        <v/>
      </c>
      <c r="IT179" s="19">
        <f>AND(IF(M179="",TRUE,IF(input_affiliations="",FALSE,SUMPRODUCT(--ISNUMBER(SEARCH(","&amp;TRIM(TEXTSPLIT(M179,","))&amp;",",","&amp;SUBSTITUTE(input_affiliations," ","")&amp;",")))&gt;0)),IF(O179="",TRUE,IF(input_affiliations="",FALSE,SUMPRODUCT(--ISNUMBER(SEARCH(","&amp;TRIM(TEXTSPLIT(O179,","))&amp;",",","&amp;SUBSTITUTE(input_affiliations," ","")&amp;",")))=COUNTA(TEXTSPLIT(O179,",")))),IF(Q179="",TRUE,IF(input_affiliations="",TRUE,SUMPRODUCT(--ISNUMBER(SEARCH(","&amp;TRIM(TEXTSPLIT(Q179,","))&amp;",",","&amp;SUBSTITUTE(input_affiliations," ","")&amp;",")))=0)),IF(S179="",TRUE,IF(input_affiliations="",FALSE,SUMPRODUCT(--ISNUMBER(SEARCH(","&amp;TRIM(TEXTSPLIT(S179,","))&amp;",",","&amp;SUBSTITUTE(input_affiliations," ","")&amp;",")))&gt;0)),IF(U179="",TRUE,IF(input_affiliations="",FALSE,SUMPRODUCT(--ISNUMBER(SEARCH(","&amp;TRIM(TEXTSPLIT(U179,","))&amp;",",","&amp;SUBSTITUTE(input_affiliations," ","")&amp;",")))=COUNTA(TEXTSPLIT(U179,",")))))</f>
        <v/>
      </c>
      <c r="IU179" s="19">
        <f>AND(IF(W179="",TRUE,IF(input_announcement_category="",FALSE,SUMPRODUCT(--ISNUMBER(SEARCH(","&amp;TRIM(TEXTSPLIT(W179,","))&amp;",",","&amp;SUBSTITUTE(input_announcement_category," ","")&amp;",")))&gt;0)),IF(Y179="",TRUE,IF(input_announcement_category="",FALSE,SUMPRODUCT(--ISNUMBER(SEARCH(","&amp;TRIM(TEXTSPLIT(Y179,","))&amp;",",","&amp;SUBSTITUTE(input_announcement_category," ","")&amp;",")))=COUNTA(TEXTSPLIT(Y179,",")))),IF(AA179="",TRUE,IF(input_announcement_category="",TRUE,SUMPRODUCT(--ISNUMBER(SEARCH(","&amp;TRIM(TEXTSPLIT(AA179,","))&amp;",",","&amp;SUBSTITUTE(input_announcement_category," ","")&amp;",")))=0)),IF(AC179="",TRUE,IF(input_announcement_category="",FALSE,SUMPRODUCT(--ISNUMBER(SEARCH(","&amp;TRIM(TEXTSPLIT(AC179,","))&amp;",",","&amp;SUBSTITUTE(input_announcement_category," ","")&amp;",")))&gt;0)),IF(AE179="",TRUE,IF(input_announcement_category="",FALSE,SUMPRODUCT(--ISNUMBER(SEARCH(","&amp;TRIM(TEXTSPLIT(AE179,","))&amp;",",","&amp;SUBSTITUTE(input_announcement_category," ","")&amp;",")))=COUNTA(TEXTSPLIT(AE179,",")))))</f>
        <v/>
      </c>
      <c r="IV179" s="19">
        <f>AND(IF(AG179="",TRUE,IF(input_area_of_focus="",FALSE,SUMPRODUCT(--ISNUMBER(SEARCH(","&amp;TRIM(TEXTSPLIT(AG179,","))&amp;",",","&amp;SUBSTITUTE(input_area_of_focus," ","")&amp;",")))&gt;0)),IF(AI179="",TRUE,IF(input_area_of_focus="",FALSE,SUMPRODUCT(--ISNUMBER(SEARCH(","&amp;TRIM(TEXTSPLIT(AI179,","))&amp;",",","&amp;SUBSTITUTE(input_area_of_focus," ","")&amp;",")))=COUNTA(TEXTSPLIT(AI179,",")))),IF(AK179="",TRUE,IF(input_area_of_focus="",TRUE,SUMPRODUCT(--ISNUMBER(SEARCH(","&amp;TRIM(TEXTSPLIT(AK179,","))&amp;",",","&amp;SUBSTITUTE(input_area_of_focus," ","")&amp;",")))=0)),IF(AM179="",TRUE,IF(input_area_of_focus="",FALSE,SUMPRODUCT(--ISNUMBER(SEARCH(","&amp;TRIM(TEXTSPLIT(AM179,","))&amp;",",","&amp;SUBSTITUTE(input_area_of_focus," ","")&amp;",")))&gt;0)),IF(AO179="",TRUE,IF(input_area_of_focus="",FALSE,SUMPRODUCT(--ISNUMBER(SEARCH(","&amp;TRIM(TEXTSPLIT(AO179,","))&amp;",",","&amp;SUBSTITUTE(input_area_of_focus," ","")&amp;",")))=COUNTA(TEXTSPLIT(AO179,",")))))</f>
        <v/>
      </c>
      <c r="IW179" s="19">
        <f>AND(IF(AQ179="",TRUE,IF(input_audience="",FALSE,SUMPRODUCT(--ISNUMBER(SEARCH(","&amp;TRIM(TEXTSPLIT(AQ179,","))&amp;",",","&amp;SUBSTITUTE(input_audience," ","")&amp;",")))&gt;0)),IF(AS179="",TRUE,IF(input_audience="",FALSE,SUMPRODUCT(--ISNUMBER(SEARCH(","&amp;TRIM(TEXTSPLIT(AS179,","))&amp;",",","&amp;SUBSTITUTE(input_audience," ","")&amp;",")))=COUNTA(TEXTSPLIT(AS179,",")))),IF(AU179="",TRUE,IF(input_audience="",TRUE,SUMPRODUCT(--ISNUMBER(SEARCH(","&amp;TRIM(TEXTSPLIT(AU179,","))&amp;",",","&amp;SUBSTITUTE(input_audience," ","")&amp;",")))=0)),IF(AW179="",TRUE,IF(input_audience="",FALSE,SUMPRODUCT(--ISNUMBER(SEARCH(","&amp;TRIM(TEXTSPLIT(AW179,","))&amp;",",","&amp;SUBSTITUTE(input_audience," ","")&amp;",")))&gt;0)),IF(AY179="",TRUE,IF(input_audience="",FALSE,SUMPRODUCT(--ISNUMBER(SEARCH(","&amp;TRIM(TEXTSPLIT(AY179,","))&amp;",",","&amp;SUBSTITUTE(input_audience," ","")&amp;",")))=COUNTA(TEXTSPLIT(AY179,",")))))</f>
        <v/>
      </c>
      <c r="IX179" s="19">
        <f>AND(IF(BA179="",TRUE,IF(input_challenge_opportunities="",FALSE,SUMPRODUCT(--ISNUMBER(SEARCH(","&amp;TRIM(TEXTSPLIT(BA179,","))&amp;",",","&amp;SUBSTITUTE(input_challenge_opportunities," ","")&amp;",")))&gt;0)),IF(BC179="",TRUE,IF(input_challenge_opportunities="",FALSE,SUMPRODUCT(--ISNUMBER(SEARCH(","&amp;TRIM(TEXTSPLIT(BC179,","))&amp;",",","&amp;SUBSTITUTE(input_challenge_opportunities," ","")&amp;",")))=COUNTA(TEXTSPLIT(BC179,",")))),IF(BE179="",TRUE,IF(input_challenge_opportunities="",TRUE,SUMPRODUCT(--ISNUMBER(SEARCH(","&amp;TRIM(TEXTSPLIT(BE179,","))&amp;",",","&amp;SUBSTITUTE(input_challenge_opportunities," ","")&amp;",")))=0)),IF(BG179="",TRUE,IF(input_challenge_opportunities="",FALSE,SUMPRODUCT(--ISNUMBER(SEARCH(","&amp;TRIM(TEXTSPLIT(BG179,","))&amp;",",","&amp;SUBSTITUTE(input_challenge_opportunities," ","")&amp;",")))&gt;0)),IF(BI179="",TRUE,IF(input_challenge_opportunities="",FALSE,SUMPRODUCT(--ISNUMBER(SEARCH(","&amp;TRIM(TEXTSPLIT(BI179,","))&amp;",",","&amp;SUBSTITUTE(input_challenge_opportunities," ","")&amp;",")))=COUNTA(TEXTSPLIT(BI179,",")))))</f>
        <v/>
      </c>
      <c r="IY179" s="19">
        <f>AND(IF(BK179="",TRUE,IF(input_context="",FALSE,SUMPRODUCT(--ISNUMBER(SEARCH(","&amp;TRIM(TEXTSPLIT(BK179,","))&amp;",",","&amp;SUBSTITUTE(input_context," ","")&amp;",")))&gt;0)),IF(BM179="",TRUE,IF(input_context="",FALSE,SUMPRODUCT(--ISNUMBER(SEARCH(","&amp;TRIM(TEXTSPLIT(BM179,","))&amp;",",","&amp;SUBSTITUTE(input_context," ","")&amp;",")))=COUNTA(TEXTSPLIT(BM179,",")))),IF(BO179="",TRUE,IF(input_context="",TRUE,SUMPRODUCT(--ISNUMBER(SEARCH(","&amp;TRIM(TEXTSPLIT(BO179,","))&amp;",",","&amp;SUBSTITUTE(input_context," ","")&amp;",")))=0)),IF(BQ179="",TRUE,IF(input_context="",FALSE,SUMPRODUCT(--ISNUMBER(SEARCH(","&amp;TRIM(TEXTSPLIT(BQ179,","))&amp;",",","&amp;SUBSTITUTE(input_context," ","")&amp;",")))&gt;0)),IF(BS179="",TRUE,IF(input_context="",FALSE,SUMPRODUCT(--ISNUMBER(SEARCH(","&amp;TRIM(TEXTSPLIT(BS179,","))&amp;",",","&amp;SUBSTITUTE(input_context," ","")&amp;",")))=COUNTA(TEXTSPLIT(BS179,",")))))</f>
        <v/>
      </c>
      <c r="IZ179" s="19">
        <f>AND(IF(BU179="",TRUE,IF(input_enews_announcement_type="",FALSE,SUMPRODUCT(--ISNUMBER(SEARCH(","&amp;TRIM(TEXTSPLIT(BU179,","))&amp;",",","&amp;SUBSTITUTE(input_enews_announcement_type," ","")&amp;",")))&gt;0)),IF(BW179="",TRUE,IF(input_enews_announcement_type="",FALSE,SUMPRODUCT(--ISNUMBER(SEARCH(","&amp;TRIM(TEXTSPLIT(BW179,","))&amp;",",","&amp;SUBSTITUTE(input_enews_announcement_type," ","")&amp;",")))=COUNTA(TEXTSPLIT(BW179,",")))),IF(BY179="",TRUE,IF(input_enews_announcement_type="",TRUE,SUMPRODUCT(--ISNUMBER(SEARCH(","&amp;TRIM(TEXTSPLIT(BY179,","))&amp;",",","&amp;SUBSTITUTE(input_enews_announcement_type," ","")&amp;",")))=0)),IF(CA179="",TRUE,IF(input_enews_announcement_type="",FALSE,SUMPRODUCT(--ISNUMBER(SEARCH(","&amp;TRIM(TEXTSPLIT(CA179,","))&amp;",",","&amp;SUBSTITUTE(input_enews_announcement_type," ","")&amp;",")))&gt;0)),IF(CC179="",TRUE,IF(input_enews_announcement_type="",FALSE,SUMPRODUCT(--ISNUMBER(SEARCH(","&amp;TRIM(TEXTSPLIT(CC179,","))&amp;",",","&amp;SUBSTITUTE(input_enews_announcement_type," ","")&amp;",")))=COUNTA(TEXTSPLIT(CC179,",")))))</f>
        <v/>
      </c>
      <c r="JA179" s="19">
        <f>AND(IF(CE179="",TRUE,IF(input_enews_audience="",FALSE,SUMPRODUCT(--ISNUMBER(SEARCH(","&amp;TRIM(TEXTSPLIT(CE179,","))&amp;",",","&amp;SUBSTITUTE(input_enews_audience," ","")&amp;",")))&gt;0)),IF(CG179="",TRUE,IF(input_enews_audience="",FALSE,SUMPRODUCT(--ISNUMBER(SEARCH(","&amp;TRIM(TEXTSPLIT(CG179,","))&amp;",",","&amp;SUBSTITUTE(input_enews_audience," ","")&amp;",")))=COUNTA(TEXTSPLIT(CG179,",")))),IF(CI179="",TRUE,IF(input_enews_audience="",TRUE,SUMPRODUCT(--ISNUMBER(SEARCH(","&amp;TRIM(TEXTSPLIT(CI179,","))&amp;",",","&amp;SUBSTITUTE(input_enews_audience," ","")&amp;",")))=0)),IF(CK179="",TRUE,IF(input_enews_audience="",FALSE,SUMPRODUCT(--ISNUMBER(SEARCH(","&amp;TRIM(TEXTSPLIT(CK179,","))&amp;",",","&amp;SUBSTITUTE(input_enews_audience," ","")&amp;",")))&gt;0)),IF(CM179="",TRUE,IF(input_enews_audience="",FALSE,SUMPRODUCT(--ISNUMBER(SEARCH(","&amp;TRIM(TEXTSPLIT(CM179,","))&amp;",",","&amp;SUBSTITUTE(input_enews_audience," ","")&amp;",")))=COUNTA(TEXTSPLIT(CM179,",")))))</f>
        <v/>
      </c>
      <c r="JB179" s="19">
        <f>AND(IF(CO179="",TRUE,IF(input_event_location="",FALSE,SUMPRODUCT(--ISNUMBER(SEARCH(","&amp;TRIM(TEXTSPLIT(CO179,","))&amp;",",","&amp;SUBSTITUTE(input_event_location," ","")&amp;",")))&gt;0)),IF(CQ179="",TRUE,IF(input_event_location="",FALSE,SUMPRODUCT(--ISNUMBER(SEARCH(","&amp;TRIM(TEXTSPLIT(CQ179,","))&amp;",",","&amp;SUBSTITUTE(input_event_location," ","")&amp;",")))=COUNTA(TEXTSPLIT(CQ179,",")))),IF(CS179="",TRUE,IF(input_event_location="",TRUE,SUMPRODUCT(--ISNUMBER(SEARCH(","&amp;TRIM(TEXTSPLIT(CS179,","))&amp;",",","&amp;SUBSTITUTE(input_event_location," ","")&amp;",")))=0)),IF(CU179="",TRUE,IF(input_event_location="",FALSE,SUMPRODUCT(--ISNUMBER(SEARCH(","&amp;TRIM(TEXTSPLIT(CU179,","))&amp;",",","&amp;SUBSTITUTE(input_event_location," ","")&amp;",")))&gt;0)),IF(CW179="",TRUE,IF(input_event_location="",FALSE,SUMPRODUCT(--ISNUMBER(SEARCH(","&amp;TRIM(TEXTSPLIT(CW179,","))&amp;",",","&amp;SUBSTITUTE(input_event_location," ","")&amp;",")))=COUNTA(TEXTSPLIT(CW179,",")))))</f>
        <v/>
      </c>
      <c r="JC179" s="19">
        <f>AND(IF(CY179="",TRUE,IF(input_event_type="",FALSE,SUMPRODUCT(--ISNUMBER(SEARCH(","&amp;TRIM(TEXTSPLIT(CY179,","))&amp;",",","&amp;SUBSTITUTE(input_event_type," ","")&amp;",")))&gt;0)),IF(DA179="",TRUE,IF(input_event_type="",FALSE,SUMPRODUCT(--ISNUMBER(SEARCH(","&amp;TRIM(TEXTSPLIT(DA179,","))&amp;",",","&amp;SUBSTITUTE(input_event_type," ","")&amp;",")))=COUNTA(TEXTSPLIT(DA179,",")))),IF(DC179="",TRUE,IF(input_event_type="",TRUE,SUMPRODUCT(--ISNUMBER(SEARCH(","&amp;TRIM(TEXTSPLIT(DC179,","))&amp;",",","&amp;SUBSTITUTE(input_event_type," ","")&amp;",")))=0)),IF(DE179="",TRUE,IF(input_event_type="",FALSE,SUMPRODUCT(--ISNUMBER(SEARCH(","&amp;TRIM(TEXTSPLIT(DE179,","))&amp;",",","&amp;SUBSTITUTE(input_event_type," ","")&amp;",")))&gt;0)),IF(DG179="",TRUE,IF(input_event_type="",FALSE,SUMPRODUCT(--ISNUMBER(SEARCH(","&amp;TRIM(TEXTSPLIT(DG179,","))&amp;",",","&amp;SUBSTITUTE(input_event_type," ","")&amp;",")))=COUNTA(TEXTSPLIT(DG179,",")))))</f>
        <v/>
      </c>
      <c r="JD179" s="19">
        <f>AND(IF(DI179="",TRUE,IF(input_executive_education_focus="",FALSE,SUMPRODUCT(--ISNUMBER(SEARCH(","&amp;TRIM(TEXTSPLIT(DI179,","))&amp;",",","&amp;SUBSTITUTE(input_executive_education_focus," ","")&amp;",")))&gt;0)),IF(DK179="",TRUE,IF(input_executive_education_focus="",FALSE,SUMPRODUCT(--ISNUMBER(SEARCH(","&amp;TRIM(TEXTSPLIT(DK179,","))&amp;",",","&amp;SUBSTITUTE(input_executive_education_focus," ","")&amp;",")))=COUNTA(TEXTSPLIT(DK179,",")))),IF(DM179="",TRUE,IF(input_executive_education_focus="",TRUE,SUMPRODUCT(--ISNUMBER(SEARCH(","&amp;TRIM(TEXTSPLIT(DM179,","))&amp;",",","&amp;SUBSTITUTE(input_executive_education_focus," ","")&amp;",")))=0)),IF(DO179="",TRUE,IF(input_executive_education_focus="",FALSE,SUMPRODUCT(--ISNUMBER(SEARCH(","&amp;TRIM(TEXTSPLIT(DO179,","))&amp;",",","&amp;SUBSTITUTE(input_executive_education_focus," ","")&amp;",")))&gt;0)),IF(DQ179="",TRUE,IF(input_executive_education_focus="",FALSE,SUMPRODUCT(--ISNUMBER(SEARCH(","&amp;TRIM(TEXTSPLIT(DQ179,","))&amp;",",","&amp;SUBSTITUTE(input_executive_education_focus," ","")&amp;",")))=COUNTA(TEXTSPLIT(DQ179,",")))))</f>
        <v/>
      </c>
      <c r="JE179" s="19">
        <f>AND(IF(DS179="",TRUE,IF(input_faculty_category="",FALSE,SUMPRODUCT(--ISNUMBER(SEARCH(","&amp;TRIM(TEXTSPLIT(DS179,","))&amp;",",","&amp;SUBSTITUTE(input_faculty_category," ","")&amp;",")))&gt;0)),IF(DU179="",TRUE,IF(input_faculty_category="",FALSE,SUMPRODUCT(--ISNUMBER(SEARCH(","&amp;TRIM(TEXTSPLIT(DU179,","))&amp;",",","&amp;SUBSTITUTE(input_faculty_category," ","")&amp;",")))=COUNTA(TEXTSPLIT(DU179,",")))),IF(DW179="",TRUE,IF(input_faculty_category="",TRUE,SUMPRODUCT(--ISNUMBER(SEARCH(","&amp;TRIM(TEXTSPLIT(DW179,","))&amp;",",","&amp;SUBSTITUTE(input_faculty_category," ","")&amp;",")))=0)),IF(DY179="",TRUE,IF(input_faculty_category="",FALSE,SUMPRODUCT(--ISNUMBER(SEARCH(","&amp;TRIM(TEXTSPLIT(DY179,","))&amp;",",","&amp;SUBSTITUTE(input_faculty_category," ","")&amp;",")))&gt;0)),IF(EA179="",TRUE,IF(input_faculty_category="",FALSE,SUMPRODUCT(--ISNUMBER(SEARCH(","&amp;TRIM(TEXTSPLIT(EA179,","))&amp;",",","&amp;SUBSTITUTE(input_faculty_category," ","")&amp;",")))=COUNTA(TEXTSPLIT(EA179,",")))))</f>
        <v/>
      </c>
      <c r="JF179" s="19">
        <f>AND(IF(EC179="",TRUE,IF(input_faculty_discipline="",FALSE,SUMPRODUCT(--ISNUMBER(SEARCH(","&amp;TRIM(TEXTSPLIT(EC179,","))&amp;",",","&amp;SUBSTITUTE(input_faculty_discipline," ","")&amp;",")))&gt;0)),IF(EE179="",TRUE,IF(input_faculty_discipline="",FALSE,SUMPRODUCT(--ISNUMBER(SEARCH(","&amp;TRIM(TEXTSPLIT(EE179,","))&amp;",",","&amp;SUBSTITUTE(input_faculty_discipline," ","")&amp;",")))=COUNTA(TEXTSPLIT(EE179,",")))),IF(EG179="",TRUE,IF(input_faculty_discipline="",TRUE,SUMPRODUCT(--ISNUMBER(SEARCH(","&amp;TRIM(TEXTSPLIT(EG179,","))&amp;",",","&amp;SUBSTITUTE(input_faculty_discipline," ","")&amp;",")))=0)),IF(EI179="",TRUE,IF(input_faculty_discipline="",FALSE,SUMPRODUCT(--ISNUMBER(SEARCH(","&amp;TRIM(TEXTSPLIT(EI179,","))&amp;",",","&amp;SUBSTITUTE(input_faculty_discipline," ","")&amp;",")))&gt;0)),IF(EK179="",TRUE,IF(input_faculty_discipline="",FALSE,SUMPRODUCT(--ISNUMBER(SEARCH(","&amp;TRIM(TEXTSPLIT(EK179,","))&amp;",",","&amp;SUBSTITUTE(input_faculty_discipline," ","")&amp;",")))=COUNTA(TEXTSPLIT(EK179,",")))))</f>
        <v/>
      </c>
      <c r="JG179" s="19">
        <f>AND(IF(EM179="",TRUE,IF(input_faculty_expertise="",FALSE,SUMPRODUCT(--ISNUMBER(SEARCH(","&amp;TRIM(TEXTSPLIT(EM179,","))&amp;",",","&amp;SUBSTITUTE(input_faculty_expertise," ","")&amp;",")))&gt;0)),IF(EO179="",TRUE,IF(input_faculty_expertise="",FALSE,SUMPRODUCT(--ISNUMBER(SEARCH(","&amp;TRIM(TEXTSPLIT(EO179,","))&amp;",",","&amp;SUBSTITUTE(input_faculty_expertise," ","")&amp;",")))=COUNTA(TEXTSPLIT(EO179,",")))),IF(EQ179="",TRUE,IF(input_faculty_expertise="",TRUE,SUMPRODUCT(--ISNUMBER(SEARCH(","&amp;TRIM(TEXTSPLIT(EQ179,","))&amp;",",","&amp;SUBSTITUTE(input_faculty_expertise," ","")&amp;",")))=0)),IF(ES179="",TRUE,IF(input_faculty_expertise="",FALSE,SUMPRODUCT(--ISNUMBER(SEARCH(","&amp;TRIM(TEXTSPLIT(ES179,","))&amp;",",","&amp;SUBSTITUTE(input_faculty_expertise," ","")&amp;",")))&gt;0)),IF(EU179="",TRUE,IF(input_faculty_expertise="",FALSE,SUMPRODUCT(--ISNUMBER(SEARCH(","&amp;TRIM(TEXTSPLIT(EU179,","))&amp;",",","&amp;SUBSTITUTE(input_faculty_expertise," ","")&amp;",")))=COUNTA(TEXTSPLIT(EU179,",")))))</f>
        <v/>
      </c>
      <c r="JH179" s="19">
        <f>AND(IF(EW179="",TRUE,IF(input_global_network_school="",FALSE,SUMPRODUCT(--ISNUMBER(SEARCH(","&amp;TRIM(TEXTSPLIT(EW179,","))&amp;",",","&amp;SUBSTITUTE(input_global_network_school," ","")&amp;",")))&gt;0)),IF(EY179="",TRUE,IF(input_global_network_school="",FALSE,SUMPRODUCT(--ISNUMBER(SEARCH(","&amp;TRIM(TEXTSPLIT(EY179,","))&amp;",",","&amp;SUBSTITUTE(input_global_network_school," ","")&amp;",")))=COUNTA(TEXTSPLIT(EY179,",")))),IF(FA179="",TRUE,IF(input_global_network_school="",TRUE,SUMPRODUCT(--ISNUMBER(SEARCH(","&amp;TRIM(TEXTSPLIT(FA179,","))&amp;",",","&amp;SUBSTITUTE(input_global_network_school," ","")&amp;",")))=0)),IF(FC179="",TRUE,IF(input_global_network_school="",FALSE,SUMPRODUCT(--ISNUMBER(SEARCH(","&amp;TRIM(TEXTSPLIT(FC179,","))&amp;",",","&amp;SUBSTITUTE(input_global_network_school," ","")&amp;",")))&gt;0)),IF(FE179="",TRUE,IF(input_global_network_school="",FALSE,SUMPRODUCT(--ISNUMBER(SEARCH(","&amp;TRIM(TEXTSPLIT(FE179,","))&amp;",",","&amp;SUBSTITUTE(input_global_network_school," ","")&amp;",")))=COUNTA(TEXTSPLIT(FE179,",")))))</f>
        <v/>
      </c>
      <c r="JI179" s="19">
        <f>AND(IF(FG179="",TRUE,IF(input_industry="",FALSE,SUMPRODUCT(--ISNUMBER(SEARCH(","&amp;TRIM(TEXTSPLIT(FG179,","))&amp;",",","&amp;SUBSTITUTE(input_industry," ","")&amp;",")))&gt;0)),IF(FI179="",TRUE,IF(input_industry="",FALSE,SUMPRODUCT(--ISNUMBER(SEARCH(","&amp;TRIM(TEXTSPLIT(FI179,","))&amp;",",","&amp;SUBSTITUTE(input_industry," ","")&amp;",")))=COUNTA(TEXTSPLIT(FI179,",")))),IF(FK179="",TRUE,IF(input_industry="",TRUE,SUMPRODUCT(--ISNUMBER(SEARCH(","&amp;TRIM(TEXTSPLIT(FK179,","))&amp;",",","&amp;SUBSTITUTE(input_industry," ","")&amp;",")))=0)),IF(FM179="",TRUE,IF(input_industry="",FALSE,SUMPRODUCT(--ISNUMBER(SEARCH(","&amp;TRIM(TEXTSPLIT(FM179,","))&amp;",",","&amp;SUBSTITUTE(input_industry," ","")&amp;",")))&gt;0)),IF(FO179="",TRUE,IF(input_industry="",FALSE,SUMPRODUCT(--ISNUMBER(SEARCH(","&amp;TRIM(TEXTSPLIT(FO179,","))&amp;",",","&amp;SUBSTITUTE(input_industry," ","")&amp;",")))=COUNTA(TEXTSPLIT(FO179,",")))))</f>
        <v/>
      </c>
      <c r="JJ179" s="19">
        <f>AND(IF(FQ179="",TRUE,IF(input_location="",FALSE,SUMPRODUCT(--ISNUMBER(SEARCH(","&amp;TRIM(TEXTSPLIT(FQ179,","))&amp;",",","&amp;SUBSTITUTE(input_location," ","")&amp;",")))&gt;0)),IF(FS179="",TRUE,IF(input_location="",FALSE,SUMPRODUCT(--ISNUMBER(SEARCH(","&amp;TRIM(TEXTSPLIT(FS179,","))&amp;",",","&amp;SUBSTITUTE(input_location," ","")&amp;",")))=COUNTA(TEXTSPLIT(FS179,",")))),IF(FU179="",TRUE,IF(input_location="",TRUE,SUMPRODUCT(--ISNUMBER(SEARCH(","&amp;TRIM(TEXTSPLIT(FU179,","))&amp;",",","&amp;SUBSTITUTE(input_location," ","")&amp;",")))=0)),IF(FW179="",TRUE,IF(input_location="",FALSE,SUMPRODUCT(--ISNUMBER(SEARCH(","&amp;TRIM(TEXTSPLIT(FW179,","))&amp;",",","&amp;SUBSTITUTE(input_location," ","")&amp;",")))&gt;0)),IF(FY179="",TRUE,IF(input_location="",FALSE,SUMPRODUCT(--ISNUMBER(SEARCH(","&amp;TRIM(TEXTSPLIT(FY179,","))&amp;",",","&amp;SUBSTITUTE(input_location," ","")&amp;",")))=COUNTA(TEXTSPLIT(FY179,",")))))</f>
        <v/>
      </c>
      <c r="JK179" s="19">
        <f>AND(IF(GA179="",TRUE,IF(input_modality="",FALSE,SUMPRODUCT(--ISNUMBER(SEARCH(","&amp;TRIM(TEXTSPLIT(GA179,","))&amp;",",","&amp;SUBSTITUTE(input_modality," ","")&amp;",")))&gt;0)),IF(GC179="",TRUE,IF(input_modality="",FALSE,SUMPRODUCT(--ISNUMBER(SEARCH(","&amp;TRIM(TEXTSPLIT(GC179,","))&amp;",",","&amp;SUBSTITUTE(input_modality," ","")&amp;",")))=COUNTA(TEXTSPLIT(GC179,",")))),IF(GE179="",TRUE,IF(input_modality="",TRUE,SUMPRODUCT(--ISNUMBER(SEARCH(","&amp;TRIM(TEXTSPLIT(GE179,","))&amp;",",","&amp;SUBSTITUTE(input_modality," ","")&amp;",")))=0)),IF(GG179="",TRUE,IF(input_modality="",FALSE,SUMPRODUCT(--ISNUMBER(SEARCH(","&amp;TRIM(TEXTSPLIT(GG179,","))&amp;",",","&amp;SUBSTITUTE(input_modality," ","")&amp;",")))&gt;0)),IF(GI179="",TRUE,IF(input_modality="",FALSE,SUMPRODUCT(--ISNUMBER(SEARCH(","&amp;TRIM(TEXTSPLIT(GI179,","))&amp;",",","&amp;SUBSTITUTE(input_modality," ","")&amp;",")))=COUNTA(TEXTSPLIT(GI179,",")))))</f>
        <v/>
      </c>
      <c r="JL179" s="19">
        <f>AND(IF(GK179="",TRUE,IF(input_organizer="",FALSE,SUMPRODUCT(--ISNUMBER(SEARCH(","&amp;TRIM(TEXTSPLIT(GK179,","))&amp;",",","&amp;SUBSTITUTE(input_organizer," ","")&amp;",")))&gt;0)),IF(GM179="",TRUE,IF(input_organizer="",FALSE,SUMPRODUCT(--ISNUMBER(SEARCH(","&amp;TRIM(TEXTSPLIT(GM179,","))&amp;",",","&amp;SUBSTITUTE(input_organizer," ","")&amp;",")))=COUNTA(TEXTSPLIT(GM179,",")))),IF(GO179="",TRUE,IF(input_organizer="",TRUE,SUMPRODUCT(--ISNUMBER(SEARCH(","&amp;TRIM(TEXTSPLIT(GO179,","))&amp;",",","&amp;SUBSTITUTE(input_organizer," ","")&amp;",")))=0)),IF(GQ179="",TRUE,IF(input_organizer="",FALSE,SUMPRODUCT(--ISNUMBER(SEARCH(","&amp;TRIM(TEXTSPLIT(GQ179,","))&amp;",",","&amp;SUBSTITUTE(input_organizer," ","")&amp;",")))&gt;0)),IF(GS179="",TRUE,IF(input_organizer="",FALSE,SUMPRODUCT(--ISNUMBER(SEARCH(","&amp;TRIM(TEXTSPLIT(GS179,","))&amp;",",","&amp;SUBSTITUTE(input_organizer," ","")&amp;",")))=COUNTA(TEXTSPLIT(GS179,",")))))</f>
        <v/>
      </c>
      <c r="JM179" s="19">
        <f>AND(IF(GU179="",TRUE,IF(input_profile_type="",FALSE,SUMPRODUCT(--ISNUMBER(SEARCH(","&amp;TRIM(TEXTSPLIT(GU179,","))&amp;",",","&amp;SUBSTITUTE(input_profile_type," ","")&amp;",")))&gt;0)),IF(GW179="",TRUE,IF(input_profile_type="",FALSE,SUMPRODUCT(--ISNUMBER(SEARCH(","&amp;TRIM(TEXTSPLIT(GW179,","))&amp;",",","&amp;SUBSTITUTE(input_profile_type," ","")&amp;",")))=COUNTA(TEXTSPLIT(GW179,",")))),IF(GY179="",TRUE,IF(input_profile_type="",TRUE,SUMPRODUCT(--ISNUMBER(SEARCH(","&amp;TRIM(TEXTSPLIT(GY179,","))&amp;",",","&amp;SUBSTITUTE(input_profile_type," ","")&amp;",")))=0)),IF(HA179="",TRUE,IF(input_profile_type="",FALSE,SUMPRODUCT(--ISNUMBER(SEARCH(","&amp;TRIM(TEXTSPLIT(HA179,","))&amp;",",","&amp;SUBSTITUTE(input_profile_type," ","")&amp;",")))&gt;0)),IF(HC179="",TRUE,IF(input_profile_type="",FALSE,SUMPRODUCT(--ISNUMBER(SEARCH(","&amp;TRIM(TEXTSPLIT(HC179,","))&amp;",",","&amp;SUBSTITUTE(input_profile_type," ","")&amp;",")))=COUNTA(TEXTSPLIT(HC179,",")))))</f>
        <v/>
      </c>
      <c r="JN179" s="19">
        <f>AND(IF(HE179="",TRUE,IF(input_program="",FALSE,SUMPRODUCT(--ISNUMBER(SEARCH(","&amp;TRIM(TEXTSPLIT(HE179,","))&amp;",",","&amp;SUBSTITUTE(input_program," ","")&amp;",")))&gt;0)),IF(HG179="",TRUE,IF(input_program="",FALSE,SUMPRODUCT(--ISNUMBER(SEARCH(","&amp;TRIM(TEXTSPLIT(HG179,","))&amp;",",","&amp;SUBSTITUTE(input_program," ","")&amp;",")))=COUNTA(TEXTSPLIT(HG179,",")))),IF(HI179="",TRUE,IF(input_program="",TRUE,SUMPRODUCT(--ISNUMBER(SEARCH(","&amp;TRIM(TEXTSPLIT(HI179,","))&amp;",",","&amp;SUBSTITUTE(input_program," ","")&amp;",")))=0)),IF(HK179="",TRUE,IF(input_program="",FALSE,SUMPRODUCT(--ISNUMBER(SEARCH(","&amp;TRIM(TEXTSPLIT(HK179,","))&amp;",",","&amp;SUBSTITUTE(input_program," ","")&amp;",")))&gt;0)),IF(HM179="",TRUE,IF(input_program="",FALSE,SUMPRODUCT(--ISNUMBER(SEARCH(","&amp;TRIM(TEXTSPLIT(HM179,","))&amp;",",","&amp;SUBSTITUTE(input_program," ","")&amp;",")))=COUNTA(TEXTSPLIT(HM179,",")))))</f>
        <v/>
      </c>
      <c r="JO179" s="19">
        <f>AND(IF(HO179="",TRUE,IF(input_story_categories="",FALSE,SUMPRODUCT(--ISNUMBER(SEARCH(","&amp;TRIM(TEXTSPLIT(HO179,","))&amp;",",","&amp;SUBSTITUTE(input_story_categories," ","")&amp;",")))&gt;0)),IF(HQ179="",TRUE,IF(input_story_categories="",FALSE,SUMPRODUCT(--ISNUMBER(SEARCH(","&amp;TRIM(TEXTSPLIT(HQ179,","))&amp;",",","&amp;SUBSTITUTE(input_story_categories," ","")&amp;",")))=COUNTA(TEXTSPLIT(HQ179,",")))),IF(HS179="",TRUE,IF(input_story_categories="",TRUE,SUMPRODUCT(--ISNUMBER(SEARCH(","&amp;TRIM(TEXTSPLIT(HS179,","))&amp;",",","&amp;SUBSTITUTE(input_story_categories," ","")&amp;",")))=0)),IF(HU179="",TRUE,IF(input_story_categories="",FALSE,SUMPRODUCT(--ISNUMBER(SEARCH(","&amp;TRIM(TEXTSPLIT(HU179,","))&amp;",",","&amp;SUBSTITUTE(input_story_categories," ","")&amp;",")))&gt;0)),IF(HW179="",TRUE,IF(input_story_categories="",FALSE,SUMPRODUCT(--ISNUMBER(SEARCH(","&amp;TRIM(TEXTSPLIT(HW179,","))&amp;",",","&amp;SUBSTITUTE(input_story_categories," ","")&amp;",")))=COUNTA(TEXTSPLIT(HW179,",")))))</f>
        <v/>
      </c>
      <c r="JP179" s="19">
        <f>AND(IF(HY179="",TRUE,IF(input_story_type="",FALSE,SUMPRODUCT(--ISNUMBER(SEARCH(","&amp;TRIM(TEXTSPLIT(HY179,","))&amp;",",","&amp;SUBSTITUTE(input_story_type," ","")&amp;",")))&gt;0)),IF(IA179="",TRUE,IF(input_story_type="",FALSE,SUMPRODUCT(--ISNUMBER(SEARCH(","&amp;TRIM(TEXTSPLIT(IA179,","))&amp;",",","&amp;SUBSTITUTE(input_story_type," ","")&amp;",")))=COUNTA(TEXTSPLIT(IA179,",")))),IF(IC179="",TRUE,IF(input_story_type="",TRUE,SUMPRODUCT(--ISNUMBER(SEARCH(","&amp;TRIM(TEXTSPLIT(IC179,","))&amp;",",","&amp;SUBSTITUTE(input_story_type," ","")&amp;",")))=0)),IF(IE179="",TRUE,IF(input_story_type="",FALSE,SUMPRODUCT(--ISNUMBER(SEARCH(","&amp;TRIM(TEXTSPLIT(IE179,","))&amp;",",","&amp;SUBSTITUTE(input_story_type," ","")&amp;",")))&gt;0)),IF(IG179="",TRUE,IF(input_story_type="",FALSE,SUMPRODUCT(--ISNUMBER(SEARCH(","&amp;TRIM(TEXTSPLIT(IG179,","))&amp;",",","&amp;SUBSTITUTE(input_story_type," ","")&amp;",")))=COUNTA(TEXTSPLIT(IG179,",")))))</f>
        <v/>
      </c>
      <c r="JQ179" s="19">
        <f>AND(IF(II179="",TRUE,IF(input_topics="",FALSE,SUMPRODUCT(--ISNUMBER(SEARCH(","&amp;TRIM(TEXTSPLIT(II179,","))&amp;",",","&amp;SUBSTITUTE(input_topics," ","")&amp;",")))&gt;0)),IF(IK179="",TRUE,IF(input_topics="",FALSE,SUMPRODUCT(--ISNUMBER(SEARCH(","&amp;TRIM(TEXTSPLIT(IK179,","))&amp;",",","&amp;SUBSTITUTE(input_topics," ","")&amp;",")))=COUNTA(TEXTSPLIT(IK179,",")))),IF(IM179="",TRUE,IF(input_topics="",TRUE,SUMPRODUCT(--ISNUMBER(SEARCH(","&amp;TRIM(TEXTSPLIT(IM179,","))&amp;",",","&amp;SUBSTITUTE(input_topics," ","")&amp;",")))=0)),IF(IO179="",TRUE,IF(input_topics="",FALSE,SUMPRODUCT(--ISNUMBER(SEARCH(","&amp;TRIM(TEXTSPLIT(IO179,","))&amp;",",","&amp;SUBSTITUTE(input_topics," ","")&amp;",")))&gt;0)),IF(IQ179="",TRUE,IF(input_topics="",FALSE,SUMPRODUCT(--ISNUMBER(SEARCH(","&amp;TRIM(TEXTSPLIT(IQ179,","))&amp;",",","&amp;SUBSTITUTE(input_topics," ","")&amp;",")))=COUNTA(TEXTSPLIT(IQ179,",")))))</f>
        <v/>
      </c>
    </row>
    <row r="180">
      <c r="A180" s="24">
        <f>IF(NOT(IS180),"Excluded",IF(AND(IT180,IU180,IV180,IW180,IX180,IY180,IZ180,JA180,JB180,JC180,JD180,JE180,JF180,JG180,JH180,JI180,JJ180,JK180,JL180,JM180,JN180,JO180,JP180,JQ180),IF(I180&gt;0,"Eligible but limited","Will appear"),"Excluded"))</f>
        <v/>
      </c>
      <c r="B180" s="24" t="inlineStr">
        <is>
          <t>Related stories</t>
        </is>
      </c>
      <c r="C180" s="27" t="inlineStr">
        <is>
          <t>/programs/mms-global-business-and-society/admissions</t>
        </is>
      </c>
      <c r="D180" s="24" t="inlineStr">
        <is>
          <t>/programs/mms-global-business-and-society/admissions</t>
        </is>
      </c>
      <c r="E180" s="24" t="n">
        <v>1</v>
      </c>
      <c r="F180" s="24" t="inlineStr">
        <is>
          <t>story</t>
        </is>
      </c>
      <c r="G180" s="24" t="inlineStr">
        <is>
          <t>stories_teaser_cards</t>
        </is>
      </c>
      <c r="H180" s="24" t="inlineStr">
        <is>
          <t>embed_blog</t>
        </is>
      </c>
      <c r="I180" s="24" t="n">
        <v>3</v>
      </c>
      <c r="J180" s="29" t="inlineStr">
        <is>
          <t>Section inferred</t>
        </is>
      </c>
      <c r="K180" s="24" t="inlineStr">
        <is>
          <t>Page placement</t>
        </is>
      </c>
      <c r="L180" s="24" t="inlineStr">
        <is>
          <t>Content type: story; Context uses Courses Context: Master's Degree in Global Business and Society (950); Needs any Story Type: Blog (974); Limited to 3 item(s); Source: Section inferred</t>
        </is>
      </c>
      <c r="BQ180" s="19" t="inlineStr">
        <is>
          <t>950</t>
        </is>
      </c>
      <c r="BR180" s="19" t="inlineStr">
        <is>
          <t>Master's Degree in Global Business and Society (950)</t>
        </is>
      </c>
      <c r="HY180" s="19" t="inlineStr">
        <is>
          <t>974</t>
        </is>
      </c>
      <c r="HZ180" s="19" t="inlineStr">
        <is>
          <t>Blog (974)</t>
        </is>
      </c>
      <c r="IS180" s="19">
        <f>IF(input_content_type="",FALSE,ISNUMBER(SEARCH(","&amp;LOWER(input_content_type)&amp;",",","&amp;LOWER(SUBSTITUTE(F180," ",""))&amp;",")))</f>
        <v/>
      </c>
      <c r="IT180" s="19">
        <f>AND(IF(M180="",TRUE,IF(input_affiliations="",FALSE,SUMPRODUCT(--ISNUMBER(SEARCH(","&amp;TRIM(TEXTSPLIT(M180,","))&amp;",",","&amp;SUBSTITUTE(input_affiliations," ","")&amp;",")))&gt;0)),IF(O180="",TRUE,IF(input_affiliations="",FALSE,SUMPRODUCT(--ISNUMBER(SEARCH(","&amp;TRIM(TEXTSPLIT(O180,","))&amp;",",","&amp;SUBSTITUTE(input_affiliations," ","")&amp;",")))=COUNTA(TEXTSPLIT(O180,",")))),IF(Q180="",TRUE,IF(input_affiliations="",TRUE,SUMPRODUCT(--ISNUMBER(SEARCH(","&amp;TRIM(TEXTSPLIT(Q180,","))&amp;",",","&amp;SUBSTITUTE(input_affiliations," ","")&amp;",")))=0)),IF(S180="",TRUE,IF(input_affiliations="",FALSE,SUMPRODUCT(--ISNUMBER(SEARCH(","&amp;TRIM(TEXTSPLIT(S180,","))&amp;",",","&amp;SUBSTITUTE(input_affiliations," ","")&amp;",")))&gt;0)),IF(U180="",TRUE,IF(input_affiliations="",FALSE,SUMPRODUCT(--ISNUMBER(SEARCH(","&amp;TRIM(TEXTSPLIT(U180,","))&amp;",",","&amp;SUBSTITUTE(input_affiliations," ","")&amp;",")))=COUNTA(TEXTSPLIT(U180,",")))))</f>
        <v/>
      </c>
      <c r="IU180" s="19">
        <f>AND(IF(W180="",TRUE,IF(input_announcement_category="",FALSE,SUMPRODUCT(--ISNUMBER(SEARCH(","&amp;TRIM(TEXTSPLIT(W180,","))&amp;",",","&amp;SUBSTITUTE(input_announcement_category," ","")&amp;",")))&gt;0)),IF(Y180="",TRUE,IF(input_announcement_category="",FALSE,SUMPRODUCT(--ISNUMBER(SEARCH(","&amp;TRIM(TEXTSPLIT(Y180,","))&amp;",",","&amp;SUBSTITUTE(input_announcement_category," ","")&amp;",")))=COUNTA(TEXTSPLIT(Y180,",")))),IF(AA180="",TRUE,IF(input_announcement_category="",TRUE,SUMPRODUCT(--ISNUMBER(SEARCH(","&amp;TRIM(TEXTSPLIT(AA180,","))&amp;",",","&amp;SUBSTITUTE(input_announcement_category," ","")&amp;",")))=0)),IF(AC180="",TRUE,IF(input_announcement_category="",FALSE,SUMPRODUCT(--ISNUMBER(SEARCH(","&amp;TRIM(TEXTSPLIT(AC180,","))&amp;",",","&amp;SUBSTITUTE(input_announcement_category," ","")&amp;",")))&gt;0)),IF(AE180="",TRUE,IF(input_announcement_category="",FALSE,SUMPRODUCT(--ISNUMBER(SEARCH(","&amp;TRIM(TEXTSPLIT(AE180,","))&amp;",",","&amp;SUBSTITUTE(input_announcement_category," ","")&amp;",")))=COUNTA(TEXTSPLIT(AE180,",")))))</f>
        <v/>
      </c>
      <c r="IV180" s="19">
        <f>AND(IF(AG180="",TRUE,IF(input_area_of_focus="",FALSE,SUMPRODUCT(--ISNUMBER(SEARCH(","&amp;TRIM(TEXTSPLIT(AG180,","))&amp;",",","&amp;SUBSTITUTE(input_area_of_focus," ","")&amp;",")))&gt;0)),IF(AI180="",TRUE,IF(input_area_of_focus="",FALSE,SUMPRODUCT(--ISNUMBER(SEARCH(","&amp;TRIM(TEXTSPLIT(AI180,","))&amp;",",","&amp;SUBSTITUTE(input_area_of_focus," ","")&amp;",")))=COUNTA(TEXTSPLIT(AI180,",")))),IF(AK180="",TRUE,IF(input_area_of_focus="",TRUE,SUMPRODUCT(--ISNUMBER(SEARCH(","&amp;TRIM(TEXTSPLIT(AK180,","))&amp;",",","&amp;SUBSTITUTE(input_area_of_focus," ","")&amp;",")))=0)),IF(AM180="",TRUE,IF(input_area_of_focus="",FALSE,SUMPRODUCT(--ISNUMBER(SEARCH(","&amp;TRIM(TEXTSPLIT(AM180,","))&amp;",",","&amp;SUBSTITUTE(input_area_of_focus," ","")&amp;",")))&gt;0)),IF(AO180="",TRUE,IF(input_area_of_focus="",FALSE,SUMPRODUCT(--ISNUMBER(SEARCH(","&amp;TRIM(TEXTSPLIT(AO180,","))&amp;",",","&amp;SUBSTITUTE(input_area_of_focus," ","")&amp;",")))=COUNTA(TEXTSPLIT(AO180,",")))))</f>
        <v/>
      </c>
      <c r="IW180" s="19">
        <f>AND(IF(AQ180="",TRUE,IF(input_audience="",FALSE,SUMPRODUCT(--ISNUMBER(SEARCH(","&amp;TRIM(TEXTSPLIT(AQ180,","))&amp;",",","&amp;SUBSTITUTE(input_audience," ","")&amp;",")))&gt;0)),IF(AS180="",TRUE,IF(input_audience="",FALSE,SUMPRODUCT(--ISNUMBER(SEARCH(","&amp;TRIM(TEXTSPLIT(AS180,","))&amp;",",","&amp;SUBSTITUTE(input_audience," ","")&amp;",")))=COUNTA(TEXTSPLIT(AS180,",")))),IF(AU180="",TRUE,IF(input_audience="",TRUE,SUMPRODUCT(--ISNUMBER(SEARCH(","&amp;TRIM(TEXTSPLIT(AU180,","))&amp;",",","&amp;SUBSTITUTE(input_audience," ","")&amp;",")))=0)),IF(AW180="",TRUE,IF(input_audience="",FALSE,SUMPRODUCT(--ISNUMBER(SEARCH(","&amp;TRIM(TEXTSPLIT(AW180,","))&amp;",",","&amp;SUBSTITUTE(input_audience," ","")&amp;",")))&gt;0)),IF(AY180="",TRUE,IF(input_audience="",FALSE,SUMPRODUCT(--ISNUMBER(SEARCH(","&amp;TRIM(TEXTSPLIT(AY180,","))&amp;",",","&amp;SUBSTITUTE(input_audience," ","")&amp;",")))=COUNTA(TEXTSPLIT(AY180,",")))))</f>
        <v/>
      </c>
      <c r="IX180" s="19">
        <f>AND(IF(BA180="",TRUE,IF(input_challenge_opportunities="",FALSE,SUMPRODUCT(--ISNUMBER(SEARCH(","&amp;TRIM(TEXTSPLIT(BA180,","))&amp;",",","&amp;SUBSTITUTE(input_challenge_opportunities," ","")&amp;",")))&gt;0)),IF(BC180="",TRUE,IF(input_challenge_opportunities="",FALSE,SUMPRODUCT(--ISNUMBER(SEARCH(","&amp;TRIM(TEXTSPLIT(BC180,","))&amp;",",","&amp;SUBSTITUTE(input_challenge_opportunities," ","")&amp;",")))=COUNTA(TEXTSPLIT(BC180,",")))),IF(BE180="",TRUE,IF(input_challenge_opportunities="",TRUE,SUMPRODUCT(--ISNUMBER(SEARCH(","&amp;TRIM(TEXTSPLIT(BE180,","))&amp;",",","&amp;SUBSTITUTE(input_challenge_opportunities," ","")&amp;",")))=0)),IF(BG180="",TRUE,IF(input_challenge_opportunities="",FALSE,SUMPRODUCT(--ISNUMBER(SEARCH(","&amp;TRIM(TEXTSPLIT(BG180,","))&amp;",",","&amp;SUBSTITUTE(input_challenge_opportunities," ","")&amp;",")))&gt;0)),IF(BI180="",TRUE,IF(input_challenge_opportunities="",FALSE,SUMPRODUCT(--ISNUMBER(SEARCH(","&amp;TRIM(TEXTSPLIT(BI180,","))&amp;",",","&amp;SUBSTITUTE(input_challenge_opportunities," ","")&amp;",")))=COUNTA(TEXTSPLIT(BI180,",")))))</f>
        <v/>
      </c>
      <c r="IY180" s="19">
        <f>AND(IF(BK180="",TRUE,IF(input_context="",FALSE,SUMPRODUCT(--ISNUMBER(SEARCH(","&amp;TRIM(TEXTSPLIT(BK180,","))&amp;",",","&amp;SUBSTITUTE(input_context," ","")&amp;",")))&gt;0)),IF(BM180="",TRUE,IF(input_context="",FALSE,SUMPRODUCT(--ISNUMBER(SEARCH(","&amp;TRIM(TEXTSPLIT(BM180,","))&amp;",",","&amp;SUBSTITUTE(input_context," ","")&amp;",")))=COUNTA(TEXTSPLIT(BM180,",")))),IF(BO180="",TRUE,IF(input_context="",TRUE,SUMPRODUCT(--ISNUMBER(SEARCH(","&amp;TRIM(TEXTSPLIT(BO180,","))&amp;",",","&amp;SUBSTITUTE(input_context," ","")&amp;",")))=0)),IF(BQ180="",TRUE,IF(input_context="",FALSE,SUMPRODUCT(--ISNUMBER(SEARCH(","&amp;TRIM(TEXTSPLIT(BQ180,","))&amp;",",","&amp;SUBSTITUTE(input_context," ","")&amp;",")))&gt;0)),IF(BS180="",TRUE,IF(input_context="",FALSE,SUMPRODUCT(--ISNUMBER(SEARCH(","&amp;TRIM(TEXTSPLIT(BS180,","))&amp;",",","&amp;SUBSTITUTE(input_context," ","")&amp;",")))=COUNTA(TEXTSPLIT(BS180,",")))))</f>
        <v/>
      </c>
      <c r="IZ180" s="19">
        <f>AND(IF(BU180="",TRUE,IF(input_enews_announcement_type="",FALSE,SUMPRODUCT(--ISNUMBER(SEARCH(","&amp;TRIM(TEXTSPLIT(BU180,","))&amp;",",","&amp;SUBSTITUTE(input_enews_announcement_type," ","")&amp;",")))&gt;0)),IF(BW180="",TRUE,IF(input_enews_announcement_type="",FALSE,SUMPRODUCT(--ISNUMBER(SEARCH(","&amp;TRIM(TEXTSPLIT(BW180,","))&amp;",",","&amp;SUBSTITUTE(input_enews_announcement_type," ","")&amp;",")))=COUNTA(TEXTSPLIT(BW180,",")))),IF(BY180="",TRUE,IF(input_enews_announcement_type="",TRUE,SUMPRODUCT(--ISNUMBER(SEARCH(","&amp;TRIM(TEXTSPLIT(BY180,","))&amp;",",","&amp;SUBSTITUTE(input_enews_announcement_type," ","")&amp;",")))=0)),IF(CA180="",TRUE,IF(input_enews_announcement_type="",FALSE,SUMPRODUCT(--ISNUMBER(SEARCH(","&amp;TRIM(TEXTSPLIT(CA180,","))&amp;",",","&amp;SUBSTITUTE(input_enews_announcement_type," ","")&amp;",")))&gt;0)),IF(CC180="",TRUE,IF(input_enews_announcement_type="",FALSE,SUMPRODUCT(--ISNUMBER(SEARCH(","&amp;TRIM(TEXTSPLIT(CC180,","))&amp;",",","&amp;SUBSTITUTE(input_enews_announcement_type," ","")&amp;",")))=COUNTA(TEXTSPLIT(CC180,",")))))</f>
        <v/>
      </c>
      <c r="JA180" s="19">
        <f>AND(IF(CE180="",TRUE,IF(input_enews_audience="",FALSE,SUMPRODUCT(--ISNUMBER(SEARCH(","&amp;TRIM(TEXTSPLIT(CE180,","))&amp;",",","&amp;SUBSTITUTE(input_enews_audience," ","")&amp;",")))&gt;0)),IF(CG180="",TRUE,IF(input_enews_audience="",FALSE,SUMPRODUCT(--ISNUMBER(SEARCH(","&amp;TRIM(TEXTSPLIT(CG180,","))&amp;",",","&amp;SUBSTITUTE(input_enews_audience," ","")&amp;",")))=COUNTA(TEXTSPLIT(CG180,",")))),IF(CI180="",TRUE,IF(input_enews_audience="",TRUE,SUMPRODUCT(--ISNUMBER(SEARCH(","&amp;TRIM(TEXTSPLIT(CI180,","))&amp;",",","&amp;SUBSTITUTE(input_enews_audience," ","")&amp;",")))=0)),IF(CK180="",TRUE,IF(input_enews_audience="",FALSE,SUMPRODUCT(--ISNUMBER(SEARCH(","&amp;TRIM(TEXTSPLIT(CK180,","))&amp;",",","&amp;SUBSTITUTE(input_enews_audience," ","")&amp;",")))&gt;0)),IF(CM180="",TRUE,IF(input_enews_audience="",FALSE,SUMPRODUCT(--ISNUMBER(SEARCH(","&amp;TRIM(TEXTSPLIT(CM180,","))&amp;",",","&amp;SUBSTITUTE(input_enews_audience," ","")&amp;",")))=COUNTA(TEXTSPLIT(CM180,",")))))</f>
        <v/>
      </c>
      <c r="JB180" s="19">
        <f>AND(IF(CO180="",TRUE,IF(input_event_location="",FALSE,SUMPRODUCT(--ISNUMBER(SEARCH(","&amp;TRIM(TEXTSPLIT(CO180,","))&amp;",",","&amp;SUBSTITUTE(input_event_location," ","")&amp;",")))&gt;0)),IF(CQ180="",TRUE,IF(input_event_location="",FALSE,SUMPRODUCT(--ISNUMBER(SEARCH(","&amp;TRIM(TEXTSPLIT(CQ180,","))&amp;",",","&amp;SUBSTITUTE(input_event_location," ","")&amp;",")))=COUNTA(TEXTSPLIT(CQ180,",")))),IF(CS180="",TRUE,IF(input_event_location="",TRUE,SUMPRODUCT(--ISNUMBER(SEARCH(","&amp;TRIM(TEXTSPLIT(CS180,","))&amp;",",","&amp;SUBSTITUTE(input_event_location," ","")&amp;",")))=0)),IF(CU180="",TRUE,IF(input_event_location="",FALSE,SUMPRODUCT(--ISNUMBER(SEARCH(","&amp;TRIM(TEXTSPLIT(CU180,","))&amp;",",","&amp;SUBSTITUTE(input_event_location," ","")&amp;",")))&gt;0)),IF(CW180="",TRUE,IF(input_event_location="",FALSE,SUMPRODUCT(--ISNUMBER(SEARCH(","&amp;TRIM(TEXTSPLIT(CW180,","))&amp;",",","&amp;SUBSTITUTE(input_event_location," ","")&amp;",")))=COUNTA(TEXTSPLIT(CW180,",")))))</f>
        <v/>
      </c>
      <c r="JC180" s="19">
        <f>AND(IF(CY180="",TRUE,IF(input_event_type="",FALSE,SUMPRODUCT(--ISNUMBER(SEARCH(","&amp;TRIM(TEXTSPLIT(CY180,","))&amp;",",","&amp;SUBSTITUTE(input_event_type," ","")&amp;",")))&gt;0)),IF(DA180="",TRUE,IF(input_event_type="",FALSE,SUMPRODUCT(--ISNUMBER(SEARCH(","&amp;TRIM(TEXTSPLIT(DA180,","))&amp;",",","&amp;SUBSTITUTE(input_event_type," ","")&amp;",")))=COUNTA(TEXTSPLIT(DA180,",")))),IF(DC180="",TRUE,IF(input_event_type="",TRUE,SUMPRODUCT(--ISNUMBER(SEARCH(","&amp;TRIM(TEXTSPLIT(DC180,","))&amp;",",","&amp;SUBSTITUTE(input_event_type," ","")&amp;",")))=0)),IF(DE180="",TRUE,IF(input_event_type="",FALSE,SUMPRODUCT(--ISNUMBER(SEARCH(","&amp;TRIM(TEXTSPLIT(DE180,","))&amp;",",","&amp;SUBSTITUTE(input_event_type," ","")&amp;",")))&gt;0)),IF(DG180="",TRUE,IF(input_event_type="",FALSE,SUMPRODUCT(--ISNUMBER(SEARCH(","&amp;TRIM(TEXTSPLIT(DG180,","))&amp;",",","&amp;SUBSTITUTE(input_event_type," ","")&amp;",")))=COUNTA(TEXTSPLIT(DG180,",")))))</f>
        <v/>
      </c>
      <c r="JD180" s="19">
        <f>AND(IF(DI180="",TRUE,IF(input_executive_education_focus="",FALSE,SUMPRODUCT(--ISNUMBER(SEARCH(","&amp;TRIM(TEXTSPLIT(DI180,","))&amp;",",","&amp;SUBSTITUTE(input_executive_education_focus," ","")&amp;",")))&gt;0)),IF(DK180="",TRUE,IF(input_executive_education_focus="",FALSE,SUMPRODUCT(--ISNUMBER(SEARCH(","&amp;TRIM(TEXTSPLIT(DK180,","))&amp;",",","&amp;SUBSTITUTE(input_executive_education_focus," ","")&amp;",")))=COUNTA(TEXTSPLIT(DK180,",")))),IF(DM180="",TRUE,IF(input_executive_education_focus="",TRUE,SUMPRODUCT(--ISNUMBER(SEARCH(","&amp;TRIM(TEXTSPLIT(DM180,","))&amp;",",","&amp;SUBSTITUTE(input_executive_education_focus," ","")&amp;",")))=0)),IF(DO180="",TRUE,IF(input_executive_education_focus="",FALSE,SUMPRODUCT(--ISNUMBER(SEARCH(","&amp;TRIM(TEXTSPLIT(DO180,","))&amp;",",","&amp;SUBSTITUTE(input_executive_education_focus," ","")&amp;",")))&gt;0)),IF(DQ180="",TRUE,IF(input_executive_education_focus="",FALSE,SUMPRODUCT(--ISNUMBER(SEARCH(","&amp;TRIM(TEXTSPLIT(DQ180,","))&amp;",",","&amp;SUBSTITUTE(input_executive_education_focus," ","")&amp;",")))=COUNTA(TEXTSPLIT(DQ180,",")))))</f>
        <v/>
      </c>
      <c r="JE180" s="19">
        <f>AND(IF(DS180="",TRUE,IF(input_faculty_category="",FALSE,SUMPRODUCT(--ISNUMBER(SEARCH(","&amp;TRIM(TEXTSPLIT(DS180,","))&amp;",",","&amp;SUBSTITUTE(input_faculty_category," ","")&amp;",")))&gt;0)),IF(DU180="",TRUE,IF(input_faculty_category="",FALSE,SUMPRODUCT(--ISNUMBER(SEARCH(","&amp;TRIM(TEXTSPLIT(DU180,","))&amp;",",","&amp;SUBSTITUTE(input_faculty_category," ","")&amp;",")))=COUNTA(TEXTSPLIT(DU180,",")))),IF(DW180="",TRUE,IF(input_faculty_category="",TRUE,SUMPRODUCT(--ISNUMBER(SEARCH(","&amp;TRIM(TEXTSPLIT(DW180,","))&amp;",",","&amp;SUBSTITUTE(input_faculty_category," ","")&amp;",")))=0)),IF(DY180="",TRUE,IF(input_faculty_category="",FALSE,SUMPRODUCT(--ISNUMBER(SEARCH(","&amp;TRIM(TEXTSPLIT(DY180,","))&amp;",",","&amp;SUBSTITUTE(input_faculty_category," ","")&amp;",")))&gt;0)),IF(EA180="",TRUE,IF(input_faculty_category="",FALSE,SUMPRODUCT(--ISNUMBER(SEARCH(","&amp;TRIM(TEXTSPLIT(EA180,","))&amp;",",","&amp;SUBSTITUTE(input_faculty_category," ","")&amp;",")))=COUNTA(TEXTSPLIT(EA180,",")))))</f>
        <v/>
      </c>
      <c r="JF180" s="19">
        <f>AND(IF(EC180="",TRUE,IF(input_faculty_discipline="",FALSE,SUMPRODUCT(--ISNUMBER(SEARCH(","&amp;TRIM(TEXTSPLIT(EC180,","))&amp;",",","&amp;SUBSTITUTE(input_faculty_discipline," ","")&amp;",")))&gt;0)),IF(EE180="",TRUE,IF(input_faculty_discipline="",FALSE,SUMPRODUCT(--ISNUMBER(SEARCH(","&amp;TRIM(TEXTSPLIT(EE180,","))&amp;",",","&amp;SUBSTITUTE(input_faculty_discipline," ","")&amp;",")))=COUNTA(TEXTSPLIT(EE180,",")))),IF(EG180="",TRUE,IF(input_faculty_discipline="",TRUE,SUMPRODUCT(--ISNUMBER(SEARCH(","&amp;TRIM(TEXTSPLIT(EG180,","))&amp;",",","&amp;SUBSTITUTE(input_faculty_discipline," ","")&amp;",")))=0)),IF(EI180="",TRUE,IF(input_faculty_discipline="",FALSE,SUMPRODUCT(--ISNUMBER(SEARCH(","&amp;TRIM(TEXTSPLIT(EI180,","))&amp;",",","&amp;SUBSTITUTE(input_faculty_discipline," ","")&amp;",")))&gt;0)),IF(EK180="",TRUE,IF(input_faculty_discipline="",FALSE,SUMPRODUCT(--ISNUMBER(SEARCH(","&amp;TRIM(TEXTSPLIT(EK180,","))&amp;",",","&amp;SUBSTITUTE(input_faculty_discipline," ","")&amp;",")))=COUNTA(TEXTSPLIT(EK180,",")))))</f>
        <v/>
      </c>
      <c r="JG180" s="19">
        <f>AND(IF(EM180="",TRUE,IF(input_faculty_expertise="",FALSE,SUMPRODUCT(--ISNUMBER(SEARCH(","&amp;TRIM(TEXTSPLIT(EM180,","))&amp;",",","&amp;SUBSTITUTE(input_faculty_expertise," ","")&amp;",")))&gt;0)),IF(EO180="",TRUE,IF(input_faculty_expertise="",FALSE,SUMPRODUCT(--ISNUMBER(SEARCH(","&amp;TRIM(TEXTSPLIT(EO180,","))&amp;",",","&amp;SUBSTITUTE(input_faculty_expertise," ","")&amp;",")))=COUNTA(TEXTSPLIT(EO180,",")))),IF(EQ180="",TRUE,IF(input_faculty_expertise="",TRUE,SUMPRODUCT(--ISNUMBER(SEARCH(","&amp;TRIM(TEXTSPLIT(EQ180,","))&amp;",",","&amp;SUBSTITUTE(input_faculty_expertise," ","")&amp;",")))=0)),IF(ES180="",TRUE,IF(input_faculty_expertise="",FALSE,SUMPRODUCT(--ISNUMBER(SEARCH(","&amp;TRIM(TEXTSPLIT(ES180,","))&amp;",",","&amp;SUBSTITUTE(input_faculty_expertise," ","")&amp;",")))&gt;0)),IF(EU180="",TRUE,IF(input_faculty_expertise="",FALSE,SUMPRODUCT(--ISNUMBER(SEARCH(","&amp;TRIM(TEXTSPLIT(EU180,","))&amp;",",","&amp;SUBSTITUTE(input_faculty_expertise," ","")&amp;",")))=COUNTA(TEXTSPLIT(EU180,",")))))</f>
        <v/>
      </c>
      <c r="JH180" s="19">
        <f>AND(IF(EW180="",TRUE,IF(input_global_network_school="",FALSE,SUMPRODUCT(--ISNUMBER(SEARCH(","&amp;TRIM(TEXTSPLIT(EW180,","))&amp;",",","&amp;SUBSTITUTE(input_global_network_school," ","")&amp;",")))&gt;0)),IF(EY180="",TRUE,IF(input_global_network_school="",FALSE,SUMPRODUCT(--ISNUMBER(SEARCH(","&amp;TRIM(TEXTSPLIT(EY180,","))&amp;",",","&amp;SUBSTITUTE(input_global_network_school," ","")&amp;",")))=COUNTA(TEXTSPLIT(EY180,",")))),IF(FA180="",TRUE,IF(input_global_network_school="",TRUE,SUMPRODUCT(--ISNUMBER(SEARCH(","&amp;TRIM(TEXTSPLIT(FA180,","))&amp;",",","&amp;SUBSTITUTE(input_global_network_school," ","")&amp;",")))=0)),IF(FC180="",TRUE,IF(input_global_network_school="",FALSE,SUMPRODUCT(--ISNUMBER(SEARCH(","&amp;TRIM(TEXTSPLIT(FC180,","))&amp;",",","&amp;SUBSTITUTE(input_global_network_school," ","")&amp;",")))&gt;0)),IF(FE180="",TRUE,IF(input_global_network_school="",FALSE,SUMPRODUCT(--ISNUMBER(SEARCH(","&amp;TRIM(TEXTSPLIT(FE180,","))&amp;",",","&amp;SUBSTITUTE(input_global_network_school," ","")&amp;",")))=COUNTA(TEXTSPLIT(FE180,",")))))</f>
        <v/>
      </c>
      <c r="JI180" s="19">
        <f>AND(IF(FG180="",TRUE,IF(input_industry="",FALSE,SUMPRODUCT(--ISNUMBER(SEARCH(","&amp;TRIM(TEXTSPLIT(FG180,","))&amp;",",","&amp;SUBSTITUTE(input_industry," ","")&amp;",")))&gt;0)),IF(FI180="",TRUE,IF(input_industry="",FALSE,SUMPRODUCT(--ISNUMBER(SEARCH(","&amp;TRIM(TEXTSPLIT(FI180,","))&amp;",",","&amp;SUBSTITUTE(input_industry," ","")&amp;",")))=COUNTA(TEXTSPLIT(FI180,",")))),IF(FK180="",TRUE,IF(input_industry="",TRUE,SUMPRODUCT(--ISNUMBER(SEARCH(","&amp;TRIM(TEXTSPLIT(FK180,","))&amp;",",","&amp;SUBSTITUTE(input_industry," ","")&amp;",")))=0)),IF(FM180="",TRUE,IF(input_industry="",FALSE,SUMPRODUCT(--ISNUMBER(SEARCH(","&amp;TRIM(TEXTSPLIT(FM180,","))&amp;",",","&amp;SUBSTITUTE(input_industry," ","")&amp;",")))&gt;0)),IF(FO180="",TRUE,IF(input_industry="",FALSE,SUMPRODUCT(--ISNUMBER(SEARCH(","&amp;TRIM(TEXTSPLIT(FO180,","))&amp;",",","&amp;SUBSTITUTE(input_industry," ","")&amp;",")))=COUNTA(TEXTSPLIT(FO180,",")))))</f>
        <v/>
      </c>
      <c r="JJ180" s="19">
        <f>AND(IF(FQ180="",TRUE,IF(input_location="",FALSE,SUMPRODUCT(--ISNUMBER(SEARCH(","&amp;TRIM(TEXTSPLIT(FQ180,","))&amp;",",","&amp;SUBSTITUTE(input_location," ","")&amp;",")))&gt;0)),IF(FS180="",TRUE,IF(input_location="",FALSE,SUMPRODUCT(--ISNUMBER(SEARCH(","&amp;TRIM(TEXTSPLIT(FS180,","))&amp;",",","&amp;SUBSTITUTE(input_location," ","")&amp;",")))=COUNTA(TEXTSPLIT(FS180,",")))),IF(FU180="",TRUE,IF(input_location="",TRUE,SUMPRODUCT(--ISNUMBER(SEARCH(","&amp;TRIM(TEXTSPLIT(FU180,","))&amp;",",","&amp;SUBSTITUTE(input_location," ","")&amp;",")))=0)),IF(FW180="",TRUE,IF(input_location="",FALSE,SUMPRODUCT(--ISNUMBER(SEARCH(","&amp;TRIM(TEXTSPLIT(FW180,","))&amp;",",","&amp;SUBSTITUTE(input_location," ","")&amp;",")))&gt;0)),IF(FY180="",TRUE,IF(input_location="",FALSE,SUMPRODUCT(--ISNUMBER(SEARCH(","&amp;TRIM(TEXTSPLIT(FY180,","))&amp;",",","&amp;SUBSTITUTE(input_location," ","")&amp;",")))=COUNTA(TEXTSPLIT(FY180,",")))))</f>
        <v/>
      </c>
      <c r="JK180" s="19">
        <f>AND(IF(GA180="",TRUE,IF(input_modality="",FALSE,SUMPRODUCT(--ISNUMBER(SEARCH(","&amp;TRIM(TEXTSPLIT(GA180,","))&amp;",",","&amp;SUBSTITUTE(input_modality," ","")&amp;",")))&gt;0)),IF(GC180="",TRUE,IF(input_modality="",FALSE,SUMPRODUCT(--ISNUMBER(SEARCH(","&amp;TRIM(TEXTSPLIT(GC180,","))&amp;",",","&amp;SUBSTITUTE(input_modality," ","")&amp;",")))=COUNTA(TEXTSPLIT(GC180,",")))),IF(GE180="",TRUE,IF(input_modality="",TRUE,SUMPRODUCT(--ISNUMBER(SEARCH(","&amp;TRIM(TEXTSPLIT(GE180,","))&amp;",",","&amp;SUBSTITUTE(input_modality," ","")&amp;",")))=0)),IF(GG180="",TRUE,IF(input_modality="",FALSE,SUMPRODUCT(--ISNUMBER(SEARCH(","&amp;TRIM(TEXTSPLIT(GG180,","))&amp;",",","&amp;SUBSTITUTE(input_modality," ","")&amp;",")))&gt;0)),IF(GI180="",TRUE,IF(input_modality="",FALSE,SUMPRODUCT(--ISNUMBER(SEARCH(","&amp;TRIM(TEXTSPLIT(GI180,","))&amp;",",","&amp;SUBSTITUTE(input_modality," ","")&amp;",")))=COUNTA(TEXTSPLIT(GI180,",")))))</f>
        <v/>
      </c>
      <c r="JL180" s="19">
        <f>AND(IF(GK180="",TRUE,IF(input_organizer="",FALSE,SUMPRODUCT(--ISNUMBER(SEARCH(","&amp;TRIM(TEXTSPLIT(GK180,","))&amp;",",","&amp;SUBSTITUTE(input_organizer," ","")&amp;",")))&gt;0)),IF(GM180="",TRUE,IF(input_organizer="",FALSE,SUMPRODUCT(--ISNUMBER(SEARCH(","&amp;TRIM(TEXTSPLIT(GM180,","))&amp;",",","&amp;SUBSTITUTE(input_organizer," ","")&amp;",")))=COUNTA(TEXTSPLIT(GM180,",")))),IF(GO180="",TRUE,IF(input_organizer="",TRUE,SUMPRODUCT(--ISNUMBER(SEARCH(","&amp;TRIM(TEXTSPLIT(GO180,","))&amp;",",","&amp;SUBSTITUTE(input_organizer," ","")&amp;",")))=0)),IF(GQ180="",TRUE,IF(input_organizer="",FALSE,SUMPRODUCT(--ISNUMBER(SEARCH(","&amp;TRIM(TEXTSPLIT(GQ180,","))&amp;",",","&amp;SUBSTITUTE(input_organizer," ","")&amp;",")))&gt;0)),IF(GS180="",TRUE,IF(input_organizer="",FALSE,SUMPRODUCT(--ISNUMBER(SEARCH(","&amp;TRIM(TEXTSPLIT(GS180,","))&amp;",",","&amp;SUBSTITUTE(input_organizer," ","")&amp;",")))=COUNTA(TEXTSPLIT(GS180,",")))))</f>
        <v/>
      </c>
      <c r="JM180" s="19">
        <f>AND(IF(GU180="",TRUE,IF(input_profile_type="",FALSE,SUMPRODUCT(--ISNUMBER(SEARCH(","&amp;TRIM(TEXTSPLIT(GU180,","))&amp;",",","&amp;SUBSTITUTE(input_profile_type," ","")&amp;",")))&gt;0)),IF(GW180="",TRUE,IF(input_profile_type="",FALSE,SUMPRODUCT(--ISNUMBER(SEARCH(","&amp;TRIM(TEXTSPLIT(GW180,","))&amp;",",","&amp;SUBSTITUTE(input_profile_type," ","")&amp;",")))=COUNTA(TEXTSPLIT(GW180,",")))),IF(GY180="",TRUE,IF(input_profile_type="",TRUE,SUMPRODUCT(--ISNUMBER(SEARCH(","&amp;TRIM(TEXTSPLIT(GY180,","))&amp;",",","&amp;SUBSTITUTE(input_profile_type," ","")&amp;",")))=0)),IF(HA180="",TRUE,IF(input_profile_type="",FALSE,SUMPRODUCT(--ISNUMBER(SEARCH(","&amp;TRIM(TEXTSPLIT(HA180,","))&amp;",",","&amp;SUBSTITUTE(input_profile_type," ","")&amp;",")))&gt;0)),IF(HC180="",TRUE,IF(input_profile_type="",FALSE,SUMPRODUCT(--ISNUMBER(SEARCH(","&amp;TRIM(TEXTSPLIT(HC180,","))&amp;",",","&amp;SUBSTITUTE(input_profile_type," ","")&amp;",")))=COUNTA(TEXTSPLIT(HC180,",")))))</f>
        <v/>
      </c>
      <c r="JN180" s="19">
        <f>AND(IF(HE180="",TRUE,IF(input_program="",FALSE,SUMPRODUCT(--ISNUMBER(SEARCH(","&amp;TRIM(TEXTSPLIT(HE180,","))&amp;",",","&amp;SUBSTITUTE(input_program," ","")&amp;",")))&gt;0)),IF(HG180="",TRUE,IF(input_program="",FALSE,SUMPRODUCT(--ISNUMBER(SEARCH(","&amp;TRIM(TEXTSPLIT(HG180,","))&amp;",",","&amp;SUBSTITUTE(input_program," ","")&amp;",")))=COUNTA(TEXTSPLIT(HG180,",")))),IF(HI180="",TRUE,IF(input_program="",TRUE,SUMPRODUCT(--ISNUMBER(SEARCH(","&amp;TRIM(TEXTSPLIT(HI180,","))&amp;",",","&amp;SUBSTITUTE(input_program," ","")&amp;",")))=0)),IF(HK180="",TRUE,IF(input_program="",FALSE,SUMPRODUCT(--ISNUMBER(SEARCH(","&amp;TRIM(TEXTSPLIT(HK180,","))&amp;",",","&amp;SUBSTITUTE(input_program," ","")&amp;",")))&gt;0)),IF(HM180="",TRUE,IF(input_program="",FALSE,SUMPRODUCT(--ISNUMBER(SEARCH(","&amp;TRIM(TEXTSPLIT(HM180,","))&amp;",",","&amp;SUBSTITUTE(input_program," ","")&amp;",")))=COUNTA(TEXTSPLIT(HM180,",")))))</f>
        <v/>
      </c>
      <c r="JO180" s="19">
        <f>AND(IF(HO180="",TRUE,IF(input_story_categories="",FALSE,SUMPRODUCT(--ISNUMBER(SEARCH(","&amp;TRIM(TEXTSPLIT(HO180,","))&amp;",",","&amp;SUBSTITUTE(input_story_categories," ","")&amp;",")))&gt;0)),IF(HQ180="",TRUE,IF(input_story_categories="",FALSE,SUMPRODUCT(--ISNUMBER(SEARCH(","&amp;TRIM(TEXTSPLIT(HQ180,","))&amp;",",","&amp;SUBSTITUTE(input_story_categories," ","")&amp;",")))=COUNTA(TEXTSPLIT(HQ180,",")))),IF(HS180="",TRUE,IF(input_story_categories="",TRUE,SUMPRODUCT(--ISNUMBER(SEARCH(","&amp;TRIM(TEXTSPLIT(HS180,","))&amp;",",","&amp;SUBSTITUTE(input_story_categories," ","")&amp;",")))=0)),IF(HU180="",TRUE,IF(input_story_categories="",FALSE,SUMPRODUCT(--ISNUMBER(SEARCH(","&amp;TRIM(TEXTSPLIT(HU180,","))&amp;",",","&amp;SUBSTITUTE(input_story_categories," ","")&amp;",")))&gt;0)),IF(HW180="",TRUE,IF(input_story_categories="",FALSE,SUMPRODUCT(--ISNUMBER(SEARCH(","&amp;TRIM(TEXTSPLIT(HW180,","))&amp;",",","&amp;SUBSTITUTE(input_story_categories," ","")&amp;",")))=COUNTA(TEXTSPLIT(HW180,",")))))</f>
        <v/>
      </c>
      <c r="JP180" s="19">
        <f>AND(IF(HY180="",TRUE,IF(input_story_type="",FALSE,SUMPRODUCT(--ISNUMBER(SEARCH(","&amp;TRIM(TEXTSPLIT(HY180,","))&amp;",",","&amp;SUBSTITUTE(input_story_type," ","")&amp;",")))&gt;0)),IF(IA180="",TRUE,IF(input_story_type="",FALSE,SUMPRODUCT(--ISNUMBER(SEARCH(","&amp;TRIM(TEXTSPLIT(IA180,","))&amp;",",","&amp;SUBSTITUTE(input_story_type," ","")&amp;",")))=COUNTA(TEXTSPLIT(IA180,",")))),IF(IC180="",TRUE,IF(input_story_type="",TRUE,SUMPRODUCT(--ISNUMBER(SEARCH(","&amp;TRIM(TEXTSPLIT(IC180,","))&amp;",",","&amp;SUBSTITUTE(input_story_type," ","")&amp;",")))=0)),IF(IE180="",TRUE,IF(input_story_type="",FALSE,SUMPRODUCT(--ISNUMBER(SEARCH(","&amp;TRIM(TEXTSPLIT(IE180,","))&amp;",",","&amp;SUBSTITUTE(input_story_type," ","")&amp;",")))&gt;0)),IF(IG180="",TRUE,IF(input_story_type="",FALSE,SUMPRODUCT(--ISNUMBER(SEARCH(","&amp;TRIM(TEXTSPLIT(IG180,","))&amp;",",","&amp;SUBSTITUTE(input_story_type," ","")&amp;",")))=COUNTA(TEXTSPLIT(IG180,",")))))</f>
        <v/>
      </c>
      <c r="JQ180" s="19">
        <f>AND(IF(II180="",TRUE,IF(input_topics="",FALSE,SUMPRODUCT(--ISNUMBER(SEARCH(","&amp;TRIM(TEXTSPLIT(II180,","))&amp;",",","&amp;SUBSTITUTE(input_topics," ","")&amp;",")))&gt;0)),IF(IK180="",TRUE,IF(input_topics="",FALSE,SUMPRODUCT(--ISNUMBER(SEARCH(","&amp;TRIM(TEXTSPLIT(IK180,","))&amp;",",","&amp;SUBSTITUTE(input_topics," ","")&amp;",")))=COUNTA(TEXTSPLIT(IK180,",")))),IF(IM180="",TRUE,IF(input_topics="",TRUE,SUMPRODUCT(--ISNUMBER(SEARCH(","&amp;TRIM(TEXTSPLIT(IM180,","))&amp;",",","&amp;SUBSTITUTE(input_topics," ","")&amp;",")))=0)),IF(IO180="",TRUE,IF(input_topics="",FALSE,SUMPRODUCT(--ISNUMBER(SEARCH(","&amp;TRIM(TEXTSPLIT(IO180,","))&amp;",",","&amp;SUBSTITUTE(input_topics," ","")&amp;",")))&gt;0)),IF(IQ180="",TRUE,IF(input_topics="",FALSE,SUMPRODUCT(--ISNUMBER(SEARCH(","&amp;TRIM(TEXTSPLIT(IQ180,","))&amp;",",","&amp;SUBSTITUTE(input_topics," ","")&amp;",")))=COUNTA(TEXTSPLIT(IQ180,",")))))</f>
        <v/>
      </c>
    </row>
    <row r="181">
      <c r="A181" s="24">
        <f>IF(NOT(IS181),"Excluded",IF(AND(IT181,IU181,IV181,IW181,IX181,IY181,IZ181,JA181,JB181,JC181,JD181,JE181,JF181,JG181,JH181,JI181,JJ181,JK181,JL181,JM181,JN181,JO181,JP181,JQ181),IF(I181&gt;0,"Eligible but limited","Will appear"),"Excluded"))</f>
        <v/>
      </c>
      <c r="B181" s="24" t="inlineStr">
        <is>
          <t>Related stories on story pages</t>
        </is>
      </c>
      <c r="C181" s="27" t="inlineStr">
        <is>
          <t>/blog/business-schools-must-do-better</t>
        </is>
      </c>
      <c r="D181" s="24" t="inlineStr">
        <is>
          <t>/blog/business-schools-must-do-better
/blog/edward-p-evans-hall-libraries-and-study-spaces
/blog/friendsgiving-offers-opportunity-for-students-to-connect-on-deeper-level</t>
        </is>
      </c>
      <c r="E181" s="24" t="n">
        <v>53</v>
      </c>
      <c r="F181" s="24" t="inlineStr">
        <is>
          <t>story</t>
        </is>
      </c>
      <c r="G181" s="24" t="inlineStr">
        <is>
          <t>stories_teaser_cards</t>
        </is>
      </c>
      <c r="H181" s="24" t="inlineStr">
        <is>
          <t>embed_all</t>
        </is>
      </c>
      <c r="I181" s="24" t="n">
        <v>3</v>
      </c>
      <c r="J181" s="31" t="inlineStr">
        <is>
          <t>Template logic</t>
        </is>
      </c>
      <c r="K181" s="24" t="inlineStr">
        <is>
          <t>Grouped surface</t>
        </is>
      </c>
      <c r="L181" s="24" t="inlineStr">
        <is>
          <t>Content type: story; Context uses Courses Context: MBA (92); Context uses Story Type: Blog (974); Limited to 3 item(s); Source: Template logic</t>
        </is>
      </c>
      <c r="BQ181" s="19" t="inlineStr">
        <is>
          <t>92</t>
        </is>
      </c>
      <c r="BR181" s="19" t="inlineStr">
        <is>
          <t>MBA (92)</t>
        </is>
      </c>
      <c r="IE181" s="19" t="inlineStr">
        <is>
          <t>974</t>
        </is>
      </c>
      <c r="IF181" s="19" t="inlineStr">
        <is>
          <t>Blog (974)</t>
        </is>
      </c>
      <c r="IS181" s="19">
        <f>IF(input_content_type="",FALSE,ISNUMBER(SEARCH(","&amp;LOWER(input_content_type)&amp;",",","&amp;LOWER(SUBSTITUTE(F181," ",""))&amp;",")))</f>
        <v/>
      </c>
      <c r="IT181" s="19">
        <f>AND(IF(M181="",TRUE,IF(input_affiliations="",FALSE,SUMPRODUCT(--ISNUMBER(SEARCH(","&amp;TRIM(TEXTSPLIT(M181,","))&amp;",",","&amp;SUBSTITUTE(input_affiliations," ","")&amp;",")))&gt;0)),IF(O181="",TRUE,IF(input_affiliations="",FALSE,SUMPRODUCT(--ISNUMBER(SEARCH(","&amp;TRIM(TEXTSPLIT(O181,","))&amp;",",","&amp;SUBSTITUTE(input_affiliations," ","")&amp;",")))=COUNTA(TEXTSPLIT(O181,",")))),IF(Q181="",TRUE,IF(input_affiliations="",TRUE,SUMPRODUCT(--ISNUMBER(SEARCH(","&amp;TRIM(TEXTSPLIT(Q181,","))&amp;",",","&amp;SUBSTITUTE(input_affiliations," ","")&amp;",")))=0)),IF(S181="",TRUE,IF(input_affiliations="",FALSE,SUMPRODUCT(--ISNUMBER(SEARCH(","&amp;TRIM(TEXTSPLIT(S181,","))&amp;",",","&amp;SUBSTITUTE(input_affiliations," ","")&amp;",")))&gt;0)),IF(U181="",TRUE,IF(input_affiliations="",FALSE,SUMPRODUCT(--ISNUMBER(SEARCH(","&amp;TRIM(TEXTSPLIT(U181,","))&amp;",",","&amp;SUBSTITUTE(input_affiliations," ","")&amp;",")))=COUNTA(TEXTSPLIT(U181,",")))))</f>
        <v/>
      </c>
      <c r="IU181" s="19">
        <f>AND(IF(W181="",TRUE,IF(input_announcement_category="",FALSE,SUMPRODUCT(--ISNUMBER(SEARCH(","&amp;TRIM(TEXTSPLIT(W181,","))&amp;",",","&amp;SUBSTITUTE(input_announcement_category," ","")&amp;",")))&gt;0)),IF(Y181="",TRUE,IF(input_announcement_category="",FALSE,SUMPRODUCT(--ISNUMBER(SEARCH(","&amp;TRIM(TEXTSPLIT(Y181,","))&amp;",",","&amp;SUBSTITUTE(input_announcement_category," ","")&amp;",")))=COUNTA(TEXTSPLIT(Y181,",")))),IF(AA181="",TRUE,IF(input_announcement_category="",TRUE,SUMPRODUCT(--ISNUMBER(SEARCH(","&amp;TRIM(TEXTSPLIT(AA181,","))&amp;",",","&amp;SUBSTITUTE(input_announcement_category," ","")&amp;",")))=0)),IF(AC181="",TRUE,IF(input_announcement_category="",FALSE,SUMPRODUCT(--ISNUMBER(SEARCH(","&amp;TRIM(TEXTSPLIT(AC181,","))&amp;",",","&amp;SUBSTITUTE(input_announcement_category," ","")&amp;",")))&gt;0)),IF(AE181="",TRUE,IF(input_announcement_category="",FALSE,SUMPRODUCT(--ISNUMBER(SEARCH(","&amp;TRIM(TEXTSPLIT(AE181,","))&amp;",",","&amp;SUBSTITUTE(input_announcement_category," ","")&amp;",")))=COUNTA(TEXTSPLIT(AE181,",")))))</f>
        <v/>
      </c>
      <c r="IV181" s="19">
        <f>AND(IF(AG181="",TRUE,IF(input_area_of_focus="",FALSE,SUMPRODUCT(--ISNUMBER(SEARCH(","&amp;TRIM(TEXTSPLIT(AG181,","))&amp;",",","&amp;SUBSTITUTE(input_area_of_focus," ","")&amp;",")))&gt;0)),IF(AI181="",TRUE,IF(input_area_of_focus="",FALSE,SUMPRODUCT(--ISNUMBER(SEARCH(","&amp;TRIM(TEXTSPLIT(AI181,","))&amp;",",","&amp;SUBSTITUTE(input_area_of_focus," ","")&amp;",")))=COUNTA(TEXTSPLIT(AI181,",")))),IF(AK181="",TRUE,IF(input_area_of_focus="",TRUE,SUMPRODUCT(--ISNUMBER(SEARCH(","&amp;TRIM(TEXTSPLIT(AK181,","))&amp;",",","&amp;SUBSTITUTE(input_area_of_focus," ","")&amp;",")))=0)),IF(AM181="",TRUE,IF(input_area_of_focus="",FALSE,SUMPRODUCT(--ISNUMBER(SEARCH(","&amp;TRIM(TEXTSPLIT(AM181,","))&amp;",",","&amp;SUBSTITUTE(input_area_of_focus," ","")&amp;",")))&gt;0)),IF(AO181="",TRUE,IF(input_area_of_focus="",FALSE,SUMPRODUCT(--ISNUMBER(SEARCH(","&amp;TRIM(TEXTSPLIT(AO181,","))&amp;",",","&amp;SUBSTITUTE(input_area_of_focus," ","")&amp;",")))=COUNTA(TEXTSPLIT(AO181,",")))))</f>
        <v/>
      </c>
      <c r="IW181" s="19">
        <f>AND(IF(AQ181="",TRUE,IF(input_audience="",FALSE,SUMPRODUCT(--ISNUMBER(SEARCH(","&amp;TRIM(TEXTSPLIT(AQ181,","))&amp;",",","&amp;SUBSTITUTE(input_audience," ","")&amp;",")))&gt;0)),IF(AS181="",TRUE,IF(input_audience="",FALSE,SUMPRODUCT(--ISNUMBER(SEARCH(","&amp;TRIM(TEXTSPLIT(AS181,","))&amp;",",","&amp;SUBSTITUTE(input_audience," ","")&amp;",")))=COUNTA(TEXTSPLIT(AS181,",")))),IF(AU181="",TRUE,IF(input_audience="",TRUE,SUMPRODUCT(--ISNUMBER(SEARCH(","&amp;TRIM(TEXTSPLIT(AU181,","))&amp;",",","&amp;SUBSTITUTE(input_audience," ","")&amp;",")))=0)),IF(AW181="",TRUE,IF(input_audience="",FALSE,SUMPRODUCT(--ISNUMBER(SEARCH(","&amp;TRIM(TEXTSPLIT(AW181,","))&amp;",",","&amp;SUBSTITUTE(input_audience," ","")&amp;",")))&gt;0)),IF(AY181="",TRUE,IF(input_audience="",FALSE,SUMPRODUCT(--ISNUMBER(SEARCH(","&amp;TRIM(TEXTSPLIT(AY181,","))&amp;",",","&amp;SUBSTITUTE(input_audience," ","")&amp;",")))=COUNTA(TEXTSPLIT(AY181,",")))))</f>
        <v/>
      </c>
      <c r="IX181" s="19">
        <f>AND(IF(BA181="",TRUE,IF(input_challenge_opportunities="",FALSE,SUMPRODUCT(--ISNUMBER(SEARCH(","&amp;TRIM(TEXTSPLIT(BA181,","))&amp;",",","&amp;SUBSTITUTE(input_challenge_opportunities," ","")&amp;",")))&gt;0)),IF(BC181="",TRUE,IF(input_challenge_opportunities="",FALSE,SUMPRODUCT(--ISNUMBER(SEARCH(","&amp;TRIM(TEXTSPLIT(BC181,","))&amp;",",","&amp;SUBSTITUTE(input_challenge_opportunities," ","")&amp;",")))=COUNTA(TEXTSPLIT(BC181,",")))),IF(BE181="",TRUE,IF(input_challenge_opportunities="",TRUE,SUMPRODUCT(--ISNUMBER(SEARCH(","&amp;TRIM(TEXTSPLIT(BE181,","))&amp;",",","&amp;SUBSTITUTE(input_challenge_opportunities," ","")&amp;",")))=0)),IF(BG181="",TRUE,IF(input_challenge_opportunities="",FALSE,SUMPRODUCT(--ISNUMBER(SEARCH(","&amp;TRIM(TEXTSPLIT(BG181,","))&amp;",",","&amp;SUBSTITUTE(input_challenge_opportunities," ","")&amp;",")))&gt;0)),IF(BI181="",TRUE,IF(input_challenge_opportunities="",FALSE,SUMPRODUCT(--ISNUMBER(SEARCH(","&amp;TRIM(TEXTSPLIT(BI181,","))&amp;",",","&amp;SUBSTITUTE(input_challenge_opportunities," ","")&amp;",")))=COUNTA(TEXTSPLIT(BI181,",")))))</f>
        <v/>
      </c>
      <c r="IY181" s="19">
        <f>AND(IF(BK181="",TRUE,IF(input_context="",FALSE,SUMPRODUCT(--ISNUMBER(SEARCH(","&amp;TRIM(TEXTSPLIT(BK181,","))&amp;",",","&amp;SUBSTITUTE(input_context," ","")&amp;",")))&gt;0)),IF(BM181="",TRUE,IF(input_context="",FALSE,SUMPRODUCT(--ISNUMBER(SEARCH(","&amp;TRIM(TEXTSPLIT(BM181,","))&amp;",",","&amp;SUBSTITUTE(input_context," ","")&amp;",")))=COUNTA(TEXTSPLIT(BM181,",")))),IF(BO181="",TRUE,IF(input_context="",TRUE,SUMPRODUCT(--ISNUMBER(SEARCH(","&amp;TRIM(TEXTSPLIT(BO181,","))&amp;",",","&amp;SUBSTITUTE(input_context," ","")&amp;",")))=0)),IF(BQ181="",TRUE,IF(input_context="",FALSE,SUMPRODUCT(--ISNUMBER(SEARCH(","&amp;TRIM(TEXTSPLIT(BQ181,","))&amp;",",","&amp;SUBSTITUTE(input_context," ","")&amp;",")))&gt;0)),IF(BS181="",TRUE,IF(input_context="",FALSE,SUMPRODUCT(--ISNUMBER(SEARCH(","&amp;TRIM(TEXTSPLIT(BS181,","))&amp;",",","&amp;SUBSTITUTE(input_context," ","")&amp;",")))=COUNTA(TEXTSPLIT(BS181,",")))))</f>
        <v/>
      </c>
      <c r="IZ181" s="19">
        <f>AND(IF(BU181="",TRUE,IF(input_enews_announcement_type="",FALSE,SUMPRODUCT(--ISNUMBER(SEARCH(","&amp;TRIM(TEXTSPLIT(BU181,","))&amp;",",","&amp;SUBSTITUTE(input_enews_announcement_type," ","")&amp;",")))&gt;0)),IF(BW181="",TRUE,IF(input_enews_announcement_type="",FALSE,SUMPRODUCT(--ISNUMBER(SEARCH(","&amp;TRIM(TEXTSPLIT(BW181,","))&amp;",",","&amp;SUBSTITUTE(input_enews_announcement_type," ","")&amp;",")))=COUNTA(TEXTSPLIT(BW181,",")))),IF(BY181="",TRUE,IF(input_enews_announcement_type="",TRUE,SUMPRODUCT(--ISNUMBER(SEARCH(","&amp;TRIM(TEXTSPLIT(BY181,","))&amp;",",","&amp;SUBSTITUTE(input_enews_announcement_type," ","")&amp;",")))=0)),IF(CA181="",TRUE,IF(input_enews_announcement_type="",FALSE,SUMPRODUCT(--ISNUMBER(SEARCH(","&amp;TRIM(TEXTSPLIT(CA181,","))&amp;",",","&amp;SUBSTITUTE(input_enews_announcement_type," ","")&amp;",")))&gt;0)),IF(CC181="",TRUE,IF(input_enews_announcement_type="",FALSE,SUMPRODUCT(--ISNUMBER(SEARCH(","&amp;TRIM(TEXTSPLIT(CC181,","))&amp;",",","&amp;SUBSTITUTE(input_enews_announcement_type," ","")&amp;",")))=COUNTA(TEXTSPLIT(CC181,",")))))</f>
        <v/>
      </c>
      <c r="JA181" s="19">
        <f>AND(IF(CE181="",TRUE,IF(input_enews_audience="",FALSE,SUMPRODUCT(--ISNUMBER(SEARCH(","&amp;TRIM(TEXTSPLIT(CE181,","))&amp;",",","&amp;SUBSTITUTE(input_enews_audience," ","")&amp;",")))&gt;0)),IF(CG181="",TRUE,IF(input_enews_audience="",FALSE,SUMPRODUCT(--ISNUMBER(SEARCH(","&amp;TRIM(TEXTSPLIT(CG181,","))&amp;",",","&amp;SUBSTITUTE(input_enews_audience," ","")&amp;",")))=COUNTA(TEXTSPLIT(CG181,",")))),IF(CI181="",TRUE,IF(input_enews_audience="",TRUE,SUMPRODUCT(--ISNUMBER(SEARCH(","&amp;TRIM(TEXTSPLIT(CI181,","))&amp;",",","&amp;SUBSTITUTE(input_enews_audience," ","")&amp;",")))=0)),IF(CK181="",TRUE,IF(input_enews_audience="",FALSE,SUMPRODUCT(--ISNUMBER(SEARCH(","&amp;TRIM(TEXTSPLIT(CK181,","))&amp;",",","&amp;SUBSTITUTE(input_enews_audience," ","")&amp;",")))&gt;0)),IF(CM181="",TRUE,IF(input_enews_audience="",FALSE,SUMPRODUCT(--ISNUMBER(SEARCH(","&amp;TRIM(TEXTSPLIT(CM181,","))&amp;",",","&amp;SUBSTITUTE(input_enews_audience," ","")&amp;",")))=COUNTA(TEXTSPLIT(CM181,",")))))</f>
        <v/>
      </c>
      <c r="JB181" s="19">
        <f>AND(IF(CO181="",TRUE,IF(input_event_location="",FALSE,SUMPRODUCT(--ISNUMBER(SEARCH(","&amp;TRIM(TEXTSPLIT(CO181,","))&amp;",",","&amp;SUBSTITUTE(input_event_location," ","")&amp;",")))&gt;0)),IF(CQ181="",TRUE,IF(input_event_location="",FALSE,SUMPRODUCT(--ISNUMBER(SEARCH(","&amp;TRIM(TEXTSPLIT(CQ181,","))&amp;",",","&amp;SUBSTITUTE(input_event_location," ","")&amp;",")))=COUNTA(TEXTSPLIT(CQ181,",")))),IF(CS181="",TRUE,IF(input_event_location="",TRUE,SUMPRODUCT(--ISNUMBER(SEARCH(","&amp;TRIM(TEXTSPLIT(CS181,","))&amp;",",","&amp;SUBSTITUTE(input_event_location," ","")&amp;",")))=0)),IF(CU181="",TRUE,IF(input_event_location="",FALSE,SUMPRODUCT(--ISNUMBER(SEARCH(","&amp;TRIM(TEXTSPLIT(CU181,","))&amp;",",","&amp;SUBSTITUTE(input_event_location," ","")&amp;",")))&gt;0)),IF(CW181="",TRUE,IF(input_event_location="",FALSE,SUMPRODUCT(--ISNUMBER(SEARCH(","&amp;TRIM(TEXTSPLIT(CW181,","))&amp;",",","&amp;SUBSTITUTE(input_event_location," ","")&amp;",")))=COUNTA(TEXTSPLIT(CW181,",")))))</f>
        <v/>
      </c>
      <c r="JC181" s="19">
        <f>AND(IF(CY181="",TRUE,IF(input_event_type="",FALSE,SUMPRODUCT(--ISNUMBER(SEARCH(","&amp;TRIM(TEXTSPLIT(CY181,","))&amp;",",","&amp;SUBSTITUTE(input_event_type," ","")&amp;",")))&gt;0)),IF(DA181="",TRUE,IF(input_event_type="",FALSE,SUMPRODUCT(--ISNUMBER(SEARCH(","&amp;TRIM(TEXTSPLIT(DA181,","))&amp;",",","&amp;SUBSTITUTE(input_event_type," ","")&amp;",")))=COUNTA(TEXTSPLIT(DA181,",")))),IF(DC181="",TRUE,IF(input_event_type="",TRUE,SUMPRODUCT(--ISNUMBER(SEARCH(","&amp;TRIM(TEXTSPLIT(DC181,","))&amp;",",","&amp;SUBSTITUTE(input_event_type," ","")&amp;",")))=0)),IF(DE181="",TRUE,IF(input_event_type="",FALSE,SUMPRODUCT(--ISNUMBER(SEARCH(","&amp;TRIM(TEXTSPLIT(DE181,","))&amp;",",","&amp;SUBSTITUTE(input_event_type," ","")&amp;",")))&gt;0)),IF(DG181="",TRUE,IF(input_event_type="",FALSE,SUMPRODUCT(--ISNUMBER(SEARCH(","&amp;TRIM(TEXTSPLIT(DG181,","))&amp;",",","&amp;SUBSTITUTE(input_event_type," ","")&amp;",")))=COUNTA(TEXTSPLIT(DG181,",")))))</f>
        <v/>
      </c>
      <c r="JD181" s="19">
        <f>AND(IF(DI181="",TRUE,IF(input_executive_education_focus="",FALSE,SUMPRODUCT(--ISNUMBER(SEARCH(","&amp;TRIM(TEXTSPLIT(DI181,","))&amp;",",","&amp;SUBSTITUTE(input_executive_education_focus," ","")&amp;",")))&gt;0)),IF(DK181="",TRUE,IF(input_executive_education_focus="",FALSE,SUMPRODUCT(--ISNUMBER(SEARCH(","&amp;TRIM(TEXTSPLIT(DK181,","))&amp;",",","&amp;SUBSTITUTE(input_executive_education_focus," ","")&amp;",")))=COUNTA(TEXTSPLIT(DK181,",")))),IF(DM181="",TRUE,IF(input_executive_education_focus="",TRUE,SUMPRODUCT(--ISNUMBER(SEARCH(","&amp;TRIM(TEXTSPLIT(DM181,","))&amp;",",","&amp;SUBSTITUTE(input_executive_education_focus," ","")&amp;",")))=0)),IF(DO181="",TRUE,IF(input_executive_education_focus="",FALSE,SUMPRODUCT(--ISNUMBER(SEARCH(","&amp;TRIM(TEXTSPLIT(DO181,","))&amp;",",","&amp;SUBSTITUTE(input_executive_education_focus," ","")&amp;",")))&gt;0)),IF(DQ181="",TRUE,IF(input_executive_education_focus="",FALSE,SUMPRODUCT(--ISNUMBER(SEARCH(","&amp;TRIM(TEXTSPLIT(DQ181,","))&amp;",",","&amp;SUBSTITUTE(input_executive_education_focus," ","")&amp;",")))=COUNTA(TEXTSPLIT(DQ181,",")))))</f>
        <v/>
      </c>
      <c r="JE181" s="19">
        <f>AND(IF(DS181="",TRUE,IF(input_faculty_category="",FALSE,SUMPRODUCT(--ISNUMBER(SEARCH(","&amp;TRIM(TEXTSPLIT(DS181,","))&amp;",",","&amp;SUBSTITUTE(input_faculty_category," ","")&amp;",")))&gt;0)),IF(DU181="",TRUE,IF(input_faculty_category="",FALSE,SUMPRODUCT(--ISNUMBER(SEARCH(","&amp;TRIM(TEXTSPLIT(DU181,","))&amp;",",","&amp;SUBSTITUTE(input_faculty_category," ","")&amp;",")))=COUNTA(TEXTSPLIT(DU181,",")))),IF(DW181="",TRUE,IF(input_faculty_category="",TRUE,SUMPRODUCT(--ISNUMBER(SEARCH(","&amp;TRIM(TEXTSPLIT(DW181,","))&amp;",",","&amp;SUBSTITUTE(input_faculty_category," ","")&amp;",")))=0)),IF(DY181="",TRUE,IF(input_faculty_category="",FALSE,SUMPRODUCT(--ISNUMBER(SEARCH(","&amp;TRIM(TEXTSPLIT(DY181,","))&amp;",",","&amp;SUBSTITUTE(input_faculty_category," ","")&amp;",")))&gt;0)),IF(EA181="",TRUE,IF(input_faculty_category="",FALSE,SUMPRODUCT(--ISNUMBER(SEARCH(","&amp;TRIM(TEXTSPLIT(EA181,","))&amp;",",","&amp;SUBSTITUTE(input_faculty_category," ","")&amp;",")))=COUNTA(TEXTSPLIT(EA181,",")))))</f>
        <v/>
      </c>
      <c r="JF181" s="19">
        <f>AND(IF(EC181="",TRUE,IF(input_faculty_discipline="",FALSE,SUMPRODUCT(--ISNUMBER(SEARCH(","&amp;TRIM(TEXTSPLIT(EC181,","))&amp;",",","&amp;SUBSTITUTE(input_faculty_discipline," ","")&amp;",")))&gt;0)),IF(EE181="",TRUE,IF(input_faculty_discipline="",FALSE,SUMPRODUCT(--ISNUMBER(SEARCH(","&amp;TRIM(TEXTSPLIT(EE181,","))&amp;",",","&amp;SUBSTITUTE(input_faculty_discipline," ","")&amp;",")))=COUNTA(TEXTSPLIT(EE181,",")))),IF(EG181="",TRUE,IF(input_faculty_discipline="",TRUE,SUMPRODUCT(--ISNUMBER(SEARCH(","&amp;TRIM(TEXTSPLIT(EG181,","))&amp;",",","&amp;SUBSTITUTE(input_faculty_discipline," ","")&amp;",")))=0)),IF(EI181="",TRUE,IF(input_faculty_discipline="",FALSE,SUMPRODUCT(--ISNUMBER(SEARCH(","&amp;TRIM(TEXTSPLIT(EI181,","))&amp;",",","&amp;SUBSTITUTE(input_faculty_discipline," ","")&amp;",")))&gt;0)),IF(EK181="",TRUE,IF(input_faculty_discipline="",FALSE,SUMPRODUCT(--ISNUMBER(SEARCH(","&amp;TRIM(TEXTSPLIT(EK181,","))&amp;",",","&amp;SUBSTITUTE(input_faculty_discipline," ","")&amp;",")))=COUNTA(TEXTSPLIT(EK181,",")))))</f>
        <v/>
      </c>
      <c r="JG181" s="19">
        <f>AND(IF(EM181="",TRUE,IF(input_faculty_expertise="",FALSE,SUMPRODUCT(--ISNUMBER(SEARCH(","&amp;TRIM(TEXTSPLIT(EM181,","))&amp;",",","&amp;SUBSTITUTE(input_faculty_expertise," ","")&amp;",")))&gt;0)),IF(EO181="",TRUE,IF(input_faculty_expertise="",FALSE,SUMPRODUCT(--ISNUMBER(SEARCH(","&amp;TRIM(TEXTSPLIT(EO181,","))&amp;",",","&amp;SUBSTITUTE(input_faculty_expertise," ","")&amp;",")))=COUNTA(TEXTSPLIT(EO181,",")))),IF(EQ181="",TRUE,IF(input_faculty_expertise="",TRUE,SUMPRODUCT(--ISNUMBER(SEARCH(","&amp;TRIM(TEXTSPLIT(EQ181,","))&amp;",",","&amp;SUBSTITUTE(input_faculty_expertise," ","")&amp;",")))=0)),IF(ES181="",TRUE,IF(input_faculty_expertise="",FALSE,SUMPRODUCT(--ISNUMBER(SEARCH(","&amp;TRIM(TEXTSPLIT(ES181,","))&amp;",",","&amp;SUBSTITUTE(input_faculty_expertise," ","")&amp;",")))&gt;0)),IF(EU181="",TRUE,IF(input_faculty_expertise="",FALSE,SUMPRODUCT(--ISNUMBER(SEARCH(","&amp;TRIM(TEXTSPLIT(EU181,","))&amp;",",","&amp;SUBSTITUTE(input_faculty_expertise," ","")&amp;",")))=COUNTA(TEXTSPLIT(EU181,",")))))</f>
        <v/>
      </c>
      <c r="JH181" s="19">
        <f>AND(IF(EW181="",TRUE,IF(input_global_network_school="",FALSE,SUMPRODUCT(--ISNUMBER(SEARCH(","&amp;TRIM(TEXTSPLIT(EW181,","))&amp;",",","&amp;SUBSTITUTE(input_global_network_school," ","")&amp;",")))&gt;0)),IF(EY181="",TRUE,IF(input_global_network_school="",FALSE,SUMPRODUCT(--ISNUMBER(SEARCH(","&amp;TRIM(TEXTSPLIT(EY181,","))&amp;",",","&amp;SUBSTITUTE(input_global_network_school," ","")&amp;",")))=COUNTA(TEXTSPLIT(EY181,",")))),IF(FA181="",TRUE,IF(input_global_network_school="",TRUE,SUMPRODUCT(--ISNUMBER(SEARCH(","&amp;TRIM(TEXTSPLIT(FA181,","))&amp;",",","&amp;SUBSTITUTE(input_global_network_school," ","")&amp;",")))=0)),IF(FC181="",TRUE,IF(input_global_network_school="",FALSE,SUMPRODUCT(--ISNUMBER(SEARCH(","&amp;TRIM(TEXTSPLIT(FC181,","))&amp;",",","&amp;SUBSTITUTE(input_global_network_school," ","")&amp;",")))&gt;0)),IF(FE181="",TRUE,IF(input_global_network_school="",FALSE,SUMPRODUCT(--ISNUMBER(SEARCH(","&amp;TRIM(TEXTSPLIT(FE181,","))&amp;",",","&amp;SUBSTITUTE(input_global_network_school," ","")&amp;",")))=COUNTA(TEXTSPLIT(FE181,",")))))</f>
        <v/>
      </c>
      <c r="JI181" s="19">
        <f>AND(IF(FG181="",TRUE,IF(input_industry="",FALSE,SUMPRODUCT(--ISNUMBER(SEARCH(","&amp;TRIM(TEXTSPLIT(FG181,","))&amp;",",","&amp;SUBSTITUTE(input_industry," ","")&amp;",")))&gt;0)),IF(FI181="",TRUE,IF(input_industry="",FALSE,SUMPRODUCT(--ISNUMBER(SEARCH(","&amp;TRIM(TEXTSPLIT(FI181,","))&amp;",",","&amp;SUBSTITUTE(input_industry," ","")&amp;",")))=COUNTA(TEXTSPLIT(FI181,",")))),IF(FK181="",TRUE,IF(input_industry="",TRUE,SUMPRODUCT(--ISNUMBER(SEARCH(","&amp;TRIM(TEXTSPLIT(FK181,","))&amp;",",","&amp;SUBSTITUTE(input_industry," ","")&amp;",")))=0)),IF(FM181="",TRUE,IF(input_industry="",FALSE,SUMPRODUCT(--ISNUMBER(SEARCH(","&amp;TRIM(TEXTSPLIT(FM181,","))&amp;",",","&amp;SUBSTITUTE(input_industry," ","")&amp;",")))&gt;0)),IF(FO181="",TRUE,IF(input_industry="",FALSE,SUMPRODUCT(--ISNUMBER(SEARCH(","&amp;TRIM(TEXTSPLIT(FO181,","))&amp;",",","&amp;SUBSTITUTE(input_industry," ","")&amp;",")))=COUNTA(TEXTSPLIT(FO181,",")))))</f>
        <v/>
      </c>
      <c r="JJ181" s="19">
        <f>AND(IF(FQ181="",TRUE,IF(input_location="",FALSE,SUMPRODUCT(--ISNUMBER(SEARCH(","&amp;TRIM(TEXTSPLIT(FQ181,","))&amp;",",","&amp;SUBSTITUTE(input_location," ","")&amp;",")))&gt;0)),IF(FS181="",TRUE,IF(input_location="",FALSE,SUMPRODUCT(--ISNUMBER(SEARCH(","&amp;TRIM(TEXTSPLIT(FS181,","))&amp;",",","&amp;SUBSTITUTE(input_location," ","")&amp;",")))=COUNTA(TEXTSPLIT(FS181,",")))),IF(FU181="",TRUE,IF(input_location="",TRUE,SUMPRODUCT(--ISNUMBER(SEARCH(","&amp;TRIM(TEXTSPLIT(FU181,","))&amp;",",","&amp;SUBSTITUTE(input_location," ","")&amp;",")))=0)),IF(FW181="",TRUE,IF(input_location="",FALSE,SUMPRODUCT(--ISNUMBER(SEARCH(","&amp;TRIM(TEXTSPLIT(FW181,","))&amp;",",","&amp;SUBSTITUTE(input_location," ","")&amp;",")))&gt;0)),IF(FY181="",TRUE,IF(input_location="",FALSE,SUMPRODUCT(--ISNUMBER(SEARCH(","&amp;TRIM(TEXTSPLIT(FY181,","))&amp;",",","&amp;SUBSTITUTE(input_location," ","")&amp;",")))=COUNTA(TEXTSPLIT(FY181,",")))))</f>
        <v/>
      </c>
      <c r="JK181" s="19">
        <f>AND(IF(GA181="",TRUE,IF(input_modality="",FALSE,SUMPRODUCT(--ISNUMBER(SEARCH(","&amp;TRIM(TEXTSPLIT(GA181,","))&amp;",",","&amp;SUBSTITUTE(input_modality," ","")&amp;",")))&gt;0)),IF(GC181="",TRUE,IF(input_modality="",FALSE,SUMPRODUCT(--ISNUMBER(SEARCH(","&amp;TRIM(TEXTSPLIT(GC181,","))&amp;",",","&amp;SUBSTITUTE(input_modality," ","")&amp;",")))=COUNTA(TEXTSPLIT(GC181,",")))),IF(GE181="",TRUE,IF(input_modality="",TRUE,SUMPRODUCT(--ISNUMBER(SEARCH(","&amp;TRIM(TEXTSPLIT(GE181,","))&amp;",",","&amp;SUBSTITUTE(input_modality," ","")&amp;",")))=0)),IF(GG181="",TRUE,IF(input_modality="",FALSE,SUMPRODUCT(--ISNUMBER(SEARCH(","&amp;TRIM(TEXTSPLIT(GG181,","))&amp;",",","&amp;SUBSTITUTE(input_modality," ","")&amp;",")))&gt;0)),IF(GI181="",TRUE,IF(input_modality="",FALSE,SUMPRODUCT(--ISNUMBER(SEARCH(","&amp;TRIM(TEXTSPLIT(GI181,","))&amp;",",","&amp;SUBSTITUTE(input_modality," ","")&amp;",")))=COUNTA(TEXTSPLIT(GI181,",")))))</f>
        <v/>
      </c>
      <c r="JL181" s="19">
        <f>AND(IF(GK181="",TRUE,IF(input_organizer="",FALSE,SUMPRODUCT(--ISNUMBER(SEARCH(","&amp;TRIM(TEXTSPLIT(GK181,","))&amp;",",","&amp;SUBSTITUTE(input_organizer," ","")&amp;",")))&gt;0)),IF(GM181="",TRUE,IF(input_organizer="",FALSE,SUMPRODUCT(--ISNUMBER(SEARCH(","&amp;TRIM(TEXTSPLIT(GM181,","))&amp;",",","&amp;SUBSTITUTE(input_organizer," ","")&amp;",")))=COUNTA(TEXTSPLIT(GM181,",")))),IF(GO181="",TRUE,IF(input_organizer="",TRUE,SUMPRODUCT(--ISNUMBER(SEARCH(","&amp;TRIM(TEXTSPLIT(GO181,","))&amp;",",","&amp;SUBSTITUTE(input_organizer," ","")&amp;",")))=0)),IF(GQ181="",TRUE,IF(input_organizer="",FALSE,SUMPRODUCT(--ISNUMBER(SEARCH(","&amp;TRIM(TEXTSPLIT(GQ181,","))&amp;",",","&amp;SUBSTITUTE(input_organizer," ","")&amp;",")))&gt;0)),IF(GS181="",TRUE,IF(input_organizer="",FALSE,SUMPRODUCT(--ISNUMBER(SEARCH(","&amp;TRIM(TEXTSPLIT(GS181,","))&amp;",",","&amp;SUBSTITUTE(input_organizer," ","")&amp;",")))=COUNTA(TEXTSPLIT(GS181,",")))))</f>
        <v/>
      </c>
      <c r="JM181" s="19">
        <f>AND(IF(GU181="",TRUE,IF(input_profile_type="",FALSE,SUMPRODUCT(--ISNUMBER(SEARCH(","&amp;TRIM(TEXTSPLIT(GU181,","))&amp;",",","&amp;SUBSTITUTE(input_profile_type," ","")&amp;",")))&gt;0)),IF(GW181="",TRUE,IF(input_profile_type="",FALSE,SUMPRODUCT(--ISNUMBER(SEARCH(","&amp;TRIM(TEXTSPLIT(GW181,","))&amp;",",","&amp;SUBSTITUTE(input_profile_type," ","")&amp;",")))=COUNTA(TEXTSPLIT(GW181,",")))),IF(GY181="",TRUE,IF(input_profile_type="",TRUE,SUMPRODUCT(--ISNUMBER(SEARCH(","&amp;TRIM(TEXTSPLIT(GY181,","))&amp;",",","&amp;SUBSTITUTE(input_profile_type," ","")&amp;",")))=0)),IF(HA181="",TRUE,IF(input_profile_type="",FALSE,SUMPRODUCT(--ISNUMBER(SEARCH(","&amp;TRIM(TEXTSPLIT(HA181,","))&amp;",",","&amp;SUBSTITUTE(input_profile_type," ","")&amp;",")))&gt;0)),IF(HC181="",TRUE,IF(input_profile_type="",FALSE,SUMPRODUCT(--ISNUMBER(SEARCH(","&amp;TRIM(TEXTSPLIT(HC181,","))&amp;",",","&amp;SUBSTITUTE(input_profile_type," ","")&amp;",")))=COUNTA(TEXTSPLIT(HC181,",")))))</f>
        <v/>
      </c>
      <c r="JN181" s="19">
        <f>AND(IF(HE181="",TRUE,IF(input_program="",FALSE,SUMPRODUCT(--ISNUMBER(SEARCH(","&amp;TRIM(TEXTSPLIT(HE181,","))&amp;",",","&amp;SUBSTITUTE(input_program," ","")&amp;",")))&gt;0)),IF(HG181="",TRUE,IF(input_program="",FALSE,SUMPRODUCT(--ISNUMBER(SEARCH(","&amp;TRIM(TEXTSPLIT(HG181,","))&amp;",",","&amp;SUBSTITUTE(input_program," ","")&amp;",")))=COUNTA(TEXTSPLIT(HG181,",")))),IF(HI181="",TRUE,IF(input_program="",TRUE,SUMPRODUCT(--ISNUMBER(SEARCH(","&amp;TRIM(TEXTSPLIT(HI181,","))&amp;",",","&amp;SUBSTITUTE(input_program," ","")&amp;",")))=0)),IF(HK181="",TRUE,IF(input_program="",FALSE,SUMPRODUCT(--ISNUMBER(SEARCH(","&amp;TRIM(TEXTSPLIT(HK181,","))&amp;",",","&amp;SUBSTITUTE(input_program," ","")&amp;",")))&gt;0)),IF(HM181="",TRUE,IF(input_program="",FALSE,SUMPRODUCT(--ISNUMBER(SEARCH(","&amp;TRIM(TEXTSPLIT(HM181,","))&amp;",",","&amp;SUBSTITUTE(input_program," ","")&amp;",")))=COUNTA(TEXTSPLIT(HM181,",")))))</f>
        <v/>
      </c>
      <c r="JO181" s="19">
        <f>AND(IF(HO181="",TRUE,IF(input_story_categories="",FALSE,SUMPRODUCT(--ISNUMBER(SEARCH(","&amp;TRIM(TEXTSPLIT(HO181,","))&amp;",",","&amp;SUBSTITUTE(input_story_categories," ","")&amp;",")))&gt;0)),IF(HQ181="",TRUE,IF(input_story_categories="",FALSE,SUMPRODUCT(--ISNUMBER(SEARCH(","&amp;TRIM(TEXTSPLIT(HQ181,","))&amp;",",","&amp;SUBSTITUTE(input_story_categories," ","")&amp;",")))=COUNTA(TEXTSPLIT(HQ181,",")))),IF(HS181="",TRUE,IF(input_story_categories="",TRUE,SUMPRODUCT(--ISNUMBER(SEARCH(","&amp;TRIM(TEXTSPLIT(HS181,","))&amp;",",","&amp;SUBSTITUTE(input_story_categories," ","")&amp;",")))=0)),IF(HU181="",TRUE,IF(input_story_categories="",FALSE,SUMPRODUCT(--ISNUMBER(SEARCH(","&amp;TRIM(TEXTSPLIT(HU181,","))&amp;",",","&amp;SUBSTITUTE(input_story_categories," ","")&amp;",")))&gt;0)),IF(HW181="",TRUE,IF(input_story_categories="",FALSE,SUMPRODUCT(--ISNUMBER(SEARCH(","&amp;TRIM(TEXTSPLIT(HW181,","))&amp;",",","&amp;SUBSTITUTE(input_story_categories," ","")&amp;",")))=COUNTA(TEXTSPLIT(HW181,",")))))</f>
        <v/>
      </c>
      <c r="JP181" s="19">
        <f>AND(IF(HY181="",TRUE,IF(input_story_type="",FALSE,SUMPRODUCT(--ISNUMBER(SEARCH(","&amp;TRIM(TEXTSPLIT(HY181,","))&amp;",",","&amp;SUBSTITUTE(input_story_type," ","")&amp;",")))&gt;0)),IF(IA181="",TRUE,IF(input_story_type="",FALSE,SUMPRODUCT(--ISNUMBER(SEARCH(","&amp;TRIM(TEXTSPLIT(IA181,","))&amp;",",","&amp;SUBSTITUTE(input_story_type," ","")&amp;",")))=COUNTA(TEXTSPLIT(IA181,",")))),IF(IC181="",TRUE,IF(input_story_type="",TRUE,SUMPRODUCT(--ISNUMBER(SEARCH(","&amp;TRIM(TEXTSPLIT(IC181,","))&amp;",",","&amp;SUBSTITUTE(input_story_type," ","")&amp;",")))=0)),IF(IE181="",TRUE,IF(input_story_type="",FALSE,SUMPRODUCT(--ISNUMBER(SEARCH(","&amp;TRIM(TEXTSPLIT(IE181,","))&amp;",",","&amp;SUBSTITUTE(input_story_type," ","")&amp;",")))&gt;0)),IF(IG181="",TRUE,IF(input_story_type="",FALSE,SUMPRODUCT(--ISNUMBER(SEARCH(","&amp;TRIM(TEXTSPLIT(IG181,","))&amp;",",","&amp;SUBSTITUTE(input_story_type," ","")&amp;",")))=COUNTA(TEXTSPLIT(IG181,",")))))</f>
        <v/>
      </c>
      <c r="JQ181" s="19">
        <f>AND(IF(II181="",TRUE,IF(input_topics="",FALSE,SUMPRODUCT(--ISNUMBER(SEARCH(","&amp;TRIM(TEXTSPLIT(II181,","))&amp;",",","&amp;SUBSTITUTE(input_topics," ","")&amp;",")))&gt;0)),IF(IK181="",TRUE,IF(input_topics="",FALSE,SUMPRODUCT(--ISNUMBER(SEARCH(","&amp;TRIM(TEXTSPLIT(IK181,","))&amp;",",","&amp;SUBSTITUTE(input_topics," ","")&amp;",")))=COUNTA(TEXTSPLIT(IK181,",")))),IF(IM181="",TRUE,IF(input_topics="",TRUE,SUMPRODUCT(--ISNUMBER(SEARCH(","&amp;TRIM(TEXTSPLIT(IM181,","))&amp;",",","&amp;SUBSTITUTE(input_topics," ","")&amp;",")))=0)),IF(IO181="",TRUE,IF(input_topics="",FALSE,SUMPRODUCT(--ISNUMBER(SEARCH(","&amp;TRIM(TEXTSPLIT(IO181,","))&amp;",",","&amp;SUBSTITUTE(input_topics," ","")&amp;",")))&gt;0)),IF(IQ181="",TRUE,IF(input_topics="",FALSE,SUMPRODUCT(--ISNUMBER(SEARCH(","&amp;TRIM(TEXTSPLIT(IQ181,","))&amp;",",","&amp;SUBSTITUTE(input_topics," ","")&amp;",")))=COUNTA(TEXTSPLIT(IQ181,",")))))</f>
        <v/>
      </c>
    </row>
    <row r="182">
      <c r="A182" s="24">
        <f>IF(NOT(IS182),"Excluded",IF(AND(IT182,IU182,IV182,IW182,IX182,IY182,IZ182,JA182,JB182,JC182,JD182,JE182,JF182,JG182,JH182,JI182,JJ182,JK182,JL182,JM182,JN182,JO182,JP182,JQ182),IF(I182&gt;0,"Eligible but limited","Will appear"),"Excluded"))</f>
        <v/>
      </c>
      <c r="B182" s="24" t="inlineStr">
        <is>
          <t>Related stories on story pages</t>
        </is>
      </c>
      <c r="C182" s="27" t="inlineStr">
        <is>
          <t>/blog/emba-students-team-up-to-bring-masks-to-the-most-vulnerable</t>
        </is>
      </c>
      <c r="D182" s="24" t="inlineStr">
        <is>
          <t>/blog/emba-students-team-up-to-bring-masks-to-the-most-vulnerable
/story/2023/making-difference-serving-local-refugee-community
/story/2025/going-beyond-buzzwords-yale-blockchain-conference</t>
        </is>
      </c>
      <c r="E182" s="24" t="n">
        <v>7</v>
      </c>
      <c r="F182" s="24" t="inlineStr">
        <is>
          <t>story</t>
        </is>
      </c>
      <c r="G182" s="24" t="inlineStr">
        <is>
          <t>stories_teaser_cards</t>
        </is>
      </c>
      <c r="H182" s="24" t="inlineStr">
        <is>
          <t>embed_all</t>
        </is>
      </c>
      <c r="I182" s="24" t="n">
        <v>3</v>
      </c>
      <c r="J182" s="31" t="inlineStr">
        <is>
          <t>Template logic</t>
        </is>
      </c>
      <c r="K182" s="24" t="inlineStr">
        <is>
          <t>Grouped surface</t>
        </is>
      </c>
      <c r="L182" s="24" t="inlineStr">
        <is>
          <t>Content type: story; Context uses Courses Context: MBA For Executives (928); Context uses Story Type: Blog (974); Limited to 3 item(s); Source: Template logic</t>
        </is>
      </c>
      <c r="BQ182" s="19" t="inlineStr">
        <is>
          <t>928</t>
        </is>
      </c>
      <c r="BR182" s="19" t="inlineStr">
        <is>
          <t>MBA For Executives (928)</t>
        </is>
      </c>
      <c r="IE182" s="19" t="inlineStr">
        <is>
          <t>974</t>
        </is>
      </c>
      <c r="IF182" s="19" t="inlineStr">
        <is>
          <t>Blog (974)</t>
        </is>
      </c>
      <c r="IS182" s="19">
        <f>IF(input_content_type="",FALSE,ISNUMBER(SEARCH(","&amp;LOWER(input_content_type)&amp;",",","&amp;LOWER(SUBSTITUTE(F182," ",""))&amp;",")))</f>
        <v/>
      </c>
      <c r="IT182" s="19">
        <f>AND(IF(M182="",TRUE,IF(input_affiliations="",FALSE,SUMPRODUCT(--ISNUMBER(SEARCH(","&amp;TRIM(TEXTSPLIT(M182,","))&amp;",",","&amp;SUBSTITUTE(input_affiliations," ","")&amp;",")))&gt;0)),IF(O182="",TRUE,IF(input_affiliations="",FALSE,SUMPRODUCT(--ISNUMBER(SEARCH(","&amp;TRIM(TEXTSPLIT(O182,","))&amp;",",","&amp;SUBSTITUTE(input_affiliations," ","")&amp;",")))=COUNTA(TEXTSPLIT(O182,",")))),IF(Q182="",TRUE,IF(input_affiliations="",TRUE,SUMPRODUCT(--ISNUMBER(SEARCH(","&amp;TRIM(TEXTSPLIT(Q182,","))&amp;",",","&amp;SUBSTITUTE(input_affiliations," ","")&amp;",")))=0)),IF(S182="",TRUE,IF(input_affiliations="",FALSE,SUMPRODUCT(--ISNUMBER(SEARCH(","&amp;TRIM(TEXTSPLIT(S182,","))&amp;",",","&amp;SUBSTITUTE(input_affiliations," ","")&amp;",")))&gt;0)),IF(U182="",TRUE,IF(input_affiliations="",FALSE,SUMPRODUCT(--ISNUMBER(SEARCH(","&amp;TRIM(TEXTSPLIT(U182,","))&amp;",",","&amp;SUBSTITUTE(input_affiliations," ","")&amp;",")))=COUNTA(TEXTSPLIT(U182,",")))))</f>
        <v/>
      </c>
      <c r="IU182" s="19">
        <f>AND(IF(W182="",TRUE,IF(input_announcement_category="",FALSE,SUMPRODUCT(--ISNUMBER(SEARCH(","&amp;TRIM(TEXTSPLIT(W182,","))&amp;",",","&amp;SUBSTITUTE(input_announcement_category," ","")&amp;",")))&gt;0)),IF(Y182="",TRUE,IF(input_announcement_category="",FALSE,SUMPRODUCT(--ISNUMBER(SEARCH(","&amp;TRIM(TEXTSPLIT(Y182,","))&amp;",",","&amp;SUBSTITUTE(input_announcement_category," ","")&amp;",")))=COUNTA(TEXTSPLIT(Y182,",")))),IF(AA182="",TRUE,IF(input_announcement_category="",TRUE,SUMPRODUCT(--ISNUMBER(SEARCH(","&amp;TRIM(TEXTSPLIT(AA182,","))&amp;",",","&amp;SUBSTITUTE(input_announcement_category," ","")&amp;",")))=0)),IF(AC182="",TRUE,IF(input_announcement_category="",FALSE,SUMPRODUCT(--ISNUMBER(SEARCH(","&amp;TRIM(TEXTSPLIT(AC182,","))&amp;",",","&amp;SUBSTITUTE(input_announcement_category," ","")&amp;",")))&gt;0)),IF(AE182="",TRUE,IF(input_announcement_category="",FALSE,SUMPRODUCT(--ISNUMBER(SEARCH(","&amp;TRIM(TEXTSPLIT(AE182,","))&amp;",",","&amp;SUBSTITUTE(input_announcement_category," ","")&amp;",")))=COUNTA(TEXTSPLIT(AE182,",")))))</f>
        <v/>
      </c>
      <c r="IV182" s="19">
        <f>AND(IF(AG182="",TRUE,IF(input_area_of_focus="",FALSE,SUMPRODUCT(--ISNUMBER(SEARCH(","&amp;TRIM(TEXTSPLIT(AG182,","))&amp;",",","&amp;SUBSTITUTE(input_area_of_focus," ","")&amp;",")))&gt;0)),IF(AI182="",TRUE,IF(input_area_of_focus="",FALSE,SUMPRODUCT(--ISNUMBER(SEARCH(","&amp;TRIM(TEXTSPLIT(AI182,","))&amp;",",","&amp;SUBSTITUTE(input_area_of_focus," ","")&amp;",")))=COUNTA(TEXTSPLIT(AI182,",")))),IF(AK182="",TRUE,IF(input_area_of_focus="",TRUE,SUMPRODUCT(--ISNUMBER(SEARCH(","&amp;TRIM(TEXTSPLIT(AK182,","))&amp;",",","&amp;SUBSTITUTE(input_area_of_focus," ","")&amp;",")))=0)),IF(AM182="",TRUE,IF(input_area_of_focus="",FALSE,SUMPRODUCT(--ISNUMBER(SEARCH(","&amp;TRIM(TEXTSPLIT(AM182,","))&amp;",",","&amp;SUBSTITUTE(input_area_of_focus," ","")&amp;",")))&gt;0)),IF(AO182="",TRUE,IF(input_area_of_focus="",FALSE,SUMPRODUCT(--ISNUMBER(SEARCH(","&amp;TRIM(TEXTSPLIT(AO182,","))&amp;",",","&amp;SUBSTITUTE(input_area_of_focus," ","")&amp;",")))=COUNTA(TEXTSPLIT(AO182,",")))))</f>
        <v/>
      </c>
      <c r="IW182" s="19">
        <f>AND(IF(AQ182="",TRUE,IF(input_audience="",FALSE,SUMPRODUCT(--ISNUMBER(SEARCH(","&amp;TRIM(TEXTSPLIT(AQ182,","))&amp;",",","&amp;SUBSTITUTE(input_audience," ","")&amp;",")))&gt;0)),IF(AS182="",TRUE,IF(input_audience="",FALSE,SUMPRODUCT(--ISNUMBER(SEARCH(","&amp;TRIM(TEXTSPLIT(AS182,","))&amp;",",","&amp;SUBSTITUTE(input_audience," ","")&amp;",")))=COUNTA(TEXTSPLIT(AS182,",")))),IF(AU182="",TRUE,IF(input_audience="",TRUE,SUMPRODUCT(--ISNUMBER(SEARCH(","&amp;TRIM(TEXTSPLIT(AU182,","))&amp;",",","&amp;SUBSTITUTE(input_audience," ","")&amp;",")))=0)),IF(AW182="",TRUE,IF(input_audience="",FALSE,SUMPRODUCT(--ISNUMBER(SEARCH(","&amp;TRIM(TEXTSPLIT(AW182,","))&amp;",",","&amp;SUBSTITUTE(input_audience," ","")&amp;",")))&gt;0)),IF(AY182="",TRUE,IF(input_audience="",FALSE,SUMPRODUCT(--ISNUMBER(SEARCH(","&amp;TRIM(TEXTSPLIT(AY182,","))&amp;",",","&amp;SUBSTITUTE(input_audience," ","")&amp;",")))=COUNTA(TEXTSPLIT(AY182,",")))))</f>
        <v/>
      </c>
      <c r="IX182" s="19">
        <f>AND(IF(BA182="",TRUE,IF(input_challenge_opportunities="",FALSE,SUMPRODUCT(--ISNUMBER(SEARCH(","&amp;TRIM(TEXTSPLIT(BA182,","))&amp;",",","&amp;SUBSTITUTE(input_challenge_opportunities," ","")&amp;",")))&gt;0)),IF(BC182="",TRUE,IF(input_challenge_opportunities="",FALSE,SUMPRODUCT(--ISNUMBER(SEARCH(","&amp;TRIM(TEXTSPLIT(BC182,","))&amp;",",","&amp;SUBSTITUTE(input_challenge_opportunities," ","")&amp;",")))=COUNTA(TEXTSPLIT(BC182,",")))),IF(BE182="",TRUE,IF(input_challenge_opportunities="",TRUE,SUMPRODUCT(--ISNUMBER(SEARCH(","&amp;TRIM(TEXTSPLIT(BE182,","))&amp;",",","&amp;SUBSTITUTE(input_challenge_opportunities," ","")&amp;",")))=0)),IF(BG182="",TRUE,IF(input_challenge_opportunities="",FALSE,SUMPRODUCT(--ISNUMBER(SEARCH(","&amp;TRIM(TEXTSPLIT(BG182,","))&amp;",",","&amp;SUBSTITUTE(input_challenge_opportunities," ","")&amp;",")))&gt;0)),IF(BI182="",TRUE,IF(input_challenge_opportunities="",FALSE,SUMPRODUCT(--ISNUMBER(SEARCH(","&amp;TRIM(TEXTSPLIT(BI182,","))&amp;",",","&amp;SUBSTITUTE(input_challenge_opportunities," ","")&amp;",")))=COUNTA(TEXTSPLIT(BI182,",")))))</f>
        <v/>
      </c>
      <c r="IY182" s="19">
        <f>AND(IF(BK182="",TRUE,IF(input_context="",FALSE,SUMPRODUCT(--ISNUMBER(SEARCH(","&amp;TRIM(TEXTSPLIT(BK182,","))&amp;",",","&amp;SUBSTITUTE(input_context," ","")&amp;",")))&gt;0)),IF(BM182="",TRUE,IF(input_context="",FALSE,SUMPRODUCT(--ISNUMBER(SEARCH(","&amp;TRIM(TEXTSPLIT(BM182,","))&amp;",",","&amp;SUBSTITUTE(input_context," ","")&amp;",")))=COUNTA(TEXTSPLIT(BM182,",")))),IF(BO182="",TRUE,IF(input_context="",TRUE,SUMPRODUCT(--ISNUMBER(SEARCH(","&amp;TRIM(TEXTSPLIT(BO182,","))&amp;",",","&amp;SUBSTITUTE(input_context," ","")&amp;",")))=0)),IF(BQ182="",TRUE,IF(input_context="",FALSE,SUMPRODUCT(--ISNUMBER(SEARCH(","&amp;TRIM(TEXTSPLIT(BQ182,","))&amp;",",","&amp;SUBSTITUTE(input_context," ","")&amp;",")))&gt;0)),IF(BS182="",TRUE,IF(input_context="",FALSE,SUMPRODUCT(--ISNUMBER(SEARCH(","&amp;TRIM(TEXTSPLIT(BS182,","))&amp;",",","&amp;SUBSTITUTE(input_context," ","")&amp;",")))=COUNTA(TEXTSPLIT(BS182,",")))))</f>
        <v/>
      </c>
      <c r="IZ182" s="19">
        <f>AND(IF(BU182="",TRUE,IF(input_enews_announcement_type="",FALSE,SUMPRODUCT(--ISNUMBER(SEARCH(","&amp;TRIM(TEXTSPLIT(BU182,","))&amp;",",","&amp;SUBSTITUTE(input_enews_announcement_type," ","")&amp;",")))&gt;0)),IF(BW182="",TRUE,IF(input_enews_announcement_type="",FALSE,SUMPRODUCT(--ISNUMBER(SEARCH(","&amp;TRIM(TEXTSPLIT(BW182,","))&amp;",",","&amp;SUBSTITUTE(input_enews_announcement_type," ","")&amp;",")))=COUNTA(TEXTSPLIT(BW182,",")))),IF(BY182="",TRUE,IF(input_enews_announcement_type="",TRUE,SUMPRODUCT(--ISNUMBER(SEARCH(","&amp;TRIM(TEXTSPLIT(BY182,","))&amp;",",","&amp;SUBSTITUTE(input_enews_announcement_type," ","")&amp;",")))=0)),IF(CA182="",TRUE,IF(input_enews_announcement_type="",FALSE,SUMPRODUCT(--ISNUMBER(SEARCH(","&amp;TRIM(TEXTSPLIT(CA182,","))&amp;",",","&amp;SUBSTITUTE(input_enews_announcement_type," ","")&amp;",")))&gt;0)),IF(CC182="",TRUE,IF(input_enews_announcement_type="",FALSE,SUMPRODUCT(--ISNUMBER(SEARCH(","&amp;TRIM(TEXTSPLIT(CC182,","))&amp;",",","&amp;SUBSTITUTE(input_enews_announcement_type," ","")&amp;",")))=COUNTA(TEXTSPLIT(CC182,",")))))</f>
        <v/>
      </c>
      <c r="JA182" s="19">
        <f>AND(IF(CE182="",TRUE,IF(input_enews_audience="",FALSE,SUMPRODUCT(--ISNUMBER(SEARCH(","&amp;TRIM(TEXTSPLIT(CE182,","))&amp;",",","&amp;SUBSTITUTE(input_enews_audience," ","")&amp;",")))&gt;0)),IF(CG182="",TRUE,IF(input_enews_audience="",FALSE,SUMPRODUCT(--ISNUMBER(SEARCH(","&amp;TRIM(TEXTSPLIT(CG182,","))&amp;",",","&amp;SUBSTITUTE(input_enews_audience," ","")&amp;",")))=COUNTA(TEXTSPLIT(CG182,",")))),IF(CI182="",TRUE,IF(input_enews_audience="",TRUE,SUMPRODUCT(--ISNUMBER(SEARCH(","&amp;TRIM(TEXTSPLIT(CI182,","))&amp;",",","&amp;SUBSTITUTE(input_enews_audience," ","")&amp;",")))=0)),IF(CK182="",TRUE,IF(input_enews_audience="",FALSE,SUMPRODUCT(--ISNUMBER(SEARCH(","&amp;TRIM(TEXTSPLIT(CK182,","))&amp;",",","&amp;SUBSTITUTE(input_enews_audience," ","")&amp;",")))&gt;0)),IF(CM182="",TRUE,IF(input_enews_audience="",FALSE,SUMPRODUCT(--ISNUMBER(SEARCH(","&amp;TRIM(TEXTSPLIT(CM182,","))&amp;",",","&amp;SUBSTITUTE(input_enews_audience," ","")&amp;",")))=COUNTA(TEXTSPLIT(CM182,",")))))</f>
        <v/>
      </c>
      <c r="JB182" s="19">
        <f>AND(IF(CO182="",TRUE,IF(input_event_location="",FALSE,SUMPRODUCT(--ISNUMBER(SEARCH(","&amp;TRIM(TEXTSPLIT(CO182,","))&amp;",",","&amp;SUBSTITUTE(input_event_location," ","")&amp;",")))&gt;0)),IF(CQ182="",TRUE,IF(input_event_location="",FALSE,SUMPRODUCT(--ISNUMBER(SEARCH(","&amp;TRIM(TEXTSPLIT(CQ182,","))&amp;",",","&amp;SUBSTITUTE(input_event_location," ","")&amp;",")))=COUNTA(TEXTSPLIT(CQ182,",")))),IF(CS182="",TRUE,IF(input_event_location="",TRUE,SUMPRODUCT(--ISNUMBER(SEARCH(","&amp;TRIM(TEXTSPLIT(CS182,","))&amp;",",","&amp;SUBSTITUTE(input_event_location," ","")&amp;",")))=0)),IF(CU182="",TRUE,IF(input_event_location="",FALSE,SUMPRODUCT(--ISNUMBER(SEARCH(","&amp;TRIM(TEXTSPLIT(CU182,","))&amp;",",","&amp;SUBSTITUTE(input_event_location," ","")&amp;",")))&gt;0)),IF(CW182="",TRUE,IF(input_event_location="",FALSE,SUMPRODUCT(--ISNUMBER(SEARCH(","&amp;TRIM(TEXTSPLIT(CW182,","))&amp;",",","&amp;SUBSTITUTE(input_event_location," ","")&amp;",")))=COUNTA(TEXTSPLIT(CW182,",")))))</f>
        <v/>
      </c>
      <c r="JC182" s="19">
        <f>AND(IF(CY182="",TRUE,IF(input_event_type="",FALSE,SUMPRODUCT(--ISNUMBER(SEARCH(","&amp;TRIM(TEXTSPLIT(CY182,","))&amp;",",","&amp;SUBSTITUTE(input_event_type," ","")&amp;",")))&gt;0)),IF(DA182="",TRUE,IF(input_event_type="",FALSE,SUMPRODUCT(--ISNUMBER(SEARCH(","&amp;TRIM(TEXTSPLIT(DA182,","))&amp;",",","&amp;SUBSTITUTE(input_event_type," ","")&amp;",")))=COUNTA(TEXTSPLIT(DA182,",")))),IF(DC182="",TRUE,IF(input_event_type="",TRUE,SUMPRODUCT(--ISNUMBER(SEARCH(","&amp;TRIM(TEXTSPLIT(DC182,","))&amp;",",","&amp;SUBSTITUTE(input_event_type," ","")&amp;",")))=0)),IF(DE182="",TRUE,IF(input_event_type="",FALSE,SUMPRODUCT(--ISNUMBER(SEARCH(","&amp;TRIM(TEXTSPLIT(DE182,","))&amp;",",","&amp;SUBSTITUTE(input_event_type," ","")&amp;",")))&gt;0)),IF(DG182="",TRUE,IF(input_event_type="",FALSE,SUMPRODUCT(--ISNUMBER(SEARCH(","&amp;TRIM(TEXTSPLIT(DG182,","))&amp;",",","&amp;SUBSTITUTE(input_event_type," ","")&amp;",")))=COUNTA(TEXTSPLIT(DG182,",")))))</f>
        <v/>
      </c>
      <c r="JD182" s="19">
        <f>AND(IF(DI182="",TRUE,IF(input_executive_education_focus="",FALSE,SUMPRODUCT(--ISNUMBER(SEARCH(","&amp;TRIM(TEXTSPLIT(DI182,","))&amp;",",","&amp;SUBSTITUTE(input_executive_education_focus," ","")&amp;",")))&gt;0)),IF(DK182="",TRUE,IF(input_executive_education_focus="",FALSE,SUMPRODUCT(--ISNUMBER(SEARCH(","&amp;TRIM(TEXTSPLIT(DK182,","))&amp;",",","&amp;SUBSTITUTE(input_executive_education_focus," ","")&amp;",")))=COUNTA(TEXTSPLIT(DK182,",")))),IF(DM182="",TRUE,IF(input_executive_education_focus="",TRUE,SUMPRODUCT(--ISNUMBER(SEARCH(","&amp;TRIM(TEXTSPLIT(DM182,","))&amp;",",","&amp;SUBSTITUTE(input_executive_education_focus," ","")&amp;",")))=0)),IF(DO182="",TRUE,IF(input_executive_education_focus="",FALSE,SUMPRODUCT(--ISNUMBER(SEARCH(","&amp;TRIM(TEXTSPLIT(DO182,","))&amp;",",","&amp;SUBSTITUTE(input_executive_education_focus," ","")&amp;",")))&gt;0)),IF(DQ182="",TRUE,IF(input_executive_education_focus="",FALSE,SUMPRODUCT(--ISNUMBER(SEARCH(","&amp;TRIM(TEXTSPLIT(DQ182,","))&amp;",",","&amp;SUBSTITUTE(input_executive_education_focus," ","")&amp;",")))=COUNTA(TEXTSPLIT(DQ182,",")))))</f>
        <v/>
      </c>
      <c r="JE182" s="19">
        <f>AND(IF(DS182="",TRUE,IF(input_faculty_category="",FALSE,SUMPRODUCT(--ISNUMBER(SEARCH(","&amp;TRIM(TEXTSPLIT(DS182,","))&amp;",",","&amp;SUBSTITUTE(input_faculty_category," ","")&amp;",")))&gt;0)),IF(DU182="",TRUE,IF(input_faculty_category="",FALSE,SUMPRODUCT(--ISNUMBER(SEARCH(","&amp;TRIM(TEXTSPLIT(DU182,","))&amp;",",","&amp;SUBSTITUTE(input_faculty_category," ","")&amp;",")))=COUNTA(TEXTSPLIT(DU182,",")))),IF(DW182="",TRUE,IF(input_faculty_category="",TRUE,SUMPRODUCT(--ISNUMBER(SEARCH(","&amp;TRIM(TEXTSPLIT(DW182,","))&amp;",",","&amp;SUBSTITUTE(input_faculty_category," ","")&amp;",")))=0)),IF(DY182="",TRUE,IF(input_faculty_category="",FALSE,SUMPRODUCT(--ISNUMBER(SEARCH(","&amp;TRIM(TEXTSPLIT(DY182,","))&amp;",",","&amp;SUBSTITUTE(input_faculty_category," ","")&amp;",")))&gt;0)),IF(EA182="",TRUE,IF(input_faculty_category="",FALSE,SUMPRODUCT(--ISNUMBER(SEARCH(","&amp;TRIM(TEXTSPLIT(EA182,","))&amp;",",","&amp;SUBSTITUTE(input_faculty_category," ","")&amp;",")))=COUNTA(TEXTSPLIT(EA182,",")))))</f>
        <v/>
      </c>
      <c r="JF182" s="19">
        <f>AND(IF(EC182="",TRUE,IF(input_faculty_discipline="",FALSE,SUMPRODUCT(--ISNUMBER(SEARCH(","&amp;TRIM(TEXTSPLIT(EC182,","))&amp;",",","&amp;SUBSTITUTE(input_faculty_discipline," ","")&amp;",")))&gt;0)),IF(EE182="",TRUE,IF(input_faculty_discipline="",FALSE,SUMPRODUCT(--ISNUMBER(SEARCH(","&amp;TRIM(TEXTSPLIT(EE182,","))&amp;",",","&amp;SUBSTITUTE(input_faculty_discipline," ","")&amp;",")))=COUNTA(TEXTSPLIT(EE182,",")))),IF(EG182="",TRUE,IF(input_faculty_discipline="",TRUE,SUMPRODUCT(--ISNUMBER(SEARCH(","&amp;TRIM(TEXTSPLIT(EG182,","))&amp;",",","&amp;SUBSTITUTE(input_faculty_discipline," ","")&amp;",")))=0)),IF(EI182="",TRUE,IF(input_faculty_discipline="",FALSE,SUMPRODUCT(--ISNUMBER(SEARCH(","&amp;TRIM(TEXTSPLIT(EI182,","))&amp;",",","&amp;SUBSTITUTE(input_faculty_discipline," ","")&amp;",")))&gt;0)),IF(EK182="",TRUE,IF(input_faculty_discipline="",FALSE,SUMPRODUCT(--ISNUMBER(SEARCH(","&amp;TRIM(TEXTSPLIT(EK182,","))&amp;",",","&amp;SUBSTITUTE(input_faculty_discipline," ","")&amp;",")))=COUNTA(TEXTSPLIT(EK182,",")))))</f>
        <v/>
      </c>
      <c r="JG182" s="19">
        <f>AND(IF(EM182="",TRUE,IF(input_faculty_expertise="",FALSE,SUMPRODUCT(--ISNUMBER(SEARCH(","&amp;TRIM(TEXTSPLIT(EM182,","))&amp;",",","&amp;SUBSTITUTE(input_faculty_expertise," ","")&amp;",")))&gt;0)),IF(EO182="",TRUE,IF(input_faculty_expertise="",FALSE,SUMPRODUCT(--ISNUMBER(SEARCH(","&amp;TRIM(TEXTSPLIT(EO182,","))&amp;",",","&amp;SUBSTITUTE(input_faculty_expertise," ","")&amp;",")))=COUNTA(TEXTSPLIT(EO182,",")))),IF(EQ182="",TRUE,IF(input_faculty_expertise="",TRUE,SUMPRODUCT(--ISNUMBER(SEARCH(","&amp;TRIM(TEXTSPLIT(EQ182,","))&amp;",",","&amp;SUBSTITUTE(input_faculty_expertise," ","")&amp;",")))=0)),IF(ES182="",TRUE,IF(input_faculty_expertise="",FALSE,SUMPRODUCT(--ISNUMBER(SEARCH(","&amp;TRIM(TEXTSPLIT(ES182,","))&amp;",",","&amp;SUBSTITUTE(input_faculty_expertise," ","")&amp;",")))&gt;0)),IF(EU182="",TRUE,IF(input_faculty_expertise="",FALSE,SUMPRODUCT(--ISNUMBER(SEARCH(","&amp;TRIM(TEXTSPLIT(EU182,","))&amp;",",","&amp;SUBSTITUTE(input_faculty_expertise," ","")&amp;",")))=COUNTA(TEXTSPLIT(EU182,",")))))</f>
        <v/>
      </c>
      <c r="JH182" s="19">
        <f>AND(IF(EW182="",TRUE,IF(input_global_network_school="",FALSE,SUMPRODUCT(--ISNUMBER(SEARCH(","&amp;TRIM(TEXTSPLIT(EW182,","))&amp;",",","&amp;SUBSTITUTE(input_global_network_school," ","")&amp;",")))&gt;0)),IF(EY182="",TRUE,IF(input_global_network_school="",FALSE,SUMPRODUCT(--ISNUMBER(SEARCH(","&amp;TRIM(TEXTSPLIT(EY182,","))&amp;",",","&amp;SUBSTITUTE(input_global_network_school," ","")&amp;",")))=COUNTA(TEXTSPLIT(EY182,",")))),IF(FA182="",TRUE,IF(input_global_network_school="",TRUE,SUMPRODUCT(--ISNUMBER(SEARCH(","&amp;TRIM(TEXTSPLIT(FA182,","))&amp;",",","&amp;SUBSTITUTE(input_global_network_school," ","")&amp;",")))=0)),IF(FC182="",TRUE,IF(input_global_network_school="",FALSE,SUMPRODUCT(--ISNUMBER(SEARCH(","&amp;TRIM(TEXTSPLIT(FC182,","))&amp;",",","&amp;SUBSTITUTE(input_global_network_school," ","")&amp;",")))&gt;0)),IF(FE182="",TRUE,IF(input_global_network_school="",FALSE,SUMPRODUCT(--ISNUMBER(SEARCH(","&amp;TRIM(TEXTSPLIT(FE182,","))&amp;",",","&amp;SUBSTITUTE(input_global_network_school," ","")&amp;",")))=COUNTA(TEXTSPLIT(FE182,",")))))</f>
        <v/>
      </c>
      <c r="JI182" s="19">
        <f>AND(IF(FG182="",TRUE,IF(input_industry="",FALSE,SUMPRODUCT(--ISNUMBER(SEARCH(","&amp;TRIM(TEXTSPLIT(FG182,","))&amp;",",","&amp;SUBSTITUTE(input_industry," ","")&amp;",")))&gt;0)),IF(FI182="",TRUE,IF(input_industry="",FALSE,SUMPRODUCT(--ISNUMBER(SEARCH(","&amp;TRIM(TEXTSPLIT(FI182,","))&amp;",",","&amp;SUBSTITUTE(input_industry," ","")&amp;",")))=COUNTA(TEXTSPLIT(FI182,",")))),IF(FK182="",TRUE,IF(input_industry="",TRUE,SUMPRODUCT(--ISNUMBER(SEARCH(","&amp;TRIM(TEXTSPLIT(FK182,","))&amp;",",","&amp;SUBSTITUTE(input_industry," ","")&amp;",")))=0)),IF(FM182="",TRUE,IF(input_industry="",FALSE,SUMPRODUCT(--ISNUMBER(SEARCH(","&amp;TRIM(TEXTSPLIT(FM182,","))&amp;",",","&amp;SUBSTITUTE(input_industry," ","")&amp;",")))&gt;0)),IF(FO182="",TRUE,IF(input_industry="",FALSE,SUMPRODUCT(--ISNUMBER(SEARCH(","&amp;TRIM(TEXTSPLIT(FO182,","))&amp;",",","&amp;SUBSTITUTE(input_industry," ","")&amp;",")))=COUNTA(TEXTSPLIT(FO182,",")))))</f>
        <v/>
      </c>
      <c r="JJ182" s="19">
        <f>AND(IF(FQ182="",TRUE,IF(input_location="",FALSE,SUMPRODUCT(--ISNUMBER(SEARCH(","&amp;TRIM(TEXTSPLIT(FQ182,","))&amp;",",","&amp;SUBSTITUTE(input_location," ","")&amp;",")))&gt;0)),IF(FS182="",TRUE,IF(input_location="",FALSE,SUMPRODUCT(--ISNUMBER(SEARCH(","&amp;TRIM(TEXTSPLIT(FS182,","))&amp;",",","&amp;SUBSTITUTE(input_location," ","")&amp;",")))=COUNTA(TEXTSPLIT(FS182,",")))),IF(FU182="",TRUE,IF(input_location="",TRUE,SUMPRODUCT(--ISNUMBER(SEARCH(","&amp;TRIM(TEXTSPLIT(FU182,","))&amp;",",","&amp;SUBSTITUTE(input_location," ","")&amp;",")))=0)),IF(FW182="",TRUE,IF(input_location="",FALSE,SUMPRODUCT(--ISNUMBER(SEARCH(","&amp;TRIM(TEXTSPLIT(FW182,","))&amp;",",","&amp;SUBSTITUTE(input_location," ","")&amp;",")))&gt;0)),IF(FY182="",TRUE,IF(input_location="",FALSE,SUMPRODUCT(--ISNUMBER(SEARCH(","&amp;TRIM(TEXTSPLIT(FY182,","))&amp;",",","&amp;SUBSTITUTE(input_location," ","")&amp;",")))=COUNTA(TEXTSPLIT(FY182,",")))))</f>
        <v/>
      </c>
      <c r="JK182" s="19">
        <f>AND(IF(GA182="",TRUE,IF(input_modality="",FALSE,SUMPRODUCT(--ISNUMBER(SEARCH(","&amp;TRIM(TEXTSPLIT(GA182,","))&amp;",",","&amp;SUBSTITUTE(input_modality," ","")&amp;",")))&gt;0)),IF(GC182="",TRUE,IF(input_modality="",FALSE,SUMPRODUCT(--ISNUMBER(SEARCH(","&amp;TRIM(TEXTSPLIT(GC182,","))&amp;",",","&amp;SUBSTITUTE(input_modality," ","")&amp;",")))=COUNTA(TEXTSPLIT(GC182,",")))),IF(GE182="",TRUE,IF(input_modality="",TRUE,SUMPRODUCT(--ISNUMBER(SEARCH(","&amp;TRIM(TEXTSPLIT(GE182,","))&amp;",",","&amp;SUBSTITUTE(input_modality," ","")&amp;",")))=0)),IF(GG182="",TRUE,IF(input_modality="",FALSE,SUMPRODUCT(--ISNUMBER(SEARCH(","&amp;TRIM(TEXTSPLIT(GG182,","))&amp;",",","&amp;SUBSTITUTE(input_modality," ","")&amp;",")))&gt;0)),IF(GI182="",TRUE,IF(input_modality="",FALSE,SUMPRODUCT(--ISNUMBER(SEARCH(","&amp;TRIM(TEXTSPLIT(GI182,","))&amp;",",","&amp;SUBSTITUTE(input_modality," ","")&amp;",")))=COUNTA(TEXTSPLIT(GI182,",")))))</f>
        <v/>
      </c>
      <c r="JL182" s="19">
        <f>AND(IF(GK182="",TRUE,IF(input_organizer="",FALSE,SUMPRODUCT(--ISNUMBER(SEARCH(","&amp;TRIM(TEXTSPLIT(GK182,","))&amp;",",","&amp;SUBSTITUTE(input_organizer," ","")&amp;",")))&gt;0)),IF(GM182="",TRUE,IF(input_organizer="",FALSE,SUMPRODUCT(--ISNUMBER(SEARCH(","&amp;TRIM(TEXTSPLIT(GM182,","))&amp;",",","&amp;SUBSTITUTE(input_organizer," ","")&amp;",")))=COUNTA(TEXTSPLIT(GM182,",")))),IF(GO182="",TRUE,IF(input_organizer="",TRUE,SUMPRODUCT(--ISNUMBER(SEARCH(","&amp;TRIM(TEXTSPLIT(GO182,","))&amp;",",","&amp;SUBSTITUTE(input_organizer," ","")&amp;",")))=0)),IF(GQ182="",TRUE,IF(input_organizer="",FALSE,SUMPRODUCT(--ISNUMBER(SEARCH(","&amp;TRIM(TEXTSPLIT(GQ182,","))&amp;",",","&amp;SUBSTITUTE(input_organizer," ","")&amp;",")))&gt;0)),IF(GS182="",TRUE,IF(input_organizer="",FALSE,SUMPRODUCT(--ISNUMBER(SEARCH(","&amp;TRIM(TEXTSPLIT(GS182,","))&amp;",",","&amp;SUBSTITUTE(input_organizer," ","")&amp;",")))=COUNTA(TEXTSPLIT(GS182,",")))))</f>
        <v/>
      </c>
      <c r="JM182" s="19">
        <f>AND(IF(GU182="",TRUE,IF(input_profile_type="",FALSE,SUMPRODUCT(--ISNUMBER(SEARCH(","&amp;TRIM(TEXTSPLIT(GU182,","))&amp;",",","&amp;SUBSTITUTE(input_profile_type," ","")&amp;",")))&gt;0)),IF(GW182="",TRUE,IF(input_profile_type="",FALSE,SUMPRODUCT(--ISNUMBER(SEARCH(","&amp;TRIM(TEXTSPLIT(GW182,","))&amp;",",","&amp;SUBSTITUTE(input_profile_type," ","")&amp;",")))=COUNTA(TEXTSPLIT(GW182,",")))),IF(GY182="",TRUE,IF(input_profile_type="",TRUE,SUMPRODUCT(--ISNUMBER(SEARCH(","&amp;TRIM(TEXTSPLIT(GY182,","))&amp;",",","&amp;SUBSTITUTE(input_profile_type," ","")&amp;",")))=0)),IF(HA182="",TRUE,IF(input_profile_type="",FALSE,SUMPRODUCT(--ISNUMBER(SEARCH(","&amp;TRIM(TEXTSPLIT(HA182,","))&amp;",",","&amp;SUBSTITUTE(input_profile_type," ","")&amp;",")))&gt;0)),IF(HC182="",TRUE,IF(input_profile_type="",FALSE,SUMPRODUCT(--ISNUMBER(SEARCH(","&amp;TRIM(TEXTSPLIT(HC182,","))&amp;",",","&amp;SUBSTITUTE(input_profile_type," ","")&amp;",")))=COUNTA(TEXTSPLIT(HC182,",")))))</f>
        <v/>
      </c>
      <c r="JN182" s="19">
        <f>AND(IF(HE182="",TRUE,IF(input_program="",FALSE,SUMPRODUCT(--ISNUMBER(SEARCH(","&amp;TRIM(TEXTSPLIT(HE182,","))&amp;",",","&amp;SUBSTITUTE(input_program," ","")&amp;",")))&gt;0)),IF(HG182="",TRUE,IF(input_program="",FALSE,SUMPRODUCT(--ISNUMBER(SEARCH(","&amp;TRIM(TEXTSPLIT(HG182,","))&amp;",",","&amp;SUBSTITUTE(input_program," ","")&amp;",")))=COUNTA(TEXTSPLIT(HG182,",")))),IF(HI182="",TRUE,IF(input_program="",TRUE,SUMPRODUCT(--ISNUMBER(SEARCH(","&amp;TRIM(TEXTSPLIT(HI182,","))&amp;",",","&amp;SUBSTITUTE(input_program," ","")&amp;",")))=0)),IF(HK182="",TRUE,IF(input_program="",FALSE,SUMPRODUCT(--ISNUMBER(SEARCH(","&amp;TRIM(TEXTSPLIT(HK182,","))&amp;",",","&amp;SUBSTITUTE(input_program," ","")&amp;",")))&gt;0)),IF(HM182="",TRUE,IF(input_program="",FALSE,SUMPRODUCT(--ISNUMBER(SEARCH(","&amp;TRIM(TEXTSPLIT(HM182,","))&amp;",",","&amp;SUBSTITUTE(input_program," ","")&amp;",")))=COUNTA(TEXTSPLIT(HM182,",")))))</f>
        <v/>
      </c>
      <c r="JO182" s="19">
        <f>AND(IF(HO182="",TRUE,IF(input_story_categories="",FALSE,SUMPRODUCT(--ISNUMBER(SEARCH(","&amp;TRIM(TEXTSPLIT(HO182,","))&amp;",",","&amp;SUBSTITUTE(input_story_categories," ","")&amp;",")))&gt;0)),IF(HQ182="",TRUE,IF(input_story_categories="",FALSE,SUMPRODUCT(--ISNUMBER(SEARCH(","&amp;TRIM(TEXTSPLIT(HQ182,","))&amp;",",","&amp;SUBSTITUTE(input_story_categories," ","")&amp;",")))=COUNTA(TEXTSPLIT(HQ182,",")))),IF(HS182="",TRUE,IF(input_story_categories="",TRUE,SUMPRODUCT(--ISNUMBER(SEARCH(","&amp;TRIM(TEXTSPLIT(HS182,","))&amp;",",","&amp;SUBSTITUTE(input_story_categories," ","")&amp;",")))=0)),IF(HU182="",TRUE,IF(input_story_categories="",FALSE,SUMPRODUCT(--ISNUMBER(SEARCH(","&amp;TRIM(TEXTSPLIT(HU182,","))&amp;",",","&amp;SUBSTITUTE(input_story_categories," ","")&amp;",")))&gt;0)),IF(HW182="",TRUE,IF(input_story_categories="",FALSE,SUMPRODUCT(--ISNUMBER(SEARCH(","&amp;TRIM(TEXTSPLIT(HW182,","))&amp;",",","&amp;SUBSTITUTE(input_story_categories," ","")&amp;",")))=COUNTA(TEXTSPLIT(HW182,",")))))</f>
        <v/>
      </c>
      <c r="JP182" s="19">
        <f>AND(IF(HY182="",TRUE,IF(input_story_type="",FALSE,SUMPRODUCT(--ISNUMBER(SEARCH(","&amp;TRIM(TEXTSPLIT(HY182,","))&amp;",",","&amp;SUBSTITUTE(input_story_type," ","")&amp;",")))&gt;0)),IF(IA182="",TRUE,IF(input_story_type="",FALSE,SUMPRODUCT(--ISNUMBER(SEARCH(","&amp;TRIM(TEXTSPLIT(IA182,","))&amp;",",","&amp;SUBSTITUTE(input_story_type," ","")&amp;",")))=COUNTA(TEXTSPLIT(IA182,",")))),IF(IC182="",TRUE,IF(input_story_type="",TRUE,SUMPRODUCT(--ISNUMBER(SEARCH(","&amp;TRIM(TEXTSPLIT(IC182,","))&amp;",",","&amp;SUBSTITUTE(input_story_type," ","")&amp;",")))=0)),IF(IE182="",TRUE,IF(input_story_type="",FALSE,SUMPRODUCT(--ISNUMBER(SEARCH(","&amp;TRIM(TEXTSPLIT(IE182,","))&amp;",",","&amp;SUBSTITUTE(input_story_type," ","")&amp;",")))&gt;0)),IF(IG182="",TRUE,IF(input_story_type="",FALSE,SUMPRODUCT(--ISNUMBER(SEARCH(","&amp;TRIM(TEXTSPLIT(IG182,","))&amp;",",","&amp;SUBSTITUTE(input_story_type," ","")&amp;",")))=COUNTA(TEXTSPLIT(IG182,",")))))</f>
        <v/>
      </c>
      <c r="JQ182" s="19">
        <f>AND(IF(II182="",TRUE,IF(input_topics="",FALSE,SUMPRODUCT(--ISNUMBER(SEARCH(","&amp;TRIM(TEXTSPLIT(II182,","))&amp;",",","&amp;SUBSTITUTE(input_topics," ","")&amp;",")))&gt;0)),IF(IK182="",TRUE,IF(input_topics="",FALSE,SUMPRODUCT(--ISNUMBER(SEARCH(","&amp;TRIM(TEXTSPLIT(IK182,","))&amp;",",","&amp;SUBSTITUTE(input_topics," ","")&amp;",")))=COUNTA(TEXTSPLIT(IK182,",")))),IF(IM182="",TRUE,IF(input_topics="",TRUE,SUMPRODUCT(--ISNUMBER(SEARCH(","&amp;TRIM(TEXTSPLIT(IM182,","))&amp;",",","&amp;SUBSTITUTE(input_topics," ","")&amp;",")))=0)),IF(IO182="",TRUE,IF(input_topics="",FALSE,SUMPRODUCT(--ISNUMBER(SEARCH(","&amp;TRIM(TEXTSPLIT(IO182,","))&amp;",",","&amp;SUBSTITUTE(input_topics," ","")&amp;",")))&gt;0)),IF(IQ182="",TRUE,IF(input_topics="",FALSE,SUMPRODUCT(--ISNUMBER(SEARCH(","&amp;TRIM(TEXTSPLIT(IQ182,","))&amp;",",","&amp;SUBSTITUTE(input_topics," ","")&amp;",")))=COUNTA(TEXTSPLIT(IQ182,",")))))</f>
        <v/>
      </c>
    </row>
    <row r="183">
      <c r="A183" s="24">
        <f>IF(NOT(IS183),"Excluded",IF(AND(IT183,IU183,IV183,IW183,IX183,IY183,IZ183,JA183,JB183,JC183,JD183,JE183,JF183,JG183,JH183,JI183,JJ183,JK183,JL183,JM183,JN183,JO183,JP183,JQ183),IF(I183&gt;0,"Eligible but limited","Will appear"),"Excluded"))</f>
        <v/>
      </c>
      <c r="B183" s="24" t="inlineStr">
        <is>
          <t>Related stories on story pages</t>
        </is>
      </c>
      <c r="C183" s="27" t="inlineStr">
        <is>
          <t>/news/2010/06/yale-chief-executive-leadership-institute-to-honor-ford-motor-company-ceo-with-leadership-award</t>
        </is>
      </c>
      <c r="D183" s="24" t="inlineStr">
        <is>
          <t>/news/2010/06/yale-chief-executive-leadership-institute-to-honor-ford-motor-company-ceo-with-leadership-award
/news/2010/06/yale-chief-executive-leadership-institute-to-honor-former-goldman-sachs-co-chairman-with-lifetime-of-leadership-award
/news/2010/10/yale-chief-executive-leadership-institute-to-honor-tata-sons-chairman-ratan-tata-with-legend-in-leadership-award</t>
        </is>
      </c>
      <c r="E183" s="24" t="n">
        <v>344</v>
      </c>
      <c r="F183" s="24" t="inlineStr">
        <is>
          <t>story</t>
        </is>
      </c>
      <c r="G183" s="24" t="inlineStr">
        <is>
          <t>stories_teaser_cards</t>
        </is>
      </c>
      <c r="H183" s="24" t="inlineStr">
        <is>
          <t>embed_all</t>
        </is>
      </c>
      <c r="I183" s="24" t="n">
        <v>3</v>
      </c>
      <c r="J183" s="31" t="inlineStr">
        <is>
          <t>Template logic</t>
        </is>
      </c>
      <c r="K183" s="24" t="inlineStr">
        <is>
          <t>Grouped surface</t>
        </is>
      </c>
      <c r="L183" s="24" t="inlineStr">
        <is>
          <t>Content type: story; Context uses Courses Context: Chief Executive Leadership Institute (925); Context uses Story Type: News (924); Limited to 3 item(s); Source: Template logic</t>
        </is>
      </c>
      <c r="BQ183" s="19" t="inlineStr">
        <is>
          <t>925</t>
        </is>
      </c>
      <c r="BR183" s="19" t="inlineStr">
        <is>
          <t>Chief Executive Leadership Institute (925)</t>
        </is>
      </c>
      <c r="IE183" s="19" t="inlineStr">
        <is>
          <t>924</t>
        </is>
      </c>
      <c r="IF183" s="19" t="inlineStr">
        <is>
          <t>News (924)</t>
        </is>
      </c>
      <c r="IS183" s="19">
        <f>IF(input_content_type="",FALSE,ISNUMBER(SEARCH(","&amp;LOWER(input_content_type)&amp;",",","&amp;LOWER(SUBSTITUTE(F183," ",""))&amp;",")))</f>
        <v/>
      </c>
      <c r="IT183" s="19">
        <f>AND(IF(M183="",TRUE,IF(input_affiliations="",FALSE,SUMPRODUCT(--ISNUMBER(SEARCH(","&amp;TRIM(TEXTSPLIT(M183,","))&amp;",",","&amp;SUBSTITUTE(input_affiliations," ","")&amp;",")))&gt;0)),IF(O183="",TRUE,IF(input_affiliations="",FALSE,SUMPRODUCT(--ISNUMBER(SEARCH(","&amp;TRIM(TEXTSPLIT(O183,","))&amp;",",","&amp;SUBSTITUTE(input_affiliations," ","")&amp;",")))=COUNTA(TEXTSPLIT(O183,",")))),IF(Q183="",TRUE,IF(input_affiliations="",TRUE,SUMPRODUCT(--ISNUMBER(SEARCH(","&amp;TRIM(TEXTSPLIT(Q183,","))&amp;",",","&amp;SUBSTITUTE(input_affiliations," ","")&amp;",")))=0)),IF(S183="",TRUE,IF(input_affiliations="",FALSE,SUMPRODUCT(--ISNUMBER(SEARCH(","&amp;TRIM(TEXTSPLIT(S183,","))&amp;",",","&amp;SUBSTITUTE(input_affiliations," ","")&amp;",")))&gt;0)),IF(U183="",TRUE,IF(input_affiliations="",FALSE,SUMPRODUCT(--ISNUMBER(SEARCH(","&amp;TRIM(TEXTSPLIT(U183,","))&amp;",",","&amp;SUBSTITUTE(input_affiliations," ","")&amp;",")))=COUNTA(TEXTSPLIT(U183,",")))))</f>
        <v/>
      </c>
      <c r="IU183" s="19">
        <f>AND(IF(W183="",TRUE,IF(input_announcement_category="",FALSE,SUMPRODUCT(--ISNUMBER(SEARCH(","&amp;TRIM(TEXTSPLIT(W183,","))&amp;",",","&amp;SUBSTITUTE(input_announcement_category," ","")&amp;",")))&gt;0)),IF(Y183="",TRUE,IF(input_announcement_category="",FALSE,SUMPRODUCT(--ISNUMBER(SEARCH(","&amp;TRIM(TEXTSPLIT(Y183,","))&amp;",",","&amp;SUBSTITUTE(input_announcement_category," ","")&amp;",")))=COUNTA(TEXTSPLIT(Y183,",")))),IF(AA183="",TRUE,IF(input_announcement_category="",TRUE,SUMPRODUCT(--ISNUMBER(SEARCH(","&amp;TRIM(TEXTSPLIT(AA183,","))&amp;",",","&amp;SUBSTITUTE(input_announcement_category," ","")&amp;",")))=0)),IF(AC183="",TRUE,IF(input_announcement_category="",FALSE,SUMPRODUCT(--ISNUMBER(SEARCH(","&amp;TRIM(TEXTSPLIT(AC183,","))&amp;",",","&amp;SUBSTITUTE(input_announcement_category," ","")&amp;",")))&gt;0)),IF(AE183="",TRUE,IF(input_announcement_category="",FALSE,SUMPRODUCT(--ISNUMBER(SEARCH(","&amp;TRIM(TEXTSPLIT(AE183,","))&amp;",",","&amp;SUBSTITUTE(input_announcement_category," ","")&amp;",")))=COUNTA(TEXTSPLIT(AE183,",")))))</f>
        <v/>
      </c>
      <c r="IV183" s="19">
        <f>AND(IF(AG183="",TRUE,IF(input_area_of_focus="",FALSE,SUMPRODUCT(--ISNUMBER(SEARCH(","&amp;TRIM(TEXTSPLIT(AG183,","))&amp;",",","&amp;SUBSTITUTE(input_area_of_focus," ","")&amp;",")))&gt;0)),IF(AI183="",TRUE,IF(input_area_of_focus="",FALSE,SUMPRODUCT(--ISNUMBER(SEARCH(","&amp;TRIM(TEXTSPLIT(AI183,","))&amp;",",","&amp;SUBSTITUTE(input_area_of_focus," ","")&amp;",")))=COUNTA(TEXTSPLIT(AI183,",")))),IF(AK183="",TRUE,IF(input_area_of_focus="",TRUE,SUMPRODUCT(--ISNUMBER(SEARCH(","&amp;TRIM(TEXTSPLIT(AK183,","))&amp;",",","&amp;SUBSTITUTE(input_area_of_focus," ","")&amp;",")))=0)),IF(AM183="",TRUE,IF(input_area_of_focus="",FALSE,SUMPRODUCT(--ISNUMBER(SEARCH(","&amp;TRIM(TEXTSPLIT(AM183,","))&amp;",",","&amp;SUBSTITUTE(input_area_of_focus," ","")&amp;",")))&gt;0)),IF(AO183="",TRUE,IF(input_area_of_focus="",FALSE,SUMPRODUCT(--ISNUMBER(SEARCH(","&amp;TRIM(TEXTSPLIT(AO183,","))&amp;",",","&amp;SUBSTITUTE(input_area_of_focus," ","")&amp;",")))=COUNTA(TEXTSPLIT(AO183,",")))))</f>
        <v/>
      </c>
      <c r="IW183" s="19">
        <f>AND(IF(AQ183="",TRUE,IF(input_audience="",FALSE,SUMPRODUCT(--ISNUMBER(SEARCH(","&amp;TRIM(TEXTSPLIT(AQ183,","))&amp;",",","&amp;SUBSTITUTE(input_audience," ","")&amp;",")))&gt;0)),IF(AS183="",TRUE,IF(input_audience="",FALSE,SUMPRODUCT(--ISNUMBER(SEARCH(","&amp;TRIM(TEXTSPLIT(AS183,","))&amp;",",","&amp;SUBSTITUTE(input_audience," ","")&amp;",")))=COUNTA(TEXTSPLIT(AS183,",")))),IF(AU183="",TRUE,IF(input_audience="",TRUE,SUMPRODUCT(--ISNUMBER(SEARCH(","&amp;TRIM(TEXTSPLIT(AU183,","))&amp;",",","&amp;SUBSTITUTE(input_audience," ","")&amp;",")))=0)),IF(AW183="",TRUE,IF(input_audience="",FALSE,SUMPRODUCT(--ISNUMBER(SEARCH(","&amp;TRIM(TEXTSPLIT(AW183,","))&amp;",",","&amp;SUBSTITUTE(input_audience," ","")&amp;",")))&gt;0)),IF(AY183="",TRUE,IF(input_audience="",FALSE,SUMPRODUCT(--ISNUMBER(SEARCH(","&amp;TRIM(TEXTSPLIT(AY183,","))&amp;",",","&amp;SUBSTITUTE(input_audience," ","")&amp;",")))=COUNTA(TEXTSPLIT(AY183,",")))))</f>
        <v/>
      </c>
      <c r="IX183" s="19">
        <f>AND(IF(BA183="",TRUE,IF(input_challenge_opportunities="",FALSE,SUMPRODUCT(--ISNUMBER(SEARCH(","&amp;TRIM(TEXTSPLIT(BA183,","))&amp;",",","&amp;SUBSTITUTE(input_challenge_opportunities," ","")&amp;",")))&gt;0)),IF(BC183="",TRUE,IF(input_challenge_opportunities="",FALSE,SUMPRODUCT(--ISNUMBER(SEARCH(","&amp;TRIM(TEXTSPLIT(BC183,","))&amp;",",","&amp;SUBSTITUTE(input_challenge_opportunities," ","")&amp;",")))=COUNTA(TEXTSPLIT(BC183,",")))),IF(BE183="",TRUE,IF(input_challenge_opportunities="",TRUE,SUMPRODUCT(--ISNUMBER(SEARCH(","&amp;TRIM(TEXTSPLIT(BE183,","))&amp;",",","&amp;SUBSTITUTE(input_challenge_opportunities," ","")&amp;",")))=0)),IF(BG183="",TRUE,IF(input_challenge_opportunities="",FALSE,SUMPRODUCT(--ISNUMBER(SEARCH(","&amp;TRIM(TEXTSPLIT(BG183,","))&amp;",",","&amp;SUBSTITUTE(input_challenge_opportunities," ","")&amp;",")))&gt;0)),IF(BI183="",TRUE,IF(input_challenge_opportunities="",FALSE,SUMPRODUCT(--ISNUMBER(SEARCH(","&amp;TRIM(TEXTSPLIT(BI183,","))&amp;",",","&amp;SUBSTITUTE(input_challenge_opportunities," ","")&amp;",")))=COUNTA(TEXTSPLIT(BI183,",")))))</f>
        <v/>
      </c>
      <c r="IY183" s="19">
        <f>AND(IF(BK183="",TRUE,IF(input_context="",FALSE,SUMPRODUCT(--ISNUMBER(SEARCH(","&amp;TRIM(TEXTSPLIT(BK183,","))&amp;",",","&amp;SUBSTITUTE(input_context," ","")&amp;",")))&gt;0)),IF(BM183="",TRUE,IF(input_context="",FALSE,SUMPRODUCT(--ISNUMBER(SEARCH(","&amp;TRIM(TEXTSPLIT(BM183,","))&amp;",",","&amp;SUBSTITUTE(input_context," ","")&amp;",")))=COUNTA(TEXTSPLIT(BM183,",")))),IF(BO183="",TRUE,IF(input_context="",TRUE,SUMPRODUCT(--ISNUMBER(SEARCH(","&amp;TRIM(TEXTSPLIT(BO183,","))&amp;",",","&amp;SUBSTITUTE(input_context," ","")&amp;",")))=0)),IF(BQ183="",TRUE,IF(input_context="",FALSE,SUMPRODUCT(--ISNUMBER(SEARCH(","&amp;TRIM(TEXTSPLIT(BQ183,","))&amp;",",","&amp;SUBSTITUTE(input_context," ","")&amp;",")))&gt;0)),IF(BS183="",TRUE,IF(input_context="",FALSE,SUMPRODUCT(--ISNUMBER(SEARCH(","&amp;TRIM(TEXTSPLIT(BS183,","))&amp;",",","&amp;SUBSTITUTE(input_context," ","")&amp;",")))=COUNTA(TEXTSPLIT(BS183,",")))))</f>
        <v/>
      </c>
      <c r="IZ183" s="19">
        <f>AND(IF(BU183="",TRUE,IF(input_enews_announcement_type="",FALSE,SUMPRODUCT(--ISNUMBER(SEARCH(","&amp;TRIM(TEXTSPLIT(BU183,","))&amp;",",","&amp;SUBSTITUTE(input_enews_announcement_type," ","")&amp;",")))&gt;0)),IF(BW183="",TRUE,IF(input_enews_announcement_type="",FALSE,SUMPRODUCT(--ISNUMBER(SEARCH(","&amp;TRIM(TEXTSPLIT(BW183,","))&amp;",",","&amp;SUBSTITUTE(input_enews_announcement_type," ","")&amp;",")))=COUNTA(TEXTSPLIT(BW183,",")))),IF(BY183="",TRUE,IF(input_enews_announcement_type="",TRUE,SUMPRODUCT(--ISNUMBER(SEARCH(","&amp;TRIM(TEXTSPLIT(BY183,","))&amp;",",","&amp;SUBSTITUTE(input_enews_announcement_type," ","")&amp;",")))=0)),IF(CA183="",TRUE,IF(input_enews_announcement_type="",FALSE,SUMPRODUCT(--ISNUMBER(SEARCH(","&amp;TRIM(TEXTSPLIT(CA183,","))&amp;",",","&amp;SUBSTITUTE(input_enews_announcement_type," ","")&amp;",")))&gt;0)),IF(CC183="",TRUE,IF(input_enews_announcement_type="",FALSE,SUMPRODUCT(--ISNUMBER(SEARCH(","&amp;TRIM(TEXTSPLIT(CC183,","))&amp;",",","&amp;SUBSTITUTE(input_enews_announcement_type," ","")&amp;",")))=COUNTA(TEXTSPLIT(CC183,",")))))</f>
        <v/>
      </c>
      <c r="JA183" s="19">
        <f>AND(IF(CE183="",TRUE,IF(input_enews_audience="",FALSE,SUMPRODUCT(--ISNUMBER(SEARCH(","&amp;TRIM(TEXTSPLIT(CE183,","))&amp;",",","&amp;SUBSTITUTE(input_enews_audience," ","")&amp;",")))&gt;0)),IF(CG183="",TRUE,IF(input_enews_audience="",FALSE,SUMPRODUCT(--ISNUMBER(SEARCH(","&amp;TRIM(TEXTSPLIT(CG183,","))&amp;",",","&amp;SUBSTITUTE(input_enews_audience," ","")&amp;",")))=COUNTA(TEXTSPLIT(CG183,",")))),IF(CI183="",TRUE,IF(input_enews_audience="",TRUE,SUMPRODUCT(--ISNUMBER(SEARCH(","&amp;TRIM(TEXTSPLIT(CI183,","))&amp;",",","&amp;SUBSTITUTE(input_enews_audience," ","")&amp;",")))=0)),IF(CK183="",TRUE,IF(input_enews_audience="",FALSE,SUMPRODUCT(--ISNUMBER(SEARCH(","&amp;TRIM(TEXTSPLIT(CK183,","))&amp;",",","&amp;SUBSTITUTE(input_enews_audience," ","")&amp;",")))&gt;0)),IF(CM183="",TRUE,IF(input_enews_audience="",FALSE,SUMPRODUCT(--ISNUMBER(SEARCH(","&amp;TRIM(TEXTSPLIT(CM183,","))&amp;",",","&amp;SUBSTITUTE(input_enews_audience," ","")&amp;",")))=COUNTA(TEXTSPLIT(CM183,",")))))</f>
        <v/>
      </c>
      <c r="JB183" s="19">
        <f>AND(IF(CO183="",TRUE,IF(input_event_location="",FALSE,SUMPRODUCT(--ISNUMBER(SEARCH(","&amp;TRIM(TEXTSPLIT(CO183,","))&amp;",",","&amp;SUBSTITUTE(input_event_location," ","")&amp;",")))&gt;0)),IF(CQ183="",TRUE,IF(input_event_location="",FALSE,SUMPRODUCT(--ISNUMBER(SEARCH(","&amp;TRIM(TEXTSPLIT(CQ183,","))&amp;",",","&amp;SUBSTITUTE(input_event_location," ","")&amp;",")))=COUNTA(TEXTSPLIT(CQ183,",")))),IF(CS183="",TRUE,IF(input_event_location="",TRUE,SUMPRODUCT(--ISNUMBER(SEARCH(","&amp;TRIM(TEXTSPLIT(CS183,","))&amp;",",","&amp;SUBSTITUTE(input_event_location," ","")&amp;",")))=0)),IF(CU183="",TRUE,IF(input_event_location="",FALSE,SUMPRODUCT(--ISNUMBER(SEARCH(","&amp;TRIM(TEXTSPLIT(CU183,","))&amp;",",","&amp;SUBSTITUTE(input_event_location," ","")&amp;",")))&gt;0)),IF(CW183="",TRUE,IF(input_event_location="",FALSE,SUMPRODUCT(--ISNUMBER(SEARCH(","&amp;TRIM(TEXTSPLIT(CW183,","))&amp;",",","&amp;SUBSTITUTE(input_event_location," ","")&amp;",")))=COUNTA(TEXTSPLIT(CW183,",")))))</f>
        <v/>
      </c>
      <c r="JC183" s="19">
        <f>AND(IF(CY183="",TRUE,IF(input_event_type="",FALSE,SUMPRODUCT(--ISNUMBER(SEARCH(","&amp;TRIM(TEXTSPLIT(CY183,","))&amp;",",","&amp;SUBSTITUTE(input_event_type," ","")&amp;",")))&gt;0)),IF(DA183="",TRUE,IF(input_event_type="",FALSE,SUMPRODUCT(--ISNUMBER(SEARCH(","&amp;TRIM(TEXTSPLIT(DA183,","))&amp;",",","&amp;SUBSTITUTE(input_event_type," ","")&amp;",")))=COUNTA(TEXTSPLIT(DA183,",")))),IF(DC183="",TRUE,IF(input_event_type="",TRUE,SUMPRODUCT(--ISNUMBER(SEARCH(","&amp;TRIM(TEXTSPLIT(DC183,","))&amp;",",","&amp;SUBSTITUTE(input_event_type," ","")&amp;",")))=0)),IF(DE183="",TRUE,IF(input_event_type="",FALSE,SUMPRODUCT(--ISNUMBER(SEARCH(","&amp;TRIM(TEXTSPLIT(DE183,","))&amp;",",","&amp;SUBSTITUTE(input_event_type," ","")&amp;",")))&gt;0)),IF(DG183="",TRUE,IF(input_event_type="",FALSE,SUMPRODUCT(--ISNUMBER(SEARCH(","&amp;TRIM(TEXTSPLIT(DG183,","))&amp;",",","&amp;SUBSTITUTE(input_event_type," ","")&amp;",")))=COUNTA(TEXTSPLIT(DG183,",")))))</f>
        <v/>
      </c>
      <c r="JD183" s="19">
        <f>AND(IF(DI183="",TRUE,IF(input_executive_education_focus="",FALSE,SUMPRODUCT(--ISNUMBER(SEARCH(","&amp;TRIM(TEXTSPLIT(DI183,","))&amp;",",","&amp;SUBSTITUTE(input_executive_education_focus," ","")&amp;",")))&gt;0)),IF(DK183="",TRUE,IF(input_executive_education_focus="",FALSE,SUMPRODUCT(--ISNUMBER(SEARCH(","&amp;TRIM(TEXTSPLIT(DK183,","))&amp;",",","&amp;SUBSTITUTE(input_executive_education_focus," ","")&amp;",")))=COUNTA(TEXTSPLIT(DK183,",")))),IF(DM183="",TRUE,IF(input_executive_education_focus="",TRUE,SUMPRODUCT(--ISNUMBER(SEARCH(","&amp;TRIM(TEXTSPLIT(DM183,","))&amp;",",","&amp;SUBSTITUTE(input_executive_education_focus," ","")&amp;",")))=0)),IF(DO183="",TRUE,IF(input_executive_education_focus="",FALSE,SUMPRODUCT(--ISNUMBER(SEARCH(","&amp;TRIM(TEXTSPLIT(DO183,","))&amp;",",","&amp;SUBSTITUTE(input_executive_education_focus," ","")&amp;",")))&gt;0)),IF(DQ183="",TRUE,IF(input_executive_education_focus="",FALSE,SUMPRODUCT(--ISNUMBER(SEARCH(","&amp;TRIM(TEXTSPLIT(DQ183,","))&amp;",",","&amp;SUBSTITUTE(input_executive_education_focus," ","")&amp;",")))=COUNTA(TEXTSPLIT(DQ183,",")))))</f>
        <v/>
      </c>
      <c r="JE183" s="19">
        <f>AND(IF(DS183="",TRUE,IF(input_faculty_category="",FALSE,SUMPRODUCT(--ISNUMBER(SEARCH(","&amp;TRIM(TEXTSPLIT(DS183,","))&amp;",",","&amp;SUBSTITUTE(input_faculty_category," ","")&amp;",")))&gt;0)),IF(DU183="",TRUE,IF(input_faculty_category="",FALSE,SUMPRODUCT(--ISNUMBER(SEARCH(","&amp;TRIM(TEXTSPLIT(DU183,","))&amp;",",","&amp;SUBSTITUTE(input_faculty_category," ","")&amp;",")))=COUNTA(TEXTSPLIT(DU183,",")))),IF(DW183="",TRUE,IF(input_faculty_category="",TRUE,SUMPRODUCT(--ISNUMBER(SEARCH(","&amp;TRIM(TEXTSPLIT(DW183,","))&amp;",",","&amp;SUBSTITUTE(input_faculty_category," ","")&amp;",")))=0)),IF(DY183="",TRUE,IF(input_faculty_category="",FALSE,SUMPRODUCT(--ISNUMBER(SEARCH(","&amp;TRIM(TEXTSPLIT(DY183,","))&amp;",",","&amp;SUBSTITUTE(input_faculty_category," ","")&amp;",")))&gt;0)),IF(EA183="",TRUE,IF(input_faculty_category="",FALSE,SUMPRODUCT(--ISNUMBER(SEARCH(","&amp;TRIM(TEXTSPLIT(EA183,","))&amp;",",","&amp;SUBSTITUTE(input_faculty_category," ","")&amp;",")))=COUNTA(TEXTSPLIT(EA183,",")))))</f>
        <v/>
      </c>
      <c r="JF183" s="19">
        <f>AND(IF(EC183="",TRUE,IF(input_faculty_discipline="",FALSE,SUMPRODUCT(--ISNUMBER(SEARCH(","&amp;TRIM(TEXTSPLIT(EC183,","))&amp;",",","&amp;SUBSTITUTE(input_faculty_discipline," ","")&amp;",")))&gt;0)),IF(EE183="",TRUE,IF(input_faculty_discipline="",FALSE,SUMPRODUCT(--ISNUMBER(SEARCH(","&amp;TRIM(TEXTSPLIT(EE183,","))&amp;",",","&amp;SUBSTITUTE(input_faculty_discipline," ","")&amp;",")))=COUNTA(TEXTSPLIT(EE183,",")))),IF(EG183="",TRUE,IF(input_faculty_discipline="",TRUE,SUMPRODUCT(--ISNUMBER(SEARCH(","&amp;TRIM(TEXTSPLIT(EG183,","))&amp;",",","&amp;SUBSTITUTE(input_faculty_discipline," ","")&amp;",")))=0)),IF(EI183="",TRUE,IF(input_faculty_discipline="",FALSE,SUMPRODUCT(--ISNUMBER(SEARCH(","&amp;TRIM(TEXTSPLIT(EI183,","))&amp;",",","&amp;SUBSTITUTE(input_faculty_discipline," ","")&amp;",")))&gt;0)),IF(EK183="",TRUE,IF(input_faculty_discipline="",FALSE,SUMPRODUCT(--ISNUMBER(SEARCH(","&amp;TRIM(TEXTSPLIT(EK183,","))&amp;",",","&amp;SUBSTITUTE(input_faculty_discipline," ","")&amp;",")))=COUNTA(TEXTSPLIT(EK183,",")))))</f>
        <v/>
      </c>
      <c r="JG183" s="19">
        <f>AND(IF(EM183="",TRUE,IF(input_faculty_expertise="",FALSE,SUMPRODUCT(--ISNUMBER(SEARCH(","&amp;TRIM(TEXTSPLIT(EM183,","))&amp;",",","&amp;SUBSTITUTE(input_faculty_expertise," ","")&amp;",")))&gt;0)),IF(EO183="",TRUE,IF(input_faculty_expertise="",FALSE,SUMPRODUCT(--ISNUMBER(SEARCH(","&amp;TRIM(TEXTSPLIT(EO183,","))&amp;",",","&amp;SUBSTITUTE(input_faculty_expertise," ","")&amp;",")))=COUNTA(TEXTSPLIT(EO183,",")))),IF(EQ183="",TRUE,IF(input_faculty_expertise="",TRUE,SUMPRODUCT(--ISNUMBER(SEARCH(","&amp;TRIM(TEXTSPLIT(EQ183,","))&amp;",",","&amp;SUBSTITUTE(input_faculty_expertise," ","")&amp;",")))=0)),IF(ES183="",TRUE,IF(input_faculty_expertise="",FALSE,SUMPRODUCT(--ISNUMBER(SEARCH(","&amp;TRIM(TEXTSPLIT(ES183,","))&amp;",",","&amp;SUBSTITUTE(input_faculty_expertise," ","")&amp;",")))&gt;0)),IF(EU183="",TRUE,IF(input_faculty_expertise="",FALSE,SUMPRODUCT(--ISNUMBER(SEARCH(","&amp;TRIM(TEXTSPLIT(EU183,","))&amp;",",","&amp;SUBSTITUTE(input_faculty_expertise," ","")&amp;",")))=COUNTA(TEXTSPLIT(EU183,",")))))</f>
        <v/>
      </c>
      <c r="JH183" s="19">
        <f>AND(IF(EW183="",TRUE,IF(input_global_network_school="",FALSE,SUMPRODUCT(--ISNUMBER(SEARCH(","&amp;TRIM(TEXTSPLIT(EW183,","))&amp;",",","&amp;SUBSTITUTE(input_global_network_school," ","")&amp;",")))&gt;0)),IF(EY183="",TRUE,IF(input_global_network_school="",FALSE,SUMPRODUCT(--ISNUMBER(SEARCH(","&amp;TRIM(TEXTSPLIT(EY183,","))&amp;",",","&amp;SUBSTITUTE(input_global_network_school," ","")&amp;",")))=COUNTA(TEXTSPLIT(EY183,",")))),IF(FA183="",TRUE,IF(input_global_network_school="",TRUE,SUMPRODUCT(--ISNUMBER(SEARCH(","&amp;TRIM(TEXTSPLIT(FA183,","))&amp;",",","&amp;SUBSTITUTE(input_global_network_school," ","")&amp;",")))=0)),IF(FC183="",TRUE,IF(input_global_network_school="",FALSE,SUMPRODUCT(--ISNUMBER(SEARCH(","&amp;TRIM(TEXTSPLIT(FC183,","))&amp;",",","&amp;SUBSTITUTE(input_global_network_school," ","")&amp;",")))&gt;0)),IF(FE183="",TRUE,IF(input_global_network_school="",FALSE,SUMPRODUCT(--ISNUMBER(SEARCH(","&amp;TRIM(TEXTSPLIT(FE183,","))&amp;",",","&amp;SUBSTITUTE(input_global_network_school," ","")&amp;",")))=COUNTA(TEXTSPLIT(FE183,",")))))</f>
        <v/>
      </c>
      <c r="JI183" s="19">
        <f>AND(IF(FG183="",TRUE,IF(input_industry="",FALSE,SUMPRODUCT(--ISNUMBER(SEARCH(","&amp;TRIM(TEXTSPLIT(FG183,","))&amp;",",","&amp;SUBSTITUTE(input_industry," ","")&amp;",")))&gt;0)),IF(FI183="",TRUE,IF(input_industry="",FALSE,SUMPRODUCT(--ISNUMBER(SEARCH(","&amp;TRIM(TEXTSPLIT(FI183,","))&amp;",",","&amp;SUBSTITUTE(input_industry," ","")&amp;",")))=COUNTA(TEXTSPLIT(FI183,",")))),IF(FK183="",TRUE,IF(input_industry="",TRUE,SUMPRODUCT(--ISNUMBER(SEARCH(","&amp;TRIM(TEXTSPLIT(FK183,","))&amp;",",","&amp;SUBSTITUTE(input_industry," ","")&amp;",")))=0)),IF(FM183="",TRUE,IF(input_industry="",FALSE,SUMPRODUCT(--ISNUMBER(SEARCH(","&amp;TRIM(TEXTSPLIT(FM183,","))&amp;",",","&amp;SUBSTITUTE(input_industry," ","")&amp;",")))&gt;0)),IF(FO183="",TRUE,IF(input_industry="",FALSE,SUMPRODUCT(--ISNUMBER(SEARCH(","&amp;TRIM(TEXTSPLIT(FO183,","))&amp;",",","&amp;SUBSTITUTE(input_industry," ","")&amp;",")))=COUNTA(TEXTSPLIT(FO183,",")))))</f>
        <v/>
      </c>
      <c r="JJ183" s="19">
        <f>AND(IF(FQ183="",TRUE,IF(input_location="",FALSE,SUMPRODUCT(--ISNUMBER(SEARCH(","&amp;TRIM(TEXTSPLIT(FQ183,","))&amp;",",","&amp;SUBSTITUTE(input_location," ","")&amp;",")))&gt;0)),IF(FS183="",TRUE,IF(input_location="",FALSE,SUMPRODUCT(--ISNUMBER(SEARCH(","&amp;TRIM(TEXTSPLIT(FS183,","))&amp;",",","&amp;SUBSTITUTE(input_location," ","")&amp;",")))=COUNTA(TEXTSPLIT(FS183,",")))),IF(FU183="",TRUE,IF(input_location="",TRUE,SUMPRODUCT(--ISNUMBER(SEARCH(","&amp;TRIM(TEXTSPLIT(FU183,","))&amp;",",","&amp;SUBSTITUTE(input_location," ","")&amp;",")))=0)),IF(FW183="",TRUE,IF(input_location="",FALSE,SUMPRODUCT(--ISNUMBER(SEARCH(","&amp;TRIM(TEXTSPLIT(FW183,","))&amp;",",","&amp;SUBSTITUTE(input_location," ","")&amp;",")))&gt;0)),IF(FY183="",TRUE,IF(input_location="",FALSE,SUMPRODUCT(--ISNUMBER(SEARCH(","&amp;TRIM(TEXTSPLIT(FY183,","))&amp;",",","&amp;SUBSTITUTE(input_location," ","")&amp;",")))=COUNTA(TEXTSPLIT(FY183,",")))))</f>
        <v/>
      </c>
      <c r="JK183" s="19">
        <f>AND(IF(GA183="",TRUE,IF(input_modality="",FALSE,SUMPRODUCT(--ISNUMBER(SEARCH(","&amp;TRIM(TEXTSPLIT(GA183,","))&amp;",",","&amp;SUBSTITUTE(input_modality," ","")&amp;",")))&gt;0)),IF(GC183="",TRUE,IF(input_modality="",FALSE,SUMPRODUCT(--ISNUMBER(SEARCH(","&amp;TRIM(TEXTSPLIT(GC183,","))&amp;",",","&amp;SUBSTITUTE(input_modality," ","")&amp;",")))=COUNTA(TEXTSPLIT(GC183,",")))),IF(GE183="",TRUE,IF(input_modality="",TRUE,SUMPRODUCT(--ISNUMBER(SEARCH(","&amp;TRIM(TEXTSPLIT(GE183,","))&amp;",",","&amp;SUBSTITUTE(input_modality," ","")&amp;",")))=0)),IF(GG183="",TRUE,IF(input_modality="",FALSE,SUMPRODUCT(--ISNUMBER(SEARCH(","&amp;TRIM(TEXTSPLIT(GG183,","))&amp;",",","&amp;SUBSTITUTE(input_modality," ","")&amp;",")))&gt;0)),IF(GI183="",TRUE,IF(input_modality="",FALSE,SUMPRODUCT(--ISNUMBER(SEARCH(","&amp;TRIM(TEXTSPLIT(GI183,","))&amp;",",","&amp;SUBSTITUTE(input_modality," ","")&amp;",")))=COUNTA(TEXTSPLIT(GI183,",")))))</f>
        <v/>
      </c>
      <c r="JL183" s="19">
        <f>AND(IF(GK183="",TRUE,IF(input_organizer="",FALSE,SUMPRODUCT(--ISNUMBER(SEARCH(","&amp;TRIM(TEXTSPLIT(GK183,","))&amp;",",","&amp;SUBSTITUTE(input_organizer," ","")&amp;",")))&gt;0)),IF(GM183="",TRUE,IF(input_organizer="",FALSE,SUMPRODUCT(--ISNUMBER(SEARCH(","&amp;TRIM(TEXTSPLIT(GM183,","))&amp;",",","&amp;SUBSTITUTE(input_organizer," ","")&amp;",")))=COUNTA(TEXTSPLIT(GM183,",")))),IF(GO183="",TRUE,IF(input_organizer="",TRUE,SUMPRODUCT(--ISNUMBER(SEARCH(","&amp;TRIM(TEXTSPLIT(GO183,","))&amp;",",","&amp;SUBSTITUTE(input_organizer," ","")&amp;",")))=0)),IF(GQ183="",TRUE,IF(input_organizer="",FALSE,SUMPRODUCT(--ISNUMBER(SEARCH(","&amp;TRIM(TEXTSPLIT(GQ183,","))&amp;",",","&amp;SUBSTITUTE(input_organizer," ","")&amp;",")))&gt;0)),IF(GS183="",TRUE,IF(input_organizer="",FALSE,SUMPRODUCT(--ISNUMBER(SEARCH(","&amp;TRIM(TEXTSPLIT(GS183,","))&amp;",",","&amp;SUBSTITUTE(input_organizer," ","")&amp;",")))=COUNTA(TEXTSPLIT(GS183,",")))))</f>
        <v/>
      </c>
      <c r="JM183" s="19">
        <f>AND(IF(GU183="",TRUE,IF(input_profile_type="",FALSE,SUMPRODUCT(--ISNUMBER(SEARCH(","&amp;TRIM(TEXTSPLIT(GU183,","))&amp;",",","&amp;SUBSTITUTE(input_profile_type," ","")&amp;",")))&gt;0)),IF(GW183="",TRUE,IF(input_profile_type="",FALSE,SUMPRODUCT(--ISNUMBER(SEARCH(","&amp;TRIM(TEXTSPLIT(GW183,","))&amp;",",","&amp;SUBSTITUTE(input_profile_type," ","")&amp;",")))=COUNTA(TEXTSPLIT(GW183,",")))),IF(GY183="",TRUE,IF(input_profile_type="",TRUE,SUMPRODUCT(--ISNUMBER(SEARCH(","&amp;TRIM(TEXTSPLIT(GY183,","))&amp;",",","&amp;SUBSTITUTE(input_profile_type," ","")&amp;",")))=0)),IF(HA183="",TRUE,IF(input_profile_type="",FALSE,SUMPRODUCT(--ISNUMBER(SEARCH(","&amp;TRIM(TEXTSPLIT(HA183,","))&amp;",",","&amp;SUBSTITUTE(input_profile_type," ","")&amp;",")))&gt;0)),IF(HC183="",TRUE,IF(input_profile_type="",FALSE,SUMPRODUCT(--ISNUMBER(SEARCH(","&amp;TRIM(TEXTSPLIT(HC183,","))&amp;",",","&amp;SUBSTITUTE(input_profile_type," ","")&amp;",")))=COUNTA(TEXTSPLIT(HC183,",")))))</f>
        <v/>
      </c>
      <c r="JN183" s="19">
        <f>AND(IF(HE183="",TRUE,IF(input_program="",FALSE,SUMPRODUCT(--ISNUMBER(SEARCH(","&amp;TRIM(TEXTSPLIT(HE183,","))&amp;",",","&amp;SUBSTITUTE(input_program," ","")&amp;",")))&gt;0)),IF(HG183="",TRUE,IF(input_program="",FALSE,SUMPRODUCT(--ISNUMBER(SEARCH(","&amp;TRIM(TEXTSPLIT(HG183,","))&amp;",",","&amp;SUBSTITUTE(input_program," ","")&amp;",")))=COUNTA(TEXTSPLIT(HG183,",")))),IF(HI183="",TRUE,IF(input_program="",TRUE,SUMPRODUCT(--ISNUMBER(SEARCH(","&amp;TRIM(TEXTSPLIT(HI183,","))&amp;",",","&amp;SUBSTITUTE(input_program," ","")&amp;",")))=0)),IF(HK183="",TRUE,IF(input_program="",FALSE,SUMPRODUCT(--ISNUMBER(SEARCH(","&amp;TRIM(TEXTSPLIT(HK183,","))&amp;",",","&amp;SUBSTITUTE(input_program," ","")&amp;",")))&gt;0)),IF(HM183="",TRUE,IF(input_program="",FALSE,SUMPRODUCT(--ISNUMBER(SEARCH(","&amp;TRIM(TEXTSPLIT(HM183,","))&amp;",",","&amp;SUBSTITUTE(input_program," ","")&amp;",")))=COUNTA(TEXTSPLIT(HM183,",")))))</f>
        <v/>
      </c>
      <c r="JO183" s="19">
        <f>AND(IF(HO183="",TRUE,IF(input_story_categories="",FALSE,SUMPRODUCT(--ISNUMBER(SEARCH(","&amp;TRIM(TEXTSPLIT(HO183,","))&amp;",",","&amp;SUBSTITUTE(input_story_categories," ","")&amp;",")))&gt;0)),IF(HQ183="",TRUE,IF(input_story_categories="",FALSE,SUMPRODUCT(--ISNUMBER(SEARCH(","&amp;TRIM(TEXTSPLIT(HQ183,","))&amp;",",","&amp;SUBSTITUTE(input_story_categories," ","")&amp;",")))=COUNTA(TEXTSPLIT(HQ183,",")))),IF(HS183="",TRUE,IF(input_story_categories="",TRUE,SUMPRODUCT(--ISNUMBER(SEARCH(","&amp;TRIM(TEXTSPLIT(HS183,","))&amp;",",","&amp;SUBSTITUTE(input_story_categories," ","")&amp;",")))=0)),IF(HU183="",TRUE,IF(input_story_categories="",FALSE,SUMPRODUCT(--ISNUMBER(SEARCH(","&amp;TRIM(TEXTSPLIT(HU183,","))&amp;",",","&amp;SUBSTITUTE(input_story_categories," ","")&amp;",")))&gt;0)),IF(HW183="",TRUE,IF(input_story_categories="",FALSE,SUMPRODUCT(--ISNUMBER(SEARCH(","&amp;TRIM(TEXTSPLIT(HW183,","))&amp;",",","&amp;SUBSTITUTE(input_story_categories," ","")&amp;",")))=COUNTA(TEXTSPLIT(HW183,",")))))</f>
        <v/>
      </c>
      <c r="JP183" s="19">
        <f>AND(IF(HY183="",TRUE,IF(input_story_type="",FALSE,SUMPRODUCT(--ISNUMBER(SEARCH(","&amp;TRIM(TEXTSPLIT(HY183,","))&amp;",",","&amp;SUBSTITUTE(input_story_type," ","")&amp;",")))&gt;0)),IF(IA183="",TRUE,IF(input_story_type="",FALSE,SUMPRODUCT(--ISNUMBER(SEARCH(","&amp;TRIM(TEXTSPLIT(IA183,","))&amp;",",","&amp;SUBSTITUTE(input_story_type," ","")&amp;",")))=COUNTA(TEXTSPLIT(IA183,",")))),IF(IC183="",TRUE,IF(input_story_type="",TRUE,SUMPRODUCT(--ISNUMBER(SEARCH(","&amp;TRIM(TEXTSPLIT(IC183,","))&amp;",",","&amp;SUBSTITUTE(input_story_type," ","")&amp;",")))=0)),IF(IE183="",TRUE,IF(input_story_type="",FALSE,SUMPRODUCT(--ISNUMBER(SEARCH(","&amp;TRIM(TEXTSPLIT(IE183,","))&amp;",",","&amp;SUBSTITUTE(input_story_type," ","")&amp;",")))&gt;0)),IF(IG183="",TRUE,IF(input_story_type="",FALSE,SUMPRODUCT(--ISNUMBER(SEARCH(","&amp;TRIM(TEXTSPLIT(IG183,","))&amp;",",","&amp;SUBSTITUTE(input_story_type," ","")&amp;",")))=COUNTA(TEXTSPLIT(IG183,",")))))</f>
        <v/>
      </c>
      <c r="JQ183" s="19">
        <f>AND(IF(II183="",TRUE,IF(input_topics="",FALSE,SUMPRODUCT(--ISNUMBER(SEARCH(","&amp;TRIM(TEXTSPLIT(II183,","))&amp;",",","&amp;SUBSTITUTE(input_topics," ","")&amp;",")))&gt;0)),IF(IK183="",TRUE,IF(input_topics="",FALSE,SUMPRODUCT(--ISNUMBER(SEARCH(","&amp;TRIM(TEXTSPLIT(IK183,","))&amp;",",","&amp;SUBSTITUTE(input_topics," ","")&amp;",")))=COUNTA(TEXTSPLIT(IK183,",")))),IF(IM183="",TRUE,IF(input_topics="",TRUE,SUMPRODUCT(--ISNUMBER(SEARCH(","&amp;TRIM(TEXTSPLIT(IM183,","))&amp;",",","&amp;SUBSTITUTE(input_topics," ","")&amp;",")))=0)),IF(IO183="",TRUE,IF(input_topics="",FALSE,SUMPRODUCT(--ISNUMBER(SEARCH(","&amp;TRIM(TEXTSPLIT(IO183,","))&amp;",",","&amp;SUBSTITUTE(input_topics," ","")&amp;",")))&gt;0)),IF(IQ183="",TRUE,IF(input_topics="",FALSE,SUMPRODUCT(--ISNUMBER(SEARCH(","&amp;TRIM(TEXTSPLIT(IQ183,","))&amp;",",","&amp;SUBSTITUTE(input_topics," ","")&amp;",")))=COUNTA(TEXTSPLIT(IQ183,",")))))</f>
        <v/>
      </c>
    </row>
    <row r="184">
      <c r="A184" s="24">
        <f>IF(NOT(IS184),"Excluded",IF(AND(IT184,IU184,IV184,IW184,IX184,IY184,IZ184,JA184,JB184,JC184,JD184,JE184,JF184,JG184,JH184,JI184,JJ184,JK184,JL184,JM184,JN184,JO184,JP184,JQ184),IF(I184&gt;0,"Eligible but limited","Will appear"),"Excluded"))</f>
        <v/>
      </c>
      <c r="B184" s="24" t="inlineStr">
        <is>
          <t>Related stories on story pages</t>
        </is>
      </c>
      <c r="C184" s="27" t="inlineStr">
        <is>
          <t>/news/2016/01/pepsico-chairman-ceo-indra-k-nooyi-80-endows-deanship-yale-school-management</t>
        </is>
      </c>
      <c r="D184" s="24" t="inlineStr">
        <is>
          <t>/news/2016/01/pepsico-chairman-ceo-indra-k-nooyi-80-endows-deanship-yale-school-management
/news/2021/04/video-chef-dave-takes-students-on-virtual-cooking-tour-of-the-world
/news/2021/04/video-holistic-approach-to-decision-making</t>
        </is>
      </c>
      <c r="E184" s="24" t="n">
        <v>4</v>
      </c>
      <c r="F184" s="24" t="inlineStr">
        <is>
          <t>story</t>
        </is>
      </c>
      <c r="G184" s="24" t="inlineStr">
        <is>
          <t>stories_teaser_cards</t>
        </is>
      </c>
      <c r="H184" s="24" t="inlineStr">
        <is>
          <t>embed_all</t>
        </is>
      </c>
      <c r="I184" s="24" t="n">
        <v>3</v>
      </c>
      <c r="J184" s="24" t="inlineStr">
        <is>
          <t>View/config rules</t>
        </is>
      </c>
      <c r="K184" s="24" t="inlineStr">
        <is>
          <t>Grouped surface</t>
        </is>
      </c>
      <c r="L184" s="24" t="inlineStr">
        <is>
          <t>Content type: story; Limited to 3 item(s); Source: View/config rules</t>
        </is>
      </c>
      <c r="IS184" s="19">
        <f>IF(input_content_type="",FALSE,ISNUMBER(SEARCH(","&amp;LOWER(input_content_type)&amp;",",","&amp;LOWER(SUBSTITUTE(F184," ",""))&amp;",")))</f>
        <v/>
      </c>
      <c r="IT184" s="19">
        <f>AND(IF(M184="",TRUE,IF(input_affiliations="",FALSE,SUMPRODUCT(--ISNUMBER(SEARCH(","&amp;TRIM(TEXTSPLIT(M184,","))&amp;",",","&amp;SUBSTITUTE(input_affiliations," ","")&amp;",")))&gt;0)),IF(O184="",TRUE,IF(input_affiliations="",FALSE,SUMPRODUCT(--ISNUMBER(SEARCH(","&amp;TRIM(TEXTSPLIT(O184,","))&amp;",",","&amp;SUBSTITUTE(input_affiliations," ","")&amp;",")))=COUNTA(TEXTSPLIT(O184,",")))),IF(Q184="",TRUE,IF(input_affiliations="",TRUE,SUMPRODUCT(--ISNUMBER(SEARCH(","&amp;TRIM(TEXTSPLIT(Q184,","))&amp;",",","&amp;SUBSTITUTE(input_affiliations," ","")&amp;",")))=0)),IF(S184="",TRUE,IF(input_affiliations="",FALSE,SUMPRODUCT(--ISNUMBER(SEARCH(","&amp;TRIM(TEXTSPLIT(S184,","))&amp;",",","&amp;SUBSTITUTE(input_affiliations," ","")&amp;",")))&gt;0)),IF(U184="",TRUE,IF(input_affiliations="",FALSE,SUMPRODUCT(--ISNUMBER(SEARCH(","&amp;TRIM(TEXTSPLIT(U184,","))&amp;",",","&amp;SUBSTITUTE(input_affiliations," ","")&amp;",")))=COUNTA(TEXTSPLIT(U184,",")))))</f>
        <v/>
      </c>
      <c r="IU184" s="19">
        <f>AND(IF(W184="",TRUE,IF(input_announcement_category="",FALSE,SUMPRODUCT(--ISNUMBER(SEARCH(","&amp;TRIM(TEXTSPLIT(W184,","))&amp;",",","&amp;SUBSTITUTE(input_announcement_category," ","")&amp;",")))&gt;0)),IF(Y184="",TRUE,IF(input_announcement_category="",FALSE,SUMPRODUCT(--ISNUMBER(SEARCH(","&amp;TRIM(TEXTSPLIT(Y184,","))&amp;",",","&amp;SUBSTITUTE(input_announcement_category," ","")&amp;",")))=COUNTA(TEXTSPLIT(Y184,",")))),IF(AA184="",TRUE,IF(input_announcement_category="",TRUE,SUMPRODUCT(--ISNUMBER(SEARCH(","&amp;TRIM(TEXTSPLIT(AA184,","))&amp;",",","&amp;SUBSTITUTE(input_announcement_category," ","")&amp;",")))=0)),IF(AC184="",TRUE,IF(input_announcement_category="",FALSE,SUMPRODUCT(--ISNUMBER(SEARCH(","&amp;TRIM(TEXTSPLIT(AC184,","))&amp;",",","&amp;SUBSTITUTE(input_announcement_category," ","")&amp;",")))&gt;0)),IF(AE184="",TRUE,IF(input_announcement_category="",FALSE,SUMPRODUCT(--ISNUMBER(SEARCH(","&amp;TRIM(TEXTSPLIT(AE184,","))&amp;",",","&amp;SUBSTITUTE(input_announcement_category," ","")&amp;",")))=COUNTA(TEXTSPLIT(AE184,",")))))</f>
        <v/>
      </c>
      <c r="IV184" s="19">
        <f>AND(IF(AG184="",TRUE,IF(input_area_of_focus="",FALSE,SUMPRODUCT(--ISNUMBER(SEARCH(","&amp;TRIM(TEXTSPLIT(AG184,","))&amp;",",","&amp;SUBSTITUTE(input_area_of_focus," ","")&amp;",")))&gt;0)),IF(AI184="",TRUE,IF(input_area_of_focus="",FALSE,SUMPRODUCT(--ISNUMBER(SEARCH(","&amp;TRIM(TEXTSPLIT(AI184,","))&amp;",",","&amp;SUBSTITUTE(input_area_of_focus," ","")&amp;",")))=COUNTA(TEXTSPLIT(AI184,",")))),IF(AK184="",TRUE,IF(input_area_of_focus="",TRUE,SUMPRODUCT(--ISNUMBER(SEARCH(","&amp;TRIM(TEXTSPLIT(AK184,","))&amp;",",","&amp;SUBSTITUTE(input_area_of_focus," ","")&amp;",")))=0)),IF(AM184="",TRUE,IF(input_area_of_focus="",FALSE,SUMPRODUCT(--ISNUMBER(SEARCH(","&amp;TRIM(TEXTSPLIT(AM184,","))&amp;",",","&amp;SUBSTITUTE(input_area_of_focus," ","")&amp;",")))&gt;0)),IF(AO184="",TRUE,IF(input_area_of_focus="",FALSE,SUMPRODUCT(--ISNUMBER(SEARCH(","&amp;TRIM(TEXTSPLIT(AO184,","))&amp;",",","&amp;SUBSTITUTE(input_area_of_focus," ","")&amp;",")))=COUNTA(TEXTSPLIT(AO184,",")))))</f>
        <v/>
      </c>
      <c r="IW184" s="19">
        <f>AND(IF(AQ184="",TRUE,IF(input_audience="",FALSE,SUMPRODUCT(--ISNUMBER(SEARCH(","&amp;TRIM(TEXTSPLIT(AQ184,","))&amp;",",","&amp;SUBSTITUTE(input_audience," ","")&amp;",")))&gt;0)),IF(AS184="",TRUE,IF(input_audience="",FALSE,SUMPRODUCT(--ISNUMBER(SEARCH(","&amp;TRIM(TEXTSPLIT(AS184,","))&amp;",",","&amp;SUBSTITUTE(input_audience," ","")&amp;",")))=COUNTA(TEXTSPLIT(AS184,",")))),IF(AU184="",TRUE,IF(input_audience="",TRUE,SUMPRODUCT(--ISNUMBER(SEARCH(","&amp;TRIM(TEXTSPLIT(AU184,","))&amp;",",","&amp;SUBSTITUTE(input_audience," ","")&amp;",")))=0)),IF(AW184="",TRUE,IF(input_audience="",FALSE,SUMPRODUCT(--ISNUMBER(SEARCH(","&amp;TRIM(TEXTSPLIT(AW184,","))&amp;",",","&amp;SUBSTITUTE(input_audience," ","")&amp;",")))&gt;0)),IF(AY184="",TRUE,IF(input_audience="",FALSE,SUMPRODUCT(--ISNUMBER(SEARCH(","&amp;TRIM(TEXTSPLIT(AY184,","))&amp;",",","&amp;SUBSTITUTE(input_audience," ","")&amp;",")))=COUNTA(TEXTSPLIT(AY184,",")))))</f>
        <v/>
      </c>
      <c r="IX184" s="19">
        <f>AND(IF(BA184="",TRUE,IF(input_challenge_opportunities="",FALSE,SUMPRODUCT(--ISNUMBER(SEARCH(","&amp;TRIM(TEXTSPLIT(BA184,","))&amp;",",","&amp;SUBSTITUTE(input_challenge_opportunities," ","")&amp;",")))&gt;0)),IF(BC184="",TRUE,IF(input_challenge_opportunities="",FALSE,SUMPRODUCT(--ISNUMBER(SEARCH(","&amp;TRIM(TEXTSPLIT(BC184,","))&amp;",",","&amp;SUBSTITUTE(input_challenge_opportunities," ","")&amp;",")))=COUNTA(TEXTSPLIT(BC184,",")))),IF(BE184="",TRUE,IF(input_challenge_opportunities="",TRUE,SUMPRODUCT(--ISNUMBER(SEARCH(","&amp;TRIM(TEXTSPLIT(BE184,","))&amp;",",","&amp;SUBSTITUTE(input_challenge_opportunities," ","")&amp;",")))=0)),IF(BG184="",TRUE,IF(input_challenge_opportunities="",FALSE,SUMPRODUCT(--ISNUMBER(SEARCH(","&amp;TRIM(TEXTSPLIT(BG184,","))&amp;",",","&amp;SUBSTITUTE(input_challenge_opportunities," ","")&amp;",")))&gt;0)),IF(BI184="",TRUE,IF(input_challenge_opportunities="",FALSE,SUMPRODUCT(--ISNUMBER(SEARCH(","&amp;TRIM(TEXTSPLIT(BI184,","))&amp;",",","&amp;SUBSTITUTE(input_challenge_opportunities," ","")&amp;",")))=COUNTA(TEXTSPLIT(BI184,",")))))</f>
        <v/>
      </c>
      <c r="IY184" s="19">
        <f>AND(IF(BK184="",TRUE,IF(input_context="",FALSE,SUMPRODUCT(--ISNUMBER(SEARCH(","&amp;TRIM(TEXTSPLIT(BK184,","))&amp;",",","&amp;SUBSTITUTE(input_context," ","")&amp;",")))&gt;0)),IF(BM184="",TRUE,IF(input_context="",FALSE,SUMPRODUCT(--ISNUMBER(SEARCH(","&amp;TRIM(TEXTSPLIT(BM184,","))&amp;",",","&amp;SUBSTITUTE(input_context," ","")&amp;",")))=COUNTA(TEXTSPLIT(BM184,",")))),IF(BO184="",TRUE,IF(input_context="",TRUE,SUMPRODUCT(--ISNUMBER(SEARCH(","&amp;TRIM(TEXTSPLIT(BO184,","))&amp;",",","&amp;SUBSTITUTE(input_context," ","")&amp;",")))=0)),IF(BQ184="",TRUE,IF(input_context="",FALSE,SUMPRODUCT(--ISNUMBER(SEARCH(","&amp;TRIM(TEXTSPLIT(BQ184,","))&amp;",",","&amp;SUBSTITUTE(input_context," ","")&amp;",")))&gt;0)),IF(BS184="",TRUE,IF(input_context="",FALSE,SUMPRODUCT(--ISNUMBER(SEARCH(","&amp;TRIM(TEXTSPLIT(BS184,","))&amp;",",","&amp;SUBSTITUTE(input_context," ","")&amp;",")))=COUNTA(TEXTSPLIT(BS184,",")))))</f>
        <v/>
      </c>
      <c r="IZ184" s="19">
        <f>AND(IF(BU184="",TRUE,IF(input_enews_announcement_type="",FALSE,SUMPRODUCT(--ISNUMBER(SEARCH(","&amp;TRIM(TEXTSPLIT(BU184,","))&amp;",",","&amp;SUBSTITUTE(input_enews_announcement_type," ","")&amp;",")))&gt;0)),IF(BW184="",TRUE,IF(input_enews_announcement_type="",FALSE,SUMPRODUCT(--ISNUMBER(SEARCH(","&amp;TRIM(TEXTSPLIT(BW184,","))&amp;",",","&amp;SUBSTITUTE(input_enews_announcement_type," ","")&amp;",")))=COUNTA(TEXTSPLIT(BW184,",")))),IF(BY184="",TRUE,IF(input_enews_announcement_type="",TRUE,SUMPRODUCT(--ISNUMBER(SEARCH(","&amp;TRIM(TEXTSPLIT(BY184,","))&amp;",",","&amp;SUBSTITUTE(input_enews_announcement_type," ","")&amp;",")))=0)),IF(CA184="",TRUE,IF(input_enews_announcement_type="",FALSE,SUMPRODUCT(--ISNUMBER(SEARCH(","&amp;TRIM(TEXTSPLIT(CA184,","))&amp;",",","&amp;SUBSTITUTE(input_enews_announcement_type," ","")&amp;",")))&gt;0)),IF(CC184="",TRUE,IF(input_enews_announcement_type="",FALSE,SUMPRODUCT(--ISNUMBER(SEARCH(","&amp;TRIM(TEXTSPLIT(CC184,","))&amp;",",","&amp;SUBSTITUTE(input_enews_announcement_type," ","")&amp;",")))=COUNTA(TEXTSPLIT(CC184,",")))))</f>
        <v/>
      </c>
      <c r="JA184" s="19">
        <f>AND(IF(CE184="",TRUE,IF(input_enews_audience="",FALSE,SUMPRODUCT(--ISNUMBER(SEARCH(","&amp;TRIM(TEXTSPLIT(CE184,","))&amp;",",","&amp;SUBSTITUTE(input_enews_audience," ","")&amp;",")))&gt;0)),IF(CG184="",TRUE,IF(input_enews_audience="",FALSE,SUMPRODUCT(--ISNUMBER(SEARCH(","&amp;TRIM(TEXTSPLIT(CG184,","))&amp;",",","&amp;SUBSTITUTE(input_enews_audience," ","")&amp;",")))=COUNTA(TEXTSPLIT(CG184,",")))),IF(CI184="",TRUE,IF(input_enews_audience="",TRUE,SUMPRODUCT(--ISNUMBER(SEARCH(","&amp;TRIM(TEXTSPLIT(CI184,","))&amp;",",","&amp;SUBSTITUTE(input_enews_audience," ","")&amp;",")))=0)),IF(CK184="",TRUE,IF(input_enews_audience="",FALSE,SUMPRODUCT(--ISNUMBER(SEARCH(","&amp;TRIM(TEXTSPLIT(CK184,","))&amp;",",","&amp;SUBSTITUTE(input_enews_audience," ","")&amp;",")))&gt;0)),IF(CM184="",TRUE,IF(input_enews_audience="",FALSE,SUMPRODUCT(--ISNUMBER(SEARCH(","&amp;TRIM(TEXTSPLIT(CM184,","))&amp;",",","&amp;SUBSTITUTE(input_enews_audience," ","")&amp;",")))=COUNTA(TEXTSPLIT(CM184,",")))))</f>
        <v/>
      </c>
      <c r="JB184" s="19">
        <f>AND(IF(CO184="",TRUE,IF(input_event_location="",FALSE,SUMPRODUCT(--ISNUMBER(SEARCH(","&amp;TRIM(TEXTSPLIT(CO184,","))&amp;",",","&amp;SUBSTITUTE(input_event_location," ","")&amp;",")))&gt;0)),IF(CQ184="",TRUE,IF(input_event_location="",FALSE,SUMPRODUCT(--ISNUMBER(SEARCH(","&amp;TRIM(TEXTSPLIT(CQ184,","))&amp;",",","&amp;SUBSTITUTE(input_event_location," ","")&amp;",")))=COUNTA(TEXTSPLIT(CQ184,",")))),IF(CS184="",TRUE,IF(input_event_location="",TRUE,SUMPRODUCT(--ISNUMBER(SEARCH(","&amp;TRIM(TEXTSPLIT(CS184,","))&amp;",",","&amp;SUBSTITUTE(input_event_location," ","")&amp;",")))=0)),IF(CU184="",TRUE,IF(input_event_location="",FALSE,SUMPRODUCT(--ISNUMBER(SEARCH(","&amp;TRIM(TEXTSPLIT(CU184,","))&amp;",",","&amp;SUBSTITUTE(input_event_location," ","")&amp;",")))&gt;0)),IF(CW184="",TRUE,IF(input_event_location="",FALSE,SUMPRODUCT(--ISNUMBER(SEARCH(","&amp;TRIM(TEXTSPLIT(CW184,","))&amp;",",","&amp;SUBSTITUTE(input_event_location," ","")&amp;",")))=COUNTA(TEXTSPLIT(CW184,",")))))</f>
        <v/>
      </c>
      <c r="JC184" s="19">
        <f>AND(IF(CY184="",TRUE,IF(input_event_type="",FALSE,SUMPRODUCT(--ISNUMBER(SEARCH(","&amp;TRIM(TEXTSPLIT(CY184,","))&amp;",",","&amp;SUBSTITUTE(input_event_type," ","")&amp;",")))&gt;0)),IF(DA184="",TRUE,IF(input_event_type="",FALSE,SUMPRODUCT(--ISNUMBER(SEARCH(","&amp;TRIM(TEXTSPLIT(DA184,","))&amp;",",","&amp;SUBSTITUTE(input_event_type," ","")&amp;",")))=COUNTA(TEXTSPLIT(DA184,",")))),IF(DC184="",TRUE,IF(input_event_type="",TRUE,SUMPRODUCT(--ISNUMBER(SEARCH(","&amp;TRIM(TEXTSPLIT(DC184,","))&amp;",",","&amp;SUBSTITUTE(input_event_type," ","")&amp;",")))=0)),IF(DE184="",TRUE,IF(input_event_type="",FALSE,SUMPRODUCT(--ISNUMBER(SEARCH(","&amp;TRIM(TEXTSPLIT(DE184,","))&amp;",",","&amp;SUBSTITUTE(input_event_type," ","")&amp;",")))&gt;0)),IF(DG184="",TRUE,IF(input_event_type="",FALSE,SUMPRODUCT(--ISNUMBER(SEARCH(","&amp;TRIM(TEXTSPLIT(DG184,","))&amp;",",","&amp;SUBSTITUTE(input_event_type," ","")&amp;",")))=COUNTA(TEXTSPLIT(DG184,",")))))</f>
        <v/>
      </c>
      <c r="JD184" s="19">
        <f>AND(IF(DI184="",TRUE,IF(input_executive_education_focus="",FALSE,SUMPRODUCT(--ISNUMBER(SEARCH(","&amp;TRIM(TEXTSPLIT(DI184,","))&amp;",",","&amp;SUBSTITUTE(input_executive_education_focus," ","")&amp;",")))&gt;0)),IF(DK184="",TRUE,IF(input_executive_education_focus="",FALSE,SUMPRODUCT(--ISNUMBER(SEARCH(","&amp;TRIM(TEXTSPLIT(DK184,","))&amp;",",","&amp;SUBSTITUTE(input_executive_education_focus," ","")&amp;",")))=COUNTA(TEXTSPLIT(DK184,",")))),IF(DM184="",TRUE,IF(input_executive_education_focus="",TRUE,SUMPRODUCT(--ISNUMBER(SEARCH(","&amp;TRIM(TEXTSPLIT(DM184,","))&amp;",",","&amp;SUBSTITUTE(input_executive_education_focus," ","")&amp;",")))=0)),IF(DO184="",TRUE,IF(input_executive_education_focus="",FALSE,SUMPRODUCT(--ISNUMBER(SEARCH(","&amp;TRIM(TEXTSPLIT(DO184,","))&amp;",",","&amp;SUBSTITUTE(input_executive_education_focus," ","")&amp;",")))&gt;0)),IF(DQ184="",TRUE,IF(input_executive_education_focus="",FALSE,SUMPRODUCT(--ISNUMBER(SEARCH(","&amp;TRIM(TEXTSPLIT(DQ184,","))&amp;",",","&amp;SUBSTITUTE(input_executive_education_focus," ","")&amp;",")))=COUNTA(TEXTSPLIT(DQ184,",")))))</f>
        <v/>
      </c>
      <c r="JE184" s="19">
        <f>AND(IF(DS184="",TRUE,IF(input_faculty_category="",FALSE,SUMPRODUCT(--ISNUMBER(SEARCH(","&amp;TRIM(TEXTSPLIT(DS184,","))&amp;",",","&amp;SUBSTITUTE(input_faculty_category," ","")&amp;",")))&gt;0)),IF(DU184="",TRUE,IF(input_faculty_category="",FALSE,SUMPRODUCT(--ISNUMBER(SEARCH(","&amp;TRIM(TEXTSPLIT(DU184,","))&amp;",",","&amp;SUBSTITUTE(input_faculty_category," ","")&amp;",")))=COUNTA(TEXTSPLIT(DU184,",")))),IF(DW184="",TRUE,IF(input_faculty_category="",TRUE,SUMPRODUCT(--ISNUMBER(SEARCH(","&amp;TRIM(TEXTSPLIT(DW184,","))&amp;",",","&amp;SUBSTITUTE(input_faculty_category," ","")&amp;",")))=0)),IF(DY184="",TRUE,IF(input_faculty_category="",FALSE,SUMPRODUCT(--ISNUMBER(SEARCH(","&amp;TRIM(TEXTSPLIT(DY184,","))&amp;",",","&amp;SUBSTITUTE(input_faculty_category," ","")&amp;",")))&gt;0)),IF(EA184="",TRUE,IF(input_faculty_category="",FALSE,SUMPRODUCT(--ISNUMBER(SEARCH(","&amp;TRIM(TEXTSPLIT(EA184,","))&amp;",",","&amp;SUBSTITUTE(input_faculty_category," ","")&amp;",")))=COUNTA(TEXTSPLIT(EA184,",")))))</f>
        <v/>
      </c>
      <c r="JF184" s="19">
        <f>AND(IF(EC184="",TRUE,IF(input_faculty_discipline="",FALSE,SUMPRODUCT(--ISNUMBER(SEARCH(","&amp;TRIM(TEXTSPLIT(EC184,","))&amp;",",","&amp;SUBSTITUTE(input_faculty_discipline," ","")&amp;",")))&gt;0)),IF(EE184="",TRUE,IF(input_faculty_discipline="",FALSE,SUMPRODUCT(--ISNUMBER(SEARCH(","&amp;TRIM(TEXTSPLIT(EE184,","))&amp;",",","&amp;SUBSTITUTE(input_faculty_discipline," ","")&amp;",")))=COUNTA(TEXTSPLIT(EE184,",")))),IF(EG184="",TRUE,IF(input_faculty_discipline="",TRUE,SUMPRODUCT(--ISNUMBER(SEARCH(","&amp;TRIM(TEXTSPLIT(EG184,","))&amp;",",","&amp;SUBSTITUTE(input_faculty_discipline," ","")&amp;",")))=0)),IF(EI184="",TRUE,IF(input_faculty_discipline="",FALSE,SUMPRODUCT(--ISNUMBER(SEARCH(","&amp;TRIM(TEXTSPLIT(EI184,","))&amp;",",","&amp;SUBSTITUTE(input_faculty_discipline," ","")&amp;",")))&gt;0)),IF(EK184="",TRUE,IF(input_faculty_discipline="",FALSE,SUMPRODUCT(--ISNUMBER(SEARCH(","&amp;TRIM(TEXTSPLIT(EK184,","))&amp;",",","&amp;SUBSTITUTE(input_faculty_discipline," ","")&amp;",")))=COUNTA(TEXTSPLIT(EK184,",")))))</f>
        <v/>
      </c>
      <c r="JG184" s="19">
        <f>AND(IF(EM184="",TRUE,IF(input_faculty_expertise="",FALSE,SUMPRODUCT(--ISNUMBER(SEARCH(","&amp;TRIM(TEXTSPLIT(EM184,","))&amp;",",","&amp;SUBSTITUTE(input_faculty_expertise," ","")&amp;",")))&gt;0)),IF(EO184="",TRUE,IF(input_faculty_expertise="",FALSE,SUMPRODUCT(--ISNUMBER(SEARCH(","&amp;TRIM(TEXTSPLIT(EO184,","))&amp;",",","&amp;SUBSTITUTE(input_faculty_expertise," ","")&amp;",")))=COUNTA(TEXTSPLIT(EO184,",")))),IF(EQ184="",TRUE,IF(input_faculty_expertise="",TRUE,SUMPRODUCT(--ISNUMBER(SEARCH(","&amp;TRIM(TEXTSPLIT(EQ184,","))&amp;",",","&amp;SUBSTITUTE(input_faculty_expertise," ","")&amp;",")))=0)),IF(ES184="",TRUE,IF(input_faculty_expertise="",FALSE,SUMPRODUCT(--ISNUMBER(SEARCH(","&amp;TRIM(TEXTSPLIT(ES184,","))&amp;",",","&amp;SUBSTITUTE(input_faculty_expertise," ","")&amp;",")))&gt;0)),IF(EU184="",TRUE,IF(input_faculty_expertise="",FALSE,SUMPRODUCT(--ISNUMBER(SEARCH(","&amp;TRIM(TEXTSPLIT(EU184,","))&amp;",",","&amp;SUBSTITUTE(input_faculty_expertise," ","")&amp;",")))=COUNTA(TEXTSPLIT(EU184,",")))))</f>
        <v/>
      </c>
      <c r="JH184" s="19">
        <f>AND(IF(EW184="",TRUE,IF(input_global_network_school="",FALSE,SUMPRODUCT(--ISNUMBER(SEARCH(","&amp;TRIM(TEXTSPLIT(EW184,","))&amp;",",","&amp;SUBSTITUTE(input_global_network_school," ","")&amp;",")))&gt;0)),IF(EY184="",TRUE,IF(input_global_network_school="",FALSE,SUMPRODUCT(--ISNUMBER(SEARCH(","&amp;TRIM(TEXTSPLIT(EY184,","))&amp;",",","&amp;SUBSTITUTE(input_global_network_school," ","")&amp;",")))=COUNTA(TEXTSPLIT(EY184,",")))),IF(FA184="",TRUE,IF(input_global_network_school="",TRUE,SUMPRODUCT(--ISNUMBER(SEARCH(","&amp;TRIM(TEXTSPLIT(FA184,","))&amp;",",","&amp;SUBSTITUTE(input_global_network_school," ","")&amp;",")))=0)),IF(FC184="",TRUE,IF(input_global_network_school="",FALSE,SUMPRODUCT(--ISNUMBER(SEARCH(","&amp;TRIM(TEXTSPLIT(FC184,","))&amp;",",","&amp;SUBSTITUTE(input_global_network_school," ","")&amp;",")))&gt;0)),IF(FE184="",TRUE,IF(input_global_network_school="",FALSE,SUMPRODUCT(--ISNUMBER(SEARCH(","&amp;TRIM(TEXTSPLIT(FE184,","))&amp;",",","&amp;SUBSTITUTE(input_global_network_school," ","")&amp;",")))=COUNTA(TEXTSPLIT(FE184,",")))))</f>
        <v/>
      </c>
      <c r="JI184" s="19">
        <f>AND(IF(FG184="",TRUE,IF(input_industry="",FALSE,SUMPRODUCT(--ISNUMBER(SEARCH(","&amp;TRIM(TEXTSPLIT(FG184,","))&amp;",",","&amp;SUBSTITUTE(input_industry," ","")&amp;",")))&gt;0)),IF(FI184="",TRUE,IF(input_industry="",FALSE,SUMPRODUCT(--ISNUMBER(SEARCH(","&amp;TRIM(TEXTSPLIT(FI184,","))&amp;",",","&amp;SUBSTITUTE(input_industry," ","")&amp;",")))=COUNTA(TEXTSPLIT(FI184,",")))),IF(FK184="",TRUE,IF(input_industry="",TRUE,SUMPRODUCT(--ISNUMBER(SEARCH(","&amp;TRIM(TEXTSPLIT(FK184,","))&amp;",",","&amp;SUBSTITUTE(input_industry," ","")&amp;",")))=0)),IF(FM184="",TRUE,IF(input_industry="",FALSE,SUMPRODUCT(--ISNUMBER(SEARCH(","&amp;TRIM(TEXTSPLIT(FM184,","))&amp;",",","&amp;SUBSTITUTE(input_industry," ","")&amp;",")))&gt;0)),IF(FO184="",TRUE,IF(input_industry="",FALSE,SUMPRODUCT(--ISNUMBER(SEARCH(","&amp;TRIM(TEXTSPLIT(FO184,","))&amp;",",","&amp;SUBSTITUTE(input_industry," ","")&amp;",")))=COUNTA(TEXTSPLIT(FO184,",")))))</f>
        <v/>
      </c>
      <c r="JJ184" s="19">
        <f>AND(IF(FQ184="",TRUE,IF(input_location="",FALSE,SUMPRODUCT(--ISNUMBER(SEARCH(","&amp;TRIM(TEXTSPLIT(FQ184,","))&amp;",",","&amp;SUBSTITUTE(input_location," ","")&amp;",")))&gt;0)),IF(FS184="",TRUE,IF(input_location="",FALSE,SUMPRODUCT(--ISNUMBER(SEARCH(","&amp;TRIM(TEXTSPLIT(FS184,","))&amp;",",","&amp;SUBSTITUTE(input_location," ","")&amp;",")))=COUNTA(TEXTSPLIT(FS184,",")))),IF(FU184="",TRUE,IF(input_location="",TRUE,SUMPRODUCT(--ISNUMBER(SEARCH(","&amp;TRIM(TEXTSPLIT(FU184,","))&amp;",",","&amp;SUBSTITUTE(input_location," ","")&amp;",")))=0)),IF(FW184="",TRUE,IF(input_location="",FALSE,SUMPRODUCT(--ISNUMBER(SEARCH(","&amp;TRIM(TEXTSPLIT(FW184,","))&amp;",",","&amp;SUBSTITUTE(input_location," ","")&amp;",")))&gt;0)),IF(FY184="",TRUE,IF(input_location="",FALSE,SUMPRODUCT(--ISNUMBER(SEARCH(","&amp;TRIM(TEXTSPLIT(FY184,","))&amp;",",","&amp;SUBSTITUTE(input_location," ","")&amp;",")))=COUNTA(TEXTSPLIT(FY184,",")))))</f>
        <v/>
      </c>
      <c r="JK184" s="19">
        <f>AND(IF(GA184="",TRUE,IF(input_modality="",FALSE,SUMPRODUCT(--ISNUMBER(SEARCH(","&amp;TRIM(TEXTSPLIT(GA184,","))&amp;",",","&amp;SUBSTITUTE(input_modality," ","")&amp;",")))&gt;0)),IF(GC184="",TRUE,IF(input_modality="",FALSE,SUMPRODUCT(--ISNUMBER(SEARCH(","&amp;TRIM(TEXTSPLIT(GC184,","))&amp;",",","&amp;SUBSTITUTE(input_modality," ","")&amp;",")))=COUNTA(TEXTSPLIT(GC184,",")))),IF(GE184="",TRUE,IF(input_modality="",TRUE,SUMPRODUCT(--ISNUMBER(SEARCH(","&amp;TRIM(TEXTSPLIT(GE184,","))&amp;",",","&amp;SUBSTITUTE(input_modality," ","")&amp;",")))=0)),IF(GG184="",TRUE,IF(input_modality="",FALSE,SUMPRODUCT(--ISNUMBER(SEARCH(","&amp;TRIM(TEXTSPLIT(GG184,","))&amp;",",","&amp;SUBSTITUTE(input_modality," ","")&amp;",")))&gt;0)),IF(GI184="",TRUE,IF(input_modality="",FALSE,SUMPRODUCT(--ISNUMBER(SEARCH(","&amp;TRIM(TEXTSPLIT(GI184,","))&amp;",",","&amp;SUBSTITUTE(input_modality," ","")&amp;",")))=COUNTA(TEXTSPLIT(GI184,",")))))</f>
        <v/>
      </c>
      <c r="JL184" s="19">
        <f>AND(IF(GK184="",TRUE,IF(input_organizer="",FALSE,SUMPRODUCT(--ISNUMBER(SEARCH(","&amp;TRIM(TEXTSPLIT(GK184,","))&amp;",",","&amp;SUBSTITUTE(input_organizer," ","")&amp;",")))&gt;0)),IF(GM184="",TRUE,IF(input_organizer="",FALSE,SUMPRODUCT(--ISNUMBER(SEARCH(","&amp;TRIM(TEXTSPLIT(GM184,","))&amp;",",","&amp;SUBSTITUTE(input_organizer," ","")&amp;",")))=COUNTA(TEXTSPLIT(GM184,",")))),IF(GO184="",TRUE,IF(input_organizer="",TRUE,SUMPRODUCT(--ISNUMBER(SEARCH(","&amp;TRIM(TEXTSPLIT(GO184,","))&amp;",",","&amp;SUBSTITUTE(input_organizer," ","")&amp;",")))=0)),IF(GQ184="",TRUE,IF(input_organizer="",FALSE,SUMPRODUCT(--ISNUMBER(SEARCH(","&amp;TRIM(TEXTSPLIT(GQ184,","))&amp;",",","&amp;SUBSTITUTE(input_organizer," ","")&amp;",")))&gt;0)),IF(GS184="",TRUE,IF(input_organizer="",FALSE,SUMPRODUCT(--ISNUMBER(SEARCH(","&amp;TRIM(TEXTSPLIT(GS184,","))&amp;",",","&amp;SUBSTITUTE(input_organizer," ","")&amp;",")))=COUNTA(TEXTSPLIT(GS184,",")))))</f>
        <v/>
      </c>
      <c r="JM184" s="19">
        <f>AND(IF(GU184="",TRUE,IF(input_profile_type="",FALSE,SUMPRODUCT(--ISNUMBER(SEARCH(","&amp;TRIM(TEXTSPLIT(GU184,","))&amp;",",","&amp;SUBSTITUTE(input_profile_type," ","")&amp;",")))&gt;0)),IF(GW184="",TRUE,IF(input_profile_type="",FALSE,SUMPRODUCT(--ISNUMBER(SEARCH(","&amp;TRIM(TEXTSPLIT(GW184,","))&amp;",",","&amp;SUBSTITUTE(input_profile_type," ","")&amp;",")))=COUNTA(TEXTSPLIT(GW184,",")))),IF(GY184="",TRUE,IF(input_profile_type="",TRUE,SUMPRODUCT(--ISNUMBER(SEARCH(","&amp;TRIM(TEXTSPLIT(GY184,","))&amp;",",","&amp;SUBSTITUTE(input_profile_type," ","")&amp;",")))=0)),IF(HA184="",TRUE,IF(input_profile_type="",FALSE,SUMPRODUCT(--ISNUMBER(SEARCH(","&amp;TRIM(TEXTSPLIT(HA184,","))&amp;",",","&amp;SUBSTITUTE(input_profile_type," ","")&amp;",")))&gt;0)),IF(HC184="",TRUE,IF(input_profile_type="",FALSE,SUMPRODUCT(--ISNUMBER(SEARCH(","&amp;TRIM(TEXTSPLIT(HC184,","))&amp;",",","&amp;SUBSTITUTE(input_profile_type," ","")&amp;",")))=COUNTA(TEXTSPLIT(HC184,",")))))</f>
        <v/>
      </c>
      <c r="JN184" s="19">
        <f>AND(IF(HE184="",TRUE,IF(input_program="",FALSE,SUMPRODUCT(--ISNUMBER(SEARCH(","&amp;TRIM(TEXTSPLIT(HE184,","))&amp;",",","&amp;SUBSTITUTE(input_program," ","")&amp;",")))&gt;0)),IF(HG184="",TRUE,IF(input_program="",FALSE,SUMPRODUCT(--ISNUMBER(SEARCH(","&amp;TRIM(TEXTSPLIT(HG184,","))&amp;",",","&amp;SUBSTITUTE(input_program," ","")&amp;",")))=COUNTA(TEXTSPLIT(HG184,",")))),IF(HI184="",TRUE,IF(input_program="",TRUE,SUMPRODUCT(--ISNUMBER(SEARCH(","&amp;TRIM(TEXTSPLIT(HI184,","))&amp;",",","&amp;SUBSTITUTE(input_program," ","")&amp;",")))=0)),IF(HK184="",TRUE,IF(input_program="",FALSE,SUMPRODUCT(--ISNUMBER(SEARCH(","&amp;TRIM(TEXTSPLIT(HK184,","))&amp;",",","&amp;SUBSTITUTE(input_program," ","")&amp;",")))&gt;0)),IF(HM184="",TRUE,IF(input_program="",FALSE,SUMPRODUCT(--ISNUMBER(SEARCH(","&amp;TRIM(TEXTSPLIT(HM184,","))&amp;",",","&amp;SUBSTITUTE(input_program," ","")&amp;",")))=COUNTA(TEXTSPLIT(HM184,",")))))</f>
        <v/>
      </c>
      <c r="JO184" s="19">
        <f>AND(IF(HO184="",TRUE,IF(input_story_categories="",FALSE,SUMPRODUCT(--ISNUMBER(SEARCH(","&amp;TRIM(TEXTSPLIT(HO184,","))&amp;",",","&amp;SUBSTITUTE(input_story_categories," ","")&amp;",")))&gt;0)),IF(HQ184="",TRUE,IF(input_story_categories="",FALSE,SUMPRODUCT(--ISNUMBER(SEARCH(","&amp;TRIM(TEXTSPLIT(HQ184,","))&amp;",",","&amp;SUBSTITUTE(input_story_categories," ","")&amp;",")))=COUNTA(TEXTSPLIT(HQ184,",")))),IF(HS184="",TRUE,IF(input_story_categories="",TRUE,SUMPRODUCT(--ISNUMBER(SEARCH(","&amp;TRIM(TEXTSPLIT(HS184,","))&amp;",",","&amp;SUBSTITUTE(input_story_categories," ","")&amp;",")))=0)),IF(HU184="",TRUE,IF(input_story_categories="",FALSE,SUMPRODUCT(--ISNUMBER(SEARCH(","&amp;TRIM(TEXTSPLIT(HU184,","))&amp;",",","&amp;SUBSTITUTE(input_story_categories," ","")&amp;",")))&gt;0)),IF(HW184="",TRUE,IF(input_story_categories="",FALSE,SUMPRODUCT(--ISNUMBER(SEARCH(","&amp;TRIM(TEXTSPLIT(HW184,","))&amp;",",","&amp;SUBSTITUTE(input_story_categories," ","")&amp;",")))=COUNTA(TEXTSPLIT(HW184,",")))))</f>
        <v/>
      </c>
      <c r="JP184" s="19">
        <f>AND(IF(HY184="",TRUE,IF(input_story_type="",FALSE,SUMPRODUCT(--ISNUMBER(SEARCH(","&amp;TRIM(TEXTSPLIT(HY184,","))&amp;",",","&amp;SUBSTITUTE(input_story_type," ","")&amp;",")))&gt;0)),IF(IA184="",TRUE,IF(input_story_type="",FALSE,SUMPRODUCT(--ISNUMBER(SEARCH(","&amp;TRIM(TEXTSPLIT(IA184,","))&amp;",",","&amp;SUBSTITUTE(input_story_type," ","")&amp;",")))=COUNTA(TEXTSPLIT(IA184,",")))),IF(IC184="",TRUE,IF(input_story_type="",TRUE,SUMPRODUCT(--ISNUMBER(SEARCH(","&amp;TRIM(TEXTSPLIT(IC184,","))&amp;",",","&amp;SUBSTITUTE(input_story_type," ","")&amp;",")))=0)),IF(IE184="",TRUE,IF(input_story_type="",FALSE,SUMPRODUCT(--ISNUMBER(SEARCH(","&amp;TRIM(TEXTSPLIT(IE184,","))&amp;",",","&amp;SUBSTITUTE(input_story_type," ","")&amp;",")))&gt;0)),IF(IG184="",TRUE,IF(input_story_type="",FALSE,SUMPRODUCT(--ISNUMBER(SEARCH(","&amp;TRIM(TEXTSPLIT(IG184,","))&amp;",",","&amp;SUBSTITUTE(input_story_type," ","")&amp;",")))=COUNTA(TEXTSPLIT(IG184,",")))))</f>
        <v/>
      </c>
      <c r="JQ184" s="19">
        <f>AND(IF(II184="",TRUE,IF(input_topics="",FALSE,SUMPRODUCT(--ISNUMBER(SEARCH(","&amp;TRIM(TEXTSPLIT(II184,","))&amp;",",","&amp;SUBSTITUTE(input_topics," ","")&amp;",")))&gt;0)),IF(IK184="",TRUE,IF(input_topics="",FALSE,SUMPRODUCT(--ISNUMBER(SEARCH(","&amp;TRIM(TEXTSPLIT(IK184,","))&amp;",",","&amp;SUBSTITUTE(input_topics," ","")&amp;",")))=COUNTA(TEXTSPLIT(IK184,",")))),IF(IM184="",TRUE,IF(input_topics="",TRUE,SUMPRODUCT(--ISNUMBER(SEARCH(","&amp;TRIM(TEXTSPLIT(IM184,","))&amp;",",","&amp;SUBSTITUTE(input_topics," ","")&amp;",")))=0)),IF(IO184="",TRUE,IF(input_topics="",FALSE,SUMPRODUCT(--ISNUMBER(SEARCH(","&amp;TRIM(TEXTSPLIT(IO184,","))&amp;",",","&amp;SUBSTITUTE(input_topics," ","")&amp;",")))&gt;0)),IF(IQ184="",TRUE,IF(input_topics="",FALSE,SUMPRODUCT(--ISNUMBER(SEARCH(","&amp;TRIM(TEXTSPLIT(IQ184,","))&amp;",",","&amp;SUBSTITUTE(input_topics," ","")&amp;",")))=COUNTA(TEXTSPLIT(IQ184,",")))))</f>
        <v/>
      </c>
    </row>
    <row r="185">
      <c r="A185" s="24">
        <f>IF(NOT(IS185),"Excluded",IF(AND(IT185,IU185,IV185,IW185,IX185,IY185,IZ185,JA185,JB185,JC185,JD185,JE185,JF185,JG185,JH185,JI185,JJ185,JK185,JL185,JM185,JN185,JO185,JP185,JQ185),IF(I185&gt;0,"Eligible but limited","Will appear"),"Excluded"))</f>
        <v/>
      </c>
      <c r="B185" s="24" t="inlineStr">
        <is>
          <t>Related stories on story pages</t>
        </is>
      </c>
      <c r="C185" s="27" t="inlineStr">
        <is>
          <t>/news/2016/10/improving-lives-through-innovative-government</t>
        </is>
      </c>
      <c r="D185" s="24" t="inlineStr">
        <is>
          <t>/news/2016/10/improving-lives-through-innovative-government
/news/2018/01/andrew-kassoy-visits-soms-social-impact-lab
/news/2018/01/harvey-koh-on-shaping-inclusive-markets</t>
        </is>
      </c>
      <c r="E185" s="24" t="n">
        <v>89</v>
      </c>
      <c r="F185" s="24" t="inlineStr">
        <is>
          <t>story</t>
        </is>
      </c>
      <c r="G185" s="24" t="inlineStr">
        <is>
          <t>stories_teaser_cards</t>
        </is>
      </c>
      <c r="H185" s="24" t="inlineStr">
        <is>
          <t>embed_all</t>
        </is>
      </c>
      <c r="I185" s="24" t="n">
        <v>3</v>
      </c>
      <c r="J185" s="31" t="inlineStr">
        <is>
          <t>Template logic</t>
        </is>
      </c>
      <c r="K185" s="24" t="inlineStr">
        <is>
          <t>Grouped surface</t>
        </is>
      </c>
      <c r="L185" s="24" t="inlineStr">
        <is>
          <t>Content type: story; Context uses Courses Context: Program on Social Enterprise, Innovation, and Impact (933); Context uses Story Type: News (924); Limited to 3 item(s); Source: Template logic</t>
        </is>
      </c>
      <c r="BQ185" s="19" t="inlineStr">
        <is>
          <t>933</t>
        </is>
      </c>
      <c r="BR185" s="19" t="inlineStr">
        <is>
          <t>Program on Social Enterprise, Innovation, and Impact (933)</t>
        </is>
      </c>
      <c r="IE185" s="19" t="inlineStr">
        <is>
          <t>924</t>
        </is>
      </c>
      <c r="IF185" s="19" t="inlineStr">
        <is>
          <t>News (924)</t>
        </is>
      </c>
      <c r="IS185" s="19">
        <f>IF(input_content_type="",FALSE,ISNUMBER(SEARCH(","&amp;LOWER(input_content_type)&amp;",",","&amp;LOWER(SUBSTITUTE(F185," ",""))&amp;",")))</f>
        <v/>
      </c>
      <c r="IT185" s="19">
        <f>AND(IF(M185="",TRUE,IF(input_affiliations="",FALSE,SUMPRODUCT(--ISNUMBER(SEARCH(","&amp;TRIM(TEXTSPLIT(M185,","))&amp;",",","&amp;SUBSTITUTE(input_affiliations," ","")&amp;",")))&gt;0)),IF(O185="",TRUE,IF(input_affiliations="",FALSE,SUMPRODUCT(--ISNUMBER(SEARCH(","&amp;TRIM(TEXTSPLIT(O185,","))&amp;",",","&amp;SUBSTITUTE(input_affiliations," ","")&amp;",")))=COUNTA(TEXTSPLIT(O185,",")))),IF(Q185="",TRUE,IF(input_affiliations="",TRUE,SUMPRODUCT(--ISNUMBER(SEARCH(","&amp;TRIM(TEXTSPLIT(Q185,","))&amp;",",","&amp;SUBSTITUTE(input_affiliations," ","")&amp;",")))=0)),IF(S185="",TRUE,IF(input_affiliations="",FALSE,SUMPRODUCT(--ISNUMBER(SEARCH(","&amp;TRIM(TEXTSPLIT(S185,","))&amp;",",","&amp;SUBSTITUTE(input_affiliations," ","")&amp;",")))&gt;0)),IF(U185="",TRUE,IF(input_affiliations="",FALSE,SUMPRODUCT(--ISNUMBER(SEARCH(","&amp;TRIM(TEXTSPLIT(U185,","))&amp;",",","&amp;SUBSTITUTE(input_affiliations," ","")&amp;",")))=COUNTA(TEXTSPLIT(U185,",")))))</f>
        <v/>
      </c>
      <c r="IU185" s="19">
        <f>AND(IF(W185="",TRUE,IF(input_announcement_category="",FALSE,SUMPRODUCT(--ISNUMBER(SEARCH(","&amp;TRIM(TEXTSPLIT(W185,","))&amp;",",","&amp;SUBSTITUTE(input_announcement_category," ","")&amp;",")))&gt;0)),IF(Y185="",TRUE,IF(input_announcement_category="",FALSE,SUMPRODUCT(--ISNUMBER(SEARCH(","&amp;TRIM(TEXTSPLIT(Y185,","))&amp;",",","&amp;SUBSTITUTE(input_announcement_category," ","")&amp;",")))=COUNTA(TEXTSPLIT(Y185,",")))),IF(AA185="",TRUE,IF(input_announcement_category="",TRUE,SUMPRODUCT(--ISNUMBER(SEARCH(","&amp;TRIM(TEXTSPLIT(AA185,","))&amp;",",","&amp;SUBSTITUTE(input_announcement_category," ","")&amp;",")))=0)),IF(AC185="",TRUE,IF(input_announcement_category="",FALSE,SUMPRODUCT(--ISNUMBER(SEARCH(","&amp;TRIM(TEXTSPLIT(AC185,","))&amp;",",","&amp;SUBSTITUTE(input_announcement_category," ","")&amp;",")))&gt;0)),IF(AE185="",TRUE,IF(input_announcement_category="",FALSE,SUMPRODUCT(--ISNUMBER(SEARCH(","&amp;TRIM(TEXTSPLIT(AE185,","))&amp;",",","&amp;SUBSTITUTE(input_announcement_category," ","")&amp;",")))=COUNTA(TEXTSPLIT(AE185,",")))))</f>
        <v/>
      </c>
      <c r="IV185" s="19">
        <f>AND(IF(AG185="",TRUE,IF(input_area_of_focus="",FALSE,SUMPRODUCT(--ISNUMBER(SEARCH(","&amp;TRIM(TEXTSPLIT(AG185,","))&amp;",",","&amp;SUBSTITUTE(input_area_of_focus," ","")&amp;",")))&gt;0)),IF(AI185="",TRUE,IF(input_area_of_focus="",FALSE,SUMPRODUCT(--ISNUMBER(SEARCH(","&amp;TRIM(TEXTSPLIT(AI185,","))&amp;",",","&amp;SUBSTITUTE(input_area_of_focus," ","")&amp;",")))=COUNTA(TEXTSPLIT(AI185,",")))),IF(AK185="",TRUE,IF(input_area_of_focus="",TRUE,SUMPRODUCT(--ISNUMBER(SEARCH(","&amp;TRIM(TEXTSPLIT(AK185,","))&amp;",",","&amp;SUBSTITUTE(input_area_of_focus," ","")&amp;",")))=0)),IF(AM185="",TRUE,IF(input_area_of_focus="",FALSE,SUMPRODUCT(--ISNUMBER(SEARCH(","&amp;TRIM(TEXTSPLIT(AM185,","))&amp;",",","&amp;SUBSTITUTE(input_area_of_focus," ","")&amp;",")))&gt;0)),IF(AO185="",TRUE,IF(input_area_of_focus="",FALSE,SUMPRODUCT(--ISNUMBER(SEARCH(","&amp;TRIM(TEXTSPLIT(AO185,","))&amp;",",","&amp;SUBSTITUTE(input_area_of_focus," ","")&amp;",")))=COUNTA(TEXTSPLIT(AO185,",")))))</f>
        <v/>
      </c>
      <c r="IW185" s="19">
        <f>AND(IF(AQ185="",TRUE,IF(input_audience="",FALSE,SUMPRODUCT(--ISNUMBER(SEARCH(","&amp;TRIM(TEXTSPLIT(AQ185,","))&amp;",",","&amp;SUBSTITUTE(input_audience," ","")&amp;",")))&gt;0)),IF(AS185="",TRUE,IF(input_audience="",FALSE,SUMPRODUCT(--ISNUMBER(SEARCH(","&amp;TRIM(TEXTSPLIT(AS185,","))&amp;",",","&amp;SUBSTITUTE(input_audience," ","")&amp;",")))=COUNTA(TEXTSPLIT(AS185,",")))),IF(AU185="",TRUE,IF(input_audience="",TRUE,SUMPRODUCT(--ISNUMBER(SEARCH(","&amp;TRIM(TEXTSPLIT(AU185,","))&amp;",",","&amp;SUBSTITUTE(input_audience," ","")&amp;",")))=0)),IF(AW185="",TRUE,IF(input_audience="",FALSE,SUMPRODUCT(--ISNUMBER(SEARCH(","&amp;TRIM(TEXTSPLIT(AW185,","))&amp;",",","&amp;SUBSTITUTE(input_audience," ","")&amp;",")))&gt;0)),IF(AY185="",TRUE,IF(input_audience="",FALSE,SUMPRODUCT(--ISNUMBER(SEARCH(","&amp;TRIM(TEXTSPLIT(AY185,","))&amp;",",","&amp;SUBSTITUTE(input_audience," ","")&amp;",")))=COUNTA(TEXTSPLIT(AY185,",")))))</f>
        <v/>
      </c>
      <c r="IX185" s="19">
        <f>AND(IF(BA185="",TRUE,IF(input_challenge_opportunities="",FALSE,SUMPRODUCT(--ISNUMBER(SEARCH(","&amp;TRIM(TEXTSPLIT(BA185,","))&amp;",",","&amp;SUBSTITUTE(input_challenge_opportunities," ","")&amp;",")))&gt;0)),IF(BC185="",TRUE,IF(input_challenge_opportunities="",FALSE,SUMPRODUCT(--ISNUMBER(SEARCH(","&amp;TRIM(TEXTSPLIT(BC185,","))&amp;",",","&amp;SUBSTITUTE(input_challenge_opportunities," ","")&amp;",")))=COUNTA(TEXTSPLIT(BC185,",")))),IF(BE185="",TRUE,IF(input_challenge_opportunities="",TRUE,SUMPRODUCT(--ISNUMBER(SEARCH(","&amp;TRIM(TEXTSPLIT(BE185,","))&amp;",",","&amp;SUBSTITUTE(input_challenge_opportunities," ","")&amp;",")))=0)),IF(BG185="",TRUE,IF(input_challenge_opportunities="",FALSE,SUMPRODUCT(--ISNUMBER(SEARCH(","&amp;TRIM(TEXTSPLIT(BG185,","))&amp;",",","&amp;SUBSTITUTE(input_challenge_opportunities," ","")&amp;",")))&gt;0)),IF(BI185="",TRUE,IF(input_challenge_opportunities="",FALSE,SUMPRODUCT(--ISNUMBER(SEARCH(","&amp;TRIM(TEXTSPLIT(BI185,","))&amp;",",","&amp;SUBSTITUTE(input_challenge_opportunities," ","")&amp;",")))=COUNTA(TEXTSPLIT(BI185,",")))))</f>
        <v/>
      </c>
      <c r="IY185" s="19">
        <f>AND(IF(BK185="",TRUE,IF(input_context="",FALSE,SUMPRODUCT(--ISNUMBER(SEARCH(","&amp;TRIM(TEXTSPLIT(BK185,","))&amp;",",","&amp;SUBSTITUTE(input_context," ","")&amp;",")))&gt;0)),IF(BM185="",TRUE,IF(input_context="",FALSE,SUMPRODUCT(--ISNUMBER(SEARCH(","&amp;TRIM(TEXTSPLIT(BM185,","))&amp;",",","&amp;SUBSTITUTE(input_context," ","")&amp;",")))=COUNTA(TEXTSPLIT(BM185,",")))),IF(BO185="",TRUE,IF(input_context="",TRUE,SUMPRODUCT(--ISNUMBER(SEARCH(","&amp;TRIM(TEXTSPLIT(BO185,","))&amp;",",","&amp;SUBSTITUTE(input_context," ","")&amp;",")))=0)),IF(BQ185="",TRUE,IF(input_context="",FALSE,SUMPRODUCT(--ISNUMBER(SEARCH(","&amp;TRIM(TEXTSPLIT(BQ185,","))&amp;",",","&amp;SUBSTITUTE(input_context," ","")&amp;",")))&gt;0)),IF(BS185="",TRUE,IF(input_context="",FALSE,SUMPRODUCT(--ISNUMBER(SEARCH(","&amp;TRIM(TEXTSPLIT(BS185,","))&amp;",",","&amp;SUBSTITUTE(input_context," ","")&amp;",")))=COUNTA(TEXTSPLIT(BS185,",")))))</f>
        <v/>
      </c>
      <c r="IZ185" s="19">
        <f>AND(IF(BU185="",TRUE,IF(input_enews_announcement_type="",FALSE,SUMPRODUCT(--ISNUMBER(SEARCH(","&amp;TRIM(TEXTSPLIT(BU185,","))&amp;",",","&amp;SUBSTITUTE(input_enews_announcement_type," ","")&amp;",")))&gt;0)),IF(BW185="",TRUE,IF(input_enews_announcement_type="",FALSE,SUMPRODUCT(--ISNUMBER(SEARCH(","&amp;TRIM(TEXTSPLIT(BW185,","))&amp;",",","&amp;SUBSTITUTE(input_enews_announcement_type," ","")&amp;",")))=COUNTA(TEXTSPLIT(BW185,",")))),IF(BY185="",TRUE,IF(input_enews_announcement_type="",TRUE,SUMPRODUCT(--ISNUMBER(SEARCH(","&amp;TRIM(TEXTSPLIT(BY185,","))&amp;",",","&amp;SUBSTITUTE(input_enews_announcement_type," ","")&amp;",")))=0)),IF(CA185="",TRUE,IF(input_enews_announcement_type="",FALSE,SUMPRODUCT(--ISNUMBER(SEARCH(","&amp;TRIM(TEXTSPLIT(CA185,","))&amp;",",","&amp;SUBSTITUTE(input_enews_announcement_type," ","")&amp;",")))&gt;0)),IF(CC185="",TRUE,IF(input_enews_announcement_type="",FALSE,SUMPRODUCT(--ISNUMBER(SEARCH(","&amp;TRIM(TEXTSPLIT(CC185,","))&amp;",",","&amp;SUBSTITUTE(input_enews_announcement_type," ","")&amp;",")))=COUNTA(TEXTSPLIT(CC185,",")))))</f>
        <v/>
      </c>
      <c r="JA185" s="19">
        <f>AND(IF(CE185="",TRUE,IF(input_enews_audience="",FALSE,SUMPRODUCT(--ISNUMBER(SEARCH(","&amp;TRIM(TEXTSPLIT(CE185,","))&amp;",",","&amp;SUBSTITUTE(input_enews_audience," ","")&amp;",")))&gt;0)),IF(CG185="",TRUE,IF(input_enews_audience="",FALSE,SUMPRODUCT(--ISNUMBER(SEARCH(","&amp;TRIM(TEXTSPLIT(CG185,","))&amp;",",","&amp;SUBSTITUTE(input_enews_audience," ","")&amp;",")))=COUNTA(TEXTSPLIT(CG185,",")))),IF(CI185="",TRUE,IF(input_enews_audience="",TRUE,SUMPRODUCT(--ISNUMBER(SEARCH(","&amp;TRIM(TEXTSPLIT(CI185,","))&amp;",",","&amp;SUBSTITUTE(input_enews_audience," ","")&amp;",")))=0)),IF(CK185="",TRUE,IF(input_enews_audience="",FALSE,SUMPRODUCT(--ISNUMBER(SEARCH(","&amp;TRIM(TEXTSPLIT(CK185,","))&amp;",",","&amp;SUBSTITUTE(input_enews_audience," ","")&amp;",")))&gt;0)),IF(CM185="",TRUE,IF(input_enews_audience="",FALSE,SUMPRODUCT(--ISNUMBER(SEARCH(","&amp;TRIM(TEXTSPLIT(CM185,","))&amp;",",","&amp;SUBSTITUTE(input_enews_audience," ","")&amp;",")))=COUNTA(TEXTSPLIT(CM185,",")))))</f>
        <v/>
      </c>
      <c r="JB185" s="19">
        <f>AND(IF(CO185="",TRUE,IF(input_event_location="",FALSE,SUMPRODUCT(--ISNUMBER(SEARCH(","&amp;TRIM(TEXTSPLIT(CO185,","))&amp;",",","&amp;SUBSTITUTE(input_event_location," ","")&amp;",")))&gt;0)),IF(CQ185="",TRUE,IF(input_event_location="",FALSE,SUMPRODUCT(--ISNUMBER(SEARCH(","&amp;TRIM(TEXTSPLIT(CQ185,","))&amp;",",","&amp;SUBSTITUTE(input_event_location," ","")&amp;",")))=COUNTA(TEXTSPLIT(CQ185,",")))),IF(CS185="",TRUE,IF(input_event_location="",TRUE,SUMPRODUCT(--ISNUMBER(SEARCH(","&amp;TRIM(TEXTSPLIT(CS185,","))&amp;",",","&amp;SUBSTITUTE(input_event_location," ","")&amp;",")))=0)),IF(CU185="",TRUE,IF(input_event_location="",FALSE,SUMPRODUCT(--ISNUMBER(SEARCH(","&amp;TRIM(TEXTSPLIT(CU185,","))&amp;",",","&amp;SUBSTITUTE(input_event_location," ","")&amp;",")))&gt;0)),IF(CW185="",TRUE,IF(input_event_location="",FALSE,SUMPRODUCT(--ISNUMBER(SEARCH(","&amp;TRIM(TEXTSPLIT(CW185,","))&amp;",",","&amp;SUBSTITUTE(input_event_location," ","")&amp;",")))=COUNTA(TEXTSPLIT(CW185,",")))))</f>
        <v/>
      </c>
      <c r="JC185" s="19">
        <f>AND(IF(CY185="",TRUE,IF(input_event_type="",FALSE,SUMPRODUCT(--ISNUMBER(SEARCH(","&amp;TRIM(TEXTSPLIT(CY185,","))&amp;",",","&amp;SUBSTITUTE(input_event_type," ","")&amp;",")))&gt;0)),IF(DA185="",TRUE,IF(input_event_type="",FALSE,SUMPRODUCT(--ISNUMBER(SEARCH(","&amp;TRIM(TEXTSPLIT(DA185,","))&amp;",",","&amp;SUBSTITUTE(input_event_type," ","")&amp;",")))=COUNTA(TEXTSPLIT(DA185,",")))),IF(DC185="",TRUE,IF(input_event_type="",TRUE,SUMPRODUCT(--ISNUMBER(SEARCH(","&amp;TRIM(TEXTSPLIT(DC185,","))&amp;",",","&amp;SUBSTITUTE(input_event_type," ","")&amp;",")))=0)),IF(DE185="",TRUE,IF(input_event_type="",FALSE,SUMPRODUCT(--ISNUMBER(SEARCH(","&amp;TRIM(TEXTSPLIT(DE185,","))&amp;",",","&amp;SUBSTITUTE(input_event_type," ","")&amp;",")))&gt;0)),IF(DG185="",TRUE,IF(input_event_type="",FALSE,SUMPRODUCT(--ISNUMBER(SEARCH(","&amp;TRIM(TEXTSPLIT(DG185,","))&amp;",",","&amp;SUBSTITUTE(input_event_type," ","")&amp;",")))=COUNTA(TEXTSPLIT(DG185,",")))))</f>
        <v/>
      </c>
      <c r="JD185" s="19">
        <f>AND(IF(DI185="",TRUE,IF(input_executive_education_focus="",FALSE,SUMPRODUCT(--ISNUMBER(SEARCH(","&amp;TRIM(TEXTSPLIT(DI185,","))&amp;",",","&amp;SUBSTITUTE(input_executive_education_focus," ","")&amp;",")))&gt;0)),IF(DK185="",TRUE,IF(input_executive_education_focus="",FALSE,SUMPRODUCT(--ISNUMBER(SEARCH(","&amp;TRIM(TEXTSPLIT(DK185,","))&amp;",",","&amp;SUBSTITUTE(input_executive_education_focus," ","")&amp;",")))=COUNTA(TEXTSPLIT(DK185,",")))),IF(DM185="",TRUE,IF(input_executive_education_focus="",TRUE,SUMPRODUCT(--ISNUMBER(SEARCH(","&amp;TRIM(TEXTSPLIT(DM185,","))&amp;",",","&amp;SUBSTITUTE(input_executive_education_focus," ","")&amp;",")))=0)),IF(DO185="",TRUE,IF(input_executive_education_focus="",FALSE,SUMPRODUCT(--ISNUMBER(SEARCH(","&amp;TRIM(TEXTSPLIT(DO185,","))&amp;",",","&amp;SUBSTITUTE(input_executive_education_focus," ","")&amp;",")))&gt;0)),IF(DQ185="",TRUE,IF(input_executive_education_focus="",FALSE,SUMPRODUCT(--ISNUMBER(SEARCH(","&amp;TRIM(TEXTSPLIT(DQ185,","))&amp;",",","&amp;SUBSTITUTE(input_executive_education_focus," ","")&amp;",")))=COUNTA(TEXTSPLIT(DQ185,",")))))</f>
        <v/>
      </c>
      <c r="JE185" s="19">
        <f>AND(IF(DS185="",TRUE,IF(input_faculty_category="",FALSE,SUMPRODUCT(--ISNUMBER(SEARCH(","&amp;TRIM(TEXTSPLIT(DS185,","))&amp;",",","&amp;SUBSTITUTE(input_faculty_category," ","")&amp;",")))&gt;0)),IF(DU185="",TRUE,IF(input_faculty_category="",FALSE,SUMPRODUCT(--ISNUMBER(SEARCH(","&amp;TRIM(TEXTSPLIT(DU185,","))&amp;",",","&amp;SUBSTITUTE(input_faculty_category," ","")&amp;",")))=COUNTA(TEXTSPLIT(DU185,",")))),IF(DW185="",TRUE,IF(input_faculty_category="",TRUE,SUMPRODUCT(--ISNUMBER(SEARCH(","&amp;TRIM(TEXTSPLIT(DW185,","))&amp;",",","&amp;SUBSTITUTE(input_faculty_category," ","")&amp;",")))=0)),IF(DY185="",TRUE,IF(input_faculty_category="",FALSE,SUMPRODUCT(--ISNUMBER(SEARCH(","&amp;TRIM(TEXTSPLIT(DY185,","))&amp;",",","&amp;SUBSTITUTE(input_faculty_category," ","")&amp;",")))&gt;0)),IF(EA185="",TRUE,IF(input_faculty_category="",FALSE,SUMPRODUCT(--ISNUMBER(SEARCH(","&amp;TRIM(TEXTSPLIT(EA185,","))&amp;",",","&amp;SUBSTITUTE(input_faculty_category," ","")&amp;",")))=COUNTA(TEXTSPLIT(EA185,",")))))</f>
        <v/>
      </c>
      <c r="JF185" s="19">
        <f>AND(IF(EC185="",TRUE,IF(input_faculty_discipline="",FALSE,SUMPRODUCT(--ISNUMBER(SEARCH(","&amp;TRIM(TEXTSPLIT(EC185,","))&amp;",",","&amp;SUBSTITUTE(input_faculty_discipline," ","")&amp;",")))&gt;0)),IF(EE185="",TRUE,IF(input_faculty_discipline="",FALSE,SUMPRODUCT(--ISNUMBER(SEARCH(","&amp;TRIM(TEXTSPLIT(EE185,","))&amp;",",","&amp;SUBSTITUTE(input_faculty_discipline," ","")&amp;",")))=COUNTA(TEXTSPLIT(EE185,",")))),IF(EG185="",TRUE,IF(input_faculty_discipline="",TRUE,SUMPRODUCT(--ISNUMBER(SEARCH(","&amp;TRIM(TEXTSPLIT(EG185,","))&amp;",",","&amp;SUBSTITUTE(input_faculty_discipline," ","")&amp;",")))=0)),IF(EI185="",TRUE,IF(input_faculty_discipline="",FALSE,SUMPRODUCT(--ISNUMBER(SEARCH(","&amp;TRIM(TEXTSPLIT(EI185,","))&amp;",",","&amp;SUBSTITUTE(input_faculty_discipline," ","")&amp;",")))&gt;0)),IF(EK185="",TRUE,IF(input_faculty_discipline="",FALSE,SUMPRODUCT(--ISNUMBER(SEARCH(","&amp;TRIM(TEXTSPLIT(EK185,","))&amp;",",","&amp;SUBSTITUTE(input_faculty_discipline," ","")&amp;",")))=COUNTA(TEXTSPLIT(EK185,",")))))</f>
        <v/>
      </c>
      <c r="JG185" s="19">
        <f>AND(IF(EM185="",TRUE,IF(input_faculty_expertise="",FALSE,SUMPRODUCT(--ISNUMBER(SEARCH(","&amp;TRIM(TEXTSPLIT(EM185,","))&amp;",",","&amp;SUBSTITUTE(input_faculty_expertise," ","")&amp;",")))&gt;0)),IF(EO185="",TRUE,IF(input_faculty_expertise="",FALSE,SUMPRODUCT(--ISNUMBER(SEARCH(","&amp;TRIM(TEXTSPLIT(EO185,","))&amp;",",","&amp;SUBSTITUTE(input_faculty_expertise," ","")&amp;",")))=COUNTA(TEXTSPLIT(EO185,",")))),IF(EQ185="",TRUE,IF(input_faculty_expertise="",TRUE,SUMPRODUCT(--ISNUMBER(SEARCH(","&amp;TRIM(TEXTSPLIT(EQ185,","))&amp;",",","&amp;SUBSTITUTE(input_faculty_expertise," ","")&amp;",")))=0)),IF(ES185="",TRUE,IF(input_faculty_expertise="",FALSE,SUMPRODUCT(--ISNUMBER(SEARCH(","&amp;TRIM(TEXTSPLIT(ES185,","))&amp;",",","&amp;SUBSTITUTE(input_faculty_expertise," ","")&amp;",")))&gt;0)),IF(EU185="",TRUE,IF(input_faculty_expertise="",FALSE,SUMPRODUCT(--ISNUMBER(SEARCH(","&amp;TRIM(TEXTSPLIT(EU185,","))&amp;",",","&amp;SUBSTITUTE(input_faculty_expertise," ","")&amp;",")))=COUNTA(TEXTSPLIT(EU185,",")))))</f>
        <v/>
      </c>
      <c r="JH185" s="19">
        <f>AND(IF(EW185="",TRUE,IF(input_global_network_school="",FALSE,SUMPRODUCT(--ISNUMBER(SEARCH(","&amp;TRIM(TEXTSPLIT(EW185,","))&amp;",",","&amp;SUBSTITUTE(input_global_network_school," ","")&amp;",")))&gt;0)),IF(EY185="",TRUE,IF(input_global_network_school="",FALSE,SUMPRODUCT(--ISNUMBER(SEARCH(","&amp;TRIM(TEXTSPLIT(EY185,","))&amp;",",","&amp;SUBSTITUTE(input_global_network_school," ","")&amp;",")))=COUNTA(TEXTSPLIT(EY185,",")))),IF(FA185="",TRUE,IF(input_global_network_school="",TRUE,SUMPRODUCT(--ISNUMBER(SEARCH(","&amp;TRIM(TEXTSPLIT(FA185,","))&amp;",",","&amp;SUBSTITUTE(input_global_network_school," ","")&amp;",")))=0)),IF(FC185="",TRUE,IF(input_global_network_school="",FALSE,SUMPRODUCT(--ISNUMBER(SEARCH(","&amp;TRIM(TEXTSPLIT(FC185,","))&amp;",",","&amp;SUBSTITUTE(input_global_network_school," ","")&amp;",")))&gt;0)),IF(FE185="",TRUE,IF(input_global_network_school="",FALSE,SUMPRODUCT(--ISNUMBER(SEARCH(","&amp;TRIM(TEXTSPLIT(FE185,","))&amp;",",","&amp;SUBSTITUTE(input_global_network_school," ","")&amp;",")))=COUNTA(TEXTSPLIT(FE185,",")))))</f>
        <v/>
      </c>
      <c r="JI185" s="19">
        <f>AND(IF(FG185="",TRUE,IF(input_industry="",FALSE,SUMPRODUCT(--ISNUMBER(SEARCH(","&amp;TRIM(TEXTSPLIT(FG185,","))&amp;",",","&amp;SUBSTITUTE(input_industry," ","")&amp;",")))&gt;0)),IF(FI185="",TRUE,IF(input_industry="",FALSE,SUMPRODUCT(--ISNUMBER(SEARCH(","&amp;TRIM(TEXTSPLIT(FI185,","))&amp;",",","&amp;SUBSTITUTE(input_industry," ","")&amp;",")))=COUNTA(TEXTSPLIT(FI185,",")))),IF(FK185="",TRUE,IF(input_industry="",TRUE,SUMPRODUCT(--ISNUMBER(SEARCH(","&amp;TRIM(TEXTSPLIT(FK185,","))&amp;",",","&amp;SUBSTITUTE(input_industry," ","")&amp;",")))=0)),IF(FM185="",TRUE,IF(input_industry="",FALSE,SUMPRODUCT(--ISNUMBER(SEARCH(","&amp;TRIM(TEXTSPLIT(FM185,","))&amp;",",","&amp;SUBSTITUTE(input_industry," ","")&amp;",")))&gt;0)),IF(FO185="",TRUE,IF(input_industry="",FALSE,SUMPRODUCT(--ISNUMBER(SEARCH(","&amp;TRIM(TEXTSPLIT(FO185,","))&amp;",",","&amp;SUBSTITUTE(input_industry," ","")&amp;",")))=COUNTA(TEXTSPLIT(FO185,",")))))</f>
        <v/>
      </c>
      <c r="JJ185" s="19">
        <f>AND(IF(FQ185="",TRUE,IF(input_location="",FALSE,SUMPRODUCT(--ISNUMBER(SEARCH(","&amp;TRIM(TEXTSPLIT(FQ185,","))&amp;",",","&amp;SUBSTITUTE(input_location," ","")&amp;",")))&gt;0)),IF(FS185="",TRUE,IF(input_location="",FALSE,SUMPRODUCT(--ISNUMBER(SEARCH(","&amp;TRIM(TEXTSPLIT(FS185,","))&amp;",",","&amp;SUBSTITUTE(input_location," ","")&amp;",")))=COUNTA(TEXTSPLIT(FS185,",")))),IF(FU185="",TRUE,IF(input_location="",TRUE,SUMPRODUCT(--ISNUMBER(SEARCH(","&amp;TRIM(TEXTSPLIT(FU185,","))&amp;",",","&amp;SUBSTITUTE(input_location," ","")&amp;",")))=0)),IF(FW185="",TRUE,IF(input_location="",FALSE,SUMPRODUCT(--ISNUMBER(SEARCH(","&amp;TRIM(TEXTSPLIT(FW185,","))&amp;",",","&amp;SUBSTITUTE(input_location," ","")&amp;",")))&gt;0)),IF(FY185="",TRUE,IF(input_location="",FALSE,SUMPRODUCT(--ISNUMBER(SEARCH(","&amp;TRIM(TEXTSPLIT(FY185,","))&amp;",",","&amp;SUBSTITUTE(input_location," ","")&amp;",")))=COUNTA(TEXTSPLIT(FY185,",")))))</f>
        <v/>
      </c>
      <c r="JK185" s="19">
        <f>AND(IF(GA185="",TRUE,IF(input_modality="",FALSE,SUMPRODUCT(--ISNUMBER(SEARCH(","&amp;TRIM(TEXTSPLIT(GA185,","))&amp;",",","&amp;SUBSTITUTE(input_modality," ","")&amp;",")))&gt;0)),IF(GC185="",TRUE,IF(input_modality="",FALSE,SUMPRODUCT(--ISNUMBER(SEARCH(","&amp;TRIM(TEXTSPLIT(GC185,","))&amp;",",","&amp;SUBSTITUTE(input_modality," ","")&amp;",")))=COUNTA(TEXTSPLIT(GC185,",")))),IF(GE185="",TRUE,IF(input_modality="",TRUE,SUMPRODUCT(--ISNUMBER(SEARCH(","&amp;TRIM(TEXTSPLIT(GE185,","))&amp;",",","&amp;SUBSTITUTE(input_modality," ","")&amp;",")))=0)),IF(GG185="",TRUE,IF(input_modality="",FALSE,SUMPRODUCT(--ISNUMBER(SEARCH(","&amp;TRIM(TEXTSPLIT(GG185,","))&amp;",",","&amp;SUBSTITUTE(input_modality," ","")&amp;",")))&gt;0)),IF(GI185="",TRUE,IF(input_modality="",FALSE,SUMPRODUCT(--ISNUMBER(SEARCH(","&amp;TRIM(TEXTSPLIT(GI185,","))&amp;",",","&amp;SUBSTITUTE(input_modality," ","")&amp;",")))=COUNTA(TEXTSPLIT(GI185,",")))))</f>
        <v/>
      </c>
      <c r="JL185" s="19">
        <f>AND(IF(GK185="",TRUE,IF(input_organizer="",FALSE,SUMPRODUCT(--ISNUMBER(SEARCH(","&amp;TRIM(TEXTSPLIT(GK185,","))&amp;",",","&amp;SUBSTITUTE(input_organizer," ","")&amp;",")))&gt;0)),IF(GM185="",TRUE,IF(input_organizer="",FALSE,SUMPRODUCT(--ISNUMBER(SEARCH(","&amp;TRIM(TEXTSPLIT(GM185,","))&amp;",",","&amp;SUBSTITUTE(input_organizer," ","")&amp;",")))=COUNTA(TEXTSPLIT(GM185,",")))),IF(GO185="",TRUE,IF(input_organizer="",TRUE,SUMPRODUCT(--ISNUMBER(SEARCH(","&amp;TRIM(TEXTSPLIT(GO185,","))&amp;",",","&amp;SUBSTITUTE(input_organizer," ","")&amp;",")))=0)),IF(GQ185="",TRUE,IF(input_organizer="",FALSE,SUMPRODUCT(--ISNUMBER(SEARCH(","&amp;TRIM(TEXTSPLIT(GQ185,","))&amp;",",","&amp;SUBSTITUTE(input_organizer," ","")&amp;",")))&gt;0)),IF(GS185="",TRUE,IF(input_organizer="",FALSE,SUMPRODUCT(--ISNUMBER(SEARCH(","&amp;TRIM(TEXTSPLIT(GS185,","))&amp;",",","&amp;SUBSTITUTE(input_organizer," ","")&amp;",")))=COUNTA(TEXTSPLIT(GS185,",")))))</f>
        <v/>
      </c>
      <c r="JM185" s="19">
        <f>AND(IF(GU185="",TRUE,IF(input_profile_type="",FALSE,SUMPRODUCT(--ISNUMBER(SEARCH(","&amp;TRIM(TEXTSPLIT(GU185,","))&amp;",",","&amp;SUBSTITUTE(input_profile_type," ","")&amp;",")))&gt;0)),IF(GW185="",TRUE,IF(input_profile_type="",FALSE,SUMPRODUCT(--ISNUMBER(SEARCH(","&amp;TRIM(TEXTSPLIT(GW185,","))&amp;",",","&amp;SUBSTITUTE(input_profile_type," ","")&amp;",")))=COUNTA(TEXTSPLIT(GW185,",")))),IF(GY185="",TRUE,IF(input_profile_type="",TRUE,SUMPRODUCT(--ISNUMBER(SEARCH(","&amp;TRIM(TEXTSPLIT(GY185,","))&amp;",",","&amp;SUBSTITUTE(input_profile_type," ","")&amp;",")))=0)),IF(HA185="",TRUE,IF(input_profile_type="",FALSE,SUMPRODUCT(--ISNUMBER(SEARCH(","&amp;TRIM(TEXTSPLIT(HA185,","))&amp;",",","&amp;SUBSTITUTE(input_profile_type," ","")&amp;",")))&gt;0)),IF(HC185="",TRUE,IF(input_profile_type="",FALSE,SUMPRODUCT(--ISNUMBER(SEARCH(","&amp;TRIM(TEXTSPLIT(HC185,","))&amp;",",","&amp;SUBSTITUTE(input_profile_type," ","")&amp;",")))=COUNTA(TEXTSPLIT(HC185,",")))))</f>
        <v/>
      </c>
      <c r="JN185" s="19">
        <f>AND(IF(HE185="",TRUE,IF(input_program="",FALSE,SUMPRODUCT(--ISNUMBER(SEARCH(","&amp;TRIM(TEXTSPLIT(HE185,","))&amp;",",","&amp;SUBSTITUTE(input_program," ","")&amp;",")))&gt;0)),IF(HG185="",TRUE,IF(input_program="",FALSE,SUMPRODUCT(--ISNUMBER(SEARCH(","&amp;TRIM(TEXTSPLIT(HG185,","))&amp;",",","&amp;SUBSTITUTE(input_program," ","")&amp;",")))=COUNTA(TEXTSPLIT(HG185,",")))),IF(HI185="",TRUE,IF(input_program="",TRUE,SUMPRODUCT(--ISNUMBER(SEARCH(","&amp;TRIM(TEXTSPLIT(HI185,","))&amp;",",","&amp;SUBSTITUTE(input_program," ","")&amp;",")))=0)),IF(HK185="",TRUE,IF(input_program="",FALSE,SUMPRODUCT(--ISNUMBER(SEARCH(","&amp;TRIM(TEXTSPLIT(HK185,","))&amp;",",","&amp;SUBSTITUTE(input_program," ","")&amp;",")))&gt;0)),IF(HM185="",TRUE,IF(input_program="",FALSE,SUMPRODUCT(--ISNUMBER(SEARCH(","&amp;TRIM(TEXTSPLIT(HM185,","))&amp;",",","&amp;SUBSTITUTE(input_program," ","")&amp;",")))=COUNTA(TEXTSPLIT(HM185,",")))))</f>
        <v/>
      </c>
      <c r="JO185" s="19">
        <f>AND(IF(HO185="",TRUE,IF(input_story_categories="",FALSE,SUMPRODUCT(--ISNUMBER(SEARCH(","&amp;TRIM(TEXTSPLIT(HO185,","))&amp;",",","&amp;SUBSTITUTE(input_story_categories," ","")&amp;",")))&gt;0)),IF(HQ185="",TRUE,IF(input_story_categories="",FALSE,SUMPRODUCT(--ISNUMBER(SEARCH(","&amp;TRIM(TEXTSPLIT(HQ185,","))&amp;",",","&amp;SUBSTITUTE(input_story_categories," ","")&amp;",")))=COUNTA(TEXTSPLIT(HQ185,",")))),IF(HS185="",TRUE,IF(input_story_categories="",TRUE,SUMPRODUCT(--ISNUMBER(SEARCH(","&amp;TRIM(TEXTSPLIT(HS185,","))&amp;",",","&amp;SUBSTITUTE(input_story_categories," ","")&amp;",")))=0)),IF(HU185="",TRUE,IF(input_story_categories="",FALSE,SUMPRODUCT(--ISNUMBER(SEARCH(","&amp;TRIM(TEXTSPLIT(HU185,","))&amp;",",","&amp;SUBSTITUTE(input_story_categories," ","")&amp;",")))&gt;0)),IF(HW185="",TRUE,IF(input_story_categories="",FALSE,SUMPRODUCT(--ISNUMBER(SEARCH(","&amp;TRIM(TEXTSPLIT(HW185,","))&amp;",",","&amp;SUBSTITUTE(input_story_categories," ","")&amp;",")))=COUNTA(TEXTSPLIT(HW185,",")))))</f>
        <v/>
      </c>
      <c r="JP185" s="19">
        <f>AND(IF(HY185="",TRUE,IF(input_story_type="",FALSE,SUMPRODUCT(--ISNUMBER(SEARCH(","&amp;TRIM(TEXTSPLIT(HY185,","))&amp;",",","&amp;SUBSTITUTE(input_story_type," ","")&amp;",")))&gt;0)),IF(IA185="",TRUE,IF(input_story_type="",FALSE,SUMPRODUCT(--ISNUMBER(SEARCH(","&amp;TRIM(TEXTSPLIT(IA185,","))&amp;",",","&amp;SUBSTITUTE(input_story_type," ","")&amp;",")))=COUNTA(TEXTSPLIT(IA185,",")))),IF(IC185="",TRUE,IF(input_story_type="",TRUE,SUMPRODUCT(--ISNUMBER(SEARCH(","&amp;TRIM(TEXTSPLIT(IC185,","))&amp;",",","&amp;SUBSTITUTE(input_story_type," ","")&amp;",")))=0)),IF(IE185="",TRUE,IF(input_story_type="",FALSE,SUMPRODUCT(--ISNUMBER(SEARCH(","&amp;TRIM(TEXTSPLIT(IE185,","))&amp;",",","&amp;SUBSTITUTE(input_story_type," ","")&amp;",")))&gt;0)),IF(IG185="",TRUE,IF(input_story_type="",FALSE,SUMPRODUCT(--ISNUMBER(SEARCH(","&amp;TRIM(TEXTSPLIT(IG185,","))&amp;",",","&amp;SUBSTITUTE(input_story_type," ","")&amp;",")))=COUNTA(TEXTSPLIT(IG185,",")))))</f>
        <v/>
      </c>
      <c r="JQ185" s="19">
        <f>AND(IF(II185="",TRUE,IF(input_topics="",FALSE,SUMPRODUCT(--ISNUMBER(SEARCH(","&amp;TRIM(TEXTSPLIT(II185,","))&amp;",",","&amp;SUBSTITUTE(input_topics," ","")&amp;",")))&gt;0)),IF(IK185="",TRUE,IF(input_topics="",FALSE,SUMPRODUCT(--ISNUMBER(SEARCH(","&amp;TRIM(TEXTSPLIT(IK185,","))&amp;",",","&amp;SUBSTITUTE(input_topics," ","")&amp;",")))=COUNTA(TEXTSPLIT(IK185,",")))),IF(IM185="",TRUE,IF(input_topics="",TRUE,SUMPRODUCT(--ISNUMBER(SEARCH(","&amp;TRIM(TEXTSPLIT(IM185,","))&amp;",",","&amp;SUBSTITUTE(input_topics," ","")&amp;",")))=0)),IF(IO185="",TRUE,IF(input_topics="",FALSE,SUMPRODUCT(--ISNUMBER(SEARCH(","&amp;TRIM(TEXTSPLIT(IO185,","))&amp;",",","&amp;SUBSTITUTE(input_topics," ","")&amp;",")))&gt;0)),IF(IQ185="",TRUE,IF(input_topics="",FALSE,SUMPRODUCT(--ISNUMBER(SEARCH(","&amp;TRIM(TEXTSPLIT(IQ185,","))&amp;",",","&amp;SUBSTITUTE(input_topics," ","")&amp;",")))=COUNTA(TEXTSPLIT(IQ185,",")))))</f>
        <v/>
      </c>
    </row>
    <row r="186">
      <c r="A186" s="24">
        <f>IF(NOT(IS186),"Excluded",IF(AND(IT186,IU186,IV186,IW186,IX186,IY186,IZ186,JA186,JB186,JC186,JD186,JE186,JF186,JG186,JH186,JI186,JJ186,JK186,JL186,JM186,JN186,JO186,JP186,JQ186),IF(I186&gt;0,"Eligible but limited","Will appear"),"Excluded"))</f>
        <v/>
      </c>
      <c r="B186" s="24" t="inlineStr">
        <is>
          <t>Related stories on story pages</t>
        </is>
      </c>
      <c r="C186" s="27" t="inlineStr">
        <is>
          <t>/news/2018/08/global-social-entrepreneurship-in-action-two-stories-of-partnering-with-social-enterprises-in-india</t>
        </is>
      </c>
      <c r="D186" s="24" t="inlineStr">
        <is>
          <t>/news/2018/08/global-social-entrepreneurship-in-action-two-stories-of-partnering-with-social-enterprises-in-india
/news/2018/09/ranji-nagaswami-86-use-your-time-here-to-tell-your-story
/news/2019/03/internship-fund-celebrates-40th-anniversary</t>
        </is>
      </c>
      <c r="E186" s="24" t="n">
        <v>20</v>
      </c>
      <c r="F186" s="24" t="inlineStr">
        <is>
          <t>story</t>
        </is>
      </c>
      <c r="G186" s="24" t="inlineStr">
        <is>
          <t>stories_teaser_cards</t>
        </is>
      </c>
      <c r="H186" s="24" t="inlineStr">
        <is>
          <t>embed_all</t>
        </is>
      </c>
      <c r="I186" s="24" t="n">
        <v>3</v>
      </c>
      <c r="J186" s="31" t="inlineStr">
        <is>
          <t>Template logic</t>
        </is>
      </c>
      <c r="K186" s="24" t="inlineStr">
        <is>
          <t>Grouped surface</t>
        </is>
      </c>
      <c r="L186" s="24" t="inlineStr">
        <is>
          <t>Content type: story; Context uses Courses Context: MBA (92); Context uses Story Type: News (924); Limited to 3 item(s); Source: Template logic</t>
        </is>
      </c>
      <c r="BQ186" s="19" t="inlineStr">
        <is>
          <t>92</t>
        </is>
      </c>
      <c r="BR186" s="19" t="inlineStr">
        <is>
          <t>MBA (92)</t>
        </is>
      </c>
      <c r="IE186" s="19" t="inlineStr">
        <is>
          <t>924</t>
        </is>
      </c>
      <c r="IF186" s="19" t="inlineStr">
        <is>
          <t>News (924)</t>
        </is>
      </c>
      <c r="IS186" s="19">
        <f>IF(input_content_type="",FALSE,ISNUMBER(SEARCH(","&amp;LOWER(input_content_type)&amp;",",","&amp;LOWER(SUBSTITUTE(F186," ",""))&amp;",")))</f>
        <v/>
      </c>
      <c r="IT186" s="19">
        <f>AND(IF(M186="",TRUE,IF(input_affiliations="",FALSE,SUMPRODUCT(--ISNUMBER(SEARCH(","&amp;TRIM(TEXTSPLIT(M186,","))&amp;",",","&amp;SUBSTITUTE(input_affiliations," ","")&amp;",")))&gt;0)),IF(O186="",TRUE,IF(input_affiliations="",FALSE,SUMPRODUCT(--ISNUMBER(SEARCH(","&amp;TRIM(TEXTSPLIT(O186,","))&amp;",",","&amp;SUBSTITUTE(input_affiliations," ","")&amp;",")))=COUNTA(TEXTSPLIT(O186,",")))),IF(Q186="",TRUE,IF(input_affiliations="",TRUE,SUMPRODUCT(--ISNUMBER(SEARCH(","&amp;TRIM(TEXTSPLIT(Q186,","))&amp;",",","&amp;SUBSTITUTE(input_affiliations," ","")&amp;",")))=0)),IF(S186="",TRUE,IF(input_affiliations="",FALSE,SUMPRODUCT(--ISNUMBER(SEARCH(","&amp;TRIM(TEXTSPLIT(S186,","))&amp;",",","&amp;SUBSTITUTE(input_affiliations," ","")&amp;",")))&gt;0)),IF(U186="",TRUE,IF(input_affiliations="",FALSE,SUMPRODUCT(--ISNUMBER(SEARCH(","&amp;TRIM(TEXTSPLIT(U186,","))&amp;",",","&amp;SUBSTITUTE(input_affiliations," ","")&amp;",")))=COUNTA(TEXTSPLIT(U186,",")))))</f>
        <v/>
      </c>
      <c r="IU186" s="19">
        <f>AND(IF(W186="",TRUE,IF(input_announcement_category="",FALSE,SUMPRODUCT(--ISNUMBER(SEARCH(","&amp;TRIM(TEXTSPLIT(W186,","))&amp;",",","&amp;SUBSTITUTE(input_announcement_category," ","")&amp;",")))&gt;0)),IF(Y186="",TRUE,IF(input_announcement_category="",FALSE,SUMPRODUCT(--ISNUMBER(SEARCH(","&amp;TRIM(TEXTSPLIT(Y186,","))&amp;",",","&amp;SUBSTITUTE(input_announcement_category," ","")&amp;",")))=COUNTA(TEXTSPLIT(Y186,",")))),IF(AA186="",TRUE,IF(input_announcement_category="",TRUE,SUMPRODUCT(--ISNUMBER(SEARCH(","&amp;TRIM(TEXTSPLIT(AA186,","))&amp;",",","&amp;SUBSTITUTE(input_announcement_category," ","")&amp;",")))=0)),IF(AC186="",TRUE,IF(input_announcement_category="",FALSE,SUMPRODUCT(--ISNUMBER(SEARCH(","&amp;TRIM(TEXTSPLIT(AC186,","))&amp;",",","&amp;SUBSTITUTE(input_announcement_category," ","")&amp;",")))&gt;0)),IF(AE186="",TRUE,IF(input_announcement_category="",FALSE,SUMPRODUCT(--ISNUMBER(SEARCH(","&amp;TRIM(TEXTSPLIT(AE186,","))&amp;",",","&amp;SUBSTITUTE(input_announcement_category," ","")&amp;",")))=COUNTA(TEXTSPLIT(AE186,",")))))</f>
        <v/>
      </c>
      <c r="IV186" s="19">
        <f>AND(IF(AG186="",TRUE,IF(input_area_of_focus="",FALSE,SUMPRODUCT(--ISNUMBER(SEARCH(","&amp;TRIM(TEXTSPLIT(AG186,","))&amp;",",","&amp;SUBSTITUTE(input_area_of_focus," ","")&amp;",")))&gt;0)),IF(AI186="",TRUE,IF(input_area_of_focus="",FALSE,SUMPRODUCT(--ISNUMBER(SEARCH(","&amp;TRIM(TEXTSPLIT(AI186,","))&amp;",",","&amp;SUBSTITUTE(input_area_of_focus," ","")&amp;",")))=COUNTA(TEXTSPLIT(AI186,",")))),IF(AK186="",TRUE,IF(input_area_of_focus="",TRUE,SUMPRODUCT(--ISNUMBER(SEARCH(","&amp;TRIM(TEXTSPLIT(AK186,","))&amp;",",","&amp;SUBSTITUTE(input_area_of_focus," ","")&amp;",")))=0)),IF(AM186="",TRUE,IF(input_area_of_focus="",FALSE,SUMPRODUCT(--ISNUMBER(SEARCH(","&amp;TRIM(TEXTSPLIT(AM186,","))&amp;",",","&amp;SUBSTITUTE(input_area_of_focus," ","")&amp;",")))&gt;0)),IF(AO186="",TRUE,IF(input_area_of_focus="",FALSE,SUMPRODUCT(--ISNUMBER(SEARCH(","&amp;TRIM(TEXTSPLIT(AO186,","))&amp;",",","&amp;SUBSTITUTE(input_area_of_focus," ","")&amp;",")))=COUNTA(TEXTSPLIT(AO186,",")))))</f>
        <v/>
      </c>
      <c r="IW186" s="19">
        <f>AND(IF(AQ186="",TRUE,IF(input_audience="",FALSE,SUMPRODUCT(--ISNUMBER(SEARCH(","&amp;TRIM(TEXTSPLIT(AQ186,","))&amp;",",","&amp;SUBSTITUTE(input_audience," ","")&amp;",")))&gt;0)),IF(AS186="",TRUE,IF(input_audience="",FALSE,SUMPRODUCT(--ISNUMBER(SEARCH(","&amp;TRIM(TEXTSPLIT(AS186,","))&amp;",",","&amp;SUBSTITUTE(input_audience," ","")&amp;",")))=COUNTA(TEXTSPLIT(AS186,",")))),IF(AU186="",TRUE,IF(input_audience="",TRUE,SUMPRODUCT(--ISNUMBER(SEARCH(","&amp;TRIM(TEXTSPLIT(AU186,","))&amp;",",","&amp;SUBSTITUTE(input_audience," ","")&amp;",")))=0)),IF(AW186="",TRUE,IF(input_audience="",FALSE,SUMPRODUCT(--ISNUMBER(SEARCH(","&amp;TRIM(TEXTSPLIT(AW186,","))&amp;",",","&amp;SUBSTITUTE(input_audience," ","")&amp;",")))&gt;0)),IF(AY186="",TRUE,IF(input_audience="",FALSE,SUMPRODUCT(--ISNUMBER(SEARCH(","&amp;TRIM(TEXTSPLIT(AY186,","))&amp;",",","&amp;SUBSTITUTE(input_audience," ","")&amp;",")))=COUNTA(TEXTSPLIT(AY186,",")))))</f>
        <v/>
      </c>
      <c r="IX186" s="19">
        <f>AND(IF(BA186="",TRUE,IF(input_challenge_opportunities="",FALSE,SUMPRODUCT(--ISNUMBER(SEARCH(","&amp;TRIM(TEXTSPLIT(BA186,","))&amp;",",","&amp;SUBSTITUTE(input_challenge_opportunities," ","")&amp;",")))&gt;0)),IF(BC186="",TRUE,IF(input_challenge_opportunities="",FALSE,SUMPRODUCT(--ISNUMBER(SEARCH(","&amp;TRIM(TEXTSPLIT(BC186,","))&amp;",",","&amp;SUBSTITUTE(input_challenge_opportunities," ","")&amp;",")))=COUNTA(TEXTSPLIT(BC186,",")))),IF(BE186="",TRUE,IF(input_challenge_opportunities="",TRUE,SUMPRODUCT(--ISNUMBER(SEARCH(","&amp;TRIM(TEXTSPLIT(BE186,","))&amp;",",","&amp;SUBSTITUTE(input_challenge_opportunities," ","")&amp;",")))=0)),IF(BG186="",TRUE,IF(input_challenge_opportunities="",FALSE,SUMPRODUCT(--ISNUMBER(SEARCH(","&amp;TRIM(TEXTSPLIT(BG186,","))&amp;",",","&amp;SUBSTITUTE(input_challenge_opportunities," ","")&amp;",")))&gt;0)),IF(BI186="",TRUE,IF(input_challenge_opportunities="",FALSE,SUMPRODUCT(--ISNUMBER(SEARCH(","&amp;TRIM(TEXTSPLIT(BI186,","))&amp;",",","&amp;SUBSTITUTE(input_challenge_opportunities," ","")&amp;",")))=COUNTA(TEXTSPLIT(BI186,",")))))</f>
        <v/>
      </c>
      <c r="IY186" s="19">
        <f>AND(IF(BK186="",TRUE,IF(input_context="",FALSE,SUMPRODUCT(--ISNUMBER(SEARCH(","&amp;TRIM(TEXTSPLIT(BK186,","))&amp;",",","&amp;SUBSTITUTE(input_context," ","")&amp;",")))&gt;0)),IF(BM186="",TRUE,IF(input_context="",FALSE,SUMPRODUCT(--ISNUMBER(SEARCH(","&amp;TRIM(TEXTSPLIT(BM186,","))&amp;",",","&amp;SUBSTITUTE(input_context," ","")&amp;",")))=COUNTA(TEXTSPLIT(BM186,",")))),IF(BO186="",TRUE,IF(input_context="",TRUE,SUMPRODUCT(--ISNUMBER(SEARCH(","&amp;TRIM(TEXTSPLIT(BO186,","))&amp;",",","&amp;SUBSTITUTE(input_context," ","")&amp;",")))=0)),IF(BQ186="",TRUE,IF(input_context="",FALSE,SUMPRODUCT(--ISNUMBER(SEARCH(","&amp;TRIM(TEXTSPLIT(BQ186,","))&amp;",",","&amp;SUBSTITUTE(input_context," ","")&amp;",")))&gt;0)),IF(BS186="",TRUE,IF(input_context="",FALSE,SUMPRODUCT(--ISNUMBER(SEARCH(","&amp;TRIM(TEXTSPLIT(BS186,","))&amp;",",","&amp;SUBSTITUTE(input_context," ","")&amp;",")))=COUNTA(TEXTSPLIT(BS186,",")))))</f>
        <v/>
      </c>
      <c r="IZ186" s="19">
        <f>AND(IF(BU186="",TRUE,IF(input_enews_announcement_type="",FALSE,SUMPRODUCT(--ISNUMBER(SEARCH(","&amp;TRIM(TEXTSPLIT(BU186,","))&amp;",",","&amp;SUBSTITUTE(input_enews_announcement_type," ","")&amp;",")))&gt;0)),IF(BW186="",TRUE,IF(input_enews_announcement_type="",FALSE,SUMPRODUCT(--ISNUMBER(SEARCH(","&amp;TRIM(TEXTSPLIT(BW186,","))&amp;",",","&amp;SUBSTITUTE(input_enews_announcement_type," ","")&amp;",")))=COUNTA(TEXTSPLIT(BW186,",")))),IF(BY186="",TRUE,IF(input_enews_announcement_type="",TRUE,SUMPRODUCT(--ISNUMBER(SEARCH(","&amp;TRIM(TEXTSPLIT(BY186,","))&amp;",",","&amp;SUBSTITUTE(input_enews_announcement_type," ","")&amp;",")))=0)),IF(CA186="",TRUE,IF(input_enews_announcement_type="",FALSE,SUMPRODUCT(--ISNUMBER(SEARCH(","&amp;TRIM(TEXTSPLIT(CA186,","))&amp;",",","&amp;SUBSTITUTE(input_enews_announcement_type," ","")&amp;",")))&gt;0)),IF(CC186="",TRUE,IF(input_enews_announcement_type="",FALSE,SUMPRODUCT(--ISNUMBER(SEARCH(","&amp;TRIM(TEXTSPLIT(CC186,","))&amp;",",","&amp;SUBSTITUTE(input_enews_announcement_type," ","")&amp;",")))=COUNTA(TEXTSPLIT(CC186,",")))))</f>
        <v/>
      </c>
      <c r="JA186" s="19">
        <f>AND(IF(CE186="",TRUE,IF(input_enews_audience="",FALSE,SUMPRODUCT(--ISNUMBER(SEARCH(","&amp;TRIM(TEXTSPLIT(CE186,","))&amp;",",","&amp;SUBSTITUTE(input_enews_audience," ","")&amp;",")))&gt;0)),IF(CG186="",TRUE,IF(input_enews_audience="",FALSE,SUMPRODUCT(--ISNUMBER(SEARCH(","&amp;TRIM(TEXTSPLIT(CG186,","))&amp;",",","&amp;SUBSTITUTE(input_enews_audience," ","")&amp;",")))=COUNTA(TEXTSPLIT(CG186,",")))),IF(CI186="",TRUE,IF(input_enews_audience="",TRUE,SUMPRODUCT(--ISNUMBER(SEARCH(","&amp;TRIM(TEXTSPLIT(CI186,","))&amp;",",","&amp;SUBSTITUTE(input_enews_audience," ","")&amp;",")))=0)),IF(CK186="",TRUE,IF(input_enews_audience="",FALSE,SUMPRODUCT(--ISNUMBER(SEARCH(","&amp;TRIM(TEXTSPLIT(CK186,","))&amp;",",","&amp;SUBSTITUTE(input_enews_audience," ","")&amp;",")))&gt;0)),IF(CM186="",TRUE,IF(input_enews_audience="",FALSE,SUMPRODUCT(--ISNUMBER(SEARCH(","&amp;TRIM(TEXTSPLIT(CM186,","))&amp;",",","&amp;SUBSTITUTE(input_enews_audience," ","")&amp;",")))=COUNTA(TEXTSPLIT(CM186,",")))))</f>
        <v/>
      </c>
      <c r="JB186" s="19">
        <f>AND(IF(CO186="",TRUE,IF(input_event_location="",FALSE,SUMPRODUCT(--ISNUMBER(SEARCH(","&amp;TRIM(TEXTSPLIT(CO186,","))&amp;",",","&amp;SUBSTITUTE(input_event_location," ","")&amp;",")))&gt;0)),IF(CQ186="",TRUE,IF(input_event_location="",FALSE,SUMPRODUCT(--ISNUMBER(SEARCH(","&amp;TRIM(TEXTSPLIT(CQ186,","))&amp;",",","&amp;SUBSTITUTE(input_event_location," ","")&amp;",")))=COUNTA(TEXTSPLIT(CQ186,",")))),IF(CS186="",TRUE,IF(input_event_location="",TRUE,SUMPRODUCT(--ISNUMBER(SEARCH(","&amp;TRIM(TEXTSPLIT(CS186,","))&amp;",",","&amp;SUBSTITUTE(input_event_location," ","")&amp;",")))=0)),IF(CU186="",TRUE,IF(input_event_location="",FALSE,SUMPRODUCT(--ISNUMBER(SEARCH(","&amp;TRIM(TEXTSPLIT(CU186,","))&amp;",",","&amp;SUBSTITUTE(input_event_location," ","")&amp;",")))&gt;0)),IF(CW186="",TRUE,IF(input_event_location="",FALSE,SUMPRODUCT(--ISNUMBER(SEARCH(","&amp;TRIM(TEXTSPLIT(CW186,","))&amp;",",","&amp;SUBSTITUTE(input_event_location," ","")&amp;",")))=COUNTA(TEXTSPLIT(CW186,",")))))</f>
        <v/>
      </c>
      <c r="JC186" s="19">
        <f>AND(IF(CY186="",TRUE,IF(input_event_type="",FALSE,SUMPRODUCT(--ISNUMBER(SEARCH(","&amp;TRIM(TEXTSPLIT(CY186,","))&amp;",",","&amp;SUBSTITUTE(input_event_type," ","")&amp;",")))&gt;0)),IF(DA186="",TRUE,IF(input_event_type="",FALSE,SUMPRODUCT(--ISNUMBER(SEARCH(","&amp;TRIM(TEXTSPLIT(DA186,","))&amp;",",","&amp;SUBSTITUTE(input_event_type," ","")&amp;",")))=COUNTA(TEXTSPLIT(DA186,",")))),IF(DC186="",TRUE,IF(input_event_type="",TRUE,SUMPRODUCT(--ISNUMBER(SEARCH(","&amp;TRIM(TEXTSPLIT(DC186,","))&amp;",",","&amp;SUBSTITUTE(input_event_type," ","")&amp;",")))=0)),IF(DE186="",TRUE,IF(input_event_type="",FALSE,SUMPRODUCT(--ISNUMBER(SEARCH(","&amp;TRIM(TEXTSPLIT(DE186,","))&amp;",",","&amp;SUBSTITUTE(input_event_type," ","")&amp;",")))&gt;0)),IF(DG186="",TRUE,IF(input_event_type="",FALSE,SUMPRODUCT(--ISNUMBER(SEARCH(","&amp;TRIM(TEXTSPLIT(DG186,","))&amp;",",","&amp;SUBSTITUTE(input_event_type," ","")&amp;",")))=COUNTA(TEXTSPLIT(DG186,",")))))</f>
        <v/>
      </c>
      <c r="JD186" s="19">
        <f>AND(IF(DI186="",TRUE,IF(input_executive_education_focus="",FALSE,SUMPRODUCT(--ISNUMBER(SEARCH(","&amp;TRIM(TEXTSPLIT(DI186,","))&amp;",",","&amp;SUBSTITUTE(input_executive_education_focus," ","")&amp;",")))&gt;0)),IF(DK186="",TRUE,IF(input_executive_education_focus="",FALSE,SUMPRODUCT(--ISNUMBER(SEARCH(","&amp;TRIM(TEXTSPLIT(DK186,","))&amp;",",","&amp;SUBSTITUTE(input_executive_education_focus," ","")&amp;",")))=COUNTA(TEXTSPLIT(DK186,",")))),IF(DM186="",TRUE,IF(input_executive_education_focus="",TRUE,SUMPRODUCT(--ISNUMBER(SEARCH(","&amp;TRIM(TEXTSPLIT(DM186,","))&amp;",",","&amp;SUBSTITUTE(input_executive_education_focus," ","")&amp;",")))=0)),IF(DO186="",TRUE,IF(input_executive_education_focus="",FALSE,SUMPRODUCT(--ISNUMBER(SEARCH(","&amp;TRIM(TEXTSPLIT(DO186,","))&amp;",",","&amp;SUBSTITUTE(input_executive_education_focus," ","")&amp;",")))&gt;0)),IF(DQ186="",TRUE,IF(input_executive_education_focus="",FALSE,SUMPRODUCT(--ISNUMBER(SEARCH(","&amp;TRIM(TEXTSPLIT(DQ186,","))&amp;",",","&amp;SUBSTITUTE(input_executive_education_focus," ","")&amp;",")))=COUNTA(TEXTSPLIT(DQ186,",")))))</f>
        <v/>
      </c>
      <c r="JE186" s="19">
        <f>AND(IF(DS186="",TRUE,IF(input_faculty_category="",FALSE,SUMPRODUCT(--ISNUMBER(SEARCH(","&amp;TRIM(TEXTSPLIT(DS186,","))&amp;",",","&amp;SUBSTITUTE(input_faculty_category," ","")&amp;",")))&gt;0)),IF(DU186="",TRUE,IF(input_faculty_category="",FALSE,SUMPRODUCT(--ISNUMBER(SEARCH(","&amp;TRIM(TEXTSPLIT(DU186,","))&amp;",",","&amp;SUBSTITUTE(input_faculty_category," ","")&amp;",")))=COUNTA(TEXTSPLIT(DU186,",")))),IF(DW186="",TRUE,IF(input_faculty_category="",TRUE,SUMPRODUCT(--ISNUMBER(SEARCH(","&amp;TRIM(TEXTSPLIT(DW186,","))&amp;",",","&amp;SUBSTITUTE(input_faculty_category," ","")&amp;",")))=0)),IF(DY186="",TRUE,IF(input_faculty_category="",FALSE,SUMPRODUCT(--ISNUMBER(SEARCH(","&amp;TRIM(TEXTSPLIT(DY186,","))&amp;",",","&amp;SUBSTITUTE(input_faculty_category," ","")&amp;",")))&gt;0)),IF(EA186="",TRUE,IF(input_faculty_category="",FALSE,SUMPRODUCT(--ISNUMBER(SEARCH(","&amp;TRIM(TEXTSPLIT(EA186,","))&amp;",",","&amp;SUBSTITUTE(input_faculty_category," ","")&amp;",")))=COUNTA(TEXTSPLIT(EA186,",")))))</f>
        <v/>
      </c>
      <c r="JF186" s="19">
        <f>AND(IF(EC186="",TRUE,IF(input_faculty_discipline="",FALSE,SUMPRODUCT(--ISNUMBER(SEARCH(","&amp;TRIM(TEXTSPLIT(EC186,","))&amp;",",","&amp;SUBSTITUTE(input_faculty_discipline," ","")&amp;",")))&gt;0)),IF(EE186="",TRUE,IF(input_faculty_discipline="",FALSE,SUMPRODUCT(--ISNUMBER(SEARCH(","&amp;TRIM(TEXTSPLIT(EE186,","))&amp;",",","&amp;SUBSTITUTE(input_faculty_discipline," ","")&amp;",")))=COUNTA(TEXTSPLIT(EE186,",")))),IF(EG186="",TRUE,IF(input_faculty_discipline="",TRUE,SUMPRODUCT(--ISNUMBER(SEARCH(","&amp;TRIM(TEXTSPLIT(EG186,","))&amp;",",","&amp;SUBSTITUTE(input_faculty_discipline," ","")&amp;",")))=0)),IF(EI186="",TRUE,IF(input_faculty_discipline="",FALSE,SUMPRODUCT(--ISNUMBER(SEARCH(","&amp;TRIM(TEXTSPLIT(EI186,","))&amp;",",","&amp;SUBSTITUTE(input_faculty_discipline," ","")&amp;",")))&gt;0)),IF(EK186="",TRUE,IF(input_faculty_discipline="",FALSE,SUMPRODUCT(--ISNUMBER(SEARCH(","&amp;TRIM(TEXTSPLIT(EK186,","))&amp;",",","&amp;SUBSTITUTE(input_faculty_discipline," ","")&amp;",")))=COUNTA(TEXTSPLIT(EK186,",")))))</f>
        <v/>
      </c>
      <c r="JG186" s="19">
        <f>AND(IF(EM186="",TRUE,IF(input_faculty_expertise="",FALSE,SUMPRODUCT(--ISNUMBER(SEARCH(","&amp;TRIM(TEXTSPLIT(EM186,","))&amp;",",","&amp;SUBSTITUTE(input_faculty_expertise," ","")&amp;",")))&gt;0)),IF(EO186="",TRUE,IF(input_faculty_expertise="",FALSE,SUMPRODUCT(--ISNUMBER(SEARCH(","&amp;TRIM(TEXTSPLIT(EO186,","))&amp;",",","&amp;SUBSTITUTE(input_faculty_expertise," ","")&amp;",")))=COUNTA(TEXTSPLIT(EO186,",")))),IF(EQ186="",TRUE,IF(input_faculty_expertise="",TRUE,SUMPRODUCT(--ISNUMBER(SEARCH(","&amp;TRIM(TEXTSPLIT(EQ186,","))&amp;",",","&amp;SUBSTITUTE(input_faculty_expertise," ","")&amp;",")))=0)),IF(ES186="",TRUE,IF(input_faculty_expertise="",FALSE,SUMPRODUCT(--ISNUMBER(SEARCH(","&amp;TRIM(TEXTSPLIT(ES186,","))&amp;",",","&amp;SUBSTITUTE(input_faculty_expertise," ","")&amp;",")))&gt;0)),IF(EU186="",TRUE,IF(input_faculty_expertise="",FALSE,SUMPRODUCT(--ISNUMBER(SEARCH(","&amp;TRIM(TEXTSPLIT(EU186,","))&amp;",",","&amp;SUBSTITUTE(input_faculty_expertise," ","")&amp;",")))=COUNTA(TEXTSPLIT(EU186,",")))))</f>
        <v/>
      </c>
      <c r="JH186" s="19">
        <f>AND(IF(EW186="",TRUE,IF(input_global_network_school="",FALSE,SUMPRODUCT(--ISNUMBER(SEARCH(","&amp;TRIM(TEXTSPLIT(EW186,","))&amp;",",","&amp;SUBSTITUTE(input_global_network_school," ","")&amp;",")))&gt;0)),IF(EY186="",TRUE,IF(input_global_network_school="",FALSE,SUMPRODUCT(--ISNUMBER(SEARCH(","&amp;TRIM(TEXTSPLIT(EY186,","))&amp;",",","&amp;SUBSTITUTE(input_global_network_school," ","")&amp;",")))=COUNTA(TEXTSPLIT(EY186,",")))),IF(FA186="",TRUE,IF(input_global_network_school="",TRUE,SUMPRODUCT(--ISNUMBER(SEARCH(","&amp;TRIM(TEXTSPLIT(FA186,","))&amp;",",","&amp;SUBSTITUTE(input_global_network_school," ","")&amp;",")))=0)),IF(FC186="",TRUE,IF(input_global_network_school="",FALSE,SUMPRODUCT(--ISNUMBER(SEARCH(","&amp;TRIM(TEXTSPLIT(FC186,","))&amp;",",","&amp;SUBSTITUTE(input_global_network_school," ","")&amp;",")))&gt;0)),IF(FE186="",TRUE,IF(input_global_network_school="",FALSE,SUMPRODUCT(--ISNUMBER(SEARCH(","&amp;TRIM(TEXTSPLIT(FE186,","))&amp;",",","&amp;SUBSTITUTE(input_global_network_school," ","")&amp;",")))=COUNTA(TEXTSPLIT(FE186,",")))))</f>
        <v/>
      </c>
      <c r="JI186" s="19">
        <f>AND(IF(FG186="",TRUE,IF(input_industry="",FALSE,SUMPRODUCT(--ISNUMBER(SEARCH(","&amp;TRIM(TEXTSPLIT(FG186,","))&amp;",",","&amp;SUBSTITUTE(input_industry," ","")&amp;",")))&gt;0)),IF(FI186="",TRUE,IF(input_industry="",FALSE,SUMPRODUCT(--ISNUMBER(SEARCH(","&amp;TRIM(TEXTSPLIT(FI186,","))&amp;",",","&amp;SUBSTITUTE(input_industry," ","")&amp;",")))=COUNTA(TEXTSPLIT(FI186,",")))),IF(FK186="",TRUE,IF(input_industry="",TRUE,SUMPRODUCT(--ISNUMBER(SEARCH(","&amp;TRIM(TEXTSPLIT(FK186,","))&amp;",",","&amp;SUBSTITUTE(input_industry," ","")&amp;",")))=0)),IF(FM186="",TRUE,IF(input_industry="",FALSE,SUMPRODUCT(--ISNUMBER(SEARCH(","&amp;TRIM(TEXTSPLIT(FM186,","))&amp;",",","&amp;SUBSTITUTE(input_industry," ","")&amp;",")))&gt;0)),IF(FO186="",TRUE,IF(input_industry="",FALSE,SUMPRODUCT(--ISNUMBER(SEARCH(","&amp;TRIM(TEXTSPLIT(FO186,","))&amp;",",","&amp;SUBSTITUTE(input_industry," ","")&amp;",")))=COUNTA(TEXTSPLIT(FO186,",")))))</f>
        <v/>
      </c>
      <c r="JJ186" s="19">
        <f>AND(IF(FQ186="",TRUE,IF(input_location="",FALSE,SUMPRODUCT(--ISNUMBER(SEARCH(","&amp;TRIM(TEXTSPLIT(FQ186,","))&amp;",",","&amp;SUBSTITUTE(input_location," ","")&amp;",")))&gt;0)),IF(FS186="",TRUE,IF(input_location="",FALSE,SUMPRODUCT(--ISNUMBER(SEARCH(","&amp;TRIM(TEXTSPLIT(FS186,","))&amp;",",","&amp;SUBSTITUTE(input_location," ","")&amp;",")))=COUNTA(TEXTSPLIT(FS186,",")))),IF(FU186="",TRUE,IF(input_location="",TRUE,SUMPRODUCT(--ISNUMBER(SEARCH(","&amp;TRIM(TEXTSPLIT(FU186,","))&amp;",",","&amp;SUBSTITUTE(input_location," ","")&amp;",")))=0)),IF(FW186="",TRUE,IF(input_location="",FALSE,SUMPRODUCT(--ISNUMBER(SEARCH(","&amp;TRIM(TEXTSPLIT(FW186,","))&amp;",",","&amp;SUBSTITUTE(input_location," ","")&amp;",")))&gt;0)),IF(FY186="",TRUE,IF(input_location="",FALSE,SUMPRODUCT(--ISNUMBER(SEARCH(","&amp;TRIM(TEXTSPLIT(FY186,","))&amp;",",","&amp;SUBSTITUTE(input_location," ","")&amp;",")))=COUNTA(TEXTSPLIT(FY186,",")))))</f>
        <v/>
      </c>
      <c r="JK186" s="19">
        <f>AND(IF(GA186="",TRUE,IF(input_modality="",FALSE,SUMPRODUCT(--ISNUMBER(SEARCH(","&amp;TRIM(TEXTSPLIT(GA186,","))&amp;",",","&amp;SUBSTITUTE(input_modality," ","")&amp;",")))&gt;0)),IF(GC186="",TRUE,IF(input_modality="",FALSE,SUMPRODUCT(--ISNUMBER(SEARCH(","&amp;TRIM(TEXTSPLIT(GC186,","))&amp;",",","&amp;SUBSTITUTE(input_modality," ","")&amp;",")))=COUNTA(TEXTSPLIT(GC186,",")))),IF(GE186="",TRUE,IF(input_modality="",TRUE,SUMPRODUCT(--ISNUMBER(SEARCH(","&amp;TRIM(TEXTSPLIT(GE186,","))&amp;",",","&amp;SUBSTITUTE(input_modality," ","")&amp;",")))=0)),IF(GG186="",TRUE,IF(input_modality="",FALSE,SUMPRODUCT(--ISNUMBER(SEARCH(","&amp;TRIM(TEXTSPLIT(GG186,","))&amp;",",","&amp;SUBSTITUTE(input_modality," ","")&amp;",")))&gt;0)),IF(GI186="",TRUE,IF(input_modality="",FALSE,SUMPRODUCT(--ISNUMBER(SEARCH(","&amp;TRIM(TEXTSPLIT(GI186,","))&amp;",",","&amp;SUBSTITUTE(input_modality," ","")&amp;",")))=COUNTA(TEXTSPLIT(GI186,",")))))</f>
        <v/>
      </c>
      <c r="JL186" s="19">
        <f>AND(IF(GK186="",TRUE,IF(input_organizer="",FALSE,SUMPRODUCT(--ISNUMBER(SEARCH(","&amp;TRIM(TEXTSPLIT(GK186,","))&amp;",",","&amp;SUBSTITUTE(input_organizer," ","")&amp;",")))&gt;0)),IF(GM186="",TRUE,IF(input_organizer="",FALSE,SUMPRODUCT(--ISNUMBER(SEARCH(","&amp;TRIM(TEXTSPLIT(GM186,","))&amp;",",","&amp;SUBSTITUTE(input_organizer," ","")&amp;",")))=COUNTA(TEXTSPLIT(GM186,",")))),IF(GO186="",TRUE,IF(input_organizer="",TRUE,SUMPRODUCT(--ISNUMBER(SEARCH(","&amp;TRIM(TEXTSPLIT(GO186,","))&amp;",",","&amp;SUBSTITUTE(input_organizer," ","")&amp;",")))=0)),IF(GQ186="",TRUE,IF(input_organizer="",FALSE,SUMPRODUCT(--ISNUMBER(SEARCH(","&amp;TRIM(TEXTSPLIT(GQ186,","))&amp;",",","&amp;SUBSTITUTE(input_organizer," ","")&amp;",")))&gt;0)),IF(GS186="",TRUE,IF(input_organizer="",FALSE,SUMPRODUCT(--ISNUMBER(SEARCH(","&amp;TRIM(TEXTSPLIT(GS186,","))&amp;",",","&amp;SUBSTITUTE(input_organizer," ","")&amp;",")))=COUNTA(TEXTSPLIT(GS186,",")))))</f>
        <v/>
      </c>
      <c r="JM186" s="19">
        <f>AND(IF(GU186="",TRUE,IF(input_profile_type="",FALSE,SUMPRODUCT(--ISNUMBER(SEARCH(","&amp;TRIM(TEXTSPLIT(GU186,","))&amp;",",","&amp;SUBSTITUTE(input_profile_type," ","")&amp;",")))&gt;0)),IF(GW186="",TRUE,IF(input_profile_type="",FALSE,SUMPRODUCT(--ISNUMBER(SEARCH(","&amp;TRIM(TEXTSPLIT(GW186,","))&amp;",",","&amp;SUBSTITUTE(input_profile_type," ","")&amp;",")))=COUNTA(TEXTSPLIT(GW186,",")))),IF(GY186="",TRUE,IF(input_profile_type="",TRUE,SUMPRODUCT(--ISNUMBER(SEARCH(","&amp;TRIM(TEXTSPLIT(GY186,","))&amp;",",","&amp;SUBSTITUTE(input_profile_type," ","")&amp;",")))=0)),IF(HA186="",TRUE,IF(input_profile_type="",FALSE,SUMPRODUCT(--ISNUMBER(SEARCH(","&amp;TRIM(TEXTSPLIT(HA186,","))&amp;",",","&amp;SUBSTITUTE(input_profile_type," ","")&amp;",")))&gt;0)),IF(HC186="",TRUE,IF(input_profile_type="",FALSE,SUMPRODUCT(--ISNUMBER(SEARCH(","&amp;TRIM(TEXTSPLIT(HC186,","))&amp;",",","&amp;SUBSTITUTE(input_profile_type," ","")&amp;",")))=COUNTA(TEXTSPLIT(HC186,",")))))</f>
        <v/>
      </c>
      <c r="JN186" s="19">
        <f>AND(IF(HE186="",TRUE,IF(input_program="",FALSE,SUMPRODUCT(--ISNUMBER(SEARCH(","&amp;TRIM(TEXTSPLIT(HE186,","))&amp;",",","&amp;SUBSTITUTE(input_program," ","")&amp;",")))&gt;0)),IF(HG186="",TRUE,IF(input_program="",FALSE,SUMPRODUCT(--ISNUMBER(SEARCH(","&amp;TRIM(TEXTSPLIT(HG186,","))&amp;",",","&amp;SUBSTITUTE(input_program," ","")&amp;",")))=COUNTA(TEXTSPLIT(HG186,",")))),IF(HI186="",TRUE,IF(input_program="",TRUE,SUMPRODUCT(--ISNUMBER(SEARCH(","&amp;TRIM(TEXTSPLIT(HI186,","))&amp;",",","&amp;SUBSTITUTE(input_program," ","")&amp;",")))=0)),IF(HK186="",TRUE,IF(input_program="",FALSE,SUMPRODUCT(--ISNUMBER(SEARCH(","&amp;TRIM(TEXTSPLIT(HK186,","))&amp;",",","&amp;SUBSTITUTE(input_program," ","")&amp;",")))&gt;0)),IF(HM186="",TRUE,IF(input_program="",FALSE,SUMPRODUCT(--ISNUMBER(SEARCH(","&amp;TRIM(TEXTSPLIT(HM186,","))&amp;",",","&amp;SUBSTITUTE(input_program," ","")&amp;",")))=COUNTA(TEXTSPLIT(HM186,",")))))</f>
        <v/>
      </c>
      <c r="JO186" s="19">
        <f>AND(IF(HO186="",TRUE,IF(input_story_categories="",FALSE,SUMPRODUCT(--ISNUMBER(SEARCH(","&amp;TRIM(TEXTSPLIT(HO186,","))&amp;",",","&amp;SUBSTITUTE(input_story_categories," ","")&amp;",")))&gt;0)),IF(HQ186="",TRUE,IF(input_story_categories="",FALSE,SUMPRODUCT(--ISNUMBER(SEARCH(","&amp;TRIM(TEXTSPLIT(HQ186,","))&amp;",",","&amp;SUBSTITUTE(input_story_categories," ","")&amp;",")))=COUNTA(TEXTSPLIT(HQ186,",")))),IF(HS186="",TRUE,IF(input_story_categories="",TRUE,SUMPRODUCT(--ISNUMBER(SEARCH(","&amp;TRIM(TEXTSPLIT(HS186,","))&amp;",",","&amp;SUBSTITUTE(input_story_categories," ","")&amp;",")))=0)),IF(HU186="",TRUE,IF(input_story_categories="",FALSE,SUMPRODUCT(--ISNUMBER(SEARCH(","&amp;TRIM(TEXTSPLIT(HU186,","))&amp;",",","&amp;SUBSTITUTE(input_story_categories," ","")&amp;",")))&gt;0)),IF(HW186="",TRUE,IF(input_story_categories="",FALSE,SUMPRODUCT(--ISNUMBER(SEARCH(","&amp;TRIM(TEXTSPLIT(HW186,","))&amp;",",","&amp;SUBSTITUTE(input_story_categories," ","")&amp;",")))=COUNTA(TEXTSPLIT(HW186,",")))))</f>
        <v/>
      </c>
      <c r="JP186" s="19">
        <f>AND(IF(HY186="",TRUE,IF(input_story_type="",FALSE,SUMPRODUCT(--ISNUMBER(SEARCH(","&amp;TRIM(TEXTSPLIT(HY186,","))&amp;",",","&amp;SUBSTITUTE(input_story_type," ","")&amp;",")))&gt;0)),IF(IA186="",TRUE,IF(input_story_type="",FALSE,SUMPRODUCT(--ISNUMBER(SEARCH(","&amp;TRIM(TEXTSPLIT(IA186,","))&amp;",",","&amp;SUBSTITUTE(input_story_type," ","")&amp;",")))=COUNTA(TEXTSPLIT(IA186,",")))),IF(IC186="",TRUE,IF(input_story_type="",TRUE,SUMPRODUCT(--ISNUMBER(SEARCH(","&amp;TRIM(TEXTSPLIT(IC186,","))&amp;",",","&amp;SUBSTITUTE(input_story_type," ","")&amp;",")))=0)),IF(IE186="",TRUE,IF(input_story_type="",FALSE,SUMPRODUCT(--ISNUMBER(SEARCH(","&amp;TRIM(TEXTSPLIT(IE186,","))&amp;",",","&amp;SUBSTITUTE(input_story_type," ","")&amp;",")))&gt;0)),IF(IG186="",TRUE,IF(input_story_type="",FALSE,SUMPRODUCT(--ISNUMBER(SEARCH(","&amp;TRIM(TEXTSPLIT(IG186,","))&amp;",",","&amp;SUBSTITUTE(input_story_type," ","")&amp;",")))=COUNTA(TEXTSPLIT(IG186,",")))))</f>
        <v/>
      </c>
      <c r="JQ186" s="19">
        <f>AND(IF(II186="",TRUE,IF(input_topics="",FALSE,SUMPRODUCT(--ISNUMBER(SEARCH(","&amp;TRIM(TEXTSPLIT(II186,","))&amp;",",","&amp;SUBSTITUTE(input_topics," ","")&amp;",")))&gt;0)),IF(IK186="",TRUE,IF(input_topics="",FALSE,SUMPRODUCT(--ISNUMBER(SEARCH(","&amp;TRIM(TEXTSPLIT(IK186,","))&amp;",",","&amp;SUBSTITUTE(input_topics," ","")&amp;",")))=COUNTA(TEXTSPLIT(IK186,",")))),IF(IM186="",TRUE,IF(input_topics="",TRUE,SUMPRODUCT(--ISNUMBER(SEARCH(","&amp;TRIM(TEXTSPLIT(IM186,","))&amp;",",","&amp;SUBSTITUTE(input_topics," ","")&amp;",")))=0)),IF(IO186="",TRUE,IF(input_topics="",FALSE,SUMPRODUCT(--ISNUMBER(SEARCH(","&amp;TRIM(TEXTSPLIT(IO186,","))&amp;",",","&amp;SUBSTITUTE(input_topics," ","")&amp;",")))&gt;0)),IF(IQ186="",TRUE,IF(input_topics="",FALSE,SUMPRODUCT(--ISNUMBER(SEARCH(","&amp;TRIM(TEXTSPLIT(IQ186,","))&amp;",",","&amp;SUBSTITUTE(input_topics," ","")&amp;",")))=COUNTA(TEXTSPLIT(IQ186,",")))))</f>
        <v/>
      </c>
    </row>
    <row r="187">
      <c r="A187" s="24">
        <f>IF(NOT(IS187),"Excluded",IF(AND(IT187,IU187,IV187,IW187,IX187,IY187,IZ187,JA187,JB187,JC187,JD187,JE187,JF187,JG187,JH187,JI187,JJ187,JK187,JL187,JM187,JN187,JO187,JP187,JQ187),IF(I187&gt;0,"Eligible but limited","Will appear"),"Excluded"))</f>
        <v/>
      </c>
      <c r="B187" s="24" t="inlineStr">
        <is>
          <t>Related stories on story pages</t>
        </is>
      </c>
      <c r="C187" s="27" t="inlineStr">
        <is>
          <t>/news/2018/09/micro-organizational-behavior-internship-introduces-college-students-to-graduate-school-research</t>
        </is>
      </c>
      <c r="D187" s="24" t="inlineStr">
        <is>
          <t>/news/2018/09/micro-organizational-behavior-internship-introduces-college-students-to-graduate-school-research
/news/2019/07/finance-summer-school-draws-global-cohort-of-doctoral-students
/story/2022/yale-summer-school-behavioral-finance-draws-students-across-us-and-europe</t>
        </is>
      </c>
      <c r="E187" s="24" t="n">
        <v>7</v>
      </c>
      <c r="F187" s="24" t="inlineStr">
        <is>
          <t>story</t>
        </is>
      </c>
      <c r="G187" s="24" t="inlineStr">
        <is>
          <t>stories_teaser_cards</t>
        </is>
      </c>
      <c r="H187" s="24" t="inlineStr">
        <is>
          <t>embed_all</t>
        </is>
      </c>
      <c r="I187" s="24" t="n">
        <v>3</v>
      </c>
      <c r="J187" s="31" t="inlineStr">
        <is>
          <t>Template logic</t>
        </is>
      </c>
      <c r="K187" s="24" t="inlineStr">
        <is>
          <t>Grouped surface</t>
        </is>
      </c>
      <c r="L187" s="24" t="inlineStr">
        <is>
          <t>Content type: story; Context uses Courses Context: Doctoral Programs (962); Context uses Story Type: News (924); Limited to 3 item(s); Source: Template logic</t>
        </is>
      </c>
      <c r="BQ187" s="19" t="inlineStr">
        <is>
          <t>962</t>
        </is>
      </c>
      <c r="BR187" s="19" t="inlineStr">
        <is>
          <t>Doctoral Programs (962)</t>
        </is>
      </c>
      <c r="IE187" s="19" t="inlineStr">
        <is>
          <t>924</t>
        </is>
      </c>
      <c r="IF187" s="19" t="inlineStr">
        <is>
          <t>News (924)</t>
        </is>
      </c>
      <c r="IS187" s="19">
        <f>IF(input_content_type="",FALSE,ISNUMBER(SEARCH(","&amp;LOWER(input_content_type)&amp;",",","&amp;LOWER(SUBSTITUTE(F187," ",""))&amp;",")))</f>
        <v/>
      </c>
      <c r="IT187" s="19">
        <f>AND(IF(M187="",TRUE,IF(input_affiliations="",FALSE,SUMPRODUCT(--ISNUMBER(SEARCH(","&amp;TRIM(TEXTSPLIT(M187,","))&amp;",",","&amp;SUBSTITUTE(input_affiliations," ","")&amp;",")))&gt;0)),IF(O187="",TRUE,IF(input_affiliations="",FALSE,SUMPRODUCT(--ISNUMBER(SEARCH(","&amp;TRIM(TEXTSPLIT(O187,","))&amp;",",","&amp;SUBSTITUTE(input_affiliations," ","")&amp;",")))=COUNTA(TEXTSPLIT(O187,",")))),IF(Q187="",TRUE,IF(input_affiliations="",TRUE,SUMPRODUCT(--ISNUMBER(SEARCH(","&amp;TRIM(TEXTSPLIT(Q187,","))&amp;",",","&amp;SUBSTITUTE(input_affiliations," ","")&amp;",")))=0)),IF(S187="",TRUE,IF(input_affiliations="",FALSE,SUMPRODUCT(--ISNUMBER(SEARCH(","&amp;TRIM(TEXTSPLIT(S187,","))&amp;",",","&amp;SUBSTITUTE(input_affiliations," ","")&amp;",")))&gt;0)),IF(U187="",TRUE,IF(input_affiliations="",FALSE,SUMPRODUCT(--ISNUMBER(SEARCH(","&amp;TRIM(TEXTSPLIT(U187,","))&amp;",",","&amp;SUBSTITUTE(input_affiliations," ","")&amp;",")))=COUNTA(TEXTSPLIT(U187,",")))))</f>
        <v/>
      </c>
      <c r="IU187" s="19">
        <f>AND(IF(W187="",TRUE,IF(input_announcement_category="",FALSE,SUMPRODUCT(--ISNUMBER(SEARCH(","&amp;TRIM(TEXTSPLIT(W187,","))&amp;",",","&amp;SUBSTITUTE(input_announcement_category," ","")&amp;",")))&gt;0)),IF(Y187="",TRUE,IF(input_announcement_category="",FALSE,SUMPRODUCT(--ISNUMBER(SEARCH(","&amp;TRIM(TEXTSPLIT(Y187,","))&amp;",",","&amp;SUBSTITUTE(input_announcement_category," ","")&amp;",")))=COUNTA(TEXTSPLIT(Y187,",")))),IF(AA187="",TRUE,IF(input_announcement_category="",TRUE,SUMPRODUCT(--ISNUMBER(SEARCH(","&amp;TRIM(TEXTSPLIT(AA187,","))&amp;",",","&amp;SUBSTITUTE(input_announcement_category," ","")&amp;",")))=0)),IF(AC187="",TRUE,IF(input_announcement_category="",FALSE,SUMPRODUCT(--ISNUMBER(SEARCH(","&amp;TRIM(TEXTSPLIT(AC187,","))&amp;",",","&amp;SUBSTITUTE(input_announcement_category," ","")&amp;",")))&gt;0)),IF(AE187="",TRUE,IF(input_announcement_category="",FALSE,SUMPRODUCT(--ISNUMBER(SEARCH(","&amp;TRIM(TEXTSPLIT(AE187,","))&amp;",",","&amp;SUBSTITUTE(input_announcement_category," ","")&amp;",")))=COUNTA(TEXTSPLIT(AE187,",")))))</f>
        <v/>
      </c>
      <c r="IV187" s="19">
        <f>AND(IF(AG187="",TRUE,IF(input_area_of_focus="",FALSE,SUMPRODUCT(--ISNUMBER(SEARCH(","&amp;TRIM(TEXTSPLIT(AG187,","))&amp;",",","&amp;SUBSTITUTE(input_area_of_focus," ","")&amp;",")))&gt;0)),IF(AI187="",TRUE,IF(input_area_of_focus="",FALSE,SUMPRODUCT(--ISNUMBER(SEARCH(","&amp;TRIM(TEXTSPLIT(AI187,","))&amp;",",","&amp;SUBSTITUTE(input_area_of_focus," ","")&amp;",")))=COUNTA(TEXTSPLIT(AI187,",")))),IF(AK187="",TRUE,IF(input_area_of_focus="",TRUE,SUMPRODUCT(--ISNUMBER(SEARCH(","&amp;TRIM(TEXTSPLIT(AK187,","))&amp;",",","&amp;SUBSTITUTE(input_area_of_focus," ","")&amp;",")))=0)),IF(AM187="",TRUE,IF(input_area_of_focus="",FALSE,SUMPRODUCT(--ISNUMBER(SEARCH(","&amp;TRIM(TEXTSPLIT(AM187,","))&amp;",",","&amp;SUBSTITUTE(input_area_of_focus," ","")&amp;",")))&gt;0)),IF(AO187="",TRUE,IF(input_area_of_focus="",FALSE,SUMPRODUCT(--ISNUMBER(SEARCH(","&amp;TRIM(TEXTSPLIT(AO187,","))&amp;",",","&amp;SUBSTITUTE(input_area_of_focus," ","")&amp;",")))=COUNTA(TEXTSPLIT(AO187,",")))))</f>
        <v/>
      </c>
      <c r="IW187" s="19">
        <f>AND(IF(AQ187="",TRUE,IF(input_audience="",FALSE,SUMPRODUCT(--ISNUMBER(SEARCH(","&amp;TRIM(TEXTSPLIT(AQ187,","))&amp;",",","&amp;SUBSTITUTE(input_audience," ","")&amp;",")))&gt;0)),IF(AS187="",TRUE,IF(input_audience="",FALSE,SUMPRODUCT(--ISNUMBER(SEARCH(","&amp;TRIM(TEXTSPLIT(AS187,","))&amp;",",","&amp;SUBSTITUTE(input_audience," ","")&amp;",")))=COUNTA(TEXTSPLIT(AS187,",")))),IF(AU187="",TRUE,IF(input_audience="",TRUE,SUMPRODUCT(--ISNUMBER(SEARCH(","&amp;TRIM(TEXTSPLIT(AU187,","))&amp;",",","&amp;SUBSTITUTE(input_audience," ","")&amp;",")))=0)),IF(AW187="",TRUE,IF(input_audience="",FALSE,SUMPRODUCT(--ISNUMBER(SEARCH(","&amp;TRIM(TEXTSPLIT(AW187,","))&amp;",",","&amp;SUBSTITUTE(input_audience," ","")&amp;",")))&gt;0)),IF(AY187="",TRUE,IF(input_audience="",FALSE,SUMPRODUCT(--ISNUMBER(SEARCH(","&amp;TRIM(TEXTSPLIT(AY187,","))&amp;",",","&amp;SUBSTITUTE(input_audience," ","")&amp;",")))=COUNTA(TEXTSPLIT(AY187,",")))))</f>
        <v/>
      </c>
      <c r="IX187" s="19">
        <f>AND(IF(BA187="",TRUE,IF(input_challenge_opportunities="",FALSE,SUMPRODUCT(--ISNUMBER(SEARCH(","&amp;TRIM(TEXTSPLIT(BA187,","))&amp;",",","&amp;SUBSTITUTE(input_challenge_opportunities," ","")&amp;",")))&gt;0)),IF(BC187="",TRUE,IF(input_challenge_opportunities="",FALSE,SUMPRODUCT(--ISNUMBER(SEARCH(","&amp;TRIM(TEXTSPLIT(BC187,","))&amp;",",","&amp;SUBSTITUTE(input_challenge_opportunities," ","")&amp;",")))=COUNTA(TEXTSPLIT(BC187,",")))),IF(BE187="",TRUE,IF(input_challenge_opportunities="",TRUE,SUMPRODUCT(--ISNUMBER(SEARCH(","&amp;TRIM(TEXTSPLIT(BE187,","))&amp;",",","&amp;SUBSTITUTE(input_challenge_opportunities," ","")&amp;",")))=0)),IF(BG187="",TRUE,IF(input_challenge_opportunities="",FALSE,SUMPRODUCT(--ISNUMBER(SEARCH(","&amp;TRIM(TEXTSPLIT(BG187,","))&amp;",",","&amp;SUBSTITUTE(input_challenge_opportunities," ","")&amp;",")))&gt;0)),IF(BI187="",TRUE,IF(input_challenge_opportunities="",FALSE,SUMPRODUCT(--ISNUMBER(SEARCH(","&amp;TRIM(TEXTSPLIT(BI187,","))&amp;",",","&amp;SUBSTITUTE(input_challenge_opportunities," ","")&amp;",")))=COUNTA(TEXTSPLIT(BI187,",")))))</f>
        <v/>
      </c>
      <c r="IY187" s="19">
        <f>AND(IF(BK187="",TRUE,IF(input_context="",FALSE,SUMPRODUCT(--ISNUMBER(SEARCH(","&amp;TRIM(TEXTSPLIT(BK187,","))&amp;",",","&amp;SUBSTITUTE(input_context," ","")&amp;",")))&gt;0)),IF(BM187="",TRUE,IF(input_context="",FALSE,SUMPRODUCT(--ISNUMBER(SEARCH(","&amp;TRIM(TEXTSPLIT(BM187,","))&amp;",",","&amp;SUBSTITUTE(input_context," ","")&amp;",")))=COUNTA(TEXTSPLIT(BM187,",")))),IF(BO187="",TRUE,IF(input_context="",TRUE,SUMPRODUCT(--ISNUMBER(SEARCH(","&amp;TRIM(TEXTSPLIT(BO187,","))&amp;",",","&amp;SUBSTITUTE(input_context," ","")&amp;",")))=0)),IF(BQ187="",TRUE,IF(input_context="",FALSE,SUMPRODUCT(--ISNUMBER(SEARCH(","&amp;TRIM(TEXTSPLIT(BQ187,","))&amp;",",","&amp;SUBSTITUTE(input_context," ","")&amp;",")))&gt;0)),IF(BS187="",TRUE,IF(input_context="",FALSE,SUMPRODUCT(--ISNUMBER(SEARCH(","&amp;TRIM(TEXTSPLIT(BS187,","))&amp;",",","&amp;SUBSTITUTE(input_context," ","")&amp;",")))=COUNTA(TEXTSPLIT(BS187,",")))))</f>
        <v/>
      </c>
      <c r="IZ187" s="19">
        <f>AND(IF(BU187="",TRUE,IF(input_enews_announcement_type="",FALSE,SUMPRODUCT(--ISNUMBER(SEARCH(","&amp;TRIM(TEXTSPLIT(BU187,","))&amp;",",","&amp;SUBSTITUTE(input_enews_announcement_type," ","")&amp;",")))&gt;0)),IF(BW187="",TRUE,IF(input_enews_announcement_type="",FALSE,SUMPRODUCT(--ISNUMBER(SEARCH(","&amp;TRIM(TEXTSPLIT(BW187,","))&amp;",",","&amp;SUBSTITUTE(input_enews_announcement_type," ","")&amp;",")))=COUNTA(TEXTSPLIT(BW187,",")))),IF(BY187="",TRUE,IF(input_enews_announcement_type="",TRUE,SUMPRODUCT(--ISNUMBER(SEARCH(","&amp;TRIM(TEXTSPLIT(BY187,","))&amp;",",","&amp;SUBSTITUTE(input_enews_announcement_type," ","")&amp;",")))=0)),IF(CA187="",TRUE,IF(input_enews_announcement_type="",FALSE,SUMPRODUCT(--ISNUMBER(SEARCH(","&amp;TRIM(TEXTSPLIT(CA187,","))&amp;",",","&amp;SUBSTITUTE(input_enews_announcement_type," ","")&amp;",")))&gt;0)),IF(CC187="",TRUE,IF(input_enews_announcement_type="",FALSE,SUMPRODUCT(--ISNUMBER(SEARCH(","&amp;TRIM(TEXTSPLIT(CC187,","))&amp;",",","&amp;SUBSTITUTE(input_enews_announcement_type," ","")&amp;",")))=COUNTA(TEXTSPLIT(CC187,",")))))</f>
        <v/>
      </c>
      <c r="JA187" s="19">
        <f>AND(IF(CE187="",TRUE,IF(input_enews_audience="",FALSE,SUMPRODUCT(--ISNUMBER(SEARCH(","&amp;TRIM(TEXTSPLIT(CE187,","))&amp;",",","&amp;SUBSTITUTE(input_enews_audience," ","")&amp;",")))&gt;0)),IF(CG187="",TRUE,IF(input_enews_audience="",FALSE,SUMPRODUCT(--ISNUMBER(SEARCH(","&amp;TRIM(TEXTSPLIT(CG187,","))&amp;",",","&amp;SUBSTITUTE(input_enews_audience," ","")&amp;",")))=COUNTA(TEXTSPLIT(CG187,",")))),IF(CI187="",TRUE,IF(input_enews_audience="",TRUE,SUMPRODUCT(--ISNUMBER(SEARCH(","&amp;TRIM(TEXTSPLIT(CI187,","))&amp;",",","&amp;SUBSTITUTE(input_enews_audience," ","")&amp;",")))=0)),IF(CK187="",TRUE,IF(input_enews_audience="",FALSE,SUMPRODUCT(--ISNUMBER(SEARCH(","&amp;TRIM(TEXTSPLIT(CK187,","))&amp;",",","&amp;SUBSTITUTE(input_enews_audience," ","")&amp;",")))&gt;0)),IF(CM187="",TRUE,IF(input_enews_audience="",FALSE,SUMPRODUCT(--ISNUMBER(SEARCH(","&amp;TRIM(TEXTSPLIT(CM187,","))&amp;",",","&amp;SUBSTITUTE(input_enews_audience," ","")&amp;",")))=COUNTA(TEXTSPLIT(CM187,",")))))</f>
        <v/>
      </c>
      <c r="JB187" s="19">
        <f>AND(IF(CO187="",TRUE,IF(input_event_location="",FALSE,SUMPRODUCT(--ISNUMBER(SEARCH(","&amp;TRIM(TEXTSPLIT(CO187,","))&amp;",",","&amp;SUBSTITUTE(input_event_location," ","")&amp;",")))&gt;0)),IF(CQ187="",TRUE,IF(input_event_location="",FALSE,SUMPRODUCT(--ISNUMBER(SEARCH(","&amp;TRIM(TEXTSPLIT(CQ187,","))&amp;",",","&amp;SUBSTITUTE(input_event_location," ","")&amp;",")))=COUNTA(TEXTSPLIT(CQ187,",")))),IF(CS187="",TRUE,IF(input_event_location="",TRUE,SUMPRODUCT(--ISNUMBER(SEARCH(","&amp;TRIM(TEXTSPLIT(CS187,","))&amp;",",","&amp;SUBSTITUTE(input_event_location," ","")&amp;",")))=0)),IF(CU187="",TRUE,IF(input_event_location="",FALSE,SUMPRODUCT(--ISNUMBER(SEARCH(","&amp;TRIM(TEXTSPLIT(CU187,","))&amp;",",","&amp;SUBSTITUTE(input_event_location," ","")&amp;",")))&gt;0)),IF(CW187="",TRUE,IF(input_event_location="",FALSE,SUMPRODUCT(--ISNUMBER(SEARCH(","&amp;TRIM(TEXTSPLIT(CW187,","))&amp;",",","&amp;SUBSTITUTE(input_event_location," ","")&amp;",")))=COUNTA(TEXTSPLIT(CW187,",")))))</f>
        <v/>
      </c>
      <c r="JC187" s="19">
        <f>AND(IF(CY187="",TRUE,IF(input_event_type="",FALSE,SUMPRODUCT(--ISNUMBER(SEARCH(","&amp;TRIM(TEXTSPLIT(CY187,","))&amp;",",","&amp;SUBSTITUTE(input_event_type," ","")&amp;",")))&gt;0)),IF(DA187="",TRUE,IF(input_event_type="",FALSE,SUMPRODUCT(--ISNUMBER(SEARCH(","&amp;TRIM(TEXTSPLIT(DA187,","))&amp;",",","&amp;SUBSTITUTE(input_event_type," ","")&amp;",")))=COUNTA(TEXTSPLIT(DA187,",")))),IF(DC187="",TRUE,IF(input_event_type="",TRUE,SUMPRODUCT(--ISNUMBER(SEARCH(","&amp;TRIM(TEXTSPLIT(DC187,","))&amp;",",","&amp;SUBSTITUTE(input_event_type," ","")&amp;",")))=0)),IF(DE187="",TRUE,IF(input_event_type="",FALSE,SUMPRODUCT(--ISNUMBER(SEARCH(","&amp;TRIM(TEXTSPLIT(DE187,","))&amp;",",","&amp;SUBSTITUTE(input_event_type," ","")&amp;",")))&gt;0)),IF(DG187="",TRUE,IF(input_event_type="",FALSE,SUMPRODUCT(--ISNUMBER(SEARCH(","&amp;TRIM(TEXTSPLIT(DG187,","))&amp;",",","&amp;SUBSTITUTE(input_event_type," ","")&amp;",")))=COUNTA(TEXTSPLIT(DG187,",")))))</f>
        <v/>
      </c>
      <c r="JD187" s="19">
        <f>AND(IF(DI187="",TRUE,IF(input_executive_education_focus="",FALSE,SUMPRODUCT(--ISNUMBER(SEARCH(","&amp;TRIM(TEXTSPLIT(DI187,","))&amp;",",","&amp;SUBSTITUTE(input_executive_education_focus," ","")&amp;",")))&gt;0)),IF(DK187="",TRUE,IF(input_executive_education_focus="",FALSE,SUMPRODUCT(--ISNUMBER(SEARCH(","&amp;TRIM(TEXTSPLIT(DK187,","))&amp;",",","&amp;SUBSTITUTE(input_executive_education_focus," ","")&amp;",")))=COUNTA(TEXTSPLIT(DK187,",")))),IF(DM187="",TRUE,IF(input_executive_education_focus="",TRUE,SUMPRODUCT(--ISNUMBER(SEARCH(","&amp;TRIM(TEXTSPLIT(DM187,","))&amp;",",","&amp;SUBSTITUTE(input_executive_education_focus," ","")&amp;",")))=0)),IF(DO187="",TRUE,IF(input_executive_education_focus="",FALSE,SUMPRODUCT(--ISNUMBER(SEARCH(","&amp;TRIM(TEXTSPLIT(DO187,","))&amp;",",","&amp;SUBSTITUTE(input_executive_education_focus," ","")&amp;",")))&gt;0)),IF(DQ187="",TRUE,IF(input_executive_education_focus="",FALSE,SUMPRODUCT(--ISNUMBER(SEARCH(","&amp;TRIM(TEXTSPLIT(DQ187,","))&amp;",",","&amp;SUBSTITUTE(input_executive_education_focus," ","")&amp;",")))=COUNTA(TEXTSPLIT(DQ187,",")))))</f>
        <v/>
      </c>
      <c r="JE187" s="19">
        <f>AND(IF(DS187="",TRUE,IF(input_faculty_category="",FALSE,SUMPRODUCT(--ISNUMBER(SEARCH(","&amp;TRIM(TEXTSPLIT(DS187,","))&amp;",",","&amp;SUBSTITUTE(input_faculty_category," ","")&amp;",")))&gt;0)),IF(DU187="",TRUE,IF(input_faculty_category="",FALSE,SUMPRODUCT(--ISNUMBER(SEARCH(","&amp;TRIM(TEXTSPLIT(DU187,","))&amp;",",","&amp;SUBSTITUTE(input_faculty_category," ","")&amp;",")))=COUNTA(TEXTSPLIT(DU187,",")))),IF(DW187="",TRUE,IF(input_faculty_category="",TRUE,SUMPRODUCT(--ISNUMBER(SEARCH(","&amp;TRIM(TEXTSPLIT(DW187,","))&amp;",",","&amp;SUBSTITUTE(input_faculty_category," ","")&amp;",")))=0)),IF(DY187="",TRUE,IF(input_faculty_category="",FALSE,SUMPRODUCT(--ISNUMBER(SEARCH(","&amp;TRIM(TEXTSPLIT(DY187,","))&amp;",",","&amp;SUBSTITUTE(input_faculty_category," ","")&amp;",")))&gt;0)),IF(EA187="",TRUE,IF(input_faculty_category="",FALSE,SUMPRODUCT(--ISNUMBER(SEARCH(","&amp;TRIM(TEXTSPLIT(EA187,","))&amp;",",","&amp;SUBSTITUTE(input_faculty_category," ","")&amp;",")))=COUNTA(TEXTSPLIT(EA187,",")))))</f>
        <v/>
      </c>
      <c r="JF187" s="19">
        <f>AND(IF(EC187="",TRUE,IF(input_faculty_discipline="",FALSE,SUMPRODUCT(--ISNUMBER(SEARCH(","&amp;TRIM(TEXTSPLIT(EC187,","))&amp;",",","&amp;SUBSTITUTE(input_faculty_discipline," ","")&amp;",")))&gt;0)),IF(EE187="",TRUE,IF(input_faculty_discipline="",FALSE,SUMPRODUCT(--ISNUMBER(SEARCH(","&amp;TRIM(TEXTSPLIT(EE187,","))&amp;",",","&amp;SUBSTITUTE(input_faculty_discipline," ","")&amp;",")))=COUNTA(TEXTSPLIT(EE187,",")))),IF(EG187="",TRUE,IF(input_faculty_discipline="",TRUE,SUMPRODUCT(--ISNUMBER(SEARCH(","&amp;TRIM(TEXTSPLIT(EG187,","))&amp;",",","&amp;SUBSTITUTE(input_faculty_discipline," ","")&amp;",")))=0)),IF(EI187="",TRUE,IF(input_faculty_discipline="",FALSE,SUMPRODUCT(--ISNUMBER(SEARCH(","&amp;TRIM(TEXTSPLIT(EI187,","))&amp;",",","&amp;SUBSTITUTE(input_faculty_discipline," ","")&amp;",")))&gt;0)),IF(EK187="",TRUE,IF(input_faculty_discipline="",FALSE,SUMPRODUCT(--ISNUMBER(SEARCH(","&amp;TRIM(TEXTSPLIT(EK187,","))&amp;",",","&amp;SUBSTITUTE(input_faculty_discipline," ","")&amp;",")))=COUNTA(TEXTSPLIT(EK187,",")))))</f>
        <v/>
      </c>
      <c r="JG187" s="19">
        <f>AND(IF(EM187="",TRUE,IF(input_faculty_expertise="",FALSE,SUMPRODUCT(--ISNUMBER(SEARCH(","&amp;TRIM(TEXTSPLIT(EM187,","))&amp;",",","&amp;SUBSTITUTE(input_faculty_expertise," ","")&amp;",")))&gt;0)),IF(EO187="",TRUE,IF(input_faculty_expertise="",FALSE,SUMPRODUCT(--ISNUMBER(SEARCH(","&amp;TRIM(TEXTSPLIT(EO187,","))&amp;",",","&amp;SUBSTITUTE(input_faculty_expertise," ","")&amp;",")))=COUNTA(TEXTSPLIT(EO187,",")))),IF(EQ187="",TRUE,IF(input_faculty_expertise="",TRUE,SUMPRODUCT(--ISNUMBER(SEARCH(","&amp;TRIM(TEXTSPLIT(EQ187,","))&amp;",",","&amp;SUBSTITUTE(input_faculty_expertise," ","")&amp;",")))=0)),IF(ES187="",TRUE,IF(input_faculty_expertise="",FALSE,SUMPRODUCT(--ISNUMBER(SEARCH(","&amp;TRIM(TEXTSPLIT(ES187,","))&amp;",",","&amp;SUBSTITUTE(input_faculty_expertise," ","")&amp;",")))&gt;0)),IF(EU187="",TRUE,IF(input_faculty_expertise="",FALSE,SUMPRODUCT(--ISNUMBER(SEARCH(","&amp;TRIM(TEXTSPLIT(EU187,","))&amp;",",","&amp;SUBSTITUTE(input_faculty_expertise," ","")&amp;",")))=COUNTA(TEXTSPLIT(EU187,",")))))</f>
        <v/>
      </c>
      <c r="JH187" s="19">
        <f>AND(IF(EW187="",TRUE,IF(input_global_network_school="",FALSE,SUMPRODUCT(--ISNUMBER(SEARCH(","&amp;TRIM(TEXTSPLIT(EW187,","))&amp;",",","&amp;SUBSTITUTE(input_global_network_school," ","")&amp;",")))&gt;0)),IF(EY187="",TRUE,IF(input_global_network_school="",FALSE,SUMPRODUCT(--ISNUMBER(SEARCH(","&amp;TRIM(TEXTSPLIT(EY187,","))&amp;",",","&amp;SUBSTITUTE(input_global_network_school," ","")&amp;",")))=COUNTA(TEXTSPLIT(EY187,",")))),IF(FA187="",TRUE,IF(input_global_network_school="",TRUE,SUMPRODUCT(--ISNUMBER(SEARCH(","&amp;TRIM(TEXTSPLIT(FA187,","))&amp;",",","&amp;SUBSTITUTE(input_global_network_school," ","")&amp;",")))=0)),IF(FC187="",TRUE,IF(input_global_network_school="",FALSE,SUMPRODUCT(--ISNUMBER(SEARCH(","&amp;TRIM(TEXTSPLIT(FC187,","))&amp;",",","&amp;SUBSTITUTE(input_global_network_school," ","")&amp;",")))&gt;0)),IF(FE187="",TRUE,IF(input_global_network_school="",FALSE,SUMPRODUCT(--ISNUMBER(SEARCH(","&amp;TRIM(TEXTSPLIT(FE187,","))&amp;",",","&amp;SUBSTITUTE(input_global_network_school," ","")&amp;",")))=COUNTA(TEXTSPLIT(FE187,",")))))</f>
        <v/>
      </c>
      <c r="JI187" s="19">
        <f>AND(IF(FG187="",TRUE,IF(input_industry="",FALSE,SUMPRODUCT(--ISNUMBER(SEARCH(","&amp;TRIM(TEXTSPLIT(FG187,","))&amp;",",","&amp;SUBSTITUTE(input_industry," ","")&amp;",")))&gt;0)),IF(FI187="",TRUE,IF(input_industry="",FALSE,SUMPRODUCT(--ISNUMBER(SEARCH(","&amp;TRIM(TEXTSPLIT(FI187,","))&amp;",",","&amp;SUBSTITUTE(input_industry," ","")&amp;",")))=COUNTA(TEXTSPLIT(FI187,",")))),IF(FK187="",TRUE,IF(input_industry="",TRUE,SUMPRODUCT(--ISNUMBER(SEARCH(","&amp;TRIM(TEXTSPLIT(FK187,","))&amp;",",","&amp;SUBSTITUTE(input_industry," ","")&amp;",")))=0)),IF(FM187="",TRUE,IF(input_industry="",FALSE,SUMPRODUCT(--ISNUMBER(SEARCH(","&amp;TRIM(TEXTSPLIT(FM187,","))&amp;",",","&amp;SUBSTITUTE(input_industry," ","")&amp;",")))&gt;0)),IF(FO187="",TRUE,IF(input_industry="",FALSE,SUMPRODUCT(--ISNUMBER(SEARCH(","&amp;TRIM(TEXTSPLIT(FO187,","))&amp;",",","&amp;SUBSTITUTE(input_industry," ","")&amp;",")))=COUNTA(TEXTSPLIT(FO187,",")))))</f>
        <v/>
      </c>
      <c r="JJ187" s="19">
        <f>AND(IF(FQ187="",TRUE,IF(input_location="",FALSE,SUMPRODUCT(--ISNUMBER(SEARCH(","&amp;TRIM(TEXTSPLIT(FQ187,","))&amp;",",","&amp;SUBSTITUTE(input_location," ","")&amp;",")))&gt;0)),IF(FS187="",TRUE,IF(input_location="",FALSE,SUMPRODUCT(--ISNUMBER(SEARCH(","&amp;TRIM(TEXTSPLIT(FS187,","))&amp;",",","&amp;SUBSTITUTE(input_location," ","")&amp;",")))=COUNTA(TEXTSPLIT(FS187,",")))),IF(FU187="",TRUE,IF(input_location="",TRUE,SUMPRODUCT(--ISNUMBER(SEARCH(","&amp;TRIM(TEXTSPLIT(FU187,","))&amp;",",","&amp;SUBSTITUTE(input_location," ","")&amp;",")))=0)),IF(FW187="",TRUE,IF(input_location="",FALSE,SUMPRODUCT(--ISNUMBER(SEARCH(","&amp;TRIM(TEXTSPLIT(FW187,","))&amp;",",","&amp;SUBSTITUTE(input_location," ","")&amp;",")))&gt;0)),IF(FY187="",TRUE,IF(input_location="",FALSE,SUMPRODUCT(--ISNUMBER(SEARCH(","&amp;TRIM(TEXTSPLIT(FY187,","))&amp;",",","&amp;SUBSTITUTE(input_location," ","")&amp;",")))=COUNTA(TEXTSPLIT(FY187,",")))))</f>
        <v/>
      </c>
      <c r="JK187" s="19">
        <f>AND(IF(GA187="",TRUE,IF(input_modality="",FALSE,SUMPRODUCT(--ISNUMBER(SEARCH(","&amp;TRIM(TEXTSPLIT(GA187,","))&amp;",",","&amp;SUBSTITUTE(input_modality," ","")&amp;",")))&gt;0)),IF(GC187="",TRUE,IF(input_modality="",FALSE,SUMPRODUCT(--ISNUMBER(SEARCH(","&amp;TRIM(TEXTSPLIT(GC187,","))&amp;",",","&amp;SUBSTITUTE(input_modality," ","")&amp;",")))=COUNTA(TEXTSPLIT(GC187,",")))),IF(GE187="",TRUE,IF(input_modality="",TRUE,SUMPRODUCT(--ISNUMBER(SEARCH(","&amp;TRIM(TEXTSPLIT(GE187,","))&amp;",",","&amp;SUBSTITUTE(input_modality," ","")&amp;",")))=0)),IF(GG187="",TRUE,IF(input_modality="",FALSE,SUMPRODUCT(--ISNUMBER(SEARCH(","&amp;TRIM(TEXTSPLIT(GG187,","))&amp;",",","&amp;SUBSTITUTE(input_modality," ","")&amp;",")))&gt;0)),IF(GI187="",TRUE,IF(input_modality="",FALSE,SUMPRODUCT(--ISNUMBER(SEARCH(","&amp;TRIM(TEXTSPLIT(GI187,","))&amp;",",","&amp;SUBSTITUTE(input_modality," ","")&amp;",")))=COUNTA(TEXTSPLIT(GI187,",")))))</f>
        <v/>
      </c>
      <c r="JL187" s="19">
        <f>AND(IF(GK187="",TRUE,IF(input_organizer="",FALSE,SUMPRODUCT(--ISNUMBER(SEARCH(","&amp;TRIM(TEXTSPLIT(GK187,","))&amp;",",","&amp;SUBSTITUTE(input_organizer," ","")&amp;",")))&gt;0)),IF(GM187="",TRUE,IF(input_organizer="",FALSE,SUMPRODUCT(--ISNUMBER(SEARCH(","&amp;TRIM(TEXTSPLIT(GM187,","))&amp;",",","&amp;SUBSTITUTE(input_organizer," ","")&amp;",")))=COUNTA(TEXTSPLIT(GM187,",")))),IF(GO187="",TRUE,IF(input_organizer="",TRUE,SUMPRODUCT(--ISNUMBER(SEARCH(","&amp;TRIM(TEXTSPLIT(GO187,","))&amp;",",","&amp;SUBSTITUTE(input_organizer," ","")&amp;",")))=0)),IF(GQ187="",TRUE,IF(input_organizer="",FALSE,SUMPRODUCT(--ISNUMBER(SEARCH(","&amp;TRIM(TEXTSPLIT(GQ187,","))&amp;",",","&amp;SUBSTITUTE(input_organizer," ","")&amp;",")))&gt;0)),IF(GS187="",TRUE,IF(input_organizer="",FALSE,SUMPRODUCT(--ISNUMBER(SEARCH(","&amp;TRIM(TEXTSPLIT(GS187,","))&amp;",",","&amp;SUBSTITUTE(input_organizer," ","")&amp;",")))=COUNTA(TEXTSPLIT(GS187,",")))))</f>
        <v/>
      </c>
      <c r="JM187" s="19">
        <f>AND(IF(GU187="",TRUE,IF(input_profile_type="",FALSE,SUMPRODUCT(--ISNUMBER(SEARCH(","&amp;TRIM(TEXTSPLIT(GU187,","))&amp;",",","&amp;SUBSTITUTE(input_profile_type," ","")&amp;",")))&gt;0)),IF(GW187="",TRUE,IF(input_profile_type="",FALSE,SUMPRODUCT(--ISNUMBER(SEARCH(","&amp;TRIM(TEXTSPLIT(GW187,","))&amp;",",","&amp;SUBSTITUTE(input_profile_type," ","")&amp;",")))=COUNTA(TEXTSPLIT(GW187,",")))),IF(GY187="",TRUE,IF(input_profile_type="",TRUE,SUMPRODUCT(--ISNUMBER(SEARCH(","&amp;TRIM(TEXTSPLIT(GY187,","))&amp;",",","&amp;SUBSTITUTE(input_profile_type," ","")&amp;",")))=0)),IF(HA187="",TRUE,IF(input_profile_type="",FALSE,SUMPRODUCT(--ISNUMBER(SEARCH(","&amp;TRIM(TEXTSPLIT(HA187,","))&amp;",",","&amp;SUBSTITUTE(input_profile_type," ","")&amp;",")))&gt;0)),IF(HC187="",TRUE,IF(input_profile_type="",FALSE,SUMPRODUCT(--ISNUMBER(SEARCH(","&amp;TRIM(TEXTSPLIT(HC187,","))&amp;",",","&amp;SUBSTITUTE(input_profile_type," ","")&amp;",")))=COUNTA(TEXTSPLIT(HC187,",")))))</f>
        <v/>
      </c>
      <c r="JN187" s="19">
        <f>AND(IF(HE187="",TRUE,IF(input_program="",FALSE,SUMPRODUCT(--ISNUMBER(SEARCH(","&amp;TRIM(TEXTSPLIT(HE187,","))&amp;",",","&amp;SUBSTITUTE(input_program," ","")&amp;",")))&gt;0)),IF(HG187="",TRUE,IF(input_program="",FALSE,SUMPRODUCT(--ISNUMBER(SEARCH(","&amp;TRIM(TEXTSPLIT(HG187,","))&amp;",",","&amp;SUBSTITUTE(input_program," ","")&amp;",")))=COUNTA(TEXTSPLIT(HG187,",")))),IF(HI187="",TRUE,IF(input_program="",TRUE,SUMPRODUCT(--ISNUMBER(SEARCH(","&amp;TRIM(TEXTSPLIT(HI187,","))&amp;",",","&amp;SUBSTITUTE(input_program," ","")&amp;",")))=0)),IF(HK187="",TRUE,IF(input_program="",FALSE,SUMPRODUCT(--ISNUMBER(SEARCH(","&amp;TRIM(TEXTSPLIT(HK187,","))&amp;",",","&amp;SUBSTITUTE(input_program," ","")&amp;",")))&gt;0)),IF(HM187="",TRUE,IF(input_program="",FALSE,SUMPRODUCT(--ISNUMBER(SEARCH(","&amp;TRIM(TEXTSPLIT(HM187,","))&amp;",",","&amp;SUBSTITUTE(input_program," ","")&amp;",")))=COUNTA(TEXTSPLIT(HM187,",")))))</f>
        <v/>
      </c>
      <c r="JO187" s="19">
        <f>AND(IF(HO187="",TRUE,IF(input_story_categories="",FALSE,SUMPRODUCT(--ISNUMBER(SEARCH(","&amp;TRIM(TEXTSPLIT(HO187,","))&amp;",",","&amp;SUBSTITUTE(input_story_categories," ","")&amp;",")))&gt;0)),IF(HQ187="",TRUE,IF(input_story_categories="",FALSE,SUMPRODUCT(--ISNUMBER(SEARCH(","&amp;TRIM(TEXTSPLIT(HQ187,","))&amp;",",","&amp;SUBSTITUTE(input_story_categories," ","")&amp;",")))=COUNTA(TEXTSPLIT(HQ187,",")))),IF(HS187="",TRUE,IF(input_story_categories="",TRUE,SUMPRODUCT(--ISNUMBER(SEARCH(","&amp;TRIM(TEXTSPLIT(HS187,","))&amp;",",","&amp;SUBSTITUTE(input_story_categories," ","")&amp;",")))=0)),IF(HU187="",TRUE,IF(input_story_categories="",FALSE,SUMPRODUCT(--ISNUMBER(SEARCH(","&amp;TRIM(TEXTSPLIT(HU187,","))&amp;",",","&amp;SUBSTITUTE(input_story_categories," ","")&amp;",")))&gt;0)),IF(HW187="",TRUE,IF(input_story_categories="",FALSE,SUMPRODUCT(--ISNUMBER(SEARCH(","&amp;TRIM(TEXTSPLIT(HW187,","))&amp;",",","&amp;SUBSTITUTE(input_story_categories," ","")&amp;",")))=COUNTA(TEXTSPLIT(HW187,",")))))</f>
        <v/>
      </c>
      <c r="JP187" s="19">
        <f>AND(IF(HY187="",TRUE,IF(input_story_type="",FALSE,SUMPRODUCT(--ISNUMBER(SEARCH(","&amp;TRIM(TEXTSPLIT(HY187,","))&amp;",",","&amp;SUBSTITUTE(input_story_type," ","")&amp;",")))&gt;0)),IF(IA187="",TRUE,IF(input_story_type="",FALSE,SUMPRODUCT(--ISNUMBER(SEARCH(","&amp;TRIM(TEXTSPLIT(IA187,","))&amp;",",","&amp;SUBSTITUTE(input_story_type," ","")&amp;",")))=COUNTA(TEXTSPLIT(IA187,",")))),IF(IC187="",TRUE,IF(input_story_type="",TRUE,SUMPRODUCT(--ISNUMBER(SEARCH(","&amp;TRIM(TEXTSPLIT(IC187,","))&amp;",",","&amp;SUBSTITUTE(input_story_type," ","")&amp;",")))=0)),IF(IE187="",TRUE,IF(input_story_type="",FALSE,SUMPRODUCT(--ISNUMBER(SEARCH(","&amp;TRIM(TEXTSPLIT(IE187,","))&amp;",",","&amp;SUBSTITUTE(input_story_type," ","")&amp;",")))&gt;0)),IF(IG187="",TRUE,IF(input_story_type="",FALSE,SUMPRODUCT(--ISNUMBER(SEARCH(","&amp;TRIM(TEXTSPLIT(IG187,","))&amp;",",","&amp;SUBSTITUTE(input_story_type," ","")&amp;",")))=COUNTA(TEXTSPLIT(IG187,",")))))</f>
        <v/>
      </c>
      <c r="JQ187" s="19">
        <f>AND(IF(II187="",TRUE,IF(input_topics="",FALSE,SUMPRODUCT(--ISNUMBER(SEARCH(","&amp;TRIM(TEXTSPLIT(II187,","))&amp;",",","&amp;SUBSTITUTE(input_topics," ","")&amp;",")))&gt;0)),IF(IK187="",TRUE,IF(input_topics="",FALSE,SUMPRODUCT(--ISNUMBER(SEARCH(","&amp;TRIM(TEXTSPLIT(IK187,","))&amp;",",","&amp;SUBSTITUTE(input_topics," ","")&amp;",")))=COUNTA(TEXTSPLIT(IK187,",")))),IF(IM187="",TRUE,IF(input_topics="",TRUE,SUMPRODUCT(--ISNUMBER(SEARCH(","&amp;TRIM(TEXTSPLIT(IM187,","))&amp;",",","&amp;SUBSTITUTE(input_topics," ","")&amp;",")))=0)),IF(IO187="",TRUE,IF(input_topics="",FALSE,SUMPRODUCT(--ISNUMBER(SEARCH(","&amp;TRIM(TEXTSPLIT(IO187,","))&amp;",",","&amp;SUBSTITUTE(input_topics," ","")&amp;",")))&gt;0)),IF(IQ187="",TRUE,IF(input_topics="",FALSE,SUMPRODUCT(--ISNUMBER(SEARCH(","&amp;TRIM(TEXTSPLIT(IQ187,","))&amp;",",","&amp;SUBSTITUTE(input_topics," ","")&amp;",")))=COUNTA(TEXTSPLIT(IQ187,",")))))</f>
        <v/>
      </c>
    </row>
    <row r="188">
      <c r="A188" s="24">
        <f>IF(NOT(IS188),"Excluded",IF(AND(IT188,IU188,IV188,IW188,IX188,IY188,IZ188,JA188,JB188,JC188,JD188,JE188,JF188,JG188,JH188,JI188,JJ188,JK188,JL188,JM188,JN188,JO188,JP188,JQ188),IF(I188&gt;0,"Eligible but limited","Will appear"),"Excluded"))</f>
        <v/>
      </c>
      <c r="B188" s="24" t="inlineStr">
        <is>
          <t>Related stories on story pages</t>
        </is>
      </c>
      <c r="C188" s="27" t="inlineStr">
        <is>
          <t>/news/2019/11/for-an-alumnus-committed-to-making-difference-jacobs-fellowship-expands-on-yale-som-s-impact</t>
        </is>
      </c>
      <c r="D188" s="24" t="inlineStr">
        <is>
          <t>/news/2019/11/for-an-alumnus-committed-to-making-difference-jacobs-fellowship-expands-on-yale-som-s-impact</t>
        </is>
      </c>
      <c r="E188" s="24" t="n">
        <v>1</v>
      </c>
      <c r="F188" s="24" t="inlineStr">
        <is>
          <t>story</t>
        </is>
      </c>
      <c r="G188" s="24" t="inlineStr">
        <is>
          <t>stories_teaser_cards</t>
        </is>
      </c>
      <c r="H188" s="24" t="inlineStr">
        <is>
          <t>embed_all</t>
        </is>
      </c>
      <c r="I188" s="24" t="n">
        <v>3</v>
      </c>
      <c r="J188" s="31" t="inlineStr">
        <is>
          <t>Template logic</t>
        </is>
      </c>
      <c r="K188" s="24" t="inlineStr">
        <is>
          <t>Grouped surface</t>
        </is>
      </c>
      <c r="L188" s="24" t="inlineStr">
        <is>
          <t>Content type: story; Context uses Courses Context: Master of Advanced Management (932); Context uses Story Type: News (924); Limited to 3 item(s); Source: Template logic</t>
        </is>
      </c>
      <c r="BQ188" s="19" t="inlineStr">
        <is>
          <t>932</t>
        </is>
      </c>
      <c r="BR188" s="19" t="inlineStr">
        <is>
          <t>Master of Advanced Management (932)</t>
        </is>
      </c>
      <c r="IE188" s="19" t="inlineStr">
        <is>
          <t>924</t>
        </is>
      </c>
      <c r="IF188" s="19" t="inlineStr">
        <is>
          <t>News (924)</t>
        </is>
      </c>
      <c r="IS188" s="19">
        <f>IF(input_content_type="",FALSE,ISNUMBER(SEARCH(","&amp;LOWER(input_content_type)&amp;",",","&amp;LOWER(SUBSTITUTE(F188," ",""))&amp;",")))</f>
        <v/>
      </c>
      <c r="IT188" s="19">
        <f>AND(IF(M188="",TRUE,IF(input_affiliations="",FALSE,SUMPRODUCT(--ISNUMBER(SEARCH(","&amp;TRIM(TEXTSPLIT(M188,","))&amp;",",","&amp;SUBSTITUTE(input_affiliations," ","")&amp;",")))&gt;0)),IF(O188="",TRUE,IF(input_affiliations="",FALSE,SUMPRODUCT(--ISNUMBER(SEARCH(","&amp;TRIM(TEXTSPLIT(O188,","))&amp;",",","&amp;SUBSTITUTE(input_affiliations," ","")&amp;",")))=COUNTA(TEXTSPLIT(O188,",")))),IF(Q188="",TRUE,IF(input_affiliations="",TRUE,SUMPRODUCT(--ISNUMBER(SEARCH(","&amp;TRIM(TEXTSPLIT(Q188,","))&amp;",",","&amp;SUBSTITUTE(input_affiliations," ","")&amp;",")))=0)),IF(S188="",TRUE,IF(input_affiliations="",FALSE,SUMPRODUCT(--ISNUMBER(SEARCH(","&amp;TRIM(TEXTSPLIT(S188,","))&amp;",",","&amp;SUBSTITUTE(input_affiliations," ","")&amp;",")))&gt;0)),IF(U188="",TRUE,IF(input_affiliations="",FALSE,SUMPRODUCT(--ISNUMBER(SEARCH(","&amp;TRIM(TEXTSPLIT(U188,","))&amp;",",","&amp;SUBSTITUTE(input_affiliations," ","")&amp;",")))=COUNTA(TEXTSPLIT(U188,",")))))</f>
        <v/>
      </c>
      <c r="IU188" s="19">
        <f>AND(IF(W188="",TRUE,IF(input_announcement_category="",FALSE,SUMPRODUCT(--ISNUMBER(SEARCH(","&amp;TRIM(TEXTSPLIT(W188,","))&amp;",",","&amp;SUBSTITUTE(input_announcement_category," ","")&amp;",")))&gt;0)),IF(Y188="",TRUE,IF(input_announcement_category="",FALSE,SUMPRODUCT(--ISNUMBER(SEARCH(","&amp;TRIM(TEXTSPLIT(Y188,","))&amp;",",","&amp;SUBSTITUTE(input_announcement_category," ","")&amp;",")))=COUNTA(TEXTSPLIT(Y188,",")))),IF(AA188="",TRUE,IF(input_announcement_category="",TRUE,SUMPRODUCT(--ISNUMBER(SEARCH(","&amp;TRIM(TEXTSPLIT(AA188,","))&amp;",",","&amp;SUBSTITUTE(input_announcement_category," ","")&amp;",")))=0)),IF(AC188="",TRUE,IF(input_announcement_category="",FALSE,SUMPRODUCT(--ISNUMBER(SEARCH(","&amp;TRIM(TEXTSPLIT(AC188,","))&amp;",",","&amp;SUBSTITUTE(input_announcement_category," ","")&amp;",")))&gt;0)),IF(AE188="",TRUE,IF(input_announcement_category="",FALSE,SUMPRODUCT(--ISNUMBER(SEARCH(","&amp;TRIM(TEXTSPLIT(AE188,","))&amp;",",","&amp;SUBSTITUTE(input_announcement_category," ","")&amp;",")))=COUNTA(TEXTSPLIT(AE188,",")))))</f>
        <v/>
      </c>
      <c r="IV188" s="19">
        <f>AND(IF(AG188="",TRUE,IF(input_area_of_focus="",FALSE,SUMPRODUCT(--ISNUMBER(SEARCH(","&amp;TRIM(TEXTSPLIT(AG188,","))&amp;",",","&amp;SUBSTITUTE(input_area_of_focus," ","")&amp;",")))&gt;0)),IF(AI188="",TRUE,IF(input_area_of_focus="",FALSE,SUMPRODUCT(--ISNUMBER(SEARCH(","&amp;TRIM(TEXTSPLIT(AI188,","))&amp;",",","&amp;SUBSTITUTE(input_area_of_focus," ","")&amp;",")))=COUNTA(TEXTSPLIT(AI188,",")))),IF(AK188="",TRUE,IF(input_area_of_focus="",TRUE,SUMPRODUCT(--ISNUMBER(SEARCH(","&amp;TRIM(TEXTSPLIT(AK188,","))&amp;",",","&amp;SUBSTITUTE(input_area_of_focus," ","")&amp;",")))=0)),IF(AM188="",TRUE,IF(input_area_of_focus="",FALSE,SUMPRODUCT(--ISNUMBER(SEARCH(","&amp;TRIM(TEXTSPLIT(AM188,","))&amp;",",","&amp;SUBSTITUTE(input_area_of_focus," ","")&amp;",")))&gt;0)),IF(AO188="",TRUE,IF(input_area_of_focus="",FALSE,SUMPRODUCT(--ISNUMBER(SEARCH(","&amp;TRIM(TEXTSPLIT(AO188,","))&amp;",",","&amp;SUBSTITUTE(input_area_of_focus," ","")&amp;",")))=COUNTA(TEXTSPLIT(AO188,",")))))</f>
        <v/>
      </c>
      <c r="IW188" s="19">
        <f>AND(IF(AQ188="",TRUE,IF(input_audience="",FALSE,SUMPRODUCT(--ISNUMBER(SEARCH(","&amp;TRIM(TEXTSPLIT(AQ188,","))&amp;",",","&amp;SUBSTITUTE(input_audience," ","")&amp;",")))&gt;0)),IF(AS188="",TRUE,IF(input_audience="",FALSE,SUMPRODUCT(--ISNUMBER(SEARCH(","&amp;TRIM(TEXTSPLIT(AS188,","))&amp;",",","&amp;SUBSTITUTE(input_audience," ","")&amp;",")))=COUNTA(TEXTSPLIT(AS188,",")))),IF(AU188="",TRUE,IF(input_audience="",TRUE,SUMPRODUCT(--ISNUMBER(SEARCH(","&amp;TRIM(TEXTSPLIT(AU188,","))&amp;",",","&amp;SUBSTITUTE(input_audience," ","")&amp;",")))=0)),IF(AW188="",TRUE,IF(input_audience="",FALSE,SUMPRODUCT(--ISNUMBER(SEARCH(","&amp;TRIM(TEXTSPLIT(AW188,","))&amp;",",","&amp;SUBSTITUTE(input_audience," ","")&amp;",")))&gt;0)),IF(AY188="",TRUE,IF(input_audience="",FALSE,SUMPRODUCT(--ISNUMBER(SEARCH(","&amp;TRIM(TEXTSPLIT(AY188,","))&amp;",",","&amp;SUBSTITUTE(input_audience," ","")&amp;",")))=COUNTA(TEXTSPLIT(AY188,",")))))</f>
        <v/>
      </c>
      <c r="IX188" s="19">
        <f>AND(IF(BA188="",TRUE,IF(input_challenge_opportunities="",FALSE,SUMPRODUCT(--ISNUMBER(SEARCH(","&amp;TRIM(TEXTSPLIT(BA188,","))&amp;",",","&amp;SUBSTITUTE(input_challenge_opportunities," ","")&amp;",")))&gt;0)),IF(BC188="",TRUE,IF(input_challenge_opportunities="",FALSE,SUMPRODUCT(--ISNUMBER(SEARCH(","&amp;TRIM(TEXTSPLIT(BC188,","))&amp;",",","&amp;SUBSTITUTE(input_challenge_opportunities," ","")&amp;",")))=COUNTA(TEXTSPLIT(BC188,",")))),IF(BE188="",TRUE,IF(input_challenge_opportunities="",TRUE,SUMPRODUCT(--ISNUMBER(SEARCH(","&amp;TRIM(TEXTSPLIT(BE188,","))&amp;",",","&amp;SUBSTITUTE(input_challenge_opportunities," ","")&amp;",")))=0)),IF(BG188="",TRUE,IF(input_challenge_opportunities="",FALSE,SUMPRODUCT(--ISNUMBER(SEARCH(","&amp;TRIM(TEXTSPLIT(BG188,","))&amp;",",","&amp;SUBSTITUTE(input_challenge_opportunities," ","")&amp;",")))&gt;0)),IF(BI188="",TRUE,IF(input_challenge_opportunities="",FALSE,SUMPRODUCT(--ISNUMBER(SEARCH(","&amp;TRIM(TEXTSPLIT(BI188,","))&amp;",",","&amp;SUBSTITUTE(input_challenge_opportunities," ","")&amp;",")))=COUNTA(TEXTSPLIT(BI188,",")))))</f>
        <v/>
      </c>
      <c r="IY188" s="19">
        <f>AND(IF(BK188="",TRUE,IF(input_context="",FALSE,SUMPRODUCT(--ISNUMBER(SEARCH(","&amp;TRIM(TEXTSPLIT(BK188,","))&amp;",",","&amp;SUBSTITUTE(input_context," ","")&amp;",")))&gt;0)),IF(BM188="",TRUE,IF(input_context="",FALSE,SUMPRODUCT(--ISNUMBER(SEARCH(","&amp;TRIM(TEXTSPLIT(BM188,","))&amp;",",","&amp;SUBSTITUTE(input_context," ","")&amp;",")))=COUNTA(TEXTSPLIT(BM188,",")))),IF(BO188="",TRUE,IF(input_context="",TRUE,SUMPRODUCT(--ISNUMBER(SEARCH(","&amp;TRIM(TEXTSPLIT(BO188,","))&amp;",",","&amp;SUBSTITUTE(input_context," ","")&amp;",")))=0)),IF(BQ188="",TRUE,IF(input_context="",FALSE,SUMPRODUCT(--ISNUMBER(SEARCH(","&amp;TRIM(TEXTSPLIT(BQ188,","))&amp;",",","&amp;SUBSTITUTE(input_context," ","")&amp;",")))&gt;0)),IF(BS188="",TRUE,IF(input_context="",FALSE,SUMPRODUCT(--ISNUMBER(SEARCH(","&amp;TRIM(TEXTSPLIT(BS188,","))&amp;",",","&amp;SUBSTITUTE(input_context," ","")&amp;",")))=COUNTA(TEXTSPLIT(BS188,",")))))</f>
        <v/>
      </c>
      <c r="IZ188" s="19">
        <f>AND(IF(BU188="",TRUE,IF(input_enews_announcement_type="",FALSE,SUMPRODUCT(--ISNUMBER(SEARCH(","&amp;TRIM(TEXTSPLIT(BU188,","))&amp;",",","&amp;SUBSTITUTE(input_enews_announcement_type," ","")&amp;",")))&gt;0)),IF(BW188="",TRUE,IF(input_enews_announcement_type="",FALSE,SUMPRODUCT(--ISNUMBER(SEARCH(","&amp;TRIM(TEXTSPLIT(BW188,","))&amp;",",","&amp;SUBSTITUTE(input_enews_announcement_type," ","")&amp;",")))=COUNTA(TEXTSPLIT(BW188,",")))),IF(BY188="",TRUE,IF(input_enews_announcement_type="",TRUE,SUMPRODUCT(--ISNUMBER(SEARCH(","&amp;TRIM(TEXTSPLIT(BY188,","))&amp;",",","&amp;SUBSTITUTE(input_enews_announcement_type," ","")&amp;",")))=0)),IF(CA188="",TRUE,IF(input_enews_announcement_type="",FALSE,SUMPRODUCT(--ISNUMBER(SEARCH(","&amp;TRIM(TEXTSPLIT(CA188,","))&amp;",",","&amp;SUBSTITUTE(input_enews_announcement_type," ","")&amp;",")))&gt;0)),IF(CC188="",TRUE,IF(input_enews_announcement_type="",FALSE,SUMPRODUCT(--ISNUMBER(SEARCH(","&amp;TRIM(TEXTSPLIT(CC188,","))&amp;",",","&amp;SUBSTITUTE(input_enews_announcement_type," ","")&amp;",")))=COUNTA(TEXTSPLIT(CC188,",")))))</f>
        <v/>
      </c>
      <c r="JA188" s="19">
        <f>AND(IF(CE188="",TRUE,IF(input_enews_audience="",FALSE,SUMPRODUCT(--ISNUMBER(SEARCH(","&amp;TRIM(TEXTSPLIT(CE188,","))&amp;",",","&amp;SUBSTITUTE(input_enews_audience," ","")&amp;",")))&gt;0)),IF(CG188="",TRUE,IF(input_enews_audience="",FALSE,SUMPRODUCT(--ISNUMBER(SEARCH(","&amp;TRIM(TEXTSPLIT(CG188,","))&amp;",",","&amp;SUBSTITUTE(input_enews_audience," ","")&amp;",")))=COUNTA(TEXTSPLIT(CG188,",")))),IF(CI188="",TRUE,IF(input_enews_audience="",TRUE,SUMPRODUCT(--ISNUMBER(SEARCH(","&amp;TRIM(TEXTSPLIT(CI188,","))&amp;",",","&amp;SUBSTITUTE(input_enews_audience," ","")&amp;",")))=0)),IF(CK188="",TRUE,IF(input_enews_audience="",FALSE,SUMPRODUCT(--ISNUMBER(SEARCH(","&amp;TRIM(TEXTSPLIT(CK188,","))&amp;",",","&amp;SUBSTITUTE(input_enews_audience," ","")&amp;",")))&gt;0)),IF(CM188="",TRUE,IF(input_enews_audience="",FALSE,SUMPRODUCT(--ISNUMBER(SEARCH(","&amp;TRIM(TEXTSPLIT(CM188,","))&amp;",",","&amp;SUBSTITUTE(input_enews_audience," ","")&amp;",")))=COUNTA(TEXTSPLIT(CM188,",")))))</f>
        <v/>
      </c>
      <c r="JB188" s="19">
        <f>AND(IF(CO188="",TRUE,IF(input_event_location="",FALSE,SUMPRODUCT(--ISNUMBER(SEARCH(","&amp;TRIM(TEXTSPLIT(CO188,","))&amp;",",","&amp;SUBSTITUTE(input_event_location," ","")&amp;",")))&gt;0)),IF(CQ188="",TRUE,IF(input_event_location="",FALSE,SUMPRODUCT(--ISNUMBER(SEARCH(","&amp;TRIM(TEXTSPLIT(CQ188,","))&amp;",",","&amp;SUBSTITUTE(input_event_location," ","")&amp;",")))=COUNTA(TEXTSPLIT(CQ188,",")))),IF(CS188="",TRUE,IF(input_event_location="",TRUE,SUMPRODUCT(--ISNUMBER(SEARCH(","&amp;TRIM(TEXTSPLIT(CS188,","))&amp;",",","&amp;SUBSTITUTE(input_event_location," ","")&amp;",")))=0)),IF(CU188="",TRUE,IF(input_event_location="",FALSE,SUMPRODUCT(--ISNUMBER(SEARCH(","&amp;TRIM(TEXTSPLIT(CU188,","))&amp;",",","&amp;SUBSTITUTE(input_event_location," ","")&amp;",")))&gt;0)),IF(CW188="",TRUE,IF(input_event_location="",FALSE,SUMPRODUCT(--ISNUMBER(SEARCH(","&amp;TRIM(TEXTSPLIT(CW188,","))&amp;",",","&amp;SUBSTITUTE(input_event_location," ","")&amp;",")))=COUNTA(TEXTSPLIT(CW188,",")))))</f>
        <v/>
      </c>
      <c r="JC188" s="19">
        <f>AND(IF(CY188="",TRUE,IF(input_event_type="",FALSE,SUMPRODUCT(--ISNUMBER(SEARCH(","&amp;TRIM(TEXTSPLIT(CY188,","))&amp;",",","&amp;SUBSTITUTE(input_event_type," ","")&amp;",")))&gt;0)),IF(DA188="",TRUE,IF(input_event_type="",FALSE,SUMPRODUCT(--ISNUMBER(SEARCH(","&amp;TRIM(TEXTSPLIT(DA188,","))&amp;",",","&amp;SUBSTITUTE(input_event_type," ","")&amp;",")))=COUNTA(TEXTSPLIT(DA188,",")))),IF(DC188="",TRUE,IF(input_event_type="",TRUE,SUMPRODUCT(--ISNUMBER(SEARCH(","&amp;TRIM(TEXTSPLIT(DC188,","))&amp;",",","&amp;SUBSTITUTE(input_event_type," ","")&amp;",")))=0)),IF(DE188="",TRUE,IF(input_event_type="",FALSE,SUMPRODUCT(--ISNUMBER(SEARCH(","&amp;TRIM(TEXTSPLIT(DE188,","))&amp;",",","&amp;SUBSTITUTE(input_event_type," ","")&amp;",")))&gt;0)),IF(DG188="",TRUE,IF(input_event_type="",FALSE,SUMPRODUCT(--ISNUMBER(SEARCH(","&amp;TRIM(TEXTSPLIT(DG188,","))&amp;",",","&amp;SUBSTITUTE(input_event_type," ","")&amp;",")))=COUNTA(TEXTSPLIT(DG188,",")))))</f>
        <v/>
      </c>
      <c r="JD188" s="19">
        <f>AND(IF(DI188="",TRUE,IF(input_executive_education_focus="",FALSE,SUMPRODUCT(--ISNUMBER(SEARCH(","&amp;TRIM(TEXTSPLIT(DI188,","))&amp;",",","&amp;SUBSTITUTE(input_executive_education_focus," ","")&amp;",")))&gt;0)),IF(DK188="",TRUE,IF(input_executive_education_focus="",FALSE,SUMPRODUCT(--ISNUMBER(SEARCH(","&amp;TRIM(TEXTSPLIT(DK188,","))&amp;",",","&amp;SUBSTITUTE(input_executive_education_focus," ","")&amp;",")))=COUNTA(TEXTSPLIT(DK188,",")))),IF(DM188="",TRUE,IF(input_executive_education_focus="",TRUE,SUMPRODUCT(--ISNUMBER(SEARCH(","&amp;TRIM(TEXTSPLIT(DM188,","))&amp;",",","&amp;SUBSTITUTE(input_executive_education_focus," ","")&amp;",")))=0)),IF(DO188="",TRUE,IF(input_executive_education_focus="",FALSE,SUMPRODUCT(--ISNUMBER(SEARCH(","&amp;TRIM(TEXTSPLIT(DO188,","))&amp;",",","&amp;SUBSTITUTE(input_executive_education_focus," ","")&amp;",")))&gt;0)),IF(DQ188="",TRUE,IF(input_executive_education_focus="",FALSE,SUMPRODUCT(--ISNUMBER(SEARCH(","&amp;TRIM(TEXTSPLIT(DQ188,","))&amp;",",","&amp;SUBSTITUTE(input_executive_education_focus," ","")&amp;",")))=COUNTA(TEXTSPLIT(DQ188,",")))))</f>
        <v/>
      </c>
      <c r="JE188" s="19">
        <f>AND(IF(DS188="",TRUE,IF(input_faculty_category="",FALSE,SUMPRODUCT(--ISNUMBER(SEARCH(","&amp;TRIM(TEXTSPLIT(DS188,","))&amp;",",","&amp;SUBSTITUTE(input_faculty_category," ","")&amp;",")))&gt;0)),IF(DU188="",TRUE,IF(input_faculty_category="",FALSE,SUMPRODUCT(--ISNUMBER(SEARCH(","&amp;TRIM(TEXTSPLIT(DU188,","))&amp;",",","&amp;SUBSTITUTE(input_faculty_category," ","")&amp;",")))=COUNTA(TEXTSPLIT(DU188,",")))),IF(DW188="",TRUE,IF(input_faculty_category="",TRUE,SUMPRODUCT(--ISNUMBER(SEARCH(","&amp;TRIM(TEXTSPLIT(DW188,","))&amp;",",","&amp;SUBSTITUTE(input_faculty_category," ","")&amp;",")))=0)),IF(DY188="",TRUE,IF(input_faculty_category="",FALSE,SUMPRODUCT(--ISNUMBER(SEARCH(","&amp;TRIM(TEXTSPLIT(DY188,","))&amp;",",","&amp;SUBSTITUTE(input_faculty_category," ","")&amp;",")))&gt;0)),IF(EA188="",TRUE,IF(input_faculty_category="",FALSE,SUMPRODUCT(--ISNUMBER(SEARCH(","&amp;TRIM(TEXTSPLIT(EA188,","))&amp;",",","&amp;SUBSTITUTE(input_faculty_category," ","")&amp;",")))=COUNTA(TEXTSPLIT(EA188,",")))))</f>
        <v/>
      </c>
      <c r="JF188" s="19">
        <f>AND(IF(EC188="",TRUE,IF(input_faculty_discipline="",FALSE,SUMPRODUCT(--ISNUMBER(SEARCH(","&amp;TRIM(TEXTSPLIT(EC188,","))&amp;",",","&amp;SUBSTITUTE(input_faculty_discipline," ","")&amp;",")))&gt;0)),IF(EE188="",TRUE,IF(input_faculty_discipline="",FALSE,SUMPRODUCT(--ISNUMBER(SEARCH(","&amp;TRIM(TEXTSPLIT(EE188,","))&amp;",",","&amp;SUBSTITUTE(input_faculty_discipline," ","")&amp;",")))=COUNTA(TEXTSPLIT(EE188,",")))),IF(EG188="",TRUE,IF(input_faculty_discipline="",TRUE,SUMPRODUCT(--ISNUMBER(SEARCH(","&amp;TRIM(TEXTSPLIT(EG188,","))&amp;",",","&amp;SUBSTITUTE(input_faculty_discipline," ","")&amp;",")))=0)),IF(EI188="",TRUE,IF(input_faculty_discipline="",FALSE,SUMPRODUCT(--ISNUMBER(SEARCH(","&amp;TRIM(TEXTSPLIT(EI188,","))&amp;",",","&amp;SUBSTITUTE(input_faculty_discipline," ","")&amp;",")))&gt;0)),IF(EK188="",TRUE,IF(input_faculty_discipline="",FALSE,SUMPRODUCT(--ISNUMBER(SEARCH(","&amp;TRIM(TEXTSPLIT(EK188,","))&amp;",",","&amp;SUBSTITUTE(input_faculty_discipline," ","")&amp;",")))=COUNTA(TEXTSPLIT(EK188,",")))))</f>
        <v/>
      </c>
      <c r="JG188" s="19">
        <f>AND(IF(EM188="",TRUE,IF(input_faculty_expertise="",FALSE,SUMPRODUCT(--ISNUMBER(SEARCH(","&amp;TRIM(TEXTSPLIT(EM188,","))&amp;",",","&amp;SUBSTITUTE(input_faculty_expertise," ","")&amp;",")))&gt;0)),IF(EO188="",TRUE,IF(input_faculty_expertise="",FALSE,SUMPRODUCT(--ISNUMBER(SEARCH(","&amp;TRIM(TEXTSPLIT(EO188,","))&amp;",",","&amp;SUBSTITUTE(input_faculty_expertise," ","")&amp;",")))=COUNTA(TEXTSPLIT(EO188,",")))),IF(EQ188="",TRUE,IF(input_faculty_expertise="",TRUE,SUMPRODUCT(--ISNUMBER(SEARCH(","&amp;TRIM(TEXTSPLIT(EQ188,","))&amp;",",","&amp;SUBSTITUTE(input_faculty_expertise," ","")&amp;",")))=0)),IF(ES188="",TRUE,IF(input_faculty_expertise="",FALSE,SUMPRODUCT(--ISNUMBER(SEARCH(","&amp;TRIM(TEXTSPLIT(ES188,","))&amp;",",","&amp;SUBSTITUTE(input_faculty_expertise," ","")&amp;",")))&gt;0)),IF(EU188="",TRUE,IF(input_faculty_expertise="",FALSE,SUMPRODUCT(--ISNUMBER(SEARCH(","&amp;TRIM(TEXTSPLIT(EU188,","))&amp;",",","&amp;SUBSTITUTE(input_faculty_expertise," ","")&amp;",")))=COUNTA(TEXTSPLIT(EU188,",")))))</f>
        <v/>
      </c>
      <c r="JH188" s="19">
        <f>AND(IF(EW188="",TRUE,IF(input_global_network_school="",FALSE,SUMPRODUCT(--ISNUMBER(SEARCH(","&amp;TRIM(TEXTSPLIT(EW188,","))&amp;",",","&amp;SUBSTITUTE(input_global_network_school," ","")&amp;",")))&gt;0)),IF(EY188="",TRUE,IF(input_global_network_school="",FALSE,SUMPRODUCT(--ISNUMBER(SEARCH(","&amp;TRIM(TEXTSPLIT(EY188,","))&amp;",",","&amp;SUBSTITUTE(input_global_network_school," ","")&amp;",")))=COUNTA(TEXTSPLIT(EY188,",")))),IF(FA188="",TRUE,IF(input_global_network_school="",TRUE,SUMPRODUCT(--ISNUMBER(SEARCH(","&amp;TRIM(TEXTSPLIT(FA188,","))&amp;",",","&amp;SUBSTITUTE(input_global_network_school," ","")&amp;",")))=0)),IF(FC188="",TRUE,IF(input_global_network_school="",FALSE,SUMPRODUCT(--ISNUMBER(SEARCH(","&amp;TRIM(TEXTSPLIT(FC188,","))&amp;",",","&amp;SUBSTITUTE(input_global_network_school," ","")&amp;",")))&gt;0)),IF(FE188="",TRUE,IF(input_global_network_school="",FALSE,SUMPRODUCT(--ISNUMBER(SEARCH(","&amp;TRIM(TEXTSPLIT(FE188,","))&amp;",",","&amp;SUBSTITUTE(input_global_network_school," ","")&amp;",")))=COUNTA(TEXTSPLIT(FE188,",")))))</f>
        <v/>
      </c>
      <c r="JI188" s="19">
        <f>AND(IF(FG188="",TRUE,IF(input_industry="",FALSE,SUMPRODUCT(--ISNUMBER(SEARCH(","&amp;TRIM(TEXTSPLIT(FG188,","))&amp;",",","&amp;SUBSTITUTE(input_industry," ","")&amp;",")))&gt;0)),IF(FI188="",TRUE,IF(input_industry="",FALSE,SUMPRODUCT(--ISNUMBER(SEARCH(","&amp;TRIM(TEXTSPLIT(FI188,","))&amp;",",","&amp;SUBSTITUTE(input_industry," ","")&amp;",")))=COUNTA(TEXTSPLIT(FI188,",")))),IF(FK188="",TRUE,IF(input_industry="",TRUE,SUMPRODUCT(--ISNUMBER(SEARCH(","&amp;TRIM(TEXTSPLIT(FK188,","))&amp;",",","&amp;SUBSTITUTE(input_industry," ","")&amp;",")))=0)),IF(FM188="",TRUE,IF(input_industry="",FALSE,SUMPRODUCT(--ISNUMBER(SEARCH(","&amp;TRIM(TEXTSPLIT(FM188,","))&amp;",",","&amp;SUBSTITUTE(input_industry," ","")&amp;",")))&gt;0)),IF(FO188="",TRUE,IF(input_industry="",FALSE,SUMPRODUCT(--ISNUMBER(SEARCH(","&amp;TRIM(TEXTSPLIT(FO188,","))&amp;",",","&amp;SUBSTITUTE(input_industry," ","")&amp;",")))=COUNTA(TEXTSPLIT(FO188,",")))))</f>
        <v/>
      </c>
      <c r="JJ188" s="19">
        <f>AND(IF(FQ188="",TRUE,IF(input_location="",FALSE,SUMPRODUCT(--ISNUMBER(SEARCH(","&amp;TRIM(TEXTSPLIT(FQ188,","))&amp;",",","&amp;SUBSTITUTE(input_location," ","")&amp;",")))&gt;0)),IF(FS188="",TRUE,IF(input_location="",FALSE,SUMPRODUCT(--ISNUMBER(SEARCH(","&amp;TRIM(TEXTSPLIT(FS188,","))&amp;",",","&amp;SUBSTITUTE(input_location," ","")&amp;",")))=COUNTA(TEXTSPLIT(FS188,",")))),IF(FU188="",TRUE,IF(input_location="",TRUE,SUMPRODUCT(--ISNUMBER(SEARCH(","&amp;TRIM(TEXTSPLIT(FU188,","))&amp;",",","&amp;SUBSTITUTE(input_location," ","")&amp;",")))=0)),IF(FW188="",TRUE,IF(input_location="",FALSE,SUMPRODUCT(--ISNUMBER(SEARCH(","&amp;TRIM(TEXTSPLIT(FW188,","))&amp;",",","&amp;SUBSTITUTE(input_location," ","")&amp;",")))&gt;0)),IF(FY188="",TRUE,IF(input_location="",FALSE,SUMPRODUCT(--ISNUMBER(SEARCH(","&amp;TRIM(TEXTSPLIT(FY188,","))&amp;",",","&amp;SUBSTITUTE(input_location," ","")&amp;",")))=COUNTA(TEXTSPLIT(FY188,",")))))</f>
        <v/>
      </c>
      <c r="JK188" s="19">
        <f>AND(IF(GA188="",TRUE,IF(input_modality="",FALSE,SUMPRODUCT(--ISNUMBER(SEARCH(","&amp;TRIM(TEXTSPLIT(GA188,","))&amp;",",","&amp;SUBSTITUTE(input_modality," ","")&amp;",")))&gt;0)),IF(GC188="",TRUE,IF(input_modality="",FALSE,SUMPRODUCT(--ISNUMBER(SEARCH(","&amp;TRIM(TEXTSPLIT(GC188,","))&amp;",",","&amp;SUBSTITUTE(input_modality," ","")&amp;",")))=COUNTA(TEXTSPLIT(GC188,",")))),IF(GE188="",TRUE,IF(input_modality="",TRUE,SUMPRODUCT(--ISNUMBER(SEARCH(","&amp;TRIM(TEXTSPLIT(GE188,","))&amp;",",","&amp;SUBSTITUTE(input_modality," ","")&amp;",")))=0)),IF(GG188="",TRUE,IF(input_modality="",FALSE,SUMPRODUCT(--ISNUMBER(SEARCH(","&amp;TRIM(TEXTSPLIT(GG188,","))&amp;",",","&amp;SUBSTITUTE(input_modality," ","")&amp;",")))&gt;0)),IF(GI188="",TRUE,IF(input_modality="",FALSE,SUMPRODUCT(--ISNUMBER(SEARCH(","&amp;TRIM(TEXTSPLIT(GI188,","))&amp;",",","&amp;SUBSTITUTE(input_modality," ","")&amp;",")))=COUNTA(TEXTSPLIT(GI188,",")))))</f>
        <v/>
      </c>
      <c r="JL188" s="19">
        <f>AND(IF(GK188="",TRUE,IF(input_organizer="",FALSE,SUMPRODUCT(--ISNUMBER(SEARCH(","&amp;TRIM(TEXTSPLIT(GK188,","))&amp;",",","&amp;SUBSTITUTE(input_organizer," ","")&amp;",")))&gt;0)),IF(GM188="",TRUE,IF(input_organizer="",FALSE,SUMPRODUCT(--ISNUMBER(SEARCH(","&amp;TRIM(TEXTSPLIT(GM188,","))&amp;",",","&amp;SUBSTITUTE(input_organizer," ","")&amp;",")))=COUNTA(TEXTSPLIT(GM188,",")))),IF(GO188="",TRUE,IF(input_organizer="",TRUE,SUMPRODUCT(--ISNUMBER(SEARCH(","&amp;TRIM(TEXTSPLIT(GO188,","))&amp;",",","&amp;SUBSTITUTE(input_organizer," ","")&amp;",")))=0)),IF(GQ188="",TRUE,IF(input_organizer="",FALSE,SUMPRODUCT(--ISNUMBER(SEARCH(","&amp;TRIM(TEXTSPLIT(GQ188,","))&amp;",",","&amp;SUBSTITUTE(input_organizer," ","")&amp;",")))&gt;0)),IF(GS188="",TRUE,IF(input_organizer="",FALSE,SUMPRODUCT(--ISNUMBER(SEARCH(","&amp;TRIM(TEXTSPLIT(GS188,","))&amp;",",","&amp;SUBSTITUTE(input_organizer," ","")&amp;",")))=COUNTA(TEXTSPLIT(GS188,",")))))</f>
        <v/>
      </c>
      <c r="JM188" s="19">
        <f>AND(IF(GU188="",TRUE,IF(input_profile_type="",FALSE,SUMPRODUCT(--ISNUMBER(SEARCH(","&amp;TRIM(TEXTSPLIT(GU188,","))&amp;",",","&amp;SUBSTITUTE(input_profile_type," ","")&amp;",")))&gt;0)),IF(GW188="",TRUE,IF(input_profile_type="",FALSE,SUMPRODUCT(--ISNUMBER(SEARCH(","&amp;TRIM(TEXTSPLIT(GW188,","))&amp;",",","&amp;SUBSTITUTE(input_profile_type," ","")&amp;",")))=COUNTA(TEXTSPLIT(GW188,",")))),IF(GY188="",TRUE,IF(input_profile_type="",TRUE,SUMPRODUCT(--ISNUMBER(SEARCH(","&amp;TRIM(TEXTSPLIT(GY188,","))&amp;",",","&amp;SUBSTITUTE(input_profile_type," ","")&amp;",")))=0)),IF(HA188="",TRUE,IF(input_profile_type="",FALSE,SUMPRODUCT(--ISNUMBER(SEARCH(","&amp;TRIM(TEXTSPLIT(HA188,","))&amp;",",","&amp;SUBSTITUTE(input_profile_type," ","")&amp;",")))&gt;0)),IF(HC188="",TRUE,IF(input_profile_type="",FALSE,SUMPRODUCT(--ISNUMBER(SEARCH(","&amp;TRIM(TEXTSPLIT(HC188,","))&amp;",",","&amp;SUBSTITUTE(input_profile_type," ","")&amp;",")))=COUNTA(TEXTSPLIT(HC188,",")))))</f>
        <v/>
      </c>
      <c r="JN188" s="19">
        <f>AND(IF(HE188="",TRUE,IF(input_program="",FALSE,SUMPRODUCT(--ISNUMBER(SEARCH(","&amp;TRIM(TEXTSPLIT(HE188,","))&amp;",",","&amp;SUBSTITUTE(input_program," ","")&amp;",")))&gt;0)),IF(HG188="",TRUE,IF(input_program="",FALSE,SUMPRODUCT(--ISNUMBER(SEARCH(","&amp;TRIM(TEXTSPLIT(HG188,","))&amp;",",","&amp;SUBSTITUTE(input_program," ","")&amp;",")))=COUNTA(TEXTSPLIT(HG188,",")))),IF(HI188="",TRUE,IF(input_program="",TRUE,SUMPRODUCT(--ISNUMBER(SEARCH(","&amp;TRIM(TEXTSPLIT(HI188,","))&amp;",",","&amp;SUBSTITUTE(input_program," ","")&amp;",")))=0)),IF(HK188="",TRUE,IF(input_program="",FALSE,SUMPRODUCT(--ISNUMBER(SEARCH(","&amp;TRIM(TEXTSPLIT(HK188,","))&amp;",",","&amp;SUBSTITUTE(input_program," ","")&amp;",")))&gt;0)),IF(HM188="",TRUE,IF(input_program="",FALSE,SUMPRODUCT(--ISNUMBER(SEARCH(","&amp;TRIM(TEXTSPLIT(HM188,","))&amp;",",","&amp;SUBSTITUTE(input_program," ","")&amp;",")))=COUNTA(TEXTSPLIT(HM188,",")))))</f>
        <v/>
      </c>
      <c r="JO188" s="19">
        <f>AND(IF(HO188="",TRUE,IF(input_story_categories="",FALSE,SUMPRODUCT(--ISNUMBER(SEARCH(","&amp;TRIM(TEXTSPLIT(HO188,","))&amp;",",","&amp;SUBSTITUTE(input_story_categories," ","")&amp;",")))&gt;0)),IF(HQ188="",TRUE,IF(input_story_categories="",FALSE,SUMPRODUCT(--ISNUMBER(SEARCH(","&amp;TRIM(TEXTSPLIT(HQ188,","))&amp;",",","&amp;SUBSTITUTE(input_story_categories," ","")&amp;",")))=COUNTA(TEXTSPLIT(HQ188,",")))),IF(HS188="",TRUE,IF(input_story_categories="",TRUE,SUMPRODUCT(--ISNUMBER(SEARCH(","&amp;TRIM(TEXTSPLIT(HS188,","))&amp;",",","&amp;SUBSTITUTE(input_story_categories," ","")&amp;",")))=0)),IF(HU188="",TRUE,IF(input_story_categories="",FALSE,SUMPRODUCT(--ISNUMBER(SEARCH(","&amp;TRIM(TEXTSPLIT(HU188,","))&amp;",",","&amp;SUBSTITUTE(input_story_categories," ","")&amp;",")))&gt;0)),IF(HW188="",TRUE,IF(input_story_categories="",FALSE,SUMPRODUCT(--ISNUMBER(SEARCH(","&amp;TRIM(TEXTSPLIT(HW188,","))&amp;",",","&amp;SUBSTITUTE(input_story_categories," ","")&amp;",")))=COUNTA(TEXTSPLIT(HW188,",")))))</f>
        <v/>
      </c>
      <c r="JP188" s="19">
        <f>AND(IF(HY188="",TRUE,IF(input_story_type="",FALSE,SUMPRODUCT(--ISNUMBER(SEARCH(","&amp;TRIM(TEXTSPLIT(HY188,","))&amp;",",","&amp;SUBSTITUTE(input_story_type," ","")&amp;",")))&gt;0)),IF(IA188="",TRUE,IF(input_story_type="",FALSE,SUMPRODUCT(--ISNUMBER(SEARCH(","&amp;TRIM(TEXTSPLIT(IA188,","))&amp;",",","&amp;SUBSTITUTE(input_story_type," ","")&amp;",")))=COUNTA(TEXTSPLIT(IA188,",")))),IF(IC188="",TRUE,IF(input_story_type="",TRUE,SUMPRODUCT(--ISNUMBER(SEARCH(","&amp;TRIM(TEXTSPLIT(IC188,","))&amp;",",","&amp;SUBSTITUTE(input_story_type," ","")&amp;",")))=0)),IF(IE188="",TRUE,IF(input_story_type="",FALSE,SUMPRODUCT(--ISNUMBER(SEARCH(","&amp;TRIM(TEXTSPLIT(IE188,","))&amp;",",","&amp;SUBSTITUTE(input_story_type," ","")&amp;",")))&gt;0)),IF(IG188="",TRUE,IF(input_story_type="",FALSE,SUMPRODUCT(--ISNUMBER(SEARCH(","&amp;TRIM(TEXTSPLIT(IG188,","))&amp;",",","&amp;SUBSTITUTE(input_story_type," ","")&amp;",")))=COUNTA(TEXTSPLIT(IG188,",")))))</f>
        <v/>
      </c>
      <c r="JQ188" s="19">
        <f>AND(IF(II188="",TRUE,IF(input_topics="",FALSE,SUMPRODUCT(--ISNUMBER(SEARCH(","&amp;TRIM(TEXTSPLIT(II188,","))&amp;",",","&amp;SUBSTITUTE(input_topics," ","")&amp;",")))&gt;0)),IF(IK188="",TRUE,IF(input_topics="",FALSE,SUMPRODUCT(--ISNUMBER(SEARCH(","&amp;TRIM(TEXTSPLIT(IK188,","))&amp;",",","&amp;SUBSTITUTE(input_topics," ","")&amp;",")))=COUNTA(TEXTSPLIT(IK188,",")))),IF(IM188="",TRUE,IF(input_topics="",TRUE,SUMPRODUCT(--ISNUMBER(SEARCH(","&amp;TRIM(TEXTSPLIT(IM188,","))&amp;",",","&amp;SUBSTITUTE(input_topics," ","")&amp;",")))=0)),IF(IO188="",TRUE,IF(input_topics="",FALSE,SUMPRODUCT(--ISNUMBER(SEARCH(","&amp;TRIM(TEXTSPLIT(IO188,","))&amp;",",","&amp;SUBSTITUTE(input_topics," ","")&amp;",")))&gt;0)),IF(IQ188="",TRUE,IF(input_topics="",FALSE,SUMPRODUCT(--ISNUMBER(SEARCH(","&amp;TRIM(TEXTSPLIT(IQ188,","))&amp;",",","&amp;SUBSTITUTE(input_topics," ","")&amp;",")))=COUNTA(TEXTSPLIT(IQ188,",")))))</f>
        <v/>
      </c>
    </row>
    <row r="189">
      <c r="A189" s="24">
        <f>IF(NOT(IS189),"Excluded",IF(AND(IT189,IU189,IV189,IW189,IX189,IY189,IZ189,JA189,JB189,JC189,JD189,JE189,JF189,JG189,JH189,JI189,JJ189,JK189,JL189,JM189,JN189,JO189,JP189,JQ189),IF(I189&gt;0,"Eligible but limited","Will appear"),"Excluded"))</f>
        <v/>
      </c>
      <c r="B189" s="24" t="inlineStr">
        <is>
          <t>Related stories on story pages</t>
        </is>
      </c>
      <c r="C189" s="27" t="inlineStr">
        <is>
          <t>/news/2019/12/career-conversations-podcast-aj-wasserstein-with-max-dworin-20</t>
        </is>
      </c>
      <c r="D189" s="24" t="inlineStr">
        <is>
          <t>/news/2019/12/career-conversations-podcast-aj-wasserstein-with-max-dworin-20</t>
        </is>
      </c>
      <c r="E189" s="24" t="n">
        <v>1</v>
      </c>
      <c r="F189" s="24" t="inlineStr">
        <is>
          <t>story</t>
        </is>
      </c>
      <c r="G189" s="24" t="inlineStr">
        <is>
          <t>stories_teaser_cards</t>
        </is>
      </c>
      <c r="H189" s="24" t="inlineStr">
        <is>
          <t>embed_all</t>
        </is>
      </c>
      <c r="I189" s="24" t="n">
        <v>3</v>
      </c>
      <c r="J189" s="31" t="inlineStr">
        <is>
          <t>Template logic</t>
        </is>
      </c>
      <c r="K189" s="24" t="inlineStr">
        <is>
          <t>Grouped surface</t>
        </is>
      </c>
      <c r="L189" s="24" t="inlineStr">
        <is>
          <t>Content type: story; Context uses Courses Context: Careers (110); Context uses Story Type: News (924); Limited to 3 item(s); Source: Template logic</t>
        </is>
      </c>
      <c r="BQ189" s="19" t="inlineStr">
        <is>
          <t>110</t>
        </is>
      </c>
      <c r="BR189" s="19" t="inlineStr">
        <is>
          <t>Careers (110)</t>
        </is>
      </c>
      <c r="IE189" s="19" t="inlineStr">
        <is>
          <t>924</t>
        </is>
      </c>
      <c r="IF189" s="19" t="inlineStr">
        <is>
          <t>News (924)</t>
        </is>
      </c>
      <c r="IS189" s="19">
        <f>IF(input_content_type="",FALSE,ISNUMBER(SEARCH(","&amp;LOWER(input_content_type)&amp;",",","&amp;LOWER(SUBSTITUTE(F189," ",""))&amp;",")))</f>
        <v/>
      </c>
      <c r="IT189" s="19">
        <f>AND(IF(M189="",TRUE,IF(input_affiliations="",FALSE,SUMPRODUCT(--ISNUMBER(SEARCH(","&amp;TRIM(TEXTSPLIT(M189,","))&amp;",",","&amp;SUBSTITUTE(input_affiliations," ","")&amp;",")))&gt;0)),IF(O189="",TRUE,IF(input_affiliations="",FALSE,SUMPRODUCT(--ISNUMBER(SEARCH(","&amp;TRIM(TEXTSPLIT(O189,","))&amp;",",","&amp;SUBSTITUTE(input_affiliations," ","")&amp;",")))=COUNTA(TEXTSPLIT(O189,",")))),IF(Q189="",TRUE,IF(input_affiliations="",TRUE,SUMPRODUCT(--ISNUMBER(SEARCH(","&amp;TRIM(TEXTSPLIT(Q189,","))&amp;",",","&amp;SUBSTITUTE(input_affiliations," ","")&amp;",")))=0)),IF(S189="",TRUE,IF(input_affiliations="",FALSE,SUMPRODUCT(--ISNUMBER(SEARCH(","&amp;TRIM(TEXTSPLIT(S189,","))&amp;",",","&amp;SUBSTITUTE(input_affiliations," ","")&amp;",")))&gt;0)),IF(U189="",TRUE,IF(input_affiliations="",FALSE,SUMPRODUCT(--ISNUMBER(SEARCH(","&amp;TRIM(TEXTSPLIT(U189,","))&amp;",",","&amp;SUBSTITUTE(input_affiliations," ","")&amp;",")))=COUNTA(TEXTSPLIT(U189,",")))))</f>
        <v/>
      </c>
      <c r="IU189" s="19">
        <f>AND(IF(W189="",TRUE,IF(input_announcement_category="",FALSE,SUMPRODUCT(--ISNUMBER(SEARCH(","&amp;TRIM(TEXTSPLIT(W189,","))&amp;",",","&amp;SUBSTITUTE(input_announcement_category," ","")&amp;",")))&gt;0)),IF(Y189="",TRUE,IF(input_announcement_category="",FALSE,SUMPRODUCT(--ISNUMBER(SEARCH(","&amp;TRIM(TEXTSPLIT(Y189,","))&amp;",",","&amp;SUBSTITUTE(input_announcement_category," ","")&amp;",")))=COUNTA(TEXTSPLIT(Y189,",")))),IF(AA189="",TRUE,IF(input_announcement_category="",TRUE,SUMPRODUCT(--ISNUMBER(SEARCH(","&amp;TRIM(TEXTSPLIT(AA189,","))&amp;",",","&amp;SUBSTITUTE(input_announcement_category," ","")&amp;",")))=0)),IF(AC189="",TRUE,IF(input_announcement_category="",FALSE,SUMPRODUCT(--ISNUMBER(SEARCH(","&amp;TRIM(TEXTSPLIT(AC189,","))&amp;",",","&amp;SUBSTITUTE(input_announcement_category," ","")&amp;",")))&gt;0)),IF(AE189="",TRUE,IF(input_announcement_category="",FALSE,SUMPRODUCT(--ISNUMBER(SEARCH(","&amp;TRIM(TEXTSPLIT(AE189,","))&amp;",",","&amp;SUBSTITUTE(input_announcement_category," ","")&amp;",")))=COUNTA(TEXTSPLIT(AE189,",")))))</f>
        <v/>
      </c>
      <c r="IV189" s="19">
        <f>AND(IF(AG189="",TRUE,IF(input_area_of_focus="",FALSE,SUMPRODUCT(--ISNUMBER(SEARCH(","&amp;TRIM(TEXTSPLIT(AG189,","))&amp;",",","&amp;SUBSTITUTE(input_area_of_focus," ","")&amp;",")))&gt;0)),IF(AI189="",TRUE,IF(input_area_of_focus="",FALSE,SUMPRODUCT(--ISNUMBER(SEARCH(","&amp;TRIM(TEXTSPLIT(AI189,","))&amp;",",","&amp;SUBSTITUTE(input_area_of_focus," ","")&amp;",")))=COUNTA(TEXTSPLIT(AI189,",")))),IF(AK189="",TRUE,IF(input_area_of_focus="",TRUE,SUMPRODUCT(--ISNUMBER(SEARCH(","&amp;TRIM(TEXTSPLIT(AK189,","))&amp;",",","&amp;SUBSTITUTE(input_area_of_focus," ","")&amp;",")))=0)),IF(AM189="",TRUE,IF(input_area_of_focus="",FALSE,SUMPRODUCT(--ISNUMBER(SEARCH(","&amp;TRIM(TEXTSPLIT(AM189,","))&amp;",",","&amp;SUBSTITUTE(input_area_of_focus," ","")&amp;",")))&gt;0)),IF(AO189="",TRUE,IF(input_area_of_focus="",FALSE,SUMPRODUCT(--ISNUMBER(SEARCH(","&amp;TRIM(TEXTSPLIT(AO189,","))&amp;",",","&amp;SUBSTITUTE(input_area_of_focus," ","")&amp;",")))=COUNTA(TEXTSPLIT(AO189,",")))))</f>
        <v/>
      </c>
      <c r="IW189" s="19">
        <f>AND(IF(AQ189="",TRUE,IF(input_audience="",FALSE,SUMPRODUCT(--ISNUMBER(SEARCH(","&amp;TRIM(TEXTSPLIT(AQ189,","))&amp;",",","&amp;SUBSTITUTE(input_audience," ","")&amp;",")))&gt;0)),IF(AS189="",TRUE,IF(input_audience="",FALSE,SUMPRODUCT(--ISNUMBER(SEARCH(","&amp;TRIM(TEXTSPLIT(AS189,","))&amp;",",","&amp;SUBSTITUTE(input_audience," ","")&amp;",")))=COUNTA(TEXTSPLIT(AS189,",")))),IF(AU189="",TRUE,IF(input_audience="",TRUE,SUMPRODUCT(--ISNUMBER(SEARCH(","&amp;TRIM(TEXTSPLIT(AU189,","))&amp;",",","&amp;SUBSTITUTE(input_audience," ","")&amp;",")))=0)),IF(AW189="",TRUE,IF(input_audience="",FALSE,SUMPRODUCT(--ISNUMBER(SEARCH(","&amp;TRIM(TEXTSPLIT(AW189,","))&amp;",",","&amp;SUBSTITUTE(input_audience," ","")&amp;",")))&gt;0)),IF(AY189="",TRUE,IF(input_audience="",FALSE,SUMPRODUCT(--ISNUMBER(SEARCH(","&amp;TRIM(TEXTSPLIT(AY189,","))&amp;",",","&amp;SUBSTITUTE(input_audience," ","")&amp;",")))=COUNTA(TEXTSPLIT(AY189,",")))))</f>
        <v/>
      </c>
      <c r="IX189" s="19">
        <f>AND(IF(BA189="",TRUE,IF(input_challenge_opportunities="",FALSE,SUMPRODUCT(--ISNUMBER(SEARCH(","&amp;TRIM(TEXTSPLIT(BA189,","))&amp;",",","&amp;SUBSTITUTE(input_challenge_opportunities," ","")&amp;",")))&gt;0)),IF(BC189="",TRUE,IF(input_challenge_opportunities="",FALSE,SUMPRODUCT(--ISNUMBER(SEARCH(","&amp;TRIM(TEXTSPLIT(BC189,","))&amp;",",","&amp;SUBSTITUTE(input_challenge_opportunities," ","")&amp;",")))=COUNTA(TEXTSPLIT(BC189,",")))),IF(BE189="",TRUE,IF(input_challenge_opportunities="",TRUE,SUMPRODUCT(--ISNUMBER(SEARCH(","&amp;TRIM(TEXTSPLIT(BE189,","))&amp;",",","&amp;SUBSTITUTE(input_challenge_opportunities," ","")&amp;",")))=0)),IF(BG189="",TRUE,IF(input_challenge_opportunities="",FALSE,SUMPRODUCT(--ISNUMBER(SEARCH(","&amp;TRIM(TEXTSPLIT(BG189,","))&amp;",",","&amp;SUBSTITUTE(input_challenge_opportunities," ","")&amp;",")))&gt;0)),IF(BI189="",TRUE,IF(input_challenge_opportunities="",FALSE,SUMPRODUCT(--ISNUMBER(SEARCH(","&amp;TRIM(TEXTSPLIT(BI189,","))&amp;",",","&amp;SUBSTITUTE(input_challenge_opportunities," ","")&amp;",")))=COUNTA(TEXTSPLIT(BI189,",")))))</f>
        <v/>
      </c>
      <c r="IY189" s="19">
        <f>AND(IF(BK189="",TRUE,IF(input_context="",FALSE,SUMPRODUCT(--ISNUMBER(SEARCH(","&amp;TRIM(TEXTSPLIT(BK189,","))&amp;",",","&amp;SUBSTITUTE(input_context," ","")&amp;",")))&gt;0)),IF(BM189="",TRUE,IF(input_context="",FALSE,SUMPRODUCT(--ISNUMBER(SEARCH(","&amp;TRIM(TEXTSPLIT(BM189,","))&amp;",",","&amp;SUBSTITUTE(input_context," ","")&amp;",")))=COUNTA(TEXTSPLIT(BM189,",")))),IF(BO189="",TRUE,IF(input_context="",TRUE,SUMPRODUCT(--ISNUMBER(SEARCH(","&amp;TRIM(TEXTSPLIT(BO189,","))&amp;",",","&amp;SUBSTITUTE(input_context," ","")&amp;",")))=0)),IF(BQ189="",TRUE,IF(input_context="",FALSE,SUMPRODUCT(--ISNUMBER(SEARCH(","&amp;TRIM(TEXTSPLIT(BQ189,","))&amp;",",","&amp;SUBSTITUTE(input_context," ","")&amp;",")))&gt;0)),IF(BS189="",TRUE,IF(input_context="",FALSE,SUMPRODUCT(--ISNUMBER(SEARCH(","&amp;TRIM(TEXTSPLIT(BS189,","))&amp;",",","&amp;SUBSTITUTE(input_context," ","")&amp;",")))=COUNTA(TEXTSPLIT(BS189,",")))))</f>
        <v/>
      </c>
      <c r="IZ189" s="19">
        <f>AND(IF(BU189="",TRUE,IF(input_enews_announcement_type="",FALSE,SUMPRODUCT(--ISNUMBER(SEARCH(","&amp;TRIM(TEXTSPLIT(BU189,","))&amp;",",","&amp;SUBSTITUTE(input_enews_announcement_type," ","")&amp;",")))&gt;0)),IF(BW189="",TRUE,IF(input_enews_announcement_type="",FALSE,SUMPRODUCT(--ISNUMBER(SEARCH(","&amp;TRIM(TEXTSPLIT(BW189,","))&amp;",",","&amp;SUBSTITUTE(input_enews_announcement_type," ","")&amp;",")))=COUNTA(TEXTSPLIT(BW189,",")))),IF(BY189="",TRUE,IF(input_enews_announcement_type="",TRUE,SUMPRODUCT(--ISNUMBER(SEARCH(","&amp;TRIM(TEXTSPLIT(BY189,","))&amp;",",","&amp;SUBSTITUTE(input_enews_announcement_type," ","")&amp;",")))=0)),IF(CA189="",TRUE,IF(input_enews_announcement_type="",FALSE,SUMPRODUCT(--ISNUMBER(SEARCH(","&amp;TRIM(TEXTSPLIT(CA189,","))&amp;",",","&amp;SUBSTITUTE(input_enews_announcement_type," ","")&amp;",")))&gt;0)),IF(CC189="",TRUE,IF(input_enews_announcement_type="",FALSE,SUMPRODUCT(--ISNUMBER(SEARCH(","&amp;TRIM(TEXTSPLIT(CC189,","))&amp;",",","&amp;SUBSTITUTE(input_enews_announcement_type," ","")&amp;",")))=COUNTA(TEXTSPLIT(CC189,",")))))</f>
        <v/>
      </c>
      <c r="JA189" s="19">
        <f>AND(IF(CE189="",TRUE,IF(input_enews_audience="",FALSE,SUMPRODUCT(--ISNUMBER(SEARCH(","&amp;TRIM(TEXTSPLIT(CE189,","))&amp;",",","&amp;SUBSTITUTE(input_enews_audience," ","")&amp;",")))&gt;0)),IF(CG189="",TRUE,IF(input_enews_audience="",FALSE,SUMPRODUCT(--ISNUMBER(SEARCH(","&amp;TRIM(TEXTSPLIT(CG189,","))&amp;",",","&amp;SUBSTITUTE(input_enews_audience," ","")&amp;",")))=COUNTA(TEXTSPLIT(CG189,",")))),IF(CI189="",TRUE,IF(input_enews_audience="",TRUE,SUMPRODUCT(--ISNUMBER(SEARCH(","&amp;TRIM(TEXTSPLIT(CI189,","))&amp;",",","&amp;SUBSTITUTE(input_enews_audience," ","")&amp;",")))=0)),IF(CK189="",TRUE,IF(input_enews_audience="",FALSE,SUMPRODUCT(--ISNUMBER(SEARCH(","&amp;TRIM(TEXTSPLIT(CK189,","))&amp;",",","&amp;SUBSTITUTE(input_enews_audience," ","")&amp;",")))&gt;0)),IF(CM189="",TRUE,IF(input_enews_audience="",FALSE,SUMPRODUCT(--ISNUMBER(SEARCH(","&amp;TRIM(TEXTSPLIT(CM189,","))&amp;",",","&amp;SUBSTITUTE(input_enews_audience," ","")&amp;",")))=COUNTA(TEXTSPLIT(CM189,",")))))</f>
        <v/>
      </c>
      <c r="JB189" s="19">
        <f>AND(IF(CO189="",TRUE,IF(input_event_location="",FALSE,SUMPRODUCT(--ISNUMBER(SEARCH(","&amp;TRIM(TEXTSPLIT(CO189,","))&amp;",",","&amp;SUBSTITUTE(input_event_location," ","")&amp;",")))&gt;0)),IF(CQ189="",TRUE,IF(input_event_location="",FALSE,SUMPRODUCT(--ISNUMBER(SEARCH(","&amp;TRIM(TEXTSPLIT(CQ189,","))&amp;",",","&amp;SUBSTITUTE(input_event_location," ","")&amp;",")))=COUNTA(TEXTSPLIT(CQ189,",")))),IF(CS189="",TRUE,IF(input_event_location="",TRUE,SUMPRODUCT(--ISNUMBER(SEARCH(","&amp;TRIM(TEXTSPLIT(CS189,","))&amp;",",","&amp;SUBSTITUTE(input_event_location," ","")&amp;",")))=0)),IF(CU189="",TRUE,IF(input_event_location="",FALSE,SUMPRODUCT(--ISNUMBER(SEARCH(","&amp;TRIM(TEXTSPLIT(CU189,","))&amp;",",","&amp;SUBSTITUTE(input_event_location," ","")&amp;",")))&gt;0)),IF(CW189="",TRUE,IF(input_event_location="",FALSE,SUMPRODUCT(--ISNUMBER(SEARCH(","&amp;TRIM(TEXTSPLIT(CW189,","))&amp;",",","&amp;SUBSTITUTE(input_event_location," ","")&amp;",")))=COUNTA(TEXTSPLIT(CW189,",")))))</f>
        <v/>
      </c>
      <c r="JC189" s="19">
        <f>AND(IF(CY189="",TRUE,IF(input_event_type="",FALSE,SUMPRODUCT(--ISNUMBER(SEARCH(","&amp;TRIM(TEXTSPLIT(CY189,","))&amp;",",","&amp;SUBSTITUTE(input_event_type," ","")&amp;",")))&gt;0)),IF(DA189="",TRUE,IF(input_event_type="",FALSE,SUMPRODUCT(--ISNUMBER(SEARCH(","&amp;TRIM(TEXTSPLIT(DA189,","))&amp;",",","&amp;SUBSTITUTE(input_event_type," ","")&amp;",")))=COUNTA(TEXTSPLIT(DA189,",")))),IF(DC189="",TRUE,IF(input_event_type="",TRUE,SUMPRODUCT(--ISNUMBER(SEARCH(","&amp;TRIM(TEXTSPLIT(DC189,","))&amp;",",","&amp;SUBSTITUTE(input_event_type," ","")&amp;",")))=0)),IF(DE189="",TRUE,IF(input_event_type="",FALSE,SUMPRODUCT(--ISNUMBER(SEARCH(","&amp;TRIM(TEXTSPLIT(DE189,","))&amp;",",","&amp;SUBSTITUTE(input_event_type," ","")&amp;",")))&gt;0)),IF(DG189="",TRUE,IF(input_event_type="",FALSE,SUMPRODUCT(--ISNUMBER(SEARCH(","&amp;TRIM(TEXTSPLIT(DG189,","))&amp;",",","&amp;SUBSTITUTE(input_event_type," ","")&amp;",")))=COUNTA(TEXTSPLIT(DG189,",")))))</f>
        <v/>
      </c>
      <c r="JD189" s="19">
        <f>AND(IF(DI189="",TRUE,IF(input_executive_education_focus="",FALSE,SUMPRODUCT(--ISNUMBER(SEARCH(","&amp;TRIM(TEXTSPLIT(DI189,","))&amp;",",","&amp;SUBSTITUTE(input_executive_education_focus," ","")&amp;",")))&gt;0)),IF(DK189="",TRUE,IF(input_executive_education_focus="",FALSE,SUMPRODUCT(--ISNUMBER(SEARCH(","&amp;TRIM(TEXTSPLIT(DK189,","))&amp;",",","&amp;SUBSTITUTE(input_executive_education_focus," ","")&amp;",")))=COUNTA(TEXTSPLIT(DK189,",")))),IF(DM189="",TRUE,IF(input_executive_education_focus="",TRUE,SUMPRODUCT(--ISNUMBER(SEARCH(","&amp;TRIM(TEXTSPLIT(DM189,","))&amp;",",","&amp;SUBSTITUTE(input_executive_education_focus," ","")&amp;",")))=0)),IF(DO189="",TRUE,IF(input_executive_education_focus="",FALSE,SUMPRODUCT(--ISNUMBER(SEARCH(","&amp;TRIM(TEXTSPLIT(DO189,","))&amp;",",","&amp;SUBSTITUTE(input_executive_education_focus," ","")&amp;",")))&gt;0)),IF(DQ189="",TRUE,IF(input_executive_education_focus="",FALSE,SUMPRODUCT(--ISNUMBER(SEARCH(","&amp;TRIM(TEXTSPLIT(DQ189,","))&amp;",",","&amp;SUBSTITUTE(input_executive_education_focus," ","")&amp;",")))=COUNTA(TEXTSPLIT(DQ189,",")))))</f>
        <v/>
      </c>
      <c r="JE189" s="19">
        <f>AND(IF(DS189="",TRUE,IF(input_faculty_category="",FALSE,SUMPRODUCT(--ISNUMBER(SEARCH(","&amp;TRIM(TEXTSPLIT(DS189,","))&amp;",",","&amp;SUBSTITUTE(input_faculty_category," ","")&amp;",")))&gt;0)),IF(DU189="",TRUE,IF(input_faculty_category="",FALSE,SUMPRODUCT(--ISNUMBER(SEARCH(","&amp;TRIM(TEXTSPLIT(DU189,","))&amp;",",","&amp;SUBSTITUTE(input_faculty_category," ","")&amp;",")))=COUNTA(TEXTSPLIT(DU189,",")))),IF(DW189="",TRUE,IF(input_faculty_category="",TRUE,SUMPRODUCT(--ISNUMBER(SEARCH(","&amp;TRIM(TEXTSPLIT(DW189,","))&amp;",",","&amp;SUBSTITUTE(input_faculty_category," ","")&amp;",")))=0)),IF(DY189="",TRUE,IF(input_faculty_category="",FALSE,SUMPRODUCT(--ISNUMBER(SEARCH(","&amp;TRIM(TEXTSPLIT(DY189,","))&amp;",",","&amp;SUBSTITUTE(input_faculty_category," ","")&amp;",")))&gt;0)),IF(EA189="",TRUE,IF(input_faculty_category="",FALSE,SUMPRODUCT(--ISNUMBER(SEARCH(","&amp;TRIM(TEXTSPLIT(EA189,","))&amp;",",","&amp;SUBSTITUTE(input_faculty_category," ","")&amp;",")))=COUNTA(TEXTSPLIT(EA189,",")))))</f>
        <v/>
      </c>
      <c r="JF189" s="19">
        <f>AND(IF(EC189="",TRUE,IF(input_faculty_discipline="",FALSE,SUMPRODUCT(--ISNUMBER(SEARCH(","&amp;TRIM(TEXTSPLIT(EC189,","))&amp;",",","&amp;SUBSTITUTE(input_faculty_discipline," ","")&amp;",")))&gt;0)),IF(EE189="",TRUE,IF(input_faculty_discipline="",FALSE,SUMPRODUCT(--ISNUMBER(SEARCH(","&amp;TRIM(TEXTSPLIT(EE189,","))&amp;",",","&amp;SUBSTITUTE(input_faculty_discipline," ","")&amp;",")))=COUNTA(TEXTSPLIT(EE189,",")))),IF(EG189="",TRUE,IF(input_faculty_discipline="",TRUE,SUMPRODUCT(--ISNUMBER(SEARCH(","&amp;TRIM(TEXTSPLIT(EG189,","))&amp;",",","&amp;SUBSTITUTE(input_faculty_discipline," ","")&amp;",")))=0)),IF(EI189="",TRUE,IF(input_faculty_discipline="",FALSE,SUMPRODUCT(--ISNUMBER(SEARCH(","&amp;TRIM(TEXTSPLIT(EI189,","))&amp;",",","&amp;SUBSTITUTE(input_faculty_discipline," ","")&amp;",")))&gt;0)),IF(EK189="",TRUE,IF(input_faculty_discipline="",FALSE,SUMPRODUCT(--ISNUMBER(SEARCH(","&amp;TRIM(TEXTSPLIT(EK189,","))&amp;",",","&amp;SUBSTITUTE(input_faculty_discipline," ","")&amp;",")))=COUNTA(TEXTSPLIT(EK189,",")))))</f>
        <v/>
      </c>
      <c r="JG189" s="19">
        <f>AND(IF(EM189="",TRUE,IF(input_faculty_expertise="",FALSE,SUMPRODUCT(--ISNUMBER(SEARCH(","&amp;TRIM(TEXTSPLIT(EM189,","))&amp;",",","&amp;SUBSTITUTE(input_faculty_expertise," ","")&amp;",")))&gt;0)),IF(EO189="",TRUE,IF(input_faculty_expertise="",FALSE,SUMPRODUCT(--ISNUMBER(SEARCH(","&amp;TRIM(TEXTSPLIT(EO189,","))&amp;",",","&amp;SUBSTITUTE(input_faculty_expertise," ","")&amp;",")))=COUNTA(TEXTSPLIT(EO189,",")))),IF(EQ189="",TRUE,IF(input_faculty_expertise="",TRUE,SUMPRODUCT(--ISNUMBER(SEARCH(","&amp;TRIM(TEXTSPLIT(EQ189,","))&amp;",",","&amp;SUBSTITUTE(input_faculty_expertise," ","")&amp;",")))=0)),IF(ES189="",TRUE,IF(input_faculty_expertise="",FALSE,SUMPRODUCT(--ISNUMBER(SEARCH(","&amp;TRIM(TEXTSPLIT(ES189,","))&amp;",",","&amp;SUBSTITUTE(input_faculty_expertise," ","")&amp;",")))&gt;0)),IF(EU189="",TRUE,IF(input_faculty_expertise="",FALSE,SUMPRODUCT(--ISNUMBER(SEARCH(","&amp;TRIM(TEXTSPLIT(EU189,","))&amp;",",","&amp;SUBSTITUTE(input_faculty_expertise," ","")&amp;",")))=COUNTA(TEXTSPLIT(EU189,",")))))</f>
        <v/>
      </c>
      <c r="JH189" s="19">
        <f>AND(IF(EW189="",TRUE,IF(input_global_network_school="",FALSE,SUMPRODUCT(--ISNUMBER(SEARCH(","&amp;TRIM(TEXTSPLIT(EW189,","))&amp;",",","&amp;SUBSTITUTE(input_global_network_school," ","")&amp;",")))&gt;0)),IF(EY189="",TRUE,IF(input_global_network_school="",FALSE,SUMPRODUCT(--ISNUMBER(SEARCH(","&amp;TRIM(TEXTSPLIT(EY189,","))&amp;",",","&amp;SUBSTITUTE(input_global_network_school," ","")&amp;",")))=COUNTA(TEXTSPLIT(EY189,",")))),IF(FA189="",TRUE,IF(input_global_network_school="",TRUE,SUMPRODUCT(--ISNUMBER(SEARCH(","&amp;TRIM(TEXTSPLIT(FA189,","))&amp;",",","&amp;SUBSTITUTE(input_global_network_school," ","")&amp;",")))=0)),IF(FC189="",TRUE,IF(input_global_network_school="",FALSE,SUMPRODUCT(--ISNUMBER(SEARCH(","&amp;TRIM(TEXTSPLIT(FC189,","))&amp;",",","&amp;SUBSTITUTE(input_global_network_school," ","")&amp;",")))&gt;0)),IF(FE189="",TRUE,IF(input_global_network_school="",FALSE,SUMPRODUCT(--ISNUMBER(SEARCH(","&amp;TRIM(TEXTSPLIT(FE189,","))&amp;",",","&amp;SUBSTITUTE(input_global_network_school," ","")&amp;",")))=COUNTA(TEXTSPLIT(FE189,",")))))</f>
        <v/>
      </c>
      <c r="JI189" s="19">
        <f>AND(IF(FG189="",TRUE,IF(input_industry="",FALSE,SUMPRODUCT(--ISNUMBER(SEARCH(","&amp;TRIM(TEXTSPLIT(FG189,","))&amp;",",","&amp;SUBSTITUTE(input_industry," ","")&amp;",")))&gt;0)),IF(FI189="",TRUE,IF(input_industry="",FALSE,SUMPRODUCT(--ISNUMBER(SEARCH(","&amp;TRIM(TEXTSPLIT(FI189,","))&amp;",",","&amp;SUBSTITUTE(input_industry," ","")&amp;",")))=COUNTA(TEXTSPLIT(FI189,",")))),IF(FK189="",TRUE,IF(input_industry="",TRUE,SUMPRODUCT(--ISNUMBER(SEARCH(","&amp;TRIM(TEXTSPLIT(FK189,","))&amp;",",","&amp;SUBSTITUTE(input_industry," ","")&amp;",")))=0)),IF(FM189="",TRUE,IF(input_industry="",FALSE,SUMPRODUCT(--ISNUMBER(SEARCH(","&amp;TRIM(TEXTSPLIT(FM189,","))&amp;",",","&amp;SUBSTITUTE(input_industry," ","")&amp;",")))&gt;0)),IF(FO189="",TRUE,IF(input_industry="",FALSE,SUMPRODUCT(--ISNUMBER(SEARCH(","&amp;TRIM(TEXTSPLIT(FO189,","))&amp;",",","&amp;SUBSTITUTE(input_industry," ","")&amp;",")))=COUNTA(TEXTSPLIT(FO189,",")))))</f>
        <v/>
      </c>
      <c r="JJ189" s="19">
        <f>AND(IF(FQ189="",TRUE,IF(input_location="",FALSE,SUMPRODUCT(--ISNUMBER(SEARCH(","&amp;TRIM(TEXTSPLIT(FQ189,","))&amp;",",","&amp;SUBSTITUTE(input_location," ","")&amp;",")))&gt;0)),IF(FS189="",TRUE,IF(input_location="",FALSE,SUMPRODUCT(--ISNUMBER(SEARCH(","&amp;TRIM(TEXTSPLIT(FS189,","))&amp;",",","&amp;SUBSTITUTE(input_location," ","")&amp;",")))=COUNTA(TEXTSPLIT(FS189,",")))),IF(FU189="",TRUE,IF(input_location="",TRUE,SUMPRODUCT(--ISNUMBER(SEARCH(","&amp;TRIM(TEXTSPLIT(FU189,","))&amp;",",","&amp;SUBSTITUTE(input_location," ","")&amp;",")))=0)),IF(FW189="",TRUE,IF(input_location="",FALSE,SUMPRODUCT(--ISNUMBER(SEARCH(","&amp;TRIM(TEXTSPLIT(FW189,","))&amp;",",","&amp;SUBSTITUTE(input_location," ","")&amp;",")))&gt;0)),IF(FY189="",TRUE,IF(input_location="",FALSE,SUMPRODUCT(--ISNUMBER(SEARCH(","&amp;TRIM(TEXTSPLIT(FY189,","))&amp;",",","&amp;SUBSTITUTE(input_location," ","")&amp;",")))=COUNTA(TEXTSPLIT(FY189,",")))))</f>
        <v/>
      </c>
      <c r="JK189" s="19">
        <f>AND(IF(GA189="",TRUE,IF(input_modality="",FALSE,SUMPRODUCT(--ISNUMBER(SEARCH(","&amp;TRIM(TEXTSPLIT(GA189,","))&amp;",",","&amp;SUBSTITUTE(input_modality," ","")&amp;",")))&gt;0)),IF(GC189="",TRUE,IF(input_modality="",FALSE,SUMPRODUCT(--ISNUMBER(SEARCH(","&amp;TRIM(TEXTSPLIT(GC189,","))&amp;",",","&amp;SUBSTITUTE(input_modality," ","")&amp;",")))=COUNTA(TEXTSPLIT(GC189,",")))),IF(GE189="",TRUE,IF(input_modality="",TRUE,SUMPRODUCT(--ISNUMBER(SEARCH(","&amp;TRIM(TEXTSPLIT(GE189,","))&amp;",",","&amp;SUBSTITUTE(input_modality," ","")&amp;",")))=0)),IF(GG189="",TRUE,IF(input_modality="",FALSE,SUMPRODUCT(--ISNUMBER(SEARCH(","&amp;TRIM(TEXTSPLIT(GG189,","))&amp;",",","&amp;SUBSTITUTE(input_modality," ","")&amp;",")))&gt;0)),IF(GI189="",TRUE,IF(input_modality="",FALSE,SUMPRODUCT(--ISNUMBER(SEARCH(","&amp;TRIM(TEXTSPLIT(GI189,","))&amp;",",","&amp;SUBSTITUTE(input_modality," ","")&amp;",")))=COUNTA(TEXTSPLIT(GI189,",")))))</f>
        <v/>
      </c>
      <c r="JL189" s="19">
        <f>AND(IF(GK189="",TRUE,IF(input_organizer="",FALSE,SUMPRODUCT(--ISNUMBER(SEARCH(","&amp;TRIM(TEXTSPLIT(GK189,","))&amp;",",","&amp;SUBSTITUTE(input_organizer," ","")&amp;",")))&gt;0)),IF(GM189="",TRUE,IF(input_organizer="",FALSE,SUMPRODUCT(--ISNUMBER(SEARCH(","&amp;TRIM(TEXTSPLIT(GM189,","))&amp;",",","&amp;SUBSTITUTE(input_organizer," ","")&amp;",")))=COUNTA(TEXTSPLIT(GM189,",")))),IF(GO189="",TRUE,IF(input_organizer="",TRUE,SUMPRODUCT(--ISNUMBER(SEARCH(","&amp;TRIM(TEXTSPLIT(GO189,","))&amp;",",","&amp;SUBSTITUTE(input_organizer," ","")&amp;",")))=0)),IF(GQ189="",TRUE,IF(input_organizer="",FALSE,SUMPRODUCT(--ISNUMBER(SEARCH(","&amp;TRIM(TEXTSPLIT(GQ189,","))&amp;",",","&amp;SUBSTITUTE(input_organizer," ","")&amp;",")))&gt;0)),IF(GS189="",TRUE,IF(input_organizer="",FALSE,SUMPRODUCT(--ISNUMBER(SEARCH(","&amp;TRIM(TEXTSPLIT(GS189,","))&amp;",",","&amp;SUBSTITUTE(input_organizer," ","")&amp;",")))=COUNTA(TEXTSPLIT(GS189,",")))))</f>
        <v/>
      </c>
      <c r="JM189" s="19">
        <f>AND(IF(GU189="",TRUE,IF(input_profile_type="",FALSE,SUMPRODUCT(--ISNUMBER(SEARCH(","&amp;TRIM(TEXTSPLIT(GU189,","))&amp;",",","&amp;SUBSTITUTE(input_profile_type," ","")&amp;",")))&gt;0)),IF(GW189="",TRUE,IF(input_profile_type="",FALSE,SUMPRODUCT(--ISNUMBER(SEARCH(","&amp;TRIM(TEXTSPLIT(GW189,","))&amp;",",","&amp;SUBSTITUTE(input_profile_type," ","")&amp;",")))=COUNTA(TEXTSPLIT(GW189,",")))),IF(GY189="",TRUE,IF(input_profile_type="",TRUE,SUMPRODUCT(--ISNUMBER(SEARCH(","&amp;TRIM(TEXTSPLIT(GY189,","))&amp;",",","&amp;SUBSTITUTE(input_profile_type," ","")&amp;",")))=0)),IF(HA189="",TRUE,IF(input_profile_type="",FALSE,SUMPRODUCT(--ISNUMBER(SEARCH(","&amp;TRIM(TEXTSPLIT(HA189,","))&amp;",",","&amp;SUBSTITUTE(input_profile_type," ","")&amp;",")))&gt;0)),IF(HC189="",TRUE,IF(input_profile_type="",FALSE,SUMPRODUCT(--ISNUMBER(SEARCH(","&amp;TRIM(TEXTSPLIT(HC189,","))&amp;",",","&amp;SUBSTITUTE(input_profile_type," ","")&amp;",")))=COUNTA(TEXTSPLIT(HC189,",")))))</f>
        <v/>
      </c>
      <c r="JN189" s="19">
        <f>AND(IF(HE189="",TRUE,IF(input_program="",FALSE,SUMPRODUCT(--ISNUMBER(SEARCH(","&amp;TRIM(TEXTSPLIT(HE189,","))&amp;",",","&amp;SUBSTITUTE(input_program," ","")&amp;",")))&gt;0)),IF(HG189="",TRUE,IF(input_program="",FALSE,SUMPRODUCT(--ISNUMBER(SEARCH(","&amp;TRIM(TEXTSPLIT(HG189,","))&amp;",",","&amp;SUBSTITUTE(input_program," ","")&amp;",")))=COUNTA(TEXTSPLIT(HG189,",")))),IF(HI189="",TRUE,IF(input_program="",TRUE,SUMPRODUCT(--ISNUMBER(SEARCH(","&amp;TRIM(TEXTSPLIT(HI189,","))&amp;",",","&amp;SUBSTITUTE(input_program," ","")&amp;",")))=0)),IF(HK189="",TRUE,IF(input_program="",FALSE,SUMPRODUCT(--ISNUMBER(SEARCH(","&amp;TRIM(TEXTSPLIT(HK189,","))&amp;",",","&amp;SUBSTITUTE(input_program," ","")&amp;",")))&gt;0)),IF(HM189="",TRUE,IF(input_program="",FALSE,SUMPRODUCT(--ISNUMBER(SEARCH(","&amp;TRIM(TEXTSPLIT(HM189,","))&amp;",",","&amp;SUBSTITUTE(input_program," ","")&amp;",")))=COUNTA(TEXTSPLIT(HM189,",")))))</f>
        <v/>
      </c>
      <c r="JO189" s="19">
        <f>AND(IF(HO189="",TRUE,IF(input_story_categories="",FALSE,SUMPRODUCT(--ISNUMBER(SEARCH(","&amp;TRIM(TEXTSPLIT(HO189,","))&amp;",",","&amp;SUBSTITUTE(input_story_categories," ","")&amp;",")))&gt;0)),IF(HQ189="",TRUE,IF(input_story_categories="",FALSE,SUMPRODUCT(--ISNUMBER(SEARCH(","&amp;TRIM(TEXTSPLIT(HQ189,","))&amp;",",","&amp;SUBSTITUTE(input_story_categories," ","")&amp;",")))=COUNTA(TEXTSPLIT(HQ189,",")))),IF(HS189="",TRUE,IF(input_story_categories="",TRUE,SUMPRODUCT(--ISNUMBER(SEARCH(","&amp;TRIM(TEXTSPLIT(HS189,","))&amp;",",","&amp;SUBSTITUTE(input_story_categories," ","")&amp;",")))=0)),IF(HU189="",TRUE,IF(input_story_categories="",FALSE,SUMPRODUCT(--ISNUMBER(SEARCH(","&amp;TRIM(TEXTSPLIT(HU189,","))&amp;",",","&amp;SUBSTITUTE(input_story_categories," ","")&amp;",")))&gt;0)),IF(HW189="",TRUE,IF(input_story_categories="",FALSE,SUMPRODUCT(--ISNUMBER(SEARCH(","&amp;TRIM(TEXTSPLIT(HW189,","))&amp;",",","&amp;SUBSTITUTE(input_story_categories," ","")&amp;",")))=COUNTA(TEXTSPLIT(HW189,",")))))</f>
        <v/>
      </c>
      <c r="JP189" s="19">
        <f>AND(IF(HY189="",TRUE,IF(input_story_type="",FALSE,SUMPRODUCT(--ISNUMBER(SEARCH(","&amp;TRIM(TEXTSPLIT(HY189,","))&amp;",",","&amp;SUBSTITUTE(input_story_type," ","")&amp;",")))&gt;0)),IF(IA189="",TRUE,IF(input_story_type="",FALSE,SUMPRODUCT(--ISNUMBER(SEARCH(","&amp;TRIM(TEXTSPLIT(IA189,","))&amp;",",","&amp;SUBSTITUTE(input_story_type," ","")&amp;",")))=COUNTA(TEXTSPLIT(IA189,",")))),IF(IC189="",TRUE,IF(input_story_type="",TRUE,SUMPRODUCT(--ISNUMBER(SEARCH(","&amp;TRIM(TEXTSPLIT(IC189,","))&amp;",",","&amp;SUBSTITUTE(input_story_type," ","")&amp;",")))=0)),IF(IE189="",TRUE,IF(input_story_type="",FALSE,SUMPRODUCT(--ISNUMBER(SEARCH(","&amp;TRIM(TEXTSPLIT(IE189,","))&amp;",",","&amp;SUBSTITUTE(input_story_type," ","")&amp;",")))&gt;0)),IF(IG189="",TRUE,IF(input_story_type="",FALSE,SUMPRODUCT(--ISNUMBER(SEARCH(","&amp;TRIM(TEXTSPLIT(IG189,","))&amp;",",","&amp;SUBSTITUTE(input_story_type," ","")&amp;",")))=COUNTA(TEXTSPLIT(IG189,",")))))</f>
        <v/>
      </c>
      <c r="JQ189" s="19">
        <f>AND(IF(II189="",TRUE,IF(input_topics="",FALSE,SUMPRODUCT(--ISNUMBER(SEARCH(","&amp;TRIM(TEXTSPLIT(II189,","))&amp;",",","&amp;SUBSTITUTE(input_topics," ","")&amp;",")))&gt;0)),IF(IK189="",TRUE,IF(input_topics="",FALSE,SUMPRODUCT(--ISNUMBER(SEARCH(","&amp;TRIM(TEXTSPLIT(IK189,","))&amp;",",","&amp;SUBSTITUTE(input_topics," ","")&amp;",")))=COUNTA(TEXTSPLIT(IK189,",")))),IF(IM189="",TRUE,IF(input_topics="",TRUE,SUMPRODUCT(--ISNUMBER(SEARCH(","&amp;TRIM(TEXTSPLIT(IM189,","))&amp;",",","&amp;SUBSTITUTE(input_topics," ","")&amp;",")))=0)),IF(IO189="",TRUE,IF(input_topics="",FALSE,SUMPRODUCT(--ISNUMBER(SEARCH(","&amp;TRIM(TEXTSPLIT(IO189,","))&amp;",",","&amp;SUBSTITUTE(input_topics," ","")&amp;",")))&gt;0)),IF(IQ189="",TRUE,IF(input_topics="",FALSE,SUMPRODUCT(--ISNUMBER(SEARCH(","&amp;TRIM(TEXTSPLIT(IQ189,","))&amp;",",","&amp;SUBSTITUTE(input_topics," ","")&amp;",")))=COUNTA(TEXTSPLIT(IQ189,",")))))</f>
        <v/>
      </c>
    </row>
    <row r="190">
      <c r="A190" s="24">
        <f>IF(NOT(IS190),"Excluded",IF(AND(IT190,IU190,IV190,IW190,IX190,IY190,IZ190,JA190,JB190,JC190,JD190,JE190,JF190,JG190,JH190,JI190,JJ190,JK190,JL190,JM190,JN190,JO190,JP190,JQ190),IF(I190&gt;0,"Eligible but limited","Will appear"),"Excluded"))</f>
        <v/>
      </c>
      <c r="B190" s="24" t="inlineStr">
        <is>
          <t>Related stories on story pages</t>
        </is>
      </c>
      <c r="C190" s="27" t="inlineStr">
        <is>
          <t>/news/2020/02/video-dancing-for-good-cause-at-star-search</t>
        </is>
      </c>
      <c r="D190" s="24" t="inlineStr">
        <is>
          <t>/news/2020/02/video-dancing-for-good-cause-at-star-search
/news/2021/07/social-impact-consulting-club-helps-new-haven-organizations-navigate-hard-times
/story/2023/four-graduating-students-honored-deans-mission-impact-award</t>
        </is>
      </c>
      <c r="E190" s="24" t="n">
        <v>4</v>
      </c>
      <c r="F190" s="24" t="inlineStr">
        <is>
          <t>story</t>
        </is>
      </c>
      <c r="G190" s="24" t="inlineStr">
        <is>
          <t>stories_teaser_cards</t>
        </is>
      </c>
      <c r="H190" s="24" t="inlineStr">
        <is>
          <t>embed_all</t>
        </is>
      </c>
      <c r="I190" s="24" t="n">
        <v>3</v>
      </c>
      <c r="J190" s="31" t="inlineStr">
        <is>
          <t>Template logic</t>
        </is>
      </c>
      <c r="K190" s="24" t="inlineStr">
        <is>
          <t>Grouped surface</t>
        </is>
      </c>
      <c r="L190" s="24" t="inlineStr">
        <is>
          <t>Content type: story; Context uses Courses Context: Student Life (125); Context uses Story Type: News (924); Limited to 3 item(s); Source: Template logic</t>
        </is>
      </c>
      <c r="BQ190" s="19" t="inlineStr">
        <is>
          <t>125</t>
        </is>
      </c>
      <c r="BR190" s="19" t="inlineStr">
        <is>
          <t>Student Life (125)</t>
        </is>
      </c>
      <c r="IE190" s="19" t="inlineStr">
        <is>
          <t>924</t>
        </is>
      </c>
      <c r="IF190" s="19" t="inlineStr">
        <is>
          <t>News (924)</t>
        </is>
      </c>
      <c r="IS190" s="19">
        <f>IF(input_content_type="",FALSE,ISNUMBER(SEARCH(","&amp;LOWER(input_content_type)&amp;",",","&amp;LOWER(SUBSTITUTE(F190," ",""))&amp;",")))</f>
        <v/>
      </c>
      <c r="IT190" s="19">
        <f>AND(IF(M190="",TRUE,IF(input_affiliations="",FALSE,SUMPRODUCT(--ISNUMBER(SEARCH(","&amp;TRIM(TEXTSPLIT(M190,","))&amp;",",","&amp;SUBSTITUTE(input_affiliations," ","")&amp;",")))&gt;0)),IF(O190="",TRUE,IF(input_affiliations="",FALSE,SUMPRODUCT(--ISNUMBER(SEARCH(","&amp;TRIM(TEXTSPLIT(O190,","))&amp;",",","&amp;SUBSTITUTE(input_affiliations," ","")&amp;",")))=COUNTA(TEXTSPLIT(O190,",")))),IF(Q190="",TRUE,IF(input_affiliations="",TRUE,SUMPRODUCT(--ISNUMBER(SEARCH(","&amp;TRIM(TEXTSPLIT(Q190,","))&amp;",",","&amp;SUBSTITUTE(input_affiliations," ","")&amp;",")))=0)),IF(S190="",TRUE,IF(input_affiliations="",FALSE,SUMPRODUCT(--ISNUMBER(SEARCH(","&amp;TRIM(TEXTSPLIT(S190,","))&amp;",",","&amp;SUBSTITUTE(input_affiliations," ","")&amp;",")))&gt;0)),IF(U190="",TRUE,IF(input_affiliations="",FALSE,SUMPRODUCT(--ISNUMBER(SEARCH(","&amp;TRIM(TEXTSPLIT(U190,","))&amp;",",","&amp;SUBSTITUTE(input_affiliations," ","")&amp;",")))=COUNTA(TEXTSPLIT(U190,",")))))</f>
        <v/>
      </c>
      <c r="IU190" s="19">
        <f>AND(IF(W190="",TRUE,IF(input_announcement_category="",FALSE,SUMPRODUCT(--ISNUMBER(SEARCH(","&amp;TRIM(TEXTSPLIT(W190,","))&amp;",",","&amp;SUBSTITUTE(input_announcement_category," ","")&amp;",")))&gt;0)),IF(Y190="",TRUE,IF(input_announcement_category="",FALSE,SUMPRODUCT(--ISNUMBER(SEARCH(","&amp;TRIM(TEXTSPLIT(Y190,","))&amp;",",","&amp;SUBSTITUTE(input_announcement_category," ","")&amp;",")))=COUNTA(TEXTSPLIT(Y190,",")))),IF(AA190="",TRUE,IF(input_announcement_category="",TRUE,SUMPRODUCT(--ISNUMBER(SEARCH(","&amp;TRIM(TEXTSPLIT(AA190,","))&amp;",",","&amp;SUBSTITUTE(input_announcement_category," ","")&amp;",")))=0)),IF(AC190="",TRUE,IF(input_announcement_category="",FALSE,SUMPRODUCT(--ISNUMBER(SEARCH(","&amp;TRIM(TEXTSPLIT(AC190,","))&amp;",",","&amp;SUBSTITUTE(input_announcement_category," ","")&amp;",")))&gt;0)),IF(AE190="",TRUE,IF(input_announcement_category="",FALSE,SUMPRODUCT(--ISNUMBER(SEARCH(","&amp;TRIM(TEXTSPLIT(AE190,","))&amp;",",","&amp;SUBSTITUTE(input_announcement_category," ","")&amp;",")))=COUNTA(TEXTSPLIT(AE190,",")))))</f>
        <v/>
      </c>
      <c r="IV190" s="19">
        <f>AND(IF(AG190="",TRUE,IF(input_area_of_focus="",FALSE,SUMPRODUCT(--ISNUMBER(SEARCH(","&amp;TRIM(TEXTSPLIT(AG190,","))&amp;",",","&amp;SUBSTITUTE(input_area_of_focus," ","")&amp;",")))&gt;0)),IF(AI190="",TRUE,IF(input_area_of_focus="",FALSE,SUMPRODUCT(--ISNUMBER(SEARCH(","&amp;TRIM(TEXTSPLIT(AI190,","))&amp;",",","&amp;SUBSTITUTE(input_area_of_focus," ","")&amp;",")))=COUNTA(TEXTSPLIT(AI190,",")))),IF(AK190="",TRUE,IF(input_area_of_focus="",TRUE,SUMPRODUCT(--ISNUMBER(SEARCH(","&amp;TRIM(TEXTSPLIT(AK190,","))&amp;",",","&amp;SUBSTITUTE(input_area_of_focus," ","")&amp;",")))=0)),IF(AM190="",TRUE,IF(input_area_of_focus="",FALSE,SUMPRODUCT(--ISNUMBER(SEARCH(","&amp;TRIM(TEXTSPLIT(AM190,","))&amp;",",","&amp;SUBSTITUTE(input_area_of_focus," ","")&amp;",")))&gt;0)),IF(AO190="",TRUE,IF(input_area_of_focus="",FALSE,SUMPRODUCT(--ISNUMBER(SEARCH(","&amp;TRIM(TEXTSPLIT(AO190,","))&amp;",",","&amp;SUBSTITUTE(input_area_of_focus," ","")&amp;",")))=COUNTA(TEXTSPLIT(AO190,",")))))</f>
        <v/>
      </c>
      <c r="IW190" s="19">
        <f>AND(IF(AQ190="",TRUE,IF(input_audience="",FALSE,SUMPRODUCT(--ISNUMBER(SEARCH(","&amp;TRIM(TEXTSPLIT(AQ190,","))&amp;",",","&amp;SUBSTITUTE(input_audience," ","")&amp;",")))&gt;0)),IF(AS190="",TRUE,IF(input_audience="",FALSE,SUMPRODUCT(--ISNUMBER(SEARCH(","&amp;TRIM(TEXTSPLIT(AS190,","))&amp;",",","&amp;SUBSTITUTE(input_audience," ","")&amp;",")))=COUNTA(TEXTSPLIT(AS190,",")))),IF(AU190="",TRUE,IF(input_audience="",TRUE,SUMPRODUCT(--ISNUMBER(SEARCH(","&amp;TRIM(TEXTSPLIT(AU190,","))&amp;",",","&amp;SUBSTITUTE(input_audience," ","")&amp;",")))=0)),IF(AW190="",TRUE,IF(input_audience="",FALSE,SUMPRODUCT(--ISNUMBER(SEARCH(","&amp;TRIM(TEXTSPLIT(AW190,","))&amp;",",","&amp;SUBSTITUTE(input_audience," ","")&amp;",")))&gt;0)),IF(AY190="",TRUE,IF(input_audience="",FALSE,SUMPRODUCT(--ISNUMBER(SEARCH(","&amp;TRIM(TEXTSPLIT(AY190,","))&amp;",",","&amp;SUBSTITUTE(input_audience," ","")&amp;",")))=COUNTA(TEXTSPLIT(AY190,",")))))</f>
        <v/>
      </c>
      <c r="IX190" s="19">
        <f>AND(IF(BA190="",TRUE,IF(input_challenge_opportunities="",FALSE,SUMPRODUCT(--ISNUMBER(SEARCH(","&amp;TRIM(TEXTSPLIT(BA190,","))&amp;",",","&amp;SUBSTITUTE(input_challenge_opportunities," ","")&amp;",")))&gt;0)),IF(BC190="",TRUE,IF(input_challenge_opportunities="",FALSE,SUMPRODUCT(--ISNUMBER(SEARCH(","&amp;TRIM(TEXTSPLIT(BC190,","))&amp;",",","&amp;SUBSTITUTE(input_challenge_opportunities," ","")&amp;",")))=COUNTA(TEXTSPLIT(BC190,",")))),IF(BE190="",TRUE,IF(input_challenge_opportunities="",TRUE,SUMPRODUCT(--ISNUMBER(SEARCH(","&amp;TRIM(TEXTSPLIT(BE190,","))&amp;",",","&amp;SUBSTITUTE(input_challenge_opportunities," ","")&amp;",")))=0)),IF(BG190="",TRUE,IF(input_challenge_opportunities="",FALSE,SUMPRODUCT(--ISNUMBER(SEARCH(","&amp;TRIM(TEXTSPLIT(BG190,","))&amp;",",","&amp;SUBSTITUTE(input_challenge_opportunities," ","")&amp;",")))&gt;0)),IF(BI190="",TRUE,IF(input_challenge_opportunities="",FALSE,SUMPRODUCT(--ISNUMBER(SEARCH(","&amp;TRIM(TEXTSPLIT(BI190,","))&amp;",",","&amp;SUBSTITUTE(input_challenge_opportunities," ","")&amp;",")))=COUNTA(TEXTSPLIT(BI190,",")))))</f>
        <v/>
      </c>
      <c r="IY190" s="19">
        <f>AND(IF(BK190="",TRUE,IF(input_context="",FALSE,SUMPRODUCT(--ISNUMBER(SEARCH(","&amp;TRIM(TEXTSPLIT(BK190,","))&amp;",",","&amp;SUBSTITUTE(input_context," ","")&amp;",")))&gt;0)),IF(BM190="",TRUE,IF(input_context="",FALSE,SUMPRODUCT(--ISNUMBER(SEARCH(","&amp;TRIM(TEXTSPLIT(BM190,","))&amp;",",","&amp;SUBSTITUTE(input_context," ","")&amp;",")))=COUNTA(TEXTSPLIT(BM190,",")))),IF(BO190="",TRUE,IF(input_context="",TRUE,SUMPRODUCT(--ISNUMBER(SEARCH(","&amp;TRIM(TEXTSPLIT(BO190,","))&amp;",",","&amp;SUBSTITUTE(input_context," ","")&amp;",")))=0)),IF(BQ190="",TRUE,IF(input_context="",FALSE,SUMPRODUCT(--ISNUMBER(SEARCH(","&amp;TRIM(TEXTSPLIT(BQ190,","))&amp;",",","&amp;SUBSTITUTE(input_context," ","")&amp;",")))&gt;0)),IF(BS190="",TRUE,IF(input_context="",FALSE,SUMPRODUCT(--ISNUMBER(SEARCH(","&amp;TRIM(TEXTSPLIT(BS190,","))&amp;",",","&amp;SUBSTITUTE(input_context," ","")&amp;",")))=COUNTA(TEXTSPLIT(BS190,",")))))</f>
        <v/>
      </c>
      <c r="IZ190" s="19">
        <f>AND(IF(BU190="",TRUE,IF(input_enews_announcement_type="",FALSE,SUMPRODUCT(--ISNUMBER(SEARCH(","&amp;TRIM(TEXTSPLIT(BU190,","))&amp;",",","&amp;SUBSTITUTE(input_enews_announcement_type," ","")&amp;",")))&gt;0)),IF(BW190="",TRUE,IF(input_enews_announcement_type="",FALSE,SUMPRODUCT(--ISNUMBER(SEARCH(","&amp;TRIM(TEXTSPLIT(BW190,","))&amp;",",","&amp;SUBSTITUTE(input_enews_announcement_type," ","")&amp;",")))=COUNTA(TEXTSPLIT(BW190,",")))),IF(BY190="",TRUE,IF(input_enews_announcement_type="",TRUE,SUMPRODUCT(--ISNUMBER(SEARCH(","&amp;TRIM(TEXTSPLIT(BY190,","))&amp;",",","&amp;SUBSTITUTE(input_enews_announcement_type," ","")&amp;",")))=0)),IF(CA190="",TRUE,IF(input_enews_announcement_type="",FALSE,SUMPRODUCT(--ISNUMBER(SEARCH(","&amp;TRIM(TEXTSPLIT(CA190,","))&amp;",",","&amp;SUBSTITUTE(input_enews_announcement_type," ","")&amp;",")))&gt;0)),IF(CC190="",TRUE,IF(input_enews_announcement_type="",FALSE,SUMPRODUCT(--ISNUMBER(SEARCH(","&amp;TRIM(TEXTSPLIT(CC190,","))&amp;",",","&amp;SUBSTITUTE(input_enews_announcement_type," ","")&amp;",")))=COUNTA(TEXTSPLIT(CC190,",")))))</f>
        <v/>
      </c>
      <c r="JA190" s="19">
        <f>AND(IF(CE190="",TRUE,IF(input_enews_audience="",FALSE,SUMPRODUCT(--ISNUMBER(SEARCH(","&amp;TRIM(TEXTSPLIT(CE190,","))&amp;",",","&amp;SUBSTITUTE(input_enews_audience," ","")&amp;",")))&gt;0)),IF(CG190="",TRUE,IF(input_enews_audience="",FALSE,SUMPRODUCT(--ISNUMBER(SEARCH(","&amp;TRIM(TEXTSPLIT(CG190,","))&amp;",",","&amp;SUBSTITUTE(input_enews_audience," ","")&amp;",")))=COUNTA(TEXTSPLIT(CG190,",")))),IF(CI190="",TRUE,IF(input_enews_audience="",TRUE,SUMPRODUCT(--ISNUMBER(SEARCH(","&amp;TRIM(TEXTSPLIT(CI190,","))&amp;",",","&amp;SUBSTITUTE(input_enews_audience," ","")&amp;",")))=0)),IF(CK190="",TRUE,IF(input_enews_audience="",FALSE,SUMPRODUCT(--ISNUMBER(SEARCH(","&amp;TRIM(TEXTSPLIT(CK190,","))&amp;",",","&amp;SUBSTITUTE(input_enews_audience," ","")&amp;",")))&gt;0)),IF(CM190="",TRUE,IF(input_enews_audience="",FALSE,SUMPRODUCT(--ISNUMBER(SEARCH(","&amp;TRIM(TEXTSPLIT(CM190,","))&amp;",",","&amp;SUBSTITUTE(input_enews_audience," ","")&amp;",")))=COUNTA(TEXTSPLIT(CM190,",")))))</f>
        <v/>
      </c>
      <c r="JB190" s="19">
        <f>AND(IF(CO190="",TRUE,IF(input_event_location="",FALSE,SUMPRODUCT(--ISNUMBER(SEARCH(","&amp;TRIM(TEXTSPLIT(CO190,","))&amp;",",","&amp;SUBSTITUTE(input_event_location," ","")&amp;",")))&gt;0)),IF(CQ190="",TRUE,IF(input_event_location="",FALSE,SUMPRODUCT(--ISNUMBER(SEARCH(","&amp;TRIM(TEXTSPLIT(CQ190,","))&amp;",",","&amp;SUBSTITUTE(input_event_location," ","")&amp;",")))=COUNTA(TEXTSPLIT(CQ190,",")))),IF(CS190="",TRUE,IF(input_event_location="",TRUE,SUMPRODUCT(--ISNUMBER(SEARCH(","&amp;TRIM(TEXTSPLIT(CS190,","))&amp;",",","&amp;SUBSTITUTE(input_event_location," ","")&amp;",")))=0)),IF(CU190="",TRUE,IF(input_event_location="",FALSE,SUMPRODUCT(--ISNUMBER(SEARCH(","&amp;TRIM(TEXTSPLIT(CU190,","))&amp;",",","&amp;SUBSTITUTE(input_event_location," ","")&amp;",")))&gt;0)),IF(CW190="",TRUE,IF(input_event_location="",FALSE,SUMPRODUCT(--ISNUMBER(SEARCH(","&amp;TRIM(TEXTSPLIT(CW190,","))&amp;",",","&amp;SUBSTITUTE(input_event_location," ","")&amp;",")))=COUNTA(TEXTSPLIT(CW190,",")))))</f>
        <v/>
      </c>
      <c r="JC190" s="19">
        <f>AND(IF(CY190="",TRUE,IF(input_event_type="",FALSE,SUMPRODUCT(--ISNUMBER(SEARCH(","&amp;TRIM(TEXTSPLIT(CY190,","))&amp;",",","&amp;SUBSTITUTE(input_event_type," ","")&amp;",")))&gt;0)),IF(DA190="",TRUE,IF(input_event_type="",FALSE,SUMPRODUCT(--ISNUMBER(SEARCH(","&amp;TRIM(TEXTSPLIT(DA190,","))&amp;",",","&amp;SUBSTITUTE(input_event_type," ","")&amp;",")))=COUNTA(TEXTSPLIT(DA190,",")))),IF(DC190="",TRUE,IF(input_event_type="",TRUE,SUMPRODUCT(--ISNUMBER(SEARCH(","&amp;TRIM(TEXTSPLIT(DC190,","))&amp;",",","&amp;SUBSTITUTE(input_event_type," ","")&amp;",")))=0)),IF(DE190="",TRUE,IF(input_event_type="",FALSE,SUMPRODUCT(--ISNUMBER(SEARCH(","&amp;TRIM(TEXTSPLIT(DE190,","))&amp;",",","&amp;SUBSTITUTE(input_event_type," ","")&amp;",")))&gt;0)),IF(DG190="",TRUE,IF(input_event_type="",FALSE,SUMPRODUCT(--ISNUMBER(SEARCH(","&amp;TRIM(TEXTSPLIT(DG190,","))&amp;",",","&amp;SUBSTITUTE(input_event_type," ","")&amp;",")))=COUNTA(TEXTSPLIT(DG190,",")))))</f>
        <v/>
      </c>
      <c r="JD190" s="19">
        <f>AND(IF(DI190="",TRUE,IF(input_executive_education_focus="",FALSE,SUMPRODUCT(--ISNUMBER(SEARCH(","&amp;TRIM(TEXTSPLIT(DI190,","))&amp;",",","&amp;SUBSTITUTE(input_executive_education_focus," ","")&amp;",")))&gt;0)),IF(DK190="",TRUE,IF(input_executive_education_focus="",FALSE,SUMPRODUCT(--ISNUMBER(SEARCH(","&amp;TRIM(TEXTSPLIT(DK190,","))&amp;",",","&amp;SUBSTITUTE(input_executive_education_focus," ","")&amp;",")))=COUNTA(TEXTSPLIT(DK190,",")))),IF(DM190="",TRUE,IF(input_executive_education_focus="",TRUE,SUMPRODUCT(--ISNUMBER(SEARCH(","&amp;TRIM(TEXTSPLIT(DM190,","))&amp;",",","&amp;SUBSTITUTE(input_executive_education_focus," ","")&amp;",")))=0)),IF(DO190="",TRUE,IF(input_executive_education_focus="",FALSE,SUMPRODUCT(--ISNUMBER(SEARCH(","&amp;TRIM(TEXTSPLIT(DO190,","))&amp;",",","&amp;SUBSTITUTE(input_executive_education_focus," ","")&amp;",")))&gt;0)),IF(DQ190="",TRUE,IF(input_executive_education_focus="",FALSE,SUMPRODUCT(--ISNUMBER(SEARCH(","&amp;TRIM(TEXTSPLIT(DQ190,","))&amp;",",","&amp;SUBSTITUTE(input_executive_education_focus," ","")&amp;",")))=COUNTA(TEXTSPLIT(DQ190,",")))))</f>
        <v/>
      </c>
      <c r="JE190" s="19">
        <f>AND(IF(DS190="",TRUE,IF(input_faculty_category="",FALSE,SUMPRODUCT(--ISNUMBER(SEARCH(","&amp;TRIM(TEXTSPLIT(DS190,","))&amp;",",","&amp;SUBSTITUTE(input_faculty_category," ","")&amp;",")))&gt;0)),IF(DU190="",TRUE,IF(input_faculty_category="",FALSE,SUMPRODUCT(--ISNUMBER(SEARCH(","&amp;TRIM(TEXTSPLIT(DU190,","))&amp;",",","&amp;SUBSTITUTE(input_faculty_category," ","")&amp;",")))=COUNTA(TEXTSPLIT(DU190,",")))),IF(DW190="",TRUE,IF(input_faculty_category="",TRUE,SUMPRODUCT(--ISNUMBER(SEARCH(","&amp;TRIM(TEXTSPLIT(DW190,","))&amp;",",","&amp;SUBSTITUTE(input_faculty_category," ","")&amp;",")))=0)),IF(DY190="",TRUE,IF(input_faculty_category="",FALSE,SUMPRODUCT(--ISNUMBER(SEARCH(","&amp;TRIM(TEXTSPLIT(DY190,","))&amp;",",","&amp;SUBSTITUTE(input_faculty_category," ","")&amp;",")))&gt;0)),IF(EA190="",TRUE,IF(input_faculty_category="",FALSE,SUMPRODUCT(--ISNUMBER(SEARCH(","&amp;TRIM(TEXTSPLIT(EA190,","))&amp;",",","&amp;SUBSTITUTE(input_faculty_category," ","")&amp;",")))=COUNTA(TEXTSPLIT(EA190,",")))))</f>
        <v/>
      </c>
      <c r="JF190" s="19">
        <f>AND(IF(EC190="",TRUE,IF(input_faculty_discipline="",FALSE,SUMPRODUCT(--ISNUMBER(SEARCH(","&amp;TRIM(TEXTSPLIT(EC190,","))&amp;",",","&amp;SUBSTITUTE(input_faculty_discipline," ","")&amp;",")))&gt;0)),IF(EE190="",TRUE,IF(input_faculty_discipline="",FALSE,SUMPRODUCT(--ISNUMBER(SEARCH(","&amp;TRIM(TEXTSPLIT(EE190,","))&amp;",",","&amp;SUBSTITUTE(input_faculty_discipline," ","")&amp;",")))=COUNTA(TEXTSPLIT(EE190,",")))),IF(EG190="",TRUE,IF(input_faculty_discipline="",TRUE,SUMPRODUCT(--ISNUMBER(SEARCH(","&amp;TRIM(TEXTSPLIT(EG190,","))&amp;",",","&amp;SUBSTITUTE(input_faculty_discipline," ","")&amp;",")))=0)),IF(EI190="",TRUE,IF(input_faculty_discipline="",FALSE,SUMPRODUCT(--ISNUMBER(SEARCH(","&amp;TRIM(TEXTSPLIT(EI190,","))&amp;",",","&amp;SUBSTITUTE(input_faculty_discipline," ","")&amp;",")))&gt;0)),IF(EK190="",TRUE,IF(input_faculty_discipline="",FALSE,SUMPRODUCT(--ISNUMBER(SEARCH(","&amp;TRIM(TEXTSPLIT(EK190,","))&amp;",",","&amp;SUBSTITUTE(input_faculty_discipline," ","")&amp;",")))=COUNTA(TEXTSPLIT(EK190,",")))))</f>
        <v/>
      </c>
      <c r="JG190" s="19">
        <f>AND(IF(EM190="",TRUE,IF(input_faculty_expertise="",FALSE,SUMPRODUCT(--ISNUMBER(SEARCH(","&amp;TRIM(TEXTSPLIT(EM190,","))&amp;",",","&amp;SUBSTITUTE(input_faculty_expertise," ","")&amp;",")))&gt;0)),IF(EO190="",TRUE,IF(input_faculty_expertise="",FALSE,SUMPRODUCT(--ISNUMBER(SEARCH(","&amp;TRIM(TEXTSPLIT(EO190,","))&amp;",",","&amp;SUBSTITUTE(input_faculty_expertise," ","")&amp;",")))=COUNTA(TEXTSPLIT(EO190,",")))),IF(EQ190="",TRUE,IF(input_faculty_expertise="",TRUE,SUMPRODUCT(--ISNUMBER(SEARCH(","&amp;TRIM(TEXTSPLIT(EQ190,","))&amp;",",","&amp;SUBSTITUTE(input_faculty_expertise," ","")&amp;",")))=0)),IF(ES190="",TRUE,IF(input_faculty_expertise="",FALSE,SUMPRODUCT(--ISNUMBER(SEARCH(","&amp;TRIM(TEXTSPLIT(ES190,","))&amp;",",","&amp;SUBSTITUTE(input_faculty_expertise," ","")&amp;",")))&gt;0)),IF(EU190="",TRUE,IF(input_faculty_expertise="",FALSE,SUMPRODUCT(--ISNUMBER(SEARCH(","&amp;TRIM(TEXTSPLIT(EU190,","))&amp;",",","&amp;SUBSTITUTE(input_faculty_expertise," ","")&amp;",")))=COUNTA(TEXTSPLIT(EU190,",")))))</f>
        <v/>
      </c>
      <c r="JH190" s="19">
        <f>AND(IF(EW190="",TRUE,IF(input_global_network_school="",FALSE,SUMPRODUCT(--ISNUMBER(SEARCH(","&amp;TRIM(TEXTSPLIT(EW190,","))&amp;",",","&amp;SUBSTITUTE(input_global_network_school," ","")&amp;",")))&gt;0)),IF(EY190="",TRUE,IF(input_global_network_school="",FALSE,SUMPRODUCT(--ISNUMBER(SEARCH(","&amp;TRIM(TEXTSPLIT(EY190,","))&amp;",",","&amp;SUBSTITUTE(input_global_network_school," ","")&amp;",")))=COUNTA(TEXTSPLIT(EY190,",")))),IF(FA190="",TRUE,IF(input_global_network_school="",TRUE,SUMPRODUCT(--ISNUMBER(SEARCH(","&amp;TRIM(TEXTSPLIT(FA190,","))&amp;",",","&amp;SUBSTITUTE(input_global_network_school," ","")&amp;",")))=0)),IF(FC190="",TRUE,IF(input_global_network_school="",FALSE,SUMPRODUCT(--ISNUMBER(SEARCH(","&amp;TRIM(TEXTSPLIT(FC190,","))&amp;",",","&amp;SUBSTITUTE(input_global_network_school," ","")&amp;",")))&gt;0)),IF(FE190="",TRUE,IF(input_global_network_school="",FALSE,SUMPRODUCT(--ISNUMBER(SEARCH(","&amp;TRIM(TEXTSPLIT(FE190,","))&amp;",",","&amp;SUBSTITUTE(input_global_network_school," ","")&amp;",")))=COUNTA(TEXTSPLIT(FE190,",")))))</f>
        <v/>
      </c>
      <c r="JI190" s="19">
        <f>AND(IF(FG190="",TRUE,IF(input_industry="",FALSE,SUMPRODUCT(--ISNUMBER(SEARCH(","&amp;TRIM(TEXTSPLIT(FG190,","))&amp;",",","&amp;SUBSTITUTE(input_industry," ","")&amp;",")))&gt;0)),IF(FI190="",TRUE,IF(input_industry="",FALSE,SUMPRODUCT(--ISNUMBER(SEARCH(","&amp;TRIM(TEXTSPLIT(FI190,","))&amp;",",","&amp;SUBSTITUTE(input_industry," ","")&amp;",")))=COUNTA(TEXTSPLIT(FI190,",")))),IF(FK190="",TRUE,IF(input_industry="",TRUE,SUMPRODUCT(--ISNUMBER(SEARCH(","&amp;TRIM(TEXTSPLIT(FK190,","))&amp;",",","&amp;SUBSTITUTE(input_industry," ","")&amp;",")))=0)),IF(FM190="",TRUE,IF(input_industry="",FALSE,SUMPRODUCT(--ISNUMBER(SEARCH(","&amp;TRIM(TEXTSPLIT(FM190,","))&amp;",",","&amp;SUBSTITUTE(input_industry," ","")&amp;",")))&gt;0)),IF(FO190="",TRUE,IF(input_industry="",FALSE,SUMPRODUCT(--ISNUMBER(SEARCH(","&amp;TRIM(TEXTSPLIT(FO190,","))&amp;",",","&amp;SUBSTITUTE(input_industry," ","")&amp;",")))=COUNTA(TEXTSPLIT(FO190,",")))))</f>
        <v/>
      </c>
      <c r="JJ190" s="19">
        <f>AND(IF(FQ190="",TRUE,IF(input_location="",FALSE,SUMPRODUCT(--ISNUMBER(SEARCH(","&amp;TRIM(TEXTSPLIT(FQ190,","))&amp;",",","&amp;SUBSTITUTE(input_location," ","")&amp;",")))&gt;0)),IF(FS190="",TRUE,IF(input_location="",FALSE,SUMPRODUCT(--ISNUMBER(SEARCH(","&amp;TRIM(TEXTSPLIT(FS190,","))&amp;",",","&amp;SUBSTITUTE(input_location," ","")&amp;",")))=COUNTA(TEXTSPLIT(FS190,",")))),IF(FU190="",TRUE,IF(input_location="",TRUE,SUMPRODUCT(--ISNUMBER(SEARCH(","&amp;TRIM(TEXTSPLIT(FU190,","))&amp;",",","&amp;SUBSTITUTE(input_location," ","")&amp;",")))=0)),IF(FW190="",TRUE,IF(input_location="",FALSE,SUMPRODUCT(--ISNUMBER(SEARCH(","&amp;TRIM(TEXTSPLIT(FW190,","))&amp;",",","&amp;SUBSTITUTE(input_location," ","")&amp;",")))&gt;0)),IF(FY190="",TRUE,IF(input_location="",FALSE,SUMPRODUCT(--ISNUMBER(SEARCH(","&amp;TRIM(TEXTSPLIT(FY190,","))&amp;",",","&amp;SUBSTITUTE(input_location," ","")&amp;",")))=COUNTA(TEXTSPLIT(FY190,",")))))</f>
        <v/>
      </c>
      <c r="JK190" s="19">
        <f>AND(IF(GA190="",TRUE,IF(input_modality="",FALSE,SUMPRODUCT(--ISNUMBER(SEARCH(","&amp;TRIM(TEXTSPLIT(GA190,","))&amp;",",","&amp;SUBSTITUTE(input_modality," ","")&amp;",")))&gt;0)),IF(GC190="",TRUE,IF(input_modality="",FALSE,SUMPRODUCT(--ISNUMBER(SEARCH(","&amp;TRIM(TEXTSPLIT(GC190,","))&amp;",",","&amp;SUBSTITUTE(input_modality," ","")&amp;",")))=COUNTA(TEXTSPLIT(GC190,",")))),IF(GE190="",TRUE,IF(input_modality="",TRUE,SUMPRODUCT(--ISNUMBER(SEARCH(","&amp;TRIM(TEXTSPLIT(GE190,","))&amp;",",","&amp;SUBSTITUTE(input_modality," ","")&amp;",")))=0)),IF(GG190="",TRUE,IF(input_modality="",FALSE,SUMPRODUCT(--ISNUMBER(SEARCH(","&amp;TRIM(TEXTSPLIT(GG190,","))&amp;",",","&amp;SUBSTITUTE(input_modality," ","")&amp;",")))&gt;0)),IF(GI190="",TRUE,IF(input_modality="",FALSE,SUMPRODUCT(--ISNUMBER(SEARCH(","&amp;TRIM(TEXTSPLIT(GI190,","))&amp;",",","&amp;SUBSTITUTE(input_modality," ","")&amp;",")))=COUNTA(TEXTSPLIT(GI190,",")))))</f>
        <v/>
      </c>
      <c r="JL190" s="19">
        <f>AND(IF(GK190="",TRUE,IF(input_organizer="",FALSE,SUMPRODUCT(--ISNUMBER(SEARCH(","&amp;TRIM(TEXTSPLIT(GK190,","))&amp;",",","&amp;SUBSTITUTE(input_organizer," ","")&amp;",")))&gt;0)),IF(GM190="",TRUE,IF(input_organizer="",FALSE,SUMPRODUCT(--ISNUMBER(SEARCH(","&amp;TRIM(TEXTSPLIT(GM190,","))&amp;",",","&amp;SUBSTITUTE(input_organizer," ","")&amp;",")))=COUNTA(TEXTSPLIT(GM190,",")))),IF(GO190="",TRUE,IF(input_organizer="",TRUE,SUMPRODUCT(--ISNUMBER(SEARCH(","&amp;TRIM(TEXTSPLIT(GO190,","))&amp;",",","&amp;SUBSTITUTE(input_organizer," ","")&amp;",")))=0)),IF(GQ190="",TRUE,IF(input_organizer="",FALSE,SUMPRODUCT(--ISNUMBER(SEARCH(","&amp;TRIM(TEXTSPLIT(GQ190,","))&amp;",",","&amp;SUBSTITUTE(input_organizer," ","")&amp;",")))&gt;0)),IF(GS190="",TRUE,IF(input_organizer="",FALSE,SUMPRODUCT(--ISNUMBER(SEARCH(","&amp;TRIM(TEXTSPLIT(GS190,","))&amp;",",","&amp;SUBSTITUTE(input_organizer," ","")&amp;",")))=COUNTA(TEXTSPLIT(GS190,",")))))</f>
        <v/>
      </c>
      <c r="JM190" s="19">
        <f>AND(IF(GU190="",TRUE,IF(input_profile_type="",FALSE,SUMPRODUCT(--ISNUMBER(SEARCH(","&amp;TRIM(TEXTSPLIT(GU190,","))&amp;",",","&amp;SUBSTITUTE(input_profile_type," ","")&amp;",")))&gt;0)),IF(GW190="",TRUE,IF(input_profile_type="",FALSE,SUMPRODUCT(--ISNUMBER(SEARCH(","&amp;TRIM(TEXTSPLIT(GW190,","))&amp;",",","&amp;SUBSTITUTE(input_profile_type," ","")&amp;",")))=COUNTA(TEXTSPLIT(GW190,",")))),IF(GY190="",TRUE,IF(input_profile_type="",TRUE,SUMPRODUCT(--ISNUMBER(SEARCH(","&amp;TRIM(TEXTSPLIT(GY190,","))&amp;",",","&amp;SUBSTITUTE(input_profile_type," ","")&amp;",")))=0)),IF(HA190="",TRUE,IF(input_profile_type="",FALSE,SUMPRODUCT(--ISNUMBER(SEARCH(","&amp;TRIM(TEXTSPLIT(HA190,","))&amp;",",","&amp;SUBSTITUTE(input_profile_type," ","")&amp;",")))&gt;0)),IF(HC190="",TRUE,IF(input_profile_type="",FALSE,SUMPRODUCT(--ISNUMBER(SEARCH(","&amp;TRIM(TEXTSPLIT(HC190,","))&amp;",",","&amp;SUBSTITUTE(input_profile_type," ","")&amp;",")))=COUNTA(TEXTSPLIT(HC190,",")))))</f>
        <v/>
      </c>
      <c r="JN190" s="19">
        <f>AND(IF(HE190="",TRUE,IF(input_program="",FALSE,SUMPRODUCT(--ISNUMBER(SEARCH(","&amp;TRIM(TEXTSPLIT(HE190,","))&amp;",",","&amp;SUBSTITUTE(input_program," ","")&amp;",")))&gt;0)),IF(HG190="",TRUE,IF(input_program="",FALSE,SUMPRODUCT(--ISNUMBER(SEARCH(","&amp;TRIM(TEXTSPLIT(HG190,","))&amp;",",","&amp;SUBSTITUTE(input_program," ","")&amp;",")))=COUNTA(TEXTSPLIT(HG190,",")))),IF(HI190="",TRUE,IF(input_program="",TRUE,SUMPRODUCT(--ISNUMBER(SEARCH(","&amp;TRIM(TEXTSPLIT(HI190,","))&amp;",",","&amp;SUBSTITUTE(input_program," ","")&amp;",")))=0)),IF(HK190="",TRUE,IF(input_program="",FALSE,SUMPRODUCT(--ISNUMBER(SEARCH(","&amp;TRIM(TEXTSPLIT(HK190,","))&amp;",",","&amp;SUBSTITUTE(input_program," ","")&amp;",")))&gt;0)),IF(HM190="",TRUE,IF(input_program="",FALSE,SUMPRODUCT(--ISNUMBER(SEARCH(","&amp;TRIM(TEXTSPLIT(HM190,","))&amp;",",","&amp;SUBSTITUTE(input_program," ","")&amp;",")))=COUNTA(TEXTSPLIT(HM190,",")))))</f>
        <v/>
      </c>
      <c r="JO190" s="19">
        <f>AND(IF(HO190="",TRUE,IF(input_story_categories="",FALSE,SUMPRODUCT(--ISNUMBER(SEARCH(","&amp;TRIM(TEXTSPLIT(HO190,","))&amp;",",","&amp;SUBSTITUTE(input_story_categories," ","")&amp;",")))&gt;0)),IF(HQ190="",TRUE,IF(input_story_categories="",FALSE,SUMPRODUCT(--ISNUMBER(SEARCH(","&amp;TRIM(TEXTSPLIT(HQ190,","))&amp;",",","&amp;SUBSTITUTE(input_story_categories," ","")&amp;",")))=COUNTA(TEXTSPLIT(HQ190,",")))),IF(HS190="",TRUE,IF(input_story_categories="",TRUE,SUMPRODUCT(--ISNUMBER(SEARCH(","&amp;TRIM(TEXTSPLIT(HS190,","))&amp;",",","&amp;SUBSTITUTE(input_story_categories," ","")&amp;",")))=0)),IF(HU190="",TRUE,IF(input_story_categories="",FALSE,SUMPRODUCT(--ISNUMBER(SEARCH(","&amp;TRIM(TEXTSPLIT(HU190,","))&amp;",",","&amp;SUBSTITUTE(input_story_categories," ","")&amp;",")))&gt;0)),IF(HW190="",TRUE,IF(input_story_categories="",FALSE,SUMPRODUCT(--ISNUMBER(SEARCH(","&amp;TRIM(TEXTSPLIT(HW190,","))&amp;",",","&amp;SUBSTITUTE(input_story_categories," ","")&amp;",")))=COUNTA(TEXTSPLIT(HW190,",")))))</f>
        <v/>
      </c>
      <c r="JP190" s="19">
        <f>AND(IF(HY190="",TRUE,IF(input_story_type="",FALSE,SUMPRODUCT(--ISNUMBER(SEARCH(","&amp;TRIM(TEXTSPLIT(HY190,","))&amp;",",","&amp;SUBSTITUTE(input_story_type," ","")&amp;",")))&gt;0)),IF(IA190="",TRUE,IF(input_story_type="",FALSE,SUMPRODUCT(--ISNUMBER(SEARCH(","&amp;TRIM(TEXTSPLIT(IA190,","))&amp;",",","&amp;SUBSTITUTE(input_story_type," ","")&amp;",")))=COUNTA(TEXTSPLIT(IA190,",")))),IF(IC190="",TRUE,IF(input_story_type="",TRUE,SUMPRODUCT(--ISNUMBER(SEARCH(","&amp;TRIM(TEXTSPLIT(IC190,","))&amp;",",","&amp;SUBSTITUTE(input_story_type," ","")&amp;",")))=0)),IF(IE190="",TRUE,IF(input_story_type="",FALSE,SUMPRODUCT(--ISNUMBER(SEARCH(","&amp;TRIM(TEXTSPLIT(IE190,","))&amp;",",","&amp;SUBSTITUTE(input_story_type," ","")&amp;",")))&gt;0)),IF(IG190="",TRUE,IF(input_story_type="",FALSE,SUMPRODUCT(--ISNUMBER(SEARCH(","&amp;TRIM(TEXTSPLIT(IG190,","))&amp;",",","&amp;SUBSTITUTE(input_story_type," ","")&amp;",")))=COUNTA(TEXTSPLIT(IG190,",")))))</f>
        <v/>
      </c>
      <c r="JQ190" s="19">
        <f>AND(IF(II190="",TRUE,IF(input_topics="",FALSE,SUMPRODUCT(--ISNUMBER(SEARCH(","&amp;TRIM(TEXTSPLIT(II190,","))&amp;",",","&amp;SUBSTITUTE(input_topics," ","")&amp;",")))&gt;0)),IF(IK190="",TRUE,IF(input_topics="",FALSE,SUMPRODUCT(--ISNUMBER(SEARCH(","&amp;TRIM(TEXTSPLIT(IK190,","))&amp;",",","&amp;SUBSTITUTE(input_topics," ","")&amp;",")))=COUNTA(TEXTSPLIT(IK190,",")))),IF(IM190="",TRUE,IF(input_topics="",TRUE,SUMPRODUCT(--ISNUMBER(SEARCH(","&amp;TRIM(TEXTSPLIT(IM190,","))&amp;",",","&amp;SUBSTITUTE(input_topics," ","")&amp;",")))=0)),IF(IO190="",TRUE,IF(input_topics="",FALSE,SUMPRODUCT(--ISNUMBER(SEARCH(","&amp;TRIM(TEXTSPLIT(IO190,","))&amp;",",","&amp;SUBSTITUTE(input_topics," ","")&amp;",")))&gt;0)),IF(IQ190="",TRUE,IF(input_topics="",FALSE,SUMPRODUCT(--ISNUMBER(SEARCH(","&amp;TRIM(TEXTSPLIT(IQ190,","))&amp;",",","&amp;SUBSTITUTE(input_topics," ","")&amp;",")))=COUNTA(TEXTSPLIT(IQ190,",")))))</f>
        <v/>
      </c>
    </row>
    <row r="191">
      <c r="A191" s="24">
        <f>IF(NOT(IS191),"Excluded",IF(AND(IT191,IU191,IV191,IW191,IX191,IY191,IZ191,JA191,JB191,JC191,JD191,JE191,JF191,JG191,JH191,JI191,JJ191,JK191,JL191,JM191,JN191,JO191,JP191,JQ191),IF(I191&gt;0,"Eligible but limited","Will appear"),"Excluded"))</f>
        <v/>
      </c>
      <c r="B191" s="24" t="inlineStr">
        <is>
          <t>Related stories on story pages</t>
        </is>
      </c>
      <c r="C191" s="27" t="inlineStr">
        <is>
          <t>/news/2020/05/ypfs-describes-four-phase-model-of-the-economic-consequences-of-pandemic</t>
        </is>
      </c>
      <c r="D191" s="24" t="inlineStr">
        <is>
          <t>/news/2020/05/ypfs-describes-four-phase-model-of-the-economic-consequences-of-pandemic
/story/2022/special-project-inside-cdo-machine</t>
        </is>
      </c>
      <c r="E191" s="24" t="n">
        <v>2</v>
      </c>
      <c r="F191" s="24" t="inlineStr">
        <is>
          <t>story</t>
        </is>
      </c>
      <c r="G191" s="24" t="inlineStr">
        <is>
          <t>stories_teaser_cards</t>
        </is>
      </c>
      <c r="H191" s="24" t="inlineStr">
        <is>
          <t>embed_all</t>
        </is>
      </c>
      <c r="I191" s="24" t="n">
        <v>3</v>
      </c>
      <c r="J191" s="31" t="inlineStr">
        <is>
          <t>Template logic</t>
        </is>
      </c>
      <c r="K191" s="24" t="inlineStr">
        <is>
          <t>Grouped surface</t>
        </is>
      </c>
      <c r="L191" s="24" t="inlineStr">
        <is>
          <t>Content type: story; Context uses Courses Context: Program on Financial Stability (955); Context uses Story Type: News (924); Limited to 3 item(s); Source: Template logic</t>
        </is>
      </c>
      <c r="BQ191" s="19" t="inlineStr">
        <is>
          <t>955</t>
        </is>
      </c>
      <c r="BR191" s="19" t="inlineStr">
        <is>
          <t>Program on Financial Stability (955)</t>
        </is>
      </c>
      <c r="IE191" s="19" t="inlineStr">
        <is>
          <t>924</t>
        </is>
      </c>
      <c r="IF191" s="19" t="inlineStr">
        <is>
          <t>News (924)</t>
        </is>
      </c>
      <c r="IS191" s="19">
        <f>IF(input_content_type="",FALSE,ISNUMBER(SEARCH(","&amp;LOWER(input_content_type)&amp;",",","&amp;LOWER(SUBSTITUTE(F191," ",""))&amp;",")))</f>
        <v/>
      </c>
      <c r="IT191" s="19">
        <f>AND(IF(M191="",TRUE,IF(input_affiliations="",FALSE,SUMPRODUCT(--ISNUMBER(SEARCH(","&amp;TRIM(TEXTSPLIT(M191,","))&amp;",",","&amp;SUBSTITUTE(input_affiliations," ","")&amp;",")))&gt;0)),IF(O191="",TRUE,IF(input_affiliations="",FALSE,SUMPRODUCT(--ISNUMBER(SEARCH(","&amp;TRIM(TEXTSPLIT(O191,","))&amp;",",","&amp;SUBSTITUTE(input_affiliations," ","")&amp;",")))=COUNTA(TEXTSPLIT(O191,",")))),IF(Q191="",TRUE,IF(input_affiliations="",TRUE,SUMPRODUCT(--ISNUMBER(SEARCH(","&amp;TRIM(TEXTSPLIT(Q191,","))&amp;",",","&amp;SUBSTITUTE(input_affiliations," ","")&amp;",")))=0)),IF(S191="",TRUE,IF(input_affiliations="",FALSE,SUMPRODUCT(--ISNUMBER(SEARCH(","&amp;TRIM(TEXTSPLIT(S191,","))&amp;",",","&amp;SUBSTITUTE(input_affiliations," ","")&amp;",")))&gt;0)),IF(U191="",TRUE,IF(input_affiliations="",FALSE,SUMPRODUCT(--ISNUMBER(SEARCH(","&amp;TRIM(TEXTSPLIT(U191,","))&amp;",",","&amp;SUBSTITUTE(input_affiliations," ","")&amp;",")))=COUNTA(TEXTSPLIT(U191,",")))))</f>
        <v/>
      </c>
      <c r="IU191" s="19">
        <f>AND(IF(W191="",TRUE,IF(input_announcement_category="",FALSE,SUMPRODUCT(--ISNUMBER(SEARCH(","&amp;TRIM(TEXTSPLIT(W191,","))&amp;",",","&amp;SUBSTITUTE(input_announcement_category," ","")&amp;",")))&gt;0)),IF(Y191="",TRUE,IF(input_announcement_category="",FALSE,SUMPRODUCT(--ISNUMBER(SEARCH(","&amp;TRIM(TEXTSPLIT(Y191,","))&amp;",",","&amp;SUBSTITUTE(input_announcement_category," ","")&amp;",")))=COUNTA(TEXTSPLIT(Y191,",")))),IF(AA191="",TRUE,IF(input_announcement_category="",TRUE,SUMPRODUCT(--ISNUMBER(SEARCH(","&amp;TRIM(TEXTSPLIT(AA191,","))&amp;",",","&amp;SUBSTITUTE(input_announcement_category," ","")&amp;",")))=0)),IF(AC191="",TRUE,IF(input_announcement_category="",FALSE,SUMPRODUCT(--ISNUMBER(SEARCH(","&amp;TRIM(TEXTSPLIT(AC191,","))&amp;",",","&amp;SUBSTITUTE(input_announcement_category," ","")&amp;",")))&gt;0)),IF(AE191="",TRUE,IF(input_announcement_category="",FALSE,SUMPRODUCT(--ISNUMBER(SEARCH(","&amp;TRIM(TEXTSPLIT(AE191,","))&amp;",",","&amp;SUBSTITUTE(input_announcement_category," ","")&amp;",")))=COUNTA(TEXTSPLIT(AE191,",")))))</f>
        <v/>
      </c>
      <c r="IV191" s="19">
        <f>AND(IF(AG191="",TRUE,IF(input_area_of_focus="",FALSE,SUMPRODUCT(--ISNUMBER(SEARCH(","&amp;TRIM(TEXTSPLIT(AG191,","))&amp;",",","&amp;SUBSTITUTE(input_area_of_focus," ","")&amp;",")))&gt;0)),IF(AI191="",TRUE,IF(input_area_of_focus="",FALSE,SUMPRODUCT(--ISNUMBER(SEARCH(","&amp;TRIM(TEXTSPLIT(AI191,","))&amp;",",","&amp;SUBSTITUTE(input_area_of_focus," ","")&amp;",")))=COUNTA(TEXTSPLIT(AI191,",")))),IF(AK191="",TRUE,IF(input_area_of_focus="",TRUE,SUMPRODUCT(--ISNUMBER(SEARCH(","&amp;TRIM(TEXTSPLIT(AK191,","))&amp;",",","&amp;SUBSTITUTE(input_area_of_focus," ","")&amp;",")))=0)),IF(AM191="",TRUE,IF(input_area_of_focus="",FALSE,SUMPRODUCT(--ISNUMBER(SEARCH(","&amp;TRIM(TEXTSPLIT(AM191,","))&amp;",",","&amp;SUBSTITUTE(input_area_of_focus," ","")&amp;",")))&gt;0)),IF(AO191="",TRUE,IF(input_area_of_focus="",FALSE,SUMPRODUCT(--ISNUMBER(SEARCH(","&amp;TRIM(TEXTSPLIT(AO191,","))&amp;",",","&amp;SUBSTITUTE(input_area_of_focus," ","")&amp;",")))=COUNTA(TEXTSPLIT(AO191,",")))))</f>
        <v/>
      </c>
      <c r="IW191" s="19">
        <f>AND(IF(AQ191="",TRUE,IF(input_audience="",FALSE,SUMPRODUCT(--ISNUMBER(SEARCH(","&amp;TRIM(TEXTSPLIT(AQ191,","))&amp;",",","&amp;SUBSTITUTE(input_audience," ","")&amp;",")))&gt;0)),IF(AS191="",TRUE,IF(input_audience="",FALSE,SUMPRODUCT(--ISNUMBER(SEARCH(","&amp;TRIM(TEXTSPLIT(AS191,","))&amp;",",","&amp;SUBSTITUTE(input_audience," ","")&amp;",")))=COUNTA(TEXTSPLIT(AS191,",")))),IF(AU191="",TRUE,IF(input_audience="",TRUE,SUMPRODUCT(--ISNUMBER(SEARCH(","&amp;TRIM(TEXTSPLIT(AU191,","))&amp;",",","&amp;SUBSTITUTE(input_audience," ","")&amp;",")))=0)),IF(AW191="",TRUE,IF(input_audience="",FALSE,SUMPRODUCT(--ISNUMBER(SEARCH(","&amp;TRIM(TEXTSPLIT(AW191,","))&amp;",",","&amp;SUBSTITUTE(input_audience," ","")&amp;",")))&gt;0)),IF(AY191="",TRUE,IF(input_audience="",FALSE,SUMPRODUCT(--ISNUMBER(SEARCH(","&amp;TRIM(TEXTSPLIT(AY191,","))&amp;",",","&amp;SUBSTITUTE(input_audience," ","")&amp;",")))=COUNTA(TEXTSPLIT(AY191,",")))))</f>
        <v/>
      </c>
      <c r="IX191" s="19">
        <f>AND(IF(BA191="",TRUE,IF(input_challenge_opportunities="",FALSE,SUMPRODUCT(--ISNUMBER(SEARCH(","&amp;TRIM(TEXTSPLIT(BA191,","))&amp;",",","&amp;SUBSTITUTE(input_challenge_opportunities," ","")&amp;",")))&gt;0)),IF(BC191="",TRUE,IF(input_challenge_opportunities="",FALSE,SUMPRODUCT(--ISNUMBER(SEARCH(","&amp;TRIM(TEXTSPLIT(BC191,","))&amp;",",","&amp;SUBSTITUTE(input_challenge_opportunities," ","")&amp;",")))=COUNTA(TEXTSPLIT(BC191,",")))),IF(BE191="",TRUE,IF(input_challenge_opportunities="",TRUE,SUMPRODUCT(--ISNUMBER(SEARCH(","&amp;TRIM(TEXTSPLIT(BE191,","))&amp;",",","&amp;SUBSTITUTE(input_challenge_opportunities," ","")&amp;",")))=0)),IF(BG191="",TRUE,IF(input_challenge_opportunities="",FALSE,SUMPRODUCT(--ISNUMBER(SEARCH(","&amp;TRIM(TEXTSPLIT(BG191,","))&amp;",",","&amp;SUBSTITUTE(input_challenge_opportunities," ","")&amp;",")))&gt;0)),IF(BI191="",TRUE,IF(input_challenge_opportunities="",FALSE,SUMPRODUCT(--ISNUMBER(SEARCH(","&amp;TRIM(TEXTSPLIT(BI191,","))&amp;",",","&amp;SUBSTITUTE(input_challenge_opportunities," ","")&amp;",")))=COUNTA(TEXTSPLIT(BI191,",")))))</f>
        <v/>
      </c>
      <c r="IY191" s="19">
        <f>AND(IF(BK191="",TRUE,IF(input_context="",FALSE,SUMPRODUCT(--ISNUMBER(SEARCH(","&amp;TRIM(TEXTSPLIT(BK191,","))&amp;",",","&amp;SUBSTITUTE(input_context," ","")&amp;",")))&gt;0)),IF(BM191="",TRUE,IF(input_context="",FALSE,SUMPRODUCT(--ISNUMBER(SEARCH(","&amp;TRIM(TEXTSPLIT(BM191,","))&amp;",",","&amp;SUBSTITUTE(input_context," ","")&amp;",")))=COUNTA(TEXTSPLIT(BM191,",")))),IF(BO191="",TRUE,IF(input_context="",TRUE,SUMPRODUCT(--ISNUMBER(SEARCH(","&amp;TRIM(TEXTSPLIT(BO191,","))&amp;",",","&amp;SUBSTITUTE(input_context," ","")&amp;",")))=0)),IF(BQ191="",TRUE,IF(input_context="",FALSE,SUMPRODUCT(--ISNUMBER(SEARCH(","&amp;TRIM(TEXTSPLIT(BQ191,","))&amp;",",","&amp;SUBSTITUTE(input_context," ","")&amp;",")))&gt;0)),IF(BS191="",TRUE,IF(input_context="",FALSE,SUMPRODUCT(--ISNUMBER(SEARCH(","&amp;TRIM(TEXTSPLIT(BS191,","))&amp;",",","&amp;SUBSTITUTE(input_context," ","")&amp;",")))=COUNTA(TEXTSPLIT(BS191,",")))))</f>
        <v/>
      </c>
      <c r="IZ191" s="19">
        <f>AND(IF(BU191="",TRUE,IF(input_enews_announcement_type="",FALSE,SUMPRODUCT(--ISNUMBER(SEARCH(","&amp;TRIM(TEXTSPLIT(BU191,","))&amp;",",","&amp;SUBSTITUTE(input_enews_announcement_type," ","")&amp;",")))&gt;0)),IF(BW191="",TRUE,IF(input_enews_announcement_type="",FALSE,SUMPRODUCT(--ISNUMBER(SEARCH(","&amp;TRIM(TEXTSPLIT(BW191,","))&amp;",",","&amp;SUBSTITUTE(input_enews_announcement_type," ","")&amp;",")))=COUNTA(TEXTSPLIT(BW191,",")))),IF(BY191="",TRUE,IF(input_enews_announcement_type="",TRUE,SUMPRODUCT(--ISNUMBER(SEARCH(","&amp;TRIM(TEXTSPLIT(BY191,","))&amp;",",","&amp;SUBSTITUTE(input_enews_announcement_type," ","")&amp;",")))=0)),IF(CA191="",TRUE,IF(input_enews_announcement_type="",FALSE,SUMPRODUCT(--ISNUMBER(SEARCH(","&amp;TRIM(TEXTSPLIT(CA191,","))&amp;",",","&amp;SUBSTITUTE(input_enews_announcement_type," ","")&amp;",")))&gt;0)),IF(CC191="",TRUE,IF(input_enews_announcement_type="",FALSE,SUMPRODUCT(--ISNUMBER(SEARCH(","&amp;TRIM(TEXTSPLIT(CC191,","))&amp;",",","&amp;SUBSTITUTE(input_enews_announcement_type," ","")&amp;",")))=COUNTA(TEXTSPLIT(CC191,",")))))</f>
        <v/>
      </c>
      <c r="JA191" s="19">
        <f>AND(IF(CE191="",TRUE,IF(input_enews_audience="",FALSE,SUMPRODUCT(--ISNUMBER(SEARCH(","&amp;TRIM(TEXTSPLIT(CE191,","))&amp;",",","&amp;SUBSTITUTE(input_enews_audience," ","")&amp;",")))&gt;0)),IF(CG191="",TRUE,IF(input_enews_audience="",FALSE,SUMPRODUCT(--ISNUMBER(SEARCH(","&amp;TRIM(TEXTSPLIT(CG191,","))&amp;",",","&amp;SUBSTITUTE(input_enews_audience," ","")&amp;",")))=COUNTA(TEXTSPLIT(CG191,",")))),IF(CI191="",TRUE,IF(input_enews_audience="",TRUE,SUMPRODUCT(--ISNUMBER(SEARCH(","&amp;TRIM(TEXTSPLIT(CI191,","))&amp;",",","&amp;SUBSTITUTE(input_enews_audience," ","")&amp;",")))=0)),IF(CK191="",TRUE,IF(input_enews_audience="",FALSE,SUMPRODUCT(--ISNUMBER(SEARCH(","&amp;TRIM(TEXTSPLIT(CK191,","))&amp;",",","&amp;SUBSTITUTE(input_enews_audience," ","")&amp;",")))&gt;0)),IF(CM191="",TRUE,IF(input_enews_audience="",FALSE,SUMPRODUCT(--ISNUMBER(SEARCH(","&amp;TRIM(TEXTSPLIT(CM191,","))&amp;",",","&amp;SUBSTITUTE(input_enews_audience," ","")&amp;",")))=COUNTA(TEXTSPLIT(CM191,",")))))</f>
        <v/>
      </c>
      <c r="JB191" s="19">
        <f>AND(IF(CO191="",TRUE,IF(input_event_location="",FALSE,SUMPRODUCT(--ISNUMBER(SEARCH(","&amp;TRIM(TEXTSPLIT(CO191,","))&amp;",",","&amp;SUBSTITUTE(input_event_location," ","")&amp;",")))&gt;0)),IF(CQ191="",TRUE,IF(input_event_location="",FALSE,SUMPRODUCT(--ISNUMBER(SEARCH(","&amp;TRIM(TEXTSPLIT(CQ191,","))&amp;",",","&amp;SUBSTITUTE(input_event_location," ","")&amp;",")))=COUNTA(TEXTSPLIT(CQ191,",")))),IF(CS191="",TRUE,IF(input_event_location="",TRUE,SUMPRODUCT(--ISNUMBER(SEARCH(","&amp;TRIM(TEXTSPLIT(CS191,","))&amp;",",","&amp;SUBSTITUTE(input_event_location," ","")&amp;",")))=0)),IF(CU191="",TRUE,IF(input_event_location="",FALSE,SUMPRODUCT(--ISNUMBER(SEARCH(","&amp;TRIM(TEXTSPLIT(CU191,","))&amp;",",","&amp;SUBSTITUTE(input_event_location," ","")&amp;",")))&gt;0)),IF(CW191="",TRUE,IF(input_event_location="",FALSE,SUMPRODUCT(--ISNUMBER(SEARCH(","&amp;TRIM(TEXTSPLIT(CW191,","))&amp;",",","&amp;SUBSTITUTE(input_event_location," ","")&amp;",")))=COUNTA(TEXTSPLIT(CW191,",")))))</f>
        <v/>
      </c>
      <c r="JC191" s="19">
        <f>AND(IF(CY191="",TRUE,IF(input_event_type="",FALSE,SUMPRODUCT(--ISNUMBER(SEARCH(","&amp;TRIM(TEXTSPLIT(CY191,","))&amp;",",","&amp;SUBSTITUTE(input_event_type," ","")&amp;",")))&gt;0)),IF(DA191="",TRUE,IF(input_event_type="",FALSE,SUMPRODUCT(--ISNUMBER(SEARCH(","&amp;TRIM(TEXTSPLIT(DA191,","))&amp;",",","&amp;SUBSTITUTE(input_event_type," ","")&amp;",")))=COUNTA(TEXTSPLIT(DA191,",")))),IF(DC191="",TRUE,IF(input_event_type="",TRUE,SUMPRODUCT(--ISNUMBER(SEARCH(","&amp;TRIM(TEXTSPLIT(DC191,","))&amp;",",","&amp;SUBSTITUTE(input_event_type," ","")&amp;",")))=0)),IF(DE191="",TRUE,IF(input_event_type="",FALSE,SUMPRODUCT(--ISNUMBER(SEARCH(","&amp;TRIM(TEXTSPLIT(DE191,","))&amp;",",","&amp;SUBSTITUTE(input_event_type," ","")&amp;",")))&gt;0)),IF(DG191="",TRUE,IF(input_event_type="",FALSE,SUMPRODUCT(--ISNUMBER(SEARCH(","&amp;TRIM(TEXTSPLIT(DG191,","))&amp;",",","&amp;SUBSTITUTE(input_event_type," ","")&amp;",")))=COUNTA(TEXTSPLIT(DG191,",")))))</f>
        <v/>
      </c>
      <c r="JD191" s="19">
        <f>AND(IF(DI191="",TRUE,IF(input_executive_education_focus="",FALSE,SUMPRODUCT(--ISNUMBER(SEARCH(","&amp;TRIM(TEXTSPLIT(DI191,","))&amp;",",","&amp;SUBSTITUTE(input_executive_education_focus," ","")&amp;",")))&gt;0)),IF(DK191="",TRUE,IF(input_executive_education_focus="",FALSE,SUMPRODUCT(--ISNUMBER(SEARCH(","&amp;TRIM(TEXTSPLIT(DK191,","))&amp;",",","&amp;SUBSTITUTE(input_executive_education_focus," ","")&amp;",")))=COUNTA(TEXTSPLIT(DK191,",")))),IF(DM191="",TRUE,IF(input_executive_education_focus="",TRUE,SUMPRODUCT(--ISNUMBER(SEARCH(","&amp;TRIM(TEXTSPLIT(DM191,","))&amp;",",","&amp;SUBSTITUTE(input_executive_education_focus," ","")&amp;",")))=0)),IF(DO191="",TRUE,IF(input_executive_education_focus="",FALSE,SUMPRODUCT(--ISNUMBER(SEARCH(","&amp;TRIM(TEXTSPLIT(DO191,","))&amp;",",","&amp;SUBSTITUTE(input_executive_education_focus," ","")&amp;",")))&gt;0)),IF(DQ191="",TRUE,IF(input_executive_education_focus="",FALSE,SUMPRODUCT(--ISNUMBER(SEARCH(","&amp;TRIM(TEXTSPLIT(DQ191,","))&amp;",",","&amp;SUBSTITUTE(input_executive_education_focus," ","")&amp;",")))=COUNTA(TEXTSPLIT(DQ191,",")))))</f>
        <v/>
      </c>
      <c r="JE191" s="19">
        <f>AND(IF(DS191="",TRUE,IF(input_faculty_category="",FALSE,SUMPRODUCT(--ISNUMBER(SEARCH(","&amp;TRIM(TEXTSPLIT(DS191,","))&amp;",",","&amp;SUBSTITUTE(input_faculty_category," ","")&amp;",")))&gt;0)),IF(DU191="",TRUE,IF(input_faculty_category="",FALSE,SUMPRODUCT(--ISNUMBER(SEARCH(","&amp;TRIM(TEXTSPLIT(DU191,","))&amp;",",","&amp;SUBSTITUTE(input_faculty_category," ","")&amp;",")))=COUNTA(TEXTSPLIT(DU191,",")))),IF(DW191="",TRUE,IF(input_faculty_category="",TRUE,SUMPRODUCT(--ISNUMBER(SEARCH(","&amp;TRIM(TEXTSPLIT(DW191,","))&amp;",",","&amp;SUBSTITUTE(input_faculty_category," ","")&amp;",")))=0)),IF(DY191="",TRUE,IF(input_faculty_category="",FALSE,SUMPRODUCT(--ISNUMBER(SEARCH(","&amp;TRIM(TEXTSPLIT(DY191,","))&amp;",",","&amp;SUBSTITUTE(input_faculty_category," ","")&amp;",")))&gt;0)),IF(EA191="",TRUE,IF(input_faculty_category="",FALSE,SUMPRODUCT(--ISNUMBER(SEARCH(","&amp;TRIM(TEXTSPLIT(EA191,","))&amp;",",","&amp;SUBSTITUTE(input_faculty_category," ","")&amp;",")))=COUNTA(TEXTSPLIT(EA191,",")))))</f>
        <v/>
      </c>
      <c r="JF191" s="19">
        <f>AND(IF(EC191="",TRUE,IF(input_faculty_discipline="",FALSE,SUMPRODUCT(--ISNUMBER(SEARCH(","&amp;TRIM(TEXTSPLIT(EC191,","))&amp;",",","&amp;SUBSTITUTE(input_faculty_discipline," ","")&amp;",")))&gt;0)),IF(EE191="",TRUE,IF(input_faculty_discipline="",FALSE,SUMPRODUCT(--ISNUMBER(SEARCH(","&amp;TRIM(TEXTSPLIT(EE191,","))&amp;",",","&amp;SUBSTITUTE(input_faculty_discipline," ","")&amp;",")))=COUNTA(TEXTSPLIT(EE191,",")))),IF(EG191="",TRUE,IF(input_faculty_discipline="",TRUE,SUMPRODUCT(--ISNUMBER(SEARCH(","&amp;TRIM(TEXTSPLIT(EG191,","))&amp;",",","&amp;SUBSTITUTE(input_faculty_discipline," ","")&amp;",")))=0)),IF(EI191="",TRUE,IF(input_faculty_discipline="",FALSE,SUMPRODUCT(--ISNUMBER(SEARCH(","&amp;TRIM(TEXTSPLIT(EI191,","))&amp;",",","&amp;SUBSTITUTE(input_faculty_discipline," ","")&amp;",")))&gt;0)),IF(EK191="",TRUE,IF(input_faculty_discipline="",FALSE,SUMPRODUCT(--ISNUMBER(SEARCH(","&amp;TRIM(TEXTSPLIT(EK191,","))&amp;",",","&amp;SUBSTITUTE(input_faculty_discipline," ","")&amp;",")))=COUNTA(TEXTSPLIT(EK191,",")))))</f>
        <v/>
      </c>
      <c r="JG191" s="19">
        <f>AND(IF(EM191="",TRUE,IF(input_faculty_expertise="",FALSE,SUMPRODUCT(--ISNUMBER(SEARCH(","&amp;TRIM(TEXTSPLIT(EM191,","))&amp;",",","&amp;SUBSTITUTE(input_faculty_expertise," ","")&amp;",")))&gt;0)),IF(EO191="",TRUE,IF(input_faculty_expertise="",FALSE,SUMPRODUCT(--ISNUMBER(SEARCH(","&amp;TRIM(TEXTSPLIT(EO191,","))&amp;",",","&amp;SUBSTITUTE(input_faculty_expertise," ","")&amp;",")))=COUNTA(TEXTSPLIT(EO191,",")))),IF(EQ191="",TRUE,IF(input_faculty_expertise="",TRUE,SUMPRODUCT(--ISNUMBER(SEARCH(","&amp;TRIM(TEXTSPLIT(EQ191,","))&amp;",",","&amp;SUBSTITUTE(input_faculty_expertise," ","")&amp;",")))=0)),IF(ES191="",TRUE,IF(input_faculty_expertise="",FALSE,SUMPRODUCT(--ISNUMBER(SEARCH(","&amp;TRIM(TEXTSPLIT(ES191,","))&amp;",",","&amp;SUBSTITUTE(input_faculty_expertise," ","")&amp;",")))&gt;0)),IF(EU191="",TRUE,IF(input_faculty_expertise="",FALSE,SUMPRODUCT(--ISNUMBER(SEARCH(","&amp;TRIM(TEXTSPLIT(EU191,","))&amp;",",","&amp;SUBSTITUTE(input_faculty_expertise," ","")&amp;",")))=COUNTA(TEXTSPLIT(EU191,",")))))</f>
        <v/>
      </c>
      <c r="JH191" s="19">
        <f>AND(IF(EW191="",TRUE,IF(input_global_network_school="",FALSE,SUMPRODUCT(--ISNUMBER(SEARCH(","&amp;TRIM(TEXTSPLIT(EW191,","))&amp;",",","&amp;SUBSTITUTE(input_global_network_school," ","")&amp;",")))&gt;0)),IF(EY191="",TRUE,IF(input_global_network_school="",FALSE,SUMPRODUCT(--ISNUMBER(SEARCH(","&amp;TRIM(TEXTSPLIT(EY191,","))&amp;",",","&amp;SUBSTITUTE(input_global_network_school," ","")&amp;",")))=COUNTA(TEXTSPLIT(EY191,",")))),IF(FA191="",TRUE,IF(input_global_network_school="",TRUE,SUMPRODUCT(--ISNUMBER(SEARCH(","&amp;TRIM(TEXTSPLIT(FA191,","))&amp;",",","&amp;SUBSTITUTE(input_global_network_school," ","")&amp;",")))=0)),IF(FC191="",TRUE,IF(input_global_network_school="",FALSE,SUMPRODUCT(--ISNUMBER(SEARCH(","&amp;TRIM(TEXTSPLIT(FC191,","))&amp;",",","&amp;SUBSTITUTE(input_global_network_school," ","")&amp;",")))&gt;0)),IF(FE191="",TRUE,IF(input_global_network_school="",FALSE,SUMPRODUCT(--ISNUMBER(SEARCH(","&amp;TRIM(TEXTSPLIT(FE191,","))&amp;",",","&amp;SUBSTITUTE(input_global_network_school," ","")&amp;",")))=COUNTA(TEXTSPLIT(FE191,",")))))</f>
        <v/>
      </c>
      <c r="JI191" s="19">
        <f>AND(IF(FG191="",TRUE,IF(input_industry="",FALSE,SUMPRODUCT(--ISNUMBER(SEARCH(","&amp;TRIM(TEXTSPLIT(FG191,","))&amp;",",","&amp;SUBSTITUTE(input_industry," ","")&amp;",")))&gt;0)),IF(FI191="",TRUE,IF(input_industry="",FALSE,SUMPRODUCT(--ISNUMBER(SEARCH(","&amp;TRIM(TEXTSPLIT(FI191,","))&amp;",",","&amp;SUBSTITUTE(input_industry," ","")&amp;",")))=COUNTA(TEXTSPLIT(FI191,",")))),IF(FK191="",TRUE,IF(input_industry="",TRUE,SUMPRODUCT(--ISNUMBER(SEARCH(","&amp;TRIM(TEXTSPLIT(FK191,","))&amp;",",","&amp;SUBSTITUTE(input_industry," ","")&amp;",")))=0)),IF(FM191="",TRUE,IF(input_industry="",FALSE,SUMPRODUCT(--ISNUMBER(SEARCH(","&amp;TRIM(TEXTSPLIT(FM191,","))&amp;",",","&amp;SUBSTITUTE(input_industry," ","")&amp;",")))&gt;0)),IF(FO191="",TRUE,IF(input_industry="",FALSE,SUMPRODUCT(--ISNUMBER(SEARCH(","&amp;TRIM(TEXTSPLIT(FO191,","))&amp;",",","&amp;SUBSTITUTE(input_industry," ","")&amp;",")))=COUNTA(TEXTSPLIT(FO191,",")))))</f>
        <v/>
      </c>
      <c r="JJ191" s="19">
        <f>AND(IF(FQ191="",TRUE,IF(input_location="",FALSE,SUMPRODUCT(--ISNUMBER(SEARCH(","&amp;TRIM(TEXTSPLIT(FQ191,","))&amp;",",","&amp;SUBSTITUTE(input_location," ","")&amp;",")))&gt;0)),IF(FS191="",TRUE,IF(input_location="",FALSE,SUMPRODUCT(--ISNUMBER(SEARCH(","&amp;TRIM(TEXTSPLIT(FS191,","))&amp;",",","&amp;SUBSTITUTE(input_location," ","")&amp;",")))=COUNTA(TEXTSPLIT(FS191,",")))),IF(FU191="",TRUE,IF(input_location="",TRUE,SUMPRODUCT(--ISNUMBER(SEARCH(","&amp;TRIM(TEXTSPLIT(FU191,","))&amp;",",","&amp;SUBSTITUTE(input_location," ","")&amp;",")))=0)),IF(FW191="",TRUE,IF(input_location="",FALSE,SUMPRODUCT(--ISNUMBER(SEARCH(","&amp;TRIM(TEXTSPLIT(FW191,","))&amp;",",","&amp;SUBSTITUTE(input_location," ","")&amp;",")))&gt;0)),IF(FY191="",TRUE,IF(input_location="",FALSE,SUMPRODUCT(--ISNUMBER(SEARCH(","&amp;TRIM(TEXTSPLIT(FY191,","))&amp;",",","&amp;SUBSTITUTE(input_location," ","")&amp;",")))=COUNTA(TEXTSPLIT(FY191,",")))))</f>
        <v/>
      </c>
      <c r="JK191" s="19">
        <f>AND(IF(GA191="",TRUE,IF(input_modality="",FALSE,SUMPRODUCT(--ISNUMBER(SEARCH(","&amp;TRIM(TEXTSPLIT(GA191,","))&amp;",",","&amp;SUBSTITUTE(input_modality," ","")&amp;",")))&gt;0)),IF(GC191="",TRUE,IF(input_modality="",FALSE,SUMPRODUCT(--ISNUMBER(SEARCH(","&amp;TRIM(TEXTSPLIT(GC191,","))&amp;",",","&amp;SUBSTITUTE(input_modality," ","")&amp;",")))=COUNTA(TEXTSPLIT(GC191,",")))),IF(GE191="",TRUE,IF(input_modality="",TRUE,SUMPRODUCT(--ISNUMBER(SEARCH(","&amp;TRIM(TEXTSPLIT(GE191,","))&amp;",",","&amp;SUBSTITUTE(input_modality," ","")&amp;",")))=0)),IF(GG191="",TRUE,IF(input_modality="",FALSE,SUMPRODUCT(--ISNUMBER(SEARCH(","&amp;TRIM(TEXTSPLIT(GG191,","))&amp;",",","&amp;SUBSTITUTE(input_modality," ","")&amp;",")))&gt;0)),IF(GI191="",TRUE,IF(input_modality="",FALSE,SUMPRODUCT(--ISNUMBER(SEARCH(","&amp;TRIM(TEXTSPLIT(GI191,","))&amp;",",","&amp;SUBSTITUTE(input_modality," ","")&amp;",")))=COUNTA(TEXTSPLIT(GI191,",")))))</f>
        <v/>
      </c>
      <c r="JL191" s="19">
        <f>AND(IF(GK191="",TRUE,IF(input_organizer="",FALSE,SUMPRODUCT(--ISNUMBER(SEARCH(","&amp;TRIM(TEXTSPLIT(GK191,","))&amp;",",","&amp;SUBSTITUTE(input_organizer," ","")&amp;",")))&gt;0)),IF(GM191="",TRUE,IF(input_organizer="",FALSE,SUMPRODUCT(--ISNUMBER(SEARCH(","&amp;TRIM(TEXTSPLIT(GM191,","))&amp;",",","&amp;SUBSTITUTE(input_organizer," ","")&amp;",")))=COUNTA(TEXTSPLIT(GM191,",")))),IF(GO191="",TRUE,IF(input_organizer="",TRUE,SUMPRODUCT(--ISNUMBER(SEARCH(","&amp;TRIM(TEXTSPLIT(GO191,","))&amp;",",","&amp;SUBSTITUTE(input_organizer," ","")&amp;",")))=0)),IF(GQ191="",TRUE,IF(input_organizer="",FALSE,SUMPRODUCT(--ISNUMBER(SEARCH(","&amp;TRIM(TEXTSPLIT(GQ191,","))&amp;",",","&amp;SUBSTITUTE(input_organizer," ","")&amp;",")))&gt;0)),IF(GS191="",TRUE,IF(input_organizer="",FALSE,SUMPRODUCT(--ISNUMBER(SEARCH(","&amp;TRIM(TEXTSPLIT(GS191,","))&amp;",",","&amp;SUBSTITUTE(input_organizer," ","")&amp;",")))=COUNTA(TEXTSPLIT(GS191,",")))))</f>
        <v/>
      </c>
      <c r="JM191" s="19">
        <f>AND(IF(GU191="",TRUE,IF(input_profile_type="",FALSE,SUMPRODUCT(--ISNUMBER(SEARCH(","&amp;TRIM(TEXTSPLIT(GU191,","))&amp;",",","&amp;SUBSTITUTE(input_profile_type," ","")&amp;",")))&gt;0)),IF(GW191="",TRUE,IF(input_profile_type="",FALSE,SUMPRODUCT(--ISNUMBER(SEARCH(","&amp;TRIM(TEXTSPLIT(GW191,","))&amp;",",","&amp;SUBSTITUTE(input_profile_type," ","")&amp;",")))=COUNTA(TEXTSPLIT(GW191,",")))),IF(GY191="",TRUE,IF(input_profile_type="",TRUE,SUMPRODUCT(--ISNUMBER(SEARCH(","&amp;TRIM(TEXTSPLIT(GY191,","))&amp;",",","&amp;SUBSTITUTE(input_profile_type," ","")&amp;",")))=0)),IF(HA191="",TRUE,IF(input_profile_type="",FALSE,SUMPRODUCT(--ISNUMBER(SEARCH(","&amp;TRIM(TEXTSPLIT(HA191,","))&amp;",",","&amp;SUBSTITUTE(input_profile_type," ","")&amp;",")))&gt;0)),IF(HC191="",TRUE,IF(input_profile_type="",FALSE,SUMPRODUCT(--ISNUMBER(SEARCH(","&amp;TRIM(TEXTSPLIT(HC191,","))&amp;",",","&amp;SUBSTITUTE(input_profile_type," ","")&amp;",")))=COUNTA(TEXTSPLIT(HC191,",")))))</f>
        <v/>
      </c>
      <c r="JN191" s="19">
        <f>AND(IF(HE191="",TRUE,IF(input_program="",FALSE,SUMPRODUCT(--ISNUMBER(SEARCH(","&amp;TRIM(TEXTSPLIT(HE191,","))&amp;",",","&amp;SUBSTITUTE(input_program," ","")&amp;",")))&gt;0)),IF(HG191="",TRUE,IF(input_program="",FALSE,SUMPRODUCT(--ISNUMBER(SEARCH(","&amp;TRIM(TEXTSPLIT(HG191,","))&amp;",",","&amp;SUBSTITUTE(input_program," ","")&amp;",")))=COUNTA(TEXTSPLIT(HG191,",")))),IF(HI191="",TRUE,IF(input_program="",TRUE,SUMPRODUCT(--ISNUMBER(SEARCH(","&amp;TRIM(TEXTSPLIT(HI191,","))&amp;",",","&amp;SUBSTITUTE(input_program," ","")&amp;",")))=0)),IF(HK191="",TRUE,IF(input_program="",FALSE,SUMPRODUCT(--ISNUMBER(SEARCH(","&amp;TRIM(TEXTSPLIT(HK191,","))&amp;",",","&amp;SUBSTITUTE(input_program," ","")&amp;",")))&gt;0)),IF(HM191="",TRUE,IF(input_program="",FALSE,SUMPRODUCT(--ISNUMBER(SEARCH(","&amp;TRIM(TEXTSPLIT(HM191,","))&amp;",",","&amp;SUBSTITUTE(input_program," ","")&amp;",")))=COUNTA(TEXTSPLIT(HM191,",")))))</f>
        <v/>
      </c>
      <c r="JO191" s="19">
        <f>AND(IF(HO191="",TRUE,IF(input_story_categories="",FALSE,SUMPRODUCT(--ISNUMBER(SEARCH(","&amp;TRIM(TEXTSPLIT(HO191,","))&amp;",",","&amp;SUBSTITUTE(input_story_categories," ","")&amp;",")))&gt;0)),IF(HQ191="",TRUE,IF(input_story_categories="",FALSE,SUMPRODUCT(--ISNUMBER(SEARCH(","&amp;TRIM(TEXTSPLIT(HQ191,","))&amp;",",","&amp;SUBSTITUTE(input_story_categories," ","")&amp;",")))=COUNTA(TEXTSPLIT(HQ191,",")))),IF(HS191="",TRUE,IF(input_story_categories="",TRUE,SUMPRODUCT(--ISNUMBER(SEARCH(","&amp;TRIM(TEXTSPLIT(HS191,","))&amp;",",","&amp;SUBSTITUTE(input_story_categories," ","")&amp;",")))=0)),IF(HU191="",TRUE,IF(input_story_categories="",FALSE,SUMPRODUCT(--ISNUMBER(SEARCH(","&amp;TRIM(TEXTSPLIT(HU191,","))&amp;",",","&amp;SUBSTITUTE(input_story_categories," ","")&amp;",")))&gt;0)),IF(HW191="",TRUE,IF(input_story_categories="",FALSE,SUMPRODUCT(--ISNUMBER(SEARCH(","&amp;TRIM(TEXTSPLIT(HW191,","))&amp;",",","&amp;SUBSTITUTE(input_story_categories," ","")&amp;",")))=COUNTA(TEXTSPLIT(HW191,",")))))</f>
        <v/>
      </c>
      <c r="JP191" s="19">
        <f>AND(IF(HY191="",TRUE,IF(input_story_type="",FALSE,SUMPRODUCT(--ISNUMBER(SEARCH(","&amp;TRIM(TEXTSPLIT(HY191,","))&amp;",",","&amp;SUBSTITUTE(input_story_type," ","")&amp;",")))&gt;0)),IF(IA191="",TRUE,IF(input_story_type="",FALSE,SUMPRODUCT(--ISNUMBER(SEARCH(","&amp;TRIM(TEXTSPLIT(IA191,","))&amp;",",","&amp;SUBSTITUTE(input_story_type," ","")&amp;",")))=COUNTA(TEXTSPLIT(IA191,",")))),IF(IC191="",TRUE,IF(input_story_type="",TRUE,SUMPRODUCT(--ISNUMBER(SEARCH(","&amp;TRIM(TEXTSPLIT(IC191,","))&amp;",",","&amp;SUBSTITUTE(input_story_type," ","")&amp;",")))=0)),IF(IE191="",TRUE,IF(input_story_type="",FALSE,SUMPRODUCT(--ISNUMBER(SEARCH(","&amp;TRIM(TEXTSPLIT(IE191,","))&amp;",",","&amp;SUBSTITUTE(input_story_type," ","")&amp;",")))&gt;0)),IF(IG191="",TRUE,IF(input_story_type="",FALSE,SUMPRODUCT(--ISNUMBER(SEARCH(","&amp;TRIM(TEXTSPLIT(IG191,","))&amp;",",","&amp;SUBSTITUTE(input_story_type," ","")&amp;",")))=COUNTA(TEXTSPLIT(IG191,",")))))</f>
        <v/>
      </c>
      <c r="JQ191" s="19">
        <f>AND(IF(II191="",TRUE,IF(input_topics="",FALSE,SUMPRODUCT(--ISNUMBER(SEARCH(","&amp;TRIM(TEXTSPLIT(II191,","))&amp;",",","&amp;SUBSTITUTE(input_topics," ","")&amp;",")))&gt;0)),IF(IK191="",TRUE,IF(input_topics="",FALSE,SUMPRODUCT(--ISNUMBER(SEARCH(","&amp;TRIM(TEXTSPLIT(IK191,","))&amp;",",","&amp;SUBSTITUTE(input_topics," ","")&amp;",")))=COUNTA(TEXTSPLIT(IK191,",")))),IF(IM191="",TRUE,IF(input_topics="",TRUE,SUMPRODUCT(--ISNUMBER(SEARCH(","&amp;TRIM(TEXTSPLIT(IM191,","))&amp;",",","&amp;SUBSTITUTE(input_topics," ","")&amp;",")))=0)),IF(IO191="",TRUE,IF(input_topics="",FALSE,SUMPRODUCT(--ISNUMBER(SEARCH(","&amp;TRIM(TEXTSPLIT(IO191,","))&amp;",",","&amp;SUBSTITUTE(input_topics," ","")&amp;",")))&gt;0)),IF(IQ191="",TRUE,IF(input_topics="",FALSE,SUMPRODUCT(--ISNUMBER(SEARCH(","&amp;TRIM(TEXTSPLIT(IQ191,","))&amp;",",","&amp;SUBSTITUTE(input_topics," ","")&amp;",")))=COUNTA(TEXTSPLIT(IQ191,",")))))</f>
        <v/>
      </c>
    </row>
    <row r="192">
      <c r="A192" s="24">
        <f>IF(NOT(IS192),"Excluded",IF(AND(IT192,IU192,IV192,IW192,IX192,IY192,IZ192,JA192,JB192,JC192,JD192,JE192,JF192,JG192,JH192,JI192,JJ192,JK192,JL192,JM192,JN192,JO192,JP192,JQ192),IF(I192&gt;0,"Eligible but limited","Will appear"),"Excluded"))</f>
        <v/>
      </c>
      <c r="B192" s="24" t="inlineStr">
        <is>
          <t>Related stories on story pages</t>
        </is>
      </c>
      <c r="C192" s="27" t="inlineStr">
        <is>
          <t>/news/2021/05/david-swensen-renowned-endowment-manager-and-teacher-has-died</t>
        </is>
      </c>
      <c r="D192" s="24" t="inlineStr">
        <is>
          <t>/news/2021/05/david-swensen-renowned-endowment-manager-and-teacher-has-died
/story/2022/beloved-course-examines-role-business-leaders-society-help-visiting-ceos
/story/2022/four-graduating-students-honored-deans-mission-impact-award</t>
        </is>
      </c>
      <c r="E192" s="24" t="n">
        <v>4</v>
      </c>
      <c r="F192" s="24" t="inlineStr">
        <is>
          <t>story</t>
        </is>
      </c>
      <c r="G192" s="24" t="inlineStr">
        <is>
          <t>stories_teaser_cards</t>
        </is>
      </c>
      <c r="H192" s="24" t="inlineStr">
        <is>
          <t>embed_all</t>
        </is>
      </c>
      <c r="I192" s="24" t="n">
        <v>3</v>
      </c>
      <c r="J192" s="31" t="inlineStr">
        <is>
          <t>Template logic</t>
        </is>
      </c>
      <c r="K192" s="24" t="inlineStr">
        <is>
          <t>Grouped surface</t>
        </is>
      </c>
      <c r="L192" s="24" t="inlineStr">
        <is>
          <t>Content type: story; Context uses Courses Context: All SOM (77); Context uses Story Type: News (924); Limited to 3 item(s); Source: Template logic</t>
        </is>
      </c>
      <c r="BQ192" s="19" t="inlineStr">
        <is>
          <t>77</t>
        </is>
      </c>
      <c r="BR192" s="19" t="inlineStr">
        <is>
          <t>All SOM (77)</t>
        </is>
      </c>
      <c r="IE192" s="19" t="inlineStr">
        <is>
          <t>924</t>
        </is>
      </c>
      <c r="IF192" s="19" t="inlineStr">
        <is>
          <t>News (924)</t>
        </is>
      </c>
      <c r="IS192" s="19">
        <f>IF(input_content_type="",FALSE,ISNUMBER(SEARCH(","&amp;LOWER(input_content_type)&amp;",",","&amp;LOWER(SUBSTITUTE(F192," ",""))&amp;",")))</f>
        <v/>
      </c>
      <c r="IT192" s="19">
        <f>AND(IF(M192="",TRUE,IF(input_affiliations="",FALSE,SUMPRODUCT(--ISNUMBER(SEARCH(","&amp;TRIM(TEXTSPLIT(M192,","))&amp;",",","&amp;SUBSTITUTE(input_affiliations," ","")&amp;",")))&gt;0)),IF(O192="",TRUE,IF(input_affiliations="",FALSE,SUMPRODUCT(--ISNUMBER(SEARCH(","&amp;TRIM(TEXTSPLIT(O192,","))&amp;",",","&amp;SUBSTITUTE(input_affiliations," ","")&amp;",")))=COUNTA(TEXTSPLIT(O192,",")))),IF(Q192="",TRUE,IF(input_affiliations="",TRUE,SUMPRODUCT(--ISNUMBER(SEARCH(","&amp;TRIM(TEXTSPLIT(Q192,","))&amp;",",","&amp;SUBSTITUTE(input_affiliations," ","")&amp;",")))=0)),IF(S192="",TRUE,IF(input_affiliations="",FALSE,SUMPRODUCT(--ISNUMBER(SEARCH(","&amp;TRIM(TEXTSPLIT(S192,","))&amp;",",","&amp;SUBSTITUTE(input_affiliations," ","")&amp;",")))&gt;0)),IF(U192="",TRUE,IF(input_affiliations="",FALSE,SUMPRODUCT(--ISNUMBER(SEARCH(","&amp;TRIM(TEXTSPLIT(U192,","))&amp;",",","&amp;SUBSTITUTE(input_affiliations," ","")&amp;",")))=COUNTA(TEXTSPLIT(U192,",")))))</f>
        <v/>
      </c>
      <c r="IU192" s="19">
        <f>AND(IF(W192="",TRUE,IF(input_announcement_category="",FALSE,SUMPRODUCT(--ISNUMBER(SEARCH(","&amp;TRIM(TEXTSPLIT(W192,","))&amp;",",","&amp;SUBSTITUTE(input_announcement_category," ","")&amp;",")))&gt;0)),IF(Y192="",TRUE,IF(input_announcement_category="",FALSE,SUMPRODUCT(--ISNUMBER(SEARCH(","&amp;TRIM(TEXTSPLIT(Y192,","))&amp;",",","&amp;SUBSTITUTE(input_announcement_category," ","")&amp;",")))=COUNTA(TEXTSPLIT(Y192,",")))),IF(AA192="",TRUE,IF(input_announcement_category="",TRUE,SUMPRODUCT(--ISNUMBER(SEARCH(","&amp;TRIM(TEXTSPLIT(AA192,","))&amp;",",","&amp;SUBSTITUTE(input_announcement_category," ","")&amp;",")))=0)),IF(AC192="",TRUE,IF(input_announcement_category="",FALSE,SUMPRODUCT(--ISNUMBER(SEARCH(","&amp;TRIM(TEXTSPLIT(AC192,","))&amp;",",","&amp;SUBSTITUTE(input_announcement_category," ","")&amp;",")))&gt;0)),IF(AE192="",TRUE,IF(input_announcement_category="",FALSE,SUMPRODUCT(--ISNUMBER(SEARCH(","&amp;TRIM(TEXTSPLIT(AE192,","))&amp;",",","&amp;SUBSTITUTE(input_announcement_category," ","")&amp;",")))=COUNTA(TEXTSPLIT(AE192,",")))))</f>
        <v/>
      </c>
      <c r="IV192" s="19">
        <f>AND(IF(AG192="",TRUE,IF(input_area_of_focus="",FALSE,SUMPRODUCT(--ISNUMBER(SEARCH(","&amp;TRIM(TEXTSPLIT(AG192,","))&amp;",",","&amp;SUBSTITUTE(input_area_of_focus," ","")&amp;",")))&gt;0)),IF(AI192="",TRUE,IF(input_area_of_focus="",FALSE,SUMPRODUCT(--ISNUMBER(SEARCH(","&amp;TRIM(TEXTSPLIT(AI192,","))&amp;",",","&amp;SUBSTITUTE(input_area_of_focus," ","")&amp;",")))=COUNTA(TEXTSPLIT(AI192,",")))),IF(AK192="",TRUE,IF(input_area_of_focus="",TRUE,SUMPRODUCT(--ISNUMBER(SEARCH(","&amp;TRIM(TEXTSPLIT(AK192,","))&amp;",",","&amp;SUBSTITUTE(input_area_of_focus," ","")&amp;",")))=0)),IF(AM192="",TRUE,IF(input_area_of_focus="",FALSE,SUMPRODUCT(--ISNUMBER(SEARCH(","&amp;TRIM(TEXTSPLIT(AM192,","))&amp;",",","&amp;SUBSTITUTE(input_area_of_focus," ","")&amp;",")))&gt;0)),IF(AO192="",TRUE,IF(input_area_of_focus="",FALSE,SUMPRODUCT(--ISNUMBER(SEARCH(","&amp;TRIM(TEXTSPLIT(AO192,","))&amp;",",","&amp;SUBSTITUTE(input_area_of_focus," ","")&amp;",")))=COUNTA(TEXTSPLIT(AO192,",")))))</f>
        <v/>
      </c>
      <c r="IW192" s="19">
        <f>AND(IF(AQ192="",TRUE,IF(input_audience="",FALSE,SUMPRODUCT(--ISNUMBER(SEARCH(","&amp;TRIM(TEXTSPLIT(AQ192,","))&amp;",",","&amp;SUBSTITUTE(input_audience," ","")&amp;",")))&gt;0)),IF(AS192="",TRUE,IF(input_audience="",FALSE,SUMPRODUCT(--ISNUMBER(SEARCH(","&amp;TRIM(TEXTSPLIT(AS192,","))&amp;",",","&amp;SUBSTITUTE(input_audience," ","")&amp;",")))=COUNTA(TEXTSPLIT(AS192,",")))),IF(AU192="",TRUE,IF(input_audience="",TRUE,SUMPRODUCT(--ISNUMBER(SEARCH(","&amp;TRIM(TEXTSPLIT(AU192,","))&amp;",",","&amp;SUBSTITUTE(input_audience," ","")&amp;",")))=0)),IF(AW192="",TRUE,IF(input_audience="",FALSE,SUMPRODUCT(--ISNUMBER(SEARCH(","&amp;TRIM(TEXTSPLIT(AW192,","))&amp;",",","&amp;SUBSTITUTE(input_audience," ","")&amp;",")))&gt;0)),IF(AY192="",TRUE,IF(input_audience="",FALSE,SUMPRODUCT(--ISNUMBER(SEARCH(","&amp;TRIM(TEXTSPLIT(AY192,","))&amp;",",","&amp;SUBSTITUTE(input_audience," ","")&amp;",")))=COUNTA(TEXTSPLIT(AY192,",")))))</f>
        <v/>
      </c>
      <c r="IX192" s="19">
        <f>AND(IF(BA192="",TRUE,IF(input_challenge_opportunities="",FALSE,SUMPRODUCT(--ISNUMBER(SEARCH(","&amp;TRIM(TEXTSPLIT(BA192,","))&amp;",",","&amp;SUBSTITUTE(input_challenge_opportunities," ","")&amp;",")))&gt;0)),IF(BC192="",TRUE,IF(input_challenge_opportunities="",FALSE,SUMPRODUCT(--ISNUMBER(SEARCH(","&amp;TRIM(TEXTSPLIT(BC192,","))&amp;",",","&amp;SUBSTITUTE(input_challenge_opportunities," ","")&amp;",")))=COUNTA(TEXTSPLIT(BC192,",")))),IF(BE192="",TRUE,IF(input_challenge_opportunities="",TRUE,SUMPRODUCT(--ISNUMBER(SEARCH(","&amp;TRIM(TEXTSPLIT(BE192,","))&amp;",",","&amp;SUBSTITUTE(input_challenge_opportunities," ","")&amp;",")))=0)),IF(BG192="",TRUE,IF(input_challenge_opportunities="",FALSE,SUMPRODUCT(--ISNUMBER(SEARCH(","&amp;TRIM(TEXTSPLIT(BG192,","))&amp;",",","&amp;SUBSTITUTE(input_challenge_opportunities," ","")&amp;",")))&gt;0)),IF(BI192="",TRUE,IF(input_challenge_opportunities="",FALSE,SUMPRODUCT(--ISNUMBER(SEARCH(","&amp;TRIM(TEXTSPLIT(BI192,","))&amp;",",","&amp;SUBSTITUTE(input_challenge_opportunities," ","")&amp;",")))=COUNTA(TEXTSPLIT(BI192,",")))))</f>
        <v/>
      </c>
      <c r="IY192" s="19">
        <f>AND(IF(BK192="",TRUE,IF(input_context="",FALSE,SUMPRODUCT(--ISNUMBER(SEARCH(","&amp;TRIM(TEXTSPLIT(BK192,","))&amp;",",","&amp;SUBSTITUTE(input_context," ","")&amp;",")))&gt;0)),IF(BM192="",TRUE,IF(input_context="",FALSE,SUMPRODUCT(--ISNUMBER(SEARCH(","&amp;TRIM(TEXTSPLIT(BM192,","))&amp;",",","&amp;SUBSTITUTE(input_context," ","")&amp;",")))=COUNTA(TEXTSPLIT(BM192,",")))),IF(BO192="",TRUE,IF(input_context="",TRUE,SUMPRODUCT(--ISNUMBER(SEARCH(","&amp;TRIM(TEXTSPLIT(BO192,","))&amp;",",","&amp;SUBSTITUTE(input_context," ","")&amp;",")))=0)),IF(BQ192="",TRUE,IF(input_context="",FALSE,SUMPRODUCT(--ISNUMBER(SEARCH(","&amp;TRIM(TEXTSPLIT(BQ192,","))&amp;",",","&amp;SUBSTITUTE(input_context," ","")&amp;",")))&gt;0)),IF(BS192="",TRUE,IF(input_context="",FALSE,SUMPRODUCT(--ISNUMBER(SEARCH(","&amp;TRIM(TEXTSPLIT(BS192,","))&amp;",",","&amp;SUBSTITUTE(input_context," ","")&amp;",")))=COUNTA(TEXTSPLIT(BS192,",")))))</f>
        <v/>
      </c>
      <c r="IZ192" s="19">
        <f>AND(IF(BU192="",TRUE,IF(input_enews_announcement_type="",FALSE,SUMPRODUCT(--ISNUMBER(SEARCH(","&amp;TRIM(TEXTSPLIT(BU192,","))&amp;",",","&amp;SUBSTITUTE(input_enews_announcement_type," ","")&amp;",")))&gt;0)),IF(BW192="",TRUE,IF(input_enews_announcement_type="",FALSE,SUMPRODUCT(--ISNUMBER(SEARCH(","&amp;TRIM(TEXTSPLIT(BW192,","))&amp;",",","&amp;SUBSTITUTE(input_enews_announcement_type," ","")&amp;",")))=COUNTA(TEXTSPLIT(BW192,",")))),IF(BY192="",TRUE,IF(input_enews_announcement_type="",TRUE,SUMPRODUCT(--ISNUMBER(SEARCH(","&amp;TRIM(TEXTSPLIT(BY192,","))&amp;",",","&amp;SUBSTITUTE(input_enews_announcement_type," ","")&amp;",")))=0)),IF(CA192="",TRUE,IF(input_enews_announcement_type="",FALSE,SUMPRODUCT(--ISNUMBER(SEARCH(","&amp;TRIM(TEXTSPLIT(CA192,","))&amp;",",","&amp;SUBSTITUTE(input_enews_announcement_type," ","")&amp;",")))&gt;0)),IF(CC192="",TRUE,IF(input_enews_announcement_type="",FALSE,SUMPRODUCT(--ISNUMBER(SEARCH(","&amp;TRIM(TEXTSPLIT(CC192,","))&amp;",",","&amp;SUBSTITUTE(input_enews_announcement_type," ","")&amp;",")))=COUNTA(TEXTSPLIT(CC192,",")))))</f>
        <v/>
      </c>
      <c r="JA192" s="19">
        <f>AND(IF(CE192="",TRUE,IF(input_enews_audience="",FALSE,SUMPRODUCT(--ISNUMBER(SEARCH(","&amp;TRIM(TEXTSPLIT(CE192,","))&amp;",",","&amp;SUBSTITUTE(input_enews_audience," ","")&amp;",")))&gt;0)),IF(CG192="",TRUE,IF(input_enews_audience="",FALSE,SUMPRODUCT(--ISNUMBER(SEARCH(","&amp;TRIM(TEXTSPLIT(CG192,","))&amp;",",","&amp;SUBSTITUTE(input_enews_audience," ","")&amp;",")))=COUNTA(TEXTSPLIT(CG192,",")))),IF(CI192="",TRUE,IF(input_enews_audience="",TRUE,SUMPRODUCT(--ISNUMBER(SEARCH(","&amp;TRIM(TEXTSPLIT(CI192,","))&amp;",",","&amp;SUBSTITUTE(input_enews_audience," ","")&amp;",")))=0)),IF(CK192="",TRUE,IF(input_enews_audience="",FALSE,SUMPRODUCT(--ISNUMBER(SEARCH(","&amp;TRIM(TEXTSPLIT(CK192,","))&amp;",",","&amp;SUBSTITUTE(input_enews_audience," ","")&amp;",")))&gt;0)),IF(CM192="",TRUE,IF(input_enews_audience="",FALSE,SUMPRODUCT(--ISNUMBER(SEARCH(","&amp;TRIM(TEXTSPLIT(CM192,","))&amp;",",","&amp;SUBSTITUTE(input_enews_audience," ","")&amp;",")))=COUNTA(TEXTSPLIT(CM192,",")))))</f>
        <v/>
      </c>
      <c r="JB192" s="19">
        <f>AND(IF(CO192="",TRUE,IF(input_event_location="",FALSE,SUMPRODUCT(--ISNUMBER(SEARCH(","&amp;TRIM(TEXTSPLIT(CO192,","))&amp;",",","&amp;SUBSTITUTE(input_event_location," ","")&amp;",")))&gt;0)),IF(CQ192="",TRUE,IF(input_event_location="",FALSE,SUMPRODUCT(--ISNUMBER(SEARCH(","&amp;TRIM(TEXTSPLIT(CQ192,","))&amp;",",","&amp;SUBSTITUTE(input_event_location," ","")&amp;",")))=COUNTA(TEXTSPLIT(CQ192,",")))),IF(CS192="",TRUE,IF(input_event_location="",TRUE,SUMPRODUCT(--ISNUMBER(SEARCH(","&amp;TRIM(TEXTSPLIT(CS192,","))&amp;",",","&amp;SUBSTITUTE(input_event_location," ","")&amp;",")))=0)),IF(CU192="",TRUE,IF(input_event_location="",FALSE,SUMPRODUCT(--ISNUMBER(SEARCH(","&amp;TRIM(TEXTSPLIT(CU192,","))&amp;",",","&amp;SUBSTITUTE(input_event_location," ","")&amp;",")))&gt;0)),IF(CW192="",TRUE,IF(input_event_location="",FALSE,SUMPRODUCT(--ISNUMBER(SEARCH(","&amp;TRIM(TEXTSPLIT(CW192,","))&amp;",",","&amp;SUBSTITUTE(input_event_location," ","")&amp;",")))=COUNTA(TEXTSPLIT(CW192,",")))))</f>
        <v/>
      </c>
      <c r="JC192" s="19">
        <f>AND(IF(CY192="",TRUE,IF(input_event_type="",FALSE,SUMPRODUCT(--ISNUMBER(SEARCH(","&amp;TRIM(TEXTSPLIT(CY192,","))&amp;",",","&amp;SUBSTITUTE(input_event_type," ","")&amp;",")))&gt;0)),IF(DA192="",TRUE,IF(input_event_type="",FALSE,SUMPRODUCT(--ISNUMBER(SEARCH(","&amp;TRIM(TEXTSPLIT(DA192,","))&amp;",",","&amp;SUBSTITUTE(input_event_type," ","")&amp;",")))=COUNTA(TEXTSPLIT(DA192,",")))),IF(DC192="",TRUE,IF(input_event_type="",TRUE,SUMPRODUCT(--ISNUMBER(SEARCH(","&amp;TRIM(TEXTSPLIT(DC192,","))&amp;",",","&amp;SUBSTITUTE(input_event_type," ","")&amp;",")))=0)),IF(DE192="",TRUE,IF(input_event_type="",FALSE,SUMPRODUCT(--ISNUMBER(SEARCH(","&amp;TRIM(TEXTSPLIT(DE192,","))&amp;",",","&amp;SUBSTITUTE(input_event_type," ","")&amp;",")))&gt;0)),IF(DG192="",TRUE,IF(input_event_type="",FALSE,SUMPRODUCT(--ISNUMBER(SEARCH(","&amp;TRIM(TEXTSPLIT(DG192,","))&amp;",",","&amp;SUBSTITUTE(input_event_type," ","")&amp;",")))=COUNTA(TEXTSPLIT(DG192,",")))))</f>
        <v/>
      </c>
      <c r="JD192" s="19">
        <f>AND(IF(DI192="",TRUE,IF(input_executive_education_focus="",FALSE,SUMPRODUCT(--ISNUMBER(SEARCH(","&amp;TRIM(TEXTSPLIT(DI192,","))&amp;",",","&amp;SUBSTITUTE(input_executive_education_focus," ","")&amp;",")))&gt;0)),IF(DK192="",TRUE,IF(input_executive_education_focus="",FALSE,SUMPRODUCT(--ISNUMBER(SEARCH(","&amp;TRIM(TEXTSPLIT(DK192,","))&amp;",",","&amp;SUBSTITUTE(input_executive_education_focus," ","")&amp;",")))=COUNTA(TEXTSPLIT(DK192,",")))),IF(DM192="",TRUE,IF(input_executive_education_focus="",TRUE,SUMPRODUCT(--ISNUMBER(SEARCH(","&amp;TRIM(TEXTSPLIT(DM192,","))&amp;",",","&amp;SUBSTITUTE(input_executive_education_focus," ","")&amp;",")))=0)),IF(DO192="",TRUE,IF(input_executive_education_focus="",FALSE,SUMPRODUCT(--ISNUMBER(SEARCH(","&amp;TRIM(TEXTSPLIT(DO192,","))&amp;",",","&amp;SUBSTITUTE(input_executive_education_focus," ","")&amp;",")))&gt;0)),IF(DQ192="",TRUE,IF(input_executive_education_focus="",FALSE,SUMPRODUCT(--ISNUMBER(SEARCH(","&amp;TRIM(TEXTSPLIT(DQ192,","))&amp;",",","&amp;SUBSTITUTE(input_executive_education_focus," ","")&amp;",")))=COUNTA(TEXTSPLIT(DQ192,",")))))</f>
        <v/>
      </c>
      <c r="JE192" s="19">
        <f>AND(IF(DS192="",TRUE,IF(input_faculty_category="",FALSE,SUMPRODUCT(--ISNUMBER(SEARCH(","&amp;TRIM(TEXTSPLIT(DS192,","))&amp;",",","&amp;SUBSTITUTE(input_faculty_category," ","")&amp;",")))&gt;0)),IF(DU192="",TRUE,IF(input_faculty_category="",FALSE,SUMPRODUCT(--ISNUMBER(SEARCH(","&amp;TRIM(TEXTSPLIT(DU192,","))&amp;",",","&amp;SUBSTITUTE(input_faculty_category," ","")&amp;",")))=COUNTA(TEXTSPLIT(DU192,",")))),IF(DW192="",TRUE,IF(input_faculty_category="",TRUE,SUMPRODUCT(--ISNUMBER(SEARCH(","&amp;TRIM(TEXTSPLIT(DW192,","))&amp;",",","&amp;SUBSTITUTE(input_faculty_category," ","")&amp;",")))=0)),IF(DY192="",TRUE,IF(input_faculty_category="",FALSE,SUMPRODUCT(--ISNUMBER(SEARCH(","&amp;TRIM(TEXTSPLIT(DY192,","))&amp;",",","&amp;SUBSTITUTE(input_faculty_category," ","")&amp;",")))&gt;0)),IF(EA192="",TRUE,IF(input_faculty_category="",FALSE,SUMPRODUCT(--ISNUMBER(SEARCH(","&amp;TRIM(TEXTSPLIT(EA192,","))&amp;",",","&amp;SUBSTITUTE(input_faculty_category," ","")&amp;",")))=COUNTA(TEXTSPLIT(EA192,",")))))</f>
        <v/>
      </c>
      <c r="JF192" s="19">
        <f>AND(IF(EC192="",TRUE,IF(input_faculty_discipline="",FALSE,SUMPRODUCT(--ISNUMBER(SEARCH(","&amp;TRIM(TEXTSPLIT(EC192,","))&amp;",",","&amp;SUBSTITUTE(input_faculty_discipline," ","")&amp;",")))&gt;0)),IF(EE192="",TRUE,IF(input_faculty_discipline="",FALSE,SUMPRODUCT(--ISNUMBER(SEARCH(","&amp;TRIM(TEXTSPLIT(EE192,","))&amp;",",","&amp;SUBSTITUTE(input_faculty_discipline," ","")&amp;",")))=COUNTA(TEXTSPLIT(EE192,",")))),IF(EG192="",TRUE,IF(input_faculty_discipline="",TRUE,SUMPRODUCT(--ISNUMBER(SEARCH(","&amp;TRIM(TEXTSPLIT(EG192,","))&amp;",",","&amp;SUBSTITUTE(input_faculty_discipline," ","")&amp;",")))=0)),IF(EI192="",TRUE,IF(input_faculty_discipline="",FALSE,SUMPRODUCT(--ISNUMBER(SEARCH(","&amp;TRIM(TEXTSPLIT(EI192,","))&amp;",",","&amp;SUBSTITUTE(input_faculty_discipline," ","")&amp;",")))&gt;0)),IF(EK192="",TRUE,IF(input_faculty_discipline="",FALSE,SUMPRODUCT(--ISNUMBER(SEARCH(","&amp;TRIM(TEXTSPLIT(EK192,","))&amp;",",","&amp;SUBSTITUTE(input_faculty_discipline," ","")&amp;",")))=COUNTA(TEXTSPLIT(EK192,",")))))</f>
        <v/>
      </c>
      <c r="JG192" s="19">
        <f>AND(IF(EM192="",TRUE,IF(input_faculty_expertise="",FALSE,SUMPRODUCT(--ISNUMBER(SEARCH(","&amp;TRIM(TEXTSPLIT(EM192,","))&amp;",",","&amp;SUBSTITUTE(input_faculty_expertise," ","")&amp;",")))&gt;0)),IF(EO192="",TRUE,IF(input_faculty_expertise="",FALSE,SUMPRODUCT(--ISNUMBER(SEARCH(","&amp;TRIM(TEXTSPLIT(EO192,","))&amp;",",","&amp;SUBSTITUTE(input_faculty_expertise," ","")&amp;",")))=COUNTA(TEXTSPLIT(EO192,",")))),IF(EQ192="",TRUE,IF(input_faculty_expertise="",TRUE,SUMPRODUCT(--ISNUMBER(SEARCH(","&amp;TRIM(TEXTSPLIT(EQ192,","))&amp;",",","&amp;SUBSTITUTE(input_faculty_expertise," ","")&amp;",")))=0)),IF(ES192="",TRUE,IF(input_faculty_expertise="",FALSE,SUMPRODUCT(--ISNUMBER(SEARCH(","&amp;TRIM(TEXTSPLIT(ES192,","))&amp;",",","&amp;SUBSTITUTE(input_faculty_expertise," ","")&amp;",")))&gt;0)),IF(EU192="",TRUE,IF(input_faculty_expertise="",FALSE,SUMPRODUCT(--ISNUMBER(SEARCH(","&amp;TRIM(TEXTSPLIT(EU192,","))&amp;",",","&amp;SUBSTITUTE(input_faculty_expertise," ","")&amp;",")))=COUNTA(TEXTSPLIT(EU192,",")))))</f>
        <v/>
      </c>
      <c r="JH192" s="19">
        <f>AND(IF(EW192="",TRUE,IF(input_global_network_school="",FALSE,SUMPRODUCT(--ISNUMBER(SEARCH(","&amp;TRIM(TEXTSPLIT(EW192,","))&amp;",",","&amp;SUBSTITUTE(input_global_network_school," ","")&amp;",")))&gt;0)),IF(EY192="",TRUE,IF(input_global_network_school="",FALSE,SUMPRODUCT(--ISNUMBER(SEARCH(","&amp;TRIM(TEXTSPLIT(EY192,","))&amp;",",","&amp;SUBSTITUTE(input_global_network_school," ","")&amp;",")))=COUNTA(TEXTSPLIT(EY192,",")))),IF(FA192="",TRUE,IF(input_global_network_school="",TRUE,SUMPRODUCT(--ISNUMBER(SEARCH(","&amp;TRIM(TEXTSPLIT(FA192,","))&amp;",",","&amp;SUBSTITUTE(input_global_network_school," ","")&amp;",")))=0)),IF(FC192="",TRUE,IF(input_global_network_school="",FALSE,SUMPRODUCT(--ISNUMBER(SEARCH(","&amp;TRIM(TEXTSPLIT(FC192,","))&amp;",",","&amp;SUBSTITUTE(input_global_network_school," ","")&amp;",")))&gt;0)),IF(FE192="",TRUE,IF(input_global_network_school="",FALSE,SUMPRODUCT(--ISNUMBER(SEARCH(","&amp;TRIM(TEXTSPLIT(FE192,","))&amp;",",","&amp;SUBSTITUTE(input_global_network_school," ","")&amp;",")))=COUNTA(TEXTSPLIT(FE192,",")))))</f>
        <v/>
      </c>
      <c r="JI192" s="19">
        <f>AND(IF(FG192="",TRUE,IF(input_industry="",FALSE,SUMPRODUCT(--ISNUMBER(SEARCH(","&amp;TRIM(TEXTSPLIT(FG192,","))&amp;",",","&amp;SUBSTITUTE(input_industry," ","")&amp;",")))&gt;0)),IF(FI192="",TRUE,IF(input_industry="",FALSE,SUMPRODUCT(--ISNUMBER(SEARCH(","&amp;TRIM(TEXTSPLIT(FI192,","))&amp;",",","&amp;SUBSTITUTE(input_industry," ","")&amp;",")))=COUNTA(TEXTSPLIT(FI192,",")))),IF(FK192="",TRUE,IF(input_industry="",TRUE,SUMPRODUCT(--ISNUMBER(SEARCH(","&amp;TRIM(TEXTSPLIT(FK192,","))&amp;",",","&amp;SUBSTITUTE(input_industry," ","")&amp;",")))=0)),IF(FM192="",TRUE,IF(input_industry="",FALSE,SUMPRODUCT(--ISNUMBER(SEARCH(","&amp;TRIM(TEXTSPLIT(FM192,","))&amp;",",","&amp;SUBSTITUTE(input_industry," ","")&amp;",")))&gt;0)),IF(FO192="",TRUE,IF(input_industry="",FALSE,SUMPRODUCT(--ISNUMBER(SEARCH(","&amp;TRIM(TEXTSPLIT(FO192,","))&amp;",",","&amp;SUBSTITUTE(input_industry," ","")&amp;",")))=COUNTA(TEXTSPLIT(FO192,",")))))</f>
        <v/>
      </c>
      <c r="JJ192" s="19">
        <f>AND(IF(FQ192="",TRUE,IF(input_location="",FALSE,SUMPRODUCT(--ISNUMBER(SEARCH(","&amp;TRIM(TEXTSPLIT(FQ192,","))&amp;",",","&amp;SUBSTITUTE(input_location," ","")&amp;",")))&gt;0)),IF(FS192="",TRUE,IF(input_location="",FALSE,SUMPRODUCT(--ISNUMBER(SEARCH(","&amp;TRIM(TEXTSPLIT(FS192,","))&amp;",",","&amp;SUBSTITUTE(input_location," ","")&amp;",")))=COUNTA(TEXTSPLIT(FS192,",")))),IF(FU192="",TRUE,IF(input_location="",TRUE,SUMPRODUCT(--ISNUMBER(SEARCH(","&amp;TRIM(TEXTSPLIT(FU192,","))&amp;",",","&amp;SUBSTITUTE(input_location," ","")&amp;",")))=0)),IF(FW192="",TRUE,IF(input_location="",FALSE,SUMPRODUCT(--ISNUMBER(SEARCH(","&amp;TRIM(TEXTSPLIT(FW192,","))&amp;",",","&amp;SUBSTITUTE(input_location," ","")&amp;",")))&gt;0)),IF(FY192="",TRUE,IF(input_location="",FALSE,SUMPRODUCT(--ISNUMBER(SEARCH(","&amp;TRIM(TEXTSPLIT(FY192,","))&amp;",",","&amp;SUBSTITUTE(input_location," ","")&amp;",")))=COUNTA(TEXTSPLIT(FY192,",")))))</f>
        <v/>
      </c>
      <c r="JK192" s="19">
        <f>AND(IF(GA192="",TRUE,IF(input_modality="",FALSE,SUMPRODUCT(--ISNUMBER(SEARCH(","&amp;TRIM(TEXTSPLIT(GA192,","))&amp;",",","&amp;SUBSTITUTE(input_modality," ","")&amp;",")))&gt;0)),IF(GC192="",TRUE,IF(input_modality="",FALSE,SUMPRODUCT(--ISNUMBER(SEARCH(","&amp;TRIM(TEXTSPLIT(GC192,","))&amp;",",","&amp;SUBSTITUTE(input_modality," ","")&amp;",")))=COUNTA(TEXTSPLIT(GC192,",")))),IF(GE192="",TRUE,IF(input_modality="",TRUE,SUMPRODUCT(--ISNUMBER(SEARCH(","&amp;TRIM(TEXTSPLIT(GE192,","))&amp;",",","&amp;SUBSTITUTE(input_modality," ","")&amp;",")))=0)),IF(GG192="",TRUE,IF(input_modality="",FALSE,SUMPRODUCT(--ISNUMBER(SEARCH(","&amp;TRIM(TEXTSPLIT(GG192,","))&amp;",",","&amp;SUBSTITUTE(input_modality," ","")&amp;",")))&gt;0)),IF(GI192="",TRUE,IF(input_modality="",FALSE,SUMPRODUCT(--ISNUMBER(SEARCH(","&amp;TRIM(TEXTSPLIT(GI192,","))&amp;",",","&amp;SUBSTITUTE(input_modality," ","")&amp;",")))=COUNTA(TEXTSPLIT(GI192,",")))))</f>
        <v/>
      </c>
      <c r="JL192" s="19">
        <f>AND(IF(GK192="",TRUE,IF(input_organizer="",FALSE,SUMPRODUCT(--ISNUMBER(SEARCH(","&amp;TRIM(TEXTSPLIT(GK192,","))&amp;",",","&amp;SUBSTITUTE(input_organizer," ","")&amp;",")))&gt;0)),IF(GM192="",TRUE,IF(input_organizer="",FALSE,SUMPRODUCT(--ISNUMBER(SEARCH(","&amp;TRIM(TEXTSPLIT(GM192,","))&amp;",",","&amp;SUBSTITUTE(input_organizer," ","")&amp;",")))=COUNTA(TEXTSPLIT(GM192,",")))),IF(GO192="",TRUE,IF(input_organizer="",TRUE,SUMPRODUCT(--ISNUMBER(SEARCH(","&amp;TRIM(TEXTSPLIT(GO192,","))&amp;",",","&amp;SUBSTITUTE(input_organizer," ","")&amp;",")))=0)),IF(GQ192="",TRUE,IF(input_organizer="",FALSE,SUMPRODUCT(--ISNUMBER(SEARCH(","&amp;TRIM(TEXTSPLIT(GQ192,","))&amp;",",","&amp;SUBSTITUTE(input_organizer," ","")&amp;",")))&gt;0)),IF(GS192="",TRUE,IF(input_organizer="",FALSE,SUMPRODUCT(--ISNUMBER(SEARCH(","&amp;TRIM(TEXTSPLIT(GS192,","))&amp;",",","&amp;SUBSTITUTE(input_organizer," ","")&amp;",")))=COUNTA(TEXTSPLIT(GS192,",")))))</f>
        <v/>
      </c>
      <c r="JM192" s="19">
        <f>AND(IF(GU192="",TRUE,IF(input_profile_type="",FALSE,SUMPRODUCT(--ISNUMBER(SEARCH(","&amp;TRIM(TEXTSPLIT(GU192,","))&amp;",",","&amp;SUBSTITUTE(input_profile_type," ","")&amp;",")))&gt;0)),IF(GW192="",TRUE,IF(input_profile_type="",FALSE,SUMPRODUCT(--ISNUMBER(SEARCH(","&amp;TRIM(TEXTSPLIT(GW192,","))&amp;",",","&amp;SUBSTITUTE(input_profile_type," ","")&amp;",")))=COUNTA(TEXTSPLIT(GW192,",")))),IF(GY192="",TRUE,IF(input_profile_type="",TRUE,SUMPRODUCT(--ISNUMBER(SEARCH(","&amp;TRIM(TEXTSPLIT(GY192,","))&amp;",",","&amp;SUBSTITUTE(input_profile_type," ","")&amp;",")))=0)),IF(HA192="",TRUE,IF(input_profile_type="",FALSE,SUMPRODUCT(--ISNUMBER(SEARCH(","&amp;TRIM(TEXTSPLIT(HA192,","))&amp;",",","&amp;SUBSTITUTE(input_profile_type," ","")&amp;",")))&gt;0)),IF(HC192="",TRUE,IF(input_profile_type="",FALSE,SUMPRODUCT(--ISNUMBER(SEARCH(","&amp;TRIM(TEXTSPLIT(HC192,","))&amp;",",","&amp;SUBSTITUTE(input_profile_type," ","")&amp;",")))=COUNTA(TEXTSPLIT(HC192,",")))))</f>
        <v/>
      </c>
      <c r="JN192" s="19">
        <f>AND(IF(HE192="",TRUE,IF(input_program="",FALSE,SUMPRODUCT(--ISNUMBER(SEARCH(","&amp;TRIM(TEXTSPLIT(HE192,","))&amp;",",","&amp;SUBSTITUTE(input_program," ","")&amp;",")))&gt;0)),IF(HG192="",TRUE,IF(input_program="",FALSE,SUMPRODUCT(--ISNUMBER(SEARCH(","&amp;TRIM(TEXTSPLIT(HG192,","))&amp;",",","&amp;SUBSTITUTE(input_program," ","")&amp;",")))=COUNTA(TEXTSPLIT(HG192,",")))),IF(HI192="",TRUE,IF(input_program="",TRUE,SUMPRODUCT(--ISNUMBER(SEARCH(","&amp;TRIM(TEXTSPLIT(HI192,","))&amp;",",","&amp;SUBSTITUTE(input_program," ","")&amp;",")))=0)),IF(HK192="",TRUE,IF(input_program="",FALSE,SUMPRODUCT(--ISNUMBER(SEARCH(","&amp;TRIM(TEXTSPLIT(HK192,","))&amp;",",","&amp;SUBSTITUTE(input_program," ","")&amp;",")))&gt;0)),IF(HM192="",TRUE,IF(input_program="",FALSE,SUMPRODUCT(--ISNUMBER(SEARCH(","&amp;TRIM(TEXTSPLIT(HM192,","))&amp;",",","&amp;SUBSTITUTE(input_program," ","")&amp;",")))=COUNTA(TEXTSPLIT(HM192,",")))))</f>
        <v/>
      </c>
      <c r="JO192" s="19">
        <f>AND(IF(HO192="",TRUE,IF(input_story_categories="",FALSE,SUMPRODUCT(--ISNUMBER(SEARCH(","&amp;TRIM(TEXTSPLIT(HO192,","))&amp;",",","&amp;SUBSTITUTE(input_story_categories," ","")&amp;",")))&gt;0)),IF(HQ192="",TRUE,IF(input_story_categories="",FALSE,SUMPRODUCT(--ISNUMBER(SEARCH(","&amp;TRIM(TEXTSPLIT(HQ192,","))&amp;",",","&amp;SUBSTITUTE(input_story_categories," ","")&amp;",")))=COUNTA(TEXTSPLIT(HQ192,",")))),IF(HS192="",TRUE,IF(input_story_categories="",TRUE,SUMPRODUCT(--ISNUMBER(SEARCH(","&amp;TRIM(TEXTSPLIT(HS192,","))&amp;",",","&amp;SUBSTITUTE(input_story_categories," ","")&amp;",")))=0)),IF(HU192="",TRUE,IF(input_story_categories="",FALSE,SUMPRODUCT(--ISNUMBER(SEARCH(","&amp;TRIM(TEXTSPLIT(HU192,","))&amp;",",","&amp;SUBSTITUTE(input_story_categories," ","")&amp;",")))&gt;0)),IF(HW192="",TRUE,IF(input_story_categories="",FALSE,SUMPRODUCT(--ISNUMBER(SEARCH(","&amp;TRIM(TEXTSPLIT(HW192,","))&amp;",",","&amp;SUBSTITUTE(input_story_categories," ","")&amp;",")))=COUNTA(TEXTSPLIT(HW192,",")))))</f>
        <v/>
      </c>
      <c r="JP192" s="19">
        <f>AND(IF(HY192="",TRUE,IF(input_story_type="",FALSE,SUMPRODUCT(--ISNUMBER(SEARCH(","&amp;TRIM(TEXTSPLIT(HY192,","))&amp;",",","&amp;SUBSTITUTE(input_story_type," ","")&amp;",")))&gt;0)),IF(IA192="",TRUE,IF(input_story_type="",FALSE,SUMPRODUCT(--ISNUMBER(SEARCH(","&amp;TRIM(TEXTSPLIT(IA192,","))&amp;",",","&amp;SUBSTITUTE(input_story_type," ","")&amp;",")))=COUNTA(TEXTSPLIT(IA192,",")))),IF(IC192="",TRUE,IF(input_story_type="",TRUE,SUMPRODUCT(--ISNUMBER(SEARCH(","&amp;TRIM(TEXTSPLIT(IC192,","))&amp;",",","&amp;SUBSTITUTE(input_story_type," ","")&amp;",")))=0)),IF(IE192="",TRUE,IF(input_story_type="",FALSE,SUMPRODUCT(--ISNUMBER(SEARCH(","&amp;TRIM(TEXTSPLIT(IE192,","))&amp;",",","&amp;SUBSTITUTE(input_story_type," ","")&amp;",")))&gt;0)),IF(IG192="",TRUE,IF(input_story_type="",FALSE,SUMPRODUCT(--ISNUMBER(SEARCH(","&amp;TRIM(TEXTSPLIT(IG192,","))&amp;",",","&amp;SUBSTITUTE(input_story_type," ","")&amp;",")))=COUNTA(TEXTSPLIT(IG192,",")))))</f>
        <v/>
      </c>
      <c r="JQ192" s="19">
        <f>AND(IF(II192="",TRUE,IF(input_topics="",FALSE,SUMPRODUCT(--ISNUMBER(SEARCH(","&amp;TRIM(TEXTSPLIT(II192,","))&amp;",",","&amp;SUBSTITUTE(input_topics," ","")&amp;",")))&gt;0)),IF(IK192="",TRUE,IF(input_topics="",FALSE,SUMPRODUCT(--ISNUMBER(SEARCH(","&amp;TRIM(TEXTSPLIT(IK192,","))&amp;",",","&amp;SUBSTITUTE(input_topics," ","")&amp;",")))=COUNTA(TEXTSPLIT(IK192,",")))),IF(IM192="",TRUE,IF(input_topics="",TRUE,SUMPRODUCT(--ISNUMBER(SEARCH(","&amp;TRIM(TEXTSPLIT(IM192,","))&amp;",",","&amp;SUBSTITUTE(input_topics," ","")&amp;",")))=0)),IF(IO192="",TRUE,IF(input_topics="",FALSE,SUMPRODUCT(--ISNUMBER(SEARCH(","&amp;TRIM(TEXTSPLIT(IO192,","))&amp;",",","&amp;SUBSTITUTE(input_topics," ","")&amp;",")))&gt;0)),IF(IQ192="",TRUE,IF(input_topics="",FALSE,SUMPRODUCT(--ISNUMBER(SEARCH(","&amp;TRIM(TEXTSPLIT(IQ192,","))&amp;",",","&amp;SUBSTITUTE(input_topics," ","")&amp;",")))=COUNTA(TEXTSPLIT(IQ192,",")))))</f>
        <v/>
      </c>
    </row>
    <row r="193">
      <c r="A193" s="24">
        <f>IF(NOT(IS193),"Excluded",IF(AND(IT193,IU193,IV193,IW193,IX193,IY193,IZ193,JA193,JB193,JC193,JD193,JE193,JF193,JG193,JH193,JI193,JJ193,JK193,JL193,JM193,JN193,JO193,JP193,JQ193),IF(I193&gt;0,"Eligible but limited","Will appear"),"Excluded"))</f>
        <v/>
      </c>
      <c r="B193" s="24" t="inlineStr">
        <is>
          <t>Related stories on story pages</t>
        </is>
      </c>
      <c r="C193" s="27" t="inlineStr">
        <is>
          <t>/news/2021/05/executive-mba-student-joins-advocates-of-reducing-gun-violence-at-white-house-event</t>
        </is>
      </c>
      <c r="D193" s="24" t="inlineStr">
        <is>
          <t>/news/2021/05/executive-mba-student-joins-advocates-of-reducing-gun-violence-at-white-house-event
/news/2021/11/former-pepsico-ceo-indra-nooyi-80-discusses-career-and-life</t>
        </is>
      </c>
      <c r="E193" s="24" t="n">
        <v>2</v>
      </c>
      <c r="F193" s="24" t="inlineStr">
        <is>
          <t>story</t>
        </is>
      </c>
      <c r="G193" s="24" t="inlineStr">
        <is>
          <t>stories_teaser_cards</t>
        </is>
      </c>
      <c r="H193" s="24" t="inlineStr">
        <is>
          <t>embed_all</t>
        </is>
      </c>
      <c r="I193" s="24" t="n">
        <v>3</v>
      </c>
      <c r="J193" s="31" t="inlineStr">
        <is>
          <t>Template logic</t>
        </is>
      </c>
      <c r="K193" s="24" t="inlineStr">
        <is>
          <t>Grouped surface</t>
        </is>
      </c>
      <c r="L193" s="24" t="inlineStr">
        <is>
          <t>Content type: story; Context uses Courses Context: Yale Women (927); Context uses Story Type: News (924); Limited to 3 item(s); Source: Template logic</t>
        </is>
      </c>
      <c r="BQ193" s="19" t="inlineStr">
        <is>
          <t>927</t>
        </is>
      </c>
      <c r="BR193" s="19" t="inlineStr">
        <is>
          <t>Yale Women (927)</t>
        </is>
      </c>
      <c r="IE193" s="19" t="inlineStr">
        <is>
          <t>924</t>
        </is>
      </c>
      <c r="IF193" s="19" t="inlineStr">
        <is>
          <t>News (924)</t>
        </is>
      </c>
      <c r="IS193" s="19">
        <f>IF(input_content_type="",FALSE,ISNUMBER(SEARCH(","&amp;LOWER(input_content_type)&amp;",",","&amp;LOWER(SUBSTITUTE(F193," ",""))&amp;",")))</f>
        <v/>
      </c>
      <c r="IT193" s="19">
        <f>AND(IF(M193="",TRUE,IF(input_affiliations="",FALSE,SUMPRODUCT(--ISNUMBER(SEARCH(","&amp;TRIM(TEXTSPLIT(M193,","))&amp;",",","&amp;SUBSTITUTE(input_affiliations," ","")&amp;",")))&gt;0)),IF(O193="",TRUE,IF(input_affiliations="",FALSE,SUMPRODUCT(--ISNUMBER(SEARCH(","&amp;TRIM(TEXTSPLIT(O193,","))&amp;",",","&amp;SUBSTITUTE(input_affiliations," ","")&amp;",")))=COUNTA(TEXTSPLIT(O193,",")))),IF(Q193="",TRUE,IF(input_affiliations="",TRUE,SUMPRODUCT(--ISNUMBER(SEARCH(","&amp;TRIM(TEXTSPLIT(Q193,","))&amp;",",","&amp;SUBSTITUTE(input_affiliations," ","")&amp;",")))=0)),IF(S193="",TRUE,IF(input_affiliations="",FALSE,SUMPRODUCT(--ISNUMBER(SEARCH(","&amp;TRIM(TEXTSPLIT(S193,","))&amp;",",","&amp;SUBSTITUTE(input_affiliations," ","")&amp;",")))&gt;0)),IF(U193="",TRUE,IF(input_affiliations="",FALSE,SUMPRODUCT(--ISNUMBER(SEARCH(","&amp;TRIM(TEXTSPLIT(U193,","))&amp;",",","&amp;SUBSTITUTE(input_affiliations," ","")&amp;",")))=COUNTA(TEXTSPLIT(U193,",")))))</f>
        <v/>
      </c>
      <c r="IU193" s="19">
        <f>AND(IF(W193="",TRUE,IF(input_announcement_category="",FALSE,SUMPRODUCT(--ISNUMBER(SEARCH(","&amp;TRIM(TEXTSPLIT(W193,","))&amp;",",","&amp;SUBSTITUTE(input_announcement_category," ","")&amp;",")))&gt;0)),IF(Y193="",TRUE,IF(input_announcement_category="",FALSE,SUMPRODUCT(--ISNUMBER(SEARCH(","&amp;TRIM(TEXTSPLIT(Y193,","))&amp;",",","&amp;SUBSTITUTE(input_announcement_category," ","")&amp;",")))=COUNTA(TEXTSPLIT(Y193,",")))),IF(AA193="",TRUE,IF(input_announcement_category="",TRUE,SUMPRODUCT(--ISNUMBER(SEARCH(","&amp;TRIM(TEXTSPLIT(AA193,","))&amp;",",","&amp;SUBSTITUTE(input_announcement_category," ","")&amp;",")))=0)),IF(AC193="",TRUE,IF(input_announcement_category="",FALSE,SUMPRODUCT(--ISNUMBER(SEARCH(","&amp;TRIM(TEXTSPLIT(AC193,","))&amp;",",","&amp;SUBSTITUTE(input_announcement_category," ","")&amp;",")))&gt;0)),IF(AE193="",TRUE,IF(input_announcement_category="",FALSE,SUMPRODUCT(--ISNUMBER(SEARCH(","&amp;TRIM(TEXTSPLIT(AE193,","))&amp;",",","&amp;SUBSTITUTE(input_announcement_category," ","")&amp;",")))=COUNTA(TEXTSPLIT(AE193,",")))))</f>
        <v/>
      </c>
      <c r="IV193" s="19">
        <f>AND(IF(AG193="",TRUE,IF(input_area_of_focus="",FALSE,SUMPRODUCT(--ISNUMBER(SEARCH(","&amp;TRIM(TEXTSPLIT(AG193,","))&amp;",",","&amp;SUBSTITUTE(input_area_of_focus," ","")&amp;",")))&gt;0)),IF(AI193="",TRUE,IF(input_area_of_focus="",FALSE,SUMPRODUCT(--ISNUMBER(SEARCH(","&amp;TRIM(TEXTSPLIT(AI193,","))&amp;",",","&amp;SUBSTITUTE(input_area_of_focus," ","")&amp;",")))=COUNTA(TEXTSPLIT(AI193,",")))),IF(AK193="",TRUE,IF(input_area_of_focus="",TRUE,SUMPRODUCT(--ISNUMBER(SEARCH(","&amp;TRIM(TEXTSPLIT(AK193,","))&amp;",",","&amp;SUBSTITUTE(input_area_of_focus," ","")&amp;",")))=0)),IF(AM193="",TRUE,IF(input_area_of_focus="",FALSE,SUMPRODUCT(--ISNUMBER(SEARCH(","&amp;TRIM(TEXTSPLIT(AM193,","))&amp;",",","&amp;SUBSTITUTE(input_area_of_focus," ","")&amp;",")))&gt;0)),IF(AO193="",TRUE,IF(input_area_of_focus="",FALSE,SUMPRODUCT(--ISNUMBER(SEARCH(","&amp;TRIM(TEXTSPLIT(AO193,","))&amp;",",","&amp;SUBSTITUTE(input_area_of_focus," ","")&amp;",")))=COUNTA(TEXTSPLIT(AO193,",")))))</f>
        <v/>
      </c>
      <c r="IW193" s="19">
        <f>AND(IF(AQ193="",TRUE,IF(input_audience="",FALSE,SUMPRODUCT(--ISNUMBER(SEARCH(","&amp;TRIM(TEXTSPLIT(AQ193,","))&amp;",",","&amp;SUBSTITUTE(input_audience," ","")&amp;",")))&gt;0)),IF(AS193="",TRUE,IF(input_audience="",FALSE,SUMPRODUCT(--ISNUMBER(SEARCH(","&amp;TRIM(TEXTSPLIT(AS193,","))&amp;",",","&amp;SUBSTITUTE(input_audience," ","")&amp;",")))=COUNTA(TEXTSPLIT(AS193,",")))),IF(AU193="",TRUE,IF(input_audience="",TRUE,SUMPRODUCT(--ISNUMBER(SEARCH(","&amp;TRIM(TEXTSPLIT(AU193,","))&amp;",",","&amp;SUBSTITUTE(input_audience," ","")&amp;",")))=0)),IF(AW193="",TRUE,IF(input_audience="",FALSE,SUMPRODUCT(--ISNUMBER(SEARCH(","&amp;TRIM(TEXTSPLIT(AW193,","))&amp;",",","&amp;SUBSTITUTE(input_audience," ","")&amp;",")))&gt;0)),IF(AY193="",TRUE,IF(input_audience="",FALSE,SUMPRODUCT(--ISNUMBER(SEARCH(","&amp;TRIM(TEXTSPLIT(AY193,","))&amp;",",","&amp;SUBSTITUTE(input_audience," ","")&amp;",")))=COUNTA(TEXTSPLIT(AY193,",")))))</f>
        <v/>
      </c>
      <c r="IX193" s="19">
        <f>AND(IF(BA193="",TRUE,IF(input_challenge_opportunities="",FALSE,SUMPRODUCT(--ISNUMBER(SEARCH(","&amp;TRIM(TEXTSPLIT(BA193,","))&amp;",",","&amp;SUBSTITUTE(input_challenge_opportunities," ","")&amp;",")))&gt;0)),IF(BC193="",TRUE,IF(input_challenge_opportunities="",FALSE,SUMPRODUCT(--ISNUMBER(SEARCH(","&amp;TRIM(TEXTSPLIT(BC193,","))&amp;",",","&amp;SUBSTITUTE(input_challenge_opportunities," ","")&amp;",")))=COUNTA(TEXTSPLIT(BC193,",")))),IF(BE193="",TRUE,IF(input_challenge_opportunities="",TRUE,SUMPRODUCT(--ISNUMBER(SEARCH(","&amp;TRIM(TEXTSPLIT(BE193,","))&amp;",",","&amp;SUBSTITUTE(input_challenge_opportunities," ","")&amp;",")))=0)),IF(BG193="",TRUE,IF(input_challenge_opportunities="",FALSE,SUMPRODUCT(--ISNUMBER(SEARCH(","&amp;TRIM(TEXTSPLIT(BG193,","))&amp;",",","&amp;SUBSTITUTE(input_challenge_opportunities," ","")&amp;",")))&gt;0)),IF(BI193="",TRUE,IF(input_challenge_opportunities="",FALSE,SUMPRODUCT(--ISNUMBER(SEARCH(","&amp;TRIM(TEXTSPLIT(BI193,","))&amp;",",","&amp;SUBSTITUTE(input_challenge_opportunities," ","")&amp;",")))=COUNTA(TEXTSPLIT(BI193,",")))))</f>
        <v/>
      </c>
      <c r="IY193" s="19">
        <f>AND(IF(BK193="",TRUE,IF(input_context="",FALSE,SUMPRODUCT(--ISNUMBER(SEARCH(","&amp;TRIM(TEXTSPLIT(BK193,","))&amp;",",","&amp;SUBSTITUTE(input_context," ","")&amp;",")))&gt;0)),IF(BM193="",TRUE,IF(input_context="",FALSE,SUMPRODUCT(--ISNUMBER(SEARCH(","&amp;TRIM(TEXTSPLIT(BM193,","))&amp;",",","&amp;SUBSTITUTE(input_context," ","")&amp;",")))=COUNTA(TEXTSPLIT(BM193,",")))),IF(BO193="",TRUE,IF(input_context="",TRUE,SUMPRODUCT(--ISNUMBER(SEARCH(","&amp;TRIM(TEXTSPLIT(BO193,","))&amp;",",","&amp;SUBSTITUTE(input_context," ","")&amp;",")))=0)),IF(BQ193="",TRUE,IF(input_context="",FALSE,SUMPRODUCT(--ISNUMBER(SEARCH(","&amp;TRIM(TEXTSPLIT(BQ193,","))&amp;",",","&amp;SUBSTITUTE(input_context," ","")&amp;",")))&gt;0)),IF(BS193="",TRUE,IF(input_context="",FALSE,SUMPRODUCT(--ISNUMBER(SEARCH(","&amp;TRIM(TEXTSPLIT(BS193,","))&amp;",",","&amp;SUBSTITUTE(input_context," ","")&amp;",")))=COUNTA(TEXTSPLIT(BS193,",")))))</f>
        <v/>
      </c>
      <c r="IZ193" s="19">
        <f>AND(IF(BU193="",TRUE,IF(input_enews_announcement_type="",FALSE,SUMPRODUCT(--ISNUMBER(SEARCH(","&amp;TRIM(TEXTSPLIT(BU193,","))&amp;",",","&amp;SUBSTITUTE(input_enews_announcement_type," ","")&amp;",")))&gt;0)),IF(BW193="",TRUE,IF(input_enews_announcement_type="",FALSE,SUMPRODUCT(--ISNUMBER(SEARCH(","&amp;TRIM(TEXTSPLIT(BW193,","))&amp;",",","&amp;SUBSTITUTE(input_enews_announcement_type," ","")&amp;",")))=COUNTA(TEXTSPLIT(BW193,",")))),IF(BY193="",TRUE,IF(input_enews_announcement_type="",TRUE,SUMPRODUCT(--ISNUMBER(SEARCH(","&amp;TRIM(TEXTSPLIT(BY193,","))&amp;",",","&amp;SUBSTITUTE(input_enews_announcement_type," ","")&amp;",")))=0)),IF(CA193="",TRUE,IF(input_enews_announcement_type="",FALSE,SUMPRODUCT(--ISNUMBER(SEARCH(","&amp;TRIM(TEXTSPLIT(CA193,","))&amp;",",","&amp;SUBSTITUTE(input_enews_announcement_type," ","")&amp;",")))&gt;0)),IF(CC193="",TRUE,IF(input_enews_announcement_type="",FALSE,SUMPRODUCT(--ISNUMBER(SEARCH(","&amp;TRIM(TEXTSPLIT(CC193,","))&amp;",",","&amp;SUBSTITUTE(input_enews_announcement_type," ","")&amp;",")))=COUNTA(TEXTSPLIT(CC193,",")))))</f>
        <v/>
      </c>
      <c r="JA193" s="19">
        <f>AND(IF(CE193="",TRUE,IF(input_enews_audience="",FALSE,SUMPRODUCT(--ISNUMBER(SEARCH(","&amp;TRIM(TEXTSPLIT(CE193,","))&amp;",",","&amp;SUBSTITUTE(input_enews_audience," ","")&amp;",")))&gt;0)),IF(CG193="",TRUE,IF(input_enews_audience="",FALSE,SUMPRODUCT(--ISNUMBER(SEARCH(","&amp;TRIM(TEXTSPLIT(CG193,","))&amp;",",","&amp;SUBSTITUTE(input_enews_audience," ","")&amp;",")))=COUNTA(TEXTSPLIT(CG193,",")))),IF(CI193="",TRUE,IF(input_enews_audience="",TRUE,SUMPRODUCT(--ISNUMBER(SEARCH(","&amp;TRIM(TEXTSPLIT(CI193,","))&amp;",",","&amp;SUBSTITUTE(input_enews_audience," ","")&amp;",")))=0)),IF(CK193="",TRUE,IF(input_enews_audience="",FALSE,SUMPRODUCT(--ISNUMBER(SEARCH(","&amp;TRIM(TEXTSPLIT(CK193,","))&amp;",",","&amp;SUBSTITUTE(input_enews_audience," ","")&amp;",")))&gt;0)),IF(CM193="",TRUE,IF(input_enews_audience="",FALSE,SUMPRODUCT(--ISNUMBER(SEARCH(","&amp;TRIM(TEXTSPLIT(CM193,","))&amp;",",","&amp;SUBSTITUTE(input_enews_audience," ","")&amp;",")))=COUNTA(TEXTSPLIT(CM193,",")))))</f>
        <v/>
      </c>
      <c r="JB193" s="19">
        <f>AND(IF(CO193="",TRUE,IF(input_event_location="",FALSE,SUMPRODUCT(--ISNUMBER(SEARCH(","&amp;TRIM(TEXTSPLIT(CO193,","))&amp;",",","&amp;SUBSTITUTE(input_event_location," ","")&amp;",")))&gt;0)),IF(CQ193="",TRUE,IF(input_event_location="",FALSE,SUMPRODUCT(--ISNUMBER(SEARCH(","&amp;TRIM(TEXTSPLIT(CQ193,","))&amp;",",","&amp;SUBSTITUTE(input_event_location," ","")&amp;",")))=COUNTA(TEXTSPLIT(CQ193,",")))),IF(CS193="",TRUE,IF(input_event_location="",TRUE,SUMPRODUCT(--ISNUMBER(SEARCH(","&amp;TRIM(TEXTSPLIT(CS193,","))&amp;",",","&amp;SUBSTITUTE(input_event_location," ","")&amp;",")))=0)),IF(CU193="",TRUE,IF(input_event_location="",FALSE,SUMPRODUCT(--ISNUMBER(SEARCH(","&amp;TRIM(TEXTSPLIT(CU193,","))&amp;",",","&amp;SUBSTITUTE(input_event_location," ","")&amp;",")))&gt;0)),IF(CW193="",TRUE,IF(input_event_location="",FALSE,SUMPRODUCT(--ISNUMBER(SEARCH(","&amp;TRIM(TEXTSPLIT(CW193,","))&amp;",",","&amp;SUBSTITUTE(input_event_location," ","")&amp;",")))=COUNTA(TEXTSPLIT(CW193,",")))))</f>
        <v/>
      </c>
      <c r="JC193" s="19">
        <f>AND(IF(CY193="",TRUE,IF(input_event_type="",FALSE,SUMPRODUCT(--ISNUMBER(SEARCH(","&amp;TRIM(TEXTSPLIT(CY193,","))&amp;",",","&amp;SUBSTITUTE(input_event_type," ","")&amp;",")))&gt;0)),IF(DA193="",TRUE,IF(input_event_type="",FALSE,SUMPRODUCT(--ISNUMBER(SEARCH(","&amp;TRIM(TEXTSPLIT(DA193,","))&amp;",",","&amp;SUBSTITUTE(input_event_type," ","")&amp;",")))=COUNTA(TEXTSPLIT(DA193,",")))),IF(DC193="",TRUE,IF(input_event_type="",TRUE,SUMPRODUCT(--ISNUMBER(SEARCH(","&amp;TRIM(TEXTSPLIT(DC193,","))&amp;",",","&amp;SUBSTITUTE(input_event_type," ","")&amp;",")))=0)),IF(DE193="",TRUE,IF(input_event_type="",FALSE,SUMPRODUCT(--ISNUMBER(SEARCH(","&amp;TRIM(TEXTSPLIT(DE193,","))&amp;",",","&amp;SUBSTITUTE(input_event_type," ","")&amp;",")))&gt;0)),IF(DG193="",TRUE,IF(input_event_type="",FALSE,SUMPRODUCT(--ISNUMBER(SEARCH(","&amp;TRIM(TEXTSPLIT(DG193,","))&amp;",",","&amp;SUBSTITUTE(input_event_type," ","")&amp;",")))=COUNTA(TEXTSPLIT(DG193,",")))))</f>
        <v/>
      </c>
      <c r="JD193" s="19">
        <f>AND(IF(DI193="",TRUE,IF(input_executive_education_focus="",FALSE,SUMPRODUCT(--ISNUMBER(SEARCH(","&amp;TRIM(TEXTSPLIT(DI193,","))&amp;",",","&amp;SUBSTITUTE(input_executive_education_focus," ","")&amp;",")))&gt;0)),IF(DK193="",TRUE,IF(input_executive_education_focus="",FALSE,SUMPRODUCT(--ISNUMBER(SEARCH(","&amp;TRIM(TEXTSPLIT(DK193,","))&amp;",",","&amp;SUBSTITUTE(input_executive_education_focus," ","")&amp;",")))=COUNTA(TEXTSPLIT(DK193,",")))),IF(DM193="",TRUE,IF(input_executive_education_focus="",TRUE,SUMPRODUCT(--ISNUMBER(SEARCH(","&amp;TRIM(TEXTSPLIT(DM193,","))&amp;",",","&amp;SUBSTITUTE(input_executive_education_focus," ","")&amp;",")))=0)),IF(DO193="",TRUE,IF(input_executive_education_focus="",FALSE,SUMPRODUCT(--ISNUMBER(SEARCH(","&amp;TRIM(TEXTSPLIT(DO193,","))&amp;",",","&amp;SUBSTITUTE(input_executive_education_focus," ","")&amp;",")))&gt;0)),IF(DQ193="",TRUE,IF(input_executive_education_focus="",FALSE,SUMPRODUCT(--ISNUMBER(SEARCH(","&amp;TRIM(TEXTSPLIT(DQ193,","))&amp;",",","&amp;SUBSTITUTE(input_executive_education_focus," ","")&amp;",")))=COUNTA(TEXTSPLIT(DQ193,",")))))</f>
        <v/>
      </c>
      <c r="JE193" s="19">
        <f>AND(IF(DS193="",TRUE,IF(input_faculty_category="",FALSE,SUMPRODUCT(--ISNUMBER(SEARCH(","&amp;TRIM(TEXTSPLIT(DS193,","))&amp;",",","&amp;SUBSTITUTE(input_faculty_category," ","")&amp;",")))&gt;0)),IF(DU193="",TRUE,IF(input_faculty_category="",FALSE,SUMPRODUCT(--ISNUMBER(SEARCH(","&amp;TRIM(TEXTSPLIT(DU193,","))&amp;",",","&amp;SUBSTITUTE(input_faculty_category," ","")&amp;",")))=COUNTA(TEXTSPLIT(DU193,",")))),IF(DW193="",TRUE,IF(input_faculty_category="",TRUE,SUMPRODUCT(--ISNUMBER(SEARCH(","&amp;TRIM(TEXTSPLIT(DW193,","))&amp;",",","&amp;SUBSTITUTE(input_faculty_category," ","")&amp;",")))=0)),IF(DY193="",TRUE,IF(input_faculty_category="",FALSE,SUMPRODUCT(--ISNUMBER(SEARCH(","&amp;TRIM(TEXTSPLIT(DY193,","))&amp;",",","&amp;SUBSTITUTE(input_faculty_category," ","")&amp;",")))&gt;0)),IF(EA193="",TRUE,IF(input_faculty_category="",FALSE,SUMPRODUCT(--ISNUMBER(SEARCH(","&amp;TRIM(TEXTSPLIT(EA193,","))&amp;",",","&amp;SUBSTITUTE(input_faculty_category," ","")&amp;",")))=COUNTA(TEXTSPLIT(EA193,",")))))</f>
        <v/>
      </c>
      <c r="JF193" s="19">
        <f>AND(IF(EC193="",TRUE,IF(input_faculty_discipline="",FALSE,SUMPRODUCT(--ISNUMBER(SEARCH(","&amp;TRIM(TEXTSPLIT(EC193,","))&amp;",",","&amp;SUBSTITUTE(input_faculty_discipline," ","")&amp;",")))&gt;0)),IF(EE193="",TRUE,IF(input_faculty_discipline="",FALSE,SUMPRODUCT(--ISNUMBER(SEARCH(","&amp;TRIM(TEXTSPLIT(EE193,","))&amp;",",","&amp;SUBSTITUTE(input_faculty_discipline," ","")&amp;",")))=COUNTA(TEXTSPLIT(EE193,",")))),IF(EG193="",TRUE,IF(input_faculty_discipline="",TRUE,SUMPRODUCT(--ISNUMBER(SEARCH(","&amp;TRIM(TEXTSPLIT(EG193,","))&amp;",",","&amp;SUBSTITUTE(input_faculty_discipline," ","")&amp;",")))=0)),IF(EI193="",TRUE,IF(input_faculty_discipline="",FALSE,SUMPRODUCT(--ISNUMBER(SEARCH(","&amp;TRIM(TEXTSPLIT(EI193,","))&amp;",",","&amp;SUBSTITUTE(input_faculty_discipline," ","")&amp;",")))&gt;0)),IF(EK193="",TRUE,IF(input_faculty_discipline="",FALSE,SUMPRODUCT(--ISNUMBER(SEARCH(","&amp;TRIM(TEXTSPLIT(EK193,","))&amp;",",","&amp;SUBSTITUTE(input_faculty_discipline," ","")&amp;",")))=COUNTA(TEXTSPLIT(EK193,",")))))</f>
        <v/>
      </c>
      <c r="JG193" s="19">
        <f>AND(IF(EM193="",TRUE,IF(input_faculty_expertise="",FALSE,SUMPRODUCT(--ISNUMBER(SEARCH(","&amp;TRIM(TEXTSPLIT(EM193,","))&amp;",",","&amp;SUBSTITUTE(input_faculty_expertise," ","")&amp;",")))&gt;0)),IF(EO193="",TRUE,IF(input_faculty_expertise="",FALSE,SUMPRODUCT(--ISNUMBER(SEARCH(","&amp;TRIM(TEXTSPLIT(EO193,","))&amp;",",","&amp;SUBSTITUTE(input_faculty_expertise," ","")&amp;",")))=COUNTA(TEXTSPLIT(EO193,",")))),IF(EQ193="",TRUE,IF(input_faculty_expertise="",TRUE,SUMPRODUCT(--ISNUMBER(SEARCH(","&amp;TRIM(TEXTSPLIT(EQ193,","))&amp;",",","&amp;SUBSTITUTE(input_faculty_expertise," ","")&amp;",")))=0)),IF(ES193="",TRUE,IF(input_faculty_expertise="",FALSE,SUMPRODUCT(--ISNUMBER(SEARCH(","&amp;TRIM(TEXTSPLIT(ES193,","))&amp;",",","&amp;SUBSTITUTE(input_faculty_expertise," ","")&amp;",")))&gt;0)),IF(EU193="",TRUE,IF(input_faculty_expertise="",FALSE,SUMPRODUCT(--ISNUMBER(SEARCH(","&amp;TRIM(TEXTSPLIT(EU193,","))&amp;",",","&amp;SUBSTITUTE(input_faculty_expertise," ","")&amp;",")))=COUNTA(TEXTSPLIT(EU193,",")))))</f>
        <v/>
      </c>
      <c r="JH193" s="19">
        <f>AND(IF(EW193="",TRUE,IF(input_global_network_school="",FALSE,SUMPRODUCT(--ISNUMBER(SEARCH(","&amp;TRIM(TEXTSPLIT(EW193,","))&amp;",",","&amp;SUBSTITUTE(input_global_network_school," ","")&amp;",")))&gt;0)),IF(EY193="",TRUE,IF(input_global_network_school="",FALSE,SUMPRODUCT(--ISNUMBER(SEARCH(","&amp;TRIM(TEXTSPLIT(EY193,","))&amp;",",","&amp;SUBSTITUTE(input_global_network_school," ","")&amp;",")))=COUNTA(TEXTSPLIT(EY193,",")))),IF(FA193="",TRUE,IF(input_global_network_school="",TRUE,SUMPRODUCT(--ISNUMBER(SEARCH(","&amp;TRIM(TEXTSPLIT(FA193,","))&amp;",",","&amp;SUBSTITUTE(input_global_network_school," ","")&amp;",")))=0)),IF(FC193="",TRUE,IF(input_global_network_school="",FALSE,SUMPRODUCT(--ISNUMBER(SEARCH(","&amp;TRIM(TEXTSPLIT(FC193,","))&amp;",",","&amp;SUBSTITUTE(input_global_network_school," ","")&amp;",")))&gt;0)),IF(FE193="",TRUE,IF(input_global_network_school="",FALSE,SUMPRODUCT(--ISNUMBER(SEARCH(","&amp;TRIM(TEXTSPLIT(FE193,","))&amp;",",","&amp;SUBSTITUTE(input_global_network_school," ","")&amp;",")))=COUNTA(TEXTSPLIT(FE193,",")))))</f>
        <v/>
      </c>
      <c r="JI193" s="19">
        <f>AND(IF(FG193="",TRUE,IF(input_industry="",FALSE,SUMPRODUCT(--ISNUMBER(SEARCH(","&amp;TRIM(TEXTSPLIT(FG193,","))&amp;",",","&amp;SUBSTITUTE(input_industry," ","")&amp;",")))&gt;0)),IF(FI193="",TRUE,IF(input_industry="",FALSE,SUMPRODUCT(--ISNUMBER(SEARCH(","&amp;TRIM(TEXTSPLIT(FI193,","))&amp;",",","&amp;SUBSTITUTE(input_industry," ","")&amp;",")))=COUNTA(TEXTSPLIT(FI193,",")))),IF(FK193="",TRUE,IF(input_industry="",TRUE,SUMPRODUCT(--ISNUMBER(SEARCH(","&amp;TRIM(TEXTSPLIT(FK193,","))&amp;",",","&amp;SUBSTITUTE(input_industry," ","")&amp;",")))=0)),IF(FM193="",TRUE,IF(input_industry="",FALSE,SUMPRODUCT(--ISNUMBER(SEARCH(","&amp;TRIM(TEXTSPLIT(FM193,","))&amp;",",","&amp;SUBSTITUTE(input_industry," ","")&amp;",")))&gt;0)),IF(FO193="",TRUE,IF(input_industry="",FALSE,SUMPRODUCT(--ISNUMBER(SEARCH(","&amp;TRIM(TEXTSPLIT(FO193,","))&amp;",",","&amp;SUBSTITUTE(input_industry," ","")&amp;",")))=COUNTA(TEXTSPLIT(FO193,",")))))</f>
        <v/>
      </c>
      <c r="JJ193" s="19">
        <f>AND(IF(FQ193="",TRUE,IF(input_location="",FALSE,SUMPRODUCT(--ISNUMBER(SEARCH(","&amp;TRIM(TEXTSPLIT(FQ193,","))&amp;",",","&amp;SUBSTITUTE(input_location," ","")&amp;",")))&gt;0)),IF(FS193="",TRUE,IF(input_location="",FALSE,SUMPRODUCT(--ISNUMBER(SEARCH(","&amp;TRIM(TEXTSPLIT(FS193,","))&amp;",",","&amp;SUBSTITUTE(input_location," ","")&amp;",")))=COUNTA(TEXTSPLIT(FS193,",")))),IF(FU193="",TRUE,IF(input_location="",TRUE,SUMPRODUCT(--ISNUMBER(SEARCH(","&amp;TRIM(TEXTSPLIT(FU193,","))&amp;",",","&amp;SUBSTITUTE(input_location," ","")&amp;",")))=0)),IF(FW193="",TRUE,IF(input_location="",FALSE,SUMPRODUCT(--ISNUMBER(SEARCH(","&amp;TRIM(TEXTSPLIT(FW193,","))&amp;",",","&amp;SUBSTITUTE(input_location," ","")&amp;",")))&gt;0)),IF(FY193="",TRUE,IF(input_location="",FALSE,SUMPRODUCT(--ISNUMBER(SEARCH(","&amp;TRIM(TEXTSPLIT(FY193,","))&amp;",",","&amp;SUBSTITUTE(input_location," ","")&amp;",")))=COUNTA(TEXTSPLIT(FY193,",")))))</f>
        <v/>
      </c>
      <c r="JK193" s="19">
        <f>AND(IF(GA193="",TRUE,IF(input_modality="",FALSE,SUMPRODUCT(--ISNUMBER(SEARCH(","&amp;TRIM(TEXTSPLIT(GA193,","))&amp;",",","&amp;SUBSTITUTE(input_modality," ","")&amp;",")))&gt;0)),IF(GC193="",TRUE,IF(input_modality="",FALSE,SUMPRODUCT(--ISNUMBER(SEARCH(","&amp;TRIM(TEXTSPLIT(GC193,","))&amp;",",","&amp;SUBSTITUTE(input_modality," ","")&amp;",")))=COUNTA(TEXTSPLIT(GC193,",")))),IF(GE193="",TRUE,IF(input_modality="",TRUE,SUMPRODUCT(--ISNUMBER(SEARCH(","&amp;TRIM(TEXTSPLIT(GE193,","))&amp;",",","&amp;SUBSTITUTE(input_modality," ","")&amp;",")))=0)),IF(GG193="",TRUE,IF(input_modality="",FALSE,SUMPRODUCT(--ISNUMBER(SEARCH(","&amp;TRIM(TEXTSPLIT(GG193,","))&amp;",",","&amp;SUBSTITUTE(input_modality," ","")&amp;",")))&gt;0)),IF(GI193="",TRUE,IF(input_modality="",FALSE,SUMPRODUCT(--ISNUMBER(SEARCH(","&amp;TRIM(TEXTSPLIT(GI193,","))&amp;",",","&amp;SUBSTITUTE(input_modality," ","")&amp;",")))=COUNTA(TEXTSPLIT(GI193,",")))))</f>
        <v/>
      </c>
      <c r="JL193" s="19">
        <f>AND(IF(GK193="",TRUE,IF(input_organizer="",FALSE,SUMPRODUCT(--ISNUMBER(SEARCH(","&amp;TRIM(TEXTSPLIT(GK193,","))&amp;",",","&amp;SUBSTITUTE(input_organizer," ","")&amp;",")))&gt;0)),IF(GM193="",TRUE,IF(input_organizer="",FALSE,SUMPRODUCT(--ISNUMBER(SEARCH(","&amp;TRIM(TEXTSPLIT(GM193,","))&amp;",",","&amp;SUBSTITUTE(input_organizer," ","")&amp;",")))=COUNTA(TEXTSPLIT(GM193,",")))),IF(GO193="",TRUE,IF(input_organizer="",TRUE,SUMPRODUCT(--ISNUMBER(SEARCH(","&amp;TRIM(TEXTSPLIT(GO193,","))&amp;",",","&amp;SUBSTITUTE(input_organizer," ","")&amp;",")))=0)),IF(GQ193="",TRUE,IF(input_organizer="",FALSE,SUMPRODUCT(--ISNUMBER(SEARCH(","&amp;TRIM(TEXTSPLIT(GQ193,","))&amp;",",","&amp;SUBSTITUTE(input_organizer," ","")&amp;",")))&gt;0)),IF(GS193="",TRUE,IF(input_organizer="",FALSE,SUMPRODUCT(--ISNUMBER(SEARCH(","&amp;TRIM(TEXTSPLIT(GS193,","))&amp;",",","&amp;SUBSTITUTE(input_organizer," ","")&amp;",")))=COUNTA(TEXTSPLIT(GS193,",")))))</f>
        <v/>
      </c>
      <c r="JM193" s="19">
        <f>AND(IF(GU193="",TRUE,IF(input_profile_type="",FALSE,SUMPRODUCT(--ISNUMBER(SEARCH(","&amp;TRIM(TEXTSPLIT(GU193,","))&amp;",",","&amp;SUBSTITUTE(input_profile_type," ","")&amp;",")))&gt;0)),IF(GW193="",TRUE,IF(input_profile_type="",FALSE,SUMPRODUCT(--ISNUMBER(SEARCH(","&amp;TRIM(TEXTSPLIT(GW193,","))&amp;",",","&amp;SUBSTITUTE(input_profile_type," ","")&amp;",")))=COUNTA(TEXTSPLIT(GW193,",")))),IF(GY193="",TRUE,IF(input_profile_type="",TRUE,SUMPRODUCT(--ISNUMBER(SEARCH(","&amp;TRIM(TEXTSPLIT(GY193,","))&amp;",",","&amp;SUBSTITUTE(input_profile_type," ","")&amp;",")))=0)),IF(HA193="",TRUE,IF(input_profile_type="",FALSE,SUMPRODUCT(--ISNUMBER(SEARCH(","&amp;TRIM(TEXTSPLIT(HA193,","))&amp;",",","&amp;SUBSTITUTE(input_profile_type," ","")&amp;",")))&gt;0)),IF(HC193="",TRUE,IF(input_profile_type="",FALSE,SUMPRODUCT(--ISNUMBER(SEARCH(","&amp;TRIM(TEXTSPLIT(HC193,","))&amp;",",","&amp;SUBSTITUTE(input_profile_type," ","")&amp;",")))=COUNTA(TEXTSPLIT(HC193,",")))))</f>
        <v/>
      </c>
      <c r="JN193" s="19">
        <f>AND(IF(HE193="",TRUE,IF(input_program="",FALSE,SUMPRODUCT(--ISNUMBER(SEARCH(","&amp;TRIM(TEXTSPLIT(HE193,","))&amp;",",","&amp;SUBSTITUTE(input_program," ","")&amp;",")))&gt;0)),IF(HG193="",TRUE,IF(input_program="",FALSE,SUMPRODUCT(--ISNUMBER(SEARCH(","&amp;TRIM(TEXTSPLIT(HG193,","))&amp;",",","&amp;SUBSTITUTE(input_program," ","")&amp;",")))=COUNTA(TEXTSPLIT(HG193,",")))),IF(HI193="",TRUE,IF(input_program="",TRUE,SUMPRODUCT(--ISNUMBER(SEARCH(","&amp;TRIM(TEXTSPLIT(HI193,","))&amp;",",","&amp;SUBSTITUTE(input_program," ","")&amp;",")))=0)),IF(HK193="",TRUE,IF(input_program="",FALSE,SUMPRODUCT(--ISNUMBER(SEARCH(","&amp;TRIM(TEXTSPLIT(HK193,","))&amp;",",","&amp;SUBSTITUTE(input_program," ","")&amp;",")))&gt;0)),IF(HM193="",TRUE,IF(input_program="",FALSE,SUMPRODUCT(--ISNUMBER(SEARCH(","&amp;TRIM(TEXTSPLIT(HM193,","))&amp;",",","&amp;SUBSTITUTE(input_program," ","")&amp;",")))=COUNTA(TEXTSPLIT(HM193,",")))))</f>
        <v/>
      </c>
      <c r="JO193" s="19">
        <f>AND(IF(HO193="",TRUE,IF(input_story_categories="",FALSE,SUMPRODUCT(--ISNUMBER(SEARCH(","&amp;TRIM(TEXTSPLIT(HO193,","))&amp;",",","&amp;SUBSTITUTE(input_story_categories," ","")&amp;",")))&gt;0)),IF(HQ193="",TRUE,IF(input_story_categories="",FALSE,SUMPRODUCT(--ISNUMBER(SEARCH(","&amp;TRIM(TEXTSPLIT(HQ193,","))&amp;",",","&amp;SUBSTITUTE(input_story_categories," ","")&amp;",")))=COUNTA(TEXTSPLIT(HQ193,",")))),IF(HS193="",TRUE,IF(input_story_categories="",TRUE,SUMPRODUCT(--ISNUMBER(SEARCH(","&amp;TRIM(TEXTSPLIT(HS193,","))&amp;",",","&amp;SUBSTITUTE(input_story_categories," ","")&amp;",")))=0)),IF(HU193="",TRUE,IF(input_story_categories="",FALSE,SUMPRODUCT(--ISNUMBER(SEARCH(","&amp;TRIM(TEXTSPLIT(HU193,","))&amp;",",","&amp;SUBSTITUTE(input_story_categories," ","")&amp;",")))&gt;0)),IF(HW193="",TRUE,IF(input_story_categories="",FALSE,SUMPRODUCT(--ISNUMBER(SEARCH(","&amp;TRIM(TEXTSPLIT(HW193,","))&amp;",",","&amp;SUBSTITUTE(input_story_categories," ","")&amp;",")))=COUNTA(TEXTSPLIT(HW193,",")))))</f>
        <v/>
      </c>
      <c r="JP193" s="19">
        <f>AND(IF(HY193="",TRUE,IF(input_story_type="",FALSE,SUMPRODUCT(--ISNUMBER(SEARCH(","&amp;TRIM(TEXTSPLIT(HY193,","))&amp;",",","&amp;SUBSTITUTE(input_story_type," ","")&amp;",")))&gt;0)),IF(IA193="",TRUE,IF(input_story_type="",FALSE,SUMPRODUCT(--ISNUMBER(SEARCH(","&amp;TRIM(TEXTSPLIT(IA193,","))&amp;",",","&amp;SUBSTITUTE(input_story_type," ","")&amp;",")))=COUNTA(TEXTSPLIT(IA193,",")))),IF(IC193="",TRUE,IF(input_story_type="",TRUE,SUMPRODUCT(--ISNUMBER(SEARCH(","&amp;TRIM(TEXTSPLIT(IC193,","))&amp;",",","&amp;SUBSTITUTE(input_story_type," ","")&amp;",")))=0)),IF(IE193="",TRUE,IF(input_story_type="",FALSE,SUMPRODUCT(--ISNUMBER(SEARCH(","&amp;TRIM(TEXTSPLIT(IE193,","))&amp;",",","&amp;SUBSTITUTE(input_story_type," ","")&amp;",")))&gt;0)),IF(IG193="",TRUE,IF(input_story_type="",FALSE,SUMPRODUCT(--ISNUMBER(SEARCH(","&amp;TRIM(TEXTSPLIT(IG193,","))&amp;",",","&amp;SUBSTITUTE(input_story_type," ","")&amp;",")))=COUNTA(TEXTSPLIT(IG193,",")))))</f>
        <v/>
      </c>
      <c r="JQ193" s="19">
        <f>AND(IF(II193="",TRUE,IF(input_topics="",FALSE,SUMPRODUCT(--ISNUMBER(SEARCH(","&amp;TRIM(TEXTSPLIT(II193,","))&amp;",",","&amp;SUBSTITUTE(input_topics," ","")&amp;",")))&gt;0)),IF(IK193="",TRUE,IF(input_topics="",FALSE,SUMPRODUCT(--ISNUMBER(SEARCH(","&amp;TRIM(TEXTSPLIT(IK193,","))&amp;",",","&amp;SUBSTITUTE(input_topics," ","")&amp;",")))=COUNTA(TEXTSPLIT(IK193,",")))),IF(IM193="",TRUE,IF(input_topics="",TRUE,SUMPRODUCT(--ISNUMBER(SEARCH(","&amp;TRIM(TEXTSPLIT(IM193,","))&amp;",",","&amp;SUBSTITUTE(input_topics," ","")&amp;",")))=0)),IF(IO193="",TRUE,IF(input_topics="",FALSE,SUMPRODUCT(--ISNUMBER(SEARCH(","&amp;TRIM(TEXTSPLIT(IO193,","))&amp;",",","&amp;SUBSTITUTE(input_topics," ","")&amp;",")))&gt;0)),IF(IQ193="",TRUE,IF(input_topics="",FALSE,SUMPRODUCT(--ISNUMBER(SEARCH(","&amp;TRIM(TEXTSPLIT(IQ193,","))&amp;",",","&amp;SUBSTITUTE(input_topics," ","")&amp;",")))=COUNTA(TEXTSPLIT(IQ193,",")))))</f>
        <v/>
      </c>
    </row>
    <row r="194">
      <c r="A194" s="24">
        <f>IF(NOT(IS194),"Excluded",IF(AND(IT194,IU194,IV194,IW194,IX194,IY194,IZ194,JA194,JB194,JC194,JD194,JE194,JF194,JG194,JH194,JI194,JJ194,JK194,JL194,JM194,JN194,JO194,JP194,JQ194),IF(I194&gt;0,"Eligible but limited","Will appear"),"Excluded"))</f>
        <v/>
      </c>
      <c r="B194" s="24" t="inlineStr">
        <is>
          <t>Related stories on story pages</t>
        </is>
      </c>
      <c r="C194" s="27" t="inlineStr">
        <is>
          <t>/story/2022/can-companies-be-net-positive-society-paul-polman-former-unilever-ceo-thinks-so</t>
        </is>
      </c>
      <c r="D194" s="24" t="inlineStr">
        <is>
          <t>/story/2022/can-companies-be-net-positive-society-paul-polman-former-unilever-ceo-thinks-so
/story/2022/net-impact-case-competition
/story/2022/role-arts-organizations-anchoring-community-economic-development</t>
        </is>
      </c>
      <c r="E194" s="24" t="n">
        <v>6</v>
      </c>
      <c r="F194" s="24" t="inlineStr">
        <is>
          <t>story</t>
        </is>
      </c>
      <c r="G194" s="24" t="inlineStr">
        <is>
          <t>stories_teaser_cards</t>
        </is>
      </c>
      <c r="H194" s="24" t="inlineStr">
        <is>
          <t>embed_all</t>
        </is>
      </c>
      <c r="I194" s="24" t="n">
        <v>3</v>
      </c>
      <c r="J194" s="31" t="inlineStr">
        <is>
          <t>Template logic</t>
        </is>
      </c>
      <c r="K194" s="24" t="inlineStr">
        <is>
          <t>Grouped surface</t>
        </is>
      </c>
      <c r="L194" s="24" t="inlineStr">
        <is>
          <t>Content type: story; Context uses Courses Context: Program on Social Enterprise, Innovation, and Impact (933); Context uses Story Type: Blog (974); Limited to 3 item(s); Source: Template logic</t>
        </is>
      </c>
      <c r="BQ194" s="19" t="inlineStr">
        <is>
          <t>933</t>
        </is>
      </c>
      <c r="BR194" s="19" t="inlineStr">
        <is>
          <t>Program on Social Enterprise, Innovation, and Impact (933)</t>
        </is>
      </c>
      <c r="IE194" s="19" t="inlineStr">
        <is>
          <t>974</t>
        </is>
      </c>
      <c r="IF194" s="19" t="inlineStr">
        <is>
          <t>Blog (974)</t>
        </is>
      </c>
      <c r="IS194" s="19">
        <f>IF(input_content_type="",FALSE,ISNUMBER(SEARCH(","&amp;LOWER(input_content_type)&amp;",",","&amp;LOWER(SUBSTITUTE(F194," ",""))&amp;",")))</f>
        <v/>
      </c>
      <c r="IT194" s="19">
        <f>AND(IF(M194="",TRUE,IF(input_affiliations="",FALSE,SUMPRODUCT(--ISNUMBER(SEARCH(","&amp;TRIM(TEXTSPLIT(M194,","))&amp;",",","&amp;SUBSTITUTE(input_affiliations," ","")&amp;",")))&gt;0)),IF(O194="",TRUE,IF(input_affiliations="",FALSE,SUMPRODUCT(--ISNUMBER(SEARCH(","&amp;TRIM(TEXTSPLIT(O194,","))&amp;",",","&amp;SUBSTITUTE(input_affiliations," ","")&amp;",")))=COUNTA(TEXTSPLIT(O194,",")))),IF(Q194="",TRUE,IF(input_affiliations="",TRUE,SUMPRODUCT(--ISNUMBER(SEARCH(","&amp;TRIM(TEXTSPLIT(Q194,","))&amp;",",","&amp;SUBSTITUTE(input_affiliations," ","")&amp;",")))=0)),IF(S194="",TRUE,IF(input_affiliations="",FALSE,SUMPRODUCT(--ISNUMBER(SEARCH(","&amp;TRIM(TEXTSPLIT(S194,","))&amp;",",","&amp;SUBSTITUTE(input_affiliations," ","")&amp;",")))&gt;0)),IF(U194="",TRUE,IF(input_affiliations="",FALSE,SUMPRODUCT(--ISNUMBER(SEARCH(","&amp;TRIM(TEXTSPLIT(U194,","))&amp;",",","&amp;SUBSTITUTE(input_affiliations," ","")&amp;",")))=COUNTA(TEXTSPLIT(U194,",")))))</f>
        <v/>
      </c>
      <c r="IU194" s="19">
        <f>AND(IF(W194="",TRUE,IF(input_announcement_category="",FALSE,SUMPRODUCT(--ISNUMBER(SEARCH(","&amp;TRIM(TEXTSPLIT(W194,","))&amp;",",","&amp;SUBSTITUTE(input_announcement_category," ","")&amp;",")))&gt;0)),IF(Y194="",TRUE,IF(input_announcement_category="",FALSE,SUMPRODUCT(--ISNUMBER(SEARCH(","&amp;TRIM(TEXTSPLIT(Y194,","))&amp;",",","&amp;SUBSTITUTE(input_announcement_category," ","")&amp;",")))=COUNTA(TEXTSPLIT(Y194,",")))),IF(AA194="",TRUE,IF(input_announcement_category="",TRUE,SUMPRODUCT(--ISNUMBER(SEARCH(","&amp;TRIM(TEXTSPLIT(AA194,","))&amp;",",","&amp;SUBSTITUTE(input_announcement_category," ","")&amp;",")))=0)),IF(AC194="",TRUE,IF(input_announcement_category="",FALSE,SUMPRODUCT(--ISNUMBER(SEARCH(","&amp;TRIM(TEXTSPLIT(AC194,","))&amp;",",","&amp;SUBSTITUTE(input_announcement_category," ","")&amp;",")))&gt;0)),IF(AE194="",TRUE,IF(input_announcement_category="",FALSE,SUMPRODUCT(--ISNUMBER(SEARCH(","&amp;TRIM(TEXTSPLIT(AE194,","))&amp;",",","&amp;SUBSTITUTE(input_announcement_category," ","")&amp;",")))=COUNTA(TEXTSPLIT(AE194,",")))))</f>
        <v/>
      </c>
      <c r="IV194" s="19">
        <f>AND(IF(AG194="",TRUE,IF(input_area_of_focus="",FALSE,SUMPRODUCT(--ISNUMBER(SEARCH(","&amp;TRIM(TEXTSPLIT(AG194,","))&amp;",",","&amp;SUBSTITUTE(input_area_of_focus," ","")&amp;",")))&gt;0)),IF(AI194="",TRUE,IF(input_area_of_focus="",FALSE,SUMPRODUCT(--ISNUMBER(SEARCH(","&amp;TRIM(TEXTSPLIT(AI194,","))&amp;",",","&amp;SUBSTITUTE(input_area_of_focus," ","")&amp;",")))=COUNTA(TEXTSPLIT(AI194,",")))),IF(AK194="",TRUE,IF(input_area_of_focus="",TRUE,SUMPRODUCT(--ISNUMBER(SEARCH(","&amp;TRIM(TEXTSPLIT(AK194,","))&amp;",",","&amp;SUBSTITUTE(input_area_of_focus," ","")&amp;",")))=0)),IF(AM194="",TRUE,IF(input_area_of_focus="",FALSE,SUMPRODUCT(--ISNUMBER(SEARCH(","&amp;TRIM(TEXTSPLIT(AM194,","))&amp;",",","&amp;SUBSTITUTE(input_area_of_focus," ","")&amp;",")))&gt;0)),IF(AO194="",TRUE,IF(input_area_of_focus="",FALSE,SUMPRODUCT(--ISNUMBER(SEARCH(","&amp;TRIM(TEXTSPLIT(AO194,","))&amp;",",","&amp;SUBSTITUTE(input_area_of_focus," ","")&amp;",")))=COUNTA(TEXTSPLIT(AO194,",")))))</f>
        <v/>
      </c>
      <c r="IW194" s="19">
        <f>AND(IF(AQ194="",TRUE,IF(input_audience="",FALSE,SUMPRODUCT(--ISNUMBER(SEARCH(","&amp;TRIM(TEXTSPLIT(AQ194,","))&amp;",",","&amp;SUBSTITUTE(input_audience," ","")&amp;",")))&gt;0)),IF(AS194="",TRUE,IF(input_audience="",FALSE,SUMPRODUCT(--ISNUMBER(SEARCH(","&amp;TRIM(TEXTSPLIT(AS194,","))&amp;",",","&amp;SUBSTITUTE(input_audience," ","")&amp;",")))=COUNTA(TEXTSPLIT(AS194,",")))),IF(AU194="",TRUE,IF(input_audience="",TRUE,SUMPRODUCT(--ISNUMBER(SEARCH(","&amp;TRIM(TEXTSPLIT(AU194,","))&amp;",",","&amp;SUBSTITUTE(input_audience," ","")&amp;",")))=0)),IF(AW194="",TRUE,IF(input_audience="",FALSE,SUMPRODUCT(--ISNUMBER(SEARCH(","&amp;TRIM(TEXTSPLIT(AW194,","))&amp;",",","&amp;SUBSTITUTE(input_audience," ","")&amp;",")))&gt;0)),IF(AY194="",TRUE,IF(input_audience="",FALSE,SUMPRODUCT(--ISNUMBER(SEARCH(","&amp;TRIM(TEXTSPLIT(AY194,","))&amp;",",","&amp;SUBSTITUTE(input_audience," ","")&amp;",")))=COUNTA(TEXTSPLIT(AY194,",")))))</f>
        <v/>
      </c>
      <c r="IX194" s="19">
        <f>AND(IF(BA194="",TRUE,IF(input_challenge_opportunities="",FALSE,SUMPRODUCT(--ISNUMBER(SEARCH(","&amp;TRIM(TEXTSPLIT(BA194,","))&amp;",",","&amp;SUBSTITUTE(input_challenge_opportunities," ","")&amp;",")))&gt;0)),IF(BC194="",TRUE,IF(input_challenge_opportunities="",FALSE,SUMPRODUCT(--ISNUMBER(SEARCH(","&amp;TRIM(TEXTSPLIT(BC194,","))&amp;",",","&amp;SUBSTITUTE(input_challenge_opportunities," ","")&amp;",")))=COUNTA(TEXTSPLIT(BC194,",")))),IF(BE194="",TRUE,IF(input_challenge_opportunities="",TRUE,SUMPRODUCT(--ISNUMBER(SEARCH(","&amp;TRIM(TEXTSPLIT(BE194,","))&amp;",",","&amp;SUBSTITUTE(input_challenge_opportunities," ","")&amp;",")))=0)),IF(BG194="",TRUE,IF(input_challenge_opportunities="",FALSE,SUMPRODUCT(--ISNUMBER(SEARCH(","&amp;TRIM(TEXTSPLIT(BG194,","))&amp;",",","&amp;SUBSTITUTE(input_challenge_opportunities," ","")&amp;",")))&gt;0)),IF(BI194="",TRUE,IF(input_challenge_opportunities="",FALSE,SUMPRODUCT(--ISNUMBER(SEARCH(","&amp;TRIM(TEXTSPLIT(BI194,","))&amp;",",","&amp;SUBSTITUTE(input_challenge_opportunities," ","")&amp;",")))=COUNTA(TEXTSPLIT(BI194,",")))))</f>
        <v/>
      </c>
      <c r="IY194" s="19">
        <f>AND(IF(BK194="",TRUE,IF(input_context="",FALSE,SUMPRODUCT(--ISNUMBER(SEARCH(","&amp;TRIM(TEXTSPLIT(BK194,","))&amp;",",","&amp;SUBSTITUTE(input_context," ","")&amp;",")))&gt;0)),IF(BM194="",TRUE,IF(input_context="",FALSE,SUMPRODUCT(--ISNUMBER(SEARCH(","&amp;TRIM(TEXTSPLIT(BM194,","))&amp;",",","&amp;SUBSTITUTE(input_context," ","")&amp;",")))=COUNTA(TEXTSPLIT(BM194,",")))),IF(BO194="",TRUE,IF(input_context="",TRUE,SUMPRODUCT(--ISNUMBER(SEARCH(","&amp;TRIM(TEXTSPLIT(BO194,","))&amp;",",","&amp;SUBSTITUTE(input_context," ","")&amp;",")))=0)),IF(BQ194="",TRUE,IF(input_context="",FALSE,SUMPRODUCT(--ISNUMBER(SEARCH(","&amp;TRIM(TEXTSPLIT(BQ194,","))&amp;",",","&amp;SUBSTITUTE(input_context," ","")&amp;",")))&gt;0)),IF(BS194="",TRUE,IF(input_context="",FALSE,SUMPRODUCT(--ISNUMBER(SEARCH(","&amp;TRIM(TEXTSPLIT(BS194,","))&amp;",",","&amp;SUBSTITUTE(input_context," ","")&amp;",")))=COUNTA(TEXTSPLIT(BS194,",")))))</f>
        <v/>
      </c>
      <c r="IZ194" s="19">
        <f>AND(IF(BU194="",TRUE,IF(input_enews_announcement_type="",FALSE,SUMPRODUCT(--ISNUMBER(SEARCH(","&amp;TRIM(TEXTSPLIT(BU194,","))&amp;",",","&amp;SUBSTITUTE(input_enews_announcement_type," ","")&amp;",")))&gt;0)),IF(BW194="",TRUE,IF(input_enews_announcement_type="",FALSE,SUMPRODUCT(--ISNUMBER(SEARCH(","&amp;TRIM(TEXTSPLIT(BW194,","))&amp;",",","&amp;SUBSTITUTE(input_enews_announcement_type," ","")&amp;",")))=COUNTA(TEXTSPLIT(BW194,",")))),IF(BY194="",TRUE,IF(input_enews_announcement_type="",TRUE,SUMPRODUCT(--ISNUMBER(SEARCH(","&amp;TRIM(TEXTSPLIT(BY194,","))&amp;",",","&amp;SUBSTITUTE(input_enews_announcement_type," ","")&amp;",")))=0)),IF(CA194="",TRUE,IF(input_enews_announcement_type="",FALSE,SUMPRODUCT(--ISNUMBER(SEARCH(","&amp;TRIM(TEXTSPLIT(CA194,","))&amp;",",","&amp;SUBSTITUTE(input_enews_announcement_type," ","")&amp;",")))&gt;0)),IF(CC194="",TRUE,IF(input_enews_announcement_type="",FALSE,SUMPRODUCT(--ISNUMBER(SEARCH(","&amp;TRIM(TEXTSPLIT(CC194,","))&amp;",",","&amp;SUBSTITUTE(input_enews_announcement_type," ","")&amp;",")))=COUNTA(TEXTSPLIT(CC194,",")))))</f>
        <v/>
      </c>
      <c r="JA194" s="19">
        <f>AND(IF(CE194="",TRUE,IF(input_enews_audience="",FALSE,SUMPRODUCT(--ISNUMBER(SEARCH(","&amp;TRIM(TEXTSPLIT(CE194,","))&amp;",",","&amp;SUBSTITUTE(input_enews_audience," ","")&amp;",")))&gt;0)),IF(CG194="",TRUE,IF(input_enews_audience="",FALSE,SUMPRODUCT(--ISNUMBER(SEARCH(","&amp;TRIM(TEXTSPLIT(CG194,","))&amp;",",","&amp;SUBSTITUTE(input_enews_audience," ","")&amp;",")))=COUNTA(TEXTSPLIT(CG194,",")))),IF(CI194="",TRUE,IF(input_enews_audience="",TRUE,SUMPRODUCT(--ISNUMBER(SEARCH(","&amp;TRIM(TEXTSPLIT(CI194,","))&amp;",",","&amp;SUBSTITUTE(input_enews_audience," ","")&amp;",")))=0)),IF(CK194="",TRUE,IF(input_enews_audience="",FALSE,SUMPRODUCT(--ISNUMBER(SEARCH(","&amp;TRIM(TEXTSPLIT(CK194,","))&amp;",",","&amp;SUBSTITUTE(input_enews_audience," ","")&amp;",")))&gt;0)),IF(CM194="",TRUE,IF(input_enews_audience="",FALSE,SUMPRODUCT(--ISNUMBER(SEARCH(","&amp;TRIM(TEXTSPLIT(CM194,","))&amp;",",","&amp;SUBSTITUTE(input_enews_audience," ","")&amp;",")))=COUNTA(TEXTSPLIT(CM194,",")))))</f>
        <v/>
      </c>
      <c r="JB194" s="19">
        <f>AND(IF(CO194="",TRUE,IF(input_event_location="",FALSE,SUMPRODUCT(--ISNUMBER(SEARCH(","&amp;TRIM(TEXTSPLIT(CO194,","))&amp;",",","&amp;SUBSTITUTE(input_event_location," ","")&amp;",")))&gt;0)),IF(CQ194="",TRUE,IF(input_event_location="",FALSE,SUMPRODUCT(--ISNUMBER(SEARCH(","&amp;TRIM(TEXTSPLIT(CQ194,","))&amp;",",","&amp;SUBSTITUTE(input_event_location," ","")&amp;",")))=COUNTA(TEXTSPLIT(CQ194,",")))),IF(CS194="",TRUE,IF(input_event_location="",TRUE,SUMPRODUCT(--ISNUMBER(SEARCH(","&amp;TRIM(TEXTSPLIT(CS194,","))&amp;",",","&amp;SUBSTITUTE(input_event_location," ","")&amp;",")))=0)),IF(CU194="",TRUE,IF(input_event_location="",FALSE,SUMPRODUCT(--ISNUMBER(SEARCH(","&amp;TRIM(TEXTSPLIT(CU194,","))&amp;",",","&amp;SUBSTITUTE(input_event_location," ","")&amp;",")))&gt;0)),IF(CW194="",TRUE,IF(input_event_location="",FALSE,SUMPRODUCT(--ISNUMBER(SEARCH(","&amp;TRIM(TEXTSPLIT(CW194,","))&amp;",",","&amp;SUBSTITUTE(input_event_location," ","")&amp;",")))=COUNTA(TEXTSPLIT(CW194,",")))))</f>
        <v/>
      </c>
      <c r="JC194" s="19">
        <f>AND(IF(CY194="",TRUE,IF(input_event_type="",FALSE,SUMPRODUCT(--ISNUMBER(SEARCH(","&amp;TRIM(TEXTSPLIT(CY194,","))&amp;",",","&amp;SUBSTITUTE(input_event_type," ","")&amp;",")))&gt;0)),IF(DA194="",TRUE,IF(input_event_type="",FALSE,SUMPRODUCT(--ISNUMBER(SEARCH(","&amp;TRIM(TEXTSPLIT(DA194,","))&amp;",",","&amp;SUBSTITUTE(input_event_type," ","")&amp;",")))=COUNTA(TEXTSPLIT(DA194,",")))),IF(DC194="",TRUE,IF(input_event_type="",TRUE,SUMPRODUCT(--ISNUMBER(SEARCH(","&amp;TRIM(TEXTSPLIT(DC194,","))&amp;",",","&amp;SUBSTITUTE(input_event_type," ","")&amp;",")))=0)),IF(DE194="",TRUE,IF(input_event_type="",FALSE,SUMPRODUCT(--ISNUMBER(SEARCH(","&amp;TRIM(TEXTSPLIT(DE194,","))&amp;",",","&amp;SUBSTITUTE(input_event_type," ","")&amp;",")))&gt;0)),IF(DG194="",TRUE,IF(input_event_type="",FALSE,SUMPRODUCT(--ISNUMBER(SEARCH(","&amp;TRIM(TEXTSPLIT(DG194,","))&amp;",",","&amp;SUBSTITUTE(input_event_type," ","")&amp;",")))=COUNTA(TEXTSPLIT(DG194,",")))))</f>
        <v/>
      </c>
      <c r="JD194" s="19">
        <f>AND(IF(DI194="",TRUE,IF(input_executive_education_focus="",FALSE,SUMPRODUCT(--ISNUMBER(SEARCH(","&amp;TRIM(TEXTSPLIT(DI194,","))&amp;",",","&amp;SUBSTITUTE(input_executive_education_focus," ","")&amp;",")))&gt;0)),IF(DK194="",TRUE,IF(input_executive_education_focus="",FALSE,SUMPRODUCT(--ISNUMBER(SEARCH(","&amp;TRIM(TEXTSPLIT(DK194,","))&amp;",",","&amp;SUBSTITUTE(input_executive_education_focus," ","")&amp;",")))=COUNTA(TEXTSPLIT(DK194,",")))),IF(DM194="",TRUE,IF(input_executive_education_focus="",TRUE,SUMPRODUCT(--ISNUMBER(SEARCH(","&amp;TRIM(TEXTSPLIT(DM194,","))&amp;",",","&amp;SUBSTITUTE(input_executive_education_focus," ","")&amp;",")))=0)),IF(DO194="",TRUE,IF(input_executive_education_focus="",FALSE,SUMPRODUCT(--ISNUMBER(SEARCH(","&amp;TRIM(TEXTSPLIT(DO194,","))&amp;",",","&amp;SUBSTITUTE(input_executive_education_focus," ","")&amp;",")))&gt;0)),IF(DQ194="",TRUE,IF(input_executive_education_focus="",FALSE,SUMPRODUCT(--ISNUMBER(SEARCH(","&amp;TRIM(TEXTSPLIT(DQ194,","))&amp;",",","&amp;SUBSTITUTE(input_executive_education_focus," ","")&amp;",")))=COUNTA(TEXTSPLIT(DQ194,",")))))</f>
        <v/>
      </c>
      <c r="JE194" s="19">
        <f>AND(IF(DS194="",TRUE,IF(input_faculty_category="",FALSE,SUMPRODUCT(--ISNUMBER(SEARCH(","&amp;TRIM(TEXTSPLIT(DS194,","))&amp;",",","&amp;SUBSTITUTE(input_faculty_category," ","")&amp;",")))&gt;0)),IF(DU194="",TRUE,IF(input_faculty_category="",FALSE,SUMPRODUCT(--ISNUMBER(SEARCH(","&amp;TRIM(TEXTSPLIT(DU194,","))&amp;",",","&amp;SUBSTITUTE(input_faculty_category," ","")&amp;",")))=COUNTA(TEXTSPLIT(DU194,",")))),IF(DW194="",TRUE,IF(input_faculty_category="",TRUE,SUMPRODUCT(--ISNUMBER(SEARCH(","&amp;TRIM(TEXTSPLIT(DW194,","))&amp;",",","&amp;SUBSTITUTE(input_faculty_category," ","")&amp;",")))=0)),IF(DY194="",TRUE,IF(input_faculty_category="",FALSE,SUMPRODUCT(--ISNUMBER(SEARCH(","&amp;TRIM(TEXTSPLIT(DY194,","))&amp;",",","&amp;SUBSTITUTE(input_faculty_category," ","")&amp;",")))&gt;0)),IF(EA194="",TRUE,IF(input_faculty_category="",FALSE,SUMPRODUCT(--ISNUMBER(SEARCH(","&amp;TRIM(TEXTSPLIT(EA194,","))&amp;",",","&amp;SUBSTITUTE(input_faculty_category," ","")&amp;",")))=COUNTA(TEXTSPLIT(EA194,",")))))</f>
        <v/>
      </c>
      <c r="JF194" s="19">
        <f>AND(IF(EC194="",TRUE,IF(input_faculty_discipline="",FALSE,SUMPRODUCT(--ISNUMBER(SEARCH(","&amp;TRIM(TEXTSPLIT(EC194,","))&amp;",",","&amp;SUBSTITUTE(input_faculty_discipline," ","")&amp;",")))&gt;0)),IF(EE194="",TRUE,IF(input_faculty_discipline="",FALSE,SUMPRODUCT(--ISNUMBER(SEARCH(","&amp;TRIM(TEXTSPLIT(EE194,","))&amp;",",","&amp;SUBSTITUTE(input_faculty_discipline," ","")&amp;",")))=COUNTA(TEXTSPLIT(EE194,",")))),IF(EG194="",TRUE,IF(input_faculty_discipline="",TRUE,SUMPRODUCT(--ISNUMBER(SEARCH(","&amp;TRIM(TEXTSPLIT(EG194,","))&amp;",",","&amp;SUBSTITUTE(input_faculty_discipline," ","")&amp;",")))=0)),IF(EI194="",TRUE,IF(input_faculty_discipline="",FALSE,SUMPRODUCT(--ISNUMBER(SEARCH(","&amp;TRIM(TEXTSPLIT(EI194,","))&amp;",",","&amp;SUBSTITUTE(input_faculty_discipline," ","")&amp;",")))&gt;0)),IF(EK194="",TRUE,IF(input_faculty_discipline="",FALSE,SUMPRODUCT(--ISNUMBER(SEARCH(","&amp;TRIM(TEXTSPLIT(EK194,","))&amp;",",","&amp;SUBSTITUTE(input_faculty_discipline," ","")&amp;",")))=COUNTA(TEXTSPLIT(EK194,",")))))</f>
        <v/>
      </c>
      <c r="JG194" s="19">
        <f>AND(IF(EM194="",TRUE,IF(input_faculty_expertise="",FALSE,SUMPRODUCT(--ISNUMBER(SEARCH(","&amp;TRIM(TEXTSPLIT(EM194,","))&amp;",",","&amp;SUBSTITUTE(input_faculty_expertise," ","")&amp;",")))&gt;0)),IF(EO194="",TRUE,IF(input_faculty_expertise="",FALSE,SUMPRODUCT(--ISNUMBER(SEARCH(","&amp;TRIM(TEXTSPLIT(EO194,","))&amp;",",","&amp;SUBSTITUTE(input_faculty_expertise," ","")&amp;",")))=COUNTA(TEXTSPLIT(EO194,",")))),IF(EQ194="",TRUE,IF(input_faculty_expertise="",TRUE,SUMPRODUCT(--ISNUMBER(SEARCH(","&amp;TRIM(TEXTSPLIT(EQ194,","))&amp;",",","&amp;SUBSTITUTE(input_faculty_expertise," ","")&amp;",")))=0)),IF(ES194="",TRUE,IF(input_faculty_expertise="",FALSE,SUMPRODUCT(--ISNUMBER(SEARCH(","&amp;TRIM(TEXTSPLIT(ES194,","))&amp;",",","&amp;SUBSTITUTE(input_faculty_expertise," ","")&amp;",")))&gt;0)),IF(EU194="",TRUE,IF(input_faculty_expertise="",FALSE,SUMPRODUCT(--ISNUMBER(SEARCH(","&amp;TRIM(TEXTSPLIT(EU194,","))&amp;",",","&amp;SUBSTITUTE(input_faculty_expertise," ","")&amp;",")))=COUNTA(TEXTSPLIT(EU194,",")))))</f>
        <v/>
      </c>
      <c r="JH194" s="19">
        <f>AND(IF(EW194="",TRUE,IF(input_global_network_school="",FALSE,SUMPRODUCT(--ISNUMBER(SEARCH(","&amp;TRIM(TEXTSPLIT(EW194,","))&amp;",",","&amp;SUBSTITUTE(input_global_network_school," ","")&amp;",")))&gt;0)),IF(EY194="",TRUE,IF(input_global_network_school="",FALSE,SUMPRODUCT(--ISNUMBER(SEARCH(","&amp;TRIM(TEXTSPLIT(EY194,","))&amp;",",","&amp;SUBSTITUTE(input_global_network_school," ","")&amp;",")))=COUNTA(TEXTSPLIT(EY194,",")))),IF(FA194="",TRUE,IF(input_global_network_school="",TRUE,SUMPRODUCT(--ISNUMBER(SEARCH(","&amp;TRIM(TEXTSPLIT(FA194,","))&amp;",",","&amp;SUBSTITUTE(input_global_network_school," ","")&amp;",")))=0)),IF(FC194="",TRUE,IF(input_global_network_school="",FALSE,SUMPRODUCT(--ISNUMBER(SEARCH(","&amp;TRIM(TEXTSPLIT(FC194,","))&amp;",",","&amp;SUBSTITUTE(input_global_network_school," ","")&amp;",")))&gt;0)),IF(FE194="",TRUE,IF(input_global_network_school="",FALSE,SUMPRODUCT(--ISNUMBER(SEARCH(","&amp;TRIM(TEXTSPLIT(FE194,","))&amp;",",","&amp;SUBSTITUTE(input_global_network_school," ","")&amp;",")))=COUNTA(TEXTSPLIT(FE194,",")))))</f>
        <v/>
      </c>
      <c r="JI194" s="19">
        <f>AND(IF(FG194="",TRUE,IF(input_industry="",FALSE,SUMPRODUCT(--ISNUMBER(SEARCH(","&amp;TRIM(TEXTSPLIT(FG194,","))&amp;",",","&amp;SUBSTITUTE(input_industry," ","")&amp;",")))&gt;0)),IF(FI194="",TRUE,IF(input_industry="",FALSE,SUMPRODUCT(--ISNUMBER(SEARCH(","&amp;TRIM(TEXTSPLIT(FI194,","))&amp;",",","&amp;SUBSTITUTE(input_industry," ","")&amp;",")))=COUNTA(TEXTSPLIT(FI194,",")))),IF(FK194="",TRUE,IF(input_industry="",TRUE,SUMPRODUCT(--ISNUMBER(SEARCH(","&amp;TRIM(TEXTSPLIT(FK194,","))&amp;",",","&amp;SUBSTITUTE(input_industry," ","")&amp;",")))=0)),IF(FM194="",TRUE,IF(input_industry="",FALSE,SUMPRODUCT(--ISNUMBER(SEARCH(","&amp;TRIM(TEXTSPLIT(FM194,","))&amp;",",","&amp;SUBSTITUTE(input_industry," ","")&amp;",")))&gt;0)),IF(FO194="",TRUE,IF(input_industry="",FALSE,SUMPRODUCT(--ISNUMBER(SEARCH(","&amp;TRIM(TEXTSPLIT(FO194,","))&amp;",",","&amp;SUBSTITUTE(input_industry," ","")&amp;",")))=COUNTA(TEXTSPLIT(FO194,",")))))</f>
        <v/>
      </c>
      <c r="JJ194" s="19">
        <f>AND(IF(FQ194="",TRUE,IF(input_location="",FALSE,SUMPRODUCT(--ISNUMBER(SEARCH(","&amp;TRIM(TEXTSPLIT(FQ194,","))&amp;",",","&amp;SUBSTITUTE(input_location," ","")&amp;",")))&gt;0)),IF(FS194="",TRUE,IF(input_location="",FALSE,SUMPRODUCT(--ISNUMBER(SEARCH(","&amp;TRIM(TEXTSPLIT(FS194,","))&amp;",",","&amp;SUBSTITUTE(input_location," ","")&amp;",")))=COUNTA(TEXTSPLIT(FS194,",")))),IF(FU194="",TRUE,IF(input_location="",TRUE,SUMPRODUCT(--ISNUMBER(SEARCH(","&amp;TRIM(TEXTSPLIT(FU194,","))&amp;",",","&amp;SUBSTITUTE(input_location," ","")&amp;",")))=0)),IF(FW194="",TRUE,IF(input_location="",FALSE,SUMPRODUCT(--ISNUMBER(SEARCH(","&amp;TRIM(TEXTSPLIT(FW194,","))&amp;",",","&amp;SUBSTITUTE(input_location," ","")&amp;",")))&gt;0)),IF(FY194="",TRUE,IF(input_location="",FALSE,SUMPRODUCT(--ISNUMBER(SEARCH(","&amp;TRIM(TEXTSPLIT(FY194,","))&amp;",",","&amp;SUBSTITUTE(input_location," ","")&amp;",")))=COUNTA(TEXTSPLIT(FY194,",")))))</f>
        <v/>
      </c>
      <c r="JK194" s="19">
        <f>AND(IF(GA194="",TRUE,IF(input_modality="",FALSE,SUMPRODUCT(--ISNUMBER(SEARCH(","&amp;TRIM(TEXTSPLIT(GA194,","))&amp;",",","&amp;SUBSTITUTE(input_modality," ","")&amp;",")))&gt;0)),IF(GC194="",TRUE,IF(input_modality="",FALSE,SUMPRODUCT(--ISNUMBER(SEARCH(","&amp;TRIM(TEXTSPLIT(GC194,","))&amp;",",","&amp;SUBSTITUTE(input_modality," ","")&amp;",")))=COUNTA(TEXTSPLIT(GC194,",")))),IF(GE194="",TRUE,IF(input_modality="",TRUE,SUMPRODUCT(--ISNUMBER(SEARCH(","&amp;TRIM(TEXTSPLIT(GE194,","))&amp;",",","&amp;SUBSTITUTE(input_modality," ","")&amp;",")))=0)),IF(GG194="",TRUE,IF(input_modality="",FALSE,SUMPRODUCT(--ISNUMBER(SEARCH(","&amp;TRIM(TEXTSPLIT(GG194,","))&amp;",",","&amp;SUBSTITUTE(input_modality," ","")&amp;",")))&gt;0)),IF(GI194="",TRUE,IF(input_modality="",FALSE,SUMPRODUCT(--ISNUMBER(SEARCH(","&amp;TRIM(TEXTSPLIT(GI194,","))&amp;",",","&amp;SUBSTITUTE(input_modality," ","")&amp;",")))=COUNTA(TEXTSPLIT(GI194,",")))))</f>
        <v/>
      </c>
      <c r="JL194" s="19">
        <f>AND(IF(GK194="",TRUE,IF(input_organizer="",FALSE,SUMPRODUCT(--ISNUMBER(SEARCH(","&amp;TRIM(TEXTSPLIT(GK194,","))&amp;",",","&amp;SUBSTITUTE(input_organizer," ","")&amp;",")))&gt;0)),IF(GM194="",TRUE,IF(input_organizer="",FALSE,SUMPRODUCT(--ISNUMBER(SEARCH(","&amp;TRIM(TEXTSPLIT(GM194,","))&amp;",",","&amp;SUBSTITUTE(input_organizer," ","")&amp;",")))=COUNTA(TEXTSPLIT(GM194,",")))),IF(GO194="",TRUE,IF(input_organizer="",TRUE,SUMPRODUCT(--ISNUMBER(SEARCH(","&amp;TRIM(TEXTSPLIT(GO194,","))&amp;",",","&amp;SUBSTITUTE(input_organizer," ","")&amp;",")))=0)),IF(GQ194="",TRUE,IF(input_organizer="",FALSE,SUMPRODUCT(--ISNUMBER(SEARCH(","&amp;TRIM(TEXTSPLIT(GQ194,","))&amp;",",","&amp;SUBSTITUTE(input_organizer," ","")&amp;",")))&gt;0)),IF(GS194="",TRUE,IF(input_organizer="",FALSE,SUMPRODUCT(--ISNUMBER(SEARCH(","&amp;TRIM(TEXTSPLIT(GS194,","))&amp;",",","&amp;SUBSTITUTE(input_organizer," ","")&amp;",")))=COUNTA(TEXTSPLIT(GS194,",")))))</f>
        <v/>
      </c>
      <c r="JM194" s="19">
        <f>AND(IF(GU194="",TRUE,IF(input_profile_type="",FALSE,SUMPRODUCT(--ISNUMBER(SEARCH(","&amp;TRIM(TEXTSPLIT(GU194,","))&amp;",",","&amp;SUBSTITUTE(input_profile_type," ","")&amp;",")))&gt;0)),IF(GW194="",TRUE,IF(input_profile_type="",FALSE,SUMPRODUCT(--ISNUMBER(SEARCH(","&amp;TRIM(TEXTSPLIT(GW194,","))&amp;",",","&amp;SUBSTITUTE(input_profile_type," ","")&amp;",")))=COUNTA(TEXTSPLIT(GW194,",")))),IF(GY194="",TRUE,IF(input_profile_type="",TRUE,SUMPRODUCT(--ISNUMBER(SEARCH(","&amp;TRIM(TEXTSPLIT(GY194,","))&amp;",",","&amp;SUBSTITUTE(input_profile_type," ","")&amp;",")))=0)),IF(HA194="",TRUE,IF(input_profile_type="",FALSE,SUMPRODUCT(--ISNUMBER(SEARCH(","&amp;TRIM(TEXTSPLIT(HA194,","))&amp;",",","&amp;SUBSTITUTE(input_profile_type," ","")&amp;",")))&gt;0)),IF(HC194="",TRUE,IF(input_profile_type="",FALSE,SUMPRODUCT(--ISNUMBER(SEARCH(","&amp;TRIM(TEXTSPLIT(HC194,","))&amp;",",","&amp;SUBSTITUTE(input_profile_type," ","")&amp;",")))=COUNTA(TEXTSPLIT(HC194,",")))))</f>
        <v/>
      </c>
      <c r="JN194" s="19">
        <f>AND(IF(HE194="",TRUE,IF(input_program="",FALSE,SUMPRODUCT(--ISNUMBER(SEARCH(","&amp;TRIM(TEXTSPLIT(HE194,","))&amp;",",","&amp;SUBSTITUTE(input_program," ","")&amp;",")))&gt;0)),IF(HG194="",TRUE,IF(input_program="",FALSE,SUMPRODUCT(--ISNUMBER(SEARCH(","&amp;TRIM(TEXTSPLIT(HG194,","))&amp;",",","&amp;SUBSTITUTE(input_program," ","")&amp;",")))=COUNTA(TEXTSPLIT(HG194,",")))),IF(HI194="",TRUE,IF(input_program="",TRUE,SUMPRODUCT(--ISNUMBER(SEARCH(","&amp;TRIM(TEXTSPLIT(HI194,","))&amp;",",","&amp;SUBSTITUTE(input_program," ","")&amp;",")))=0)),IF(HK194="",TRUE,IF(input_program="",FALSE,SUMPRODUCT(--ISNUMBER(SEARCH(","&amp;TRIM(TEXTSPLIT(HK194,","))&amp;",",","&amp;SUBSTITUTE(input_program," ","")&amp;",")))&gt;0)),IF(HM194="",TRUE,IF(input_program="",FALSE,SUMPRODUCT(--ISNUMBER(SEARCH(","&amp;TRIM(TEXTSPLIT(HM194,","))&amp;",",","&amp;SUBSTITUTE(input_program," ","")&amp;",")))=COUNTA(TEXTSPLIT(HM194,",")))))</f>
        <v/>
      </c>
      <c r="JO194" s="19">
        <f>AND(IF(HO194="",TRUE,IF(input_story_categories="",FALSE,SUMPRODUCT(--ISNUMBER(SEARCH(","&amp;TRIM(TEXTSPLIT(HO194,","))&amp;",",","&amp;SUBSTITUTE(input_story_categories," ","")&amp;",")))&gt;0)),IF(HQ194="",TRUE,IF(input_story_categories="",FALSE,SUMPRODUCT(--ISNUMBER(SEARCH(","&amp;TRIM(TEXTSPLIT(HQ194,","))&amp;",",","&amp;SUBSTITUTE(input_story_categories," ","")&amp;",")))=COUNTA(TEXTSPLIT(HQ194,",")))),IF(HS194="",TRUE,IF(input_story_categories="",TRUE,SUMPRODUCT(--ISNUMBER(SEARCH(","&amp;TRIM(TEXTSPLIT(HS194,","))&amp;",",","&amp;SUBSTITUTE(input_story_categories," ","")&amp;",")))=0)),IF(HU194="",TRUE,IF(input_story_categories="",FALSE,SUMPRODUCT(--ISNUMBER(SEARCH(","&amp;TRIM(TEXTSPLIT(HU194,","))&amp;",",","&amp;SUBSTITUTE(input_story_categories," ","")&amp;",")))&gt;0)),IF(HW194="",TRUE,IF(input_story_categories="",FALSE,SUMPRODUCT(--ISNUMBER(SEARCH(","&amp;TRIM(TEXTSPLIT(HW194,","))&amp;",",","&amp;SUBSTITUTE(input_story_categories," ","")&amp;",")))=COUNTA(TEXTSPLIT(HW194,",")))))</f>
        <v/>
      </c>
      <c r="JP194" s="19">
        <f>AND(IF(HY194="",TRUE,IF(input_story_type="",FALSE,SUMPRODUCT(--ISNUMBER(SEARCH(","&amp;TRIM(TEXTSPLIT(HY194,","))&amp;",",","&amp;SUBSTITUTE(input_story_type," ","")&amp;",")))&gt;0)),IF(IA194="",TRUE,IF(input_story_type="",FALSE,SUMPRODUCT(--ISNUMBER(SEARCH(","&amp;TRIM(TEXTSPLIT(IA194,","))&amp;",",","&amp;SUBSTITUTE(input_story_type," ","")&amp;",")))=COUNTA(TEXTSPLIT(IA194,",")))),IF(IC194="",TRUE,IF(input_story_type="",TRUE,SUMPRODUCT(--ISNUMBER(SEARCH(","&amp;TRIM(TEXTSPLIT(IC194,","))&amp;",",","&amp;SUBSTITUTE(input_story_type," ","")&amp;",")))=0)),IF(IE194="",TRUE,IF(input_story_type="",FALSE,SUMPRODUCT(--ISNUMBER(SEARCH(","&amp;TRIM(TEXTSPLIT(IE194,","))&amp;",",","&amp;SUBSTITUTE(input_story_type," ","")&amp;",")))&gt;0)),IF(IG194="",TRUE,IF(input_story_type="",FALSE,SUMPRODUCT(--ISNUMBER(SEARCH(","&amp;TRIM(TEXTSPLIT(IG194,","))&amp;",",","&amp;SUBSTITUTE(input_story_type," ","")&amp;",")))=COUNTA(TEXTSPLIT(IG194,",")))))</f>
        <v/>
      </c>
      <c r="JQ194" s="19">
        <f>AND(IF(II194="",TRUE,IF(input_topics="",FALSE,SUMPRODUCT(--ISNUMBER(SEARCH(","&amp;TRIM(TEXTSPLIT(II194,","))&amp;",",","&amp;SUBSTITUTE(input_topics," ","")&amp;",")))&gt;0)),IF(IK194="",TRUE,IF(input_topics="",FALSE,SUMPRODUCT(--ISNUMBER(SEARCH(","&amp;TRIM(TEXTSPLIT(IK194,","))&amp;",",","&amp;SUBSTITUTE(input_topics," ","")&amp;",")))=COUNTA(TEXTSPLIT(IK194,",")))),IF(IM194="",TRUE,IF(input_topics="",TRUE,SUMPRODUCT(--ISNUMBER(SEARCH(","&amp;TRIM(TEXTSPLIT(IM194,","))&amp;",",","&amp;SUBSTITUTE(input_topics," ","")&amp;",")))=0)),IF(IO194="",TRUE,IF(input_topics="",FALSE,SUMPRODUCT(--ISNUMBER(SEARCH(","&amp;TRIM(TEXTSPLIT(IO194,","))&amp;",",","&amp;SUBSTITUTE(input_topics," ","")&amp;",")))&gt;0)),IF(IQ194="",TRUE,IF(input_topics="",FALSE,SUMPRODUCT(--ISNUMBER(SEARCH(","&amp;TRIM(TEXTSPLIT(IQ194,","))&amp;",",","&amp;SUBSTITUTE(input_topics," ","")&amp;",")))=COUNTA(TEXTSPLIT(IQ194,",")))))</f>
        <v/>
      </c>
    </row>
    <row r="195">
      <c r="A195" s="24">
        <f>IF(NOT(IS195),"Excluded",IF(AND(IT195,IU195,IV195,IW195,IX195,IY195,IZ195,JA195,JB195,JC195,JD195,JE195,JF195,JG195,JH195,JI195,JJ195,JK195,JL195,JM195,JN195,JO195,JP195,JQ195),IF(I195&gt;0,"Eligible but limited","Will appear"),"Excluded"))</f>
        <v/>
      </c>
      <c r="B195" s="24" t="inlineStr">
        <is>
          <t>Related stories on story pages</t>
        </is>
      </c>
      <c r="C195" s="27" t="inlineStr">
        <is>
          <t>/story/2022/developing-entrepreneurial-mindset-through-mam-program</t>
        </is>
      </c>
      <c r="D195" s="24" t="inlineStr">
        <is>
          <t>/story/2022/developing-entrepreneurial-mindset-through-mam-program
/story/2025/crafting-curriculum-gina-aikins-26
/story/2025/crafting-curriculum-jinwoo-cho-26</t>
        </is>
      </c>
      <c r="E195" s="24" t="n">
        <v>9</v>
      </c>
      <c r="F195" s="24" t="inlineStr">
        <is>
          <t>story</t>
        </is>
      </c>
      <c r="G195" s="24" t="inlineStr">
        <is>
          <t>stories_teaser_cards</t>
        </is>
      </c>
      <c r="H195" s="24" t="inlineStr">
        <is>
          <t>embed_all</t>
        </is>
      </c>
      <c r="I195" s="24" t="n">
        <v>3</v>
      </c>
      <c r="J195" s="31" t="inlineStr">
        <is>
          <t>Template logic</t>
        </is>
      </c>
      <c r="K195" s="24" t="inlineStr">
        <is>
          <t>Grouped surface</t>
        </is>
      </c>
      <c r="L195" s="24" t="inlineStr">
        <is>
          <t>Content type: story; Context uses Courses Context: Master of Advanced Management (932); Context uses Story Type: Blog (974); Limited to 3 item(s); Source: Template logic</t>
        </is>
      </c>
      <c r="BQ195" s="19" t="inlineStr">
        <is>
          <t>932</t>
        </is>
      </c>
      <c r="BR195" s="19" t="inlineStr">
        <is>
          <t>Master of Advanced Management (932)</t>
        </is>
      </c>
      <c r="IE195" s="19" t="inlineStr">
        <is>
          <t>974</t>
        </is>
      </c>
      <c r="IF195" s="19" t="inlineStr">
        <is>
          <t>Blog (974)</t>
        </is>
      </c>
      <c r="IS195" s="19">
        <f>IF(input_content_type="",FALSE,ISNUMBER(SEARCH(","&amp;LOWER(input_content_type)&amp;",",","&amp;LOWER(SUBSTITUTE(F195," ",""))&amp;",")))</f>
        <v/>
      </c>
      <c r="IT195" s="19">
        <f>AND(IF(M195="",TRUE,IF(input_affiliations="",FALSE,SUMPRODUCT(--ISNUMBER(SEARCH(","&amp;TRIM(TEXTSPLIT(M195,","))&amp;",",","&amp;SUBSTITUTE(input_affiliations," ","")&amp;",")))&gt;0)),IF(O195="",TRUE,IF(input_affiliations="",FALSE,SUMPRODUCT(--ISNUMBER(SEARCH(","&amp;TRIM(TEXTSPLIT(O195,","))&amp;",",","&amp;SUBSTITUTE(input_affiliations," ","")&amp;",")))=COUNTA(TEXTSPLIT(O195,",")))),IF(Q195="",TRUE,IF(input_affiliations="",TRUE,SUMPRODUCT(--ISNUMBER(SEARCH(","&amp;TRIM(TEXTSPLIT(Q195,","))&amp;",",","&amp;SUBSTITUTE(input_affiliations," ","")&amp;",")))=0)),IF(S195="",TRUE,IF(input_affiliations="",FALSE,SUMPRODUCT(--ISNUMBER(SEARCH(","&amp;TRIM(TEXTSPLIT(S195,","))&amp;",",","&amp;SUBSTITUTE(input_affiliations," ","")&amp;",")))&gt;0)),IF(U195="",TRUE,IF(input_affiliations="",FALSE,SUMPRODUCT(--ISNUMBER(SEARCH(","&amp;TRIM(TEXTSPLIT(U195,","))&amp;",",","&amp;SUBSTITUTE(input_affiliations," ","")&amp;",")))=COUNTA(TEXTSPLIT(U195,",")))))</f>
        <v/>
      </c>
      <c r="IU195" s="19">
        <f>AND(IF(W195="",TRUE,IF(input_announcement_category="",FALSE,SUMPRODUCT(--ISNUMBER(SEARCH(","&amp;TRIM(TEXTSPLIT(W195,","))&amp;",",","&amp;SUBSTITUTE(input_announcement_category," ","")&amp;",")))&gt;0)),IF(Y195="",TRUE,IF(input_announcement_category="",FALSE,SUMPRODUCT(--ISNUMBER(SEARCH(","&amp;TRIM(TEXTSPLIT(Y195,","))&amp;",",","&amp;SUBSTITUTE(input_announcement_category," ","")&amp;",")))=COUNTA(TEXTSPLIT(Y195,",")))),IF(AA195="",TRUE,IF(input_announcement_category="",TRUE,SUMPRODUCT(--ISNUMBER(SEARCH(","&amp;TRIM(TEXTSPLIT(AA195,","))&amp;",",","&amp;SUBSTITUTE(input_announcement_category," ","")&amp;",")))=0)),IF(AC195="",TRUE,IF(input_announcement_category="",FALSE,SUMPRODUCT(--ISNUMBER(SEARCH(","&amp;TRIM(TEXTSPLIT(AC195,","))&amp;",",","&amp;SUBSTITUTE(input_announcement_category," ","")&amp;",")))&gt;0)),IF(AE195="",TRUE,IF(input_announcement_category="",FALSE,SUMPRODUCT(--ISNUMBER(SEARCH(","&amp;TRIM(TEXTSPLIT(AE195,","))&amp;",",","&amp;SUBSTITUTE(input_announcement_category," ","")&amp;",")))=COUNTA(TEXTSPLIT(AE195,",")))))</f>
        <v/>
      </c>
      <c r="IV195" s="19">
        <f>AND(IF(AG195="",TRUE,IF(input_area_of_focus="",FALSE,SUMPRODUCT(--ISNUMBER(SEARCH(","&amp;TRIM(TEXTSPLIT(AG195,","))&amp;",",","&amp;SUBSTITUTE(input_area_of_focus," ","")&amp;",")))&gt;0)),IF(AI195="",TRUE,IF(input_area_of_focus="",FALSE,SUMPRODUCT(--ISNUMBER(SEARCH(","&amp;TRIM(TEXTSPLIT(AI195,","))&amp;",",","&amp;SUBSTITUTE(input_area_of_focus," ","")&amp;",")))=COUNTA(TEXTSPLIT(AI195,",")))),IF(AK195="",TRUE,IF(input_area_of_focus="",TRUE,SUMPRODUCT(--ISNUMBER(SEARCH(","&amp;TRIM(TEXTSPLIT(AK195,","))&amp;",",","&amp;SUBSTITUTE(input_area_of_focus," ","")&amp;",")))=0)),IF(AM195="",TRUE,IF(input_area_of_focus="",FALSE,SUMPRODUCT(--ISNUMBER(SEARCH(","&amp;TRIM(TEXTSPLIT(AM195,","))&amp;",",","&amp;SUBSTITUTE(input_area_of_focus," ","")&amp;",")))&gt;0)),IF(AO195="",TRUE,IF(input_area_of_focus="",FALSE,SUMPRODUCT(--ISNUMBER(SEARCH(","&amp;TRIM(TEXTSPLIT(AO195,","))&amp;",",","&amp;SUBSTITUTE(input_area_of_focus," ","")&amp;",")))=COUNTA(TEXTSPLIT(AO195,",")))))</f>
        <v/>
      </c>
      <c r="IW195" s="19">
        <f>AND(IF(AQ195="",TRUE,IF(input_audience="",FALSE,SUMPRODUCT(--ISNUMBER(SEARCH(","&amp;TRIM(TEXTSPLIT(AQ195,","))&amp;",",","&amp;SUBSTITUTE(input_audience," ","")&amp;",")))&gt;0)),IF(AS195="",TRUE,IF(input_audience="",FALSE,SUMPRODUCT(--ISNUMBER(SEARCH(","&amp;TRIM(TEXTSPLIT(AS195,","))&amp;",",","&amp;SUBSTITUTE(input_audience," ","")&amp;",")))=COUNTA(TEXTSPLIT(AS195,",")))),IF(AU195="",TRUE,IF(input_audience="",TRUE,SUMPRODUCT(--ISNUMBER(SEARCH(","&amp;TRIM(TEXTSPLIT(AU195,","))&amp;",",","&amp;SUBSTITUTE(input_audience," ","")&amp;",")))=0)),IF(AW195="",TRUE,IF(input_audience="",FALSE,SUMPRODUCT(--ISNUMBER(SEARCH(","&amp;TRIM(TEXTSPLIT(AW195,","))&amp;",",","&amp;SUBSTITUTE(input_audience," ","")&amp;",")))&gt;0)),IF(AY195="",TRUE,IF(input_audience="",FALSE,SUMPRODUCT(--ISNUMBER(SEARCH(","&amp;TRIM(TEXTSPLIT(AY195,","))&amp;",",","&amp;SUBSTITUTE(input_audience," ","")&amp;",")))=COUNTA(TEXTSPLIT(AY195,",")))))</f>
        <v/>
      </c>
      <c r="IX195" s="19">
        <f>AND(IF(BA195="",TRUE,IF(input_challenge_opportunities="",FALSE,SUMPRODUCT(--ISNUMBER(SEARCH(","&amp;TRIM(TEXTSPLIT(BA195,","))&amp;",",","&amp;SUBSTITUTE(input_challenge_opportunities," ","")&amp;",")))&gt;0)),IF(BC195="",TRUE,IF(input_challenge_opportunities="",FALSE,SUMPRODUCT(--ISNUMBER(SEARCH(","&amp;TRIM(TEXTSPLIT(BC195,","))&amp;",",","&amp;SUBSTITUTE(input_challenge_opportunities," ","")&amp;",")))=COUNTA(TEXTSPLIT(BC195,",")))),IF(BE195="",TRUE,IF(input_challenge_opportunities="",TRUE,SUMPRODUCT(--ISNUMBER(SEARCH(","&amp;TRIM(TEXTSPLIT(BE195,","))&amp;",",","&amp;SUBSTITUTE(input_challenge_opportunities," ","")&amp;",")))=0)),IF(BG195="",TRUE,IF(input_challenge_opportunities="",FALSE,SUMPRODUCT(--ISNUMBER(SEARCH(","&amp;TRIM(TEXTSPLIT(BG195,","))&amp;",",","&amp;SUBSTITUTE(input_challenge_opportunities," ","")&amp;",")))&gt;0)),IF(BI195="",TRUE,IF(input_challenge_opportunities="",FALSE,SUMPRODUCT(--ISNUMBER(SEARCH(","&amp;TRIM(TEXTSPLIT(BI195,","))&amp;",",","&amp;SUBSTITUTE(input_challenge_opportunities," ","")&amp;",")))=COUNTA(TEXTSPLIT(BI195,",")))))</f>
        <v/>
      </c>
      <c r="IY195" s="19">
        <f>AND(IF(BK195="",TRUE,IF(input_context="",FALSE,SUMPRODUCT(--ISNUMBER(SEARCH(","&amp;TRIM(TEXTSPLIT(BK195,","))&amp;",",","&amp;SUBSTITUTE(input_context," ","")&amp;",")))&gt;0)),IF(BM195="",TRUE,IF(input_context="",FALSE,SUMPRODUCT(--ISNUMBER(SEARCH(","&amp;TRIM(TEXTSPLIT(BM195,","))&amp;",",","&amp;SUBSTITUTE(input_context," ","")&amp;",")))=COUNTA(TEXTSPLIT(BM195,",")))),IF(BO195="",TRUE,IF(input_context="",TRUE,SUMPRODUCT(--ISNUMBER(SEARCH(","&amp;TRIM(TEXTSPLIT(BO195,","))&amp;",",","&amp;SUBSTITUTE(input_context," ","")&amp;",")))=0)),IF(BQ195="",TRUE,IF(input_context="",FALSE,SUMPRODUCT(--ISNUMBER(SEARCH(","&amp;TRIM(TEXTSPLIT(BQ195,","))&amp;",",","&amp;SUBSTITUTE(input_context," ","")&amp;",")))&gt;0)),IF(BS195="",TRUE,IF(input_context="",FALSE,SUMPRODUCT(--ISNUMBER(SEARCH(","&amp;TRIM(TEXTSPLIT(BS195,","))&amp;",",","&amp;SUBSTITUTE(input_context," ","")&amp;",")))=COUNTA(TEXTSPLIT(BS195,",")))))</f>
        <v/>
      </c>
      <c r="IZ195" s="19">
        <f>AND(IF(BU195="",TRUE,IF(input_enews_announcement_type="",FALSE,SUMPRODUCT(--ISNUMBER(SEARCH(","&amp;TRIM(TEXTSPLIT(BU195,","))&amp;",",","&amp;SUBSTITUTE(input_enews_announcement_type," ","")&amp;",")))&gt;0)),IF(BW195="",TRUE,IF(input_enews_announcement_type="",FALSE,SUMPRODUCT(--ISNUMBER(SEARCH(","&amp;TRIM(TEXTSPLIT(BW195,","))&amp;",",","&amp;SUBSTITUTE(input_enews_announcement_type," ","")&amp;",")))=COUNTA(TEXTSPLIT(BW195,",")))),IF(BY195="",TRUE,IF(input_enews_announcement_type="",TRUE,SUMPRODUCT(--ISNUMBER(SEARCH(","&amp;TRIM(TEXTSPLIT(BY195,","))&amp;",",","&amp;SUBSTITUTE(input_enews_announcement_type," ","")&amp;",")))=0)),IF(CA195="",TRUE,IF(input_enews_announcement_type="",FALSE,SUMPRODUCT(--ISNUMBER(SEARCH(","&amp;TRIM(TEXTSPLIT(CA195,","))&amp;",",","&amp;SUBSTITUTE(input_enews_announcement_type," ","")&amp;",")))&gt;0)),IF(CC195="",TRUE,IF(input_enews_announcement_type="",FALSE,SUMPRODUCT(--ISNUMBER(SEARCH(","&amp;TRIM(TEXTSPLIT(CC195,","))&amp;",",","&amp;SUBSTITUTE(input_enews_announcement_type," ","")&amp;",")))=COUNTA(TEXTSPLIT(CC195,",")))))</f>
        <v/>
      </c>
      <c r="JA195" s="19">
        <f>AND(IF(CE195="",TRUE,IF(input_enews_audience="",FALSE,SUMPRODUCT(--ISNUMBER(SEARCH(","&amp;TRIM(TEXTSPLIT(CE195,","))&amp;",",","&amp;SUBSTITUTE(input_enews_audience," ","")&amp;",")))&gt;0)),IF(CG195="",TRUE,IF(input_enews_audience="",FALSE,SUMPRODUCT(--ISNUMBER(SEARCH(","&amp;TRIM(TEXTSPLIT(CG195,","))&amp;",",","&amp;SUBSTITUTE(input_enews_audience," ","")&amp;",")))=COUNTA(TEXTSPLIT(CG195,",")))),IF(CI195="",TRUE,IF(input_enews_audience="",TRUE,SUMPRODUCT(--ISNUMBER(SEARCH(","&amp;TRIM(TEXTSPLIT(CI195,","))&amp;",",","&amp;SUBSTITUTE(input_enews_audience," ","")&amp;",")))=0)),IF(CK195="",TRUE,IF(input_enews_audience="",FALSE,SUMPRODUCT(--ISNUMBER(SEARCH(","&amp;TRIM(TEXTSPLIT(CK195,","))&amp;",",","&amp;SUBSTITUTE(input_enews_audience," ","")&amp;",")))&gt;0)),IF(CM195="",TRUE,IF(input_enews_audience="",FALSE,SUMPRODUCT(--ISNUMBER(SEARCH(","&amp;TRIM(TEXTSPLIT(CM195,","))&amp;",",","&amp;SUBSTITUTE(input_enews_audience," ","")&amp;",")))=COUNTA(TEXTSPLIT(CM195,",")))))</f>
        <v/>
      </c>
      <c r="JB195" s="19">
        <f>AND(IF(CO195="",TRUE,IF(input_event_location="",FALSE,SUMPRODUCT(--ISNUMBER(SEARCH(","&amp;TRIM(TEXTSPLIT(CO195,","))&amp;",",","&amp;SUBSTITUTE(input_event_location," ","")&amp;",")))&gt;0)),IF(CQ195="",TRUE,IF(input_event_location="",FALSE,SUMPRODUCT(--ISNUMBER(SEARCH(","&amp;TRIM(TEXTSPLIT(CQ195,","))&amp;",",","&amp;SUBSTITUTE(input_event_location," ","")&amp;",")))=COUNTA(TEXTSPLIT(CQ195,",")))),IF(CS195="",TRUE,IF(input_event_location="",TRUE,SUMPRODUCT(--ISNUMBER(SEARCH(","&amp;TRIM(TEXTSPLIT(CS195,","))&amp;",",","&amp;SUBSTITUTE(input_event_location," ","")&amp;",")))=0)),IF(CU195="",TRUE,IF(input_event_location="",FALSE,SUMPRODUCT(--ISNUMBER(SEARCH(","&amp;TRIM(TEXTSPLIT(CU195,","))&amp;",",","&amp;SUBSTITUTE(input_event_location," ","")&amp;",")))&gt;0)),IF(CW195="",TRUE,IF(input_event_location="",FALSE,SUMPRODUCT(--ISNUMBER(SEARCH(","&amp;TRIM(TEXTSPLIT(CW195,","))&amp;",",","&amp;SUBSTITUTE(input_event_location," ","")&amp;",")))=COUNTA(TEXTSPLIT(CW195,",")))))</f>
        <v/>
      </c>
      <c r="JC195" s="19">
        <f>AND(IF(CY195="",TRUE,IF(input_event_type="",FALSE,SUMPRODUCT(--ISNUMBER(SEARCH(","&amp;TRIM(TEXTSPLIT(CY195,","))&amp;",",","&amp;SUBSTITUTE(input_event_type," ","")&amp;",")))&gt;0)),IF(DA195="",TRUE,IF(input_event_type="",FALSE,SUMPRODUCT(--ISNUMBER(SEARCH(","&amp;TRIM(TEXTSPLIT(DA195,","))&amp;",",","&amp;SUBSTITUTE(input_event_type," ","")&amp;",")))=COUNTA(TEXTSPLIT(DA195,",")))),IF(DC195="",TRUE,IF(input_event_type="",TRUE,SUMPRODUCT(--ISNUMBER(SEARCH(","&amp;TRIM(TEXTSPLIT(DC195,","))&amp;",",","&amp;SUBSTITUTE(input_event_type," ","")&amp;",")))=0)),IF(DE195="",TRUE,IF(input_event_type="",FALSE,SUMPRODUCT(--ISNUMBER(SEARCH(","&amp;TRIM(TEXTSPLIT(DE195,","))&amp;",",","&amp;SUBSTITUTE(input_event_type," ","")&amp;",")))&gt;0)),IF(DG195="",TRUE,IF(input_event_type="",FALSE,SUMPRODUCT(--ISNUMBER(SEARCH(","&amp;TRIM(TEXTSPLIT(DG195,","))&amp;",",","&amp;SUBSTITUTE(input_event_type," ","")&amp;",")))=COUNTA(TEXTSPLIT(DG195,",")))))</f>
        <v/>
      </c>
      <c r="JD195" s="19">
        <f>AND(IF(DI195="",TRUE,IF(input_executive_education_focus="",FALSE,SUMPRODUCT(--ISNUMBER(SEARCH(","&amp;TRIM(TEXTSPLIT(DI195,","))&amp;",",","&amp;SUBSTITUTE(input_executive_education_focus," ","")&amp;",")))&gt;0)),IF(DK195="",TRUE,IF(input_executive_education_focus="",FALSE,SUMPRODUCT(--ISNUMBER(SEARCH(","&amp;TRIM(TEXTSPLIT(DK195,","))&amp;",",","&amp;SUBSTITUTE(input_executive_education_focus," ","")&amp;",")))=COUNTA(TEXTSPLIT(DK195,",")))),IF(DM195="",TRUE,IF(input_executive_education_focus="",TRUE,SUMPRODUCT(--ISNUMBER(SEARCH(","&amp;TRIM(TEXTSPLIT(DM195,","))&amp;",",","&amp;SUBSTITUTE(input_executive_education_focus," ","")&amp;",")))=0)),IF(DO195="",TRUE,IF(input_executive_education_focus="",FALSE,SUMPRODUCT(--ISNUMBER(SEARCH(","&amp;TRIM(TEXTSPLIT(DO195,","))&amp;",",","&amp;SUBSTITUTE(input_executive_education_focus," ","")&amp;",")))&gt;0)),IF(DQ195="",TRUE,IF(input_executive_education_focus="",FALSE,SUMPRODUCT(--ISNUMBER(SEARCH(","&amp;TRIM(TEXTSPLIT(DQ195,","))&amp;",",","&amp;SUBSTITUTE(input_executive_education_focus," ","")&amp;",")))=COUNTA(TEXTSPLIT(DQ195,",")))))</f>
        <v/>
      </c>
      <c r="JE195" s="19">
        <f>AND(IF(DS195="",TRUE,IF(input_faculty_category="",FALSE,SUMPRODUCT(--ISNUMBER(SEARCH(","&amp;TRIM(TEXTSPLIT(DS195,","))&amp;",",","&amp;SUBSTITUTE(input_faculty_category," ","")&amp;",")))&gt;0)),IF(DU195="",TRUE,IF(input_faculty_category="",FALSE,SUMPRODUCT(--ISNUMBER(SEARCH(","&amp;TRIM(TEXTSPLIT(DU195,","))&amp;",",","&amp;SUBSTITUTE(input_faculty_category," ","")&amp;",")))=COUNTA(TEXTSPLIT(DU195,",")))),IF(DW195="",TRUE,IF(input_faculty_category="",TRUE,SUMPRODUCT(--ISNUMBER(SEARCH(","&amp;TRIM(TEXTSPLIT(DW195,","))&amp;",",","&amp;SUBSTITUTE(input_faculty_category," ","")&amp;",")))=0)),IF(DY195="",TRUE,IF(input_faculty_category="",FALSE,SUMPRODUCT(--ISNUMBER(SEARCH(","&amp;TRIM(TEXTSPLIT(DY195,","))&amp;",",","&amp;SUBSTITUTE(input_faculty_category," ","")&amp;",")))&gt;0)),IF(EA195="",TRUE,IF(input_faculty_category="",FALSE,SUMPRODUCT(--ISNUMBER(SEARCH(","&amp;TRIM(TEXTSPLIT(EA195,","))&amp;",",","&amp;SUBSTITUTE(input_faculty_category," ","")&amp;",")))=COUNTA(TEXTSPLIT(EA195,",")))))</f>
        <v/>
      </c>
      <c r="JF195" s="19">
        <f>AND(IF(EC195="",TRUE,IF(input_faculty_discipline="",FALSE,SUMPRODUCT(--ISNUMBER(SEARCH(","&amp;TRIM(TEXTSPLIT(EC195,","))&amp;",",","&amp;SUBSTITUTE(input_faculty_discipline," ","")&amp;",")))&gt;0)),IF(EE195="",TRUE,IF(input_faculty_discipline="",FALSE,SUMPRODUCT(--ISNUMBER(SEARCH(","&amp;TRIM(TEXTSPLIT(EE195,","))&amp;",",","&amp;SUBSTITUTE(input_faculty_discipline," ","")&amp;",")))=COUNTA(TEXTSPLIT(EE195,",")))),IF(EG195="",TRUE,IF(input_faculty_discipline="",TRUE,SUMPRODUCT(--ISNUMBER(SEARCH(","&amp;TRIM(TEXTSPLIT(EG195,","))&amp;",",","&amp;SUBSTITUTE(input_faculty_discipline," ","")&amp;",")))=0)),IF(EI195="",TRUE,IF(input_faculty_discipline="",FALSE,SUMPRODUCT(--ISNUMBER(SEARCH(","&amp;TRIM(TEXTSPLIT(EI195,","))&amp;",",","&amp;SUBSTITUTE(input_faculty_discipline," ","")&amp;",")))&gt;0)),IF(EK195="",TRUE,IF(input_faculty_discipline="",FALSE,SUMPRODUCT(--ISNUMBER(SEARCH(","&amp;TRIM(TEXTSPLIT(EK195,","))&amp;",",","&amp;SUBSTITUTE(input_faculty_discipline," ","")&amp;",")))=COUNTA(TEXTSPLIT(EK195,",")))))</f>
        <v/>
      </c>
      <c r="JG195" s="19">
        <f>AND(IF(EM195="",TRUE,IF(input_faculty_expertise="",FALSE,SUMPRODUCT(--ISNUMBER(SEARCH(","&amp;TRIM(TEXTSPLIT(EM195,","))&amp;",",","&amp;SUBSTITUTE(input_faculty_expertise," ","")&amp;",")))&gt;0)),IF(EO195="",TRUE,IF(input_faculty_expertise="",FALSE,SUMPRODUCT(--ISNUMBER(SEARCH(","&amp;TRIM(TEXTSPLIT(EO195,","))&amp;",",","&amp;SUBSTITUTE(input_faculty_expertise," ","")&amp;",")))=COUNTA(TEXTSPLIT(EO195,",")))),IF(EQ195="",TRUE,IF(input_faculty_expertise="",TRUE,SUMPRODUCT(--ISNUMBER(SEARCH(","&amp;TRIM(TEXTSPLIT(EQ195,","))&amp;",",","&amp;SUBSTITUTE(input_faculty_expertise," ","")&amp;",")))=0)),IF(ES195="",TRUE,IF(input_faculty_expertise="",FALSE,SUMPRODUCT(--ISNUMBER(SEARCH(","&amp;TRIM(TEXTSPLIT(ES195,","))&amp;",",","&amp;SUBSTITUTE(input_faculty_expertise," ","")&amp;",")))&gt;0)),IF(EU195="",TRUE,IF(input_faculty_expertise="",FALSE,SUMPRODUCT(--ISNUMBER(SEARCH(","&amp;TRIM(TEXTSPLIT(EU195,","))&amp;",",","&amp;SUBSTITUTE(input_faculty_expertise," ","")&amp;",")))=COUNTA(TEXTSPLIT(EU195,",")))))</f>
        <v/>
      </c>
      <c r="JH195" s="19">
        <f>AND(IF(EW195="",TRUE,IF(input_global_network_school="",FALSE,SUMPRODUCT(--ISNUMBER(SEARCH(","&amp;TRIM(TEXTSPLIT(EW195,","))&amp;",",","&amp;SUBSTITUTE(input_global_network_school," ","")&amp;",")))&gt;0)),IF(EY195="",TRUE,IF(input_global_network_school="",FALSE,SUMPRODUCT(--ISNUMBER(SEARCH(","&amp;TRIM(TEXTSPLIT(EY195,","))&amp;",",","&amp;SUBSTITUTE(input_global_network_school," ","")&amp;",")))=COUNTA(TEXTSPLIT(EY195,",")))),IF(FA195="",TRUE,IF(input_global_network_school="",TRUE,SUMPRODUCT(--ISNUMBER(SEARCH(","&amp;TRIM(TEXTSPLIT(FA195,","))&amp;",",","&amp;SUBSTITUTE(input_global_network_school," ","")&amp;",")))=0)),IF(FC195="",TRUE,IF(input_global_network_school="",FALSE,SUMPRODUCT(--ISNUMBER(SEARCH(","&amp;TRIM(TEXTSPLIT(FC195,","))&amp;",",","&amp;SUBSTITUTE(input_global_network_school," ","")&amp;",")))&gt;0)),IF(FE195="",TRUE,IF(input_global_network_school="",FALSE,SUMPRODUCT(--ISNUMBER(SEARCH(","&amp;TRIM(TEXTSPLIT(FE195,","))&amp;",",","&amp;SUBSTITUTE(input_global_network_school," ","")&amp;",")))=COUNTA(TEXTSPLIT(FE195,",")))))</f>
        <v/>
      </c>
      <c r="JI195" s="19">
        <f>AND(IF(FG195="",TRUE,IF(input_industry="",FALSE,SUMPRODUCT(--ISNUMBER(SEARCH(","&amp;TRIM(TEXTSPLIT(FG195,","))&amp;",",","&amp;SUBSTITUTE(input_industry," ","")&amp;",")))&gt;0)),IF(FI195="",TRUE,IF(input_industry="",FALSE,SUMPRODUCT(--ISNUMBER(SEARCH(","&amp;TRIM(TEXTSPLIT(FI195,","))&amp;",",","&amp;SUBSTITUTE(input_industry," ","")&amp;",")))=COUNTA(TEXTSPLIT(FI195,",")))),IF(FK195="",TRUE,IF(input_industry="",TRUE,SUMPRODUCT(--ISNUMBER(SEARCH(","&amp;TRIM(TEXTSPLIT(FK195,","))&amp;",",","&amp;SUBSTITUTE(input_industry," ","")&amp;",")))=0)),IF(FM195="",TRUE,IF(input_industry="",FALSE,SUMPRODUCT(--ISNUMBER(SEARCH(","&amp;TRIM(TEXTSPLIT(FM195,","))&amp;",",","&amp;SUBSTITUTE(input_industry," ","")&amp;",")))&gt;0)),IF(FO195="",TRUE,IF(input_industry="",FALSE,SUMPRODUCT(--ISNUMBER(SEARCH(","&amp;TRIM(TEXTSPLIT(FO195,","))&amp;",",","&amp;SUBSTITUTE(input_industry," ","")&amp;",")))=COUNTA(TEXTSPLIT(FO195,",")))))</f>
        <v/>
      </c>
      <c r="JJ195" s="19">
        <f>AND(IF(FQ195="",TRUE,IF(input_location="",FALSE,SUMPRODUCT(--ISNUMBER(SEARCH(","&amp;TRIM(TEXTSPLIT(FQ195,","))&amp;",",","&amp;SUBSTITUTE(input_location," ","")&amp;",")))&gt;0)),IF(FS195="",TRUE,IF(input_location="",FALSE,SUMPRODUCT(--ISNUMBER(SEARCH(","&amp;TRIM(TEXTSPLIT(FS195,","))&amp;",",","&amp;SUBSTITUTE(input_location," ","")&amp;",")))=COUNTA(TEXTSPLIT(FS195,",")))),IF(FU195="",TRUE,IF(input_location="",TRUE,SUMPRODUCT(--ISNUMBER(SEARCH(","&amp;TRIM(TEXTSPLIT(FU195,","))&amp;",",","&amp;SUBSTITUTE(input_location," ","")&amp;",")))=0)),IF(FW195="",TRUE,IF(input_location="",FALSE,SUMPRODUCT(--ISNUMBER(SEARCH(","&amp;TRIM(TEXTSPLIT(FW195,","))&amp;",",","&amp;SUBSTITUTE(input_location," ","")&amp;",")))&gt;0)),IF(FY195="",TRUE,IF(input_location="",FALSE,SUMPRODUCT(--ISNUMBER(SEARCH(","&amp;TRIM(TEXTSPLIT(FY195,","))&amp;",",","&amp;SUBSTITUTE(input_location," ","")&amp;",")))=COUNTA(TEXTSPLIT(FY195,",")))))</f>
        <v/>
      </c>
      <c r="JK195" s="19">
        <f>AND(IF(GA195="",TRUE,IF(input_modality="",FALSE,SUMPRODUCT(--ISNUMBER(SEARCH(","&amp;TRIM(TEXTSPLIT(GA195,","))&amp;",",","&amp;SUBSTITUTE(input_modality," ","")&amp;",")))&gt;0)),IF(GC195="",TRUE,IF(input_modality="",FALSE,SUMPRODUCT(--ISNUMBER(SEARCH(","&amp;TRIM(TEXTSPLIT(GC195,","))&amp;",",","&amp;SUBSTITUTE(input_modality," ","")&amp;",")))=COUNTA(TEXTSPLIT(GC195,",")))),IF(GE195="",TRUE,IF(input_modality="",TRUE,SUMPRODUCT(--ISNUMBER(SEARCH(","&amp;TRIM(TEXTSPLIT(GE195,","))&amp;",",","&amp;SUBSTITUTE(input_modality," ","")&amp;",")))=0)),IF(GG195="",TRUE,IF(input_modality="",FALSE,SUMPRODUCT(--ISNUMBER(SEARCH(","&amp;TRIM(TEXTSPLIT(GG195,","))&amp;",",","&amp;SUBSTITUTE(input_modality," ","")&amp;",")))&gt;0)),IF(GI195="",TRUE,IF(input_modality="",FALSE,SUMPRODUCT(--ISNUMBER(SEARCH(","&amp;TRIM(TEXTSPLIT(GI195,","))&amp;",",","&amp;SUBSTITUTE(input_modality," ","")&amp;",")))=COUNTA(TEXTSPLIT(GI195,",")))))</f>
        <v/>
      </c>
      <c r="JL195" s="19">
        <f>AND(IF(GK195="",TRUE,IF(input_organizer="",FALSE,SUMPRODUCT(--ISNUMBER(SEARCH(","&amp;TRIM(TEXTSPLIT(GK195,","))&amp;",",","&amp;SUBSTITUTE(input_organizer," ","")&amp;",")))&gt;0)),IF(GM195="",TRUE,IF(input_organizer="",FALSE,SUMPRODUCT(--ISNUMBER(SEARCH(","&amp;TRIM(TEXTSPLIT(GM195,","))&amp;",",","&amp;SUBSTITUTE(input_organizer," ","")&amp;",")))=COUNTA(TEXTSPLIT(GM195,",")))),IF(GO195="",TRUE,IF(input_organizer="",TRUE,SUMPRODUCT(--ISNUMBER(SEARCH(","&amp;TRIM(TEXTSPLIT(GO195,","))&amp;",",","&amp;SUBSTITUTE(input_organizer," ","")&amp;",")))=0)),IF(GQ195="",TRUE,IF(input_organizer="",FALSE,SUMPRODUCT(--ISNUMBER(SEARCH(","&amp;TRIM(TEXTSPLIT(GQ195,","))&amp;",",","&amp;SUBSTITUTE(input_organizer," ","")&amp;",")))&gt;0)),IF(GS195="",TRUE,IF(input_organizer="",FALSE,SUMPRODUCT(--ISNUMBER(SEARCH(","&amp;TRIM(TEXTSPLIT(GS195,","))&amp;",",","&amp;SUBSTITUTE(input_organizer," ","")&amp;",")))=COUNTA(TEXTSPLIT(GS195,",")))))</f>
        <v/>
      </c>
      <c r="JM195" s="19">
        <f>AND(IF(GU195="",TRUE,IF(input_profile_type="",FALSE,SUMPRODUCT(--ISNUMBER(SEARCH(","&amp;TRIM(TEXTSPLIT(GU195,","))&amp;",",","&amp;SUBSTITUTE(input_profile_type," ","")&amp;",")))&gt;0)),IF(GW195="",TRUE,IF(input_profile_type="",FALSE,SUMPRODUCT(--ISNUMBER(SEARCH(","&amp;TRIM(TEXTSPLIT(GW195,","))&amp;",",","&amp;SUBSTITUTE(input_profile_type," ","")&amp;",")))=COUNTA(TEXTSPLIT(GW195,",")))),IF(GY195="",TRUE,IF(input_profile_type="",TRUE,SUMPRODUCT(--ISNUMBER(SEARCH(","&amp;TRIM(TEXTSPLIT(GY195,","))&amp;",",","&amp;SUBSTITUTE(input_profile_type," ","")&amp;",")))=0)),IF(HA195="",TRUE,IF(input_profile_type="",FALSE,SUMPRODUCT(--ISNUMBER(SEARCH(","&amp;TRIM(TEXTSPLIT(HA195,","))&amp;",",","&amp;SUBSTITUTE(input_profile_type," ","")&amp;",")))&gt;0)),IF(HC195="",TRUE,IF(input_profile_type="",FALSE,SUMPRODUCT(--ISNUMBER(SEARCH(","&amp;TRIM(TEXTSPLIT(HC195,","))&amp;",",","&amp;SUBSTITUTE(input_profile_type," ","")&amp;",")))=COUNTA(TEXTSPLIT(HC195,",")))))</f>
        <v/>
      </c>
      <c r="JN195" s="19">
        <f>AND(IF(HE195="",TRUE,IF(input_program="",FALSE,SUMPRODUCT(--ISNUMBER(SEARCH(","&amp;TRIM(TEXTSPLIT(HE195,","))&amp;",",","&amp;SUBSTITUTE(input_program," ","")&amp;",")))&gt;0)),IF(HG195="",TRUE,IF(input_program="",FALSE,SUMPRODUCT(--ISNUMBER(SEARCH(","&amp;TRIM(TEXTSPLIT(HG195,","))&amp;",",","&amp;SUBSTITUTE(input_program," ","")&amp;",")))=COUNTA(TEXTSPLIT(HG195,",")))),IF(HI195="",TRUE,IF(input_program="",TRUE,SUMPRODUCT(--ISNUMBER(SEARCH(","&amp;TRIM(TEXTSPLIT(HI195,","))&amp;",",","&amp;SUBSTITUTE(input_program," ","")&amp;",")))=0)),IF(HK195="",TRUE,IF(input_program="",FALSE,SUMPRODUCT(--ISNUMBER(SEARCH(","&amp;TRIM(TEXTSPLIT(HK195,","))&amp;",",","&amp;SUBSTITUTE(input_program," ","")&amp;",")))&gt;0)),IF(HM195="",TRUE,IF(input_program="",FALSE,SUMPRODUCT(--ISNUMBER(SEARCH(","&amp;TRIM(TEXTSPLIT(HM195,","))&amp;",",","&amp;SUBSTITUTE(input_program," ","")&amp;",")))=COUNTA(TEXTSPLIT(HM195,",")))))</f>
        <v/>
      </c>
      <c r="JO195" s="19">
        <f>AND(IF(HO195="",TRUE,IF(input_story_categories="",FALSE,SUMPRODUCT(--ISNUMBER(SEARCH(","&amp;TRIM(TEXTSPLIT(HO195,","))&amp;",",","&amp;SUBSTITUTE(input_story_categories," ","")&amp;",")))&gt;0)),IF(HQ195="",TRUE,IF(input_story_categories="",FALSE,SUMPRODUCT(--ISNUMBER(SEARCH(","&amp;TRIM(TEXTSPLIT(HQ195,","))&amp;",",","&amp;SUBSTITUTE(input_story_categories," ","")&amp;",")))=COUNTA(TEXTSPLIT(HQ195,",")))),IF(HS195="",TRUE,IF(input_story_categories="",TRUE,SUMPRODUCT(--ISNUMBER(SEARCH(","&amp;TRIM(TEXTSPLIT(HS195,","))&amp;",",","&amp;SUBSTITUTE(input_story_categories," ","")&amp;",")))=0)),IF(HU195="",TRUE,IF(input_story_categories="",FALSE,SUMPRODUCT(--ISNUMBER(SEARCH(","&amp;TRIM(TEXTSPLIT(HU195,","))&amp;",",","&amp;SUBSTITUTE(input_story_categories," ","")&amp;",")))&gt;0)),IF(HW195="",TRUE,IF(input_story_categories="",FALSE,SUMPRODUCT(--ISNUMBER(SEARCH(","&amp;TRIM(TEXTSPLIT(HW195,","))&amp;",",","&amp;SUBSTITUTE(input_story_categories," ","")&amp;",")))=COUNTA(TEXTSPLIT(HW195,",")))))</f>
        <v/>
      </c>
      <c r="JP195" s="19">
        <f>AND(IF(HY195="",TRUE,IF(input_story_type="",FALSE,SUMPRODUCT(--ISNUMBER(SEARCH(","&amp;TRIM(TEXTSPLIT(HY195,","))&amp;",",","&amp;SUBSTITUTE(input_story_type," ","")&amp;",")))&gt;0)),IF(IA195="",TRUE,IF(input_story_type="",FALSE,SUMPRODUCT(--ISNUMBER(SEARCH(","&amp;TRIM(TEXTSPLIT(IA195,","))&amp;",",","&amp;SUBSTITUTE(input_story_type," ","")&amp;",")))=COUNTA(TEXTSPLIT(IA195,",")))),IF(IC195="",TRUE,IF(input_story_type="",TRUE,SUMPRODUCT(--ISNUMBER(SEARCH(","&amp;TRIM(TEXTSPLIT(IC195,","))&amp;",",","&amp;SUBSTITUTE(input_story_type," ","")&amp;",")))=0)),IF(IE195="",TRUE,IF(input_story_type="",FALSE,SUMPRODUCT(--ISNUMBER(SEARCH(","&amp;TRIM(TEXTSPLIT(IE195,","))&amp;",",","&amp;SUBSTITUTE(input_story_type," ","")&amp;",")))&gt;0)),IF(IG195="",TRUE,IF(input_story_type="",FALSE,SUMPRODUCT(--ISNUMBER(SEARCH(","&amp;TRIM(TEXTSPLIT(IG195,","))&amp;",",","&amp;SUBSTITUTE(input_story_type," ","")&amp;",")))=COUNTA(TEXTSPLIT(IG195,",")))))</f>
        <v/>
      </c>
      <c r="JQ195" s="19">
        <f>AND(IF(II195="",TRUE,IF(input_topics="",FALSE,SUMPRODUCT(--ISNUMBER(SEARCH(","&amp;TRIM(TEXTSPLIT(II195,","))&amp;",",","&amp;SUBSTITUTE(input_topics," ","")&amp;",")))&gt;0)),IF(IK195="",TRUE,IF(input_topics="",FALSE,SUMPRODUCT(--ISNUMBER(SEARCH(","&amp;TRIM(TEXTSPLIT(IK195,","))&amp;",",","&amp;SUBSTITUTE(input_topics," ","")&amp;",")))=COUNTA(TEXTSPLIT(IK195,",")))),IF(IM195="",TRUE,IF(input_topics="",TRUE,SUMPRODUCT(--ISNUMBER(SEARCH(","&amp;TRIM(TEXTSPLIT(IM195,","))&amp;",",","&amp;SUBSTITUTE(input_topics," ","")&amp;",")))=0)),IF(IO195="",TRUE,IF(input_topics="",FALSE,SUMPRODUCT(--ISNUMBER(SEARCH(","&amp;TRIM(TEXTSPLIT(IO195,","))&amp;",",","&amp;SUBSTITUTE(input_topics," ","")&amp;",")))&gt;0)),IF(IQ195="",TRUE,IF(input_topics="",FALSE,SUMPRODUCT(--ISNUMBER(SEARCH(","&amp;TRIM(TEXTSPLIT(IQ195,","))&amp;",",","&amp;SUBSTITUTE(input_topics," ","")&amp;",")))=COUNTA(TEXTSPLIT(IQ195,",")))))</f>
        <v/>
      </c>
    </row>
    <row r="196">
      <c r="A196" s="24">
        <f>IF(NOT(IS196),"Excluded",IF(AND(IT196,IU196,IV196,IW196,IX196,IY196,IZ196,JA196,JB196,JC196,JD196,JE196,JF196,JG196,JH196,JI196,JJ196,JK196,JL196,JM196,JN196,JO196,JP196,JQ196),IF(I196&gt;0,"Eligible but limited","Will appear"),"Excluded"))</f>
        <v/>
      </c>
      <c r="B196" s="24" t="inlineStr">
        <is>
          <t>Related stories on story pages</t>
        </is>
      </c>
      <c r="C196" s="27" t="inlineStr">
        <is>
          <t>/story/2022/nonprofit-board-service-gives-students-chance-impact-new-haven-community</t>
        </is>
      </c>
      <c r="D196" s="24" t="inlineStr">
        <is>
          <t>/story/2022/nonprofit-board-service-gives-students-chance-impact-new-haven-community
/story/2024/yale-som-launches-inclusive-growth-fellowship-program
/story/2025/first-connecticut-business-deans-summit-draws-leaders-across-state</t>
        </is>
      </c>
      <c r="E196" s="24" t="n">
        <v>4</v>
      </c>
      <c r="F196" s="24" t="inlineStr">
        <is>
          <t>story</t>
        </is>
      </c>
      <c r="G196" s="24" t="inlineStr">
        <is>
          <t>stories_teaser_cards</t>
        </is>
      </c>
      <c r="H196" s="24" t="inlineStr">
        <is>
          <t>embed_all</t>
        </is>
      </c>
      <c r="I196" s="24" t="n">
        <v>3</v>
      </c>
      <c r="J196" s="31" t="inlineStr">
        <is>
          <t>Template logic</t>
        </is>
      </c>
      <c r="K196" s="24" t="inlineStr">
        <is>
          <t>Grouped surface</t>
        </is>
      </c>
      <c r="L196" s="24" t="inlineStr">
        <is>
          <t>Content type: story; Context uses Courses Context: New Haven (1146); Context uses Story Type: News (924); Limited to 3 item(s); Source: Template logic</t>
        </is>
      </c>
      <c r="BQ196" s="19" t="inlineStr">
        <is>
          <t>1146</t>
        </is>
      </c>
      <c r="BR196" s="19" t="inlineStr">
        <is>
          <t>New Haven (1146)</t>
        </is>
      </c>
      <c r="IE196" s="19" t="inlineStr">
        <is>
          <t>924</t>
        </is>
      </c>
      <c r="IF196" s="19" t="inlineStr">
        <is>
          <t>News (924)</t>
        </is>
      </c>
      <c r="IS196" s="19">
        <f>IF(input_content_type="",FALSE,ISNUMBER(SEARCH(","&amp;LOWER(input_content_type)&amp;",",","&amp;LOWER(SUBSTITUTE(F196," ",""))&amp;",")))</f>
        <v/>
      </c>
      <c r="IT196" s="19">
        <f>AND(IF(M196="",TRUE,IF(input_affiliations="",FALSE,SUMPRODUCT(--ISNUMBER(SEARCH(","&amp;TRIM(TEXTSPLIT(M196,","))&amp;",",","&amp;SUBSTITUTE(input_affiliations," ","")&amp;",")))&gt;0)),IF(O196="",TRUE,IF(input_affiliations="",FALSE,SUMPRODUCT(--ISNUMBER(SEARCH(","&amp;TRIM(TEXTSPLIT(O196,","))&amp;",",","&amp;SUBSTITUTE(input_affiliations," ","")&amp;",")))=COUNTA(TEXTSPLIT(O196,",")))),IF(Q196="",TRUE,IF(input_affiliations="",TRUE,SUMPRODUCT(--ISNUMBER(SEARCH(","&amp;TRIM(TEXTSPLIT(Q196,","))&amp;",",","&amp;SUBSTITUTE(input_affiliations," ","")&amp;",")))=0)),IF(S196="",TRUE,IF(input_affiliations="",FALSE,SUMPRODUCT(--ISNUMBER(SEARCH(","&amp;TRIM(TEXTSPLIT(S196,","))&amp;",",","&amp;SUBSTITUTE(input_affiliations," ","")&amp;",")))&gt;0)),IF(U196="",TRUE,IF(input_affiliations="",FALSE,SUMPRODUCT(--ISNUMBER(SEARCH(","&amp;TRIM(TEXTSPLIT(U196,","))&amp;",",","&amp;SUBSTITUTE(input_affiliations," ","")&amp;",")))=COUNTA(TEXTSPLIT(U196,",")))))</f>
        <v/>
      </c>
      <c r="IU196" s="19">
        <f>AND(IF(W196="",TRUE,IF(input_announcement_category="",FALSE,SUMPRODUCT(--ISNUMBER(SEARCH(","&amp;TRIM(TEXTSPLIT(W196,","))&amp;",",","&amp;SUBSTITUTE(input_announcement_category," ","")&amp;",")))&gt;0)),IF(Y196="",TRUE,IF(input_announcement_category="",FALSE,SUMPRODUCT(--ISNUMBER(SEARCH(","&amp;TRIM(TEXTSPLIT(Y196,","))&amp;",",","&amp;SUBSTITUTE(input_announcement_category," ","")&amp;",")))=COUNTA(TEXTSPLIT(Y196,",")))),IF(AA196="",TRUE,IF(input_announcement_category="",TRUE,SUMPRODUCT(--ISNUMBER(SEARCH(","&amp;TRIM(TEXTSPLIT(AA196,","))&amp;",",","&amp;SUBSTITUTE(input_announcement_category," ","")&amp;",")))=0)),IF(AC196="",TRUE,IF(input_announcement_category="",FALSE,SUMPRODUCT(--ISNUMBER(SEARCH(","&amp;TRIM(TEXTSPLIT(AC196,","))&amp;",",","&amp;SUBSTITUTE(input_announcement_category," ","")&amp;",")))&gt;0)),IF(AE196="",TRUE,IF(input_announcement_category="",FALSE,SUMPRODUCT(--ISNUMBER(SEARCH(","&amp;TRIM(TEXTSPLIT(AE196,","))&amp;",",","&amp;SUBSTITUTE(input_announcement_category," ","")&amp;",")))=COUNTA(TEXTSPLIT(AE196,",")))))</f>
        <v/>
      </c>
      <c r="IV196" s="19">
        <f>AND(IF(AG196="",TRUE,IF(input_area_of_focus="",FALSE,SUMPRODUCT(--ISNUMBER(SEARCH(","&amp;TRIM(TEXTSPLIT(AG196,","))&amp;",",","&amp;SUBSTITUTE(input_area_of_focus," ","")&amp;",")))&gt;0)),IF(AI196="",TRUE,IF(input_area_of_focus="",FALSE,SUMPRODUCT(--ISNUMBER(SEARCH(","&amp;TRIM(TEXTSPLIT(AI196,","))&amp;",",","&amp;SUBSTITUTE(input_area_of_focus," ","")&amp;",")))=COUNTA(TEXTSPLIT(AI196,",")))),IF(AK196="",TRUE,IF(input_area_of_focus="",TRUE,SUMPRODUCT(--ISNUMBER(SEARCH(","&amp;TRIM(TEXTSPLIT(AK196,","))&amp;",",","&amp;SUBSTITUTE(input_area_of_focus," ","")&amp;",")))=0)),IF(AM196="",TRUE,IF(input_area_of_focus="",FALSE,SUMPRODUCT(--ISNUMBER(SEARCH(","&amp;TRIM(TEXTSPLIT(AM196,","))&amp;",",","&amp;SUBSTITUTE(input_area_of_focus," ","")&amp;",")))&gt;0)),IF(AO196="",TRUE,IF(input_area_of_focus="",FALSE,SUMPRODUCT(--ISNUMBER(SEARCH(","&amp;TRIM(TEXTSPLIT(AO196,","))&amp;",",","&amp;SUBSTITUTE(input_area_of_focus," ","")&amp;",")))=COUNTA(TEXTSPLIT(AO196,",")))))</f>
        <v/>
      </c>
      <c r="IW196" s="19">
        <f>AND(IF(AQ196="",TRUE,IF(input_audience="",FALSE,SUMPRODUCT(--ISNUMBER(SEARCH(","&amp;TRIM(TEXTSPLIT(AQ196,","))&amp;",",","&amp;SUBSTITUTE(input_audience," ","")&amp;",")))&gt;0)),IF(AS196="",TRUE,IF(input_audience="",FALSE,SUMPRODUCT(--ISNUMBER(SEARCH(","&amp;TRIM(TEXTSPLIT(AS196,","))&amp;",",","&amp;SUBSTITUTE(input_audience," ","")&amp;",")))=COUNTA(TEXTSPLIT(AS196,",")))),IF(AU196="",TRUE,IF(input_audience="",TRUE,SUMPRODUCT(--ISNUMBER(SEARCH(","&amp;TRIM(TEXTSPLIT(AU196,","))&amp;",",","&amp;SUBSTITUTE(input_audience," ","")&amp;",")))=0)),IF(AW196="",TRUE,IF(input_audience="",FALSE,SUMPRODUCT(--ISNUMBER(SEARCH(","&amp;TRIM(TEXTSPLIT(AW196,","))&amp;",",","&amp;SUBSTITUTE(input_audience," ","")&amp;",")))&gt;0)),IF(AY196="",TRUE,IF(input_audience="",FALSE,SUMPRODUCT(--ISNUMBER(SEARCH(","&amp;TRIM(TEXTSPLIT(AY196,","))&amp;",",","&amp;SUBSTITUTE(input_audience," ","")&amp;",")))=COUNTA(TEXTSPLIT(AY196,",")))))</f>
        <v/>
      </c>
      <c r="IX196" s="19">
        <f>AND(IF(BA196="",TRUE,IF(input_challenge_opportunities="",FALSE,SUMPRODUCT(--ISNUMBER(SEARCH(","&amp;TRIM(TEXTSPLIT(BA196,","))&amp;",",","&amp;SUBSTITUTE(input_challenge_opportunities," ","")&amp;",")))&gt;0)),IF(BC196="",TRUE,IF(input_challenge_opportunities="",FALSE,SUMPRODUCT(--ISNUMBER(SEARCH(","&amp;TRIM(TEXTSPLIT(BC196,","))&amp;",",","&amp;SUBSTITUTE(input_challenge_opportunities," ","")&amp;",")))=COUNTA(TEXTSPLIT(BC196,",")))),IF(BE196="",TRUE,IF(input_challenge_opportunities="",TRUE,SUMPRODUCT(--ISNUMBER(SEARCH(","&amp;TRIM(TEXTSPLIT(BE196,","))&amp;",",","&amp;SUBSTITUTE(input_challenge_opportunities," ","")&amp;",")))=0)),IF(BG196="",TRUE,IF(input_challenge_opportunities="",FALSE,SUMPRODUCT(--ISNUMBER(SEARCH(","&amp;TRIM(TEXTSPLIT(BG196,","))&amp;",",","&amp;SUBSTITUTE(input_challenge_opportunities," ","")&amp;",")))&gt;0)),IF(BI196="",TRUE,IF(input_challenge_opportunities="",FALSE,SUMPRODUCT(--ISNUMBER(SEARCH(","&amp;TRIM(TEXTSPLIT(BI196,","))&amp;",",","&amp;SUBSTITUTE(input_challenge_opportunities," ","")&amp;",")))=COUNTA(TEXTSPLIT(BI196,",")))))</f>
        <v/>
      </c>
      <c r="IY196" s="19">
        <f>AND(IF(BK196="",TRUE,IF(input_context="",FALSE,SUMPRODUCT(--ISNUMBER(SEARCH(","&amp;TRIM(TEXTSPLIT(BK196,","))&amp;",",","&amp;SUBSTITUTE(input_context," ","")&amp;",")))&gt;0)),IF(BM196="",TRUE,IF(input_context="",FALSE,SUMPRODUCT(--ISNUMBER(SEARCH(","&amp;TRIM(TEXTSPLIT(BM196,","))&amp;",",","&amp;SUBSTITUTE(input_context," ","")&amp;",")))=COUNTA(TEXTSPLIT(BM196,",")))),IF(BO196="",TRUE,IF(input_context="",TRUE,SUMPRODUCT(--ISNUMBER(SEARCH(","&amp;TRIM(TEXTSPLIT(BO196,","))&amp;",",","&amp;SUBSTITUTE(input_context," ","")&amp;",")))=0)),IF(BQ196="",TRUE,IF(input_context="",FALSE,SUMPRODUCT(--ISNUMBER(SEARCH(","&amp;TRIM(TEXTSPLIT(BQ196,","))&amp;",",","&amp;SUBSTITUTE(input_context," ","")&amp;",")))&gt;0)),IF(BS196="",TRUE,IF(input_context="",FALSE,SUMPRODUCT(--ISNUMBER(SEARCH(","&amp;TRIM(TEXTSPLIT(BS196,","))&amp;",",","&amp;SUBSTITUTE(input_context," ","")&amp;",")))=COUNTA(TEXTSPLIT(BS196,",")))))</f>
        <v/>
      </c>
      <c r="IZ196" s="19">
        <f>AND(IF(BU196="",TRUE,IF(input_enews_announcement_type="",FALSE,SUMPRODUCT(--ISNUMBER(SEARCH(","&amp;TRIM(TEXTSPLIT(BU196,","))&amp;",",","&amp;SUBSTITUTE(input_enews_announcement_type," ","")&amp;",")))&gt;0)),IF(BW196="",TRUE,IF(input_enews_announcement_type="",FALSE,SUMPRODUCT(--ISNUMBER(SEARCH(","&amp;TRIM(TEXTSPLIT(BW196,","))&amp;",",","&amp;SUBSTITUTE(input_enews_announcement_type," ","")&amp;",")))=COUNTA(TEXTSPLIT(BW196,",")))),IF(BY196="",TRUE,IF(input_enews_announcement_type="",TRUE,SUMPRODUCT(--ISNUMBER(SEARCH(","&amp;TRIM(TEXTSPLIT(BY196,","))&amp;",",","&amp;SUBSTITUTE(input_enews_announcement_type," ","")&amp;",")))=0)),IF(CA196="",TRUE,IF(input_enews_announcement_type="",FALSE,SUMPRODUCT(--ISNUMBER(SEARCH(","&amp;TRIM(TEXTSPLIT(CA196,","))&amp;",",","&amp;SUBSTITUTE(input_enews_announcement_type," ","")&amp;",")))&gt;0)),IF(CC196="",TRUE,IF(input_enews_announcement_type="",FALSE,SUMPRODUCT(--ISNUMBER(SEARCH(","&amp;TRIM(TEXTSPLIT(CC196,","))&amp;",",","&amp;SUBSTITUTE(input_enews_announcement_type," ","")&amp;",")))=COUNTA(TEXTSPLIT(CC196,",")))))</f>
        <v/>
      </c>
      <c r="JA196" s="19">
        <f>AND(IF(CE196="",TRUE,IF(input_enews_audience="",FALSE,SUMPRODUCT(--ISNUMBER(SEARCH(","&amp;TRIM(TEXTSPLIT(CE196,","))&amp;",",","&amp;SUBSTITUTE(input_enews_audience," ","")&amp;",")))&gt;0)),IF(CG196="",TRUE,IF(input_enews_audience="",FALSE,SUMPRODUCT(--ISNUMBER(SEARCH(","&amp;TRIM(TEXTSPLIT(CG196,","))&amp;",",","&amp;SUBSTITUTE(input_enews_audience," ","")&amp;",")))=COUNTA(TEXTSPLIT(CG196,",")))),IF(CI196="",TRUE,IF(input_enews_audience="",TRUE,SUMPRODUCT(--ISNUMBER(SEARCH(","&amp;TRIM(TEXTSPLIT(CI196,","))&amp;",",","&amp;SUBSTITUTE(input_enews_audience," ","")&amp;",")))=0)),IF(CK196="",TRUE,IF(input_enews_audience="",FALSE,SUMPRODUCT(--ISNUMBER(SEARCH(","&amp;TRIM(TEXTSPLIT(CK196,","))&amp;",",","&amp;SUBSTITUTE(input_enews_audience," ","")&amp;",")))&gt;0)),IF(CM196="",TRUE,IF(input_enews_audience="",FALSE,SUMPRODUCT(--ISNUMBER(SEARCH(","&amp;TRIM(TEXTSPLIT(CM196,","))&amp;",",","&amp;SUBSTITUTE(input_enews_audience," ","")&amp;",")))=COUNTA(TEXTSPLIT(CM196,",")))))</f>
        <v/>
      </c>
      <c r="JB196" s="19">
        <f>AND(IF(CO196="",TRUE,IF(input_event_location="",FALSE,SUMPRODUCT(--ISNUMBER(SEARCH(","&amp;TRIM(TEXTSPLIT(CO196,","))&amp;",",","&amp;SUBSTITUTE(input_event_location," ","")&amp;",")))&gt;0)),IF(CQ196="",TRUE,IF(input_event_location="",FALSE,SUMPRODUCT(--ISNUMBER(SEARCH(","&amp;TRIM(TEXTSPLIT(CQ196,","))&amp;",",","&amp;SUBSTITUTE(input_event_location," ","")&amp;",")))=COUNTA(TEXTSPLIT(CQ196,",")))),IF(CS196="",TRUE,IF(input_event_location="",TRUE,SUMPRODUCT(--ISNUMBER(SEARCH(","&amp;TRIM(TEXTSPLIT(CS196,","))&amp;",",","&amp;SUBSTITUTE(input_event_location," ","")&amp;",")))=0)),IF(CU196="",TRUE,IF(input_event_location="",FALSE,SUMPRODUCT(--ISNUMBER(SEARCH(","&amp;TRIM(TEXTSPLIT(CU196,","))&amp;",",","&amp;SUBSTITUTE(input_event_location," ","")&amp;",")))&gt;0)),IF(CW196="",TRUE,IF(input_event_location="",FALSE,SUMPRODUCT(--ISNUMBER(SEARCH(","&amp;TRIM(TEXTSPLIT(CW196,","))&amp;",",","&amp;SUBSTITUTE(input_event_location," ","")&amp;",")))=COUNTA(TEXTSPLIT(CW196,",")))))</f>
        <v/>
      </c>
      <c r="JC196" s="19">
        <f>AND(IF(CY196="",TRUE,IF(input_event_type="",FALSE,SUMPRODUCT(--ISNUMBER(SEARCH(","&amp;TRIM(TEXTSPLIT(CY196,","))&amp;",",","&amp;SUBSTITUTE(input_event_type," ","")&amp;",")))&gt;0)),IF(DA196="",TRUE,IF(input_event_type="",FALSE,SUMPRODUCT(--ISNUMBER(SEARCH(","&amp;TRIM(TEXTSPLIT(DA196,","))&amp;",",","&amp;SUBSTITUTE(input_event_type," ","")&amp;",")))=COUNTA(TEXTSPLIT(DA196,",")))),IF(DC196="",TRUE,IF(input_event_type="",TRUE,SUMPRODUCT(--ISNUMBER(SEARCH(","&amp;TRIM(TEXTSPLIT(DC196,","))&amp;",",","&amp;SUBSTITUTE(input_event_type," ","")&amp;",")))=0)),IF(DE196="",TRUE,IF(input_event_type="",FALSE,SUMPRODUCT(--ISNUMBER(SEARCH(","&amp;TRIM(TEXTSPLIT(DE196,","))&amp;",",","&amp;SUBSTITUTE(input_event_type," ","")&amp;",")))&gt;0)),IF(DG196="",TRUE,IF(input_event_type="",FALSE,SUMPRODUCT(--ISNUMBER(SEARCH(","&amp;TRIM(TEXTSPLIT(DG196,","))&amp;",",","&amp;SUBSTITUTE(input_event_type," ","")&amp;",")))=COUNTA(TEXTSPLIT(DG196,",")))))</f>
        <v/>
      </c>
      <c r="JD196" s="19">
        <f>AND(IF(DI196="",TRUE,IF(input_executive_education_focus="",FALSE,SUMPRODUCT(--ISNUMBER(SEARCH(","&amp;TRIM(TEXTSPLIT(DI196,","))&amp;",",","&amp;SUBSTITUTE(input_executive_education_focus," ","")&amp;",")))&gt;0)),IF(DK196="",TRUE,IF(input_executive_education_focus="",FALSE,SUMPRODUCT(--ISNUMBER(SEARCH(","&amp;TRIM(TEXTSPLIT(DK196,","))&amp;",",","&amp;SUBSTITUTE(input_executive_education_focus," ","")&amp;",")))=COUNTA(TEXTSPLIT(DK196,",")))),IF(DM196="",TRUE,IF(input_executive_education_focus="",TRUE,SUMPRODUCT(--ISNUMBER(SEARCH(","&amp;TRIM(TEXTSPLIT(DM196,","))&amp;",",","&amp;SUBSTITUTE(input_executive_education_focus," ","")&amp;",")))=0)),IF(DO196="",TRUE,IF(input_executive_education_focus="",FALSE,SUMPRODUCT(--ISNUMBER(SEARCH(","&amp;TRIM(TEXTSPLIT(DO196,","))&amp;",",","&amp;SUBSTITUTE(input_executive_education_focus," ","")&amp;",")))&gt;0)),IF(DQ196="",TRUE,IF(input_executive_education_focus="",FALSE,SUMPRODUCT(--ISNUMBER(SEARCH(","&amp;TRIM(TEXTSPLIT(DQ196,","))&amp;",",","&amp;SUBSTITUTE(input_executive_education_focus," ","")&amp;",")))=COUNTA(TEXTSPLIT(DQ196,",")))))</f>
        <v/>
      </c>
      <c r="JE196" s="19">
        <f>AND(IF(DS196="",TRUE,IF(input_faculty_category="",FALSE,SUMPRODUCT(--ISNUMBER(SEARCH(","&amp;TRIM(TEXTSPLIT(DS196,","))&amp;",",","&amp;SUBSTITUTE(input_faculty_category," ","")&amp;",")))&gt;0)),IF(DU196="",TRUE,IF(input_faculty_category="",FALSE,SUMPRODUCT(--ISNUMBER(SEARCH(","&amp;TRIM(TEXTSPLIT(DU196,","))&amp;",",","&amp;SUBSTITUTE(input_faculty_category," ","")&amp;",")))=COUNTA(TEXTSPLIT(DU196,",")))),IF(DW196="",TRUE,IF(input_faculty_category="",TRUE,SUMPRODUCT(--ISNUMBER(SEARCH(","&amp;TRIM(TEXTSPLIT(DW196,","))&amp;",",","&amp;SUBSTITUTE(input_faculty_category," ","")&amp;",")))=0)),IF(DY196="",TRUE,IF(input_faculty_category="",FALSE,SUMPRODUCT(--ISNUMBER(SEARCH(","&amp;TRIM(TEXTSPLIT(DY196,","))&amp;",",","&amp;SUBSTITUTE(input_faculty_category," ","")&amp;",")))&gt;0)),IF(EA196="",TRUE,IF(input_faculty_category="",FALSE,SUMPRODUCT(--ISNUMBER(SEARCH(","&amp;TRIM(TEXTSPLIT(EA196,","))&amp;",",","&amp;SUBSTITUTE(input_faculty_category," ","")&amp;",")))=COUNTA(TEXTSPLIT(EA196,",")))))</f>
        <v/>
      </c>
      <c r="JF196" s="19">
        <f>AND(IF(EC196="",TRUE,IF(input_faculty_discipline="",FALSE,SUMPRODUCT(--ISNUMBER(SEARCH(","&amp;TRIM(TEXTSPLIT(EC196,","))&amp;",",","&amp;SUBSTITUTE(input_faculty_discipline," ","")&amp;",")))&gt;0)),IF(EE196="",TRUE,IF(input_faculty_discipline="",FALSE,SUMPRODUCT(--ISNUMBER(SEARCH(","&amp;TRIM(TEXTSPLIT(EE196,","))&amp;",",","&amp;SUBSTITUTE(input_faculty_discipline," ","")&amp;",")))=COUNTA(TEXTSPLIT(EE196,",")))),IF(EG196="",TRUE,IF(input_faculty_discipline="",TRUE,SUMPRODUCT(--ISNUMBER(SEARCH(","&amp;TRIM(TEXTSPLIT(EG196,","))&amp;",",","&amp;SUBSTITUTE(input_faculty_discipline," ","")&amp;",")))=0)),IF(EI196="",TRUE,IF(input_faculty_discipline="",FALSE,SUMPRODUCT(--ISNUMBER(SEARCH(","&amp;TRIM(TEXTSPLIT(EI196,","))&amp;",",","&amp;SUBSTITUTE(input_faculty_discipline," ","")&amp;",")))&gt;0)),IF(EK196="",TRUE,IF(input_faculty_discipline="",FALSE,SUMPRODUCT(--ISNUMBER(SEARCH(","&amp;TRIM(TEXTSPLIT(EK196,","))&amp;",",","&amp;SUBSTITUTE(input_faculty_discipline," ","")&amp;",")))=COUNTA(TEXTSPLIT(EK196,",")))))</f>
        <v/>
      </c>
      <c r="JG196" s="19">
        <f>AND(IF(EM196="",TRUE,IF(input_faculty_expertise="",FALSE,SUMPRODUCT(--ISNUMBER(SEARCH(","&amp;TRIM(TEXTSPLIT(EM196,","))&amp;",",","&amp;SUBSTITUTE(input_faculty_expertise," ","")&amp;",")))&gt;0)),IF(EO196="",TRUE,IF(input_faculty_expertise="",FALSE,SUMPRODUCT(--ISNUMBER(SEARCH(","&amp;TRIM(TEXTSPLIT(EO196,","))&amp;",",","&amp;SUBSTITUTE(input_faculty_expertise," ","")&amp;",")))=COUNTA(TEXTSPLIT(EO196,",")))),IF(EQ196="",TRUE,IF(input_faculty_expertise="",TRUE,SUMPRODUCT(--ISNUMBER(SEARCH(","&amp;TRIM(TEXTSPLIT(EQ196,","))&amp;",",","&amp;SUBSTITUTE(input_faculty_expertise," ","")&amp;",")))=0)),IF(ES196="",TRUE,IF(input_faculty_expertise="",FALSE,SUMPRODUCT(--ISNUMBER(SEARCH(","&amp;TRIM(TEXTSPLIT(ES196,","))&amp;",",","&amp;SUBSTITUTE(input_faculty_expertise," ","")&amp;",")))&gt;0)),IF(EU196="",TRUE,IF(input_faculty_expertise="",FALSE,SUMPRODUCT(--ISNUMBER(SEARCH(","&amp;TRIM(TEXTSPLIT(EU196,","))&amp;",",","&amp;SUBSTITUTE(input_faculty_expertise," ","")&amp;",")))=COUNTA(TEXTSPLIT(EU196,",")))))</f>
        <v/>
      </c>
      <c r="JH196" s="19">
        <f>AND(IF(EW196="",TRUE,IF(input_global_network_school="",FALSE,SUMPRODUCT(--ISNUMBER(SEARCH(","&amp;TRIM(TEXTSPLIT(EW196,","))&amp;",",","&amp;SUBSTITUTE(input_global_network_school," ","")&amp;",")))&gt;0)),IF(EY196="",TRUE,IF(input_global_network_school="",FALSE,SUMPRODUCT(--ISNUMBER(SEARCH(","&amp;TRIM(TEXTSPLIT(EY196,","))&amp;",",","&amp;SUBSTITUTE(input_global_network_school," ","")&amp;",")))=COUNTA(TEXTSPLIT(EY196,",")))),IF(FA196="",TRUE,IF(input_global_network_school="",TRUE,SUMPRODUCT(--ISNUMBER(SEARCH(","&amp;TRIM(TEXTSPLIT(FA196,","))&amp;",",","&amp;SUBSTITUTE(input_global_network_school," ","")&amp;",")))=0)),IF(FC196="",TRUE,IF(input_global_network_school="",FALSE,SUMPRODUCT(--ISNUMBER(SEARCH(","&amp;TRIM(TEXTSPLIT(FC196,","))&amp;",",","&amp;SUBSTITUTE(input_global_network_school," ","")&amp;",")))&gt;0)),IF(FE196="",TRUE,IF(input_global_network_school="",FALSE,SUMPRODUCT(--ISNUMBER(SEARCH(","&amp;TRIM(TEXTSPLIT(FE196,","))&amp;",",","&amp;SUBSTITUTE(input_global_network_school," ","")&amp;",")))=COUNTA(TEXTSPLIT(FE196,",")))))</f>
        <v/>
      </c>
      <c r="JI196" s="19">
        <f>AND(IF(FG196="",TRUE,IF(input_industry="",FALSE,SUMPRODUCT(--ISNUMBER(SEARCH(","&amp;TRIM(TEXTSPLIT(FG196,","))&amp;",",","&amp;SUBSTITUTE(input_industry," ","")&amp;",")))&gt;0)),IF(FI196="",TRUE,IF(input_industry="",FALSE,SUMPRODUCT(--ISNUMBER(SEARCH(","&amp;TRIM(TEXTSPLIT(FI196,","))&amp;",",","&amp;SUBSTITUTE(input_industry," ","")&amp;",")))=COUNTA(TEXTSPLIT(FI196,",")))),IF(FK196="",TRUE,IF(input_industry="",TRUE,SUMPRODUCT(--ISNUMBER(SEARCH(","&amp;TRIM(TEXTSPLIT(FK196,","))&amp;",",","&amp;SUBSTITUTE(input_industry," ","")&amp;",")))=0)),IF(FM196="",TRUE,IF(input_industry="",FALSE,SUMPRODUCT(--ISNUMBER(SEARCH(","&amp;TRIM(TEXTSPLIT(FM196,","))&amp;",",","&amp;SUBSTITUTE(input_industry," ","")&amp;",")))&gt;0)),IF(FO196="",TRUE,IF(input_industry="",FALSE,SUMPRODUCT(--ISNUMBER(SEARCH(","&amp;TRIM(TEXTSPLIT(FO196,","))&amp;",",","&amp;SUBSTITUTE(input_industry," ","")&amp;",")))=COUNTA(TEXTSPLIT(FO196,",")))))</f>
        <v/>
      </c>
      <c r="JJ196" s="19">
        <f>AND(IF(FQ196="",TRUE,IF(input_location="",FALSE,SUMPRODUCT(--ISNUMBER(SEARCH(","&amp;TRIM(TEXTSPLIT(FQ196,","))&amp;",",","&amp;SUBSTITUTE(input_location," ","")&amp;",")))&gt;0)),IF(FS196="",TRUE,IF(input_location="",FALSE,SUMPRODUCT(--ISNUMBER(SEARCH(","&amp;TRIM(TEXTSPLIT(FS196,","))&amp;",",","&amp;SUBSTITUTE(input_location," ","")&amp;",")))=COUNTA(TEXTSPLIT(FS196,",")))),IF(FU196="",TRUE,IF(input_location="",TRUE,SUMPRODUCT(--ISNUMBER(SEARCH(","&amp;TRIM(TEXTSPLIT(FU196,","))&amp;",",","&amp;SUBSTITUTE(input_location," ","")&amp;",")))=0)),IF(FW196="",TRUE,IF(input_location="",FALSE,SUMPRODUCT(--ISNUMBER(SEARCH(","&amp;TRIM(TEXTSPLIT(FW196,","))&amp;",",","&amp;SUBSTITUTE(input_location," ","")&amp;",")))&gt;0)),IF(FY196="",TRUE,IF(input_location="",FALSE,SUMPRODUCT(--ISNUMBER(SEARCH(","&amp;TRIM(TEXTSPLIT(FY196,","))&amp;",",","&amp;SUBSTITUTE(input_location," ","")&amp;",")))=COUNTA(TEXTSPLIT(FY196,",")))))</f>
        <v/>
      </c>
      <c r="JK196" s="19">
        <f>AND(IF(GA196="",TRUE,IF(input_modality="",FALSE,SUMPRODUCT(--ISNUMBER(SEARCH(","&amp;TRIM(TEXTSPLIT(GA196,","))&amp;",",","&amp;SUBSTITUTE(input_modality," ","")&amp;",")))&gt;0)),IF(GC196="",TRUE,IF(input_modality="",FALSE,SUMPRODUCT(--ISNUMBER(SEARCH(","&amp;TRIM(TEXTSPLIT(GC196,","))&amp;",",","&amp;SUBSTITUTE(input_modality," ","")&amp;",")))=COUNTA(TEXTSPLIT(GC196,",")))),IF(GE196="",TRUE,IF(input_modality="",TRUE,SUMPRODUCT(--ISNUMBER(SEARCH(","&amp;TRIM(TEXTSPLIT(GE196,","))&amp;",",","&amp;SUBSTITUTE(input_modality," ","")&amp;",")))=0)),IF(GG196="",TRUE,IF(input_modality="",FALSE,SUMPRODUCT(--ISNUMBER(SEARCH(","&amp;TRIM(TEXTSPLIT(GG196,","))&amp;",",","&amp;SUBSTITUTE(input_modality," ","")&amp;",")))&gt;0)),IF(GI196="",TRUE,IF(input_modality="",FALSE,SUMPRODUCT(--ISNUMBER(SEARCH(","&amp;TRIM(TEXTSPLIT(GI196,","))&amp;",",","&amp;SUBSTITUTE(input_modality," ","")&amp;",")))=COUNTA(TEXTSPLIT(GI196,",")))))</f>
        <v/>
      </c>
      <c r="JL196" s="19">
        <f>AND(IF(GK196="",TRUE,IF(input_organizer="",FALSE,SUMPRODUCT(--ISNUMBER(SEARCH(","&amp;TRIM(TEXTSPLIT(GK196,","))&amp;",",","&amp;SUBSTITUTE(input_organizer," ","")&amp;",")))&gt;0)),IF(GM196="",TRUE,IF(input_organizer="",FALSE,SUMPRODUCT(--ISNUMBER(SEARCH(","&amp;TRIM(TEXTSPLIT(GM196,","))&amp;",",","&amp;SUBSTITUTE(input_organizer," ","")&amp;",")))=COUNTA(TEXTSPLIT(GM196,",")))),IF(GO196="",TRUE,IF(input_organizer="",TRUE,SUMPRODUCT(--ISNUMBER(SEARCH(","&amp;TRIM(TEXTSPLIT(GO196,","))&amp;",",","&amp;SUBSTITUTE(input_organizer," ","")&amp;",")))=0)),IF(GQ196="",TRUE,IF(input_organizer="",FALSE,SUMPRODUCT(--ISNUMBER(SEARCH(","&amp;TRIM(TEXTSPLIT(GQ196,","))&amp;",",","&amp;SUBSTITUTE(input_organizer," ","")&amp;",")))&gt;0)),IF(GS196="",TRUE,IF(input_organizer="",FALSE,SUMPRODUCT(--ISNUMBER(SEARCH(","&amp;TRIM(TEXTSPLIT(GS196,","))&amp;",",","&amp;SUBSTITUTE(input_organizer," ","")&amp;",")))=COUNTA(TEXTSPLIT(GS196,",")))))</f>
        <v/>
      </c>
      <c r="JM196" s="19">
        <f>AND(IF(GU196="",TRUE,IF(input_profile_type="",FALSE,SUMPRODUCT(--ISNUMBER(SEARCH(","&amp;TRIM(TEXTSPLIT(GU196,","))&amp;",",","&amp;SUBSTITUTE(input_profile_type," ","")&amp;",")))&gt;0)),IF(GW196="",TRUE,IF(input_profile_type="",FALSE,SUMPRODUCT(--ISNUMBER(SEARCH(","&amp;TRIM(TEXTSPLIT(GW196,","))&amp;",",","&amp;SUBSTITUTE(input_profile_type," ","")&amp;",")))=COUNTA(TEXTSPLIT(GW196,",")))),IF(GY196="",TRUE,IF(input_profile_type="",TRUE,SUMPRODUCT(--ISNUMBER(SEARCH(","&amp;TRIM(TEXTSPLIT(GY196,","))&amp;",",","&amp;SUBSTITUTE(input_profile_type," ","")&amp;",")))=0)),IF(HA196="",TRUE,IF(input_profile_type="",FALSE,SUMPRODUCT(--ISNUMBER(SEARCH(","&amp;TRIM(TEXTSPLIT(HA196,","))&amp;",",","&amp;SUBSTITUTE(input_profile_type," ","")&amp;",")))&gt;0)),IF(HC196="",TRUE,IF(input_profile_type="",FALSE,SUMPRODUCT(--ISNUMBER(SEARCH(","&amp;TRIM(TEXTSPLIT(HC196,","))&amp;",",","&amp;SUBSTITUTE(input_profile_type," ","")&amp;",")))=COUNTA(TEXTSPLIT(HC196,",")))))</f>
        <v/>
      </c>
      <c r="JN196" s="19">
        <f>AND(IF(HE196="",TRUE,IF(input_program="",FALSE,SUMPRODUCT(--ISNUMBER(SEARCH(","&amp;TRIM(TEXTSPLIT(HE196,","))&amp;",",","&amp;SUBSTITUTE(input_program," ","")&amp;",")))&gt;0)),IF(HG196="",TRUE,IF(input_program="",FALSE,SUMPRODUCT(--ISNUMBER(SEARCH(","&amp;TRIM(TEXTSPLIT(HG196,","))&amp;",",","&amp;SUBSTITUTE(input_program," ","")&amp;",")))=COUNTA(TEXTSPLIT(HG196,",")))),IF(HI196="",TRUE,IF(input_program="",TRUE,SUMPRODUCT(--ISNUMBER(SEARCH(","&amp;TRIM(TEXTSPLIT(HI196,","))&amp;",",","&amp;SUBSTITUTE(input_program," ","")&amp;",")))=0)),IF(HK196="",TRUE,IF(input_program="",FALSE,SUMPRODUCT(--ISNUMBER(SEARCH(","&amp;TRIM(TEXTSPLIT(HK196,","))&amp;",",","&amp;SUBSTITUTE(input_program," ","")&amp;",")))&gt;0)),IF(HM196="",TRUE,IF(input_program="",FALSE,SUMPRODUCT(--ISNUMBER(SEARCH(","&amp;TRIM(TEXTSPLIT(HM196,","))&amp;",",","&amp;SUBSTITUTE(input_program," ","")&amp;",")))=COUNTA(TEXTSPLIT(HM196,",")))))</f>
        <v/>
      </c>
      <c r="JO196" s="19">
        <f>AND(IF(HO196="",TRUE,IF(input_story_categories="",FALSE,SUMPRODUCT(--ISNUMBER(SEARCH(","&amp;TRIM(TEXTSPLIT(HO196,","))&amp;",",","&amp;SUBSTITUTE(input_story_categories," ","")&amp;",")))&gt;0)),IF(HQ196="",TRUE,IF(input_story_categories="",FALSE,SUMPRODUCT(--ISNUMBER(SEARCH(","&amp;TRIM(TEXTSPLIT(HQ196,","))&amp;",",","&amp;SUBSTITUTE(input_story_categories," ","")&amp;",")))=COUNTA(TEXTSPLIT(HQ196,",")))),IF(HS196="",TRUE,IF(input_story_categories="",TRUE,SUMPRODUCT(--ISNUMBER(SEARCH(","&amp;TRIM(TEXTSPLIT(HS196,","))&amp;",",","&amp;SUBSTITUTE(input_story_categories," ","")&amp;",")))=0)),IF(HU196="",TRUE,IF(input_story_categories="",FALSE,SUMPRODUCT(--ISNUMBER(SEARCH(","&amp;TRIM(TEXTSPLIT(HU196,","))&amp;",",","&amp;SUBSTITUTE(input_story_categories," ","")&amp;",")))&gt;0)),IF(HW196="",TRUE,IF(input_story_categories="",FALSE,SUMPRODUCT(--ISNUMBER(SEARCH(","&amp;TRIM(TEXTSPLIT(HW196,","))&amp;",",","&amp;SUBSTITUTE(input_story_categories," ","")&amp;",")))=COUNTA(TEXTSPLIT(HW196,",")))))</f>
        <v/>
      </c>
      <c r="JP196" s="19">
        <f>AND(IF(HY196="",TRUE,IF(input_story_type="",FALSE,SUMPRODUCT(--ISNUMBER(SEARCH(","&amp;TRIM(TEXTSPLIT(HY196,","))&amp;",",","&amp;SUBSTITUTE(input_story_type," ","")&amp;",")))&gt;0)),IF(IA196="",TRUE,IF(input_story_type="",FALSE,SUMPRODUCT(--ISNUMBER(SEARCH(","&amp;TRIM(TEXTSPLIT(IA196,","))&amp;",",","&amp;SUBSTITUTE(input_story_type," ","")&amp;",")))=COUNTA(TEXTSPLIT(IA196,",")))),IF(IC196="",TRUE,IF(input_story_type="",TRUE,SUMPRODUCT(--ISNUMBER(SEARCH(","&amp;TRIM(TEXTSPLIT(IC196,","))&amp;",",","&amp;SUBSTITUTE(input_story_type," ","")&amp;",")))=0)),IF(IE196="",TRUE,IF(input_story_type="",FALSE,SUMPRODUCT(--ISNUMBER(SEARCH(","&amp;TRIM(TEXTSPLIT(IE196,","))&amp;",",","&amp;SUBSTITUTE(input_story_type," ","")&amp;",")))&gt;0)),IF(IG196="",TRUE,IF(input_story_type="",FALSE,SUMPRODUCT(--ISNUMBER(SEARCH(","&amp;TRIM(TEXTSPLIT(IG196,","))&amp;",",","&amp;SUBSTITUTE(input_story_type," ","")&amp;",")))=COUNTA(TEXTSPLIT(IG196,",")))))</f>
        <v/>
      </c>
      <c r="JQ196" s="19">
        <f>AND(IF(II196="",TRUE,IF(input_topics="",FALSE,SUMPRODUCT(--ISNUMBER(SEARCH(","&amp;TRIM(TEXTSPLIT(II196,","))&amp;",",","&amp;SUBSTITUTE(input_topics," ","")&amp;",")))&gt;0)),IF(IK196="",TRUE,IF(input_topics="",FALSE,SUMPRODUCT(--ISNUMBER(SEARCH(","&amp;TRIM(TEXTSPLIT(IK196,","))&amp;",",","&amp;SUBSTITUTE(input_topics," ","")&amp;",")))=COUNTA(TEXTSPLIT(IK196,",")))),IF(IM196="",TRUE,IF(input_topics="",TRUE,SUMPRODUCT(--ISNUMBER(SEARCH(","&amp;TRIM(TEXTSPLIT(IM196,","))&amp;",",","&amp;SUBSTITUTE(input_topics," ","")&amp;",")))=0)),IF(IO196="",TRUE,IF(input_topics="",FALSE,SUMPRODUCT(--ISNUMBER(SEARCH(","&amp;TRIM(TEXTSPLIT(IO196,","))&amp;",",","&amp;SUBSTITUTE(input_topics," ","")&amp;",")))&gt;0)),IF(IQ196="",TRUE,IF(input_topics="",FALSE,SUMPRODUCT(--ISNUMBER(SEARCH(","&amp;TRIM(TEXTSPLIT(IQ196,","))&amp;",",","&amp;SUBSTITUTE(input_topics," ","")&amp;",")))=COUNTA(TEXTSPLIT(IQ196,",")))))</f>
        <v/>
      </c>
    </row>
    <row r="197">
      <c r="A197" s="24">
        <f>IF(NOT(IS197),"Excluded",IF(AND(IT197,IU197,IV197,IW197,IX197,IY197,IZ197,JA197,JB197,JC197,JD197,JE197,JF197,JG197,JH197,JI197,JJ197,JK197,JL197,JM197,JN197,JO197,JP197,JQ197),IF(I197&gt;0,"Eligible but limited","Will appear"),"Excluded"))</f>
        <v/>
      </c>
      <c r="B197" s="24" t="inlineStr">
        <is>
          <t>Related stories on story pages</t>
        </is>
      </c>
      <c r="C197" s="27" t="inlineStr">
        <is>
          <t>/story/2023/charting-path-forward-leadership</t>
        </is>
      </c>
      <c r="D197" s="24" t="inlineStr">
        <is>
          <t>/story/2023/charting-path-forward-leadership
/story/2023/driving-positive-change-through-purposeful-leadership
/story/2023/executive-education-emba</t>
        </is>
      </c>
      <c r="E197" s="24" t="n">
        <v>13</v>
      </c>
      <c r="F197" s="24" t="inlineStr">
        <is>
          <t>story</t>
        </is>
      </c>
      <c r="G197" s="24" t="inlineStr">
        <is>
          <t>stories_teaser_cards</t>
        </is>
      </c>
      <c r="H197" s="24" t="inlineStr">
        <is>
          <t>embed_all</t>
        </is>
      </c>
      <c r="I197" s="24" t="n">
        <v>3</v>
      </c>
      <c r="J197" s="31" t="inlineStr">
        <is>
          <t>Template logic</t>
        </is>
      </c>
      <c r="K197" s="24" t="inlineStr">
        <is>
          <t>Grouped surface</t>
        </is>
      </c>
      <c r="L197" s="24" t="inlineStr">
        <is>
          <t>Content type: story; Context uses Courses Context: Executive Education (967); Context uses Story Type: Blog (974); Limited to 3 item(s); Source: Template logic</t>
        </is>
      </c>
      <c r="BQ197" s="19" t="inlineStr">
        <is>
          <t>967</t>
        </is>
      </c>
      <c r="BR197" s="19" t="inlineStr">
        <is>
          <t>Executive Education (967)</t>
        </is>
      </c>
      <c r="IE197" s="19" t="inlineStr">
        <is>
          <t>974</t>
        </is>
      </c>
      <c r="IF197" s="19" t="inlineStr">
        <is>
          <t>Blog (974)</t>
        </is>
      </c>
      <c r="IS197" s="19">
        <f>IF(input_content_type="",FALSE,ISNUMBER(SEARCH(","&amp;LOWER(input_content_type)&amp;",",","&amp;LOWER(SUBSTITUTE(F197," ",""))&amp;",")))</f>
        <v/>
      </c>
      <c r="IT197" s="19">
        <f>AND(IF(M197="",TRUE,IF(input_affiliations="",FALSE,SUMPRODUCT(--ISNUMBER(SEARCH(","&amp;TRIM(TEXTSPLIT(M197,","))&amp;",",","&amp;SUBSTITUTE(input_affiliations," ","")&amp;",")))&gt;0)),IF(O197="",TRUE,IF(input_affiliations="",FALSE,SUMPRODUCT(--ISNUMBER(SEARCH(","&amp;TRIM(TEXTSPLIT(O197,","))&amp;",",","&amp;SUBSTITUTE(input_affiliations," ","")&amp;",")))=COUNTA(TEXTSPLIT(O197,",")))),IF(Q197="",TRUE,IF(input_affiliations="",TRUE,SUMPRODUCT(--ISNUMBER(SEARCH(","&amp;TRIM(TEXTSPLIT(Q197,","))&amp;",",","&amp;SUBSTITUTE(input_affiliations," ","")&amp;",")))=0)),IF(S197="",TRUE,IF(input_affiliations="",FALSE,SUMPRODUCT(--ISNUMBER(SEARCH(","&amp;TRIM(TEXTSPLIT(S197,","))&amp;",",","&amp;SUBSTITUTE(input_affiliations," ","")&amp;",")))&gt;0)),IF(U197="",TRUE,IF(input_affiliations="",FALSE,SUMPRODUCT(--ISNUMBER(SEARCH(","&amp;TRIM(TEXTSPLIT(U197,","))&amp;",",","&amp;SUBSTITUTE(input_affiliations," ","")&amp;",")))=COUNTA(TEXTSPLIT(U197,",")))))</f>
        <v/>
      </c>
      <c r="IU197" s="19">
        <f>AND(IF(W197="",TRUE,IF(input_announcement_category="",FALSE,SUMPRODUCT(--ISNUMBER(SEARCH(","&amp;TRIM(TEXTSPLIT(W197,","))&amp;",",","&amp;SUBSTITUTE(input_announcement_category," ","")&amp;",")))&gt;0)),IF(Y197="",TRUE,IF(input_announcement_category="",FALSE,SUMPRODUCT(--ISNUMBER(SEARCH(","&amp;TRIM(TEXTSPLIT(Y197,","))&amp;",",","&amp;SUBSTITUTE(input_announcement_category," ","")&amp;",")))=COUNTA(TEXTSPLIT(Y197,",")))),IF(AA197="",TRUE,IF(input_announcement_category="",TRUE,SUMPRODUCT(--ISNUMBER(SEARCH(","&amp;TRIM(TEXTSPLIT(AA197,","))&amp;",",","&amp;SUBSTITUTE(input_announcement_category," ","")&amp;",")))=0)),IF(AC197="",TRUE,IF(input_announcement_category="",FALSE,SUMPRODUCT(--ISNUMBER(SEARCH(","&amp;TRIM(TEXTSPLIT(AC197,","))&amp;",",","&amp;SUBSTITUTE(input_announcement_category," ","")&amp;",")))&gt;0)),IF(AE197="",TRUE,IF(input_announcement_category="",FALSE,SUMPRODUCT(--ISNUMBER(SEARCH(","&amp;TRIM(TEXTSPLIT(AE197,","))&amp;",",","&amp;SUBSTITUTE(input_announcement_category," ","")&amp;",")))=COUNTA(TEXTSPLIT(AE197,",")))))</f>
        <v/>
      </c>
      <c r="IV197" s="19">
        <f>AND(IF(AG197="",TRUE,IF(input_area_of_focus="",FALSE,SUMPRODUCT(--ISNUMBER(SEARCH(","&amp;TRIM(TEXTSPLIT(AG197,","))&amp;",",","&amp;SUBSTITUTE(input_area_of_focus," ","")&amp;",")))&gt;0)),IF(AI197="",TRUE,IF(input_area_of_focus="",FALSE,SUMPRODUCT(--ISNUMBER(SEARCH(","&amp;TRIM(TEXTSPLIT(AI197,","))&amp;",",","&amp;SUBSTITUTE(input_area_of_focus," ","")&amp;",")))=COUNTA(TEXTSPLIT(AI197,",")))),IF(AK197="",TRUE,IF(input_area_of_focus="",TRUE,SUMPRODUCT(--ISNUMBER(SEARCH(","&amp;TRIM(TEXTSPLIT(AK197,","))&amp;",",","&amp;SUBSTITUTE(input_area_of_focus," ","")&amp;",")))=0)),IF(AM197="",TRUE,IF(input_area_of_focus="",FALSE,SUMPRODUCT(--ISNUMBER(SEARCH(","&amp;TRIM(TEXTSPLIT(AM197,","))&amp;",",","&amp;SUBSTITUTE(input_area_of_focus," ","")&amp;",")))&gt;0)),IF(AO197="",TRUE,IF(input_area_of_focus="",FALSE,SUMPRODUCT(--ISNUMBER(SEARCH(","&amp;TRIM(TEXTSPLIT(AO197,","))&amp;",",","&amp;SUBSTITUTE(input_area_of_focus," ","")&amp;",")))=COUNTA(TEXTSPLIT(AO197,",")))))</f>
        <v/>
      </c>
      <c r="IW197" s="19">
        <f>AND(IF(AQ197="",TRUE,IF(input_audience="",FALSE,SUMPRODUCT(--ISNUMBER(SEARCH(","&amp;TRIM(TEXTSPLIT(AQ197,","))&amp;",",","&amp;SUBSTITUTE(input_audience," ","")&amp;",")))&gt;0)),IF(AS197="",TRUE,IF(input_audience="",FALSE,SUMPRODUCT(--ISNUMBER(SEARCH(","&amp;TRIM(TEXTSPLIT(AS197,","))&amp;",",","&amp;SUBSTITUTE(input_audience," ","")&amp;",")))=COUNTA(TEXTSPLIT(AS197,",")))),IF(AU197="",TRUE,IF(input_audience="",TRUE,SUMPRODUCT(--ISNUMBER(SEARCH(","&amp;TRIM(TEXTSPLIT(AU197,","))&amp;",",","&amp;SUBSTITUTE(input_audience," ","")&amp;",")))=0)),IF(AW197="",TRUE,IF(input_audience="",FALSE,SUMPRODUCT(--ISNUMBER(SEARCH(","&amp;TRIM(TEXTSPLIT(AW197,","))&amp;",",","&amp;SUBSTITUTE(input_audience," ","")&amp;",")))&gt;0)),IF(AY197="",TRUE,IF(input_audience="",FALSE,SUMPRODUCT(--ISNUMBER(SEARCH(","&amp;TRIM(TEXTSPLIT(AY197,","))&amp;",",","&amp;SUBSTITUTE(input_audience," ","")&amp;",")))=COUNTA(TEXTSPLIT(AY197,",")))))</f>
        <v/>
      </c>
      <c r="IX197" s="19">
        <f>AND(IF(BA197="",TRUE,IF(input_challenge_opportunities="",FALSE,SUMPRODUCT(--ISNUMBER(SEARCH(","&amp;TRIM(TEXTSPLIT(BA197,","))&amp;",",","&amp;SUBSTITUTE(input_challenge_opportunities," ","")&amp;",")))&gt;0)),IF(BC197="",TRUE,IF(input_challenge_opportunities="",FALSE,SUMPRODUCT(--ISNUMBER(SEARCH(","&amp;TRIM(TEXTSPLIT(BC197,","))&amp;",",","&amp;SUBSTITUTE(input_challenge_opportunities," ","")&amp;",")))=COUNTA(TEXTSPLIT(BC197,",")))),IF(BE197="",TRUE,IF(input_challenge_opportunities="",TRUE,SUMPRODUCT(--ISNUMBER(SEARCH(","&amp;TRIM(TEXTSPLIT(BE197,","))&amp;",",","&amp;SUBSTITUTE(input_challenge_opportunities," ","")&amp;",")))=0)),IF(BG197="",TRUE,IF(input_challenge_opportunities="",FALSE,SUMPRODUCT(--ISNUMBER(SEARCH(","&amp;TRIM(TEXTSPLIT(BG197,","))&amp;",",","&amp;SUBSTITUTE(input_challenge_opportunities," ","")&amp;",")))&gt;0)),IF(BI197="",TRUE,IF(input_challenge_opportunities="",FALSE,SUMPRODUCT(--ISNUMBER(SEARCH(","&amp;TRIM(TEXTSPLIT(BI197,","))&amp;",",","&amp;SUBSTITUTE(input_challenge_opportunities," ","")&amp;",")))=COUNTA(TEXTSPLIT(BI197,",")))))</f>
        <v/>
      </c>
      <c r="IY197" s="19">
        <f>AND(IF(BK197="",TRUE,IF(input_context="",FALSE,SUMPRODUCT(--ISNUMBER(SEARCH(","&amp;TRIM(TEXTSPLIT(BK197,","))&amp;",",","&amp;SUBSTITUTE(input_context," ","")&amp;",")))&gt;0)),IF(BM197="",TRUE,IF(input_context="",FALSE,SUMPRODUCT(--ISNUMBER(SEARCH(","&amp;TRIM(TEXTSPLIT(BM197,","))&amp;",",","&amp;SUBSTITUTE(input_context," ","")&amp;",")))=COUNTA(TEXTSPLIT(BM197,",")))),IF(BO197="",TRUE,IF(input_context="",TRUE,SUMPRODUCT(--ISNUMBER(SEARCH(","&amp;TRIM(TEXTSPLIT(BO197,","))&amp;",",","&amp;SUBSTITUTE(input_context," ","")&amp;",")))=0)),IF(BQ197="",TRUE,IF(input_context="",FALSE,SUMPRODUCT(--ISNUMBER(SEARCH(","&amp;TRIM(TEXTSPLIT(BQ197,","))&amp;",",","&amp;SUBSTITUTE(input_context," ","")&amp;",")))&gt;0)),IF(BS197="",TRUE,IF(input_context="",FALSE,SUMPRODUCT(--ISNUMBER(SEARCH(","&amp;TRIM(TEXTSPLIT(BS197,","))&amp;",",","&amp;SUBSTITUTE(input_context," ","")&amp;",")))=COUNTA(TEXTSPLIT(BS197,",")))))</f>
        <v/>
      </c>
      <c r="IZ197" s="19">
        <f>AND(IF(BU197="",TRUE,IF(input_enews_announcement_type="",FALSE,SUMPRODUCT(--ISNUMBER(SEARCH(","&amp;TRIM(TEXTSPLIT(BU197,","))&amp;",",","&amp;SUBSTITUTE(input_enews_announcement_type," ","")&amp;",")))&gt;0)),IF(BW197="",TRUE,IF(input_enews_announcement_type="",FALSE,SUMPRODUCT(--ISNUMBER(SEARCH(","&amp;TRIM(TEXTSPLIT(BW197,","))&amp;",",","&amp;SUBSTITUTE(input_enews_announcement_type," ","")&amp;",")))=COUNTA(TEXTSPLIT(BW197,",")))),IF(BY197="",TRUE,IF(input_enews_announcement_type="",TRUE,SUMPRODUCT(--ISNUMBER(SEARCH(","&amp;TRIM(TEXTSPLIT(BY197,","))&amp;",",","&amp;SUBSTITUTE(input_enews_announcement_type," ","")&amp;",")))=0)),IF(CA197="",TRUE,IF(input_enews_announcement_type="",FALSE,SUMPRODUCT(--ISNUMBER(SEARCH(","&amp;TRIM(TEXTSPLIT(CA197,","))&amp;",",","&amp;SUBSTITUTE(input_enews_announcement_type," ","")&amp;",")))&gt;0)),IF(CC197="",TRUE,IF(input_enews_announcement_type="",FALSE,SUMPRODUCT(--ISNUMBER(SEARCH(","&amp;TRIM(TEXTSPLIT(CC197,","))&amp;",",","&amp;SUBSTITUTE(input_enews_announcement_type," ","")&amp;",")))=COUNTA(TEXTSPLIT(CC197,",")))))</f>
        <v/>
      </c>
      <c r="JA197" s="19">
        <f>AND(IF(CE197="",TRUE,IF(input_enews_audience="",FALSE,SUMPRODUCT(--ISNUMBER(SEARCH(","&amp;TRIM(TEXTSPLIT(CE197,","))&amp;",",","&amp;SUBSTITUTE(input_enews_audience," ","")&amp;",")))&gt;0)),IF(CG197="",TRUE,IF(input_enews_audience="",FALSE,SUMPRODUCT(--ISNUMBER(SEARCH(","&amp;TRIM(TEXTSPLIT(CG197,","))&amp;",",","&amp;SUBSTITUTE(input_enews_audience," ","")&amp;",")))=COUNTA(TEXTSPLIT(CG197,",")))),IF(CI197="",TRUE,IF(input_enews_audience="",TRUE,SUMPRODUCT(--ISNUMBER(SEARCH(","&amp;TRIM(TEXTSPLIT(CI197,","))&amp;",",","&amp;SUBSTITUTE(input_enews_audience," ","")&amp;",")))=0)),IF(CK197="",TRUE,IF(input_enews_audience="",FALSE,SUMPRODUCT(--ISNUMBER(SEARCH(","&amp;TRIM(TEXTSPLIT(CK197,","))&amp;",",","&amp;SUBSTITUTE(input_enews_audience," ","")&amp;",")))&gt;0)),IF(CM197="",TRUE,IF(input_enews_audience="",FALSE,SUMPRODUCT(--ISNUMBER(SEARCH(","&amp;TRIM(TEXTSPLIT(CM197,","))&amp;",",","&amp;SUBSTITUTE(input_enews_audience," ","")&amp;",")))=COUNTA(TEXTSPLIT(CM197,",")))))</f>
        <v/>
      </c>
      <c r="JB197" s="19">
        <f>AND(IF(CO197="",TRUE,IF(input_event_location="",FALSE,SUMPRODUCT(--ISNUMBER(SEARCH(","&amp;TRIM(TEXTSPLIT(CO197,","))&amp;",",","&amp;SUBSTITUTE(input_event_location," ","")&amp;",")))&gt;0)),IF(CQ197="",TRUE,IF(input_event_location="",FALSE,SUMPRODUCT(--ISNUMBER(SEARCH(","&amp;TRIM(TEXTSPLIT(CQ197,","))&amp;",",","&amp;SUBSTITUTE(input_event_location," ","")&amp;",")))=COUNTA(TEXTSPLIT(CQ197,",")))),IF(CS197="",TRUE,IF(input_event_location="",TRUE,SUMPRODUCT(--ISNUMBER(SEARCH(","&amp;TRIM(TEXTSPLIT(CS197,","))&amp;",",","&amp;SUBSTITUTE(input_event_location," ","")&amp;",")))=0)),IF(CU197="",TRUE,IF(input_event_location="",FALSE,SUMPRODUCT(--ISNUMBER(SEARCH(","&amp;TRIM(TEXTSPLIT(CU197,","))&amp;",",","&amp;SUBSTITUTE(input_event_location," ","")&amp;",")))&gt;0)),IF(CW197="",TRUE,IF(input_event_location="",FALSE,SUMPRODUCT(--ISNUMBER(SEARCH(","&amp;TRIM(TEXTSPLIT(CW197,","))&amp;",",","&amp;SUBSTITUTE(input_event_location," ","")&amp;",")))=COUNTA(TEXTSPLIT(CW197,",")))))</f>
        <v/>
      </c>
      <c r="JC197" s="19">
        <f>AND(IF(CY197="",TRUE,IF(input_event_type="",FALSE,SUMPRODUCT(--ISNUMBER(SEARCH(","&amp;TRIM(TEXTSPLIT(CY197,","))&amp;",",","&amp;SUBSTITUTE(input_event_type," ","")&amp;",")))&gt;0)),IF(DA197="",TRUE,IF(input_event_type="",FALSE,SUMPRODUCT(--ISNUMBER(SEARCH(","&amp;TRIM(TEXTSPLIT(DA197,","))&amp;",",","&amp;SUBSTITUTE(input_event_type," ","")&amp;",")))=COUNTA(TEXTSPLIT(DA197,",")))),IF(DC197="",TRUE,IF(input_event_type="",TRUE,SUMPRODUCT(--ISNUMBER(SEARCH(","&amp;TRIM(TEXTSPLIT(DC197,","))&amp;",",","&amp;SUBSTITUTE(input_event_type," ","")&amp;",")))=0)),IF(DE197="",TRUE,IF(input_event_type="",FALSE,SUMPRODUCT(--ISNUMBER(SEARCH(","&amp;TRIM(TEXTSPLIT(DE197,","))&amp;",",","&amp;SUBSTITUTE(input_event_type," ","")&amp;",")))&gt;0)),IF(DG197="",TRUE,IF(input_event_type="",FALSE,SUMPRODUCT(--ISNUMBER(SEARCH(","&amp;TRIM(TEXTSPLIT(DG197,","))&amp;",",","&amp;SUBSTITUTE(input_event_type," ","")&amp;",")))=COUNTA(TEXTSPLIT(DG197,",")))))</f>
        <v/>
      </c>
      <c r="JD197" s="19">
        <f>AND(IF(DI197="",TRUE,IF(input_executive_education_focus="",FALSE,SUMPRODUCT(--ISNUMBER(SEARCH(","&amp;TRIM(TEXTSPLIT(DI197,","))&amp;",",","&amp;SUBSTITUTE(input_executive_education_focus," ","")&amp;",")))&gt;0)),IF(DK197="",TRUE,IF(input_executive_education_focus="",FALSE,SUMPRODUCT(--ISNUMBER(SEARCH(","&amp;TRIM(TEXTSPLIT(DK197,","))&amp;",",","&amp;SUBSTITUTE(input_executive_education_focus," ","")&amp;",")))=COUNTA(TEXTSPLIT(DK197,",")))),IF(DM197="",TRUE,IF(input_executive_education_focus="",TRUE,SUMPRODUCT(--ISNUMBER(SEARCH(","&amp;TRIM(TEXTSPLIT(DM197,","))&amp;",",","&amp;SUBSTITUTE(input_executive_education_focus," ","")&amp;",")))=0)),IF(DO197="",TRUE,IF(input_executive_education_focus="",FALSE,SUMPRODUCT(--ISNUMBER(SEARCH(","&amp;TRIM(TEXTSPLIT(DO197,","))&amp;",",","&amp;SUBSTITUTE(input_executive_education_focus," ","")&amp;",")))&gt;0)),IF(DQ197="",TRUE,IF(input_executive_education_focus="",FALSE,SUMPRODUCT(--ISNUMBER(SEARCH(","&amp;TRIM(TEXTSPLIT(DQ197,","))&amp;",",","&amp;SUBSTITUTE(input_executive_education_focus," ","")&amp;",")))=COUNTA(TEXTSPLIT(DQ197,",")))))</f>
        <v/>
      </c>
      <c r="JE197" s="19">
        <f>AND(IF(DS197="",TRUE,IF(input_faculty_category="",FALSE,SUMPRODUCT(--ISNUMBER(SEARCH(","&amp;TRIM(TEXTSPLIT(DS197,","))&amp;",",","&amp;SUBSTITUTE(input_faculty_category," ","")&amp;",")))&gt;0)),IF(DU197="",TRUE,IF(input_faculty_category="",FALSE,SUMPRODUCT(--ISNUMBER(SEARCH(","&amp;TRIM(TEXTSPLIT(DU197,","))&amp;",",","&amp;SUBSTITUTE(input_faculty_category," ","")&amp;",")))=COUNTA(TEXTSPLIT(DU197,",")))),IF(DW197="",TRUE,IF(input_faculty_category="",TRUE,SUMPRODUCT(--ISNUMBER(SEARCH(","&amp;TRIM(TEXTSPLIT(DW197,","))&amp;",",","&amp;SUBSTITUTE(input_faculty_category," ","")&amp;",")))=0)),IF(DY197="",TRUE,IF(input_faculty_category="",FALSE,SUMPRODUCT(--ISNUMBER(SEARCH(","&amp;TRIM(TEXTSPLIT(DY197,","))&amp;",",","&amp;SUBSTITUTE(input_faculty_category," ","")&amp;",")))&gt;0)),IF(EA197="",TRUE,IF(input_faculty_category="",FALSE,SUMPRODUCT(--ISNUMBER(SEARCH(","&amp;TRIM(TEXTSPLIT(EA197,","))&amp;",",","&amp;SUBSTITUTE(input_faculty_category," ","")&amp;",")))=COUNTA(TEXTSPLIT(EA197,",")))))</f>
        <v/>
      </c>
      <c r="JF197" s="19">
        <f>AND(IF(EC197="",TRUE,IF(input_faculty_discipline="",FALSE,SUMPRODUCT(--ISNUMBER(SEARCH(","&amp;TRIM(TEXTSPLIT(EC197,","))&amp;",",","&amp;SUBSTITUTE(input_faculty_discipline," ","")&amp;",")))&gt;0)),IF(EE197="",TRUE,IF(input_faculty_discipline="",FALSE,SUMPRODUCT(--ISNUMBER(SEARCH(","&amp;TRIM(TEXTSPLIT(EE197,","))&amp;",",","&amp;SUBSTITUTE(input_faculty_discipline," ","")&amp;",")))=COUNTA(TEXTSPLIT(EE197,",")))),IF(EG197="",TRUE,IF(input_faculty_discipline="",TRUE,SUMPRODUCT(--ISNUMBER(SEARCH(","&amp;TRIM(TEXTSPLIT(EG197,","))&amp;",",","&amp;SUBSTITUTE(input_faculty_discipline," ","")&amp;",")))=0)),IF(EI197="",TRUE,IF(input_faculty_discipline="",FALSE,SUMPRODUCT(--ISNUMBER(SEARCH(","&amp;TRIM(TEXTSPLIT(EI197,","))&amp;",",","&amp;SUBSTITUTE(input_faculty_discipline," ","")&amp;",")))&gt;0)),IF(EK197="",TRUE,IF(input_faculty_discipline="",FALSE,SUMPRODUCT(--ISNUMBER(SEARCH(","&amp;TRIM(TEXTSPLIT(EK197,","))&amp;",",","&amp;SUBSTITUTE(input_faculty_discipline," ","")&amp;",")))=COUNTA(TEXTSPLIT(EK197,",")))))</f>
        <v/>
      </c>
      <c r="JG197" s="19">
        <f>AND(IF(EM197="",TRUE,IF(input_faculty_expertise="",FALSE,SUMPRODUCT(--ISNUMBER(SEARCH(","&amp;TRIM(TEXTSPLIT(EM197,","))&amp;",",","&amp;SUBSTITUTE(input_faculty_expertise," ","")&amp;",")))&gt;0)),IF(EO197="",TRUE,IF(input_faculty_expertise="",FALSE,SUMPRODUCT(--ISNUMBER(SEARCH(","&amp;TRIM(TEXTSPLIT(EO197,","))&amp;",",","&amp;SUBSTITUTE(input_faculty_expertise," ","")&amp;",")))=COUNTA(TEXTSPLIT(EO197,",")))),IF(EQ197="",TRUE,IF(input_faculty_expertise="",TRUE,SUMPRODUCT(--ISNUMBER(SEARCH(","&amp;TRIM(TEXTSPLIT(EQ197,","))&amp;",",","&amp;SUBSTITUTE(input_faculty_expertise," ","")&amp;",")))=0)),IF(ES197="",TRUE,IF(input_faculty_expertise="",FALSE,SUMPRODUCT(--ISNUMBER(SEARCH(","&amp;TRIM(TEXTSPLIT(ES197,","))&amp;",",","&amp;SUBSTITUTE(input_faculty_expertise," ","")&amp;",")))&gt;0)),IF(EU197="",TRUE,IF(input_faculty_expertise="",FALSE,SUMPRODUCT(--ISNUMBER(SEARCH(","&amp;TRIM(TEXTSPLIT(EU197,","))&amp;",",","&amp;SUBSTITUTE(input_faculty_expertise," ","")&amp;",")))=COUNTA(TEXTSPLIT(EU197,",")))))</f>
        <v/>
      </c>
      <c r="JH197" s="19">
        <f>AND(IF(EW197="",TRUE,IF(input_global_network_school="",FALSE,SUMPRODUCT(--ISNUMBER(SEARCH(","&amp;TRIM(TEXTSPLIT(EW197,","))&amp;",",","&amp;SUBSTITUTE(input_global_network_school," ","")&amp;",")))&gt;0)),IF(EY197="",TRUE,IF(input_global_network_school="",FALSE,SUMPRODUCT(--ISNUMBER(SEARCH(","&amp;TRIM(TEXTSPLIT(EY197,","))&amp;",",","&amp;SUBSTITUTE(input_global_network_school," ","")&amp;",")))=COUNTA(TEXTSPLIT(EY197,",")))),IF(FA197="",TRUE,IF(input_global_network_school="",TRUE,SUMPRODUCT(--ISNUMBER(SEARCH(","&amp;TRIM(TEXTSPLIT(FA197,","))&amp;",",","&amp;SUBSTITUTE(input_global_network_school," ","")&amp;",")))=0)),IF(FC197="",TRUE,IF(input_global_network_school="",FALSE,SUMPRODUCT(--ISNUMBER(SEARCH(","&amp;TRIM(TEXTSPLIT(FC197,","))&amp;",",","&amp;SUBSTITUTE(input_global_network_school," ","")&amp;",")))&gt;0)),IF(FE197="",TRUE,IF(input_global_network_school="",FALSE,SUMPRODUCT(--ISNUMBER(SEARCH(","&amp;TRIM(TEXTSPLIT(FE197,","))&amp;",",","&amp;SUBSTITUTE(input_global_network_school," ","")&amp;",")))=COUNTA(TEXTSPLIT(FE197,",")))))</f>
        <v/>
      </c>
      <c r="JI197" s="19">
        <f>AND(IF(FG197="",TRUE,IF(input_industry="",FALSE,SUMPRODUCT(--ISNUMBER(SEARCH(","&amp;TRIM(TEXTSPLIT(FG197,","))&amp;",",","&amp;SUBSTITUTE(input_industry," ","")&amp;",")))&gt;0)),IF(FI197="",TRUE,IF(input_industry="",FALSE,SUMPRODUCT(--ISNUMBER(SEARCH(","&amp;TRIM(TEXTSPLIT(FI197,","))&amp;",",","&amp;SUBSTITUTE(input_industry," ","")&amp;",")))=COUNTA(TEXTSPLIT(FI197,",")))),IF(FK197="",TRUE,IF(input_industry="",TRUE,SUMPRODUCT(--ISNUMBER(SEARCH(","&amp;TRIM(TEXTSPLIT(FK197,","))&amp;",",","&amp;SUBSTITUTE(input_industry," ","")&amp;",")))=0)),IF(FM197="",TRUE,IF(input_industry="",FALSE,SUMPRODUCT(--ISNUMBER(SEARCH(","&amp;TRIM(TEXTSPLIT(FM197,","))&amp;",",","&amp;SUBSTITUTE(input_industry," ","")&amp;",")))&gt;0)),IF(FO197="",TRUE,IF(input_industry="",FALSE,SUMPRODUCT(--ISNUMBER(SEARCH(","&amp;TRIM(TEXTSPLIT(FO197,","))&amp;",",","&amp;SUBSTITUTE(input_industry," ","")&amp;",")))=COUNTA(TEXTSPLIT(FO197,",")))))</f>
        <v/>
      </c>
      <c r="JJ197" s="19">
        <f>AND(IF(FQ197="",TRUE,IF(input_location="",FALSE,SUMPRODUCT(--ISNUMBER(SEARCH(","&amp;TRIM(TEXTSPLIT(FQ197,","))&amp;",",","&amp;SUBSTITUTE(input_location," ","")&amp;",")))&gt;0)),IF(FS197="",TRUE,IF(input_location="",FALSE,SUMPRODUCT(--ISNUMBER(SEARCH(","&amp;TRIM(TEXTSPLIT(FS197,","))&amp;",",","&amp;SUBSTITUTE(input_location," ","")&amp;",")))=COUNTA(TEXTSPLIT(FS197,",")))),IF(FU197="",TRUE,IF(input_location="",TRUE,SUMPRODUCT(--ISNUMBER(SEARCH(","&amp;TRIM(TEXTSPLIT(FU197,","))&amp;",",","&amp;SUBSTITUTE(input_location," ","")&amp;",")))=0)),IF(FW197="",TRUE,IF(input_location="",FALSE,SUMPRODUCT(--ISNUMBER(SEARCH(","&amp;TRIM(TEXTSPLIT(FW197,","))&amp;",",","&amp;SUBSTITUTE(input_location," ","")&amp;",")))&gt;0)),IF(FY197="",TRUE,IF(input_location="",FALSE,SUMPRODUCT(--ISNUMBER(SEARCH(","&amp;TRIM(TEXTSPLIT(FY197,","))&amp;",",","&amp;SUBSTITUTE(input_location," ","")&amp;",")))=COUNTA(TEXTSPLIT(FY197,",")))))</f>
        <v/>
      </c>
      <c r="JK197" s="19">
        <f>AND(IF(GA197="",TRUE,IF(input_modality="",FALSE,SUMPRODUCT(--ISNUMBER(SEARCH(","&amp;TRIM(TEXTSPLIT(GA197,","))&amp;",",","&amp;SUBSTITUTE(input_modality," ","")&amp;",")))&gt;0)),IF(GC197="",TRUE,IF(input_modality="",FALSE,SUMPRODUCT(--ISNUMBER(SEARCH(","&amp;TRIM(TEXTSPLIT(GC197,","))&amp;",",","&amp;SUBSTITUTE(input_modality," ","")&amp;",")))=COUNTA(TEXTSPLIT(GC197,",")))),IF(GE197="",TRUE,IF(input_modality="",TRUE,SUMPRODUCT(--ISNUMBER(SEARCH(","&amp;TRIM(TEXTSPLIT(GE197,","))&amp;",",","&amp;SUBSTITUTE(input_modality," ","")&amp;",")))=0)),IF(GG197="",TRUE,IF(input_modality="",FALSE,SUMPRODUCT(--ISNUMBER(SEARCH(","&amp;TRIM(TEXTSPLIT(GG197,","))&amp;",",","&amp;SUBSTITUTE(input_modality," ","")&amp;",")))&gt;0)),IF(GI197="",TRUE,IF(input_modality="",FALSE,SUMPRODUCT(--ISNUMBER(SEARCH(","&amp;TRIM(TEXTSPLIT(GI197,","))&amp;",",","&amp;SUBSTITUTE(input_modality," ","")&amp;",")))=COUNTA(TEXTSPLIT(GI197,",")))))</f>
        <v/>
      </c>
      <c r="JL197" s="19">
        <f>AND(IF(GK197="",TRUE,IF(input_organizer="",FALSE,SUMPRODUCT(--ISNUMBER(SEARCH(","&amp;TRIM(TEXTSPLIT(GK197,","))&amp;",",","&amp;SUBSTITUTE(input_organizer," ","")&amp;",")))&gt;0)),IF(GM197="",TRUE,IF(input_organizer="",FALSE,SUMPRODUCT(--ISNUMBER(SEARCH(","&amp;TRIM(TEXTSPLIT(GM197,","))&amp;",",","&amp;SUBSTITUTE(input_organizer," ","")&amp;",")))=COUNTA(TEXTSPLIT(GM197,",")))),IF(GO197="",TRUE,IF(input_organizer="",TRUE,SUMPRODUCT(--ISNUMBER(SEARCH(","&amp;TRIM(TEXTSPLIT(GO197,","))&amp;",",","&amp;SUBSTITUTE(input_organizer," ","")&amp;",")))=0)),IF(GQ197="",TRUE,IF(input_organizer="",FALSE,SUMPRODUCT(--ISNUMBER(SEARCH(","&amp;TRIM(TEXTSPLIT(GQ197,","))&amp;",",","&amp;SUBSTITUTE(input_organizer," ","")&amp;",")))&gt;0)),IF(GS197="",TRUE,IF(input_organizer="",FALSE,SUMPRODUCT(--ISNUMBER(SEARCH(","&amp;TRIM(TEXTSPLIT(GS197,","))&amp;",",","&amp;SUBSTITUTE(input_organizer," ","")&amp;",")))=COUNTA(TEXTSPLIT(GS197,",")))))</f>
        <v/>
      </c>
      <c r="JM197" s="19">
        <f>AND(IF(GU197="",TRUE,IF(input_profile_type="",FALSE,SUMPRODUCT(--ISNUMBER(SEARCH(","&amp;TRIM(TEXTSPLIT(GU197,","))&amp;",",","&amp;SUBSTITUTE(input_profile_type," ","")&amp;",")))&gt;0)),IF(GW197="",TRUE,IF(input_profile_type="",FALSE,SUMPRODUCT(--ISNUMBER(SEARCH(","&amp;TRIM(TEXTSPLIT(GW197,","))&amp;",",","&amp;SUBSTITUTE(input_profile_type," ","")&amp;",")))=COUNTA(TEXTSPLIT(GW197,",")))),IF(GY197="",TRUE,IF(input_profile_type="",TRUE,SUMPRODUCT(--ISNUMBER(SEARCH(","&amp;TRIM(TEXTSPLIT(GY197,","))&amp;",",","&amp;SUBSTITUTE(input_profile_type," ","")&amp;",")))=0)),IF(HA197="",TRUE,IF(input_profile_type="",FALSE,SUMPRODUCT(--ISNUMBER(SEARCH(","&amp;TRIM(TEXTSPLIT(HA197,","))&amp;",",","&amp;SUBSTITUTE(input_profile_type," ","")&amp;",")))&gt;0)),IF(HC197="",TRUE,IF(input_profile_type="",FALSE,SUMPRODUCT(--ISNUMBER(SEARCH(","&amp;TRIM(TEXTSPLIT(HC197,","))&amp;",",","&amp;SUBSTITUTE(input_profile_type," ","")&amp;",")))=COUNTA(TEXTSPLIT(HC197,",")))))</f>
        <v/>
      </c>
      <c r="JN197" s="19">
        <f>AND(IF(HE197="",TRUE,IF(input_program="",FALSE,SUMPRODUCT(--ISNUMBER(SEARCH(","&amp;TRIM(TEXTSPLIT(HE197,","))&amp;",",","&amp;SUBSTITUTE(input_program," ","")&amp;",")))&gt;0)),IF(HG197="",TRUE,IF(input_program="",FALSE,SUMPRODUCT(--ISNUMBER(SEARCH(","&amp;TRIM(TEXTSPLIT(HG197,","))&amp;",",","&amp;SUBSTITUTE(input_program," ","")&amp;",")))=COUNTA(TEXTSPLIT(HG197,",")))),IF(HI197="",TRUE,IF(input_program="",TRUE,SUMPRODUCT(--ISNUMBER(SEARCH(","&amp;TRIM(TEXTSPLIT(HI197,","))&amp;",",","&amp;SUBSTITUTE(input_program," ","")&amp;",")))=0)),IF(HK197="",TRUE,IF(input_program="",FALSE,SUMPRODUCT(--ISNUMBER(SEARCH(","&amp;TRIM(TEXTSPLIT(HK197,","))&amp;",",","&amp;SUBSTITUTE(input_program," ","")&amp;",")))&gt;0)),IF(HM197="",TRUE,IF(input_program="",FALSE,SUMPRODUCT(--ISNUMBER(SEARCH(","&amp;TRIM(TEXTSPLIT(HM197,","))&amp;",",","&amp;SUBSTITUTE(input_program," ","")&amp;",")))=COUNTA(TEXTSPLIT(HM197,",")))))</f>
        <v/>
      </c>
      <c r="JO197" s="19">
        <f>AND(IF(HO197="",TRUE,IF(input_story_categories="",FALSE,SUMPRODUCT(--ISNUMBER(SEARCH(","&amp;TRIM(TEXTSPLIT(HO197,","))&amp;",",","&amp;SUBSTITUTE(input_story_categories," ","")&amp;",")))&gt;0)),IF(HQ197="",TRUE,IF(input_story_categories="",FALSE,SUMPRODUCT(--ISNUMBER(SEARCH(","&amp;TRIM(TEXTSPLIT(HQ197,","))&amp;",",","&amp;SUBSTITUTE(input_story_categories," ","")&amp;",")))=COUNTA(TEXTSPLIT(HQ197,",")))),IF(HS197="",TRUE,IF(input_story_categories="",TRUE,SUMPRODUCT(--ISNUMBER(SEARCH(","&amp;TRIM(TEXTSPLIT(HS197,","))&amp;",",","&amp;SUBSTITUTE(input_story_categories," ","")&amp;",")))=0)),IF(HU197="",TRUE,IF(input_story_categories="",FALSE,SUMPRODUCT(--ISNUMBER(SEARCH(","&amp;TRIM(TEXTSPLIT(HU197,","))&amp;",",","&amp;SUBSTITUTE(input_story_categories," ","")&amp;",")))&gt;0)),IF(HW197="",TRUE,IF(input_story_categories="",FALSE,SUMPRODUCT(--ISNUMBER(SEARCH(","&amp;TRIM(TEXTSPLIT(HW197,","))&amp;",",","&amp;SUBSTITUTE(input_story_categories," ","")&amp;",")))=COUNTA(TEXTSPLIT(HW197,",")))))</f>
        <v/>
      </c>
      <c r="JP197" s="19">
        <f>AND(IF(HY197="",TRUE,IF(input_story_type="",FALSE,SUMPRODUCT(--ISNUMBER(SEARCH(","&amp;TRIM(TEXTSPLIT(HY197,","))&amp;",",","&amp;SUBSTITUTE(input_story_type," ","")&amp;",")))&gt;0)),IF(IA197="",TRUE,IF(input_story_type="",FALSE,SUMPRODUCT(--ISNUMBER(SEARCH(","&amp;TRIM(TEXTSPLIT(IA197,","))&amp;",",","&amp;SUBSTITUTE(input_story_type," ","")&amp;",")))=COUNTA(TEXTSPLIT(IA197,",")))),IF(IC197="",TRUE,IF(input_story_type="",TRUE,SUMPRODUCT(--ISNUMBER(SEARCH(","&amp;TRIM(TEXTSPLIT(IC197,","))&amp;",",","&amp;SUBSTITUTE(input_story_type," ","")&amp;",")))=0)),IF(IE197="",TRUE,IF(input_story_type="",FALSE,SUMPRODUCT(--ISNUMBER(SEARCH(","&amp;TRIM(TEXTSPLIT(IE197,","))&amp;",",","&amp;SUBSTITUTE(input_story_type," ","")&amp;",")))&gt;0)),IF(IG197="",TRUE,IF(input_story_type="",FALSE,SUMPRODUCT(--ISNUMBER(SEARCH(","&amp;TRIM(TEXTSPLIT(IG197,","))&amp;",",","&amp;SUBSTITUTE(input_story_type," ","")&amp;",")))=COUNTA(TEXTSPLIT(IG197,",")))))</f>
        <v/>
      </c>
      <c r="JQ197" s="19">
        <f>AND(IF(II197="",TRUE,IF(input_topics="",FALSE,SUMPRODUCT(--ISNUMBER(SEARCH(","&amp;TRIM(TEXTSPLIT(II197,","))&amp;",",","&amp;SUBSTITUTE(input_topics," ","")&amp;",")))&gt;0)),IF(IK197="",TRUE,IF(input_topics="",FALSE,SUMPRODUCT(--ISNUMBER(SEARCH(","&amp;TRIM(TEXTSPLIT(IK197,","))&amp;",",","&amp;SUBSTITUTE(input_topics," ","")&amp;",")))=COUNTA(TEXTSPLIT(IK197,",")))),IF(IM197="",TRUE,IF(input_topics="",TRUE,SUMPRODUCT(--ISNUMBER(SEARCH(","&amp;TRIM(TEXTSPLIT(IM197,","))&amp;",",","&amp;SUBSTITUTE(input_topics," ","")&amp;",")))=0)),IF(IO197="",TRUE,IF(input_topics="",FALSE,SUMPRODUCT(--ISNUMBER(SEARCH(","&amp;TRIM(TEXTSPLIT(IO197,","))&amp;",",","&amp;SUBSTITUTE(input_topics," ","")&amp;",")))&gt;0)),IF(IQ197="",TRUE,IF(input_topics="",FALSE,SUMPRODUCT(--ISNUMBER(SEARCH(","&amp;TRIM(TEXTSPLIT(IQ197,","))&amp;",",","&amp;SUBSTITUTE(input_topics," ","")&amp;",")))=COUNTA(TEXTSPLIT(IQ197,",")))))</f>
        <v/>
      </c>
    </row>
    <row r="198">
      <c r="A198" s="24">
        <f>IF(NOT(IS198),"Excluded",IF(AND(IT198,IU198,IV198,IW198,IX198,IY198,IZ198,JA198,JB198,JC198,JD198,JE198,JF198,JG198,JH198,JI198,JJ198,JK198,JL198,JM198,JN198,JO198,JP198,JQ198),IF(I198&gt;0,"Eligible but limited","Will appear"),"Excluded"))</f>
        <v/>
      </c>
      <c r="B198" s="24" t="inlineStr">
        <is>
          <t>Related stories on story pages</t>
        </is>
      </c>
      <c r="C198" s="27" t="inlineStr">
        <is>
          <t>/story/2023/james-robertson-99-discusses-leadership-and-social-change</t>
        </is>
      </c>
      <c r="D198" s="24" t="inlineStr">
        <is>
          <t>/story/2023/james-robertson-99-discusses-leadership-and-social-change</t>
        </is>
      </c>
      <c r="E198" s="24" t="n">
        <v>1</v>
      </c>
      <c r="F198" s="24" t="inlineStr">
        <is>
          <t>story</t>
        </is>
      </c>
      <c r="G198" s="24" t="inlineStr">
        <is>
          <t>stories_teaser_cards</t>
        </is>
      </c>
      <c r="H198" s="24" t="inlineStr">
        <is>
          <t>embed_all</t>
        </is>
      </c>
      <c r="I198" s="24" t="n">
        <v>3</v>
      </c>
      <c r="J198" s="31" t="inlineStr">
        <is>
          <t>Template logic</t>
        </is>
      </c>
      <c r="K198" s="24" t="inlineStr">
        <is>
          <t>Grouped surface</t>
        </is>
      </c>
      <c r="L198" s="24" t="inlineStr">
        <is>
          <t>Content type: story; Context uses Courses Context: Headlines (1390); Context uses Story Type: News (924); Limited to 3 item(s); Source: Template logic</t>
        </is>
      </c>
      <c r="BQ198" s="19" t="inlineStr">
        <is>
          <t>1390</t>
        </is>
      </c>
      <c r="BR198" s="19" t="inlineStr">
        <is>
          <t>Headlines (1390)</t>
        </is>
      </c>
      <c r="IE198" s="19" t="inlineStr">
        <is>
          <t>924</t>
        </is>
      </c>
      <c r="IF198" s="19" t="inlineStr">
        <is>
          <t>News (924)</t>
        </is>
      </c>
      <c r="IS198" s="19">
        <f>IF(input_content_type="",FALSE,ISNUMBER(SEARCH(","&amp;LOWER(input_content_type)&amp;",",","&amp;LOWER(SUBSTITUTE(F198," ",""))&amp;",")))</f>
        <v/>
      </c>
      <c r="IT198" s="19">
        <f>AND(IF(M198="",TRUE,IF(input_affiliations="",FALSE,SUMPRODUCT(--ISNUMBER(SEARCH(","&amp;TRIM(TEXTSPLIT(M198,","))&amp;",",","&amp;SUBSTITUTE(input_affiliations," ","")&amp;",")))&gt;0)),IF(O198="",TRUE,IF(input_affiliations="",FALSE,SUMPRODUCT(--ISNUMBER(SEARCH(","&amp;TRIM(TEXTSPLIT(O198,","))&amp;",",","&amp;SUBSTITUTE(input_affiliations," ","")&amp;",")))=COUNTA(TEXTSPLIT(O198,",")))),IF(Q198="",TRUE,IF(input_affiliations="",TRUE,SUMPRODUCT(--ISNUMBER(SEARCH(","&amp;TRIM(TEXTSPLIT(Q198,","))&amp;",",","&amp;SUBSTITUTE(input_affiliations," ","")&amp;",")))=0)),IF(S198="",TRUE,IF(input_affiliations="",FALSE,SUMPRODUCT(--ISNUMBER(SEARCH(","&amp;TRIM(TEXTSPLIT(S198,","))&amp;",",","&amp;SUBSTITUTE(input_affiliations," ","")&amp;",")))&gt;0)),IF(U198="",TRUE,IF(input_affiliations="",FALSE,SUMPRODUCT(--ISNUMBER(SEARCH(","&amp;TRIM(TEXTSPLIT(U198,","))&amp;",",","&amp;SUBSTITUTE(input_affiliations," ","")&amp;",")))=COUNTA(TEXTSPLIT(U198,",")))))</f>
        <v/>
      </c>
      <c r="IU198" s="19">
        <f>AND(IF(W198="",TRUE,IF(input_announcement_category="",FALSE,SUMPRODUCT(--ISNUMBER(SEARCH(","&amp;TRIM(TEXTSPLIT(W198,","))&amp;",",","&amp;SUBSTITUTE(input_announcement_category," ","")&amp;",")))&gt;0)),IF(Y198="",TRUE,IF(input_announcement_category="",FALSE,SUMPRODUCT(--ISNUMBER(SEARCH(","&amp;TRIM(TEXTSPLIT(Y198,","))&amp;",",","&amp;SUBSTITUTE(input_announcement_category," ","")&amp;",")))=COUNTA(TEXTSPLIT(Y198,",")))),IF(AA198="",TRUE,IF(input_announcement_category="",TRUE,SUMPRODUCT(--ISNUMBER(SEARCH(","&amp;TRIM(TEXTSPLIT(AA198,","))&amp;",",","&amp;SUBSTITUTE(input_announcement_category," ","")&amp;",")))=0)),IF(AC198="",TRUE,IF(input_announcement_category="",FALSE,SUMPRODUCT(--ISNUMBER(SEARCH(","&amp;TRIM(TEXTSPLIT(AC198,","))&amp;",",","&amp;SUBSTITUTE(input_announcement_category," ","")&amp;",")))&gt;0)),IF(AE198="",TRUE,IF(input_announcement_category="",FALSE,SUMPRODUCT(--ISNUMBER(SEARCH(","&amp;TRIM(TEXTSPLIT(AE198,","))&amp;",",","&amp;SUBSTITUTE(input_announcement_category," ","")&amp;",")))=COUNTA(TEXTSPLIT(AE198,",")))))</f>
        <v/>
      </c>
      <c r="IV198" s="19">
        <f>AND(IF(AG198="",TRUE,IF(input_area_of_focus="",FALSE,SUMPRODUCT(--ISNUMBER(SEARCH(","&amp;TRIM(TEXTSPLIT(AG198,","))&amp;",",","&amp;SUBSTITUTE(input_area_of_focus," ","")&amp;",")))&gt;0)),IF(AI198="",TRUE,IF(input_area_of_focus="",FALSE,SUMPRODUCT(--ISNUMBER(SEARCH(","&amp;TRIM(TEXTSPLIT(AI198,","))&amp;",",","&amp;SUBSTITUTE(input_area_of_focus," ","")&amp;",")))=COUNTA(TEXTSPLIT(AI198,",")))),IF(AK198="",TRUE,IF(input_area_of_focus="",TRUE,SUMPRODUCT(--ISNUMBER(SEARCH(","&amp;TRIM(TEXTSPLIT(AK198,","))&amp;",",","&amp;SUBSTITUTE(input_area_of_focus," ","")&amp;",")))=0)),IF(AM198="",TRUE,IF(input_area_of_focus="",FALSE,SUMPRODUCT(--ISNUMBER(SEARCH(","&amp;TRIM(TEXTSPLIT(AM198,","))&amp;",",","&amp;SUBSTITUTE(input_area_of_focus," ","")&amp;",")))&gt;0)),IF(AO198="",TRUE,IF(input_area_of_focus="",FALSE,SUMPRODUCT(--ISNUMBER(SEARCH(","&amp;TRIM(TEXTSPLIT(AO198,","))&amp;",",","&amp;SUBSTITUTE(input_area_of_focus," ","")&amp;",")))=COUNTA(TEXTSPLIT(AO198,",")))))</f>
        <v/>
      </c>
      <c r="IW198" s="19">
        <f>AND(IF(AQ198="",TRUE,IF(input_audience="",FALSE,SUMPRODUCT(--ISNUMBER(SEARCH(","&amp;TRIM(TEXTSPLIT(AQ198,","))&amp;",",","&amp;SUBSTITUTE(input_audience," ","")&amp;",")))&gt;0)),IF(AS198="",TRUE,IF(input_audience="",FALSE,SUMPRODUCT(--ISNUMBER(SEARCH(","&amp;TRIM(TEXTSPLIT(AS198,","))&amp;",",","&amp;SUBSTITUTE(input_audience," ","")&amp;",")))=COUNTA(TEXTSPLIT(AS198,",")))),IF(AU198="",TRUE,IF(input_audience="",TRUE,SUMPRODUCT(--ISNUMBER(SEARCH(","&amp;TRIM(TEXTSPLIT(AU198,","))&amp;",",","&amp;SUBSTITUTE(input_audience," ","")&amp;",")))=0)),IF(AW198="",TRUE,IF(input_audience="",FALSE,SUMPRODUCT(--ISNUMBER(SEARCH(","&amp;TRIM(TEXTSPLIT(AW198,","))&amp;",",","&amp;SUBSTITUTE(input_audience," ","")&amp;",")))&gt;0)),IF(AY198="",TRUE,IF(input_audience="",FALSE,SUMPRODUCT(--ISNUMBER(SEARCH(","&amp;TRIM(TEXTSPLIT(AY198,","))&amp;",",","&amp;SUBSTITUTE(input_audience," ","")&amp;",")))=COUNTA(TEXTSPLIT(AY198,",")))))</f>
        <v/>
      </c>
      <c r="IX198" s="19">
        <f>AND(IF(BA198="",TRUE,IF(input_challenge_opportunities="",FALSE,SUMPRODUCT(--ISNUMBER(SEARCH(","&amp;TRIM(TEXTSPLIT(BA198,","))&amp;",",","&amp;SUBSTITUTE(input_challenge_opportunities," ","")&amp;",")))&gt;0)),IF(BC198="",TRUE,IF(input_challenge_opportunities="",FALSE,SUMPRODUCT(--ISNUMBER(SEARCH(","&amp;TRIM(TEXTSPLIT(BC198,","))&amp;",",","&amp;SUBSTITUTE(input_challenge_opportunities," ","")&amp;",")))=COUNTA(TEXTSPLIT(BC198,",")))),IF(BE198="",TRUE,IF(input_challenge_opportunities="",TRUE,SUMPRODUCT(--ISNUMBER(SEARCH(","&amp;TRIM(TEXTSPLIT(BE198,","))&amp;",",","&amp;SUBSTITUTE(input_challenge_opportunities," ","")&amp;",")))=0)),IF(BG198="",TRUE,IF(input_challenge_opportunities="",FALSE,SUMPRODUCT(--ISNUMBER(SEARCH(","&amp;TRIM(TEXTSPLIT(BG198,","))&amp;",",","&amp;SUBSTITUTE(input_challenge_opportunities," ","")&amp;",")))&gt;0)),IF(BI198="",TRUE,IF(input_challenge_opportunities="",FALSE,SUMPRODUCT(--ISNUMBER(SEARCH(","&amp;TRIM(TEXTSPLIT(BI198,","))&amp;",",","&amp;SUBSTITUTE(input_challenge_opportunities," ","")&amp;",")))=COUNTA(TEXTSPLIT(BI198,",")))))</f>
        <v/>
      </c>
      <c r="IY198" s="19">
        <f>AND(IF(BK198="",TRUE,IF(input_context="",FALSE,SUMPRODUCT(--ISNUMBER(SEARCH(","&amp;TRIM(TEXTSPLIT(BK198,","))&amp;",",","&amp;SUBSTITUTE(input_context," ","")&amp;",")))&gt;0)),IF(BM198="",TRUE,IF(input_context="",FALSE,SUMPRODUCT(--ISNUMBER(SEARCH(","&amp;TRIM(TEXTSPLIT(BM198,","))&amp;",",","&amp;SUBSTITUTE(input_context," ","")&amp;",")))=COUNTA(TEXTSPLIT(BM198,",")))),IF(BO198="",TRUE,IF(input_context="",TRUE,SUMPRODUCT(--ISNUMBER(SEARCH(","&amp;TRIM(TEXTSPLIT(BO198,","))&amp;",",","&amp;SUBSTITUTE(input_context," ","")&amp;",")))=0)),IF(BQ198="",TRUE,IF(input_context="",FALSE,SUMPRODUCT(--ISNUMBER(SEARCH(","&amp;TRIM(TEXTSPLIT(BQ198,","))&amp;",",","&amp;SUBSTITUTE(input_context," ","")&amp;",")))&gt;0)),IF(BS198="",TRUE,IF(input_context="",FALSE,SUMPRODUCT(--ISNUMBER(SEARCH(","&amp;TRIM(TEXTSPLIT(BS198,","))&amp;",",","&amp;SUBSTITUTE(input_context," ","")&amp;",")))=COUNTA(TEXTSPLIT(BS198,",")))))</f>
        <v/>
      </c>
      <c r="IZ198" s="19">
        <f>AND(IF(BU198="",TRUE,IF(input_enews_announcement_type="",FALSE,SUMPRODUCT(--ISNUMBER(SEARCH(","&amp;TRIM(TEXTSPLIT(BU198,","))&amp;",",","&amp;SUBSTITUTE(input_enews_announcement_type," ","")&amp;",")))&gt;0)),IF(BW198="",TRUE,IF(input_enews_announcement_type="",FALSE,SUMPRODUCT(--ISNUMBER(SEARCH(","&amp;TRIM(TEXTSPLIT(BW198,","))&amp;",",","&amp;SUBSTITUTE(input_enews_announcement_type," ","")&amp;",")))=COUNTA(TEXTSPLIT(BW198,",")))),IF(BY198="",TRUE,IF(input_enews_announcement_type="",TRUE,SUMPRODUCT(--ISNUMBER(SEARCH(","&amp;TRIM(TEXTSPLIT(BY198,","))&amp;",",","&amp;SUBSTITUTE(input_enews_announcement_type," ","")&amp;",")))=0)),IF(CA198="",TRUE,IF(input_enews_announcement_type="",FALSE,SUMPRODUCT(--ISNUMBER(SEARCH(","&amp;TRIM(TEXTSPLIT(CA198,","))&amp;",",","&amp;SUBSTITUTE(input_enews_announcement_type," ","")&amp;",")))&gt;0)),IF(CC198="",TRUE,IF(input_enews_announcement_type="",FALSE,SUMPRODUCT(--ISNUMBER(SEARCH(","&amp;TRIM(TEXTSPLIT(CC198,","))&amp;",",","&amp;SUBSTITUTE(input_enews_announcement_type," ","")&amp;",")))=COUNTA(TEXTSPLIT(CC198,",")))))</f>
        <v/>
      </c>
      <c r="JA198" s="19">
        <f>AND(IF(CE198="",TRUE,IF(input_enews_audience="",FALSE,SUMPRODUCT(--ISNUMBER(SEARCH(","&amp;TRIM(TEXTSPLIT(CE198,","))&amp;",",","&amp;SUBSTITUTE(input_enews_audience," ","")&amp;",")))&gt;0)),IF(CG198="",TRUE,IF(input_enews_audience="",FALSE,SUMPRODUCT(--ISNUMBER(SEARCH(","&amp;TRIM(TEXTSPLIT(CG198,","))&amp;",",","&amp;SUBSTITUTE(input_enews_audience," ","")&amp;",")))=COUNTA(TEXTSPLIT(CG198,",")))),IF(CI198="",TRUE,IF(input_enews_audience="",TRUE,SUMPRODUCT(--ISNUMBER(SEARCH(","&amp;TRIM(TEXTSPLIT(CI198,","))&amp;",",","&amp;SUBSTITUTE(input_enews_audience," ","")&amp;",")))=0)),IF(CK198="",TRUE,IF(input_enews_audience="",FALSE,SUMPRODUCT(--ISNUMBER(SEARCH(","&amp;TRIM(TEXTSPLIT(CK198,","))&amp;",",","&amp;SUBSTITUTE(input_enews_audience," ","")&amp;",")))&gt;0)),IF(CM198="",TRUE,IF(input_enews_audience="",FALSE,SUMPRODUCT(--ISNUMBER(SEARCH(","&amp;TRIM(TEXTSPLIT(CM198,","))&amp;",",","&amp;SUBSTITUTE(input_enews_audience," ","")&amp;",")))=COUNTA(TEXTSPLIT(CM198,",")))))</f>
        <v/>
      </c>
      <c r="JB198" s="19">
        <f>AND(IF(CO198="",TRUE,IF(input_event_location="",FALSE,SUMPRODUCT(--ISNUMBER(SEARCH(","&amp;TRIM(TEXTSPLIT(CO198,","))&amp;",",","&amp;SUBSTITUTE(input_event_location," ","")&amp;",")))&gt;0)),IF(CQ198="",TRUE,IF(input_event_location="",FALSE,SUMPRODUCT(--ISNUMBER(SEARCH(","&amp;TRIM(TEXTSPLIT(CQ198,","))&amp;",",","&amp;SUBSTITUTE(input_event_location," ","")&amp;",")))=COUNTA(TEXTSPLIT(CQ198,",")))),IF(CS198="",TRUE,IF(input_event_location="",TRUE,SUMPRODUCT(--ISNUMBER(SEARCH(","&amp;TRIM(TEXTSPLIT(CS198,","))&amp;",",","&amp;SUBSTITUTE(input_event_location," ","")&amp;",")))=0)),IF(CU198="",TRUE,IF(input_event_location="",FALSE,SUMPRODUCT(--ISNUMBER(SEARCH(","&amp;TRIM(TEXTSPLIT(CU198,","))&amp;",",","&amp;SUBSTITUTE(input_event_location," ","")&amp;",")))&gt;0)),IF(CW198="",TRUE,IF(input_event_location="",FALSE,SUMPRODUCT(--ISNUMBER(SEARCH(","&amp;TRIM(TEXTSPLIT(CW198,","))&amp;",",","&amp;SUBSTITUTE(input_event_location," ","")&amp;",")))=COUNTA(TEXTSPLIT(CW198,",")))))</f>
        <v/>
      </c>
      <c r="JC198" s="19">
        <f>AND(IF(CY198="",TRUE,IF(input_event_type="",FALSE,SUMPRODUCT(--ISNUMBER(SEARCH(","&amp;TRIM(TEXTSPLIT(CY198,","))&amp;",",","&amp;SUBSTITUTE(input_event_type," ","")&amp;",")))&gt;0)),IF(DA198="",TRUE,IF(input_event_type="",FALSE,SUMPRODUCT(--ISNUMBER(SEARCH(","&amp;TRIM(TEXTSPLIT(DA198,","))&amp;",",","&amp;SUBSTITUTE(input_event_type," ","")&amp;",")))=COUNTA(TEXTSPLIT(DA198,",")))),IF(DC198="",TRUE,IF(input_event_type="",TRUE,SUMPRODUCT(--ISNUMBER(SEARCH(","&amp;TRIM(TEXTSPLIT(DC198,","))&amp;",",","&amp;SUBSTITUTE(input_event_type," ","")&amp;",")))=0)),IF(DE198="",TRUE,IF(input_event_type="",FALSE,SUMPRODUCT(--ISNUMBER(SEARCH(","&amp;TRIM(TEXTSPLIT(DE198,","))&amp;",",","&amp;SUBSTITUTE(input_event_type," ","")&amp;",")))&gt;0)),IF(DG198="",TRUE,IF(input_event_type="",FALSE,SUMPRODUCT(--ISNUMBER(SEARCH(","&amp;TRIM(TEXTSPLIT(DG198,","))&amp;",",","&amp;SUBSTITUTE(input_event_type," ","")&amp;",")))=COUNTA(TEXTSPLIT(DG198,",")))))</f>
        <v/>
      </c>
      <c r="JD198" s="19">
        <f>AND(IF(DI198="",TRUE,IF(input_executive_education_focus="",FALSE,SUMPRODUCT(--ISNUMBER(SEARCH(","&amp;TRIM(TEXTSPLIT(DI198,","))&amp;",",","&amp;SUBSTITUTE(input_executive_education_focus," ","")&amp;",")))&gt;0)),IF(DK198="",TRUE,IF(input_executive_education_focus="",FALSE,SUMPRODUCT(--ISNUMBER(SEARCH(","&amp;TRIM(TEXTSPLIT(DK198,","))&amp;",",","&amp;SUBSTITUTE(input_executive_education_focus," ","")&amp;",")))=COUNTA(TEXTSPLIT(DK198,",")))),IF(DM198="",TRUE,IF(input_executive_education_focus="",TRUE,SUMPRODUCT(--ISNUMBER(SEARCH(","&amp;TRIM(TEXTSPLIT(DM198,","))&amp;",",","&amp;SUBSTITUTE(input_executive_education_focus," ","")&amp;",")))=0)),IF(DO198="",TRUE,IF(input_executive_education_focus="",FALSE,SUMPRODUCT(--ISNUMBER(SEARCH(","&amp;TRIM(TEXTSPLIT(DO198,","))&amp;",",","&amp;SUBSTITUTE(input_executive_education_focus," ","")&amp;",")))&gt;0)),IF(DQ198="",TRUE,IF(input_executive_education_focus="",FALSE,SUMPRODUCT(--ISNUMBER(SEARCH(","&amp;TRIM(TEXTSPLIT(DQ198,","))&amp;",",","&amp;SUBSTITUTE(input_executive_education_focus," ","")&amp;",")))=COUNTA(TEXTSPLIT(DQ198,",")))))</f>
        <v/>
      </c>
      <c r="JE198" s="19">
        <f>AND(IF(DS198="",TRUE,IF(input_faculty_category="",FALSE,SUMPRODUCT(--ISNUMBER(SEARCH(","&amp;TRIM(TEXTSPLIT(DS198,","))&amp;",",","&amp;SUBSTITUTE(input_faculty_category," ","")&amp;",")))&gt;0)),IF(DU198="",TRUE,IF(input_faculty_category="",FALSE,SUMPRODUCT(--ISNUMBER(SEARCH(","&amp;TRIM(TEXTSPLIT(DU198,","))&amp;",",","&amp;SUBSTITUTE(input_faculty_category," ","")&amp;",")))=COUNTA(TEXTSPLIT(DU198,",")))),IF(DW198="",TRUE,IF(input_faculty_category="",TRUE,SUMPRODUCT(--ISNUMBER(SEARCH(","&amp;TRIM(TEXTSPLIT(DW198,","))&amp;",",","&amp;SUBSTITUTE(input_faculty_category," ","")&amp;",")))=0)),IF(DY198="",TRUE,IF(input_faculty_category="",FALSE,SUMPRODUCT(--ISNUMBER(SEARCH(","&amp;TRIM(TEXTSPLIT(DY198,","))&amp;",",","&amp;SUBSTITUTE(input_faculty_category," ","")&amp;",")))&gt;0)),IF(EA198="",TRUE,IF(input_faculty_category="",FALSE,SUMPRODUCT(--ISNUMBER(SEARCH(","&amp;TRIM(TEXTSPLIT(EA198,","))&amp;",",","&amp;SUBSTITUTE(input_faculty_category," ","")&amp;",")))=COUNTA(TEXTSPLIT(EA198,",")))))</f>
        <v/>
      </c>
      <c r="JF198" s="19">
        <f>AND(IF(EC198="",TRUE,IF(input_faculty_discipline="",FALSE,SUMPRODUCT(--ISNUMBER(SEARCH(","&amp;TRIM(TEXTSPLIT(EC198,","))&amp;",",","&amp;SUBSTITUTE(input_faculty_discipline," ","")&amp;",")))&gt;0)),IF(EE198="",TRUE,IF(input_faculty_discipline="",FALSE,SUMPRODUCT(--ISNUMBER(SEARCH(","&amp;TRIM(TEXTSPLIT(EE198,","))&amp;",",","&amp;SUBSTITUTE(input_faculty_discipline," ","")&amp;",")))=COUNTA(TEXTSPLIT(EE198,",")))),IF(EG198="",TRUE,IF(input_faculty_discipline="",TRUE,SUMPRODUCT(--ISNUMBER(SEARCH(","&amp;TRIM(TEXTSPLIT(EG198,","))&amp;",",","&amp;SUBSTITUTE(input_faculty_discipline," ","")&amp;",")))=0)),IF(EI198="",TRUE,IF(input_faculty_discipline="",FALSE,SUMPRODUCT(--ISNUMBER(SEARCH(","&amp;TRIM(TEXTSPLIT(EI198,","))&amp;",",","&amp;SUBSTITUTE(input_faculty_discipline," ","")&amp;",")))&gt;0)),IF(EK198="",TRUE,IF(input_faculty_discipline="",FALSE,SUMPRODUCT(--ISNUMBER(SEARCH(","&amp;TRIM(TEXTSPLIT(EK198,","))&amp;",",","&amp;SUBSTITUTE(input_faculty_discipline," ","")&amp;",")))=COUNTA(TEXTSPLIT(EK198,",")))))</f>
        <v/>
      </c>
      <c r="JG198" s="19">
        <f>AND(IF(EM198="",TRUE,IF(input_faculty_expertise="",FALSE,SUMPRODUCT(--ISNUMBER(SEARCH(","&amp;TRIM(TEXTSPLIT(EM198,","))&amp;",",","&amp;SUBSTITUTE(input_faculty_expertise," ","")&amp;",")))&gt;0)),IF(EO198="",TRUE,IF(input_faculty_expertise="",FALSE,SUMPRODUCT(--ISNUMBER(SEARCH(","&amp;TRIM(TEXTSPLIT(EO198,","))&amp;",",","&amp;SUBSTITUTE(input_faculty_expertise," ","")&amp;",")))=COUNTA(TEXTSPLIT(EO198,",")))),IF(EQ198="",TRUE,IF(input_faculty_expertise="",TRUE,SUMPRODUCT(--ISNUMBER(SEARCH(","&amp;TRIM(TEXTSPLIT(EQ198,","))&amp;",",","&amp;SUBSTITUTE(input_faculty_expertise," ","")&amp;",")))=0)),IF(ES198="",TRUE,IF(input_faculty_expertise="",FALSE,SUMPRODUCT(--ISNUMBER(SEARCH(","&amp;TRIM(TEXTSPLIT(ES198,","))&amp;",",","&amp;SUBSTITUTE(input_faculty_expertise," ","")&amp;",")))&gt;0)),IF(EU198="",TRUE,IF(input_faculty_expertise="",FALSE,SUMPRODUCT(--ISNUMBER(SEARCH(","&amp;TRIM(TEXTSPLIT(EU198,","))&amp;",",","&amp;SUBSTITUTE(input_faculty_expertise," ","")&amp;",")))=COUNTA(TEXTSPLIT(EU198,",")))))</f>
        <v/>
      </c>
      <c r="JH198" s="19">
        <f>AND(IF(EW198="",TRUE,IF(input_global_network_school="",FALSE,SUMPRODUCT(--ISNUMBER(SEARCH(","&amp;TRIM(TEXTSPLIT(EW198,","))&amp;",",","&amp;SUBSTITUTE(input_global_network_school," ","")&amp;",")))&gt;0)),IF(EY198="",TRUE,IF(input_global_network_school="",FALSE,SUMPRODUCT(--ISNUMBER(SEARCH(","&amp;TRIM(TEXTSPLIT(EY198,","))&amp;",",","&amp;SUBSTITUTE(input_global_network_school," ","")&amp;",")))=COUNTA(TEXTSPLIT(EY198,",")))),IF(FA198="",TRUE,IF(input_global_network_school="",TRUE,SUMPRODUCT(--ISNUMBER(SEARCH(","&amp;TRIM(TEXTSPLIT(FA198,","))&amp;",",","&amp;SUBSTITUTE(input_global_network_school," ","")&amp;",")))=0)),IF(FC198="",TRUE,IF(input_global_network_school="",FALSE,SUMPRODUCT(--ISNUMBER(SEARCH(","&amp;TRIM(TEXTSPLIT(FC198,","))&amp;",",","&amp;SUBSTITUTE(input_global_network_school," ","")&amp;",")))&gt;0)),IF(FE198="",TRUE,IF(input_global_network_school="",FALSE,SUMPRODUCT(--ISNUMBER(SEARCH(","&amp;TRIM(TEXTSPLIT(FE198,","))&amp;",",","&amp;SUBSTITUTE(input_global_network_school," ","")&amp;",")))=COUNTA(TEXTSPLIT(FE198,",")))))</f>
        <v/>
      </c>
      <c r="JI198" s="19">
        <f>AND(IF(FG198="",TRUE,IF(input_industry="",FALSE,SUMPRODUCT(--ISNUMBER(SEARCH(","&amp;TRIM(TEXTSPLIT(FG198,","))&amp;",",","&amp;SUBSTITUTE(input_industry," ","")&amp;",")))&gt;0)),IF(FI198="",TRUE,IF(input_industry="",FALSE,SUMPRODUCT(--ISNUMBER(SEARCH(","&amp;TRIM(TEXTSPLIT(FI198,","))&amp;",",","&amp;SUBSTITUTE(input_industry," ","")&amp;",")))=COUNTA(TEXTSPLIT(FI198,",")))),IF(FK198="",TRUE,IF(input_industry="",TRUE,SUMPRODUCT(--ISNUMBER(SEARCH(","&amp;TRIM(TEXTSPLIT(FK198,","))&amp;",",","&amp;SUBSTITUTE(input_industry," ","")&amp;",")))=0)),IF(FM198="",TRUE,IF(input_industry="",FALSE,SUMPRODUCT(--ISNUMBER(SEARCH(","&amp;TRIM(TEXTSPLIT(FM198,","))&amp;",",","&amp;SUBSTITUTE(input_industry," ","")&amp;",")))&gt;0)),IF(FO198="",TRUE,IF(input_industry="",FALSE,SUMPRODUCT(--ISNUMBER(SEARCH(","&amp;TRIM(TEXTSPLIT(FO198,","))&amp;",",","&amp;SUBSTITUTE(input_industry," ","")&amp;",")))=COUNTA(TEXTSPLIT(FO198,",")))))</f>
        <v/>
      </c>
      <c r="JJ198" s="19">
        <f>AND(IF(FQ198="",TRUE,IF(input_location="",FALSE,SUMPRODUCT(--ISNUMBER(SEARCH(","&amp;TRIM(TEXTSPLIT(FQ198,","))&amp;",",","&amp;SUBSTITUTE(input_location," ","")&amp;",")))&gt;0)),IF(FS198="",TRUE,IF(input_location="",FALSE,SUMPRODUCT(--ISNUMBER(SEARCH(","&amp;TRIM(TEXTSPLIT(FS198,","))&amp;",",","&amp;SUBSTITUTE(input_location," ","")&amp;",")))=COUNTA(TEXTSPLIT(FS198,",")))),IF(FU198="",TRUE,IF(input_location="",TRUE,SUMPRODUCT(--ISNUMBER(SEARCH(","&amp;TRIM(TEXTSPLIT(FU198,","))&amp;",",","&amp;SUBSTITUTE(input_location," ","")&amp;",")))=0)),IF(FW198="",TRUE,IF(input_location="",FALSE,SUMPRODUCT(--ISNUMBER(SEARCH(","&amp;TRIM(TEXTSPLIT(FW198,","))&amp;",",","&amp;SUBSTITUTE(input_location," ","")&amp;",")))&gt;0)),IF(FY198="",TRUE,IF(input_location="",FALSE,SUMPRODUCT(--ISNUMBER(SEARCH(","&amp;TRIM(TEXTSPLIT(FY198,","))&amp;",",","&amp;SUBSTITUTE(input_location," ","")&amp;",")))=COUNTA(TEXTSPLIT(FY198,",")))))</f>
        <v/>
      </c>
      <c r="JK198" s="19">
        <f>AND(IF(GA198="",TRUE,IF(input_modality="",FALSE,SUMPRODUCT(--ISNUMBER(SEARCH(","&amp;TRIM(TEXTSPLIT(GA198,","))&amp;",",","&amp;SUBSTITUTE(input_modality," ","")&amp;",")))&gt;0)),IF(GC198="",TRUE,IF(input_modality="",FALSE,SUMPRODUCT(--ISNUMBER(SEARCH(","&amp;TRIM(TEXTSPLIT(GC198,","))&amp;",",","&amp;SUBSTITUTE(input_modality," ","")&amp;",")))=COUNTA(TEXTSPLIT(GC198,",")))),IF(GE198="",TRUE,IF(input_modality="",TRUE,SUMPRODUCT(--ISNUMBER(SEARCH(","&amp;TRIM(TEXTSPLIT(GE198,","))&amp;",",","&amp;SUBSTITUTE(input_modality," ","")&amp;",")))=0)),IF(GG198="",TRUE,IF(input_modality="",FALSE,SUMPRODUCT(--ISNUMBER(SEARCH(","&amp;TRIM(TEXTSPLIT(GG198,","))&amp;",",","&amp;SUBSTITUTE(input_modality," ","")&amp;",")))&gt;0)),IF(GI198="",TRUE,IF(input_modality="",FALSE,SUMPRODUCT(--ISNUMBER(SEARCH(","&amp;TRIM(TEXTSPLIT(GI198,","))&amp;",",","&amp;SUBSTITUTE(input_modality," ","")&amp;",")))=COUNTA(TEXTSPLIT(GI198,",")))))</f>
        <v/>
      </c>
      <c r="JL198" s="19">
        <f>AND(IF(GK198="",TRUE,IF(input_organizer="",FALSE,SUMPRODUCT(--ISNUMBER(SEARCH(","&amp;TRIM(TEXTSPLIT(GK198,","))&amp;",",","&amp;SUBSTITUTE(input_organizer," ","")&amp;",")))&gt;0)),IF(GM198="",TRUE,IF(input_organizer="",FALSE,SUMPRODUCT(--ISNUMBER(SEARCH(","&amp;TRIM(TEXTSPLIT(GM198,","))&amp;",",","&amp;SUBSTITUTE(input_organizer," ","")&amp;",")))=COUNTA(TEXTSPLIT(GM198,",")))),IF(GO198="",TRUE,IF(input_organizer="",TRUE,SUMPRODUCT(--ISNUMBER(SEARCH(","&amp;TRIM(TEXTSPLIT(GO198,","))&amp;",",","&amp;SUBSTITUTE(input_organizer," ","")&amp;",")))=0)),IF(GQ198="",TRUE,IF(input_organizer="",FALSE,SUMPRODUCT(--ISNUMBER(SEARCH(","&amp;TRIM(TEXTSPLIT(GQ198,","))&amp;",",","&amp;SUBSTITUTE(input_organizer," ","")&amp;",")))&gt;0)),IF(GS198="",TRUE,IF(input_organizer="",FALSE,SUMPRODUCT(--ISNUMBER(SEARCH(","&amp;TRIM(TEXTSPLIT(GS198,","))&amp;",",","&amp;SUBSTITUTE(input_organizer," ","")&amp;",")))=COUNTA(TEXTSPLIT(GS198,",")))))</f>
        <v/>
      </c>
      <c r="JM198" s="19">
        <f>AND(IF(GU198="",TRUE,IF(input_profile_type="",FALSE,SUMPRODUCT(--ISNUMBER(SEARCH(","&amp;TRIM(TEXTSPLIT(GU198,","))&amp;",",","&amp;SUBSTITUTE(input_profile_type," ","")&amp;",")))&gt;0)),IF(GW198="",TRUE,IF(input_profile_type="",FALSE,SUMPRODUCT(--ISNUMBER(SEARCH(","&amp;TRIM(TEXTSPLIT(GW198,","))&amp;",",","&amp;SUBSTITUTE(input_profile_type," ","")&amp;",")))=COUNTA(TEXTSPLIT(GW198,",")))),IF(GY198="",TRUE,IF(input_profile_type="",TRUE,SUMPRODUCT(--ISNUMBER(SEARCH(","&amp;TRIM(TEXTSPLIT(GY198,","))&amp;",",","&amp;SUBSTITUTE(input_profile_type," ","")&amp;",")))=0)),IF(HA198="",TRUE,IF(input_profile_type="",FALSE,SUMPRODUCT(--ISNUMBER(SEARCH(","&amp;TRIM(TEXTSPLIT(HA198,","))&amp;",",","&amp;SUBSTITUTE(input_profile_type," ","")&amp;",")))&gt;0)),IF(HC198="",TRUE,IF(input_profile_type="",FALSE,SUMPRODUCT(--ISNUMBER(SEARCH(","&amp;TRIM(TEXTSPLIT(HC198,","))&amp;",",","&amp;SUBSTITUTE(input_profile_type," ","")&amp;",")))=COUNTA(TEXTSPLIT(HC198,",")))))</f>
        <v/>
      </c>
      <c r="JN198" s="19">
        <f>AND(IF(HE198="",TRUE,IF(input_program="",FALSE,SUMPRODUCT(--ISNUMBER(SEARCH(","&amp;TRIM(TEXTSPLIT(HE198,","))&amp;",",","&amp;SUBSTITUTE(input_program," ","")&amp;",")))&gt;0)),IF(HG198="",TRUE,IF(input_program="",FALSE,SUMPRODUCT(--ISNUMBER(SEARCH(","&amp;TRIM(TEXTSPLIT(HG198,","))&amp;",",","&amp;SUBSTITUTE(input_program," ","")&amp;",")))=COUNTA(TEXTSPLIT(HG198,",")))),IF(HI198="",TRUE,IF(input_program="",TRUE,SUMPRODUCT(--ISNUMBER(SEARCH(","&amp;TRIM(TEXTSPLIT(HI198,","))&amp;",",","&amp;SUBSTITUTE(input_program," ","")&amp;",")))=0)),IF(HK198="",TRUE,IF(input_program="",FALSE,SUMPRODUCT(--ISNUMBER(SEARCH(","&amp;TRIM(TEXTSPLIT(HK198,","))&amp;",",","&amp;SUBSTITUTE(input_program," ","")&amp;",")))&gt;0)),IF(HM198="",TRUE,IF(input_program="",FALSE,SUMPRODUCT(--ISNUMBER(SEARCH(","&amp;TRIM(TEXTSPLIT(HM198,","))&amp;",",","&amp;SUBSTITUTE(input_program," ","")&amp;",")))=COUNTA(TEXTSPLIT(HM198,",")))))</f>
        <v/>
      </c>
      <c r="JO198" s="19">
        <f>AND(IF(HO198="",TRUE,IF(input_story_categories="",FALSE,SUMPRODUCT(--ISNUMBER(SEARCH(","&amp;TRIM(TEXTSPLIT(HO198,","))&amp;",",","&amp;SUBSTITUTE(input_story_categories," ","")&amp;",")))&gt;0)),IF(HQ198="",TRUE,IF(input_story_categories="",FALSE,SUMPRODUCT(--ISNUMBER(SEARCH(","&amp;TRIM(TEXTSPLIT(HQ198,","))&amp;",",","&amp;SUBSTITUTE(input_story_categories," ","")&amp;",")))=COUNTA(TEXTSPLIT(HQ198,",")))),IF(HS198="",TRUE,IF(input_story_categories="",TRUE,SUMPRODUCT(--ISNUMBER(SEARCH(","&amp;TRIM(TEXTSPLIT(HS198,","))&amp;",",","&amp;SUBSTITUTE(input_story_categories," ","")&amp;",")))=0)),IF(HU198="",TRUE,IF(input_story_categories="",FALSE,SUMPRODUCT(--ISNUMBER(SEARCH(","&amp;TRIM(TEXTSPLIT(HU198,","))&amp;",",","&amp;SUBSTITUTE(input_story_categories," ","")&amp;",")))&gt;0)),IF(HW198="",TRUE,IF(input_story_categories="",FALSE,SUMPRODUCT(--ISNUMBER(SEARCH(","&amp;TRIM(TEXTSPLIT(HW198,","))&amp;",",","&amp;SUBSTITUTE(input_story_categories," ","")&amp;",")))=COUNTA(TEXTSPLIT(HW198,",")))))</f>
        <v/>
      </c>
      <c r="JP198" s="19">
        <f>AND(IF(HY198="",TRUE,IF(input_story_type="",FALSE,SUMPRODUCT(--ISNUMBER(SEARCH(","&amp;TRIM(TEXTSPLIT(HY198,","))&amp;",",","&amp;SUBSTITUTE(input_story_type," ","")&amp;",")))&gt;0)),IF(IA198="",TRUE,IF(input_story_type="",FALSE,SUMPRODUCT(--ISNUMBER(SEARCH(","&amp;TRIM(TEXTSPLIT(IA198,","))&amp;",",","&amp;SUBSTITUTE(input_story_type," ","")&amp;",")))=COUNTA(TEXTSPLIT(IA198,",")))),IF(IC198="",TRUE,IF(input_story_type="",TRUE,SUMPRODUCT(--ISNUMBER(SEARCH(","&amp;TRIM(TEXTSPLIT(IC198,","))&amp;",",","&amp;SUBSTITUTE(input_story_type," ","")&amp;",")))=0)),IF(IE198="",TRUE,IF(input_story_type="",FALSE,SUMPRODUCT(--ISNUMBER(SEARCH(","&amp;TRIM(TEXTSPLIT(IE198,","))&amp;",",","&amp;SUBSTITUTE(input_story_type," ","")&amp;",")))&gt;0)),IF(IG198="",TRUE,IF(input_story_type="",FALSE,SUMPRODUCT(--ISNUMBER(SEARCH(","&amp;TRIM(TEXTSPLIT(IG198,","))&amp;",",","&amp;SUBSTITUTE(input_story_type," ","")&amp;",")))=COUNTA(TEXTSPLIT(IG198,",")))))</f>
        <v/>
      </c>
      <c r="JQ198" s="19">
        <f>AND(IF(II198="",TRUE,IF(input_topics="",FALSE,SUMPRODUCT(--ISNUMBER(SEARCH(","&amp;TRIM(TEXTSPLIT(II198,","))&amp;",",","&amp;SUBSTITUTE(input_topics," ","")&amp;",")))&gt;0)),IF(IK198="",TRUE,IF(input_topics="",FALSE,SUMPRODUCT(--ISNUMBER(SEARCH(","&amp;TRIM(TEXTSPLIT(IK198,","))&amp;",",","&amp;SUBSTITUTE(input_topics," ","")&amp;",")))=COUNTA(TEXTSPLIT(IK198,",")))),IF(IM198="",TRUE,IF(input_topics="",TRUE,SUMPRODUCT(--ISNUMBER(SEARCH(","&amp;TRIM(TEXTSPLIT(IM198,","))&amp;",",","&amp;SUBSTITUTE(input_topics," ","")&amp;",")))=0)),IF(IO198="",TRUE,IF(input_topics="",FALSE,SUMPRODUCT(--ISNUMBER(SEARCH(","&amp;TRIM(TEXTSPLIT(IO198,","))&amp;",",","&amp;SUBSTITUTE(input_topics," ","")&amp;",")))&gt;0)),IF(IQ198="",TRUE,IF(input_topics="",FALSE,SUMPRODUCT(--ISNUMBER(SEARCH(","&amp;TRIM(TEXTSPLIT(IQ198,","))&amp;",",","&amp;SUBSTITUTE(input_topics," ","")&amp;",")))=COUNTA(TEXTSPLIT(IQ198,",")))))</f>
        <v/>
      </c>
    </row>
    <row r="199">
      <c r="A199" s="24">
        <f>IF(NOT(IS199),"Excluded",IF(AND(IT199,IU199,IV199,IW199,IX199,IY199,IZ199,JA199,JB199,JC199,JD199,JE199,JF199,JG199,JH199,JI199,JJ199,JK199,JL199,JM199,JN199,JO199,JP199,JQ199),IF(I199&gt;0,"Eligible but limited","Will appear"),"Excluded"))</f>
        <v/>
      </c>
      <c r="B199" s="24" t="inlineStr">
        <is>
          <t>Related stories on story pages</t>
        </is>
      </c>
      <c r="C199" s="27" t="inlineStr">
        <is>
          <t>/story/2023/what-social-impact-means-yale-som</t>
        </is>
      </c>
      <c r="D199" s="24" t="inlineStr">
        <is>
          <t>/story/2023/what-social-impact-means-yale-som</t>
        </is>
      </c>
      <c r="E199" s="24" t="n">
        <v>1</v>
      </c>
      <c r="F199" s="24" t="inlineStr">
        <is>
          <t>story</t>
        </is>
      </c>
      <c r="G199" s="24" t="inlineStr">
        <is>
          <t>stories_teaser_cards</t>
        </is>
      </c>
      <c r="H199" s="24" t="inlineStr">
        <is>
          <t>embed_all</t>
        </is>
      </c>
      <c r="I199" s="24" t="n">
        <v>3</v>
      </c>
      <c r="J199" s="31" t="inlineStr">
        <is>
          <t>Template logic</t>
        </is>
      </c>
      <c r="K199" s="24" t="inlineStr">
        <is>
          <t>Grouped surface</t>
        </is>
      </c>
      <c r="L199" s="24" t="inlineStr">
        <is>
          <t>Content type: story; Context uses Courses Context: All SOM (77); Context uses Story Type: Blog (974); Limited to 3 item(s); Source: Template logic</t>
        </is>
      </c>
      <c r="BQ199" s="19" t="inlineStr">
        <is>
          <t>77</t>
        </is>
      </c>
      <c r="BR199" s="19" t="inlineStr">
        <is>
          <t>All SOM (77)</t>
        </is>
      </c>
      <c r="IE199" s="19" t="inlineStr">
        <is>
          <t>974</t>
        </is>
      </c>
      <c r="IF199" s="19" t="inlineStr">
        <is>
          <t>Blog (974)</t>
        </is>
      </c>
      <c r="IS199" s="19">
        <f>IF(input_content_type="",FALSE,ISNUMBER(SEARCH(","&amp;LOWER(input_content_type)&amp;",",","&amp;LOWER(SUBSTITUTE(F199," ",""))&amp;",")))</f>
        <v/>
      </c>
      <c r="IT199" s="19">
        <f>AND(IF(M199="",TRUE,IF(input_affiliations="",FALSE,SUMPRODUCT(--ISNUMBER(SEARCH(","&amp;TRIM(TEXTSPLIT(M199,","))&amp;",",","&amp;SUBSTITUTE(input_affiliations," ","")&amp;",")))&gt;0)),IF(O199="",TRUE,IF(input_affiliations="",FALSE,SUMPRODUCT(--ISNUMBER(SEARCH(","&amp;TRIM(TEXTSPLIT(O199,","))&amp;",",","&amp;SUBSTITUTE(input_affiliations," ","")&amp;",")))=COUNTA(TEXTSPLIT(O199,",")))),IF(Q199="",TRUE,IF(input_affiliations="",TRUE,SUMPRODUCT(--ISNUMBER(SEARCH(","&amp;TRIM(TEXTSPLIT(Q199,","))&amp;",",","&amp;SUBSTITUTE(input_affiliations," ","")&amp;",")))=0)),IF(S199="",TRUE,IF(input_affiliations="",FALSE,SUMPRODUCT(--ISNUMBER(SEARCH(","&amp;TRIM(TEXTSPLIT(S199,","))&amp;",",","&amp;SUBSTITUTE(input_affiliations," ","")&amp;",")))&gt;0)),IF(U199="",TRUE,IF(input_affiliations="",FALSE,SUMPRODUCT(--ISNUMBER(SEARCH(","&amp;TRIM(TEXTSPLIT(U199,","))&amp;",",","&amp;SUBSTITUTE(input_affiliations," ","")&amp;",")))=COUNTA(TEXTSPLIT(U199,",")))))</f>
        <v/>
      </c>
      <c r="IU199" s="19">
        <f>AND(IF(W199="",TRUE,IF(input_announcement_category="",FALSE,SUMPRODUCT(--ISNUMBER(SEARCH(","&amp;TRIM(TEXTSPLIT(W199,","))&amp;",",","&amp;SUBSTITUTE(input_announcement_category," ","")&amp;",")))&gt;0)),IF(Y199="",TRUE,IF(input_announcement_category="",FALSE,SUMPRODUCT(--ISNUMBER(SEARCH(","&amp;TRIM(TEXTSPLIT(Y199,","))&amp;",",","&amp;SUBSTITUTE(input_announcement_category," ","")&amp;",")))=COUNTA(TEXTSPLIT(Y199,",")))),IF(AA199="",TRUE,IF(input_announcement_category="",TRUE,SUMPRODUCT(--ISNUMBER(SEARCH(","&amp;TRIM(TEXTSPLIT(AA199,","))&amp;",",","&amp;SUBSTITUTE(input_announcement_category," ","")&amp;",")))=0)),IF(AC199="",TRUE,IF(input_announcement_category="",FALSE,SUMPRODUCT(--ISNUMBER(SEARCH(","&amp;TRIM(TEXTSPLIT(AC199,","))&amp;",",","&amp;SUBSTITUTE(input_announcement_category," ","")&amp;",")))&gt;0)),IF(AE199="",TRUE,IF(input_announcement_category="",FALSE,SUMPRODUCT(--ISNUMBER(SEARCH(","&amp;TRIM(TEXTSPLIT(AE199,","))&amp;",",","&amp;SUBSTITUTE(input_announcement_category," ","")&amp;",")))=COUNTA(TEXTSPLIT(AE199,",")))))</f>
        <v/>
      </c>
      <c r="IV199" s="19">
        <f>AND(IF(AG199="",TRUE,IF(input_area_of_focus="",FALSE,SUMPRODUCT(--ISNUMBER(SEARCH(","&amp;TRIM(TEXTSPLIT(AG199,","))&amp;",",","&amp;SUBSTITUTE(input_area_of_focus," ","")&amp;",")))&gt;0)),IF(AI199="",TRUE,IF(input_area_of_focus="",FALSE,SUMPRODUCT(--ISNUMBER(SEARCH(","&amp;TRIM(TEXTSPLIT(AI199,","))&amp;",",","&amp;SUBSTITUTE(input_area_of_focus," ","")&amp;",")))=COUNTA(TEXTSPLIT(AI199,",")))),IF(AK199="",TRUE,IF(input_area_of_focus="",TRUE,SUMPRODUCT(--ISNUMBER(SEARCH(","&amp;TRIM(TEXTSPLIT(AK199,","))&amp;",",","&amp;SUBSTITUTE(input_area_of_focus," ","")&amp;",")))=0)),IF(AM199="",TRUE,IF(input_area_of_focus="",FALSE,SUMPRODUCT(--ISNUMBER(SEARCH(","&amp;TRIM(TEXTSPLIT(AM199,","))&amp;",",","&amp;SUBSTITUTE(input_area_of_focus," ","")&amp;",")))&gt;0)),IF(AO199="",TRUE,IF(input_area_of_focus="",FALSE,SUMPRODUCT(--ISNUMBER(SEARCH(","&amp;TRIM(TEXTSPLIT(AO199,","))&amp;",",","&amp;SUBSTITUTE(input_area_of_focus," ","")&amp;",")))=COUNTA(TEXTSPLIT(AO199,",")))))</f>
        <v/>
      </c>
      <c r="IW199" s="19">
        <f>AND(IF(AQ199="",TRUE,IF(input_audience="",FALSE,SUMPRODUCT(--ISNUMBER(SEARCH(","&amp;TRIM(TEXTSPLIT(AQ199,","))&amp;",",","&amp;SUBSTITUTE(input_audience," ","")&amp;",")))&gt;0)),IF(AS199="",TRUE,IF(input_audience="",FALSE,SUMPRODUCT(--ISNUMBER(SEARCH(","&amp;TRIM(TEXTSPLIT(AS199,","))&amp;",",","&amp;SUBSTITUTE(input_audience," ","")&amp;",")))=COUNTA(TEXTSPLIT(AS199,",")))),IF(AU199="",TRUE,IF(input_audience="",TRUE,SUMPRODUCT(--ISNUMBER(SEARCH(","&amp;TRIM(TEXTSPLIT(AU199,","))&amp;",",","&amp;SUBSTITUTE(input_audience," ","")&amp;",")))=0)),IF(AW199="",TRUE,IF(input_audience="",FALSE,SUMPRODUCT(--ISNUMBER(SEARCH(","&amp;TRIM(TEXTSPLIT(AW199,","))&amp;",",","&amp;SUBSTITUTE(input_audience," ","")&amp;",")))&gt;0)),IF(AY199="",TRUE,IF(input_audience="",FALSE,SUMPRODUCT(--ISNUMBER(SEARCH(","&amp;TRIM(TEXTSPLIT(AY199,","))&amp;",",","&amp;SUBSTITUTE(input_audience," ","")&amp;",")))=COUNTA(TEXTSPLIT(AY199,",")))))</f>
        <v/>
      </c>
      <c r="IX199" s="19">
        <f>AND(IF(BA199="",TRUE,IF(input_challenge_opportunities="",FALSE,SUMPRODUCT(--ISNUMBER(SEARCH(","&amp;TRIM(TEXTSPLIT(BA199,","))&amp;",",","&amp;SUBSTITUTE(input_challenge_opportunities," ","")&amp;",")))&gt;0)),IF(BC199="",TRUE,IF(input_challenge_opportunities="",FALSE,SUMPRODUCT(--ISNUMBER(SEARCH(","&amp;TRIM(TEXTSPLIT(BC199,","))&amp;",",","&amp;SUBSTITUTE(input_challenge_opportunities," ","")&amp;",")))=COUNTA(TEXTSPLIT(BC199,",")))),IF(BE199="",TRUE,IF(input_challenge_opportunities="",TRUE,SUMPRODUCT(--ISNUMBER(SEARCH(","&amp;TRIM(TEXTSPLIT(BE199,","))&amp;",",","&amp;SUBSTITUTE(input_challenge_opportunities," ","")&amp;",")))=0)),IF(BG199="",TRUE,IF(input_challenge_opportunities="",FALSE,SUMPRODUCT(--ISNUMBER(SEARCH(","&amp;TRIM(TEXTSPLIT(BG199,","))&amp;",",","&amp;SUBSTITUTE(input_challenge_opportunities," ","")&amp;",")))&gt;0)),IF(BI199="",TRUE,IF(input_challenge_opportunities="",FALSE,SUMPRODUCT(--ISNUMBER(SEARCH(","&amp;TRIM(TEXTSPLIT(BI199,","))&amp;",",","&amp;SUBSTITUTE(input_challenge_opportunities," ","")&amp;",")))=COUNTA(TEXTSPLIT(BI199,",")))))</f>
        <v/>
      </c>
      <c r="IY199" s="19">
        <f>AND(IF(BK199="",TRUE,IF(input_context="",FALSE,SUMPRODUCT(--ISNUMBER(SEARCH(","&amp;TRIM(TEXTSPLIT(BK199,","))&amp;",",","&amp;SUBSTITUTE(input_context," ","")&amp;",")))&gt;0)),IF(BM199="",TRUE,IF(input_context="",FALSE,SUMPRODUCT(--ISNUMBER(SEARCH(","&amp;TRIM(TEXTSPLIT(BM199,","))&amp;",",","&amp;SUBSTITUTE(input_context," ","")&amp;",")))=COUNTA(TEXTSPLIT(BM199,",")))),IF(BO199="",TRUE,IF(input_context="",TRUE,SUMPRODUCT(--ISNUMBER(SEARCH(","&amp;TRIM(TEXTSPLIT(BO199,","))&amp;",",","&amp;SUBSTITUTE(input_context," ","")&amp;",")))=0)),IF(BQ199="",TRUE,IF(input_context="",FALSE,SUMPRODUCT(--ISNUMBER(SEARCH(","&amp;TRIM(TEXTSPLIT(BQ199,","))&amp;",",","&amp;SUBSTITUTE(input_context," ","")&amp;",")))&gt;0)),IF(BS199="",TRUE,IF(input_context="",FALSE,SUMPRODUCT(--ISNUMBER(SEARCH(","&amp;TRIM(TEXTSPLIT(BS199,","))&amp;",",","&amp;SUBSTITUTE(input_context," ","")&amp;",")))=COUNTA(TEXTSPLIT(BS199,",")))))</f>
        <v/>
      </c>
      <c r="IZ199" s="19">
        <f>AND(IF(BU199="",TRUE,IF(input_enews_announcement_type="",FALSE,SUMPRODUCT(--ISNUMBER(SEARCH(","&amp;TRIM(TEXTSPLIT(BU199,","))&amp;",",","&amp;SUBSTITUTE(input_enews_announcement_type," ","")&amp;",")))&gt;0)),IF(BW199="",TRUE,IF(input_enews_announcement_type="",FALSE,SUMPRODUCT(--ISNUMBER(SEARCH(","&amp;TRIM(TEXTSPLIT(BW199,","))&amp;",",","&amp;SUBSTITUTE(input_enews_announcement_type," ","")&amp;",")))=COUNTA(TEXTSPLIT(BW199,",")))),IF(BY199="",TRUE,IF(input_enews_announcement_type="",TRUE,SUMPRODUCT(--ISNUMBER(SEARCH(","&amp;TRIM(TEXTSPLIT(BY199,","))&amp;",",","&amp;SUBSTITUTE(input_enews_announcement_type," ","")&amp;",")))=0)),IF(CA199="",TRUE,IF(input_enews_announcement_type="",FALSE,SUMPRODUCT(--ISNUMBER(SEARCH(","&amp;TRIM(TEXTSPLIT(CA199,","))&amp;",",","&amp;SUBSTITUTE(input_enews_announcement_type," ","")&amp;",")))&gt;0)),IF(CC199="",TRUE,IF(input_enews_announcement_type="",FALSE,SUMPRODUCT(--ISNUMBER(SEARCH(","&amp;TRIM(TEXTSPLIT(CC199,","))&amp;",",","&amp;SUBSTITUTE(input_enews_announcement_type," ","")&amp;",")))=COUNTA(TEXTSPLIT(CC199,",")))))</f>
        <v/>
      </c>
      <c r="JA199" s="19">
        <f>AND(IF(CE199="",TRUE,IF(input_enews_audience="",FALSE,SUMPRODUCT(--ISNUMBER(SEARCH(","&amp;TRIM(TEXTSPLIT(CE199,","))&amp;",",","&amp;SUBSTITUTE(input_enews_audience," ","")&amp;",")))&gt;0)),IF(CG199="",TRUE,IF(input_enews_audience="",FALSE,SUMPRODUCT(--ISNUMBER(SEARCH(","&amp;TRIM(TEXTSPLIT(CG199,","))&amp;",",","&amp;SUBSTITUTE(input_enews_audience," ","")&amp;",")))=COUNTA(TEXTSPLIT(CG199,",")))),IF(CI199="",TRUE,IF(input_enews_audience="",TRUE,SUMPRODUCT(--ISNUMBER(SEARCH(","&amp;TRIM(TEXTSPLIT(CI199,","))&amp;",",","&amp;SUBSTITUTE(input_enews_audience," ","")&amp;",")))=0)),IF(CK199="",TRUE,IF(input_enews_audience="",FALSE,SUMPRODUCT(--ISNUMBER(SEARCH(","&amp;TRIM(TEXTSPLIT(CK199,","))&amp;",",","&amp;SUBSTITUTE(input_enews_audience," ","")&amp;",")))&gt;0)),IF(CM199="",TRUE,IF(input_enews_audience="",FALSE,SUMPRODUCT(--ISNUMBER(SEARCH(","&amp;TRIM(TEXTSPLIT(CM199,","))&amp;",",","&amp;SUBSTITUTE(input_enews_audience," ","")&amp;",")))=COUNTA(TEXTSPLIT(CM199,",")))))</f>
        <v/>
      </c>
      <c r="JB199" s="19">
        <f>AND(IF(CO199="",TRUE,IF(input_event_location="",FALSE,SUMPRODUCT(--ISNUMBER(SEARCH(","&amp;TRIM(TEXTSPLIT(CO199,","))&amp;",",","&amp;SUBSTITUTE(input_event_location," ","")&amp;",")))&gt;0)),IF(CQ199="",TRUE,IF(input_event_location="",FALSE,SUMPRODUCT(--ISNUMBER(SEARCH(","&amp;TRIM(TEXTSPLIT(CQ199,","))&amp;",",","&amp;SUBSTITUTE(input_event_location," ","")&amp;",")))=COUNTA(TEXTSPLIT(CQ199,",")))),IF(CS199="",TRUE,IF(input_event_location="",TRUE,SUMPRODUCT(--ISNUMBER(SEARCH(","&amp;TRIM(TEXTSPLIT(CS199,","))&amp;",",","&amp;SUBSTITUTE(input_event_location," ","")&amp;",")))=0)),IF(CU199="",TRUE,IF(input_event_location="",FALSE,SUMPRODUCT(--ISNUMBER(SEARCH(","&amp;TRIM(TEXTSPLIT(CU199,","))&amp;",",","&amp;SUBSTITUTE(input_event_location," ","")&amp;",")))&gt;0)),IF(CW199="",TRUE,IF(input_event_location="",FALSE,SUMPRODUCT(--ISNUMBER(SEARCH(","&amp;TRIM(TEXTSPLIT(CW199,","))&amp;",",","&amp;SUBSTITUTE(input_event_location," ","")&amp;",")))=COUNTA(TEXTSPLIT(CW199,",")))))</f>
        <v/>
      </c>
      <c r="JC199" s="19">
        <f>AND(IF(CY199="",TRUE,IF(input_event_type="",FALSE,SUMPRODUCT(--ISNUMBER(SEARCH(","&amp;TRIM(TEXTSPLIT(CY199,","))&amp;",",","&amp;SUBSTITUTE(input_event_type," ","")&amp;",")))&gt;0)),IF(DA199="",TRUE,IF(input_event_type="",FALSE,SUMPRODUCT(--ISNUMBER(SEARCH(","&amp;TRIM(TEXTSPLIT(DA199,","))&amp;",",","&amp;SUBSTITUTE(input_event_type," ","")&amp;",")))=COUNTA(TEXTSPLIT(DA199,",")))),IF(DC199="",TRUE,IF(input_event_type="",TRUE,SUMPRODUCT(--ISNUMBER(SEARCH(","&amp;TRIM(TEXTSPLIT(DC199,","))&amp;",",","&amp;SUBSTITUTE(input_event_type," ","")&amp;",")))=0)),IF(DE199="",TRUE,IF(input_event_type="",FALSE,SUMPRODUCT(--ISNUMBER(SEARCH(","&amp;TRIM(TEXTSPLIT(DE199,","))&amp;",",","&amp;SUBSTITUTE(input_event_type," ","")&amp;",")))&gt;0)),IF(DG199="",TRUE,IF(input_event_type="",FALSE,SUMPRODUCT(--ISNUMBER(SEARCH(","&amp;TRIM(TEXTSPLIT(DG199,","))&amp;",",","&amp;SUBSTITUTE(input_event_type," ","")&amp;",")))=COUNTA(TEXTSPLIT(DG199,",")))))</f>
        <v/>
      </c>
      <c r="JD199" s="19">
        <f>AND(IF(DI199="",TRUE,IF(input_executive_education_focus="",FALSE,SUMPRODUCT(--ISNUMBER(SEARCH(","&amp;TRIM(TEXTSPLIT(DI199,","))&amp;",",","&amp;SUBSTITUTE(input_executive_education_focus," ","")&amp;",")))&gt;0)),IF(DK199="",TRUE,IF(input_executive_education_focus="",FALSE,SUMPRODUCT(--ISNUMBER(SEARCH(","&amp;TRIM(TEXTSPLIT(DK199,","))&amp;",",","&amp;SUBSTITUTE(input_executive_education_focus," ","")&amp;",")))=COUNTA(TEXTSPLIT(DK199,",")))),IF(DM199="",TRUE,IF(input_executive_education_focus="",TRUE,SUMPRODUCT(--ISNUMBER(SEARCH(","&amp;TRIM(TEXTSPLIT(DM199,","))&amp;",",","&amp;SUBSTITUTE(input_executive_education_focus," ","")&amp;",")))=0)),IF(DO199="",TRUE,IF(input_executive_education_focus="",FALSE,SUMPRODUCT(--ISNUMBER(SEARCH(","&amp;TRIM(TEXTSPLIT(DO199,","))&amp;",",","&amp;SUBSTITUTE(input_executive_education_focus," ","")&amp;",")))&gt;0)),IF(DQ199="",TRUE,IF(input_executive_education_focus="",FALSE,SUMPRODUCT(--ISNUMBER(SEARCH(","&amp;TRIM(TEXTSPLIT(DQ199,","))&amp;",",","&amp;SUBSTITUTE(input_executive_education_focus," ","")&amp;",")))=COUNTA(TEXTSPLIT(DQ199,",")))))</f>
        <v/>
      </c>
      <c r="JE199" s="19">
        <f>AND(IF(DS199="",TRUE,IF(input_faculty_category="",FALSE,SUMPRODUCT(--ISNUMBER(SEARCH(","&amp;TRIM(TEXTSPLIT(DS199,","))&amp;",",","&amp;SUBSTITUTE(input_faculty_category," ","")&amp;",")))&gt;0)),IF(DU199="",TRUE,IF(input_faculty_category="",FALSE,SUMPRODUCT(--ISNUMBER(SEARCH(","&amp;TRIM(TEXTSPLIT(DU199,","))&amp;",",","&amp;SUBSTITUTE(input_faculty_category," ","")&amp;",")))=COUNTA(TEXTSPLIT(DU199,",")))),IF(DW199="",TRUE,IF(input_faculty_category="",TRUE,SUMPRODUCT(--ISNUMBER(SEARCH(","&amp;TRIM(TEXTSPLIT(DW199,","))&amp;",",","&amp;SUBSTITUTE(input_faculty_category," ","")&amp;",")))=0)),IF(DY199="",TRUE,IF(input_faculty_category="",FALSE,SUMPRODUCT(--ISNUMBER(SEARCH(","&amp;TRIM(TEXTSPLIT(DY199,","))&amp;",",","&amp;SUBSTITUTE(input_faculty_category," ","")&amp;",")))&gt;0)),IF(EA199="",TRUE,IF(input_faculty_category="",FALSE,SUMPRODUCT(--ISNUMBER(SEARCH(","&amp;TRIM(TEXTSPLIT(EA199,","))&amp;",",","&amp;SUBSTITUTE(input_faculty_category," ","")&amp;",")))=COUNTA(TEXTSPLIT(EA199,",")))))</f>
        <v/>
      </c>
      <c r="JF199" s="19">
        <f>AND(IF(EC199="",TRUE,IF(input_faculty_discipline="",FALSE,SUMPRODUCT(--ISNUMBER(SEARCH(","&amp;TRIM(TEXTSPLIT(EC199,","))&amp;",",","&amp;SUBSTITUTE(input_faculty_discipline," ","")&amp;",")))&gt;0)),IF(EE199="",TRUE,IF(input_faculty_discipline="",FALSE,SUMPRODUCT(--ISNUMBER(SEARCH(","&amp;TRIM(TEXTSPLIT(EE199,","))&amp;",",","&amp;SUBSTITUTE(input_faculty_discipline," ","")&amp;",")))=COUNTA(TEXTSPLIT(EE199,",")))),IF(EG199="",TRUE,IF(input_faculty_discipline="",TRUE,SUMPRODUCT(--ISNUMBER(SEARCH(","&amp;TRIM(TEXTSPLIT(EG199,","))&amp;",",","&amp;SUBSTITUTE(input_faculty_discipline," ","")&amp;",")))=0)),IF(EI199="",TRUE,IF(input_faculty_discipline="",FALSE,SUMPRODUCT(--ISNUMBER(SEARCH(","&amp;TRIM(TEXTSPLIT(EI199,","))&amp;",",","&amp;SUBSTITUTE(input_faculty_discipline," ","")&amp;",")))&gt;0)),IF(EK199="",TRUE,IF(input_faculty_discipline="",FALSE,SUMPRODUCT(--ISNUMBER(SEARCH(","&amp;TRIM(TEXTSPLIT(EK199,","))&amp;",",","&amp;SUBSTITUTE(input_faculty_discipline," ","")&amp;",")))=COUNTA(TEXTSPLIT(EK199,",")))))</f>
        <v/>
      </c>
      <c r="JG199" s="19">
        <f>AND(IF(EM199="",TRUE,IF(input_faculty_expertise="",FALSE,SUMPRODUCT(--ISNUMBER(SEARCH(","&amp;TRIM(TEXTSPLIT(EM199,","))&amp;",",","&amp;SUBSTITUTE(input_faculty_expertise," ","")&amp;",")))&gt;0)),IF(EO199="",TRUE,IF(input_faculty_expertise="",FALSE,SUMPRODUCT(--ISNUMBER(SEARCH(","&amp;TRIM(TEXTSPLIT(EO199,","))&amp;",",","&amp;SUBSTITUTE(input_faculty_expertise," ","")&amp;",")))=COUNTA(TEXTSPLIT(EO199,",")))),IF(EQ199="",TRUE,IF(input_faculty_expertise="",TRUE,SUMPRODUCT(--ISNUMBER(SEARCH(","&amp;TRIM(TEXTSPLIT(EQ199,","))&amp;",",","&amp;SUBSTITUTE(input_faculty_expertise," ","")&amp;",")))=0)),IF(ES199="",TRUE,IF(input_faculty_expertise="",FALSE,SUMPRODUCT(--ISNUMBER(SEARCH(","&amp;TRIM(TEXTSPLIT(ES199,","))&amp;",",","&amp;SUBSTITUTE(input_faculty_expertise," ","")&amp;",")))&gt;0)),IF(EU199="",TRUE,IF(input_faculty_expertise="",FALSE,SUMPRODUCT(--ISNUMBER(SEARCH(","&amp;TRIM(TEXTSPLIT(EU199,","))&amp;",",","&amp;SUBSTITUTE(input_faculty_expertise," ","")&amp;",")))=COUNTA(TEXTSPLIT(EU199,",")))))</f>
        <v/>
      </c>
      <c r="JH199" s="19">
        <f>AND(IF(EW199="",TRUE,IF(input_global_network_school="",FALSE,SUMPRODUCT(--ISNUMBER(SEARCH(","&amp;TRIM(TEXTSPLIT(EW199,","))&amp;",",","&amp;SUBSTITUTE(input_global_network_school," ","")&amp;",")))&gt;0)),IF(EY199="",TRUE,IF(input_global_network_school="",FALSE,SUMPRODUCT(--ISNUMBER(SEARCH(","&amp;TRIM(TEXTSPLIT(EY199,","))&amp;",",","&amp;SUBSTITUTE(input_global_network_school," ","")&amp;",")))=COUNTA(TEXTSPLIT(EY199,",")))),IF(FA199="",TRUE,IF(input_global_network_school="",TRUE,SUMPRODUCT(--ISNUMBER(SEARCH(","&amp;TRIM(TEXTSPLIT(FA199,","))&amp;",",","&amp;SUBSTITUTE(input_global_network_school," ","")&amp;",")))=0)),IF(FC199="",TRUE,IF(input_global_network_school="",FALSE,SUMPRODUCT(--ISNUMBER(SEARCH(","&amp;TRIM(TEXTSPLIT(FC199,","))&amp;",",","&amp;SUBSTITUTE(input_global_network_school," ","")&amp;",")))&gt;0)),IF(FE199="",TRUE,IF(input_global_network_school="",FALSE,SUMPRODUCT(--ISNUMBER(SEARCH(","&amp;TRIM(TEXTSPLIT(FE199,","))&amp;",",","&amp;SUBSTITUTE(input_global_network_school," ","")&amp;",")))=COUNTA(TEXTSPLIT(FE199,",")))))</f>
        <v/>
      </c>
      <c r="JI199" s="19">
        <f>AND(IF(FG199="",TRUE,IF(input_industry="",FALSE,SUMPRODUCT(--ISNUMBER(SEARCH(","&amp;TRIM(TEXTSPLIT(FG199,","))&amp;",",","&amp;SUBSTITUTE(input_industry," ","")&amp;",")))&gt;0)),IF(FI199="",TRUE,IF(input_industry="",FALSE,SUMPRODUCT(--ISNUMBER(SEARCH(","&amp;TRIM(TEXTSPLIT(FI199,","))&amp;",",","&amp;SUBSTITUTE(input_industry," ","")&amp;",")))=COUNTA(TEXTSPLIT(FI199,",")))),IF(FK199="",TRUE,IF(input_industry="",TRUE,SUMPRODUCT(--ISNUMBER(SEARCH(","&amp;TRIM(TEXTSPLIT(FK199,","))&amp;",",","&amp;SUBSTITUTE(input_industry," ","")&amp;",")))=0)),IF(FM199="",TRUE,IF(input_industry="",FALSE,SUMPRODUCT(--ISNUMBER(SEARCH(","&amp;TRIM(TEXTSPLIT(FM199,","))&amp;",",","&amp;SUBSTITUTE(input_industry," ","")&amp;",")))&gt;0)),IF(FO199="",TRUE,IF(input_industry="",FALSE,SUMPRODUCT(--ISNUMBER(SEARCH(","&amp;TRIM(TEXTSPLIT(FO199,","))&amp;",",","&amp;SUBSTITUTE(input_industry," ","")&amp;",")))=COUNTA(TEXTSPLIT(FO199,",")))))</f>
        <v/>
      </c>
      <c r="JJ199" s="19">
        <f>AND(IF(FQ199="",TRUE,IF(input_location="",FALSE,SUMPRODUCT(--ISNUMBER(SEARCH(","&amp;TRIM(TEXTSPLIT(FQ199,","))&amp;",",","&amp;SUBSTITUTE(input_location," ","")&amp;",")))&gt;0)),IF(FS199="",TRUE,IF(input_location="",FALSE,SUMPRODUCT(--ISNUMBER(SEARCH(","&amp;TRIM(TEXTSPLIT(FS199,","))&amp;",",","&amp;SUBSTITUTE(input_location," ","")&amp;",")))=COUNTA(TEXTSPLIT(FS199,",")))),IF(FU199="",TRUE,IF(input_location="",TRUE,SUMPRODUCT(--ISNUMBER(SEARCH(","&amp;TRIM(TEXTSPLIT(FU199,","))&amp;",",","&amp;SUBSTITUTE(input_location," ","")&amp;",")))=0)),IF(FW199="",TRUE,IF(input_location="",FALSE,SUMPRODUCT(--ISNUMBER(SEARCH(","&amp;TRIM(TEXTSPLIT(FW199,","))&amp;",",","&amp;SUBSTITUTE(input_location," ","")&amp;",")))&gt;0)),IF(FY199="",TRUE,IF(input_location="",FALSE,SUMPRODUCT(--ISNUMBER(SEARCH(","&amp;TRIM(TEXTSPLIT(FY199,","))&amp;",",","&amp;SUBSTITUTE(input_location," ","")&amp;",")))=COUNTA(TEXTSPLIT(FY199,",")))))</f>
        <v/>
      </c>
      <c r="JK199" s="19">
        <f>AND(IF(GA199="",TRUE,IF(input_modality="",FALSE,SUMPRODUCT(--ISNUMBER(SEARCH(","&amp;TRIM(TEXTSPLIT(GA199,","))&amp;",",","&amp;SUBSTITUTE(input_modality," ","")&amp;",")))&gt;0)),IF(GC199="",TRUE,IF(input_modality="",FALSE,SUMPRODUCT(--ISNUMBER(SEARCH(","&amp;TRIM(TEXTSPLIT(GC199,","))&amp;",",","&amp;SUBSTITUTE(input_modality," ","")&amp;",")))=COUNTA(TEXTSPLIT(GC199,",")))),IF(GE199="",TRUE,IF(input_modality="",TRUE,SUMPRODUCT(--ISNUMBER(SEARCH(","&amp;TRIM(TEXTSPLIT(GE199,","))&amp;",",","&amp;SUBSTITUTE(input_modality," ","")&amp;",")))=0)),IF(GG199="",TRUE,IF(input_modality="",FALSE,SUMPRODUCT(--ISNUMBER(SEARCH(","&amp;TRIM(TEXTSPLIT(GG199,","))&amp;",",","&amp;SUBSTITUTE(input_modality," ","")&amp;",")))&gt;0)),IF(GI199="",TRUE,IF(input_modality="",FALSE,SUMPRODUCT(--ISNUMBER(SEARCH(","&amp;TRIM(TEXTSPLIT(GI199,","))&amp;",",","&amp;SUBSTITUTE(input_modality," ","")&amp;",")))=COUNTA(TEXTSPLIT(GI199,",")))))</f>
        <v/>
      </c>
      <c r="JL199" s="19">
        <f>AND(IF(GK199="",TRUE,IF(input_organizer="",FALSE,SUMPRODUCT(--ISNUMBER(SEARCH(","&amp;TRIM(TEXTSPLIT(GK199,","))&amp;",",","&amp;SUBSTITUTE(input_organizer," ","")&amp;",")))&gt;0)),IF(GM199="",TRUE,IF(input_organizer="",FALSE,SUMPRODUCT(--ISNUMBER(SEARCH(","&amp;TRIM(TEXTSPLIT(GM199,","))&amp;",",","&amp;SUBSTITUTE(input_organizer," ","")&amp;",")))=COUNTA(TEXTSPLIT(GM199,",")))),IF(GO199="",TRUE,IF(input_organizer="",TRUE,SUMPRODUCT(--ISNUMBER(SEARCH(","&amp;TRIM(TEXTSPLIT(GO199,","))&amp;",",","&amp;SUBSTITUTE(input_organizer," ","")&amp;",")))=0)),IF(GQ199="",TRUE,IF(input_organizer="",FALSE,SUMPRODUCT(--ISNUMBER(SEARCH(","&amp;TRIM(TEXTSPLIT(GQ199,","))&amp;",",","&amp;SUBSTITUTE(input_organizer," ","")&amp;",")))&gt;0)),IF(GS199="",TRUE,IF(input_organizer="",FALSE,SUMPRODUCT(--ISNUMBER(SEARCH(","&amp;TRIM(TEXTSPLIT(GS199,","))&amp;",",","&amp;SUBSTITUTE(input_organizer," ","")&amp;",")))=COUNTA(TEXTSPLIT(GS199,",")))))</f>
        <v/>
      </c>
      <c r="JM199" s="19">
        <f>AND(IF(GU199="",TRUE,IF(input_profile_type="",FALSE,SUMPRODUCT(--ISNUMBER(SEARCH(","&amp;TRIM(TEXTSPLIT(GU199,","))&amp;",",","&amp;SUBSTITUTE(input_profile_type," ","")&amp;",")))&gt;0)),IF(GW199="",TRUE,IF(input_profile_type="",FALSE,SUMPRODUCT(--ISNUMBER(SEARCH(","&amp;TRIM(TEXTSPLIT(GW199,","))&amp;",",","&amp;SUBSTITUTE(input_profile_type," ","")&amp;",")))=COUNTA(TEXTSPLIT(GW199,",")))),IF(GY199="",TRUE,IF(input_profile_type="",TRUE,SUMPRODUCT(--ISNUMBER(SEARCH(","&amp;TRIM(TEXTSPLIT(GY199,","))&amp;",",","&amp;SUBSTITUTE(input_profile_type," ","")&amp;",")))=0)),IF(HA199="",TRUE,IF(input_profile_type="",FALSE,SUMPRODUCT(--ISNUMBER(SEARCH(","&amp;TRIM(TEXTSPLIT(HA199,","))&amp;",",","&amp;SUBSTITUTE(input_profile_type," ","")&amp;",")))&gt;0)),IF(HC199="",TRUE,IF(input_profile_type="",FALSE,SUMPRODUCT(--ISNUMBER(SEARCH(","&amp;TRIM(TEXTSPLIT(HC199,","))&amp;",",","&amp;SUBSTITUTE(input_profile_type," ","")&amp;",")))=COUNTA(TEXTSPLIT(HC199,",")))))</f>
        <v/>
      </c>
      <c r="JN199" s="19">
        <f>AND(IF(HE199="",TRUE,IF(input_program="",FALSE,SUMPRODUCT(--ISNUMBER(SEARCH(","&amp;TRIM(TEXTSPLIT(HE199,","))&amp;",",","&amp;SUBSTITUTE(input_program," ","")&amp;",")))&gt;0)),IF(HG199="",TRUE,IF(input_program="",FALSE,SUMPRODUCT(--ISNUMBER(SEARCH(","&amp;TRIM(TEXTSPLIT(HG199,","))&amp;",",","&amp;SUBSTITUTE(input_program," ","")&amp;",")))=COUNTA(TEXTSPLIT(HG199,",")))),IF(HI199="",TRUE,IF(input_program="",TRUE,SUMPRODUCT(--ISNUMBER(SEARCH(","&amp;TRIM(TEXTSPLIT(HI199,","))&amp;",",","&amp;SUBSTITUTE(input_program," ","")&amp;",")))=0)),IF(HK199="",TRUE,IF(input_program="",FALSE,SUMPRODUCT(--ISNUMBER(SEARCH(","&amp;TRIM(TEXTSPLIT(HK199,","))&amp;",",","&amp;SUBSTITUTE(input_program," ","")&amp;",")))&gt;0)),IF(HM199="",TRUE,IF(input_program="",FALSE,SUMPRODUCT(--ISNUMBER(SEARCH(","&amp;TRIM(TEXTSPLIT(HM199,","))&amp;",",","&amp;SUBSTITUTE(input_program," ","")&amp;",")))=COUNTA(TEXTSPLIT(HM199,",")))))</f>
        <v/>
      </c>
      <c r="JO199" s="19">
        <f>AND(IF(HO199="",TRUE,IF(input_story_categories="",FALSE,SUMPRODUCT(--ISNUMBER(SEARCH(","&amp;TRIM(TEXTSPLIT(HO199,","))&amp;",",","&amp;SUBSTITUTE(input_story_categories," ","")&amp;",")))&gt;0)),IF(HQ199="",TRUE,IF(input_story_categories="",FALSE,SUMPRODUCT(--ISNUMBER(SEARCH(","&amp;TRIM(TEXTSPLIT(HQ199,","))&amp;",",","&amp;SUBSTITUTE(input_story_categories," ","")&amp;",")))=COUNTA(TEXTSPLIT(HQ199,",")))),IF(HS199="",TRUE,IF(input_story_categories="",TRUE,SUMPRODUCT(--ISNUMBER(SEARCH(","&amp;TRIM(TEXTSPLIT(HS199,","))&amp;",",","&amp;SUBSTITUTE(input_story_categories," ","")&amp;",")))=0)),IF(HU199="",TRUE,IF(input_story_categories="",FALSE,SUMPRODUCT(--ISNUMBER(SEARCH(","&amp;TRIM(TEXTSPLIT(HU199,","))&amp;",",","&amp;SUBSTITUTE(input_story_categories," ","")&amp;",")))&gt;0)),IF(HW199="",TRUE,IF(input_story_categories="",FALSE,SUMPRODUCT(--ISNUMBER(SEARCH(","&amp;TRIM(TEXTSPLIT(HW199,","))&amp;",",","&amp;SUBSTITUTE(input_story_categories," ","")&amp;",")))=COUNTA(TEXTSPLIT(HW199,",")))))</f>
        <v/>
      </c>
      <c r="JP199" s="19">
        <f>AND(IF(HY199="",TRUE,IF(input_story_type="",FALSE,SUMPRODUCT(--ISNUMBER(SEARCH(","&amp;TRIM(TEXTSPLIT(HY199,","))&amp;",",","&amp;SUBSTITUTE(input_story_type," ","")&amp;",")))&gt;0)),IF(IA199="",TRUE,IF(input_story_type="",FALSE,SUMPRODUCT(--ISNUMBER(SEARCH(","&amp;TRIM(TEXTSPLIT(IA199,","))&amp;",",","&amp;SUBSTITUTE(input_story_type," ","")&amp;",")))=COUNTA(TEXTSPLIT(IA199,",")))),IF(IC199="",TRUE,IF(input_story_type="",TRUE,SUMPRODUCT(--ISNUMBER(SEARCH(","&amp;TRIM(TEXTSPLIT(IC199,","))&amp;",",","&amp;SUBSTITUTE(input_story_type," ","")&amp;",")))=0)),IF(IE199="",TRUE,IF(input_story_type="",FALSE,SUMPRODUCT(--ISNUMBER(SEARCH(","&amp;TRIM(TEXTSPLIT(IE199,","))&amp;",",","&amp;SUBSTITUTE(input_story_type," ","")&amp;",")))&gt;0)),IF(IG199="",TRUE,IF(input_story_type="",FALSE,SUMPRODUCT(--ISNUMBER(SEARCH(","&amp;TRIM(TEXTSPLIT(IG199,","))&amp;",",","&amp;SUBSTITUTE(input_story_type," ","")&amp;",")))=COUNTA(TEXTSPLIT(IG199,",")))))</f>
        <v/>
      </c>
      <c r="JQ199" s="19">
        <f>AND(IF(II199="",TRUE,IF(input_topics="",FALSE,SUMPRODUCT(--ISNUMBER(SEARCH(","&amp;TRIM(TEXTSPLIT(II199,","))&amp;",",","&amp;SUBSTITUTE(input_topics," ","")&amp;",")))&gt;0)),IF(IK199="",TRUE,IF(input_topics="",FALSE,SUMPRODUCT(--ISNUMBER(SEARCH(","&amp;TRIM(TEXTSPLIT(IK199,","))&amp;",",","&amp;SUBSTITUTE(input_topics," ","")&amp;",")))=COUNTA(TEXTSPLIT(IK199,",")))),IF(IM199="",TRUE,IF(input_topics="",TRUE,SUMPRODUCT(--ISNUMBER(SEARCH(","&amp;TRIM(TEXTSPLIT(IM199,","))&amp;",",","&amp;SUBSTITUTE(input_topics," ","")&amp;",")))=0)),IF(IO199="",TRUE,IF(input_topics="",FALSE,SUMPRODUCT(--ISNUMBER(SEARCH(","&amp;TRIM(TEXTSPLIT(IO199,","))&amp;",",","&amp;SUBSTITUTE(input_topics," ","")&amp;",")))&gt;0)),IF(IQ199="",TRUE,IF(input_topics="",FALSE,SUMPRODUCT(--ISNUMBER(SEARCH(","&amp;TRIM(TEXTSPLIT(IQ199,","))&amp;",",","&amp;SUBSTITUTE(input_topics," ","")&amp;",")))=COUNTA(TEXTSPLIT(IQ199,",")))))</f>
        <v/>
      </c>
    </row>
    <row r="200">
      <c r="A200" s="24">
        <f>IF(NOT(IS200),"Excluded",IF(AND(IT200,IU200,IV200,IW200,IX200,IY200,IZ200,JA200,JB200,JC200,JD200,JE200,JF200,JG200,JH200,JI200,JJ200,JK200,JL200,JM200,JN200,JO200,JP200,JQ200),IF(I200&gt;0,"Eligible but limited","Will appear"),"Excluded"))</f>
        <v/>
      </c>
      <c r="B200" s="24" t="inlineStr">
        <is>
          <t>Related stories on story pages</t>
        </is>
      </c>
      <c r="C200" s="27" t="inlineStr">
        <is>
          <t>/story/2024/building-community-and-soccer-pitch</t>
        </is>
      </c>
      <c r="D200" s="24" t="inlineStr">
        <is>
          <t>/story/2024/building-community-and-soccer-pitch
/story/2025/shucking-good-time-soms-oyster-society
/story/2025/winter-stroll-photos</t>
        </is>
      </c>
      <c r="E200" s="24" t="n">
        <v>3</v>
      </c>
      <c r="F200" s="24" t="inlineStr">
        <is>
          <t>story</t>
        </is>
      </c>
      <c r="G200" s="24" t="inlineStr">
        <is>
          <t>stories_teaser_cards</t>
        </is>
      </c>
      <c r="H200" s="24" t="inlineStr">
        <is>
          <t>embed_all</t>
        </is>
      </c>
      <c r="I200" s="24" t="n">
        <v>3</v>
      </c>
      <c r="J200" s="31" t="inlineStr">
        <is>
          <t>Template logic</t>
        </is>
      </c>
      <c r="K200" s="24" t="inlineStr">
        <is>
          <t>Grouped surface</t>
        </is>
      </c>
      <c r="L200" s="24" t="inlineStr">
        <is>
          <t>Content type: story; Context uses Courses Context: Student Life (125); Context uses Story Type: Blog (974); Limited to 3 item(s); Source: Template logic</t>
        </is>
      </c>
      <c r="BQ200" s="19" t="inlineStr">
        <is>
          <t>125</t>
        </is>
      </c>
      <c r="BR200" s="19" t="inlineStr">
        <is>
          <t>Student Life (125)</t>
        </is>
      </c>
      <c r="IE200" s="19" t="inlineStr">
        <is>
          <t>974</t>
        </is>
      </c>
      <c r="IF200" s="19" t="inlineStr">
        <is>
          <t>Blog (974)</t>
        </is>
      </c>
      <c r="IS200" s="19">
        <f>IF(input_content_type="",FALSE,ISNUMBER(SEARCH(","&amp;LOWER(input_content_type)&amp;",",","&amp;LOWER(SUBSTITUTE(F200," ",""))&amp;",")))</f>
        <v/>
      </c>
      <c r="IT200" s="19">
        <f>AND(IF(M200="",TRUE,IF(input_affiliations="",FALSE,SUMPRODUCT(--ISNUMBER(SEARCH(","&amp;TRIM(TEXTSPLIT(M200,","))&amp;",",","&amp;SUBSTITUTE(input_affiliations," ","")&amp;",")))&gt;0)),IF(O200="",TRUE,IF(input_affiliations="",FALSE,SUMPRODUCT(--ISNUMBER(SEARCH(","&amp;TRIM(TEXTSPLIT(O200,","))&amp;",",","&amp;SUBSTITUTE(input_affiliations," ","")&amp;",")))=COUNTA(TEXTSPLIT(O200,",")))),IF(Q200="",TRUE,IF(input_affiliations="",TRUE,SUMPRODUCT(--ISNUMBER(SEARCH(","&amp;TRIM(TEXTSPLIT(Q200,","))&amp;",",","&amp;SUBSTITUTE(input_affiliations," ","")&amp;",")))=0)),IF(S200="",TRUE,IF(input_affiliations="",FALSE,SUMPRODUCT(--ISNUMBER(SEARCH(","&amp;TRIM(TEXTSPLIT(S200,","))&amp;",",","&amp;SUBSTITUTE(input_affiliations," ","")&amp;",")))&gt;0)),IF(U200="",TRUE,IF(input_affiliations="",FALSE,SUMPRODUCT(--ISNUMBER(SEARCH(","&amp;TRIM(TEXTSPLIT(U200,","))&amp;",",","&amp;SUBSTITUTE(input_affiliations," ","")&amp;",")))=COUNTA(TEXTSPLIT(U200,",")))))</f>
        <v/>
      </c>
      <c r="IU200" s="19">
        <f>AND(IF(W200="",TRUE,IF(input_announcement_category="",FALSE,SUMPRODUCT(--ISNUMBER(SEARCH(","&amp;TRIM(TEXTSPLIT(W200,","))&amp;",",","&amp;SUBSTITUTE(input_announcement_category," ","")&amp;",")))&gt;0)),IF(Y200="",TRUE,IF(input_announcement_category="",FALSE,SUMPRODUCT(--ISNUMBER(SEARCH(","&amp;TRIM(TEXTSPLIT(Y200,","))&amp;",",","&amp;SUBSTITUTE(input_announcement_category," ","")&amp;",")))=COUNTA(TEXTSPLIT(Y200,",")))),IF(AA200="",TRUE,IF(input_announcement_category="",TRUE,SUMPRODUCT(--ISNUMBER(SEARCH(","&amp;TRIM(TEXTSPLIT(AA200,","))&amp;",",","&amp;SUBSTITUTE(input_announcement_category," ","")&amp;",")))=0)),IF(AC200="",TRUE,IF(input_announcement_category="",FALSE,SUMPRODUCT(--ISNUMBER(SEARCH(","&amp;TRIM(TEXTSPLIT(AC200,","))&amp;",",","&amp;SUBSTITUTE(input_announcement_category," ","")&amp;",")))&gt;0)),IF(AE200="",TRUE,IF(input_announcement_category="",FALSE,SUMPRODUCT(--ISNUMBER(SEARCH(","&amp;TRIM(TEXTSPLIT(AE200,","))&amp;",",","&amp;SUBSTITUTE(input_announcement_category," ","")&amp;",")))=COUNTA(TEXTSPLIT(AE200,",")))))</f>
        <v/>
      </c>
      <c r="IV200" s="19">
        <f>AND(IF(AG200="",TRUE,IF(input_area_of_focus="",FALSE,SUMPRODUCT(--ISNUMBER(SEARCH(","&amp;TRIM(TEXTSPLIT(AG200,","))&amp;",",","&amp;SUBSTITUTE(input_area_of_focus," ","")&amp;",")))&gt;0)),IF(AI200="",TRUE,IF(input_area_of_focus="",FALSE,SUMPRODUCT(--ISNUMBER(SEARCH(","&amp;TRIM(TEXTSPLIT(AI200,","))&amp;",",","&amp;SUBSTITUTE(input_area_of_focus," ","")&amp;",")))=COUNTA(TEXTSPLIT(AI200,",")))),IF(AK200="",TRUE,IF(input_area_of_focus="",TRUE,SUMPRODUCT(--ISNUMBER(SEARCH(","&amp;TRIM(TEXTSPLIT(AK200,","))&amp;",",","&amp;SUBSTITUTE(input_area_of_focus," ","")&amp;",")))=0)),IF(AM200="",TRUE,IF(input_area_of_focus="",FALSE,SUMPRODUCT(--ISNUMBER(SEARCH(","&amp;TRIM(TEXTSPLIT(AM200,","))&amp;",",","&amp;SUBSTITUTE(input_area_of_focus," ","")&amp;",")))&gt;0)),IF(AO200="",TRUE,IF(input_area_of_focus="",FALSE,SUMPRODUCT(--ISNUMBER(SEARCH(","&amp;TRIM(TEXTSPLIT(AO200,","))&amp;",",","&amp;SUBSTITUTE(input_area_of_focus," ","")&amp;",")))=COUNTA(TEXTSPLIT(AO200,",")))))</f>
        <v/>
      </c>
      <c r="IW200" s="19">
        <f>AND(IF(AQ200="",TRUE,IF(input_audience="",FALSE,SUMPRODUCT(--ISNUMBER(SEARCH(","&amp;TRIM(TEXTSPLIT(AQ200,","))&amp;",",","&amp;SUBSTITUTE(input_audience," ","")&amp;",")))&gt;0)),IF(AS200="",TRUE,IF(input_audience="",FALSE,SUMPRODUCT(--ISNUMBER(SEARCH(","&amp;TRIM(TEXTSPLIT(AS200,","))&amp;",",","&amp;SUBSTITUTE(input_audience," ","")&amp;",")))=COUNTA(TEXTSPLIT(AS200,",")))),IF(AU200="",TRUE,IF(input_audience="",TRUE,SUMPRODUCT(--ISNUMBER(SEARCH(","&amp;TRIM(TEXTSPLIT(AU200,","))&amp;",",","&amp;SUBSTITUTE(input_audience," ","")&amp;",")))=0)),IF(AW200="",TRUE,IF(input_audience="",FALSE,SUMPRODUCT(--ISNUMBER(SEARCH(","&amp;TRIM(TEXTSPLIT(AW200,","))&amp;",",","&amp;SUBSTITUTE(input_audience," ","")&amp;",")))&gt;0)),IF(AY200="",TRUE,IF(input_audience="",FALSE,SUMPRODUCT(--ISNUMBER(SEARCH(","&amp;TRIM(TEXTSPLIT(AY200,","))&amp;",",","&amp;SUBSTITUTE(input_audience," ","")&amp;",")))=COUNTA(TEXTSPLIT(AY200,",")))))</f>
        <v/>
      </c>
      <c r="IX200" s="19">
        <f>AND(IF(BA200="",TRUE,IF(input_challenge_opportunities="",FALSE,SUMPRODUCT(--ISNUMBER(SEARCH(","&amp;TRIM(TEXTSPLIT(BA200,","))&amp;",",","&amp;SUBSTITUTE(input_challenge_opportunities," ","")&amp;",")))&gt;0)),IF(BC200="",TRUE,IF(input_challenge_opportunities="",FALSE,SUMPRODUCT(--ISNUMBER(SEARCH(","&amp;TRIM(TEXTSPLIT(BC200,","))&amp;",",","&amp;SUBSTITUTE(input_challenge_opportunities," ","")&amp;",")))=COUNTA(TEXTSPLIT(BC200,",")))),IF(BE200="",TRUE,IF(input_challenge_opportunities="",TRUE,SUMPRODUCT(--ISNUMBER(SEARCH(","&amp;TRIM(TEXTSPLIT(BE200,","))&amp;",",","&amp;SUBSTITUTE(input_challenge_opportunities," ","")&amp;",")))=0)),IF(BG200="",TRUE,IF(input_challenge_opportunities="",FALSE,SUMPRODUCT(--ISNUMBER(SEARCH(","&amp;TRIM(TEXTSPLIT(BG200,","))&amp;",",","&amp;SUBSTITUTE(input_challenge_opportunities," ","")&amp;",")))&gt;0)),IF(BI200="",TRUE,IF(input_challenge_opportunities="",FALSE,SUMPRODUCT(--ISNUMBER(SEARCH(","&amp;TRIM(TEXTSPLIT(BI200,","))&amp;",",","&amp;SUBSTITUTE(input_challenge_opportunities," ","")&amp;",")))=COUNTA(TEXTSPLIT(BI200,",")))))</f>
        <v/>
      </c>
      <c r="IY200" s="19">
        <f>AND(IF(BK200="",TRUE,IF(input_context="",FALSE,SUMPRODUCT(--ISNUMBER(SEARCH(","&amp;TRIM(TEXTSPLIT(BK200,","))&amp;",",","&amp;SUBSTITUTE(input_context," ","")&amp;",")))&gt;0)),IF(BM200="",TRUE,IF(input_context="",FALSE,SUMPRODUCT(--ISNUMBER(SEARCH(","&amp;TRIM(TEXTSPLIT(BM200,","))&amp;",",","&amp;SUBSTITUTE(input_context," ","")&amp;",")))=COUNTA(TEXTSPLIT(BM200,",")))),IF(BO200="",TRUE,IF(input_context="",TRUE,SUMPRODUCT(--ISNUMBER(SEARCH(","&amp;TRIM(TEXTSPLIT(BO200,","))&amp;",",","&amp;SUBSTITUTE(input_context," ","")&amp;",")))=0)),IF(BQ200="",TRUE,IF(input_context="",FALSE,SUMPRODUCT(--ISNUMBER(SEARCH(","&amp;TRIM(TEXTSPLIT(BQ200,","))&amp;",",","&amp;SUBSTITUTE(input_context," ","")&amp;",")))&gt;0)),IF(BS200="",TRUE,IF(input_context="",FALSE,SUMPRODUCT(--ISNUMBER(SEARCH(","&amp;TRIM(TEXTSPLIT(BS200,","))&amp;",",","&amp;SUBSTITUTE(input_context," ","")&amp;",")))=COUNTA(TEXTSPLIT(BS200,",")))))</f>
        <v/>
      </c>
      <c r="IZ200" s="19">
        <f>AND(IF(BU200="",TRUE,IF(input_enews_announcement_type="",FALSE,SUMPRODUCT(--ISNUMBER(SEARCH(","&amp;TRIM(TEXTSPLIT(BU200,","))&amp;",",","&amp;SUBSTITUTE(input_enews_announcement_type," ","")&amp;",")))&gt;0)),IF(BW200="",TRUE,IF(input_enews_announcement_type="",FALSE,SUMPRODUCT(--ISNUMBER(SEARCH(","&amp;TRIM(TEXTSPLIT(BW200,","))&amp;",",","&amp;SUBSTITUTE(input_enews_announcement_type," ","")&amp;",")))=COUNTA(TEXTSPLIT(BW200,",")))),IF(BY200="",TRUE,IF(input_enews_announcement_type="",TRUE,SUMPRODUCT(--ISNUMBER(SEARCH(","&amp;TRIM(TEXTSPLIT(BY200,","))&amp;",",","&amp;SUBSTITUTE(input_enews_announcement_type," ","")&amp;",")))=0)),IF(CA200="",TRUE,IF(input_enews_announcement_type="",FALSE,SUMPRODUCT(--ISNUMBER(SEARCH(","&amp;TRIM(TEXTSPLIT(CA200,","))&amp;",",","&amp;SUBSTITUTE(input_enews_announcement_type," ","")&amp;",")))&gt;0)),IF(CC200="",TRUE,IF(input_enews_announcement_type="",FALSE,SUMPRODUCT(--ISNUMBER(SEARCH(","&amp;TRIM(TEXTSPLIT(CC200,","))&amp;",",","&amp;SUBSTITUTE(input_enews_announcement_type," ","")&amp;",")))=COUNTA(TEXTSPLIT(CC200,",")))))</f>
        <v/>
      </c>
      <c r="JA200" s="19">
        <f>AND(IF(CE200="",TRUE,IF(input_enews_audience="",FALSE,SUMPRODUCT(--ISNUMBER(SEARCH(","&amp;TRIM(TEXTSPLIT(CE200,","))&amp;",",","&amp;SUBSTITUTE(input_enews_audience," ","")&amp;",")))&gt;0)),IF(CG200="",TRUE,IF(input_enews_audience="",FALSE,SUMPRODUCT(--ISNUMBER(SEARCH(","&amp;TRIM(TEXTSPLIT(CG200,","))&amp;",",","&amp;SUBSTITUTE(input_enews_audience," ","")&amp;",")))=COUNTA(TEXTSPLIT(CG200,",")))),IF(CI200="",TRUE,IF(input_enews_audience="",TRUE,SUMPRODUCT(--ISNUMBER(SEARCH(","&amp;TRIM(TEXTSPLIT(CI200,","))&amp;",",","&amp;SUBSTITUTE(input_enews_audience," ","")&amp;",")))=0)),IF(CK200="",TRUE,IF(input_enews_audience="",FALSE,SUMPRODUCT(--ISNUMBER(SEARCH(","&amp;TRIM(TEXTSPLIT(CK200,","))&amp;",",","&amp;SUBSTITUTE(input_enews_audience," ","")&amp;",")))&gt;0)),IF(CM200="",TRUE,IF(input_enews_audience="",FALSE,SUMPRODUCT(--ISNUMBER(SEARCH(","&amp;TRIM(TEXTSPLIT(CM200,","))&amp;",",","&amp;SUBSTITUTE(input_enews_audience," ","")&amp;",")))=COUNTA(TEXTSPLIT(CM200,",")))))</f>
        <v/>
      </c>
      <c r="JB200" s="19">
        <f>AND(IF(CO200="",TRUE,IF(input_event_location="",FALSE,SUMPRODUCT(--ISNUMBER(SEARCH(","&amp;TRIM(TEXTSPLIT(CO200,","))&amp;",",","&amp;SUBSTITUTE(input_event_location," ","")&amp;",")))&gt;0)),IF(CQ200="",TRUE,IF(input_event_location="",FALSE,SUMPRODUCT(--ISNUMBER(SEARCH(","&amp;TRIM(TEXTSPLIT(CQ200,","))&amp;",",","&amp;SUBSTITUTE(input_event_location," ","")&amp;",")))=COUNTA(TEXTSPLIT(CQ200,",")))),IF(CS200="",TRUE,IF(input_event_location="",TRUE,SUMPRODUCT(--ISNUMBER(SEARCH(","&amp;TRIM(TEXTSPLIT(CS200,","))&amp;",",","&amp;SUBSTITUTE(input_event_location," ","")&amp;",")))=0)),IF(CU200="",TRUE,IF(input_event_location="",FALSE,SUMPRODUCT(--ISNUMBER(SEARCH(","&amp;TRIM(TEXTSPLIT(CU200,","))&amp;",",","&amp;SUBSTITUTE(input_event_location," ","")&amp;",")))&gt;0)),IF(CW200="",TRUE,IF(input_event_location="",FALSE,SUMPRODUCT(--ISNUMBER(SEARCH(","&amp;TRIM(TEXTSPLIT(CW200,","))&amp;",",","&amp;SUBSTITUTE(input_event_location," ","")&amp;",")))=COUNTA(TEXTSPLIT(CW200,",")))))</f>
        <v/>
      </c>
      <c r="JC200" s="19">
        <f>AND(IF(CY200="",TRUE,IF(input_event_type="",FALSE,SUMPRODUCT(--ISNUMBER(SEARCH(","&amp;TRIM(TEXTSPLIT(CY200,","))&amp;",",","&amp;SUBSTITUTE(input_event_type," ","")&amp;",")))&gt;0)),IF(DA200="",TRUE,IF(input_event_type="",FALSE,SUMPRODUCT(--ISNUMBER(SEARCH(","&amp;TRIM(TEXTSPLIT(DA200,","))&amp;",",","&amp;SUBSTITUTE(input_event_type," ","")&amp;",")))=COUNTA(TEXTSPLIT(DA200,",")))),IF(DC200="",TRUE,IF(input_event_type="",TRUE,SUMPRODUCT(--ISNUMBER(SEARCH(","&amp;TRIM(TEXTSPLIT(DC200,","))&amp;",",","&amp;SUBSTITUTE(input_event_type," ","")&amp;",")))=0)),IF(DE200="",TRUE,IF(input_event_type="",FALSE,SUMPRODUCT(--ISNUMBER(SEARCH(","&amp;TRIM(TEXTSPLIT(DE200,","))&amp;",",","&amp;SUBSTITUTE(input_event_type," ","")&amp;",")))&gt;0)),IF(DG200="",TRUE,IF(input_event_type="",FALSE,SUMPRODUCT(--ISNUMBER(SEARCH(","&amp;TRIM(TEXTSPLIT(DG200,","))&amp;",",","&amp;SUBSTITUTE(input_event_type," ","")&amp;",")))=COUNTA(TEXTSPLIT(DG200,",")))))</f>
        <v/>
      </c>
      <c r="JD200" s="19">
        <f>AND(IF(DI200="",TRUE,IF(input_executive_education_focus="",FALSE,SUMPRODUCT(--ISNUMBER(SEARCH(","&amp;TRIM(TEXTSPLIT(DI200,","))&amp;",",","&amp;SUBSTITUTE(input_executive_education_focus," ","")&amp;",")))&gt;0)),IF(DK200="",TRUE,IF(input_executive_education_focus="",FALSE,SUMPRODUCT(--ISNUMBER(SEARCH(","&amp;TRIM(TEXTSPLIT(DK200,","))&amp;",",","&amp;SUBSTITUTE(input_executive_education_focus," ","")&amp;",")))=COUNTA(TEXTSPLIT(DK200,",")))),IF(DM200="",TRUE,IF(input_executive_education_focus="",TRUE,SUMPRODUCT(--ISNUMBER(SEARCH(","&amp;TRIM(TEXTSPLIT(DM200,","))&amp;",",","&amp;SUBSTITUTE(input_executive_education_focus," ","")&amp;",")))=0)),IF(DO200="",TRUE,IF(input_executive_education_focus="",FALSE,SUMPRODUCT(--ISNUMBER(SEARCH(","&amp;TRIM(TEXTSPLIT(DO200,","))&amp;",",","&amp;SUBSTITUTE(input_executive_education_focus," ","")&amp;",")))&gt;0)),IF(DQ200="",TRUE,IF(input_executive_education_focus="",FALSE,SUMPRODUCT(--ISNUMBER(SEARCH(","&amp;TRIM(TEXTSPLIT(DQ200,","))&amp;",",","&amp;SUBSTITUTE(input_executive_education_focus," ","")&amp;",")))=COUNTA(TEXTSPLIT(DQ200,",")))))</f>
        <v/>
      </c>
      <c r="JE200" s="19">
        <f>AND(IF(DS200="",TRUE,IF(input_faculty_category="",FALSE,SUMPRODUCT(--ISNUMBER(SEARCH(","&amp;TRIM(TEXTSPLIT(DS200,","))&amp;",",","&amp;SUBSTITUTE(input_faculty_category," ","")&amp;",")))&gt;0)),IF(DU200="",TRUE,IF(input_faculty_category="",FALSE,SUMPRODUCT(--ISNUMBER(SEARCH(","&amp;TRIM(TEXTSPLIT(DU200,","))&amp;",",","&amp;SUBSTITUTE(input_faculty_category," ","")&amp;",")))=COUNTA(TEXTSPLIT(DU200,",")))),IF(DW200="",TRUE,IF(input_faculty_category="",TRUE,SUMPRODUCT(--ISNUMBER(SEARCH(","&amp;TRIM(TEXTSPLIT(DW200,","))&amp;",",","&amp;SUBSTITUTE(input_faculty_category," ","")&amp;",")))=0)),IF(DY200="",TRUE,IF(input_faculty_category="",FALSE,SUMPRODUCT(--ISNUMBER(SEARCH(","&amp;TRIM(TEXTSPLIT(DY200,","))&amp;",",","&amp;SUBSTITUTE(input_faculty_category," ","")&amp;",")))&gt;0)),IF(EA200="",TRUE,IF(input_faculty_category="",FALSE,SUMPRODUCT(--ISNUMBER(SEARCH(","&amp;TRIM(TEXTSPLIT(EA200,","))&amp;",",","&amp;SUBSTITUTE(input_faculty_category," ","")&amp;",")))=COUNTA(TEXTSPLIT(EA200,",")))))</f>
        <v/>
      </c>
      <c r="JF200" s="19">
        <f>AND(IF(EC200="",TRUE,IF(input_faculty_discipline="",FALSE,SUMPRODUCT(--ISNUMBER(SEARCH(","&amp;TRIM(TEXTSPLIT(EC200,","))&amp;",",","&amp;SUBSTITUTE(input_faculty_discipline," ","")&amp;",")))&gt;0)),IF(EE200="",TRUE,IF(input_faculty_discipline="",FALSE,SUMPRODUCT(--ISNUMBER(SEARCH(","&amp;TRIM(TEXTSPLIT(EE200,","))&amp;",",","&amp;SUBSTITUTE(input_faculty_discipline," ","")&amp;",")))=COUNTA(TEXTSPLIT(EE200,",")))),IF(EG200="",TRUE,IF(input_faculty_discipline="",TRUE,SUMPRODUCT(--ISNUMBER(SEARCH(","&amp;TRIM(TEXTSPLIT(EG200,","))&amp;",",","&amp;SUBSTITUTE(input_faculty_discipline," ","")&amp;",")))=0)),IF(EI200="",TRUE,IF(input_faculty_discipline="",FALSE,SUMPRODUCT(--ISNUMBER(SEARCH(","&amp;TRIM(TEXTSPLIT(EI200,","))&amp;",",","&amp;SUBSTITUTE(input_faculty_discipline," ","")&amp;",")))&gt;0)),IF(EK200="",TRUE,IF(input_faculty_discipline="",FALSE,SUMPRODUCT(--ISNUMBER(SEARCH(","&amp;TRIM(TEXTSPLIT(EK200,","))&amp;",",","&amp;SUBSTITUTE(input_faculty_discipline," ","")&amp;",")))=COUNTA(TEXTSPLIT(EK200,",")))))</f>
        <v/>
      </c>
      <c r="JG200" s="19">
        <f>AND(IF(EM200="",TRUE,IF(input_faculty_expertise="",FALSE,SUMPRODUCT(--ISNUMBER(SEARCH(","&amp;TRIM(TEXTSPLIT(EM200,","))&amp;",",","&amp;SUBSTITUTE(input_faculty_expertise," ","")&amp;",")))&gt;0)),IF(EO200="",TRUE,IF(input_faculty_expertise="",FALSE,SUMPRODUCT(--ISNUMBER(SEARCH(","&amp;TRIM(TEXTSPLIT(EO200,","))&amp;",",","&amp;SUBSTITUTE(input_faculty_expertise," ","")&amp;",")))=COUNTA(TEXTSPLIT(EO200,",")))),IF(EQ200="",TRUE,IF(input_faculty_expertise="",TRUE,SUMPRODUCT(--ISNUMBER(SEARCH(","&amp;TRIM(TEXTSPLIT(EQ200,","))&amp;",",","&amp;SUBSTITUTE(input_faculty_expertise," ","")&amp;",")))=0)),IF(ES200="",TRUE,IF(input_faculty_expertise="",FALSE,SUMPRODUCT(--ISNUMBER(SEARCH(","&amp;TRIM(TEXTSPLIT(ES200,","))&amp;",",","&amp;SUBSTITUTE(input_faculty_expertise," ","")&amp;",")))&gt;0)),IF(EU200="",TRUE,IF(input_faculty_expertise="",FALSE,SUMPRODUCT(--ISNUMBER(SEARCH(","&amp;TRIM(TEXTSPLIT(EU200,","))&amp;",",","&amp;SUBSTITUTE(input_faculty_expertise," ","")&amp;",")))=COUNTA(TEXTSPLIT(EU200,",")))))</f>
        <v/>
      </c>
      <c r="JH200" s="19">
        <f>AND(IF(EW200="",TRUE,IF(input_global_network_school="",FALSE,SUMPRODUCT(--ISNUMBER(SEARCH(","&amp;TRIM(TEXTSPLIT(EW200,","))&amp;",",","&amp;SUBSTITUTE(input_global_network_school," ","")&amp;",")))&gt;0)),IF(EY200="",TRUE,IF(input_global_network_school="",FALSE,SUMPRODUCT(--ISNUMBER(SEARCH(","&amp;TRIM(TEXTSPLIT(EY200,","))&amp;",",","&amp;SUBSTITUTE(input_global_network_school," ","")&amp;",")))=COUNTA(TEXTSPLIT(EY200,",")))),IF(FA200="",TRUE,IF(input_global_network_school="",TRUE,SUMPRODUCT(--ISNUMBER(SEARCH(","&amp;TRIM(TEXTSPLIT(FA200,","))&amp;",",","&amp;SUBSTITUTE(input_global_network_school," ","")&amp;",")))=0)),IF(FC200="",TRUE,IF(input_global_network_school="",FALSE,SUMPRODUCT(--ISNUMBER(SEARCH(","&amp;TRIM(TEXTSPLIT(FC200,","))&amp;",",","&amp;SUBSTITUTE(input_global_network_school," ","")&amp;",")))&gt;0)),IF(FE200="",TRUE,IF(input_global_network_school="",FALSE,SUMPRODUCT(--ISNUMBER(SEARCH(","&amp;TRIM(TEXTSPLIT(FE200,","))&amp;",",","&amp;SUBSTITUTE(input_global_network_school," ","")&amp;",")))=COUNTA(TEXTSPLIT(FE200,",")))))</f>
        <v/>
      </c>
      <c r="JI200" s="19">
        <f>AND(IF(FG200="",TRUE,IF(input_industry="",FALSE,SUMPRODUCT(--ISNUMBER(SEARCH(","&amp;TRIM(TEXTSPLIT(FG200,","))&amp;",",","&amp;SUBSTITUTE(input_industry," ","")&amp;",")))&gt;0)),IF(FI200="",TRUE,IF(input_industry="",FALSE,SUMPRODUCT(--ISNUMBER(SEARCH(","&amp;TRIM(TEXTSPLIT(FI200,","))&amp;",",","&amp;SUBSTITUTE(input_industry," ","")&amp;",")))=COUNTA(TEXTSPLIT(FI200,",")))),IF(FK200="",TRUE,IF(input_industry="",TRUE,SUMPRODUCT(--ISNUMBER(SEARCH(","&amp;TRIM(TEXTSPLIT(FK200,","))&amp;",",","&amp;SUBSTITUTE(input_industry," ","")&amp;",")))=0)),IF(FM200="",TRUE,IF(input_industry="",FALSE,SUMPRODUCT(--ISNUMBER(SEARCH(","&amp;TRIM(TEXTSPLIT(FM200,","))&amp;",",","&amp;SUBSTITUTE(input_industry," ","")&amp;",")))&gt;0)),IF(FO200="",TRUE,IF(input_industry="",FALSE,SUMPRODUCT(--ISNUMBER(SEARCH(","&amp;TRIM(TEXTSPLIT(FO200,","))&amp;",",","&amp;SUBSTITUTE(input_industry," ","")&amp;",")))=COUNTA(TEXTSPLIT(FO200,",")))))</f>
        <v/>
      </c>
      <c r="JJ200" s="19">
        <f>AND(IF(FQ200="",TRUE,IF(input_location="",FALSE,SUMPRODUCT(--ISNUMBER(SEARCH(","&amp;TRIM(TEXTSPLIT(FQ200,","))&amp;",",","&amp;SUBSTITUTE(input_location," ","")&amp;",")))&gt;0)),IF(FS200="",TRUE,IF(input_location="",FALSE,SUMPRODUCT(--ISNUMBER(SEARCH(","&amp;TRIM(TEXTSPLIT(FS200,","))&amp;",",","&amp;SUBSTITUTE(input_location," ","")&amp;",")))=COUNTA(TEXTSPLIT(FS200,",")))),IF(FU200="",TRUE,IF(input_location="",TRUE,SUMPRODUCT(--ISNUMBER(SEARCH(","&amp;TRIM(TEXTSPLIT(FU200,","))&amp;",",","&amp;SUBSTITUTE(input_location," ","")&amp;",")))=0)),IF(FW200="",TRUE,IF(input_location="",FALSE,SUMPRODUCT(--ISNUMBER(SEARCH(","&amp;TRIM(TEXTSPLIT(FW200,","))&amp;",",","&amp;SUBSTITUTE(input_location," ","")&amp;",")))&gt;0)),IF(FY200="",TRUE,IF(input_location="",FALSE,SUMPRODUCT(--ISNUMBER(SEARCH(","&amp;TRIM(TEXTSPLIT(FY200,","))&amp;",",","&amp;SUBSTITUTE(input_location," ","")&amp;",")))=COUNTA(TEXTSPLIT(FY200,",")))))</f>
        <v/>
      </c>
      <c r="JK200" s="19">
        <f>AND(IF(GA200="",TRUE,IF(input_modality="",FALSE,SUMPRODUCT(--ISNUMBER(SEARCH(","&amp;TRIM(TEXTSPLIT(GA200,","))&amp;",",","&amp;SUBSTITUTE(input_modality," ","")&amp;",")))&gt;0)),IF(GC200="",TRUE,IF(input_modality="",FALSE,SUMPRODUCT(--ISNUMBER(SEARCH(","&amp;TRIM(TEXTSPLIT(GC200,","))&amp;",",","&amp;SUBSTITUTE(input_modality," ","")&amp;",")))=COUNTA(TEXTSPLIT(GC200,",")))),IF(GE200="",TRUE,IF(input_modality="",TRUE,SUMPRODUCT(--ISNUMBER(SEARCH(","&amp;TRIM(TEXTSPLIT(GE200,","))&amp;",",","&amp;SUBSTITUTE(input_modality," ","")&amp;",")))=0)),IF(GG200="",TRUE,IF(input_modality="",FALSE,SUMPRODUCT(--ISNUMBER(SEARCH(","&amp;TRIM(TEXTSPLIT(GG200,","))&amp;",",","&amp;SUBSTITUTE(input_modality," ","")&amp;",")))&gt;0)),IF(GI200="",TRUE,IF(input_modality="",FALSE,SUMPRODUCT(--ISNUMBER(SEARCH(","&amp;TRIM(TEXTSPLIT(GI200,","))&amp;",",","&amp;SUBSTITUTE(input_modality," ","")&amp;",")))=COUNTA(TEXTSPLIT(GI200,",")))))</f>
        <v/>
      </c>
      <c r="JL200" s="19">
        <f>AND(IF(GK200="",TRUE,IF(input_organizer="",FALSE,SUMPRODUCT(--ISNUMBER(SEARCH(","&amp;TRIM(TEXTSPLIT(GK200,","))&amp;",",","&amp;SUBSTITUTE(input_organizer," ","")&amp;",")))&gt;0)),IF(GM200="",TRUE,IF(input_organizer="",FALSE,SUMPRODUCT(--ISNUMBER(SEARCH(","&amp;TRIM(TEXTSPLIT(GM200,","))&amp;",",","&amp;SUBSTITUTE(input_organizer," ","")&amp;",")))=COUNTA(TEXTSPLIT(GM200,",")))),IF(GO200="",TRUE,IF(input_organizer="",TRUE,SUMPRODUCT(--ISNUMBER(SEARCH(","&amp;TRIM(TEXTSPLIT(GO200,","))&amp;",",","&amp;SUBSTITUTE(input_organizer," ","")&amp;",")))=0)),IF(GQ200="",TRUE,IF(input_organizer="",FALSE,SUMPRODUCT(--ISNUMBER(SEARCH(","&amp;TRIM(TEXTSPLIT(GQ200,","))&amp;",",","&amp;SUBSTITUTE(input_organizer," ","")&amp;",")))&gt;0)),IF(GS200="",TRUE,IF(input_organizer="",FALSE,SUMPRODUCT(--ISNUMBER(SEARCH(","&amp;TRIM(TEXTSPLIT(GS200,","))&amp;",",","&amp;SUBSTITUTE(input_organizer," ","")&amp;",")))=COUNTA(TEXTSPLIT(GS200,",")))))</f>
        <v/>
      </c>
      <c r="JM200" s="19">
        <f>AND(IF(GU200="",TRUE,IF(input_profile_type="",FALSE,SUMPRODUCT(--ISNUMBER(SEARCH(","&amp;TRIM(TEXTSPLIT(GU200,","))&amp;",",","&amp;SUBSTITUTE(input_profile_type," ","")&amp;",")))&gt;0)),IF(GW200="",TRUE,IF(input_profile_type="",FALSE,SUMPRODUCT(--ISNUMBER(SEARCH(","&amp;TRIM(TEXTSPLIT(GW200,","))&amp;",",","&amp;SUBSTITUTE(input_profile_type," ","")&amp;",")))=COUNTA(TEXTSPLIT(GW200,",")))),IF(GY200="",TRUE,IF(input_profile_type="",TRUE,SUMPRODUCT(--ISNUMBER(SEARCH(","&amp;TRIM(TEXTSPLIT(GY200,","))&amp;",",","&amp;SUBSTITUTE(input_profile_type," ","")&amp;",")))=0)),IF(HA200="",TRUE,IF(input_profile_type="",FALSE,SUMPRODUCT(--ISNUMBER(SEARCH(","&amp;TRIM(TEXTSPLIT(HA200,","))&amp;",",","&amp;SUBSTITUTE(input_profile_type," ","")&amp;",")))&gt;0)),IF(HC200="",TRUE,IF(input_profile_type="",FALSE,SUMPRODUCT(--ISNUMBER(SEARCH(","&amp;TRIM(TEXTSPLIT(HC200,","))&amp;",",","&amp;SUBSTITUTE(input_profile_type," ","")&amp;",")))=COUNTA(TEXTSPLIT(HC200,",")))))</f>
        <v/>
      </c>
      <c r="JN200" s="19">
        <f>AND(IF(HE200="",TRUE,IF(input_program="",FALSE,SUMPRODUCT(--ISNUMBER(SEARCH(","&amp;TRIM(TEXTSPLIT(HE200,","))&amp;",",","&amp;SUBSTITUTE(input_program," ","")&amp;",")))&gt;0)),IF(HG200="",TRUE,IF(input_program="",FALSE,SUMPRODUCT(--ISNUMBER(SEARCH(","&amp;TRIM(TEXTSPLIT(HG200,","))&amp;",",","&amp;SUBSTITUTE(input_program," ","")&amp;",")))=COUNTA(TEXTSPLIT(HG200,",")))),IF(HI200="",TRUE,IF(input_program="",TRUE,SUMPRODUCT(--ISNUMBER(SEARCH(","&amp;TRIM(TEXTSPLIT(HI200,","))&amp;",",","&amp;SUBSTITUTE(input_program," ","")&amp;",")))=0)),IF(HK200="",TRUE,IF(input_program="",FALSE,SUMPRODUCT(--ISNUMBER(SEARCH(","&amp;TRIM(TEXTSPLIT(HK200,","))&amp;",",","&amp;SUBSTITUTE(input_program," ","")&amp;",")))&gt;0)),IF(HM200="",TRUE,IF(input_program="",FALSE,SUMPRODUCT(--ISNUMBER(SEARCH(","&amp;TRIM(TEXTSPLIT(HM200,","))&amp;",",","&amp;SUBSTITUTE(input_program," ","")&amp;",")))=COUNTA(TEXTSPLIT(HM200,",")))))</f>
        <v/>
      </c>
      <c r="JO200" s="19">
        <f>AND(IF(HO200="",TRUE,IF(input_story_categories="",FALSE,SUMPRODUCT(--ISNUMBER(SEARCH(","&amp;TRIM(TEXTSPLIT(HO200,","))&amp;",",","&amp;SUBSTITUTE(input_story_categories," ","")&amp;",")))&gt;0)),IF(HQ200="",TRUE,IF(input_story_categories="",FALSE,SUMPRODUCT(--ISNUMBER(SEARCH(","&amp;TRIM(TEXTSPLIT(HQ200,","))&amp;",",","&amp;SUBSTITUTE(input_story_categories," ","")&amp;",")))=COUNTA(TEXTSPLIT(HQ200,",")))),IF(HS200="",TRUE,IF(input_story_categories="",TRUE,SUMPRODUCT(--ISNUMBER(SEARCH(","&amp;TRIM(TEXTSPLIT(HS200,","))&amp;",",","&amp;SUBSTITUTE(input_story_categories," ","")&amp;",")))=0)),IF(HU200="",TRUE,IF(input_story_categories="",FALSE,SUMPRODUCT(--ISNUMBER(SEARCH(","&amp;TRIM(TEXTSPLIT(HU200,","))&amp;",",","&amp;SUBSTITUTE(input_story_categories," ","")&amp;",")))&gt;0)),IF(HW200="",TRUE,IF(input_story_categories="",FALSE,SUMPRODUCT(--ISNUMBER(SEARCH(","&amp;TRIM(TEXTSPLIT(HW200,","))&amp;",",","&amp;SUBSTITUTE(input_story_categories," ","")&amp;",")))=COUNTA(TEXTSPLIT(HW200,",")))))</f>
        <v/>
      </c>
      <c r="JP200" s="19">
        <f>AND(IF(HY200="",TRUE,IF(input_story_type="",FALSE,SUMPRODUCT(--ISNUMBER(SEARCH(","&amp;TRIM(TEXTSPLIT(HY200,","))&amp;",",","&amp;SUBSTITUTE(input_story_type," ","")&amp;",")))&gt;0)),IF(IA200="",TRUE,IF(input_story_type="",FALSE,SUMPRODUCT(--ISNUMBER(SEARCH(","&amp;TRIM(TEXTSPLIT(IA200,","))&amp;",",","&amp;SUBSTITUTE(input_story_type," ","")&amp;",")))=COUNTA(TEXTSPLIT(IA200,",")))),IF(IC200="",TRUE,IF(input_story_type="",TRUE,SUMPRODUCT(--ISNUMBER(SEARCH(","&amp;TRIM(TEXTSPLIT(IC200,","))&amp;",",","&amp;SUBSTITUTE(input_story_type," ","")&amp;",")))=0)),IF(IE200="",TRUE,IF(input_story_type="",FALSE,SUMPRODUCT(--ISNUMBER(SEARCH(","&amp;TRIM(TEXTSPLIT(IE200,","))&amp;",",","&amp;SUBSTITUTE(input_story_type," ","")&amp;",")))&gt;0)),IF(IG200="",TRUE,IF(input_story_type="",FALSE,SUMPRODUCT(--ISNUMBER(SEARCH(","&amp;TRIM(TEXTSPLIT(IG200,","))&amp;",",","&amp;SUBSTITUTE(input_story_type," ","")&amp;",")))=COUNTA(TEXTSPLIT(IG200,",")))))</f>
        <v/>
      </c>
      <c r="JQ200" s="19">
        <f>AND(IF(II200="",TRUE,IF(input_topics="",FALSE,SUMPRODUCT(--ISNUMBER(SEARCH(","&amp;TRIM(TEXTSPLIT(II200,","))&amp;",",","&amp;SUBSTITUTE(input_topics," ","")&amp;",")))&gt;0)),IF(IK200="",TRUE,IF(input_topics="",FALSE,SUMPRODUCT(--ISNUMBER(SEARCH(","&amp;TRIM(TEXTSPLIT(IK200,","))&amp;",",","&amp;SUBSTITUTE(input_topics," ","")&amp;",")))=COUNTA(TEXTSPLIT(IK200,",")))),IF(IM200="",TRUE,IF(input_topics="",TRUE,SUMPRODUCT(--ISNUMBER(SEARCH(","&amp;TRIM(TEXTSPLIT(IM200,","))&amp;",",","&amp;SUBSTITUTE(input_topics," ","")&amp;",")))=0)),IF(IO200="",TRUE,IF(input_topics="",FALSE,SUMPRODUCT(--ISNUMBER(SEARCH(","&amp;TRIM(TEXTSPLIT(IO200,","))&amp;",",","&amp;SUBSTITUTE(input_topics," ","")&amp;",")))&gt;0)),IF(IQ200="",TRUE,IF(input_topics="",FALSE,SUMPRODUCT(--ISNUMBER(SEARCH(","&amp;TRIM(TEXTSPLIT(IQ200,","))&amp;",",","&amp;SUBSTITUTE(input_topics," ","")&amp;",")))=COUNTA(TEXTSPLIT(IQ200,",")))))</f>
        <v/>
      </c>
    </row>
    <row r="201">
      <c r="A201" s="24">
        <f>IF(NOT(IS201),"Excluded",IF(AND(IT201,IU201,IV201,IW201,IX201,IY201,IZ201,JA201,JB201,JC201,JD201,JE201,JF201,JG201,JH201,JI201,JJ201,JK201,JL201,JM201,JN201,JO201,JP201,JQ201),IF(I201&gt;0,"Eligible but limited","Will appear"),"Excluded"))</f>
        <v/>
      </c>
      <c r="B201" s="24" t="inlineStr">
        <is>
          <t>Related stories on story pages</t>
        </is>
      </c>
      <c r="C201" s="27" t="inlineStr">
        <is>
          <t>/story/2024/friendsgiving-photos</t>
        </is>
      </c>
      <c r="D201" s="24" t="inlineStr">
        <is>
          <t>/story/2024/friendsgiving-photos
/story/2024/photos-yale-soms-annual-winter-stroll
/story/2025/friendsgiving-photos</t>
        </is>
      </c>
      <c r="E201" s="24" t="n">
        <v>5</v>
      </c>
      <c r="F201" s="24" t="inlineStr">
        <is>
          <t>story</t>
        </is>
      </c>
      <c r="G201" s="24" t="inlineStr">
        <is>
          <t>stories_teaser_cards</t>
        </is>
      </c>
      <c r="H201" s="24" t="inlineStr">
        <is>
          <t>embed_all</t>
        </is>
      </c>
      <c r="I201" s="24" t="n">
        <v>3</v>
      </c>
      <c r="J201" s="31" t="inlineStr">
        <is>
          <t>Template logic</t>
        </is>
      </c>
      <c r="K201" s="24" t="inlineStr">
        <is>
          <t>Grouped surface</t>
        </is>
      </c>
      <c r="L201" s="24" t="inlineStr">
        <is>
          <t>Content type: story; Context uses Courses Context: Residential master's programs (1571); Context uses Story Type: Blog (974); Limited to 3 item(s); Source: Template logic</t>
        </is>
      </c>
      <c r="BQ201" s="19" t="inlineStr">
        <is>
          <t>1571</t>
        </is>
      </c>
      <c r="BR201" s="19" t="inlineStr">
        <is>
          <t>Residential master's programs (1571)</t>
        </is>
      </c>
      <c r="IE201" s="19" t="inlineStr">
        <is>
          <t>974</t>
        </is>
      </c>
      <c r="IF201" s="19" t="inlineStr">
        <is>
          <t>Blog (974)</t>
        </is>
      </c>
      <c r="IS201" s="19">
        <f>IF(input_content_type="",FALSE,ISNUMBER(SEARCH(","&amp;LOWER(input_content_type)&amp;",",","&amp;LOWER(SUBSTITUTE(F201," ",""))&amp;",")))</f>
        <v/>
      </c>
      <c r="IT201" s="19">
        <f>AND(IF(M201="",TRUE,IF(input_affiliations="",FALSE,SUMPRODUCT(--ISNUMBER(SEARCH(","&amp;TRIM(TEXTSPLIT(M201,","))&amp;",",","&amp;SUBSTITUTE(input_affiliations," ","")&amp;",")))&gt;0)),IF(O201="",TRUE,IF(input_affiliations="",FALSE,SUMPRODUCT(--ISNUMBER(SEARCH(","&amp;TRIM(TEXTSPLIT(O201,","))&amp;",",","&amp;SUBSTITUTE(input_affiliations," ","")&amp;",")))=COUNTA(TEXTSPLIT(O201,",")))),IF(Q201="",TRUE,IF(input_affiliations="",TRUE,SUMPRODUCT(--ISNUMBER(SEARCH(","&amp;TRIM(TEXTSPLIT(Q201,","))&amp;",",","&amp;SUBSTITUTE(input_affiliations," ","")&amp;",")))=0)),IF(S201="",TRUE,IF(input_affiliations="",FALSE,SUMPRODUCT(--ISNUMBER(SEARCH(","&amp;TRIM(TEXTSPLIT(S201,","))&amp;",",","&amp;SUBSTITUTE(input_affiliations," ","")&amp;",")))&gt;0)),IF(U201="",TRUE,IF(input_affiliations="",FALSE,SUMPRODUCT(--ISNUMBER(SEARCH(","&amp;TRIM(TEXTSPLIT(U201,","))&amp;",",","&amp;SUBSTITUTE(input_affiliations," ","")&amp;",")))=COUNTA(TEXTSPLIT(U201,",")))))</f>
        <v/>
      </c>
      <c r="IU201" s="19">
        <f>AND(IF(W201="",TRUE,IF(input_announcement_category="",FALSE,SUMPRODUCT(--ISNUMBER(SEARCH(","&amp;TRIM(TEXTSPLIT(W201,","))&amp;",",","&amp;SUBSTITUTE(input_announcement_category," ","")&amp;",")))&gt;0)),IF(Y201="",TRUE,IF(input_announcement_category="",FALSE,SUMPRODUCT(--ISNUMBER(SEARCH(","&amp;TRIM(TEXTSPLIT(Y201,","))&amp;",",","&amp;SUBSTITUTE(input_announcement_category," ","")&amp;",")))=COUNTA(TEXTSPLIT(Y201,",")))),IF(AA201="",TRUE,IF(input_announcement_category="",TRUE,SUMPRODUCT(--ISNUMBER(SEARCH(","&amp;TRIM(TEXTSPLIT(AA201,","))&amp;",",","&amp;SUBSTITUTE(input_announcement_category," ","")&amp;",")))=0)),IF(AC201="",TRUE,IF(input_announcement_category="",FALSE,SUMPRODUCT(--ISNUMBER(SEARCH(","&amp;TRIM(TEXTSPLIT(AC201,","))&amp;",",","&amp;SUBSTITUTE(input_announcement_category," ","")&amp;",")))&gt;0)),IF(AE201="",TRUE,IF(input_announcement_category="",FALSE,SUMPRODUCT(--ISNUMBER(SEARCH(","&amp;TRIM(TEXTSPLIT(AE201,","))&amp;",",","&amp;SUBSTITUTE(input_announcement_category," ","")&amp;",")))=COUNTA(TEXTSPLIT(AE201,",")))))</f>
        <v/>
      </c>
      <c r="IV201" s="19">
        <f>AND(IF(AG201="",TRUE,IF(input_area_of_focus="",FALSE,SUMPRODUCT(--ISNUMBER(SEARCH(","&amp;TRIM(TEXTSPLIT(AG201,","))&amp;",",","&amp;SUBSTITUTE(input_area_of_focus," ","")&amp;",")))&gt;0)),IF(AI201="",TRUE,IF(input_area_of_focus="",FALSE,SUMPRODUCT(--ISNUMBER(SEARCH(","&amp;TRIM(TEXTSPLIT(AI201,","))&amp;",",","&amp;SUBSTITUTE(input_area_of_focus," ","")&amp;",")))=COUNTA(TEXTSPLIT(AI201,",")))),IF(AK201="",TRUE,IF(input_area_of_focus="",TRUE,SUMPRODUCT(--ISNUMBER(SEARCH(","&amp;TRIM(TEXTSPLIT(AK201,","))&amp;",",","&amp;SUBSTITUTE(input_area_of_focus," ","")&amp;",")))=0)),IF(AM201="",TRUE,IF(input_area_of_focus="",FALSE,SUMPRODUCT(--ISNUMBER(SEARCH(","&amp;TRIM(TEXTSPLIT(AM201,","))&amp;",",","&amp;SUBSTITUTE(input_area_of_focus," ","")&amp;",")))&gt;0)),IF(AO201="",TRUE,IF(input_area_of_focus="",FALSE,SUMPRODUCT(--ISNUMBER(SEARCH(","&amp;TRIM(TEXTSPLIT(AO201,","))&amp;",",","&amp;SUBSTITUTE(input_area_of_focus," ","")&amp;",")))=COUNTA(TEXTSPLIT(AO201,",")))))</f>
        <v/>
      </c>
      <c r="IW201" s="19">
        <f>AND(IF(AQ201="",TRUE,IF(input_audience="",FALSE,SUMPRODUCT(--ISNUMBER(SEARCH(","&amp;TRIM(TEXTSPLIT(AQ201,","))&amp;",",","&amp;SUBSTITUTE(input_audience," ","")&amp;",")))&gt;0)),IF(AS201="",TRUE,IF(input_audience="",FALSE,SUMPRODUCT(--ISNUMBER(SEARCH(","&amp;TRIM(TEXTSPLIT(AS201,","))&amp;",",","&amp;SUBSTITUTE(input_audience," ","")&amp;",")))=COUNTA(TEXTSPLIT(AS201,",")))),IF(AU201="",TRUE,IF(input_audience="",TRUE,SUMPRODUCT(--ISNUMBER(SEARCH(","&amp;TRIM(TEXTSPLIT(AU201,","))&amp;",",","&amp;SUBSTITUTE(input_audience," ","")&amp;",")))=0)),IF(AW201="",TRUE,IF(input_audience="",FALSE,SUMPRODUCT(--ISNUMBER(SEARCH(","&amp;TRIM(TEXTSPLIT(AW201,","))&amp;",",","&amp;SUBSTITUTE(input_audience," ","")&amp;",")))&gt;0)),IF(AY201="",TRUE,IF(input_audience="",FALSE,SUMPRODUCT(--ISNUMBER(SEARCH(","&amp;TRIM(TEXTSPLIT(AY201,","))&amp;",",","&amp;SUBSTITUTE(input_audience," ","")&amp;",")))=COUNTA(TEXTSPLIT(AY201,",")))))</f>
        <v/>
      </c>
      <c r="IX201" s="19">
        <f>AND(IF(BA201="",TRUE,IF(input_challenge_opportunities="",FALSE,SUMPRODUCT(--ISNUMBER(SEARCH(","&amp;TRIM(TEXTSPLIT(BA201,","))&amp;",",","&amp;SUBSTITUTE(input_challenge_opportunities," ","")&amp;",")))&gt;0)),IF(BC201="",TRUE,IF(input_challenge_opportunities="",FALSE,SUMPRODUCT(--ISNUMBER(SEARCH(","&amp;TRIM(TEXTSPLIT(BC201,","))&amp;",",","&amp;SUBSTITUTE(input_challenge_opportunities," ","")&amp;",")))=COUNTA(TEXTSPLIT(BC201,",")))),IF(BE201="",TRUE,IF(input_challenge_opportunities="",TRUE,SUMPRODUCT(--ISNUMBER(SEARCH(","&amp;TRIM(TEXTSPLIT(BE201,","))&amp;",",","&amp;SUBSTITUTE(input_challenge_opportunities," ","")&amp;",")))=0)),IF(BG201="",TRUE,IF(input_challenge_opportunities="",FALSE,SUMPRODUCT(--ISNUMBER(SEARCH(","&amp;TRIM(TEXTSPLIT(BG201,","))&amp;",",","&amp;SUBSTITUTE(input_challenge_opportunities," ","")&amp;",")))&gt;0)),IF(BI201="",TRUE,IF(input_challenge_opportunities="",FALSE,SUMPRODUCT(--ISNUMBER(SEARCH(","&amp;TRIM(TEXTSPLIT(BI201,","))&amp;",",","&amp;SUBSTITUTE(input_challenge_opportunities," ","")&amp;",")))=COUNTA(TEXTSPLIT(BI201,",")))))</f>
        <v/>
      </c>
      <c r="IY201" s="19">
        <f>AND(IF(BK201="",TRUE,IF(input_context="",FALSE,SUMPRODUCT(--ISNUMBER(SEARCH(","&amp;TRIM(TEXTSPLIT(BK201,","))&amp;",",","&amp;SUBSTITUTE(input_context," ","")&amp;",")))&gt;0)),IF(BM201="",TRUE,IF(input_context="",FALSE,SUMPRODUCT(--ISNUMBER(SEARCH(","&amp;TRIM(TEXTSPLIT(BM201,","))&amp;",",","&amp;SUBSTITUTE(input_context," ","")&amp;",")))=COUNTA(TEXTSPLIT(BM201,",")))),IF(BO201="",TRUE,IF(input_context="",TRUE,SUMPRODUCT(--ISNUMBER(SEARCH(","&amp;TRIM(TEXTSPLIT(BO201,","))&amp;",",","&amp;SUBSTITUTE(input_context," ","")&amp;",")))=0)),IF(BQ201="",TRUE,IF(input_context="",FALSE,SUMPRODUCT(--ISNUMBER(SEARCH(","&amp;TRIM(TEXTSPLIT(BQ201,","))&amp;",",","&amp;SUBSTITUTE(input_context," ","")&amp;",")))&gt;0)),IF(BS201="",TRUE,IF(input_context="",FALSE,SUMPRODUCT(--ISNUMBER(SEARCH(","&amp;TRIM(TEXTSPLIT(BS201,","))&amp;",",","&amp;SUBSTITUTE(input_context," ","")&amp;",")))=COUNTA(TEXTSPLIT(BS201,",")))))</f>
        <v/>
      </c>
      <c r="IZ201" s="19">
        <f>AND(IF(BU201="",TRUE,IF(input_enews_announcement_type="",FALSE,SUMPRODUCT(--ISNUMBER(SEARCH(","&amp;TRIM(TEXTSPLIT(BU201,","))&amp;",",","&amp;SUBSTITUTE(input_enews_announcement_type," ","")&amp;",")))&gt;0)),IF(BW201="",TRUE,IF(input_enews_announcement_type="",FALSE,SUMPRODUCT(--ISNUMBER(SEARCH(","&amp;TRIM(TEXTSPLIT(BW201,","))&amp;",",","&amp;SUBSTITUTE(input_enews_announcement_type," ","")&amp;",")))=COUNTA(TEXTSPLIT(BW201,",")))),IF(BY201="",TRUE,IF(input_enews_announcement_type="",TRUE,SUMPRODUCT(--ISNUMBER(SEARCH(","&amp;TRIM(TEXTSPLIT(BY201,","))&amp;",",","&amp;SUBSTITUTE(input_enews_announcement_type," ","")&amp;",")))=0)),IF(CA201="",TRUE,IF(input_enews_announcement_type="",FALSE,SUMPRODUCT(--ISNUMBER(SEARCH(","&amp;TRIM(TEXTSPLIT(CA201,","))&amp;",",","&amp;SUBSTITUTE(input_enews_announcement_type," ","")&amp;",")))&gt;0)),IF(CC201="",TRUE,IF(input_enews_announcement_type="",FALSE,SUMPRODUCT(--ISNUMBER(SEARCH(","&amp;TRIM(TEXTSPLIT(CC201,","))&amp;",",","&amp;SUBSTITUTE(input_enews_announcement_type," ","")&amp;",")))=COUNTA(TEXTSPLIT(CC201,",")))))</f>
        <v/>
      </c>
      <c r="JA201" s="19">
        <f>AND(IF(CE201="",TRUE,IF(input_enews_audience="",FALSE,SUMPRODUCT(--ISNUMBER(SEARCH(","&amp;TRIM(TEXTSPLIT(CE201,","))&amp;",",","&amp;SUBSTITUTE(input_enews_audience," ","")&amp;",")))&gt;0)),IF(CG201="",TRUE,IF(input_enews_audience="",FALSE,SUMPRODUCT(--ISNUMBER(SEARCH(","&amp;TRIM(TEXTSPLIT(CG201,","))&amp;",",","&amp;SUBSTITUTE(input_enews_audience," ","")&amp;",")))=COUNTA(TEXTSPLIT(CG201,",")))),IF(CI201="",TRUE,IF(input_enews_audience="",TRUE,SUMPRODUCT(--ISNUMBER(SEARCH(","&amp;TRIM(TEXTSPLIT(CI201,","))&amp;",",","&amp;SUBSTITUTE(input_enews_audience," ","")&amp;",")))=0)),IF(CK201="",TRUE,IF(input_enews_audience="",FALSE,SUMPRODUCT(--ISNUMBER(SEARCH(","&amp;TRIM(TEXTSPLIT(CK201,","))&amp;",",","&amp;SUBSTITUTE(input_enews_audience," ","")&amp;",")))&gt;0)),IF(CM201="",TRUE,IF(input_enews_audience="",FALSE,SUMPRODUCT(--ISNUMBER(SEARCH(","&amp;TRIM(TEXTSPLIT(CM201,","))&amp;",",","&amp;SUBSTITUTE(input_enews_audience," ","")&amp;",")))=COUNTA(TEXTSPLIT(CM201,",")))))</f>
        <v/>
      </c>
      <c r="JB201" s="19">
        <f>AND(IF(CO201="",TRUE,IF(input_event_location="",FALSE,SUMPRODUCT(--ISNUMBER(SEARCH(","&amp;TRIM(TEXTSPLIT(CO201,","))&amp;",",","&amp;SUBSTITUTE(input_event_location," ","")&amp;",")))&gt;0)),IF(CQ201="",TRUE,IF(input_event_location="",FALSE,SUMPRODUCT(--ISNUMBER(SEARCH(","&amp;TRIM(TEXTSPLIT(CQ201,","))&amp;",",","&amp;SUBSTITUTE(input_event_location," ","")&amp;",")))=COUNTA(TEXTSPLIT(CQ201,",")))),IF(CS201="",TRUE,IF(input_event_location="",TRUE,SUMPRODUCT(--ISNUMBER(SEARCH(","&amp;TRIM(TEXTSPLIT(CS201,","))&amp;",",","&amp;SUBSTITUTE(input_event_location," ","")&amp;",")))=0)),IF(CU201="",TRUE,IF(input_event_location="",FALSE,SUMPRODUCT(--ISNUMBER(SEARCH(","&amp;TRIM(TEXTSPLIT(CU201,","))&amp;",",","&amp;SUBSTITUTE(input_event_location," ","")&amp;",")))&gt;0)),IF(CW201="",TRUE,IF(input_event_location="",FALSE,SUMPRODUCT(--ISNUMBER(SEARCH(","&amp;TRIM(TEXTSPLIT(CW201,","))&amp;",",","&amp;SUBSTITUTE(input_event_location," ","")&amp;",")))=COUNTA(TEXTSPLIT(CW201,",")))))</f>
        <v/>
      </c>
      <c r="JC201" s="19">
        <f>AND(IF(CY201="",TRUE,IF(input_event_type="",FALSE,SUMPRODUCT(--ISNUMBER(SEARCH(","&amp;TRIM(TEXTSPLIT(CY201,","))&amp;",",","&amp;SUBSTITUTE(input_event_type," ","")&amp;",")))&gt;0)),IF(DA201="",TRUE,IF(input_event_type="",FALSE,SUMPRODUCT(--ISNUMBER(SEARCH(","&amp;TRIM(TEXTSPLIT(DA201,","))&amp;",",","&amp;SUBSTITUTE(input_event_type," ","")&amp;",")))=COUNTA(TEXTSPLIT(DA201,",")))),IF(DC201="",TRUE,IF(input_event_type="",TRUE,SUMPRODUCT(--ISNUMBER(SEARCH(","&amp;TRIM(TEXTSPLIT(DC201,","))&amp;",",","&amp;SUBSTITUTE(input_event_type," ","")&amp;",")))=0)),IF(DE201="",TRUE,IF(input_event_type="",FALSE,SUMPRODUCT(--ISNUMBER(SEARCH(","&amp;TRIM(TEXTSPLIT(DE201,","))&amp;",",","&amp;SUBSTITUTE(input_event_type," ","")&amp;",")))&gt;0)),IF(DG201="",TRUE,IF(input_event_type="",FALSE,SUMPRODUCT(--ISNUMBER(SEARCH(","&amp;TRIM(TEXTSPLIT(DG201,","))&amp;",",","&amp;SUBSTITUTE(input_event_type," ","")&amp;",")))=COUNTA(TEXTSPLIT(DG201,",")))))</f>
        <v/>
      </c>
      <c r="JD201" s="19">
        <f>AND(IF(DI201="",TRUE,IF(input_executive_education_focus="",FALSE,SUMPRODUCT(--ISNUMBER(SEARCH(","&amp;TRIM(TEXTSPLIT(DI201,","))&amp;",",","&amp;SUBSTITUTE(input_executive_education_focus," ","")&amp;",")))&gt;0)),IF(DK201="",TRUE,IF(input_executive_education_focus="",FALSE,SUMPRODUCT(--ISNUMBER(SEARCH(","&amp;TRIM(TEXTSPLIT(DK201,","))&amp;",",","&amp;SUBSTITUTE(input_executive_education_focus," ","")&amp;",")))=COUNTA(TEXTSPLIT(DK201,",")))),IF(DM201="",TRUE,IF(input_executive_education_focus="",TRUE,SUMPRODUCT(--ISNUMBER(SEARCH(","&amp;TRIM(TEXTSPLIT(DM201,","))&amp;",",","&amp;SUBSTITUTE(input_executive_education_focus," ","")&amp;",")))=0)),IF(DO201="",TRUE,IF(input_executive_education_focus="",FALSE,SUMPRODUCT(--ISNUMBER(SEARCH(","&amp;TRIM(TEXTSPLIT(DO201,","))&amp;",",","&amp;SUBSTITUTE(input_executive_education_focus," ","")&amp;",")))&gt;0)),IF(DQ201="",TRUE,IF(input_executive_education_focus="",FALSE,SUMPRODUCT(--ISNUMBER(SEARCH(","&amp;TRIM(TEXTSPLIT(DQ201,","))&amp;",",","&amp;SUBSTITUTE(input_executive_education_focus," ","")&amp;",")))=COUNTA(TEXTSPLIT(DQ201,",")))))</f>
        <v/>
      </c>
      <c r="JE201" s="19">
        <f>AND(IF(DS201="",TRUE,IF(input_faculty_category="",FALSE,SUMPRODUCT(--ISNUMBER(SEARCH(","&amp;TRIM(TEXTSPLIT(DS201,","))&amp;",",","&amp;SUBSTITUTE(input_faculty_category," ","")&amp;",")))&gt;0)),IF(DU201="",TRUE,IF(input_faculty_category="",FALSE,SUMPRODUCT(--ISNUMBER(SEARCH(","&amp;TRIM(TEXTSPLIT(DU201,","))&amp;",",","&amp;SUBSTITUTE(input_faculty_category," ","")&amp;",")))=COUNTA(TEXTSPLIT(DU201,",")))),IF(DW201="",TRUE,IF(input_faculty_category="",TRUE,SUMPRODUCT(--ISNUMBER(SEARCH(","&amp;TRIM(TEXTSPLIT(DW201,","))&amp;",",","&amp;SUBSTITUTE(input_faculty_category," ","")&amp;",")))=0)),IF(DY201="",TRUE,IF(input_faculty_category="",FALSE,SUMPRODUCT(--ISNUMBER(SEARCH(","&amp;TRIM(TEXTSPLIT(DY201,","))&amp;",",","&amp;SUBSTITUTE(input_faculty_category," ","")&amp;",")))&gt;0)),IF(EA201="",TRUE,IF(input_faculty_category="",FALSE,SUMPRODUCT(--ISNUMBER(SEARCH(","&amp;TRIM(TEXTSPLIT(EA201,","))&amp;",",","&amp;SUBSTITUTE(input_faculty_category," ","")&amp;",")))=COUNTA(TEXTSPLIT(EA201,",")))))</f>
        <v/>
      </c>
      <c r="JF201" s="19">
        <f>AND(IF(EC201="",TRUE,IF(input_faculty_discipline="",FALSE,SUMPRODUCT(--ISNUMBER(SEARCH(","&amp;TRIM(TEXTSPLIT(EC201,","))&amp;",",","&amp;SUBSTITUTE(input_faculty_discipline," ","")&amp;",")))&gt;0)),IF(EE201="",TRUE,IF(input_faculty_discipline="",FALSE,SUMPRODUCT(--ISNUMBER(SEARCH(","&amp;TRIM(TEXTSPLIT(EE201,","))&amp;",",","&amp;SUBSTITUTE(input_faculty_discipline," ","")&amp;",")))=COUNTA(TEXTSPLIT(EE201,",")))),IF(EG201="",TRUE,IF(input_faculty_discipline="",TRUE,SUMPRODUCT(--ISNUMBER(SEARCH(","&amp;TRIM(TEXTSPLIT(EG201,","))&amp;",",","&amp;SUBSTITUTE(input_faculty_discipline," ","")&amp;",")))=0)),IF(EI201="",TRUE,IF(input_faculty_discipline="",FALSE,SUMPRODUCT(--ISNUMBER(SEARCH(","&amp;TRIM(TEXTSPLIT(EI201,","))&amp;",",","&amp;SUBSTITUTE(input_faculty_discipline," ","")&amp;",")))&gt;0)),IF(EK201="",TRUE,IF(input_faculty_discipline="",FALSE,SUMPRODUCT(--ISNUMBER(SEARCH(","&amp;TRIM(TEXTSPLIT(EK201,","))&amp;",",","&amp;SUBSTITUTE(input_faculty_discipline," ","")&amp;",")))=COUNTA(TEXTSPLIT(EK201,",")))))</f>
        <v/>
      </c>
      <c r="JG201" s="19">
        <f>AND(IF(EM201="",TRUE,IF(input_faculty_expertise="",FALSE,SUMPRODUCT(--ISNUMBER(SEARCH(","&amp;TRIM(TEXTSPLIT(EM201,","))&amp;",",","&amp;SUBSTITUTE(input_faculty_expertise," ","")&amp;",")))&gt;0)),IF(EO201="",TRUE,IF(input_faculty_expertise="",FALSE,SUMPRODUCT(--ISNUMBER(SEARCH(","&amp;TRIM(TEXTSPLIT(EO201,","))&amp;",",","&amp;SUBSTITUTE(input_faculty_expertise," ","")&amp;",")))=COUNTA(TEXTSPLIT(EO201,",")))),IF(EQ201="",TRUE,IF(input_faculty_expertise="",TRUE,SUMPRODUCT(--ISNUMBER(SEARCH(","&amp;TRIM(TEXTSPLIT(EQ201,","))&amp;",",","&amp;SUBSTITUTE(input_faculty_expertise," ","")&amp;",")))=0)),IF(ES201="",TRUE,IF(input_faculty_expertise="",FALSE,SUMPRODUCT(--ISNUMBER(SEARCH(","&amp;TRIM(TEXTSPLIT(ES201,","))&amp;",",","&amp;SUBSTITUTE(input_faculty_expertise," ","")&amp;",")))&gt;0)),IF(EU201="",TRUE,IF(input_faculty_expertise="",FALSE,SUMPRODUCT(--ISNUMBER(SEARCH(","&amp;TRIM(TEXTSPLIT(EU201,","))&amp;",",","&amp;SUBSTITUTE(input_faculty_expertise," ","")&amp;",")))=COUNTA(TEXTSPLIT(EU201,",")))))</f>
        <v/>
      </c>
      <c r="JH201" s="19">
        <f>AND(IF(EW201="",TRUE,IF(input_global_network_school="",FALSE,SUMPRODUCT(--ISNUMBER(SEARCH(","&amp;TRIM(TEXTSPLIT(EW201,","))&amp;",",","&amp;SUBSTITUTE(input_global_network_school," ","")&amp;",")))&gt;0)),IF(EY201="",TRUE,IF(input_global_network_school="",FALSE,SUMPRODUCT(--ISNUMBER(SEARCH(","&amp;TRIM(TEXTSPLIT(EY201,","))&amp;",",","&amp;SUBSTITUTE(input_global_network_school," ","")&amp;",")))=COUNTA(TEXTSPLIT(EY201,",")))),IF(FA201="",TRUE,IF(input_global_network_school="",TRUE,SUMPRODUCT(--ISNUMBER(SEARCH(","&amp;TRIM(TEXTSPLIT(FA201,","))&amp;",",","&amp;SUBSTITUTE(input_global_network_school," ","")&amp;",")))=0)),IF(FC201="",TRUE,IF(input_global_network_school="",FALSE,SUMPRODUCT(--ISNUMBER(SEARCH(","&amp;TRIM(TEXTSPLIT(FC201,","))&amp;",",","&amp;SUBSTITUTE(input_global_network_school," ","")&amp;",")))&gt;0)),IF(FE201="",TRUE,IF(input_global_network_school="",FALSE,SUMPRODUCT(--ISNUMBER(SEARCH(","&amp;TRIM(TEXTSPLIT(FE201,","))&amp;",",","&amp;SUBSTITUTE(input_global_network_school," ","")&amp;",")))=COUNTA(TEXTSPLIT(FE201,",")))))</f>
        <v/>
      </c>
      <c r="JI201" s="19">
        <f>AND(IF(FG201="",TRUE,IF(input_industry="",FALSE,SUMPRODUCT(--ISNUMBER(SEARCH(","&amp;TRIM(TEXTSPLIT(FG201,","))&amp;",",","&amp;SUBSTITUTE(input_industry," ","")&amp;",")))&gt;0)),IF(FI201="",TRUE,IF(input_industry="",FALSE,SUMPRODUCT(--ISNUMBER(SEARCH(","&amp;TRIM(TEXTSPLIT(FI201,","))&amp;",",","&amp;SUBSTITUTE(input_industry," ","")&amp;",")))=COUNTA(TEXTSPLIT(FI201,",")))),IF(FK201="",TRUE,IF(input_industry="",TRUE,SUMPRODUCT(--ISNUMBER(SEARCH(","&amp;TRIM(TEXTSPLIT(FK201,","))&amp;",",","&amp;SUBSTITUTE(input_industry," ","")&amp;",")))=0)),IF(FM201="",TRUE,IF(input_industry="",FALSE,SUMPRODUCT(--ISNUMBER(SEARCH(","&amp;TRIM(TEXTSPLIT(FM201,","))&amp;",",","&amp;SUBSTITUTE(input_industry," ","")&amp;",")))&gt;0)),IF(FO201="",TRUE,IF(input_industry="",FALSE,SUMPRODUCT(--ISNUMBER(SEARCH(","&amp;TRIM(TEXTSPLIT(FO201,","))&amp;",",","&amp;SUBSTITUTE(input_industry," ","")&amp;",")))=COUNTA(TEXTSPLIT(FO201,",")))))</f>
        <v/>
      </c>
      <c r="JJ201" s="19">
        <f>AND(IF(FQ201="",TRUE,IF(input_location="",FALSE,SUMPRODUCT(--ISNUMBER(SEARCH(","&amp;TRIM(TEXTSPLIT(FQ201,","))&amp;",",","&amp;SUBSTITUTE(input_location," ","")&amp;",")))&gt;0)),IF(FS201="",TRUE,IF(input_location="",FALSE,SUMPRODUCT(--ISNUMBER(SEARCH(","&amp;TRIM(TEXTSPLIT(FS201,","))&amp;",",","&amp;SUBSTITUTE(input_location," ","")&amp;",")))=COUNTA(TEXTSPLIT(FS201,",")))),IF(FU201="",TRUE,IF(input_location="",TRUE,SUMPRODUCT(--ISNUMBER(SEARCH(","&amp;TRIM(TEXTSPLIT(FU201,","))&amp;",",","&amp;SUBSTITUTE(input_location," ","")&amp;",")))=0)),IF(FW201="",TRUE,IF(input_location="",FALSE,SUMPRODUCT(--ISNUMBER(SEARCH(","&amp;TRIM(TEXTSPLIT(FW201,","))&amp;",",","&amp;SUBSTITUTE(input_location," ","")&amp;",")))&gt;0)),IF(FY201="",TRUE,IF(input_location="",FALSE,SUMPRODUCT(--ISNUMBER(SEARCH(","&amp;TRIM(TEXTSPLIT(FY201,","))&amp;",",","&amp;SUBSTITUTE(input_location," ","")&amp;",")))=COUNTA(TEXTSPLIT(FY201,",")))))</f>
        <v/>
      </c>
      <c r="JK201" s="19">
        <f>AND(IF(GA201="",TRUE,IF(input_modality="",FALSE,SUMPRODUCT(--ISNUMBER(SEARCH(","&amp;TRIM(TEXTSPLIT(GA201,","))&amp;",",","&amp;SUBSTITUTE(input_modality," ","")&amp;",")))&gt;0)),IF(GC201="",TRUE,IF(input_modality="",FALSE,SUMPRODUCT(--ISNUMBER(SEARCH(","&amp;TRIM(TEXTSPLIT(GC201,","))&amp;",",","&amp;SUBSTITUTE(input_modality," ","")&amp;",")))=COUNTA(TEXTSPLIT(GC201,",")))),IF(GE201="",TRUE,IF(input_modality="",TRUE,SUMPRODUCT(--ISNUMBER(SEARCH(","&amp;TRIM(TEXTSPLIT(GE201,","))&amp;",",","&amp;SUBSTITUTE(input_modality," ","")&amp;",")))=0)),IF(GG201="",TRUE,IF(input_modality="",FALSE,SUMPRODUCT(--ISNUMBER(SEARCH(","&amp;TRIM(TEXTSPLIT(GG201,","))&amp;",",","&amp;SUBSTITUTE(input_modality," ","")&amp;",")))&gt;0)),IF(GI201="",TRUE,IF(input_modality="",FALSE,SUMPRODUCT(--ISNUMBER(SEARCH(","&amp;TRIM(TEXTSPLIT(GI201,","))&amp;",",","&amp;SUBSTITUTE(input_modality," ","")&amp;",")))=COUNTA(TEXTSPLIT(GI201,",")))))</f>
        <v/>
      </c>
      <c r="JL201" s="19">
        <f>AND(IF(GK201="",TRUE,IF(input_organizer="",FALSE,SUMPRODUCT(--ISNUMBER(SEARCH(","&amp;TRIM(TEXTSPLIT(GK201,","))&amp;",",","&amp;SUBSTITUTE(input_organizer," ","")&amp;",")))&gt;0)),IF(GM201="",TRUE,IF(input_organizer="",FALSE,SUMPRODUCT(--ISNUMBER(SEARCH(","&amp;TRIM(TEXTSPLIT(GM201,","))&amp;",",","&amp;SUBSTITUTE(input_organizer," ","")&amp;",")))=COUNTA(TEXTSPLIT(GM201,",")))),IF(GO201="",TRUE,IF(input_organizer="",TRUE,SUMPRODUCT(--ISNUMBER(SEARCH(","&amp;TRIM(TEXTSPLIT(GO201,","))&amp;",",","&amp;SUBSTITUTE(input_organizer," ","")&amp;",")))=0)),IF(GQ201="",TRUE,IF(input_organizer="",FALSE,SUMPRODUCT(--ISNUMBER(SEARCH(","&amp;TRIM(TEXTSPLIT(GQ201,","))&amp;",",","&amp;SUBSTITUTE(input_organizer," ","")&amp;",")))&gt;0)),IF(GS201="",TRUE,IF(input_organizer="",FALSE,SUMPRODUCT(--ISNUMBER(SEARCH(","&amp;TRIM(TEXTSPLIT(GS201,","))&amp;",",","&amp;SUBSTITUTE(input_organizer," ","")&amp;",")))=COUNTA(TEXTSPLIT(GS201,",")))))</f>
        <v/>
      </c>
      <c r="JM201" s="19">
        <f>AND(IF(GU201="",TRUE,IF(input_profile_type="",FALSE,SUMPRODUCT(--ISNUMBER(SEARCH(","&amp;TRIM(TEXTSPLIT(GU201,","))&amp;",",","&amp;SUBSTITUTE(input_profile_type," ","")&amp;",")))&gt;0)),IF(GW201="",TRUE,IF(input_profile_type="",FALSE,SUMPRODUCT(--ISNUMBER(SEARCH(","&amp;TRIM(TEXTSPLIT(GW201,","))&amp;",",","&amp;SUBSTITUTE(input_profile_type," ","")&amp;",")))=COUNTA(TEXTSPLIT(GW201,",")))),IF(GY201="",TRUE,IF(input_profile_type="",TRUE,SUMPRODUCT(--ISNUMBER(SEARCH(","&amp;TRIM(TEXTSPLIT(GY201,","))&amp;",",","&amp;SUBSTITUTE(input_profile_type," ","")&amp;",")))=0)),IF(HA201="",TRUE,IF(input_profile_type="",FALSE,SUMPRODUCT(--ISNUMBER(SEARCH(","&amp;TRIM(TEXTSPLIT(HA201,","))&amp;",",","&amp;SUBSTITUTE(input_profile_type," ","")&amp;",")))&gt;0)),IF(HC201="",TRUE,IF(input_profile_type="",FALSE,SUMPRODUCT(--ISNUMBER(SEARCH(","&amp;TRIM(TEXTSPLIT(HC201,","))&amp;",",","&amp;SUBSTITUTE(input_profile_type," ","")&amp;",")))=COUNTA(TEXTSPLIT(HC201,",")))))</f>
        <v/>
      </c>
      <c r="JN201" s="19">
        <f>AND(IF(HE201="",TRUE,IF(input_program="",FALSE,SUMPRODUCT(--ISNUMBER(SEARCH(","&amp;TRIM(TEXTSPLIT(HE201,","))&amp;",",","&amp;SUBSTITUTE(input_program," ","")&amp;",")))&gt;0)),IF(HG201="",TRUE,IF(input_program="",FALSE,SUMPRODUCT(--ISNUMBER(SEARCH(","&amp;TRIM(TEXTSPLIT(HG201,","))&amp;",",","&amp;SUBSTITUTE(input_program," ","")&amp;",")))=COUNTA(TEXTSPLIT(HG201,",")))),IF(HI201="",TRUE,IF(input_program="",TRUE,SUMPRODUCT(--ISNUMBER(SEARCH(","&amp;TRIM(TEXTSPLIT(HI201,","))&amp;",",","&amp;SUBSTITUTE(input_program," ","")&amp;",")))=0)),IF(HK201="",TRUE,IF(input_program="",FALSE,SUMPRODUCT(--ISNUMBER(SEARCH(","&amp;TRIM(TEXTSPLIT(HK201,","))&amp;",",","&amp;SUBSTITUTE(input_program," ","")&amp;",")))&gt;0)),IF(HM201="",TRUE,IF(input_program="",FALSE,SUMPRODUCT(--ISNUMBER(SEARCH(","&amp;TRIM(TEXTSPLIT(HM201,","))&amp;",",","&amp;SUBSTITUTE(input_program," ","")&amp;",")))=COUNTA(TEXTSPLIT(HM201,",")))))</f>
        <v/>
      </c>
      <c r="JO201" s="19">
        <f>AND(IF(HO201="",TRUE,IF(input_story_categories="",FALSE,SUMPRODUCT(--ISNUMBER(SEARCH(","&amp;TRIM(TEXTSPLIT(HO201,","))&amp;",",","&amp;SUBSTITUTE(input_story_categories," ","")&amp;",")))&gt;0)),IF(HQ201="",TRUE,IF(input_story_categories="",FALSE,SUMPRODUCT(--ISNUMBER(SEARCH(","&amp;TRIM(TEXTSPLIT(HQ201,","))&amp;",",","&amp;SUBSTITUTE(input_story_categories," ","")&amp;",")))=COUNTA(TEXTSPLIT(HQ201,",")))),IF(HS201="",TRUE,IF(input_story_categories="",TRUE,SUMPRODUCT(--ISNUMBER(SEARCH(","&amp;TRIM(TEXTSPLIT(HS201,","))&amp;",",","&amp;SUBSTITUTE(input_story_categories," ","")&amp;",")))=0)),IF(HU201="",TRUE,IF(input_story_categories="",FALSE,SUMPRODUCT(--ISNUMBER(SEARCH(","&amp;TRIM(TEXTSPLIT(HU201,","))&amp;",",","&amp;SUBSTITUTE(input_story_categories," ","")&amp;",")))&gt;0)),IF(HW201="",TRUE,IF(input_story_categories="",FALSE,SUMPRODUCT(--ISNUMBER(SEARCH(","&amp;TRIM(TEXTSPLIT(HW201,","))&amp;",",","&amp;SUBSTITUTE(input_story_categories," ","")&amp;",")))=COUNTA(TEXTSPLIT(HW201,",")))))</f>
        <v/>
      </c>
      <c r="JP201" s="19">
        <f>AND(IF(HY201="",TRUE,IF(input_story_type="",FALSE,SUMPRODUCT(--ISNUMBER(SEARCH(","&amp;TRIM(TEXTSPLIT(HY201,","))&amp;",",","&amp;SUBSTITUTE(input_story_type," ","")&amp;",")))&gt;0)),IF(IA201="",TRUE,IF(input_story_type="",FALSE,SUMPRODUCT(--ISNUMBER(SEARCH(","&amp;TRIM(TEXTSPLIT(IA201,","))&amp;",",","&amp;SUBSTITUTE(input_story_type," ","")&amp;",")))=COUNTA(TEXTSPLIT(IA201,",")))),IF(IC201="",TRUE,IF(input_story_type="",TRUE,SUMPRODUCT(--ISNUMBER(SEARCH(","&amp;TRIM(TEXTSPLIT(IC201,","))&amp;",",","&amp;SUBSTITUTE(input_story_type," ","")&amp;",")))=0)),IF(IE201="",TRUE,IF(input_story_type="",FALSE,SUMPRODUCT(--ISNUMBER(SEARCH(","&amp;TRIM(TEXTSPLIT(IE201,","))&amp;",",","&amp;SUBSTITUTE(input_story_type," ","")&amp;",")))&gt;0)),IF(IG201="",TRUE,IF(input_story_type="",FALSE,SUMPRODUCT(--ISNUMBER(SEARCH(","&amp;TRIM(TEXTSPLIT(IG201,","))&amp;",",","&amp;SUBSTITUTE(input_story_type," ","")&amp;",")))=COUNTA(TEXTSPLIT(IG201,",")))))</f>
        <v/>
      </c>
      <c r="JQ201" s="19">
        <f>AND(IF(II201="",TRUE,IF(input_topics="",FALSE,SUMPRODUCT(--ISNUMBER(SEARCH(","&amp;TRIM(TEXTSPLIT(II201,","))&amp;",",","&amp;SUBSTITUTE(input_topics," ","")&amp;",")))&gt;0)),IF(IK201="",TRUE,IF(input_topics="",FALSE,SUMPRODUCT(--ISNUMBER(SEARCH(","&amp;TRIM(TEXTSPLIT(IK201,","))&amp;",",","&amp;SUBSTITUTE(input_topics," ","")&amp;",")))=COUNTA(TEXTSPLIT(IK201,",")))),IF(IM201="",TRUE,IF(input_topics="",TRUE,SUMPRODUCT(--ISNUMBER(SEARCH(","&amp;TRIM(TEXTSPLIT(IM201,","))&amp;",",","&amp;SUBSTITUTE(input_topics," ","")&amp;",")))=0)),IF(IO201="",TRUE,IF(input_topics="",FALSE,SUMPRODUCT(--ISNUMBER(SEARCH(","&amp;TRIM(TEXTSPLIT(IO201,","))&amp;",",","&amp;SUBSTITUTE(input_topics," ","")&amp;",")))&gt;0)),IF(IQ201="",TRUE,IF(input_topics="",FALSE,SUMPRODUCT(--ISNUMBER(SEARCH(","&amp;TRIM(TEXTSPLIT(IQ201,","))&amp;",",","&amp;SUBSTITUTE(input_topics," ","")&amp;",")))=COUNTA(TEXTSPLIT(IQ201,",")))))</f>
        <v/>
      </c>
    </row>
    <row r="202">
      <c r="A202" s="24">
        <f>IF(NOT(IS202),"Excluded",IF(AND(IT202,IU202,IV202,IW202,IX202,IY202,IZ202,JA202,JB202,JC202,JD202,JE202,JF202,JG202,JH202,JI202,JJ202,JK202,JL202,JM202,JN202,JO202,JP202,JQ202),IF(I202&gt;0,"Eligible but limited","Will appear"),"Excluded"))</f>
        <v/>
      </c>
      <c r="B202" s="24" t="inlineStr">
        <is>
          <t>Related stories on story pages</t>
        </is>
      </c>
      <c r="C202" s="27" t="inlineStr">
        <is>
          <t>/story/2025/admissions-committees-top-tips-masters-asset-management-applicants</t>
        </is>
      </c>
      <c r="D202" s="24" t="inlineStr">
        <is>
          <t>/story/2025/admissions-committees-top-tips-masters-asset-management-applicants
/story/2025/exploring-asset-management-and-global-leadership-greater-china
/story/2025/meet-masters-asset-management-class-2026</t>
        </is>
      </c>
      <c r="E202" s="24" t="n">
        <v>4</v>
      </c>
      <c r="F202" s="24" t="inlineStr">
        <is>
          <t>story</t>
        </is>
      </c>
      <c r="G202" s="24" t="inlineStr">
        <is>
          <t>stories_teaser_cards</t>
        </is>
      </c>
      <c r="H202" s="24" t="inlineStr">
        <is>
          <t>embed_all</t>
        </is>
      </c>
      <c r="I202" s="24" t="n">
        <v>3</v>
      </c>
      <c r="J202" s="31" t="inlineStr">
        <is>
          <t>Template logic</t>
        </is>
      </c>
      <c r="K202" s="24" t="inlineStr">
        <is>
          <t>Grouped surface</t>
        </is>
      </c>
      <c r="L202" s="24" t="inlineStr">
        <is>
          <t>Content type: story; Context uses Courses Context: Master's Degree in Asset Management (930); Context uses Story Type: Blog (974); Limited to 3 item(s); Source: Template logic</t>
        </is>
      </c>
      <c r="BQ202" s="19" t="inlineStr">
        <is>
          <t>930</t>
        </is>
      </c>
      <c r="BR202" s="19" t="inlineStr">
        <is>
          <t>Master's Degree in Asset Management (930)</t>
        </is>
      </c>
      <c r="IE202" s="19" t="inlineStr">
        <is>
          <t>974</t>
        </is>
      </c>
      <c r="IF202" s="19" t="inlineStr">
        <is>
          <t>Blog (974)</t>
        </is>
      </c>
      <c r="IS202" s="19">
        <f>IF(input_content_type="",FALSE,ISNUMBER(SEARCH(","&amp;LOWER(input_content_type)&amp;",",","&amp;LOWER(SUBSTITUTE(F202," ",""))&amp;",")))</f>
        <v/>
      </c>
      <c r="IT202" s="19">
        <f>AND(IF(M202="",TRUE,IF(input_affiliations="",FALSE,SUMPRODUCT(--ISNUMBER(SEARCH(","&amp;TRIM(TEXTSPLIT(M202,","))&amp;",",","&amp;SUBSTITUTE(input_affiliations," ","")&amp;",")))&gt;0)),IF(O202="",TRUE,IF(input_affiliations="",FALSE,SUMPRODUCT(--ISNUMBER(SEARCH(","&amp;TRIM(TEXTSPLIT(O202,","))&amp;",",","&amp;SUBSTITUTE(input_affiliations," ","")&amp;",")))=COUNTA(TEXTSPLIT(O202,",")))),IF(Q202="",TRUE,IF(input_affiliations="",TRUE,SUMPRODUCT(--ISNUMBER(SEARCH(","&amp;TRIM(TEXTSPLIT(Q202,","))&amp;",",","&amp;SUBSTITUTE(input_affiliations," ","")&amp;",")))=0)),IF(S202="",TRUE,IF(input_affiliations="",FALSE,SUMPRODUCT(--ISNUMBER(SEARCH(","&amp;TRIM(TEXTSPLIT(S202,","))&amp;",",","&amp;SUBSTITUTE(input_affiliations," ","")&amp;",")))&gt;0)),IF(U202="",TRUE,IF(input_affiliations="",FALSE,SUMPRODUCT(--ISNUMBER(SEARCH(","&amp;TRIM(TEXTSPLIT(U202,","))&amp;",",","&amp;SUBSTITUTE(input_affiliations," ","")&amp;",")))=COUNTA(TEXTSPLIT(U202,",")))))</f>
        <v/>
      </c>
      <c r="IU202" s="19">
        <f>AND(IF(W202="",TRUE,IF(input_announcement_category="",FALSE,SUMPRODUCT(--ISNUMBER(SEARCH(","&amp;TRIM(TEXTSPLIT(W202,","))&amp;",",","&amp;SUBSTITUTE(input_announcement_category," ","")&amp;",")))&gt;0)),IF(Y202="",TRUE,IF(input_announcement_category="",FALSE,SUMPRODUCT(--ISNUMBER(SEARCH(","&amp;TRIM(TEXTSPLIT(Y202,","))&amp;",",","&amp;SUBSTITUTE(input_announcement_category," ","")&amp;",")))=COUNTA(TEXTSPLIT(Y202,",")))),IF(AA202="",TRUE,IF(input_announcement_category="",TRUE,SUMPRODUCT(--ISNUMBER(SEARCH(","&amp;TRIM(TEXTSPLIT(AA202,","))&amp;",",","&amp;SUBSTITUTE(input_announcement_category," ","")&amp;",")))=0)),IF(AC202="",TRUE,IF(input_announcement_category="",FALSE,SUMPRODUCT(--ISNUMBER(SEARCH(","&amp;TRIM(TEXTSPLIT(AC202,","))&amp;",",","&amp;SUBSTITUTE(input_announcement_category," ","")&amp;",")))&gt;0)),IF(AE202="",TRUE,IF(input_announcement_category="",FALSE,SUMPRODUCT(--ISNUMBER(SEARCH(","&amp;TRIM(TEXTSPLIT(AE202,","))&amp;",",","&amp;SUBSTITUTE(input_announcement_category," ","")&amp;",")))=COUNTA(TEXTSPLIT(AE202,",")))))</f>
        <v/>
      </c>
      <c r="IV202" s="19">
        <f>AND(IF(AG202="",TRUE,IF(input_area_of_focus="",FALSE,SUMPRODUCT(--ISNUMBER(SEARCH(","&amp;TRIM(TEXTSPLIT(AG202,","))&amp;",",","&amp;SUBSTITUTE(input_area_of_focus," ","")&amp;",")))&gt;0)),IF(AI202="",TRUE,IF(input_area_of_focus="",FALSE,SUMPRODUCT(--ISNUMBER(SEARCH(","&amp;TRIM(TEXTSPLIT(AI202,","))&amp;",",","&amp;SUBSTITUTE(input_area_of_focus," ","")&amp;",")))=COUNTA(TEXTSPLIT(AI202,",")))),IF(AK202="",TRUE,IF(input_area_of_focus="",TRUE,SUMPRODUCT(--ISNUMBER(SEARCH(","&amp;TRIM(TEXTSPLIT(AK202,","))&amp;",",","&amp;SUBSTITUTE(input_area_of_focus," ","")&amp;",")))=0)),IF(AM202="",TRUE,IF(input_area_of_focus="",FALSE,SUMPRODUCT(--ISNUMBER(SEARCH(","&amp;TRIM(TEXTSPLIT(AM202,","))&amp;",",","&amp;SUBSTITUTE(input_area_of_focus," ","")&amp;",")))&gt;0)),IF(AO202="",TRUE,IF(input_area_of_focus="",FALSE,SUMPRODUCT(--ISNUMBER(SEARCH(","&amp;TRIM(TEXTSPLIT(AO202,","))&amp;",",","&amp;SUBSTITUTE(input_area_of_focus," ","")&amp;",")))=COUNTA(TEXTSPLIT(AO202,",")))))</f>
        <v/>
      </c>
      <c r="IW202" s="19">
        <f>AND(IF(AQ202="",TRUE,IF(input_audience="",FALSE,SUMPRODUCT(--ISNUMBER(SEARCH(","&amp;TRIM(TEXTSPLIT(AQ202,","))&amp;",",","&amp;SUBSTITUTE(input_audience," ","")&amp;",")))&gt;0)),IF(AS202="",TRUE,IF(input_audience="",FALSE,SUMPRODUCT(--ISNUMBER(SEARCH(","&amp;TRIM(TEXTSPLIT(AS202,","))&amp;",",","&amp;SUBSTITUTE(input_audience," ","")&amp;",")))=COUNTA(TEXTSPLIT(AS202,",")))),IF(AU202="",TRUE,IF(input_audience="",TRUE,SUMPRODUCT(--ISNUMBER(SEARCH(","&amp;TRIM(TEXTSPLIT(AU202,","))&amp;",",","&amp;SUBSTITUTE(input_audience," ","")&amp;",")))=0)),IF(AW202="",TRUE,IF(input_audience="",FALSE,SUMPRODUCT(--ISNUMBER(SEARCH(","&amp;TRIM(TEXTSPLIT(AW202,","))&amp;",",","&amp;SUBSTITUTE(input_audience," ","")&amp;",")))&gt;0)),IF(AY202="",TRUE,IF(input_audience="",FALSE,SUMPRODUCT(--ISNUMBER(SEARCH(","&amp;TRIM(TEXTSPLIT(AY202,","))&amp;",",","&amp;SUBSTITUTE(input_audience," ","")&amp;",")))=COUNTA(TEXTSPLIT(AY202,",")))))</f>
        <v/>
      </c>
      <c r="IX202" s="19">
        <f>AND(IF(BA202="",TRUE,IF(input_challenge_opportunities="",FALSE,SUMPRODUCT(--ISNUMBER(SEARCH(","&amp;TRIM(TEXTSPLIT(BA202,","))&amp;",",","&amp;SUBSTITUTE(input_challenge_opportunities," ","")&amp;",")))&gt;0)),IF(BC202="",TRUE,IF(input_challenge_opportunities="",FALSE,SUMPRODUCT(--ISNUMBER(SEARCH(","&amp;TRIM(TEXTSPLIT(BC202,","))&amp;",",","&amp;SUBSTITUTE(input_challenge_opportunities," ","")&amp;",")))=COUNTA(TEXTSPLIT(BC202,",")))),IF(BE202="",TRUE,IF(input_challenge_opportunities="",TRUE,SUMPRODUCT(--ISNUMBER(SEARCH(","&amp;TRIM(TEXTSPLIT(BE202,","))&amp;",",","&amp;SUBSTITUTE(input_challenge_opportunities," ","")&amp;",")))=0)),IF(BG202="",TRUE,IF(input_challenge_opportunities="",FALSE,SUMPRODUCT(--ISNUMBER(SEARCH(","&amp;TRIM(TEXTSPLIT(BG202,","))&amp;",",","&amp;SUBSTITUTE(input_challenge_opportunities," ","")&amp;",")))&gt;0)),IF(BI202="",TRUE,IF(input_challenge_opportunities="",FALSE,SUMPRODUCT(--ISNUMBER(SEARCH(","&amp;TRIM(TEXTSPLIT(BI202,","))&amp;",",","&amp;SUBSTITUTE(input_challenge_opportunities," ","")&amp;",")))=COUNTA(TEXTSPLIT(BI202,",")))))</f>
        <v/>
      </c>
      <c r="IY202" s="19">
        <f>AND(IF(BK202="",TRUE,IF(input_context="",FALSE,SUMPRODUCT(--ISNUMBER(SEARCH(","&amp;TRIM(TEXTSPLIT(BK202,","))&amp;",",","&amp;SUBSTITUTE(input_context," ","")&amp;",")))&gt;0)),IF(BM202="",TRUE,IF(input_context="",FALSE,SUMPRODUCT(--ISNUMBER(SEARCH(","&amp;TRIM(TEXTSPLIT(BM202,","))&amp;",",","&amp;SUBSTITUTE(input_context," ","")&amp;",")))=COUNTA(TEXTSPLIT(BM202,",")))),IF(BO202="",TRUE,IF(input_context="",TRUE,SUMPRODUCT(--ISNUMBER(SEARCH(","&amp;TRIM(TEXTSPLIT(BO202,","))&amp;",",","&amp;SUBSTITUTE(input_context," ","")&amp;",")))=0)),IF(BQ202="",TRUE,IF(input_context="",FALSE,SUMPRODUCT(--ISNUMBER(SEARCH(","&amp;TRIM(TEXTSPLIT(BQ202,","))&amp;",",","&amp;SUBSTITUTE(input_context," ","")&amp;",")))&gt;0)),IF(BS202="",TRUE,IF(input_context="",FALSE,SUMPRODUCT(--ISNUMBER(SEARCH(","&amp;TRIM(TEXTSPLIT(BS202,","))&amp;",",","&amp;SUBSTITUTE(input_context," ","")&amp;",")))=COUNTA(TEXTSPLIT(BS202,",")))))</f>
        <v/>
      </c>
      <c r="IZ202" s="19">
        <f>AND(IF(BU202="",TRUE,IF(input_enews_announcement_type="",FALSE,SUMPRODUCT(--ISNUMBER(SEARCH(","&amp;TRIM(TEXTSPLIT(BU202,","))&amp;",",","&amp;SUBSTITUTE(input_enews_announcement_type," ","")&amp;",")))&gt;0)),IF(BW202="",TRUE,IF(input_enews_announcement_type="",FALSE,SUMPRODUCT(--ISNUMBER(SEARCH(","&amp;TRIM(TEXTSPLIT(BW202,","))&amp;",",","&amp;SUBSTITUTE(input_enews_announcement_type," ","")&amp;",")))=COUNTA(TEXTSPLIT(BW202,",")))),IF(BY202="",TRUE,IF(input_enews_announcement_type="",TRUE,SUMPRODUCT(--ISNUMBER(SEARCH(","&amp;TRIM(TEXTSPLIT(BY202,","))&amp;",",","&amp;SUBSTITUTE(input_enews_announcement_type," ","")&amp;",")))=0)),IF(CA202="",TRUE,IF(input_enews_announcement_type="",FALSE,SUMPRODUCT(--ISNUMBER(SEARCH(","&amp;TRIM(TEXTSPLIT(CA202,","))&amp;",",","&amp;SUBSTITUTE(input_enews_announcement_type," ","")&amp;",")))&gt;0)),IF(CC202="",TRUE,IF(input_enews_announcement_type="",FALSE,SUMPRODUCT(--ISNUMBER(SEARCH(","&amp;TRIM(TEXTSPLIT(CC202,","))&amp;",",","&amp;SUBSTITUTE(input_enews_announcement_type," ","")&amp;",")))=COUNTA(TEXTSPLIT(CC202,",")))))</f>
        <v/>
      </c>
      <c r="JA202" s="19">
        <f>AND(IF(CE202="",TRUE,IF(input_enews_audience="",FALSE,SUMPRODUCT(--ISNUMBER(SEARCH(","&amp;TRIM(TEXTSPLIT(CE202,","))&amp;",",","&amp;SUBSTITUTE(input_enews_audience," ","")&amp;",")))&gt;0)),IF(CG202="",TRUE,IF(input_enews_audience="",FALSE,SUMPRODUCT(--ISNUMBER(SEARCH(","&amp;TRIM(TEXTSPLIT(CG202,","))&amp;",",","&amp;SUBSTITUTE(input_enews_audience," ","")&amp;",")))=COUNTA(TEXTSPLIT(CG202,",")))),IF(CI202="",TRUE,IF(input_enews_audience="",TRUE,SUMPRODUCT(--ISNUMBER(SEARCH(","&amp;TRIM(TEXTSPLIT(CI202,","))&amp;",",","&amp;SUBSTITUTE(input_enews_audience," ","")&amp;",")))=0)),IF(CK202="",TRUE,IF(input_enews_audience="",FALSE,SUMPRODUCT(--ISNUMBER(SEARCH(","&amp;TRIM(TEXTSPLIT(CK202,","))&amp;",",","&amp;SUBSTITUTE(input_enews_audience," ","")&amp;",")))&gt;0)),IF(CM202="",TRUE,IF(input_enews_audience="",FALSE,SUMPRODUCT(--ISNUMBER(SEARCH(","&amp;TRIM(TEXTSPLIT(CM202,","))&amp;",",","&amp;SUBSTITUTE(input_enews_audience," ","")&amp;",")))=COUNTA(TEXTSPLIT(CM202,",")))))</f>
        <v/>
      </c>
      <c r="JB202" s="19">
        <f>AND(IF(CO202="",TRUE,IF(input_event_location="",FALSE,SUMPRODUCT(--ISNUMBER(SEARCH(","&amp;TRIM(TEXTSPLIT(CO202,","))&amp;",",","&amp;SUBSTITUTE(input_event_location," ","")&amp;",")))&gt;0)),IF(CQ202="",TRUE,IF(input_event_location="",FALSE,SUMPRODUCT(--ISNUMBER(SEARCH(","&amp;TRIM(TEXTSPLIT(CQ202,","))&amp;",",","&amp;SUBSTITUTE(input_event_location," ","")&amp;",")))=COUNTA(TEXTSPLIT(CQ202,",")))),IF(CS202="",TRUE,IF(input_event_location="",TRUE,SUMPRODUCT(--ISNUMBER(SEARCH(","&amp;TRIM(TEXTSPLIT(CS202,","))&amp;",",","&amp;SUBSTITUTE(input_event_location," ","")&amp;",")))=0)),IF(CU202="",TRUE,IF(input_event_location="",FALSE,SUMPRODUCT(--ISNUMBER(SEARCH(","&amp;TRIM(TEXTSPLIT(CU202,","))&amp;",",","&amp;SUBSTITUTE(input_event_location," ","")&amp;",")))&gt;0)),IF(CW202="",TRUE,IF(input_event_location="",FALSE,SUMPRODUCT(--ISNUMBER(SEARCH(","&amp;TRIM(TEXTSPLIT(CW202,","))&amp;",",","&amp;SUBSTITUTE(input_event_location," ","")&amp;",")))=COUNTA(TEXTSPLIT(CW202,",")))))</f>
        <v/>
      </c>
      <c r="JC202" s="19">
        <f>AND(IF(CY202="",TRUE,IF(input_event_type="",FALSE,SUMPRODUCT(--ISNUMBER(SEARCH(","&amp;TRIM(TEXTSPLIT(CY202,","))&amp;",",","&amp;SUBSTITUTE(input_event_type," ","")&amp;",")))&gt;0)),IF(DA202="",TRUE,IF(input_event_type="",FALSE,SUMPRODUCT(--ISNUMBER(SEARCH(","&amp;TRIM(TEXTSPLIT(DA202,","))&amp;",",","&amp;SUBSTITUTE(input_event_type," ","")&amp;",")))=COUNTA(TEXTSPLIT(DA202,",")))),IF(DC202="",TRUE,IF(input_event_type="",TRUE,SUMPRODUCT(--ISNUMBER(SEARCH(","&amp;TRIM(TEXTSPLIT(DC202,","))&amp;",",","&amp;SUBSTITUTE(input_event_type," ","")&amp;",")))=0)),IF(DE202="",TRUE,IF(input_event_type="",FALSE,SUMPRODUCT(--ISNUMBER(SEARCH(","&amp;TRIM(TEXTSPLIT(DE202,","))&amp;",",","&amp;SUBSTITUTE(input_event_type," ","")&amp;",")))&gt;0)),IF(DG202="",TRUE,IF(input_event_type="",FALSE,SUMPRODUCT(--ISNUMBER(SEARCH(","&amp;TRIM(TEXTSPLIT(DG202,","))&amp;",",","&amp;SUBSTITUTE(input_event_type," ","")&amp;",")))=COUNTA(TEXTSPLIT(DG202,",")))))</f>
        <v/>
      </c>
      <c r="JD202" s="19">
        <f>AND(IF(DI202="",TRUE,IF(input_executive_education_focus="",FALSE,SUMPRODUCT(--ISNUMBER(SEARCH(","&amp;TRIM(TEXTSPLIT(DI202,","))&amp;",",","&amp;SUBSTITUTE(input_executive_education_focus," ","")&amp;",")))&gt;0)),IF(DK202="",TRUE,IF(input_executive_education_focus="",FALSE,SUMPRODUCT(--ISNUMBER(SEARCH(","&amp;TRIM(TEXTSPLIT(DK202,","))&amp;",",","&amp;SUBSTITUTE(input_executive_education_focus," ","")&amp;",")))=COUNTA(TEXTSPLIT(DK202,",")))),IF(DM202="",TRUE,IF(input_executive_education_focus="",TRUE,SUMPRODUCT(--ISNUMBER(SEARCH(","&amp;TRIM(TEXTSPLIT(DM202,","))&amp;",",","&amp;SUBSTITUTE(input_executive_education_focus," ","")&amp;",")))=0)),IF(DO202="",TRUE,IF(input_executive_education_focus="",FALSE,SUMPRODUCT(--ISNUMBER(SEARCH(","&amp;TRIM(TEXTSPLIT(DO202,","))&amp;",",","&amp;SUBSTITUTE(input_executive_education_focus," ","")&amp;",")))&gt;0)),IF(DQ202="",TRUE,IF(input_executive_education_focus="",FALSE,SUMPRODUCT(--ISNUMBER(SEARCH(","&amp;TRIM(TEXTSPLIT(DQ202,","))&amp;",",","&amp;SUBSTITUTE(input_executive_education_focus," ","")&amp;",")))=COUNTA(TEXTSPLIT(DQ202,",")))))</f>
        <v/>
      </c>
      <c r="JE202" s="19">
        <f>AND(IF(DS202="",TRUE,IF(input_faculty_category="",FALSE,SUMPRODUCT(--ISNUMBER(SEARCH(","&amp;TRIM(TEXTSPLIT(DS202,","))&amp;",",","&amp;SUBSTITUTE(input_faculty_category," ","")&amp;",")))&gt;0)),IF(DU202="",TRUE,IF(input_faculty_category="",FALSE,SUMPRODUCT(--ISNUMBER(SEARCH(","&amp;TRIM(TEXTSPLIT(DU202,","))&amp;",",","&amp;SUBSTITUTE(input_faculty_category," ","")&amp;",")))=COUNTA(TEXTSPLIT(DU202,",")))),IF(DW202="",TRUE,IF(input_faculty_category="",TRUE,SUMPRODUCT(--ISNUMBER(SEARCH(","&amp;TRIM(TEXTSPLIT(DW202,","))&amp;",",","&amp;SUBSTITUTE(input_faculty_category," ","")&amp;",")))=0)),IF(DY202="",TRUE,IF(input_faculty_category="",FALSE,SUMPRODUCT(--ISNUMBER(SEARCH(","&amp;TRIM(TEXTSPLIT(DY202,","))&amp;",",","&amp;SUBSTITUTE(input_faculty_category," ","")&amp;",")))&gt;0)),IF(EA202="",TRUE,IF(input_faculty_category="",FALSE,SUMPRODUCT(--ISNUMBER(SEARCH(","&amp;TRIM(TEXTSPLIT(EA202,","))&amp;",",","&amp;SUBSTITUTE(input_faculty_category," ","")&amp;",")))=COUNTA(TEXTSPLIT(EA202,",")))))</f>
        <v/>
      </c>
      <c r="JF202" s="19">
        <f>AND(IF(EC202="",TRUE,IF(input_faculty_discipline="",FALSE,SUMPRODUCT(--ISNUMBER(SEARCH(","&amp;TRIM(TEXTSPLIT(EC202,","))&amp;",",","&amp;SUBSTITUTE(input_faculty_discipline," ","")&amp;",")))&gt;0)),IF(EE202="",TRUE,IF(input_faculty_discipline="",FALSE,SUMPRODUCT(--ISNUMBER(SEARCH(","&amp;TRIM(TEXTSPLIT(EE202,","))&amp;",",","&amp;SUBSTITUTE(input_faculty_discipline," ","")&amp;",")))=COUNTA(TEXTSPLIT(EE202,",")))),IF(EG202="",TRUE,IF(input_faculty_discipline="",TRUE,SUMPRODUCT(--ISNUMBER(SEARCH(","&amp;TRIM(TEXTSPLIT(EG202,","))&amp;",",","&amp;SUBSTITUTE(input_faculty_discipline," ","")&amp;",")))=0)),IF(EI202="",TRUE,IF(input_faculty_discipline="",FALSE,SUMPRODUCT(--ISNUMBER(SEARCH(","&amp;TRIM(TEXTSPLIT(EI202,","))&amp;",",","&amp;SUBSTITUTE(input_faculty_discipline," ","")&amp;",")))&gt;0)),IF(EK202="",TRUE,IF(input_faculty_discipline="",FALSE,SUMPRODUCT(--ISNUMBER(SEARCH(","&amp;TRIM(TEXTSPLIT(EK202,","))&amp;",",","&amp;SUBSTITUTE(input_faculty_discipline," ","")&amp;",")))=COUNTA(TEXTSPLIT(EK202,",")))))</f>
        <v/>
      </c>
      <c r="JG202" s="19">
        <f>AND(IF(EM202="",TRUE,IF(input_faculty_expertise="",FALSE,SUMPRODUCT(--ISNUMBER(SEARCH(","&amp;TRIM(TEXTSPLIT(EM202,","))&amp;",",","&amp;SUBSTITUTE(input_faculty_expertise," ","")&amp;",")))&gt;0)),IF(EO202="",TRUE,IF(input_faculty_expertise="",FALSE,SUMPRODUCT(--ISNUMBER(SEARCH(","&amp;TRIM(TEXTSPLIT(EO202,","))&amp;",",","&amp;SUBSTITUTE(input_faculty_expertise," ","")&amp;",")))=COUNTA(TEXTSPLIT(EO202,",")))),IF(EQ202="",TRUE,IF(input_faculty_expertise="",TRUE,SUMPRODUCT(--ISNUMBER(SEARCH(","&amp;TRIM(TEXTSPLIT(EQ202,","))&amp;",",","&amp;SUBSTITUTE(input_faculty_expertise," ","")&amp;",")))=0)),IF(ES202="",TRUE,IF(input_faculty_expertise="",FALSE,SUMPRODUCT(--ISNUMBER(SEARCH(","&amp;TRIM(TEXTSPLIT(ES202,","))&amp;",",","&amp;SUBSTITUTE(input_faculty_expertise," ","")&amp;",")))&gt;0)),IF(EU202="",TRUE,IF(input_faculty_expertise="",FALSE,SUMPRODUCT(--ISNUMBER(SEARCH(","&amp;TRIM(TEXTSPLIT(EU202,","))&amp;",",","&amp;SUBSTITUTE(input_faculty_expertise," ","")&amp;",")))=COUNTA(TEXTSPLIT(EU202,",")))))</f>
        <v/>
      </c>
      <c r="JH202" s="19">
        <f>AND(IF(EW202="",TRUE,IF(input_global_network_school="",FALSE,SUMPRODUCT(--ISNUMBER(SEARCH(","&amp;TRIM(TEXTSPLIT(EW202,","))&amp;",",","&amp;SUBSTITUTE(input_global_network_school," ","")&amp;",")))&gt;0)),IF(EY202="",TRUE,IF(input_global_network_school="",FALSE,SUMPRODUCT(--ISNUMBER(SEARCH(","&amp;TRIM(TEXTSPLIT(EY202,","))&amp;",",","&amp;SUBSTITUTE(input_global_network_school," ","")&amp;",")))=COUNTA(TEXTSPLIT(EY202,",")))),IF(FA202="",TRUE,IF(input_global_network_school="",TRUE,SUMPRODUCT(--ISNUMBER(SEARCH(","&amp;TRIM(TEXTSPLIT(FA202,","))&amp;",",","&amp;SUBSTITUTE(input_global_network_school," ","")&amp;",")))=0)),IF(FC202="",TRUE,IF(input_global_network_school="",FALSE,SUMPRODUCT(--ISNUMBER(SEARCH(","&amp;TRIM(TEXTSPLIT(FC202,","))&amp;",",","&amp;SUBSTITUTE(input_global_network_school," ","")&amp;",")))&gt;0)),IF(FE202="",TRUE,IF(input_global_network_school="",FALSE,SUMPRODUCT(--ISNUMBER(SEARCH(","&amp;TRIM(TEXTSPLIT(FE202,","))&amp;",",","&amp;SUBSTITUTE(input_global_network_school," ","")&amp;",")))=COUNTA(TEXTSPLIT(FE202,",")))))</f>
        <v/>
      </c>
      <c r="JI202" s="19">
        <f>AND(IF(FG202="",TRUE,IF(input_industry="",FALSE,SUMPRODUCT(--ISNUMBER(SEARCH(","&amp;TRIM(TEXTSPLIT(FG202,","))&amp;",",","&amp;SUBSTITUTE(input_industry," ","")&amp;",")))&gt;0)),IF(FI202="",TRUE,IF(input_industry="",FALSE,SUMPRODUCT(--ISNUMBER(SEARCH(","&amp;TRIM(TEXTSPLIT(FI202,","))&amp;",",","&amp;SUBSTITUTE(input_industry," ","")&amp;",")))=COUNTA(TEXTSPLIT(FI202,",")))),IF(FK202="",TRUE,IF(input_industry="",TRUE,SUMPRODUCT(--ISNUMBER(SEARCH(","&amp;TRIM(TEXTSPLIT(FK202,","))&amp;",",","&amp;SUBSTITUTE(input_industry," ","")&amp;",")))=0)),IF(FM202="",TRUE,IF(input_industry="",FALSE,SUMPRODUCT(--ISNUMBER(SEARCH(","&amp;TRIM(TEXTSPLIT(FM202,","))&amp;",",","&amp;SUBSTITUTE(input_industry," ","")&amp;",")))&gt;0)),IF(FO202="",TRUE,IF(input_industry="",FALSE,SUMPRODUCT(--ISNUMBER(SEARCH(","&amp;TRIM(TEXTSPLIT(FO202,","))&amp;",",","&amp;SUBSTITUTE(input_industry," ","")&amp;",")))=COUNTA(TEXTSPLIT(FO202,",")))))</f>
        <v/>
      </c>
      <c r="JJ202" s="19">
        <f>AND(IF(FQ202="",TRUE,IF(input_location="",FALSE,SUMPRODUCT(--ISNUMBER(SEARCH(","&amp;TRIM(TEXTSPLIT(FQ202,","))&amp;",",","&amp;SUBSTITUTE(input_location," ","")&amp;",")))&gt;0)),IF(FS202="",TRUE,IF(input_location="",FALSE,SUMPRODUCT(--ISNUMBER(SEARCH(","&amp;TRIM(TEXTSPLIT(FS202,","))&amp;",",","&amp;SUBSTITUTE(input_location," ","")&amp;",")))=COUNTA(TEXTSPLIT(FS202,",")))),IF(FU202="",TRUE,IF(input_location="",TRUE,SUMPRODUCT(--ISNUMBER(SEARCH(","&amp;TRIM(TEXTSPLIT(FU202,","))&amp;",",","&amp;SUBSTITUTE(input_location," ","")&amp;",")))=0)),IF(FW202="",TRUE,IF(input_location="",FALSE,SUMPRODUCT(--ISNUMBER(SEARCH(","&amp;TRIM(TEXTSPLIT(FW202,","))&amp;",",","&amp;SUBSTITUTE(input_location," ","")&amp;",")))&gt;0)),IF(FY202="",TRUE,IF(input_location="",FALSE,SUMPRODUCT(--ISNUMBER(SEARCH(","&amp;TRIM(TEXTSPLIT(FY202,","))&amp;",",","&amp;SUBSTITUTE(input_location," ","")&amp;",")))=COUNTA(TEXTSPLIT(FY202,",")))))</f>
        <v/>
      </c>
      <c r="JK202" s="19">
        <f>AND(IF(GA202="",TRUE,IF(input_modality="",FALSE,SUMPRODUCT(--ISNUMBER(SEARCH(","&amp;TRIM(TEXTSPLIT(GA202,","))&amp;",",","&amp;SUBSTITUTE(input_modality," ","")&amp;",")))&gt;0)),IF(GC202="",TRUE,IF(input_modality="",FALSE,SUMPRODUCT(--ISNUMBER(SEARCH(","&amp;TRIM(TEXTSPLIT(GC202,","))&amp;",",","&amp;SUBSTITUTE(input_modality," ","")&amp;",")))=COUNTA(TEXTSPLIT(GC202,",")))),IF(GE202="",TRUE,IF(input_modality="",TRUE,SUMPRODUCT(--ISNUMBER(SEARCH(","&amp;TRIM(TEXTSPLIT(GE202,","))&amp;",",","&amp;SUBSTITUTE(input_modality," ","")&amp;",")))=0)),IF(GG202="",TRUE,IF(input_modality="",FALSE,SUMPRODUCT(--ISNUMBER(SEARCH(","&amp;TRIM(TEXTSPLIT(GG202,","))&amp;",",","&amp;SUBSTITUTE(input_modality," ","")&amp;",")))&gt;0)),IF(GI202="",TRUE,IF(input_modality="",FALSE,SUMPRODUCT(--ISNUMBER(SEARCH(","&amp;TRIM(TEXTSPLIT(GI202,","))&amp;",",","&amp;SUBSTITUTE(input_modality," ","")&amp;",")))=COUNTA(TEXTSPLIT(GI202,",")))))</f>
        <v/>
      </c>
      <c r="JL202" s="19">
        <f>AND(IF(GK202="",TRUE,IF(input_organizer="",FALSE,SUMPRODUCT(--ISNUMBER(SEARCH(","&amp;TRIM(TEXTSPLIT(GK202,","))&amp;",",","&amp;SUBSTITUTE(input_organizer," ","")&amp;",")))&gt;0)),IF(GM202="",TRUE,IF(input_organizer="",FALSE,SUMPRODUCT(--ISNUMBER(SEARCH(","&amp;TRIM(TEXTSPLIT(GM202,","))&amp;",",","&amp;SUBSTITUTE(input_organizer," ","")&amp;",")))=COUNTA(TEXTSPLIT(GM202,",")))),IF(GO202="",TRUE,IF(input_organizer="",TRUE,SUMPRODUCT(--ISNUMBER(SEARCH(","&amp;TRIM(TEXTSPLIT(GO202,","))&amp;",",","&amp;SUBSTITUTE(input_organizer," ","")&amp;",")))=0)),IF(GQ202="",TRUE,IF(input_organizer="",FALSE,SUMPRODUCT(--ISNUMBER(SEARCH(","&amp;TRIM(TEXTSPLIT(GQ202,","))&amp;",",","&amp;SUBSTITUTE(input_organizer," ","")&amp;",")))&gt;0)),IF(GS202="",TRUE,IF(input_organizer="",FALSE,SUMPRODUCT(--ISNUMBER(SEARCH(","&amp;TRIM(TEXTSPLIT(GS202,","))&amp;",",","&amp;SUBSTITUTE(input_organizer," ","")&amp;",")))=COUNTA(TEXTSPLIT(GS202,",")))))</f>
        <v/>
      </c>
      <c r="JM202" s="19">
        <f>AND(IF(GU202="",TRUE,IF(input_profile_type="",FALSE,SUMPRODUCT(--ISNUMBER(SEARCH(","&amp;TRIM(TEXTSPLIT(GU202,","))&amp;",",","&amp;SUBSTITUTE(input_profile_type," ","")&amp;",")))&gt;0)),IF(GW202="",TRUE,IF(input_profile_type="",FALSE,SUMPRODUCT(--ISNUMBER(SEARCH(","&amp;TRIM(TEXTSPLIT(GW202,","))&amp;",",","&amp;SUBSTITUTE(input_profile_type," ","")&amp;",")))=COUNTA(TEXTSPLIT(GW202,",")))),IF(GY202="",TRUE,IF(input_profile_type="",TRUE,SUMPRODUCT(--ISNUMBER(SEARCH(","&amp;TRIM(TEXTSPLIT(GY202,","))&amp;",",","&amp;SUBSTITUTE(input_profile_type," ","")&amp;",")))=0)),IF(HA202="",TRUE,IF(input_profile_type="",FALSE,SUMPRODUCT(--ISNUMBER(SEARCH(","&amp;TRIM(TEXTSPLIT(HA202,","))&amp;",",","&amp;SUBSTITUTE(input_profile_type," ","")&amp;",")))&gt;0)),IF(HC202="",TRUE,IF(input_profile_type="",FALSE,SUMPRODUCT(--ISNUMBER(SEARCH(","&amp;TRIM(TEXTSPLIT(HC202,","))&amp;",",","&amp;SUBSTITUTE(input_profile_type," ","")&amp;",")))=COUNTA(TEXTSPLIT(HC202,",")))))</f>
        <v/>
      </c>
      <c r="JN202" s="19">
        <f>AND(IF(HE202="",TRUE,IF(input_program="",FALSE,SUMPRODUCT(--ISNUMBER(SEARCH(","&amp;TRIM(TEXTSPLIT(HE202,","))&amp;",",","&amp;SUBSTITUTE(input_program," ","")&amp;",")))&gt;0)),IF(HG202="",TRUE,IF(input_program="",FALSE,SUMPRODUCT(--ISNUMBER(SEARCH(","&amp;TRIM(TEXTSPLIT(HG202,","))&amp;",",","&amp;SUBSTITUTE(input_program," ","")&amp;",")))=COUNTA(TEXTSPLIT(HG202,",")))),IF(HI202="",TRUE,IF(input_program="",TRUE,SUMPRODUCT(--ISNUMBER(SEARCH(","&amp;TRIM(TEXTSPLIT(HI202,","))&amp;",",","&amp;SUBSTITUTE(input_program," ","")&amp;",")))=0)),IF(HK202="",TRUE,IF(input_program="",FALSE,SUMPRODUCT(--ISNUMBER(SEARCH(","&amp;TRIM(TEXTSPLIT(HK202,","))&amp;",",","&amp;SUBSTITUTE(input_program," ","")&amp;",")))&gt;0)),IF(HM202="",TRUE,IF(input_program="",FALSE,SUMPRODUCT(--ISNUMBER(SEARCH(","&amp;TRIM(TEXTSPLIT(HM202,","))&amp;",",","&amp;SUBSTITUTE(input_program," ","")&amp;",")))=COUNTA(TEXTSPLIT(HM202,",")))))</f>
        <v/>
      </c>
      <c r="JO202" s="19">
        <f>AND(IF(HO202="",TRUE,IF(input_story_categories="",FALSE,SUMPRODUCT(--ISNUMBER(SEARCH(","&amp;TRIM(TEXTSPLIT(HO202,","))&amp;",",","&amp;SUBSTITUTE(input_story_categories," ","")&amp;",")))&gt;0)),IF(HQ202="",TRUE,IF(input_story_categories="",FALSE,SUMPRODUCT(--ISNUMBER(SEARCH(","&amp;TRIM(TEXTSPLIT(HQ202,","))&amp;",",","&amp;SUBSTITUTE(input_story_categories," ","")&amp;",")))=COUNTA(TEXTSPLIT(HQ202,",")))),IF(HS202="",TRUE,IF(input_story_categories="",TRUE,SUMPRODUCT(--ISNUMBER(SEARCH(","&amp;TRIM(TEXTSPLIT(HS202,","))&amp;",",","&amp;SUBSTITUTE(input_story_categories," ","")&amp;",")))=0)),IF(HU202="",TRUE,IF(input_story_categories="",FALSE,SUMPRODUCT(--ISNUMBER(SEARCH(","&amp;TRIM(TEXTSPLIT(HU202,","))&amp;",",","&amp;SUBSTITUTE(input_story_categories," ","")&amp;",")))&gt;0)),IF(HW202="",TRUE,IF(input_story_categories="",FALSE,SUMPRODUCT(--ISNUMBER(SEARCH(","&amp;TRIM(TEXTSPLIT(HW202,","))&amp;",",","&amp;SUBSTITUTE(input_story_categories," ","")&amp;",")))=COUNTA(TEXTSPLIT(HW202,",")))))</f>
        <v/>
      </c>
      <c r="JP202" s="19">
        <f>AND(IF(HY202="",TRUE,IF(input_story_type="",FALSE,SUMPRODUCT(--ISNUMBER(SEARCH(","&amp;TRIM(TEXTSPLIT(HY202,","))&amp;",",","&amp;SUBSTITUTE(input_story_type," ","")&amp;",")))&gt;0)),IF(IA202="",TRUE,IF(input_story_type="",FALSE,SUMPRODUCT(--ISNUMBER(SEARCH(","&amp;TRIM(TEXTSPLIT(IA202,","))&amp;",",","&amp;SUBSTITUTE(input_story_type," ","")&amp;",")))=COUNTA(TEXTSPLIT(IA202,",")))),IF(IC202="",TRUE,IF(input_story_type="",TRUE,SUMPRODUCT(--ISNUMBER(SEARCH(","&amp;TRIM(TEXTSPLIT(IC202,","))&amp;",",","&amp;SUBSTITUTE(input_story_type," ","")&amp;",")))=0)),IF(IE202="",TRUE,IF(input_story_type="",FALSE,SUMPRODUCT(--ISNUMBER(SEARCH(","&amp;TRIM(TEXTSPLIT(IE202,","))&amp;",",","&amp;SUBSTITUTE(input_story_type," ","")&amp;",")))&gt;0)),IF(IG202="",TRUE,IF(input_story_type="",FALSE,SUMPRODUCT(--ISNUMBER(SEARCH(","&amp;TRIM(TEXTSPLIT(IG202,","))&amp;",",","&amp;SUBSTITUTE(input_story_type," ","")&amp;",")))=COUNTA(TEXTSPLIT(IG202,",")))))</f>
        <v/>
      </c>
      <c r="JQ202" s="19">
        <f>AND(IF(II202="",TRUE,IF(input_topics="",FALSE,SUMPRODUCT(--ISNUMBER(SEARCH(","&amp;TRIM(TEXTSPLIT(II202,","))&amp;",",","&amp;SUBSTITUTE(input_topics," ","")&amp;",")))&gt;0)),IF(IK202="",TRUE,IF(input_topics="",FALSE,SUMPRODUCT(--ISNUMBER(SEARCH(","&amp;TRIM(TEXTSPLIT(IK202,","))&amp;",",","&amp;SUBSTITUTE(input_topics," ","")&amp;",")))=COUNTA(TEXTSPLIT(IK202,",")))),IF(IM202="",TRUE,IF(input_topics="",TRUE,SUMPRODUCT(--ISNUMBER(SEARCH(","&amp;TRIM(TEXTSPLIT(IM202,","))&amp;",",","&amp;SUBSTITUTE(input_topics," ","")&amp;",")))=0)),IF(IO202="",TRUE,IF(input_topics="",FALSE,SUMPRODUCT(--ISNUMBER(SEARCH(","&amp;TRIM(TEXTSPLIT(IO202,","))&amp;",",","&amp;SUBSTITUTE(input_topics," ","")&amp;",")))&gt;0)),IF(IQ202="",TRUE,IF(input_topics="",FALSE,SUMPRODUCT(--ISNUMBER(SEARCH(","&amp;TRIM(TEXTSPLIT(IQ202,","))&amp;",",","&amp;SUBSTITUTE(input_topics," ","")&amp;",")))=COUNTA(TEXTSPLIT(IQ202,",")))))</f>
        <v/>
      </c>
    </row>
    <row r="203">
      <c r="A203" s="24">
        <f>IF(NOT(IS203),"Excluded",IF(AND(IT203,IU203,IV203,IW203,IX203,IY203,IZ203,JA203,JB203,JC203,JD203,JE203,JF203,JG203,JH203,JI203,JJ203,JK203,JL203,JM203,JN203,JO203,JP203,JQ203),IF(I203&gt;0,"Eligible but limited","Will appear"),"Excluded"))</f>
        <v/>
      </c>
      <c r="B203" s="24" t="inlineStr">
        <is>
          <t>Related stories on story pages</t>
        </is>
      </c>
      <c r="C203" s="27" t="inlineStr">
        <is>
          <t>/story/2025/baltimore-city-public-schools-ceo-sonja-santelises-named-superintendent-residence-broad</t>
        </is>
      </c>
      <c r="D203" s="24" t="inlineStr">
        <is>
          <t>/story/2025/baltimore-city-public-schools-ceo-sonja-santelises-named-superintendent-residence-broad
/story/2025/broad-center-announces-2025-26-cohort-fellowship-public-education-leadership
/story/2025/capstone-projects-masters-students-broad-center-put-yale-education-work</t>
        </is>
      </c>
      <c r="E203" s="24" t="n">
        <v>6</v>
      </c>
      <c r="F203" s="24" t="inlineStr">
        <is>
          <t>story</t>
        </is>
      </c>
      <c r="G203" s="24" t="inlineStr">
        <is>
          <t>stories_teaser_cards</t>
        </is>
      </c>
      <c r="H203" s="24" t="inlineStr">
        <is>
          <t>embed_all</t>
        </is>
      </c>
      <c r="I203" s="24" t="n">
        <v>3</v>
      </c>
      <c r="J203" s="31" t="inlineStr">
        <is>
          <t>Template logic</t>
        </is>
      </c>
      <c r="K203" s="24" t="inlineStr">
        <is>
          <t>Grouped surface</t>
        </is>
      </c>
      <c r="L203" s="24" t="inlineStr">
        <is>
          <t>Content type: story; Context uses Courses Context: The Broad Center (926); Context uses Story Type: News (924); Limited to 3 item(s); Source: Template logic</t>
        </is>
      </c>
      <c r="BQ203" s="19" t="inlineStr">
        <is>
          <t>926</t>
        </is>
      </c>
      <c r="BR203" s="19" t="inlineStr">
        <is>
          <t>The Broad Center (926)</t>
        </is>
      </c>
      <c r="IE203" s="19" t="inlineStr">
        <is>
          <t>924</t>
        </is>
      </c>
      <c r="IF203" s="19" t="inlineStr">
        <is>
          <t>News (924)</t>
        </is>
      </c>
      <c r="IS203" s="19">
        <f>IF(input_content_type="",FALSE,ISNUMBER(SEARCH(","&amp;LOWER(input_content_type)&amp;",",","&amp;LOWER(SUBSTITUTE(F203," ",""))&amp;",")))</f>
        <v/>
      </c>
      <c r="IT203" s="19">
        <f>AND(IF(M203="",TRUE,IF(input_affiliations="",FALSE,SUMPRODUCT(--ISNUMBER(SEARCH(","&amp;TRIM(TEXTSPLIT(M203,","))&amp;",",","&amp;SUBSTITUTE(input_affiliations," ","")&amp;",")))&gt;0)),IF(O203="",TRUE,IF(input_affiliations="",FALSE,SUMPRODUCT(--ISNUMBER(SEARCH(","&amp;TRIM(TEXTSPLIT(O203,","))&amp;",",","&amp;SUBSTITUTE(input_affiliations," ","")&amp;",")))=COUNTA(TEXTSPLIT(O203,",")))),IF(Q203="",TRUE,IF(input_affiliations="",TRUE,SUMPRODUCT(--ISNUMBER(SEARCH(","&amp;TRIM(TEXTSPLIT(Q203,","))&amp;",",","&amp;SUBSTITUTE(input_affiliations," ","")&amp;",")))=0)),IF(S203="",TRUE,IF(input_affiliations="",FALSE,SUMPRODUCT(--ISNUMBER(SEARCH(","&amp;TRIM(TEXTSPLIT(S203,","))&amp;",",","&amp;SUBSTITUTE(input_affiliations," ","")&amp;",")))&gt;0)),IF(U203="",TRUE,IF(input_affiliations="",FALSE,SUMPRODUCT(--ISNUMBER(SEARCH(","&amp;TRIM(TEXTSPLIT(U203,","))&amp;",",","&amp;SUBSTITUTE(input_affiliations," ","")&amp;",")))=COUNTA(TEXTSPLIT(U203,",")))))</f>
        <v/>
      </c>
      <c r="IU203" s="19">
        <f>AND(IF(W203="",TRUE,IF(input_announcement_category="",FALSE,SUMPRODUCT(--ISNUMBER(SEARCH(","&amp;TRIM(TEXTSPLIT(W203,","))&amp;",",","&amp;SUBSTITUTE(input_announcement_category," ","")&amp;",")))&gt;0)),IF(Y203="",TRUE,IF(input_announcement_category="",FALSE,SUMPRODUCT(--ISNUMBER(SEARCH(","&amp;TRIM(TEXTSPLIT(Y203,","))&amp;",",","&amp;SUBSTITUTE(input_announcement_category," ","")&amp;",")))=COUNTA(TEXTSPLIT(Y203,",")))),IF(AA203="",TRUE,IF(input_announcement_category="",TRUE,SUMPRODUCT(--ISNUMBER(SEARCH(","&amp;TRIM(TEXTSPLIT(AA203,","))&amp;",",","&amp;SUBSTITUTE(input_announcement_category," ","")&amp;",")))=0)),IF(AC203="",TRUE,IF(input_announcement_category="",FALSE,SUMPRODUCT(--ISNUMBER(SEARCH(","&amp;TRIM(TEXTSPLIT(AC203,","))&amp;",",","&amp;SUBSTITUTE(input_announcement_category," ","")&amp;",")))&gt;0)),IF(AE203="",TRUE,IF(input_announcement_category="",FALSE,SUMPRODUCT(--ISNUMBER(SEARCH(","&amp;TRIM(TEXTSPLIT(AE203,","))&amp;",",","&amp;SUBSTITUTE(input_announcement_category," ","")&amp;",")))=COUNTA(TEXTSPLIT(AE203,",")))))</f>
        <v/>
      </c>
      <c r="IV203" s="19">
        <f>AND(IF(AG203="",TRUE,IF(input_area_of_focus="",FALSE,SUMPRODUCT(--ISNUMBER(SEARCH(","&amp;TRIM(TEXTSPLIT(AG203,","))&amp;",",","&amp;SUBSTITUTE(input_area_of_focus," ","")&amp;",")))&gt;0)),IF(AI203="",TRUE,IF(input_area_of_focus="",FALSE,SUMPRODUCT(--ISNUMBER(SEARCH(","&amp;TRIM(TEXTSPLIT(AI203,","))&amp;",",","&amp;SUBSTITUTE(input_area_of_focus," ","")&amp;",")))=COUNTA(TEXTSPLIT(AI203,",")))),IF(AK203="",TRUE,IF(input_area_of_focus="",TRUE,SUMPRODUCT(--ISNUMBER(SEARCH(","&amp;TRIM(TEXTSPLIT(AK203,","))&amp;",",","&amp;SUBSTITUTE(input_area_of_focus," ","")&amp;",")))=0)),IF(AM203="",TRUE,IF(input_area_of_focus="",FALSE,SUMPRODUCT(--ISNUMBER(SEARCH(","&amp;TRIM(TEXTSPLIT(AM203,","))&amp;",",","&amp;SUBSTITUTE(input_area_of_focus," ","")&amp;",")))&gt;0)),IF(AO203="",TRUE,IF(input_area_of_focus="",FALSE,SUMPRODUCT(--ISNUMBER(SEARCH(","&amp;TRIM(TEXTSPLIT(AO203,","))&amp;",",","&amp;SUBSTITUTE(input_area_of_focus," ","")&amp;",")))=COUNTA(TEXTSPLIT(AO203,",")))))</f>
        <v/>
      </c>
      <c r="IW203" s="19">
        <f>AND(IF(AQ203="",TRUE,IF(input_audience="",FALSE,SUMPRODUCT(--ISNUMBER(SEARCH(","&amp;TRIM(TEXTSPLIT(AQ203,","))&amp;",",","&amp;SUBSTITUTE(input_audience," ","")&amp;",")))&gt;0)),IF(AS203="",TRUE,IF(input_audience="",FALSE,SUMPRODUCT(--ISNUMBER(SEARCH(","&amp;TRIM(TEXTSPLIT(AS203,","))&amp;",",","&amp;SUBSTITUTE(input_audience," ","")&amp;",")))=COUNTA(TEXTSPLIT(AS203,",")))),IF(AU203="",TRUE,IF(input_audience="",TRUE,SUMPRODUCT(--ISNUMBER(SEARCH(","&amp;TRIM(TEXTSPLIT(AU203,","))&amp;",",","&amp;SUBSTITUTE(input_audience," ","")&amp;",")))=0)),IF(AW203="",TRUE,IF(input_audience="",FALSE,SUMPRODUCT(--ISNUMBER(SEARCH(","&amp;TRIM(TEXTSPLIT(AW203,","))&amp;",",","&amp;SUBSTITUTE(input_audience," ","")&amp;",")))&gt;0)),IF(AY203="",TRUE,IF(input_audience="",FALSE,SUMPRODUCT(--ISNUMBER(SEARCH(","&amp;TRIM(TEXTSPLIT(AY203,","))&amp;",",","&amp;SUBSTITUTE(input_audience," ","")&amp;",")))=COUNTA(TEXTSPLIT(AY203,",")))))</f>
        <v/>
      </c>
      <c r="IX203" s="19">
        <f>AND(IF(BA203="",TRUE,IF(input_challenge_opportunities="",FALSE,SUMPRODUCT(--ISNUMBER(SEARCH(","&amp;TRIM(TEXTSPLIT(BA203,","))&amp;",",","&amp;SUBSTITUTE(input_challenge_opportunities," ","")&amp;",")))&gt;0)),IF(BC203="",TRUE,IF(input_challenge_opportunities="",FALSE,SUMPRODUCT(--ISNUMBER(SEARCH(","&amp;TRIM(TEXTSPLIT(BC203,","))&amp;",",","&amp;SUBSTITUTE(input_challenge_opportunities," ","")&amp;",")))=COUNTA(TEXTSPLIT(BC203,",")))),IF(BE203="",TRUE,IF(input_challenge_opportunities="",TRUE,SUMPRODUCT(--ISNUMBER(SEARCH(","&amp;TRIM(TEXTSPLIT(BE203,","))&amp;",",","&amp;SUBSTITUTE(input_challenge_opportunities," ","")&amp;",")))=0)),IF(BG203="",TRUE,IF(input_challenge_opportunities="",FALSE,SUMPRODUCT(--ISNUMBER(SEARCH(","&amp;TRIM(TEXTSPLIT(BG203,","))&amp;",",","&amp;SUBSTITUTE(input_challenge_opportunities," ","")&amp;",")))&gt;0)),IF(BI203="",TRUE,IF(input_challenge_opportunities="",FALSE,SUMPRODUCT(--ISNUMBER(SEARCH(","&amp;TRIM(TEXTSPLIT(BI203,","))&amp;",",","&amp;SUBSTITUTE(input_challenge_opportunities," ","")&amp;",")))=COUNTA(TEXTSPLIT(BI203,",")))))</f>
        <v/>
      </c>
      <c r="IY203" s="19">
        <f>AND(IF(BK203="",TRUE,IF(input_context="",FALSE,SUMPRODUCT(--ISNUMBER(SEARCH(","&amp;TRIM(TEXTSPLIT(BK203,","))&amp;",",","&amp;SUBSTITUTE(input_context," ","")&amp;",")))&gt;0)),IF(BM203="",TRUE,IF(input_context="",FALSE,SUMPRODUCT(--ISNUMBER(SEARCH(","&amp;TRIM(TEXTSPLIT(BM203,","))&amp;",",","&amp;SUBSTITUTE(input_context," ","")&amp;",")))=COUNTA(TEXTSPLIT(BM203,",")))),IF(BO203="",TRUE,IF(input_context="",TRUE,SUMPRODUCT(--ISNUMBER(SEARCH(","&amp;TRIM(TEXTSPLIT(BO203,","))&amp;",",","&amp;SUBSTITUTE(input_context," ","")&amp;",")))=0)),IF(BQ203="",TRUE,IF(input_context="",FALSE,SUMPRODUCT(--ISNUMBER(SEARCH(","&amp;TRIM(TEXTSPLIT(BQ203,","))&amp;",",","&amp;SUBSTITUTE(input_context," ","")&amp;",")))&gt;0)),IF(BS203="",TRUE,IF(input_context="",FALSE,SUMPRODUCT(--ISNUMBER(SEARCH(","&amp;TRIM(TEXTSPLIT(BS203,","))&amp;",",","&amp;SUBSTITUTE(input_context," ","")&amp;",")))=COUNTA(TEXTSPLIT(BS203,",")))))</f>
        <v/>
      </c>
      <c r="IZ203" s="19">
        <f>AND(IF(BU203="",TRUE,IF(input_enews_announcement_type="",FALSE,SUMPRODUCT(--ISNUMBER(SEARCH(","&amp;TRIM(TEXTSPLIT(BU203,","))&amp;",",","&amp;SUBSTITUTE(input_enews_announcement_type," ","")&amp;",")))&gt;0)),IF(BW203="",TRUE,IF(input_enews_announcement_type="",FALSE,SUMPRODUCT(--ISNUMBER(SEARCH(","&amp;TRIM(TEXTSPLIT(BW203,","))&amp;",",","&amp;SUBSTITUTE(input_enews_announcement_type," ","")&amp;",")))=COUNTA(TEXTSPLIT(BW203,",")))),IF(BY203="",TRUE,IF(input_enews_announcement_type="",TRUE,SUMPRODUCT(--ISNUMBER(SEARCH(","&amp;TRIM(TEXTSPLIT(BY203,","))&amp;",",","&amp;SUBSTITUTE(input_enews_announcement_type," ","")&amp;",")))=0)),IF(CA203="",TRUE,IF(input_enews_announcement_type="",FALSE,SUMPRODUCT(--ISNUMBER(SEARCH(","&amp;TRIM(TEXTSPLIT(CA203,","))&amp;",",","&amp;SUBSTITUTE(input_enews_announcement_type," ","")&amp;",")))&gt;0)),IF(CC203="",TRUE,IF(input_enews_announcement_type="",FALSE,SUMPRODUCT(--ISNUMBER(SEARCH(","&amp;TRIM(TEXTSPLIT(CC203,","))&amp;",",","&amp;SUBSTITUTE(input_enews_announcement_type," ","")&amp;",")))=COUNTA(TEXTSPLIT(CC203,",")))))</f>
        <v/>
      </c>
      <c r="JA203" s="19">
        <f>AND(IF(CE203="",TRUE,IF(input_enews_audience="",FALSE,SUMPRODUCT(--ISNUMBER(SEARCH(","&amp;TRIM(TEXTSPLIT(CE203,","))&amp;",",","&amp;SUBSTITUTE(input_enews_audience," ","")&amp;",")))&gt;0)),IF(CG203="",TRUE,IF(input_enews_audience="",FALSE,SUMPRODUCT(--ISNUMBER(SEARCH(","&amp;TRIM(TEXTSPLIT(CG203,","))&amp;",",","&amp;SUBSTITUTE(input_enews_audience," ","")&amp;",")))=COUNTA(TEXTSPLIT(CG203,",")))),IF(CI203="",TRUE,IF(input_enews_audience="",TRUE,SUMPRODUCT(--ISNUMBER(SEARCH(","&amp;TRIM(TEXTSPLIT(CI203,","))&amp;",",","&amp;SUBSTITUTE(input_enews_audience," ","")&amp;",")))=0)),IF(CK203="",TRUE,IF(input_enews_audience="",FALSE,SUMPRODUCT(--ISNUMBER(SEARCH(","&amp;TRIM(TEXTSPLIT(CK203,","))&amp;",",","&amp;SUBSTITUTE(input_enews_audience," ","")&amp;",")))&gt;0)),IF(CM203="",TRUE,IF(input_enews_audience="",FALSE,SUMPRODUCT(--ISNUMBER(SEARCH(","&amp;TRIM(TEXTSPLIT(CM203,","))&amp;",",","&amp;SUBSTITUTE(input_enews_audience," ","")&amp;",")))=COUNTA(TEXTSPLIT(CM203,",")))))</f>
        <v/>
      </c>
      <c r="JB203" s="19">
        <f>AND(IF(CO203="",TRUE,IF(input_event_location="",FALSE,SUMPRODUCT(--ISNUMBER(SEARCH(","&amp;TRIM(TEXTSPLIT(CO203,","))&amp;",",","&amp;SUBSTITUTE(input_event_location," ","")&amp;",")))&gt;0)),IF(CQ203="",TRUE,IF(input_event_location="",FALSE,SUMPRODUCT(--ISNUMBER(SEARCH(","&amp;TRIM(TEXTSPLIT(CQ203,","))&amp;",",","&amp;SUBSTITUTE(input_event_location," ","")&amp;",")))=COUNTA(TEXTSPLIT(CQ203,",")))),IF(CS203="",TRUE,IF(input_event_location="",TRUE,SUMPRODUCT(--ISNUMBER(SEARCH(","&amp;TRIM(TEXTSPLIT(CS203,","))&amp;",",","&amp;SUBSTITUTE(input_event_location," ","")&amp;",")))=0)),IF(CU203="",TRUE,IF(input_event_location="",FALSE,SUMPRODUCT(--ISNUMBER(SEARCH(","&amp;TRIM(TEXTSPLIT(CU203,","))&amp;",",","&amp;SUBSTITUTE(input_event_location," ","")&amp;",")))&gt;0)),IF(CW203="",TRUE,IF(input_event_location="",FALSE,SUMPRODUCT(--ISNUMBER(SEARCH(","&amp;TRIM(TEXTSPLIT(CW203,","))&amp;",",","&amp;SUBSTITUTE(input_event_location," ","")&amp;",")))=COUNTA(TEXTSPLIT(CW203,",")))))</f>
        <v/>
      </c>
      <c r="JC203" s="19">
        <f>AND(IF(CY203="",TRUE,IF(input_event_type="",FALSE,SUMPRODUCT(--ISNUMBER(SEARCH(","&amp;TRIM(TEXTSPLIT(CY203,","))&amp;",",","&amp;SUBSTITUTE(input_event_type," ","")&amp;",")))&gt;0)),IF(DA203="",TRUE,IF(input_event_type="",FALSE,SUMPRODUCT(--ISNUMBER(SEARCH(","&amp;TRIM(TEXTSPLIT(DA203,","))&amp;",",","&amp;SUBSTITUTE(input_event_type," ","")&amp;",")))=COUNTA(TEXTSPLIT(DA203,",")))),IF(DC203="",TRUE,IF(input_event_type="",TRUE,SUMPRODUCT(--ISNUMBER(SEARCH(","&amp;TRIM(TEXTSPLIT(DC203,","))&amp;",",","&amp;SUBSTITUTE(input_event_type," ","")&amp;",")))=0)),IF(DE203="",TRUE,IF(input_event_type="",FALSE,SUMPRODUCT(--ISNUMBER(SEARCH(","&amp;TRIM(TEXTSPLIT(DE203,","))&amp;",",","&amp;SUBSTITUTE(input_event_type," ","")&amp;",")))&gt;0)),IF(DG203="",TRUE,IF(input_event_type="",FALSE,SUMPRODUCT(--ISNUMBER(SEARCH(","&amp;TRIM(TEXTSPLIT(DG203,","))&amp;",",","&amp;SUBSTITUTE(input_event_type," ","")&amp;",")))=COUNTA(TEXTSPLIT(DG203,",")))))</f>
        <v/>
      </c>
      <c r="JD203" s="19">
        <f>AND(IF(DI203="",TRUE,IF(input_executive_education_focus="",FALSE,SUMPRODUCT(--ISNUMBER(SEARCH(","&amp;TRIM(TEXTSPLIT(DI203,","))&amp;",",","&amp;SUBSTITUTE(input_executive_education_focus," ","")&amp;",")))&gt;0)),IF(DK203="",TRUE,IF(input_executive_education_focus="",FALSE,SUMPRODUCT(--ISNUMBER(SEARCH(","&amp;TRIM(TEXTSPLIT(DK203,","))&amp;",",","&amp;SUBSTITUTE(input_executive_education_focus," ","")&amp;",")))=COUNTA(TEXTSPLIT(DK203,",")))),IF(DM203="",TRUE,IF(input_executive_education_focus="",TRUE,SUMPRODUCT(--ISNUMBER(SEARCH(","&amp;TRIM(TEXTSPLIT(DM203,","))&amp;",",","&amp;SUBSTITUTE(input_executive_education_focus," ","")&amp;",")))=0)),IF(DO203="",TRUE,IF(input_executive_education_focus="",FALSE,SUMPRODUCT(--ISNUMBER(SEARCH(","&amp;TRIM(TEXTSPLIT(DO203,","))&amp;",",","&amp;SUBSTITUTE(input_executive_education_focus," ","")&amp;",")))&gt;0)),IF(DQ203="",TRUE,IF(input_executive_education_focus="",FALSE,SUMPRODUCT(--ISNUMBER(SEARCH(","&amp;TRIM(TEXTSPLIT(DQ203,","))&amp;",",","&amp;SUBSTITUTE(input_executive_education_focus," ","")&amp;",")))=COUNTA(TEXTSPLIT(DQ203,",")))))</f>
        <v/>
      </c>
      <c r="JE203" s="19">
        <f>AND(IF(DS203="",TRUE,IF(input_faculty_category="",FALSE,SUMPRODUCT(--ISNUMBER(SEARCH(","&amp;TRIM(TEXTSPLIT(DS203,","))&amp;",",","&amp;SUBSTITUTE(input_faculty_category," ","")&amp;",")))&gt;0)),IF(DU203="",TRUE,IF(input_faculty_category="",FALSE,SUMPRODUCT(--ISNUMBER(SEARCH(","&amp;TRIM(TEXTSPLIT(DU203,","))&amp;",",","&amp;SUBSTITUTE(input_faculty_category," ","")&amp;",")))=COUNTA(TEXTSPLIT(DU203,",")))),IF(DW203="",TRUE,IF(input_faculty_category="",TRUE,SUMPRODUCT(--ISNUMBER(SEARCH(","&amp;TRIM(TEXTSPLIT(DW203,","))&amp;",",","&amp;SUBSTITUTE(input_faculty_category," ","")&amp;",")))=0)),IF(DY203="",TRUE,IF(input_faculty_category="",FALSE,SUMPRODUCT(--ISNUMBER(SEARCH(","&amp;TRIM(TEXTSPLIT(DY203,","))&amp;",",","&amp;SUBSTITUTE(input_faculty_category," ","")&amp;",")))&gt;0)),IF(EA203="",TRUE,IF(input_faculty_category="",FALSE,SUMPRODUCT(--ISNUMBER(SEARCH(","&amp;TRIM(TEXTSPLIT(EA203,","))&amp;",",","&amp;SUBSTITUTE(input_faculty_category," ","")&amp;",")))=COUNTA(TEXTSPLIT(EA203,",")))))</f>
        <v/>
      </c>
      <c r="JF203" s="19">
        <f>AND(IF(EC203="",TRUE,IF(input_faculty_discipline="",FALSE,SUMPRODUCT(--ISNUMBER(SEARCH(","&amp;TRIM(TEXTSPLIT(EC203,","))&amp;",",","&amp;SUBSTITUTE(input_faculty_discipline," ","")&amp;",")))&gt;0)),IF(EE203="",TRUE,IF(input_faculty_discipline="",FALSE,SUMPRODUCT(--ISNUMBER(SEARCH(","&amp;TRIM(TEXTSPLIT(EE203,","))&amp;",",","&amp;SUBSTITUTE(input_faculty_discipline," ","")&amp;",")))=COUNTA(TEXTSPLIT(EE203,",")))),IF(EG203="",TRUE,IF(input_faculty_discipline="",TRUE,SUMPRODUCT(--ISNUMBER(SEARCH(","&amp;TRIM(TEXTSPLIT(EG203,","))&amp;",",","&amp;SUBSTITUTE(input_faculty_discipline," ","")&amp;",")))=0)),IF(EI203="",TRUE,IF(input_faculty_discipline="",FALSE,SUMPRODUCT(--ISNUMBER(SEARCH(","&amp;TRIM(TEXTSPLIT(EI203,","))&amp;",",","&amp;SUBSTITUTE(input_faculty_discipline," ","")&amp;",")))&gt;0)),IF(EK203="",TRUE,IF(input_faculty_discipline="",FALSE,SUMPRODUCT(--ISNUMBER(SEARCH(","&amp;TRIM(TEXTSPLIT(EK203,","))&amp;",",","&amp;SUBSTITUTE(input_faculty_discipline," ","")&amp;",")))=COUNTA(TEXTSPLIT(EK203,",")))))</f>
        <v/>
      </c>
      <c r="JG203" s="19">
        <f>AND(IF(EM203="",TRUE,IF(input_faculty_expertise="",FALSE,SUMPRODUCT(--ISNUMBER(SEARCH(","&amp;TRIM(TEXTSPLIT(EM203,","))&amp;",",","&amp;SUBSTITUTE(input_faculty_expertise," ","")&amp;",")))&gt;0)),IF(EO203="",TRUE,IF(input_faculty_expertise="",FALSE,SUMPRODUCT(--ISNUMBER(SEARCH(","&amp;TRIM(TEXTSPLIT(EO203,","))&amp;",",","&amp;SUBSTITUTE(input_faculty_expertise," ","")&amp;",")))=COUNTA(TEXTSPLIT(EO203,",")))),IF(EQ203="",TRUE,IF(input_faculty_expertise="",TRUE,SUMPRODUCT(--ISNUMBER(SEARCH(","&amp;TRIM(TEXTSPLIT(EQ203,","))&amp;",",","&amp;SUBSTITUTE(input_faculty_expertise," ","")&amp;",")))=0)),IF(ES203="",TRUE,IF(input_faculty_expertise="",FALSE,SUMPRODUCT(--ISNUMBER(SEARCH(","&amp;TRIM(TEXTSPLIT(ES203,","))&amp;",",","&amp;SUBSTITUTE(input_faculty_expertise," ","")&amp;",")))&gt;0)),IF(EU203="",TRUE,IF(input_faculty_expertise="",FALSE,SUMPRODUCT(--ISNUMBER(SEARCH(","&amp;TRIM(TEXTSPLIT(EU203,","))&amp;",",","&amp;SUBSTITUTE(input_faculty_expertise," ","")&amp;",")))=COUNTA(TEXTSPLIT(EU203,",")))))</f>
        <v/>
      </c>
      <c r="JH203" s="19">
        <f>AND(IF(EW203="",TRUE,IF(input_global_network_school="",FALSE,SUMPRODUCT(--ISNUMBER(SEARCH(","&amp;TRIM(TEXTSPLIT(EW203,","))&amp;",",","&amp;SUBSTITUTE(input_global_network_school," ","")&amp;",")))&gt;0)),IF(EY203="",TRUE,IF(input_global_network_school="",FALSE,SUMPRODUCT(--ISNUMBER(SEARCH(","&amp;TRIM(TEXTSPLIT(EY203,","))&amp;",",","&amp;SUBSTITUTE(input_global_network_school," ","")&amp;",")))=COUNTA(TEXTSPLIT(EY203,",")))),IF(FA203="",TRUE,IF(input_global_network_school="",TRUE,SUMPRODUCT(--ISNUMBER(SEARCH(","&amp;TRIM(TEXTSPLIT(FA203,","))&amp;",",","&amp;SUBSTITUTE(input_global_network_school," ","")&amp;",")))=0)),IF(FC203="",TRUE,IF(input_global_network_school="",FALSE,SUMPRODUCT(--ISNUMBER(SEARCH(","&amp;TRIM(TEXTSPLIT(FC203,","))&amp;",",","&amp;SUBSTITUTE(input_global_network_school," ","")&amp;",")))&gt;0)),IF(FE203="",TRUE,IF(input_global_network_school="",FALSE,SUMPRODUCT(--ISNUMBER(SEARCH(","&amp;TRIM(TEXTSPLIT(FE203,","))&amp;",",","&amp;SUBSTITUTE(input_global_network_school," ","")&amp;",")))=COUNTA(TEXTSPLIT(FE203,",")))))</f>
        <v/>
      </c>
      <c r="JI203" s="19">
        <f>AND(IF(FG203="",TRUE,IF(input_industry="",FALSE,SUMPRODUCT(--ISNUMBER(SEARCH(","&amp;TRIM(TEXTSPLIT(FG203,","))&amp;",",","&amp;SUBSTITUTE(input_industry," ","")&amp;",")))&gt;0)),IF(FI203="",TRUE,IF(input_industry="",FALSE,SUMPRODUCT(--ISNUMBER(SEARCH(","&amp;TRIM(TEXTSPLIT(FI203,","))&amp;",",","&amp;SUBSTITUTE(input_industry," ","")&amp;",")))=COUNTA(TEXTSPLIT(FI203,",")))),IF(FK203="",TRUE,IF(input_industry="",TRUE,SUMPRODUCT(--ISNUMBER(SEARCH(","&amp;TRIM(TEXTSPLIT(FK203,","))&amp;",",","&amp;SUBSTITUTE(input_industry," ","")&amp;",")))=0)),IF(FM203="",TRUE,IF(input_industry="",FALSE,SUMPRODUCT(--ISNUMBER(SEARCH(","&amp;TRIM(TEXTSPLIT(FM203,","))&amp;",",","&amp;SUBSTITUTE(input_industry," ","")&amp;",")))&gt;0)),IF(FO203="",TRUE,IF(input_industry="",FALSE,SUMPRODUCT(--ISNUMBER(SEARCH(","&amp;TRIM(TEXTSPLIT(FO203,","))&amp;",",","&amp;SUBSTITUTE(input_industry," ","")&amp;",")))=COUNTA(TEXTSPLIT(FO203,",")))))</f>
        <v/>
      </c>
      <c r="JJ203" s="19">
        <f>AND(IF(FQ203="",TRUE,IF(input_location="",FALSE,SUMPRODUCT(--ISNUMBER(SEARCH(","&amp;TRIM(TEXTSPLIT(FQ203,","))&amp;",",","&amp;SUBSTITUTE(input_location," ","")&amp;",")))&gt;0)),IF(FS203="",TRUE,IF(input_location="",FALSE,SUMPRODUCT(--ISNUMBER(SEARCH(","&amp;TRIM(TEXTSPLIT(FS203,","))&amp;",",","&amp;SUBSTITUTE(input_location," ","")&amp;",")))=COUNTA(TEXTSPLIT(FS203,",")))),IF(FU203="",TRUE,IF(input_location="",TRUE,SUMPRODUCT(--ISNUMBER(SEARCH(","&amp;TRIM(TEXTSPLIT(FU203,","))&amp;",",","&amp;SUBSTITUTE(input_location," ","")&amp;",")))=0)),IF(FW203="",TRUE,IF(input_location="",FALSE,SUMPRODUCT(--ISNUMBER(SEARCH(","&amp;TRIM(TEXTSPLIT(FW203,","))&amp;",",","&amp;SUBSTITUTE(input_location," ","")&amp;",")))&gt;0)),IF(FY203="",TRUE,IF(input_location="",FALSE,SUMPRODUCT(--ISNUMBER(SEARCH(","&amp;TRIM(TEXTSPLIT(FY203,","))&amp;",",","&amp;SUBSTITUTE(input_location," ","")&amp;",")))=COUNTA(TEXTSPLIT(FY203,",")))))</f>
        <v/>
      </c>
      <c r="JK203" s="19">
        <f>AND(IF(GA203="",TRUE,IF(input_modality="",FALSE,SUMPRODUCT(--ISNUMBER(SEARCH(","&amp;TRIM(TEXTSPLIT(GA203,","))&amp;",",","&amp;SUBSTITUTE(input_modality," ","")&amp;",")))&gt;0)),IF(GC203="",TRUE,IF(input_modality="",FALSE,SUMPRODUCT(--ISNUMBER(SEARCH(","&amp;TRIM(TEXTSPLIT(GC203,","))&amp;",",","&amp;SUBSTITUTE(input_modality," ","")&amp;",")))=COUNTA(TEXTSPLIT(GC203,",")))),IF(GE203="",TRUE,IF(input_modality="",TRUE,SUMPRODUCT(--ISNUMBER(SEARCH(","&amp;TRIM(TEXTSPLIT(GE203,","))&amp;",",","&amp;SUBSTITUTE(input_modality," ","")&amp;",")))=0)),IF(GG203="",TRUE,IF(input_modality="",FALSE,SUMPRODUCT(--ISNUMBER(SEARCH(","&amp;TRIM(TEXTSPLIT(GG203,","))&amp;",",","&amp;SUBSTITUTE(input_modality," ","")&amp;",")))&gt;0)),IF(GI203="",TRUE,IF(input_modality="",FALSE,SUMPRODUCT(--ISNUMBER(SEARCH(","&amp;TRIM(TEXTSPLIT(GI203,","))&amp;",",","&amp;SUBSTITUTE(input_modality," ","")&amp;",")))=COUNTA(TEXTSPLIT(GI203,",")))))</f>
        <v/>
      </c>
      <c r="JL203" s="19">
        <f>AND(IF(GK203="",TRUE,IF(input_organizer="",FALSE,SUMPRODUCT(--ISNUMBER(SEARCH(","&amp;TRIM(TEXTSPLIT(GK203,","))&amp;",",","&amp;SUBSTITUTE(input_organizer," ","")&amp;",")))&gt;0)),IF(GM203="",TRUE,IF(input_organizer="",FALSE,SUMPRODUCT(--ISNUMBER(SEARCH(","&amp;TRIM(TEXTSPLIT(GM203,","))&amp;",",","&amp;SUBSTITUTE(input_organizer," ","")&amp;",")))=COUNTA(TEXTSPLIT(GM203,",")))),IF(GO203="",TRUE,IF(input_organizer="",TRUE,SUMPRODUCT(--ISNUMBER(SEARCH(","&amp;TRIM(TEXTSPLIT(GO203,","))&amp;",",","&amp;SUBSTITUTE(input_organizer," ","")&amp;",")))=0)),IF(GQ203="",TRUE,IF(input_organizer="",FALSE,SUMPRODUCT(--ISNUMBER(SEARCH(","&amp;TRIM(TEXTSPLIT(GQ203,","))&amp;",",","&amp;SUBSTITUTE(input_organizer," ","")&amp;",")))&gt;0)),IF(GS203="",TRUE,IF(input_organizer="",FALSE,SUMPRODUCT(--ISNUMBER(SEARCH(","&amp;TRIM(TEXTSPLIT(GS203,","))&amp;",",","&amp;SUBSTITUTE(input_organizer," ","")&amp;",")))=COUNTA(TEXTSPLIT(GS203,",")))))</f>
        <v/>
      </c>
      <c r="JM203" s="19">
        <f>AND(IF(GU203="",TRUE,IF(input_profile_type="",FALSE,SUMPRODUCT(--ISNUMBER(SEARCH(","&amp;TRIM(TEXTSPLIT(GU203,","))&amp;",",","&amp;SUBSTITUTE(input_profile_type," ","")&amp;",")))&gt;0)),IF(GW203="",TRUE,IF(input_profile_type="",FALSE,SUMPRODUCT(--ISNUMBER(SEARCH(","&amp;TRIM(TEXTSPLIT(GW203,","))&amp;",",","&amp;SUBSTITUTE(input_profile_type," ","")&amp;",")))=COUNTA(TEXTSPLIT(GW203,",")))),IF(GY203="",TRUE,IF(input_profile_type="",TRUE,SUMPRODUCT(--ISNUMBER(SEARCH(","&amp;TRIM(TEXTSPLIT(GY203,","))&amp;",",","&amp;SUBSTITUTE(input_profile_type," ","")&amp;",")))=0)),IF(HA203="",TRUE,IF(input_profile_type="",FALSE,SUMPRODUCT(--ISNUMBER(SEARCH(","&amp;TRIM(TEXTSPLIT(HA203,","))&amp;",",","&amp;SUBSTITUTE(input_profile_type," ","")&amp;",")))&gt;0)),IF(HC203="",TRUE,IF(input_profile_type="",FALSE,SUMPRODUCT(--ISNUMBER(SEARCH(","&amp;TRIM(TEXTSPLIT(HC203,","))&amp;",",","&amp;SUBSTITUTE(input_profile_type," ","")&amp;",")))=COUNTA(TEXTSPLIT(HC203,",")))))</f>
        <v/>
      </c>
      <c r="JN203" s="19">
        <f>AND(IF(HE203="",TRUE,IF(input_program="",FALSE,SUMPRODUCT(--ISNUMBER(SEARCH(","&amp;TRIM(TEXTSPLIT(HE203,","))&amp;",",","&amp;SUBSTITUTE(input_program," ","")&amp;",")))&gt;0)),IF(HG203="",TRUE,IF(input_program="",FALSE,SUMPRODUCT(--ISNUMBER(SEARCH(","&amp;TRIM(TEXTSPLIT(HG203,","))&amp;",",","&amp;SUBSTITUTE(input_program," ","")&amp;",")))=COUNTA(TEXTSPLIT(HG203,",")))),IF(HI203="",TRUE,IF(input_program="",TRUE,SUMPRODUCT(--ISNUMBER(SEARCH(","&amp;TRIM(TEXTSPLIT(HI203,","))&amp;",",","&amp;SUBSTITUTE(input_program," ","")&amp;",")))=0)),IF(HK203="",TRUE,IF(input_program="",FALSE,SUMPRODUCT(--ISNUMBER(SEARCH(","&amp;TRIM(TEXTSPLIT(HK203,","))&amp;",",","&amp;SUBSTITUTE(input_program," ","")&amp;",")))&gt;0)),IF(HM203="",TRUE,IF(input_program="",FALSE,SUMPRODUCT(--ISNUMBER(SEARCH(","&amp;TRIM(TEXTSPLIT(HM203,","))&amp;",",","&amp;SUBSTITUTE(input_program," ","")&amp;",")))=COUNTA(TEXTSPLIT(HM203,",")))))</f>
        <v/>
      </c>
      <c r="JO203" s="19">
        <f>AND(IF(HO203="",TRUE,IF(input_story_categories="",FALSE,SUMPRODUCT(--ISNUMBER(SEARCH(","&amp;TRIM(TEXTSPLIT(HO203,","))&amp;",",","&amp;SUBSTITUTE(input_story_categories," ","")&amp;",")))&gt;0)),IF(HQ203="",TRUE,IF(input_story_categories="",FALSE,SUMPRODUCT(--ISNUMBER(SEARCH(","&amp;TRIM(TEXTSPLIT(HQ203,","))&amp;",",","&amp;SUBSTITUTE(input_story_categories," ","")&amp;",")))=COUNTA(TEXTSPLIT(HQ203,",")))),IF(HS203="",TRUE,IF(input_story_categories="",TRUE,SUMPRODUCT(--ISNUMBER(SEARCH(","&amp;TRIM(TEXTSPLIT(HS203,","))&amp;",",","&amp;SUBSTITUTE(input_story_categories," ","")&amp;",")))=0)),IF(HU203="",TRUE,IF(input_story_categories="",FALSE,SUMPRODUCT(--ISNUMBER(SEARCH(","&amp;TRIM(TEXTSPLIT(HU203,","))&amp;",",","&amp;SUBSTITUTE(input_story_categories," ","")&amp;",")))&gt;0)),IF(HW203="",TRUE,IF(input_story_categories="",FALSE,SUMPRODUCT(--ISNUMBER(SEARCH(","&amp;TRIM(TEXTSPLIT(HW203,","))&amp;",",","&amp;SUBSTITUTE(input_story_categories," ","")&amp;",")))=COUNTA(TEXTSPLIT(HW203,",")))))</f>
        <v/>
      </c>
      <c r="JP203" s="19">
        <f>AND(IF(HY203="",TRUE,IF(input_story_type="",FALSE,SUMPRODUCT(--ISNUMBER(SEARCH(","&amp;TRIM(TEXTSPLIT(HY203,","))&amp;",",","&amp;SUBSTITUTE(input_story_type," ","")&amp;",")))&gt;0)),IF(IA203="",TRUE,IF(input_story_type="",FALSE,SUMPRODUCT(--ISNUMBER(SEARCH(","&amp;TRIM(TEXTSPLIT(IA203,","))&amp;",",","&amp;SUBSTITUTE(input_story_type," ","")&amp;",")))=COUNTA(TEXTSPLIT(IA203,",")))),IF(IC203="",TRUE,IF(input_story_type="",TRUE,SUMPRODUCT(--ISNUMBER(SEARCH(","&amp;TRIM(TEXTSPLIT(IC203,","))&amp;",",","&amp;SUBSTITUTE(input_story_type," ","")&amp;",")))=0)),IF(IE203="",TRUE,IF(input_story_type="",FALSE,SUMPRODUCT(--ISNUMBER(SEARCH(","&amp;TRIM(TEXTSPLIT(IE203,","))&amp;",",","&amp;SUBSTITUTE(input_story_type," ","")&amp;",")))&gt;0)),IF(IG203="",TRUE,IF(input_story_type="",FALSE,SUMPRODUCT(--ISNUMBER(SEARCH(","&amp;TRIM(TEXTSPLIT(IG203,","))&amp;",",","&amp;SUBSTITUTE(input_story_type," ","")&amp;",")))=COUNTA(TEXTSPLIT(IG203,",")))))</f>
        <v/>
      </c>
      <c r="JQ203" s="19">
        <f>AND(IF(II203="",TRUE,IF(input_topics="",FALSE,SUMPRODUCT(--ISNUMBER(SEARCH(","&amp;TRIM(TEXTSPLIT(II203,","))&amp;",",","&amp;SUBSTITUTE(input_topics," ","")&amp;",")))&gt;0)),IF(IK203="",TRUE,IF(input_topics="",FALSE,SUMPRODUCT(--ISNUMBER(SEARCH(","&amp;TRIM(TEXTSPLIT(IK203,","))&amp;",",","&amp;SUBSTITUTE(input_topics," ","")&amp;",")))=COUNTA(TEXTSPLIT(IK203,",")))),IF(IM203="",TRUE,IF(input_topics="",TRUE,SUMPRODUCT(--ISNUMBER(SEARCH(","&amp;TRIM(TEXTSPLIT(IM203,","))&amp;",",","&amp;SUBSTITUTE(input_topics," ","")&amp;",")))=0)),IF(IO203="",TRUE,IF(input_topics="",FALSE,SUMPRODUCT(--ISNUMBER(SEARCH(","&amp;TRIM(TEXTSPLIT(IO203,","))&amp;",",","&amp;SUBSTITUTE(input_topics," ","")&amp;",")))&gt;0)),IF(IQ203="",TRUE,IF(input_topics="",FALSE,SUMPRODUCT(--ISNUMBER(SEARCH(","&amp;TRIM(TEXTSPLIT(IQ203,","))&amp;",",","&amp;SUBSTITUTE(input_topics," ","")&amp;",")))=COUNTA(TEXTSPLIT(IQ203,",")))))</f>
        <v/>
      </c>
    </row>
    <row r="204">
      <c r="A204" s="24">
        <f>IF(NOT(IS204),"Excluded",IF(AND(IT204,IU204,IV204,IW204,IX204,IY204,IZ204,JA204,JB204,JC204,JD204,JE204,JF204,JG204,JH204,JI204,JJ204,JK204,JL204,JM204,JN204,JO204,JP204,JQ204),IF(I204&gt;0,"Eligible but limited","Will appear"),"Excluded"))</f>
        <v/>
      </c>
      <c r="B204" s="24" t="inlineStr">
        <is>
          <t>Related stories on story pages</t>
        </is>
      </c>
      <c r="C204" s="27" t="inlineStr">
        <is>
          <t>/story/2025/building-brands-dot-dot-todd-kaplan-som-06-art-marketing</t>
        </is>
      </c>
      <c r="D204" s="24" t="inlineStr">
        <is>
          <t>/story/2025/building-brands-dot-dot-todd-kaplan-som-06-art-marketing
/story/2025/claire-burns-som-96-colloquium-marketing-leadership
/story/2026/beyond-big-game-why-some-ads-stick</t>
        </is>
      </c>
      <c r="E204" s="24" t="n">
        <v>3</v>
      </c>
      <c r="F204" s="24" t="inlineStr">
        <is>
          <t>story</t>
        </is>
      </c>
      <c r="G204" s="24" t="inlineStr">
        <is>
          <t>stories_teaser_cards</t>
        </is>
      </c>
      <c r="H204" s="24" t="inlineStr">
        <is>
          <t>embed_all</t>
        </is>
      </c>
      <c r="I204" s="24" t="n">
        <v>3</v>
      </c>
      <c r="J204" s="31" t="inlineStr">
        <is>
          <t>Template logic</t>
        </is>
      </c>
      <c r="K204" s="24" t="inlineStr">
        <is>
          <t>Grouped surface</t>
        </is>
      </c>
      <c r="L204" s="24" t="inlineStr">
        <is>
          <t>Content type: story; Context uses Courses Context: Center for Customer Insights (944); Context uses Story Type: Blog (974); Limited to 3 item(s); Source: Template logic</t>
        </is>
      </c>
      <c r="BQ204" s="19" t="inlineStr">
        <is>
          <t>944</t>
        </is>
      </c>
      <c r="BR204" s="19" t="inlineStr">
        <is>
          <t>Center for Customer Insights (944)</t>
        </is>
      </c>
      <c r="IE204" s="19" t="inlineStr">
        <is>
          <t>974</t>
        </is>
      </c>
      <c r="IF204" s="19" t="inlineStr">
        <is>
          <t>Blog (974)</t>
        </is>
      </c>
      <c r="IS204" s="19">
        <f>IF(input_content_type="",FALSE,ISNUMBER(SEARCH(","&amp;LOWER(input_content_type)&amp;",",","&amp;LOWER(SUBSTITUTE(F204," ",""))&amp;",")))</f>
        <v/>
      </c>
      <c r="IT204" s="19">
        <f>AND(IF(M204="",TRUE,IF(input_affiliations="",FALSE,SUMPRODUCT(--ISNUMBER(SEARCH(","&amp;TRIM(TEXTSPLIT(M204,","))&amp;",",","&amp;SUBSTITUTE(input_affiliations," ","")&amp;",")))&gt;0)),IF(O204="",TRUE,IF(input_affiliations="",FALSE,SUMPRODUCT(--ISNUMBER(SEARCH(","&amp;TRIM(TEXTSPLIT(O204,","))&amp;",",","&amp;SUBSTITUTE(input_affiliations," ","")&amp;",")))=COUNTA(TEXTSPLIT(O204,",")))),IF(Q204="",TRUE,IF(input_affiliations="",TRUE,SUMPRODUCT(--ISNUMBER(SEARCH(","&amp;TRIM(TEXTSPLIT(Q204,","))&amp;",",","&amp;SUBSTITUTE(input_affiliations," ","")&amp;",")))=0)),IF(S204="",TRUE,IF(input_affiliations="",FALSE,SUMPRODUCT(--ISNUMBER(SEARCH(","&amp;TRIM(TEXTSPLIT(S204,","))&amp;",",","&amp;SUBSTITUTE(input_affiliations," ","")&amp;",")))&gt;0)),IF(U204="",TRUE,IF(input_affiliations="",FALSE,SUMPRODUCT(--ISNUMBER(SEARCH(","&amp;TRIM(TEXTSPLIT(U204,","))&amp;",",","&amp;SUBSTITUTE(input_affiliations," ","")&amp;",")))=COUNTA(TEXTSPLIT(U204,",")))))</f>
        <v/>
      </c>
      <c r="IU204" s="19">
        <f>AND(IF(W204="",TRUE,IF(input_announcement_category="",FALSE,SUMPRODUCT(--ISNUMBER(SEARCH(","&amp;TRIM(TEXTSPLIT(W204,","))&amp;",",","&amp;SUBSTITUTE(input_announcement_category," ","")&amp;",")))&gt;0)),IF(Y204="",TRUE,IF(input_announcement_category="",FALSE,SUMPRODUCT(--ISNUMBER(SEARCH(","&amp;TRIM(TEXTSPLIT(Y204,","))&amp;",",","&amp;SUBSTITUTE(input_announcement_category," ","")&amp;",")))=COUNTA(TEXTSPLIT(Y204,",")))),IF(AA204="",TRUE,IF(input_announcement_category="",TRUE,SUMPRODUCT(--ISNUMBER(SEARCH(","&amp;TRIM(TEXTSPLIT(AA204,","))&amp;",",","&amp;SUBSTITUTE(input_announcement_category," ","")&amp;",")))=0)),IF(AC204="",TRUE,IF(input_announcement_category="",FALSE,SUMPRODUCT(--ISNUMBER(SEARCH(","&amp;TRIM(TEXTSPLIT(AC204,","))&amp;",",","&amp;SUBSTITUTE(input_announcement_category," ","")&amp;",")))&gt;0)),IF(AE204="",TRUE,IF(input_announcement_category="",FALSE,SUMPRODUCT(--ISNUMBER(SEARCH(","&amp;TRIM(TEXTSPLIT(AE204,","))&amp;",",","&amp;SUBSTITUTE(input_announcement_category," ","")&amp;",")))=COUNTA(TEXTSPLIT(AE204,",")))))</f>
        <v/>
      </c>
      <c r="IV204" s="19">
        <f>AND(IF(AG204="",TRUE,IF(input_area_of_focus="",FALSE,SUMPRODUCT(--ISNUMBER(SEARCH(","&amp;TRIM(TEXTSPLIT(AG204,","))&amp;",",","&amp;SUBSTITUTE(input_area_of_focus," ","")&amp;",")))&gt;0)),IF(AI204="",TRUE,IF(input_area_of_focus="",FALSE,SUMPRODUCT(--ISNUMBER(SEARCH(","&amp;TRIM(TEXTSPLIT(AI204,","))&amp;",",","&amp;SUBSTITUTE(input_area_of_focus," ","")&amp;",")))=COUNTA(TEXTSPLIT(AI204,",")))),IF(AK204="",TRUE,IF(input_area_of_focus="",TRUE,SUMPRODUCT(--ISNUMBER(SEARCH(","&amp;TRIM(TEXTSPLIT(AK204,","))&amp;",",","&amp;SUBSTITUTE(input_area_of_focus," ","")&amp;",")))=0)),IF(AM204="",TRUE,IF(input_area_of_focus="",FALSE,SUMPRODUCT(--ISNUMBER(SEARCH(","&amp;TRIM(TEXTSPLIT(AM204,","))&amp;",",","&amp;SUBSTITUTE(input_area_of_focus," ","")&amp;",")))&gt;0)),IF(AO204="",TRUE,IF(input_area_of_focus="",FALSE,SUMPRODUCT(--ISNUMBER(SEARCH(","&amp;TRIM(TEXTSPLIT(AO204,","))&amp;",",","&amp;SUBSTITUTE(input_area_of_focus," ","")&amp;",")))=COUNTA(TEXTSPLIT(AO204,",")))))</f>
        <v/>
      </c>
      <c r="IW204" s="19">
        <f>AND(IF(AQ204="",TRUE,IF(input_audience="",FALSE,SUMPRODUCT(--ISNUMBER(SEARCH(","&amp;TRIM(TEXTSPLIT(AQ204,","))&amp;",",","&amp;SUBSTITUTE(input_audience," ","")&amp;",")))&gt;0)),IF(AS204="",TRUE,IF(input_audience="",FALSE,SUMPRODUCT(--ISNUMBER(SEARCH(","&amp;TRIM(TEXTSPLIT(AS204,","))&amp;",",","&amp;SUBSTITUTE(input_audience," ","")&amp;",")))=COUNTA(TEXTSPLIT(AS204,",")))),IF(AU204="",TRUE,IF(input_audience="",TRUE,SUMPRODUCT(--ISNUMBER(SEARCH(","&amp;TRIM(TEXTSPLIT(AU204,","))&amp;",",","&amp;SUBSTITUTE(input_audience," ","")&amp;",")))=0)),IF(AW204="",TRUE,IF(input_audience="",FALSE,SUMPRODUCT(--ISNUMBER(SEARCH(","&amp;TRIM(TEXTSPLIT(AW204,","))&amp;",",","&amp;SUBSTITUTE(input_audience," ","")&amp;",")))&gt;0)),IF(AY204="",TRUE,IF(input_audience="",FALSE,SUMPRODUCT(--ISNUMBER(SEARCH(","&amp;TRIM(TEXTSPLIT(AY204,","))&amp;",",","&amp;SUBSTITUTE(input_audience," ","")&amp;",")))=COUNTA(TEXTSPLIT(AY204,",")))))</f>
        <v/>
      </c>
      <c r="IX204" s="19">
        <f>AND(IF(BA204="",TRUE,IF(input_challenge_opportunities="",FALSE,SUMPRODUCT(--ISNUMBER(SEARCH(","&amp;TRIM(TEXTSPLIT(BA204,","))&amp;",",","&amp;SUBSTITUTE(input_challenge_opportunities," ","")&amp;",")))&gt;0)),IF(BC204="",TRUE,IF(input_challenge_opportunities="",FALSE,SUMPRODUCT(--ISNUMBER(SEARCH(","&amp;TRIM(TEXTSPLIT(BC204,","))&amp;",",","&amp;SUBSTITUTE(input_challenge_opportunities," ","")&amp;",")))=COUNTA(TEXTSPLIT(BC204,",")))),IF(BE204="",TRUE,IF(input_challenge_opportunities="",TRUE,SUMPRODUCT(--ISNUMBER(SEARCH(","&amp;TRIM(TEXTSPLIT(BE204,","))&amp;",",","&amp;SUBSTITUTE(input_challenge_opportunities," ","")&amp;",")))=0)),IF(BG204="",TRUE,IF(input_challenge_opportunities="",FALSE,SUMPRODUCT(--ISNUMBER(SEARCH(","&amp;TRIM(TEXTSPLIT(BG204,","))&amp;",",","&amp;SUBSTITUTE(input_challenge_opportunities," ","")&amp;",")))&gt;0)),IF(BI204="",TRUE,IF(input_challenge_opportunities="",FALSE,SUMPRODUCT(--ISNUMBER(SEARCH(","&amp;TRIM(TEXTSPLIT(BI204,","))&amp;",",","&amp;SUBSTITUTE(input_challenge_opportunities," ","")&amp;",")))=COUNTA(TEXTSPLIT(BI204,",")))))</f>
        <v/>
      </c>
      <c r="IY204" s="19">
        <f>AND(IF(BK204="",TRUE,IF(input_context="",FALSE,SUMPRODUCT(--ISNUMBER(SEARCH(","&amp;TRIM(TEXTSPLIT(BK204,","))&amp;",",","&amp;SUBSTITUTE(input_context," ","")&amp;",")))&gt;0)),IF(BM204="",TRUE,IF(input_context="",FALSE,SUMPRODUCT(--ISNUMBER(SEARCH(","&amp;TRIM(TEXTSPLIT(BM204,","))&amp;",",","&amp;SUBSTITUTE(input_context," ","")&amp;",")))=COUNTA(TEXTSPLIT(BM204,",")))),IF(BO204="",TRUE,IF(input_context="",TRUE,SUMPRODUCT(--ISNUMBER(SEARCH(","&amp;TRIM(TEXTSPLIT(BO204,","))&amp;",",","&amp;SUBSTITUTE(input_context," ","")&amp;",")))=0)),IF(BQ204="",TRUE,IF(input_context="",FALSE,SUMPRODUCT(--ISNUMBER(SEARCH(","&amp;TRIM(TEXTSPLIT(BQ204,","))&amp;",",","&amp;SUBSTITUTE(input_context," ","")&amp;",")))&gt;0)),IF(BS204="",TRUE,IF(input_context="",FALSE,SUMPRODUCT(--ISNUMBER(SEARCH(","&amp;TRIM(TEXTSPLIT(BS204,","))&amp;",",","&amp;SUBSTITUTE(input_context," ","")&amp;",")))=COUNTA(TEXTSPLIT(BS204,",")))))</f>
        <v/>
      </c>
      <c r="IZ204" s="19">
        <f>AND(IF(BU204="",TRUE,IF(input_enews_announcement_type="",FALSE,SUMPRODUCT(--ISNUMBER(SEARCH(","&amp;TRIM(TEXTSPLIT(BU204,","))&amp;",",","&amp;SUBSTITUTE(input_enews_announcement_type," ","")&amp;",")))&gt;0)),IF(BW204="",TRUE,IF(input_enews_announcement_type="",FALSE,SUMPRODUCT(--ISNUMBER(SEARCH(","&amp;TRIM(TEXTSPLIT(BW204,","))&amp;",",","&amp;SUBSTITUTE(input_enews_announcement_type," ","")&amp;",")))=COUNTA(TEXTSPLIT(BW204,",")))),IF(BY204="",TRUE,IF(input_enews_announcement_type="",TRUE,SUMPRODUCT(--ISNUMBER(SEARCH(","&amp;TRIM(TEXTSPLIT(BY204,","))&amp;",",","&amp;SUBSTITUTE(input_enews_announcement_type," ","")&amp;",")))=0)),IF(CA204="",TRUE,IF(input_enews_announcement_type="",FALSE,SUMPRODUCT(--ISNUMBER(SEARCH(","&amp;TRIM(TEXTSPLIT(CA204,","))&amp;",",","&amp;SUBSTITUTE(input_enews_announcement_type," ","")&amp;",")))&gt;0)),IF(CC204="",TRUE,IF(input_enews_announcement_type="",FALSE,SUMPRODUCT(--ISNUMBER(SEARCH(","&amp;TRIM(TEXTSPLIT(CC204,","))&amp;",",","&amp;SUBSTITUTE(input_enews_announcement_type," ","")&amp;",")))=COUNTA(TEXTSPLIT(CC204,",")))))</f>
        <v/>
      </c>
      <c r="JA204" s="19">
        <f>AND(IF(CE204="",TRUE,IF(input_enews_audience="",FALSE,SUMPRODUCT(--ISNUMBER(SEARCH(","&amp;TRIM(TEXTSPLIT(CE204,","))&amp;",",","&amp;SUBSTITUTE(input_enews_audience," ","")&amp;",")))&gt;0)),IF(CG204="",TRUE,IF(input_enews_audience="",FALSE,SUMPRODUCT(--ISNUMBER(SEARCH(","&amp;TRIM(TEXTSPLIT(CG204,","))&amp;",",","&amp;SUBSTITUTE(input_enews_audience," ","")&amp;",")))=COUNTA(TEXTSPLIT(CG204,",")))),IF(CI204="",TRUE,IF(input_enews_audience="",TRUE,SUMPRODUCT(--ISNUMBER(SEARCH(","&amp;TRIM(TEXTSPLIT(CI204,","))&amp;",",","&amp;SUBSTITUTE(input_enews_audience," ","")&amp;",")))=0)),IF(CK204="",TRUE,IF(input_enews_audience="",FALSE,SUMPRODUCT(--ISNUMBER(SEARCH(","&amp;TRIM(TEXTSPLIT(CK204,","))&amp;",",","&amp;SUBSTITUTE(input_enews_audience," ","")&amp;",")))&gt;0)),IF(CM204="",TRUE,IF(input_enews_audience="",FALSE,SUMPRODUCT(--ISNUMBER(SEARCH(","&amp;TRIM(TEXTSPLIT(CM204,","))&amp;",",","&amp;SUBSTITUTE(input_enews_audience," ","")&amp;",")))=COUNTA(TEXTSPLIT(CM204,",")))))</f>
        <v/>
      </c>
      <c r="JB204" s="19">
        <f>AND(IF(CO204="",TRUE,IF(input_event_location="",FALSE,SUMPRODUCT(--ISNUMBER(SEARCH(","&amp;TRIM(TEXTSPLIT(CO204,","))&amp;",",","&amp;SUBSTITUTE(input_event_location," ","")&amp;",")))&gt;0)),IF(CQ204="",TRUE,IF(input_event_location="",FALSE,SUMPRODUCT(--ISNUMBER(SEARCH(","&amp;TRIM(TEXTSPLIT(CQ204,","))&amp;",",","&amp;SUBSTITUTE(input_event_location," ","")&amp;",")))=COUNTA(TEXTSPLIT(CQ204,",")))),IF(CS204="",TRUE,IF(input_event_location="",TRUE,SUMPRODUCT(--ISNUMBER(SEARCH(","&amp;TRIM(TEXTSPLIT(CS204,","))&amp;",",","&amp;SUBSTITUTE(input_event_location," ","")&amp;",")))=0)),IF(CU204="",TRUE,IF(input_event_location="",FALSE,SUMPRODUCT(--ISNUMBER(SEARCH(","&amp;TRIM(TEXTSPLIT(CU204,","))&amp;",",","&amp;SUBSTITUTE(input_event_location," ","")&amp;",")))&gt;0)),IF(CW204="",TRUE,IF(input_event_location="",FALSE,SUMPRODUCT(--ISNUMBER(SEARCH(","&amp;TRIM(TEXTSPLIT(CW204,","))&amp;",",","&amp;SUBSTITUTE(input_event_location," ","")&amp;",")))=COUNTA(TEXTSPLIT(CW204,",")))))</f>
        <v/>
      </c>
      <c r="JC204" s="19">
        <f>AND(IF(CY204="",TRUE,IF(input_event_type="",FALSE,SUMPRODUCT(--ISNUMBER(SEARCH(","&amp;TRIM(TEXTSPLIT(CY204,","))&amp;",",","&amp;SUBSTITUTE(input_event_type," ","")&amp;",")))&gt;0)),IF(DA204="",TRUE,IF(input_event_type="",FALSE,SUMPRODUCT(--ISNUMBER(SEARCH(","&amp;TRIM(TEXTSPLIT(DA204,","))&amp;",",","&amp;SUBSTITUTE(input_event_type," ","")&amp;",")))=COUNTA(TEXTSPLIT(DA204,",")))),IF(DC204="",TRUE,IF(input_event_type="",TRUE,SUMPRODUCT(--ISNUMBER(SEARCH(","&amp;TRIM(TEXTSPLIT(DC204,","))&amp;",",","&amp;SUBSTITUTE(input_event_type," ","")&amp;",")))=0)),IF(DE204="",TRUE,IF(input_event_type="",FALSE,SUMPRODUCT(--ISNUMBER(SEARCH(","&amp;TRIM(TEXTSPLIT(DE204,","))&amp;",",","&amp;SUBSTITUTE(input_event_type," ","")&amp;",")))&gt;0)),IF(DG204="",TRUE,IF(input_event_type="",FALSE,SUMPRODUCT(--ISNUMBER(SEARCH(","&amp;TRIM(TEXTSPLIT(DG204,","))&amp;",",","&amp;SUBSTITUTE(input_event_type," ","")&amp;",")))=COUNTA(TEXTSPLIT(DG204,",")))))</f>
        <v/>
      </c>
      <c r="JD204" s="19">
        <f>AND(IF(DI204="",TRUE,IF(input_executive_education_focus="",FALSE,SUMPRODUCT(--ISNUMBER(SEARCH(","&amp;TRIM(TEXTSPLIT(DI204,","))&amp;",",","&amp;SUBSTITUTE(input_executive_education_focus," ","")&amp;",")))&gt;0)),IF(DK204="",TRUE,IF(input_executive_education_focus="",FALSE,SUMPRODUCT(--ISNUMBER(SEARCH(","&amp;TRIM(TEXTSPLIT(DK204,","))&amp;",",","&amp;SUBSTITUTE(input_executive_education_focus," ","")&amp;",")))=COUNTA(TEXTSPLIT(DK204,",")))),IF(DM204="",TRUE,IF(input_executive_education_focus="",TRUE,SUMPRODUCT(--ISNUMBER(SEARCH(","&amp;TRIM(TEXTSPLIT(DM204,","))&amp;",",","&amp;SUBSTITUTE(input_executive_education_focus," ","")&amp;",")))=0)),IF(DO204="",TRUE,IF(input_executive_education_focus="",FALSE,SUMPRODUCT(--ISNUMBER(SEARCH(","&amp;TRIM(TEXTSPLIT(DO204,","))&amp;",",","&amp;SUBSTITUTE(input_executive_education_focus," ","")&amp;",")))&gt;0)),IF(DQ204="",TRUE,IF(input_executive_education_focus="",FALSE,SUMPRODUCT(--ISNUMBER(SEARCH(","&amp;TRIM(TEXTSPLIT(DQ204,","))&amp;",",","&amp;SUBSTITUTE(input_executive_education_focus," ","")&amp;",")))=COUNTA(TEXTSPLIT(DQ204,",")))))</f>
        <v/>
      </c>
      <c r="JE204" s="19">
        <f>AND(IF(DS204="",TRUE,IF(input_faculty_category="",FALSE,SUMPRODUCT(--ISNUMBER(SEARCH(","&amp;TRIM(TEXTSPLIT(DS204,","))&amp;",",","&amp;SUBSTITUTE(input_faculty_category," ","")&amp;",")))&gt;0)),IF(DU204="",TRUE,IF(input_faculty_category="",FALSE,SUMPRODUCT(--ISNUMBER(SEARCH(","&amp;TRIM(TEXTSPLIT(DU204,","))&amp;",",","&amp;SUBSTITUTE(input_faculty_category," ","")&amp;",")))=COUNTA(TEXTSPLIT(DU204,",")))),IF(DW204="",TRUE,IF(input_faculty_category="",TRUE,SUMPRODUCT(--ISNUMBER(SEARCH(","&amp;TRIM(TEXTSPLIT(DW204,","))&amp;",",","&amp;SUBSTITUTE(input_faculty_category," ","")&amp;",")))=0)),IF(DY204="",TRUE,IF(input_faculty_category="",FALSE,SUMPRODUCT(--ISNUMBER(SEARCH(","&amp;TRIM(TEXTSPLIT(DY204,","))&amp;",",","&amp;SUBSTITUTE(input_faculty_category," ","")&amp;",")))&gt;0)),IF(EA204="",TRUE,IF(input_faculty_category="",FALSE,SUMPRODUCT(--ISNUMBER(SEARCH(","&amp;TRIM(TEXTSPLIT(EA204,","))&amp;",",","&amp;SUBSTITUTE(input_faculty_category," ","")&amp;",")))=COUNTA(TEXTSPLIT(EA204,",")))))</f>
        <v/>
      </c>
      <c r="JF204" s="19">
        <f>AND(IF(EC204="",TRUE,IF(input_faculty_discipline="",FALSE,SUMPRODUCT(--ISNUMBER(SEARCH(","&amp;TRIM(TEXTSPLIT(EC204,","))&amp;",",","&amp;SUBSTITUTE(input_faculty_discipline," ","")&amp;",")))&gt;0)),IF(EE204="",TRUE,IF(input_faculty_discipline="",FALSE,SUMPRODUCT(--ISNUMBER(SEARCH(","&amp;TRIM(TEXTSPLIT(EE204,","))&amp;",",","&amp;SUBSTITUTE(input_faculty_discipline," ","")&amp;",")))=COUNTA(TEXTSPLIT(EE204,",")))),IF(EG204="",TRUE,IF(input_faculty_discipline="",TRUE,SUMPRODUCT(--ISNUMBER(SEARCH(","&amp;TRIM(TEXTSPLIT(EG204,","))&amp;",",","&amp;SUBSTITUTE(input_faculty_discipline," ","")&amp;",")))=0)),IF(EI204="",TRUE,IF(input_faculty_discipline="",FALSE,SUMPRODUCT(--ISNUMBER(SEARCH(","&amp;TRIM(TEXTSPLIT(EI204,","))&amp;",",","&amp;SUBSTITUTE(input_faculty_discipline," ","")&amp;",")))&gt;0)),IF(EK204="",TRUE,IF(input_faculty_discipline="",FALSE,SUMPRODUCT(--ISNUMBER(SEARCH(","&amp;TRIM(TEXTSPLIT(EK204,","))&amp;",",","&amp;SUBSTITUTE(input_faculty_discipline," ","")&amp;",")))=COUNTA(TEXTSPLIT(EK204,",")))))</f>
        <v/>
      </c>
      <c r="JG204" s="19">
        <f>AND(IF(EM204="",TRUE,IF(input_faculty_expertise="",FALSE,SUMPRODUCT(--ISNUMBER(SEARCH(","&amp;TRIM(TEXTSPLIT(EM204,","))&amp;",",","&amp;SUBSTITUTE(input_faculty_expertise," ","")&amp;",")))&gt;0)),IF(EO204="",TRUE,IF(input_faculty_expertise="",FALSE,SUMPRODUCT(--ISNUMBER(SEARCH(","&amp;TRIM(TEXTSPLIT(EO204,","))&amp;",",","&amp;SUBSTITUTE(input_faculty_expertise," ","")&amp;",")))=COUNTA(TEXTSPLIT(EO204,",")))),IF(EQ204="",TRUE,IF(input_faculty_expertise="",TRUE,SUMPRODUCT(--ISNUMBER(SEARCH(","&amp;TRIM(TEXTSPLIT(EQ204,","))&amp;",",","&amp;SUBSTITUTE(input_faculty_expertise," ","")&amp;",")))=0)),IF(ES204="",TRUE,IF(input_faculty_expertise="",FALSE,SUMPRODUCT(--ISNUMBER(SEARCH(","&amp;TRIM(TEXTSPLIT(ES204,","))&amp;",",","&amp;SUBSTITUTE(input_faculty_expertise," ","")&amp;",")))&gt;0)),IF(EU204="",TRUE,IF(input_faculty_expertise="",FALSE,SUMPRODUCT(--ISNUMBER(SEARCH(","&amp;TRIM(TEXTSPLIT(EU204,","))&amp;",",","&amp;SUBSTITUTE(input_faculty_expertise," ","")&amp;",")))=COUNTA(TEXTSPLIT(EU204,",")))))</f>
        <v/>
      </c>
      <c r="JH204" s="19">
        <f>AND(IF(EW204="",TRUE,IF(input_global_network_school="",FALSE,SUMPRODUCT(--ISNUMBER(SEARCH(","&amp;TRIM(TEXTSPLIT(EW204,","))&amp;",",","&amp;SUBSTITUTE(input_global_network_school," ","")&amp;",")))&gt;0)),IF(EY204="",TRUE,IF(input_global_network_school="",FALSE,SUMPRODUCT(--ISNUMBER(SEARCH(","&amp;TRIM(TEXTSPLIT(EY204,","))&amp;",",","&amp;SUBSTITUTE(input_global_network_school," ","")&amp;",")))=COUNTA(TEXTSPLIT(EY204,",")))),IF(FA204="",TRUE,IF(input_global_network_school="",TRUE,SUMPRODUCT(--ISNUMBER(SEARCH(","&amp;TRIM(TEXTSPLIT(FA204,","))&amp;",",","&amp;SUBSTITUTE(input_global_network_school," ","")&amp;",")))=0)),IF(FC204="",TRUE,IF(input_global_network_school="",FALSE,SUMPRODUCT(--ISNUMBER(SEARCH(","&amp;TRIM(TEXTSPLIT(FC204,","))&amp;",",","&amp;SUBSTITUTE(input_global_network_school," ","")&amp;",")))&gt;0)),IF(FE204="",TRUE,IF(input_global_network_school="",FALSE,SUMPRODUCT(--ISNUMBER(SEARCH(","&amp;TRIM(TEXTSPLIT(FE204,","))&amp;",",","&amp;SUBSTITUTE(input_global_network_school," ","")&amp;",")))=COUNTA(TEXTSPLIT(FE204,",")))))</f>
        <v/>
      </c>
      <c r="JI204" s="19">
        <f>AND(IF(FG204="",TRUE,IF(input_industry="",FALSE,SUMPRODUCT(--ISNUMBER(SEARCH(","&amp;TRIM(TEXTSPLIT(FG204,","))&amp;",",","&amp;SUBSTITUTE(input_industry," ","")&amp;",")))&gt;0)),IF(FI204="",TRUE,IF(input_industry="",FALSE,SUMPRODUCT(--ISNUMBER(SEARCH(","&amp;TRIM(TEXTSPLIT(FI204,","))&amp;",",","&amp;SUBSTITUTE(input_industry," ","")&amp;",")))=COUNTA(TEXTSPLIT(FI204,",")))),IF(FK204="",TRUE,IF(input_industry="",TRUE,SUMPRODUCT(--ISNUMBER(SEARCH(","&amp;TRIM(TEXTSPLIT(FK204,","))&amp;",",","&amp;SUBSTITUTE(input_industry," ","")&amp;",")))=0)),IF(FM204="",TRUE,IF(input_industry="",FALSE,SUMPRODUCT(--ISNUMBER(SEARCH(","&amp;TRIM(TEXTSPLIT(FM204,","))&amp;",",","&amp;SUBSTITUTE(input_industry," ","")&amp;",")))&gt;0)),IF(FO204="",TRUE,IF(input_industry="",FALSE,SUMPRODUCT(--ISNUMBER(SEARCH(","&amp;TRIM(TEXTSPLIT(FO204,","))&amp;",",","&amp;SUBSTITUTE(input_industry," ","")&amp;",")))=COUNTA(TEXTSPLIT(FO204,",")))))</f>
        <v/>
      </c>
      <c r="JJ204" s="19">
        <f>AND(IF(FQ204="",TRUE,IF(input_location="",FALSE,SUMPRODUCT(--ISNUMBER(SEARCH(","&amp;TRIM(TEXTSPLIT(FQ204,","))&amp;",",","&amp;SUBSTITUTE(input_location," ","")&amp;",")))&gt;0)),IF(FS204="",TRUE,IF(input_location="",FALSE,SUMPRODUCT(--ISNUMBER(SEARCH(","&amp;TRIM(TEXTSPLIT(FS204,","))&amp;",",","&amp;SUBSTITUTE(input_location," ","")&amp;",")))=COUNTA(TEXTSPLIT(FS204,",")))),IF(FU204="",TRUE,IF(input_location="",TRUE,SUMPRODUCT(--ISNUMBER(SEARCH(","&amp;TRIM(TEXTSPLIT(FU204,","))&amp;",",","&amp;SUBSTITUTE(input_location," ","")&amp;",")))=0)),IF(FW204="",TRUE,IF(input_location="",FALSE,SUMPRODUCT(--ISNUMBER(SEARCH(","&amp;TRIM(TEXTSPLIT(FW204,","))&amp;",",","&amp;SUBSTITUTE(input_location," ","")&amp;",")))&gt;0)),IF(FY204="",TRUE,IF(input_location="",FALSE,SUMPRODUCT(--ISNUMBER(SEARCH(","&amp;TRIM(TEXTSPLIT(FY204,","))&amp;",",","&amp;SUBSTITUTE(input_location," ","")&amp;",")))=COUNTA(TEXTSPLIT(FY204,",")))))</f>
        <v/>
      </c>
      <c r="JK204" s="19">
        <f>AND(IF(GA204="",TRUE,IF(input_modality="",FALSE,SUMPRODUCT(--ISNUMBER(SEARCH(","&amp;TRIM(TEXTSPLIT(GA204,","))&amp;",",","&amp;SUBSTITUTE(input_modality," ","")&amp;",")))&gt;0)),IF(GC204="",TRUE,IF(input_modality="",FALSE,SUMPRODUCT(--ISNUMBER(SEARCH(","&amp;TRIM(TEXTSPLIT(GC204,","))&amp;",",","&amp;SUBSTITUTE(input_modality," ","")&amp;",")))=COUNTA(TEXTSPLIT(GC204,",")))),IF(GE204="",TRUE,IF(input_modality="",TRUE,SUMPRODUCT(--ISNUMBER(SEARCH(","&amp;TRIM(TEXTSPLIT(GE204,","))&amp;",",","&amp;SUBSTITUTE(input_modality," ","")&amp;",")))=0)),IF(GG204="",TRUE,IF(input_modality="",FALSE,SUMPRODUCT(--ISNUMBER(SEARCH(","&amp;TRIM(TEXTSPLIT(GG204,","))&amp;",",","&amp;SUBSTITUTE(input_modality," ","")&amp;",")))&gt;0)),IF(GI204="",TRUE,IF(input_modality="",FALSE,SUMPRODUCT(--ISNUMBER(SEARCH(","&amp;TRIM(TEXTSPLIT(GI204,","))&amp;",",","&amp;SUBSTITUTE(input_modality," ","")&amp;",")))=COUNTA(TEXTSPLIT(GI204,",")))))</f>
        <v/>
      </c>
      <c r="JL204" s="19">
        <f>AND(IF(GK204="",TRUE,IF(input_organizer="",FALSE,SUMPRODUCT(--ISNUMBER(SEARCH(","&amp;TRIM(TEXTSPLIT(GK204,","))&amp;",",","&amp;SUBSTITUTE(input_organizer," ","")&amp;",")))&gt;0)),IF(GM204="",TRUE,IF(input_organizer="",FALSE,SUMPRODUCT(--ISNUMBER(SEARCH(","&amp;TRIM(TEXTSPLIT(GM204,","))&amp;",",","&amp;SUBSTITUTE(input_organizer," ","")&amp;",")))=COUNTA(TEXTSPLIT(GM204,",")))),IF(GO204="",TRUE,IF(input_organizer="",TRUE,SUMPRODUCT(--ISNUMBER(SEARCH(","&amp;TRIM(TEXTSPLIT(GO204,","))&amp;",",","&amp;SUBSTITUTE(input_organizer," ","")&amp;",")))=0)),IF(GQ204="",TRUE,IF(input_organizer="",FALSE,SUMPRODUCT(--ISNUMBER(SEARCH(","&amp;TRIM(TEXTSPLIT(GQ204,","))&amp;",",","&amp;SUBSTITUTE(input_organizer," ","")&amp;",")))&gt;0)),IF(GS204="",TRUE,IF(input_organizer="",FALSE,SUMPRODUCT(--ISNUMBER(SEARCH(","&amp;TRIM(TEXTSPLIT(GS204,","))&amp;",",","&amp;SUBSTITUTE(input_organizer," ","")&amp;",")))=COUNTA(TEXTSPLIT(GS204,",")))))</f>
        <v/>
      </c>
      <c r="JM204" s="19">
        <f>AND(IF(GU204="",TRUE,IF(input_profile_type="",FALSE,SUMPRODUCT(--ISNUMBER(SEARCH(","&amp;TRIM(TEXTSPLIT(GU204,","))&amp;",",","&amp;SUBSTITUTE(input_profile_type," ","")&amp;",")))&gt;0)),IF(GW204="",TRUE,IF(input_profile_type="",FALSE,SUMPRODUCT(--ISNUMBER(SEARCH(","&amp;TRIM(TEXTSPLIT(GW204,","))&amp;",",","&amp;SUBSTITUTE(input_profile_type," ","")&amp;",")))=COUNTA(TEXTSPLIT(GW204,",")))),IF(GY204="",TRUE,IF(input_profile_type="",TRUE,SUMPRODUCT(--ISNUMBER(SEARCH(","&amp;TRIM(TEXTSPLIT(GY204,","))&amp;",",","&amp;SUBSTITUTE(input_profile_type," ","")&amp;",")))=0)),IF(HA204="",TRUE,IF(input_profile_type="",FALSE,SUMPRODUCT(--ISNUMBER(SEARCH(","&amp;TRIM(TEXTSPLIT(HA204,","))&amp;",",","&amp;SUBSTITUTE(input_profile_type," ","")&amp;",")))&gt;0)),IF(HC204="",TRUE,IF(input_profile_type="",FALSE,SUMPRODUCT(--ISNUMBER(SEARCH(","&amp;TRIM(TEXTSPLIT(HC204,","))&amp;",",","&amp;SUBSTITUTE(input_profile_type," ","")&amp;",")))=COUNTA(TEXTSPLIT(HC204,",")))))</f>
        <v/>
      </c>
      <c r="JN204" s="19">
        <f>AND(IF(HE204="",TRUE,IF(input_program="",FALSE,SUMPRODUCT(--ISNUMBER(SEARCH(","&amp;TRIM(TEXTSPLIT(HE204,","))&amp;",",","&amp;SUBSTITUTE(input_program," ","")&amp;",")))&gt;0)),IF(HG204="",TRUE,IF(input_program="",FALSE,SUMPRODUCT(--ISNUMBER(SEARCH(","&amp;TRIM(TEXTSPLIT(HG204,","))&amp;",",","&amp;SUBSTITUTE(input_program," ","")&amp;",")))=COUNTA(TEXTSPLIT(HG204,",")))),IF(HI204="",TRUE,IF(input_program="",TRUE,SUMPRODUCT(--ISNUMBER(SEARCH(","&amp;TRIM(TEXTSPLIT(HI204,","))&amp;",",","&amp;SUBSTITUTE(input_program," ","")&amp;",")))=0)),IF(HK204="",TRUE,IF(input_program="",FALSE,SUMPRODUCT(--ISNUMBER(SEARCH(","&amp;TRIM(TEXTSPLIT(HK204,","))&amp;",",","&amp;SUBSTITUTE(input_program," ","")&amp;",")))&gt;0)),IF(HM204="",TRUE,IF(input_program="",FALSE,SUMPRODUCT(--ISNUMBER(SEARCH(","&amp;TRIM(TEXTSPLIT(HM204,","))&amp;",",","&amp;SUBSTITUTE(input_program," ","")&amp;",")))=COUNTA(TEXTSPLIT(HM204,",")))))</f>
        <v/>
      </c>
      <c r="JO204" s="19">
        <f>AND(IF(HO204="",TRUE,IF(input_story_categories="",FALSE,SUMPRODUCT(--ISNUMBER(SEARCH(","&amp;TRIM(TEXTSPLIT(HO204,","))&amp;",",","&amp;SUBSTITUTE(input_story_categories," ","")&amp;",")))&gt;0)),IF(HQ204="",TRUE,IF(input_story_categories="",FALSE,SUMPRODUCT(--ISNUMBER(SEARCH(","&amp;TRIM(TEXTSPLIT(HQ204,","))&amp;",",","&amp;SUBSTITUTE(input_story_categories," ","")&amp;",")))=COUNTA(TEXTSPLIT(HQ204,",")))),IF(HS204="",TRUE,IF(input_story_categories="",TRUE,SUMPRODUCT(--ISNUMBER(SEARCH(","&amp;TRIM(TEXTSPLIT(HS204,","))&amp;",",","&amp;SUBSTITUTE(input_story_categories," ","")&amp;",")))=0)),IF(HU204="",TRUE,IF(input_story_categories="",FALSE,SUMPRODUCT(--ISNUMBER(SEARCH(","&amp;TRIM(TEXTSPLIT(HU204,","))&amp;",",","&amp;SUBSTITUTE(input_story_categories," ","")&amp;",")))&gt;0)),IF(HW204="",TRUE,IF(input_story_categories="",FALSE,SUMPRODUCT(--ISNUMBER(SEARCH(","&amp;TRIM(TEXTSPLIT(HW204,","))&amp;",",","&amp;SUBSTITUTE(input_story_categories," ","")&amp;",")))=COUNTA(TEXTSPLIT(HW204,",")))))</f>
        <v/>
      </c>
      <c r="JP204" s="19">
        <f>AND(IF(HY204="",TRUE,IF(input_story_type="",FALSE,SUMPRODUCT(--ISNUMBER(SEARCH(","&amp;TRIM(TEXTSPLIT(HY204,","))&amp;",",","&amp;SUBSTITUTE(input_story_type," ","")&amp;",")))&gt;0)),IF(IA204="",TRUE,IF(input_story_type="",FALSE,SUMPRODUCT(--ISNUMBER(SEARCH(","&amp;TRIM(TEXTSPLIT(IA204,","))&amp;",",","&amp;SUBSTITUTE(input_story_type," ","")&amp;",")))=COUNTA(TEXTSPLIT(IA204,",")))),IF(IC204="",TRUE,IF(input_story_type="",TRUE,SUMPRODUCT(--ISNUMBER(SEARCH(","&amp;TRIM(TEXTSPLIT(IC204,","))&amp;",",","&amp;SUBSTITUTE(input_story_type," ","")&amp;",")))=0)),IF(IE204="",TRUE,IF(input_story_type="",FALSE,SUMPRODUCT(--ISNUMBER(SEARCH(","&amp;TRIM(TEXTSPLIT(IE204,","))&amp;",",","&amp;SUBSTITUTE(input_story_type," ","")&amp;",")))&gt;0)),IF(IG204="",TRUE,IF(input_story_type="",FALSE,SUMPRODUCT(--ISNUMBER(SEARCH(","&amp;TRIM(TEXTSPLIT(IG204,","))&amp;",",","&amp;SUBSTITUTE(input_story_type," ","")&amp;",")))=COUNTA(TEXTSPLIT(IG204,",")))))</f>
        <v/>
      </c>
      <c r="JQ204" s="19">
        <f>AND(IF(II204="",TRUE,IF(input_topics="",FALSE,SUMPRODUCT(--ISNUMBER(SEARCH(","&amp;TRIM(TEXTSPLIT(II204,","))&amp;",",","&amp;SUBSTITUTE(input_topics," ","")&amp;",")))&gt;0)),IF(IK204="",TRUE,IF(input_topics="",FALSE,SUMPRODUCT(--ISNUMBER(SEARCH(","&amp;TRIM(TEXTSPLIT(IK204,","))&amp;",",","&amp;SUBSTITUTE(input_topics," ","")&amp;",")))=COUNTA(TEXTSPLIT(IK204,",")))),IF(IM204="",TRUE,IF(input_topics="",TRUE,SUMPRODUCT(--ISNUMBER(SEARCH(","&amp;TRIM(TEXTSPLIT(IM204,","))&amp;",",","&amp;SUBSTITUTE(input_topics," ","")&amp;",")))=0)),IF(IO204="",TRUE,IF(input_topics="",FALSE,SUMPRODUCT(--ISNUMBER(SEARCH(","&amp;TRIM(TEXTSPLIT(IO204,","))&amp;",",","&amp;SUBSTITUTE(input_topics," ","")&amp;",")))&gt;0)),IF(IQ204="",TRUE,IF(input_topics="",FALSE,SUMPRODUCT(--ISNUMBER(SEARCH(","&amp;TRIM(TEXTSPLIT(IQ204,","))&amp;",",","&amp;SUBSTITUTE(input_topics," ","")&amp;",")))=COUNTA(TEXTSPLIT(IQ204,",")))))</f>
        <v/>
      </c>
    </row>
    <row r="205">
      <c r="A205" s="24">
        <f>IF(NOT(IS205),"Excluded",IF(AND(IT205,IU205,IV205,IW205,IX205,IY205,IZ205,JA205,JB205,JC205,JD205,JE205,JF205,JG205,JH205,JI205,JJ205,JK205,JL205,JM205,JN205,JO205,JP205,JQ205),IF(I205&gt;0,"Eligible but limited","Will appear"),"Excluded"))</f>
        <v/>
      </c>
      <c r="B205" s="24" t="inlineStr">
        <is>
          <t>Related stories on story pages</t>
        </is>
      </c>
      <c r="C205" s="27" t="inlineStr">
        <is>
          <t>/story/2025/crafting-curriculum-jon-golde-26</t>
        </is>
      </c>
      <c r="D205" s="24" t="inlineStr">
        <is>
          <t>/story/2025/crafting-curriculum-jon-golde-26
/story/2025/meet-gbs-class-2026
/story/2026/bridging-worlds-2025-german-american-conference</t>
        </is>
      </c>
      <c r="E205" s="24" t="n">
        <v>6</v>
      </c>
      <c r="F205" s="24" t="inlineStr">
        <is>
          <t>story</t>
        </is>
      </c>
      <c r="G205" s="24" t="inlineStr">
        <is>
          <t>stories_teaser_cards</t>
        </is>
      </c>
      <c r="H205" s="24" t="inlineStr">
        <is>
          <t>embed_all</t>
        </is>
      </c>
      <c r="I205" s="24" t="n">
        <v>3</v>
      </c>
      <c r="J205" s="31" t="inlineStr">
        <is>
          <t>Template logic</t>
        </is>
      </c>
      <c r="K205" s="24" t="inlineStr">
        <is>
          <t>Grouped surface</t>
        </is>
      </c>
      <c r="L205" s="24" t="inlineStr">
        <is>
          <t>Content type: story; Context uses Courses Context: Master's Degree in Global Business and Society (950); Context uses Story Type: Blog (974); Limited to 3 item(s); Source: Template logic</t>
        </is>
      </c>
      <c r="BQ205" s="19" t="inlineStr">
        <is>
          <t>950</t>
        </is>
      </c>
      <c r="BR205" s="19" t="inlineStr">
        <is>
          <t>Master's Degree in Global Business and Society (950)</t>
        </is>
      </c>
      <c r="IE205" s="19" t="inlineStr">
        <is>
          <t>974</t>
        </is>
      </c>
      <c r="IF205" s="19" t="inlineStr">
        <is>
          <t>Blog (974)</t>
        </is>
      </c>
      <c r="IS205" s="19">
        <f>IF(input_content_type="",FALSE,ISNUMBER(SEARCH(","&amp;LOWER(input_content_type)&amp;",",","&amp;LOWER(SUBSTITUTE(F205," ",""))&amp;",")))</f>
        <v/>
      </c>
      <c r="IT205" s="19">
        <f>AND(IF(M205="",TRUE,IF(input_affiliations="",FALSE,SUMPRODUCT(--ISNUMBER(SEARCH(","&amp;TRIM(TEXTSPLIT(M205,","))&amp;",",","&amp;SUBSTITUTE(input_affiliations," ","")&amp;",")))&gt;0)),IF(O205="",TRUE,IF(input_affiliations="",FALSE,SUMPRODUCT(--ISNUMBER(SEARCH(","&amp;TRIM(TEXTSPLIT(O205,","))&amp;",",","&amp;SUBSTITUTE(input_affiliations," ","")&amp;",")))=COUNTA(TEXTSPLIT(O205,",")))),IF(Q205="",TRUE,IF(input_affiliations="",TRUE,SUMPRODUCT(--ISNUMBER(SEARCH(","&amp;TRIM(TEXTSPLIT(Q205,","))&amp;",",","&amp;SUBSTITUTE(input_affiliations," ","")&amp;",")))=0)),IF(S205="",TRUE,IF(input_affiliations="",FALSE,SUMPRODUCT(--ISNUMBER(SEARCH(","&amp;TRIM(TEXTSPLIT(S205,","))&amp;",",","&amp;SUBSTITUTE(input_affiliations," ","")&amp;",")))&gt;0)),IF(U205="",TRUE,IF(input_affiliations="",FALSE,SUMPRODUCT(--ISNUMBER(SEARCH(","&amp;TRIM(TEXTSPLIT(U205,","))&amp;",",","&amp;SUBSTITUTE(input_affiliations," ","")&amp;",")))=COUNTA(TEXTSPLIT(U205,",")))))</f>
        <v/>
      </c>
      <c r="IU205" s="19">
        <f>AND(IF(W205="",TRUE,IF(input_announcement_category="",FALSE,SUMPRODUCT(--ISNUMBER(SEARCH(","&amp;TRIM(TEXTSPLIT(W205,","))&amp;",",","&amp;SUBSTITUTE(input_announcement_category," ","")&amp;",")))&gt;0)),IF(Y205="",TRUE,IF(input_announcement_category="",FALSE,SUMPRODUCT(--ISNUMBER(SEARCH(","&amp;TRIM(TEXTSPLIT(Y205,","))&amp;",",","&amp;SUBSTITUTE(input_announcement_category," ","")&amp;",")))=COUNTA(TEXTSPLIT(Y205,",")))),IF(AA205="",TRUE,IF(input_announcement_category="",TRUE,SUMPRODUCT(--ISNUMBER(SEARCH(","&amp;TRIM(TEXTSPLIT(AA205,","))&amp;",",","&amp;SUBSTITUTE(input_announcement_category," ","")&amp;",")))=0)),IF(AC205="",TRUE,IF(input_announcement_category="",FALSE,SUMPRODUCT(--ISNUMBER(SEARCH(","&amp;TRIM(TEXTSPLIT(AC205,","))&amp;",",","&amp;SUBSTITUTE(input_announcement_category," ","")&amp;",")))&gt;0)),IF(AE205="",TRUE,IF(input_announcement_category="",FALSE,SUMPRODUCT(--ISNUMBER(SEARCH(","&amp;TRIM(TEXTSPLIT(AE205,","))&amp;",",","&amp;SUBSTITUTE(input_announcement_category," ","")&amp;",")))=COUNTA(TEXTSPLIT(AE205,",")))))</f>
        <v/>
      </c>
      <c r="IV205" s="19">
        <f>AND(IF(AG205="",TRUE,IF(input_area_of_focus="",FALSE,SUMPRODUCT(--ISNUMBER(SEARCH(","&amp;TRIM(TEXTSPLIT(AG205,","))&amp;",",","&amp;SUBSTITUTE(input_area_of_focus," ","")&amp;",")))&gt;0)),IF(AI205="",TRUE,IF(input_area_of_focus="",FALSE,SUMPRODUCT(--ISNUMBER(SEARCH(","&amp;TRIM(TEXTSPLIT(AI205,","))&amp;",",","&amp;SUBSTITUTE(input_area_of_focus," ","")&amp;",")))=COUNTA(TEXTSPLIT(AI205,",")))),IF(AK205="",TRUE,IF(input_area_of_focus="",TRUE,SUMPRODUCT(--ISNUMBER(SEARCH(","&amp;TRIM(TEXTSPLIT(AK205,","))&amp;",",","&amp;SUBSTITUTE(input_area_of_focus," ","")&amp;",")))=0)),IF(AM205="",TRUE,IF(input_area_of_focus="",FALSE,SUMPRODUCT(--ISNUMBER(SEARCH(","&amp;TRIM(TEXTSPLIT(AM205,","))&amp;",",","&amp;SUBSTITUTE(input_area_of_focus," ","")&amp;",")))&gt;0)),IF(AO205="",TRUE,IF(input_area_of_focus="",FALSE,SUMPRODUCT(--ISNUMBER(SEARCH(","&amp;TRIM(TEXTSPLIT(AO205,","))&amp;",",","&amp;SUBSTITUTE(input_area_of_focus," ","")&amp;",")))=COUNTA(TEXTSPLIT(AO205,",")))))</f>
        <v/>
      </c>
      <c r="IW205" s="19">
        <f>AND(IF(AQ205="",TRUE,IF(input_audience="",FALSE,SUMPRODUCT(--ISNUMBER(SEARCH(","&amp;TRIM(TEXTSPLIT(AQ205,","))&amp;",",","&amp;SUBSTITUTE(input_audience," ","")&amp;",")))&gt;0)),IF(AS205="",TRUE,IF(input_audience="",FALSE,SUMPRODUCT(--ISNUMBER(SEARCH(","&amp;TRIM(TEXTSPLIT(AS205,","))&amp;",",","&amp;SUBSTITUTE(input_audience," ","")&amp;",")))=COUNTA(TEXTSPLIT(AS205,",")))),IF(AU205="",TRUE,IF(input_audience="",TRUE,SUMPRODUCT(--ISNUMBER(SEARCH(","&amp;TRIM(TEXTSPLIT(AU205,","))&amp;",",","&amp;SUBSTITUTE(input_audience," ","")&amp;",")))=0)),IF(AW205="",TRUE,IF(input_audience="",FALSE,SUMPRODUCT(--ISNUMBER(SEARCH(","&amp;TRIM(TEXTSPLIT(AW205,","))&amp;",",","&amp;SUBSTITUTE(input_audience," ","")&amp;",")))&gt;0)),IF(AY205="",TRUE,IF(input_audience="",FALSE,SUMPRODUCT(--ISNUMBER(SEARCH(","&amp;TRIM(TEXTSPLIT(AY205,","))&amp;",",","&amp;SUBSTITUTE(input_audience," ","")&amp;",")))=COUNTA(TEXTSPLIT(AY205,",")))))</f>
        <v/>
      </c>
      <c r="IX205" s="19">
        <f>AND(IF(BA205="",TRUE,IF(input_challenge_opportunities="",FALSE,SUMPRODUCT(--ISNUMBER(SEARCH(","&amp;TRIM(TEXTSPLIT(BA205,","))&amp;",",","&amp;SUBSTITUTE(input_challenge_opportunities," ","")&amp;",")))&gt;0)),IF(BC205="",TRUE,IF(input_challenge_opportunities="",FALSE,SUMPRODUCT(--ISNUMBER(SEARCH(","&amp;TRIM(TEXTSPLIT(BC205,","))&amp;",",","&amp;SUBSTITUTE(input_challenge_opportunities," ","")&amp;",")))=COUNTA(TEXTSPLIT(BC205,",")))),IF(BE205="",TRUE,IF(input_challenge_opportunities="",TRUE,SUMPRODUCT(--ISNUMBER(SEARCH(","&amp;TRIM(TEXTSPLIT(BE205,","))&amp;",",","&amp;SUBSTITUTE(input_challenge_opportunities," ","")&amp;",")))=0)),IF(BG205="",TRUE,IF(input_challenge_opportunities="",FALSE,SUMPRODUCT(--ISNUMBER(SEARCH(","&amp;TRIM(TEXTSPLIT(BG205,","))&amp;",",","&amp;SUBSTITUTE(input_challenge_opportunities," ","")&amp;",")))&gt;0)),IF(BI205="",TRUE,IF(input_challenge_opportunities="",FALSE,SUMPRODUCT(--ISNUMBER(SEARCH(","&amp;TRIM(TEXTSPLIT(BI205,","))&amp;",",","&amp;SUBSTITUTE(input_challenge_opportunities," ","")&amp;",")))=COUNTA(TEXTSPLIT(BI205,",")))))</f>
        <v/>
      </c>
      <c r="IY205" s="19">
        <f>AND(IF(BK205="",TRUE,IF(input_context="",FALSE,SUMPRODUCT(--ISNUMBER(SEARCH(","&amp;TRIM(TEXTSPLIT(BK205,","))&amp;",",","&amp;SUBSTITUTE(input_context," ","")&amp;",")))&gt;0)),IF(BM205="",TRUE,IF(input_context="",FALSE,SUMPRODUCT(--ISNUMBER(SEARCH(","&amp;TRIM(TEXTSPLIT(BM205,","))&amp;",",","&amp;SUBSTITUTE(input_context," ","")&amp;",")))=COUNTA(TEXTSPLIT(BM205,",")))),IF(BO205="",TRUE,IF(input_context="",TRUE,SUMPRODUCT(--ISNUMBER(SEARCH(","&amp;TRIM(TEXTSPLIT(BO205,","))&amp;",",","&amp;SUBSTITUTE(input_context," ","")&amp;",")))=0)),IF(BQ205="",TRUE,IF(input_context="",FALSE,SUMPRODUCT(--ISNUMBER(SEARCH(","&amp;TRIM(TEXTSPLIT(BQ205,","))&amp;",",","&amp;SUBSTITUTE(input_context," ","")&amp;",")))&gt;0)),IF(BS205="",TRUE,IF(input_context="",FALSE,SUMPRODUCT(--ISNUMBER(SEARCH(","&amp;TRIM(TEXTSPLIT(BS205,","))&amp;",",","&amp;SUBSTITUTE(input_context," ","")&amp;",")))=COUNTA(TEXTSPLIT(BS205,",")))))</f>
        <v/>
      </c>
      <c r="IZ205" s="19">
        <f>AND(IF(BU205="",TRUE,IF(input_enews_announcement_type="",FALSE,SUMPRODUCT(--ISNUMBER(SEARCH(","&amp;TRIM(TEXTSPLIT(BU205,","))&amp;",",","&amp;SUBSTITUTE(input_enews_announcement_type," ","")&amp;",")))&gt;0)),IF(BW205="",TRUE,IF(input_enews_announcement_type="",FALSE,SUMPRODUCT(--ISNUMBER(SEARCH(","&amp;TRIM(TEXTSPLIT(BW205,","))&amp;",",","&amp;SUBSTITUTE(input_enews_announcement_type," ","")&amp;",")))=COUNTA(TEXTSPLIT(BW205,",")))),IF(BY205="",TRUE,IF(input_enews_announcement_type="",TRUE,SUMPRODUCT(--ISNUMBER(SEARCH(","&amp;TRIM(TEXTSPLIT(BY205,","))&amp;",",","&amp;SUBSTITUTE(input_enews_announcement_type," ","")&amp;",")))=0)),IF(CA205="",TRUE,IF(input_enews_announcement_type="",FALSE,SUMPRODUCT(--ISNUMBER(SEARCH(","&amp;TRIM(TEXTSPLIT(CA205,","))&amp;",",","&amp;SUBSTITUTE(input_enews_announcement_type," ","")&amp;",")))&gt;0)),IF(CC205="",TRUE,IF(input_enews_announcement_type="",FALSE,SUMPRODUCT(--ISNUMBER(SEARCH(","&amp;TRIM(TEXTSPLIT(CC205,","))&amp;",",","&amp;SUBSTITUTE(input_enews_announcement_type," ","")&amp;",")))=COUNTA(TEXTSPLIT(CC205,",")))))</f>
        <v/>
      </c>
      <c r="JA205" s="19">
        <f>AND(IF(CE205="",TRUE,IF(input_enews_audience="",FALSE,SUMPRODUCT(--ISNUMBER(SEARCH(","&amp;TRIM(TEXTSPLIT(CE205,","))&amp;",",","&amp;SUBSTITUTE(input_enews_audience," ","")&amp;",")))&gt;0)),IF(CG205="",TRUE,IF(input_enews_audience="",FALSE,SUMPRODUCT(--ISNUMBER(SEARCH(","&amp;TRIM(TEXTSPLIT(CG205,","))&amp;",",","&amp;SUBSTITUTE(input_enews_audience," ","")&amp;",")))=COUNTA(TEXTSPLIT(CG205,",")))),IF(CI205="",TRUE,IF(input_enews_audience="",TRUE,SUMPRODUCT(--ISNUMBER(SEARCH(","&amp;TRIM(TEXTSPLIT(CI205,","))&amp;",",","&amp;SUBSTITUTE(input_enews_audience," ","")&amp;",")))=0)),IF(CK205="",TRUE,IF(input_enews_audience="",FALSE,SUMPRODUCT(--ISNUMBER(SEARCH(","&amp;TRIM(TEXTSPLIT(CK205,","))&amp;",",","&amp;SUBSTITUTE(input_enews_audience," ","")&amp;",")))&gt;0)),IF(CM205="",TRUE,IF(input_enews_audience="",FALSE,SUMPRODUCT(--ISNUMBER(SEARCH(","&amp;TRIM(TEXTSPLIT(CM205,","))&amp;",",","&amp;SUBSTITUTE(input_enews_audience," ","")&amp;",")))=COUNTA(TEXTSPLIT(CM205,",")))))</f>
        <v/>
      </c>
      <c r="JB205" s="19">
        <f>AND(IF(CO205="",TRUE,IF(input_event_location="",FALSE,SUMPRODUCT(--ISNUMBER(SEARCH(","&amp;TRIM(TEXTSPLIT(CO205,","))&amp;",",","&amp;SUBSTITUTE(input_event_location," ","")&amp;",")))&gt;0)),IF(CQ205="",TRUE,IF(input_event_location="",FALSE,SUMPRODUCT(--ISNUMBER(SEARCH(","&amp;TRIM(TEXTSPLIT(CQ205,","))&amp;",",","&amp;SUBSTITUTE(input_event_location," ","")&amp;",")))=COUNTA(TEXTSPLIT(CQ205,",")))),IF(CS205="",TRUE,IF(input_event_location="",TRUE,SUMPRODUCT(--ISNUMBER(SEARCH(","&amp;TRIM(TEXTSPLIT(CS205,","))&amp;",",","&amp;SUBSTITUTE(input_event_location," ","")&amp;",")))=0)),IF(CU205="",TRUE,IF(input_event_location="",FALSE,SUMPRODUCT(--ISNUMBER(SEARCH(","&amp;TRIM(TEXTSPLIT(CU205,","))&amp;",",","&amp;SUBSTITUTE(input_event_location," ","")&amp;",")))&gt;0)),IF(CW205="",TRUE,IF(input_event_location="",FALSE,SUMPRODUCT(--ISNUMBER(SEARCH(","&amp;TRIM(TEXTSPLIT(CW205,","))&amp;",",","&amp;SUBSTITUTE(input_event_location," ","")&amp;",")))=COUNTA(TEXTSPLIT(CW205,",")))))</f>
        <v/>
      </c>
      <c r="JC205" s="19">
        <f>AND(IF(CY205="",TRUE,IF(input_event_type="",FALSE,SUMPRODUCT(--ISNUMBER(SEARCH(","&amp;TRIM(TEXTSPLIT(CY205,","))&amp;",",","&amp;SUBSTITUTE(input_event_type," ","")&amp;",")))&gt;0)),IF(DA205="",TRUE,IF(input_event_type="",FALSE,SUMPRODUCT(--ISNUMBER(SEARCH(","&amp;TRIM(TEXTSPLIT(DA205,","))&amp;",",","&amp;SUBSTITUTE(input_event_type," ","")&amp;",")))=COUNTA(TEXTSPLIT(DA205,",")))),IF(DC205="",TRUE,IF(input_event_type="",TRUE,SUMPRODUCT(--ISNUMBER(SEARCH(","&amp;TRIM(TEXTSPLIT(DC205,","))&amp;",",","&amp;SUBSTITUTE(input_event_type," ","")&amp;",")))=0)),IF(DE205="",TRUE,IF(input_event_type="",FALSE,SUMPRODUCT(--ISNUMBER(SEARCH(","&amp;TRIM(TEXTSPLIT(DE205,","))&amp;",",","&amp;SUBSTITUTE(input_event_type," ","")&amp;",")))&gt;0)),IF(DG205="",TRUE,IF(input_event_type="",FALSE,SUMPRODUCT(--ISNUMBER(SEARCH(","&amp;TRIM(TEXTSPLIT(DG205,","))&amp;",",","&amp;SUBSTITUTE(input_event_type," ","")&amp;",")))=COUNTA(TEXTSPLIT(DG205,",")))))</f>
        <v/>
      </c>
      <c r="JD205" s="19">
        <f>AND(IF(DI205="",TRUE,IF(input_executive_education_focus="",FALSE,SUMPRODUCT(--ISNUMBER(SEARCH(","&amp;TRIM(TEXTSPLIT(DI205,","))&amp;",",","&amp;SUBSTITUTE(input_executive_education_focus," ","")&amp;",")))&gt;0)),IF(DK205="",TRUE,IF(input_executive_education_focus="",FALSE,SUMPRODUCT(--ISNUMBER(SEARCH(","&amp;TRIM(TEXTSPLIT(DK205,","))&amp;",",","&amp;SUBSTITUTE(input_executive_education_focus," ","")&amp;",")))=COUNTA(TEXTSPLIT(DK205,",")))),IF(DM205="",TRUE,IF(input_executive_education_focus="",TRUE,SUMPRODUCT(--ISNUMBER(SEARCH(","&amp;TRIM(TEXTSPLIT(DM205,","))&amp;",",","&amp;SUBSTITUTE(input_executive_education_focus," ","")&amp;",")))=0)),IF(DO205="",TRUE,IF(input_executive_education_focus="",FALSE,SUMPRODUCT(--ISNUMBER(SEARCH(","&amp;TRIM(TEXTSPLIT(DO205,","))&amp;",",","&amp;SUBSTITUTE(input_executive_education_focus," ","")&amp;",")))&gt;0)),IF(DQ205="",TRUE,IF(input_executive_education_focus="",FALSE,SUMPRODUCT(--ISNUMBER(SEARCH(","&amp;TRIM(TEXTSPLIT(DQ205,","))&amp;",",","&amp;SUBSTITUTE(input_executive_education_focus," ","")&amp;",")))=COUNTA(TEXTSPLIT(DQ205,",")))))</f>
        <v/>
      </c>
      <c r="JE205" s="19">
        <f>AND(IF(DS205="",TRUE,IF(input_faculty_category="",FALSE,SUMPRODUCT(--ISNUMBER(SEARCH(","&amp;TRIM(TEXTSPLIT(DS205,","))&amp;",",","&amp;SUBSTITUTE(input_faculty_category," ","")&amp;",")))&gt;0)),IF(DU205="",TRUE,IF(input_faculty_category="",FALSE,SUMPRODUCT(--ISNUMBER(SEARCH(","&amp;TRIM(TEXTSPLIT(DU205,","))&amp;",",","&amp;SUBSTITUTE(input_faculty_category," ","")&amp;",")))=COUNTA(TEXTSPLIT(DU205,",")))),IF(DW205="",TRUE,IF(input_faculty_category="",TRUE,SUMPRODUCT(--ISNUMBER(SEARCH(","&amp;TRIM(TEXTSPLIT(DW205,","))&amp;",",","&amp;SUBSTITUTE(input_faculty_category," ","")&amp;",")))=0)),IF(DY205="",TRUE,IF(input_faculty_category="",FALSE,SUMPRODUCT(--ISNUMBER(SEARCH(","&amp;TRIM(TEXTSPLIT(DY205,","))&amp;",",","&amp;SUBSTITUTE(input_faculty_category," ","")&amp;",")))&gt;0)),IF(EA205="",TRUE,IF(input_faculty_category="",FALSE,SUMPRODUCT(--ISNUMBER(SEARCH(","&amp;TRIM(TEXTSPLIT(EA205,","))&amp;",",","&amp;SUBSTITUTE(input_faculty_category," ","")&amp;",")))=COUNTA(TEXTSPLIT(EA205,",")))))</f>
        <v/>
      </c>
      <c r="JF205" s="19">
        <f>AND(IF(EC205="",TRUE,IF(input_faculty_discipline="",FALSE,SUMPRODUCT(--ISNUMBER(SEARCH(","&amp;TRIM(TEXTSPLIT(EC205,","))&amp;",",","&amp;SUBSTITUTE(input_faculty_discipline," ","")&amp;",")))&gt;0)),IF(EE205="",TRUE,IF(input_faculty_discipline="",FALSE,SUMPRODUCT(--ISNUMBER(SEARCH(","&amp;TRIM(TEXTSPLIT(EE205,","))&amp;",",","&amp;SUBSTITUTE(input_faculty_discipline," ","")&amp;",")))=COUNTA(TEXTSPLIT(EE205,",")))),IF(EG205="",TRUE,IF(input_faculty_discipline="",TRUE,SUMPRODUCT(--ISNUMBER(SEARCH(","&amp;TRIM(TEXTSPLIT(EG205,","))&amp;",",","&amp;SUBSTITUTE(input_faculty_discipline," ","")&amp;",")))=0)),IF(EI205="",TRUE,IF(input_faculty_discipline="",FALSE,SUMPRODUCT(--ISNUMBER(SEARCH(","&amp;TRIM(TEXTSPLIT(EI205,","))&amp;",",","&amp;SUBSTITUTE(input_faculty_discipline," ","")&amp;",")))&gt;0)),IF(EK205="",TRUE,IF(input_faculty_discipline="",FALSE,SUMPRODUCT(--ISNUMBER(SEARCH(","&amp;TRIM(TEXTSPLIT(EK205,","))&amp;",",","&amp;SUBSTITUTE(input_faculty_discipline," ","")&amp;",")))=COUNTA(TEXTSPLIT(EK205,",")))))</f>
        <v/>
      </c>
      <c r="JG205" s="19">
        <f>AND(IF(EM205="",TRUE,IF(input_faculty_expertise="",FALSE,SUMPRODUCT(--ISNUMBER(SEARCH(","&amp;TRIM(TEXTSPLIT(EM205,","))&amp;",",","&amp;SUBSTITUTE(input_faculty_expertise," ","")&amp;",")))&gt;0)),IF(EO205="",TRUE,IF(input_faculty_expertise="",FALSE,SUMPRODUCT(--ISNUMBER(SEARCH(","&amp;TRIM(TEXTSPLIT(EO205,","))&amp;",",","&amp;SUBSTITUTE(input_faculty_expertise," ","")&amp;",")))=COUNTA(TEXTSPLIT(EO205,",")))),IF(EQ205="",TRUE,IF(input_faculty_expertise="",TRUE,SUMPRODUCT(--ISNUMBER(SEARCH(","&amp;TRIM(TEXTSPLIT(EQ205,","))&amp;",",","&amp;SUBSTITUTE(input_faculty_expertise," ","")&amp;",")))=0)),IF(ES205="",TRUE,IF(input_faculty_expertise="",FALSE,SUMPRODUCT(--ISNUMBER(SEARCH(","&amp;TRIM(TEXTSPLIT(ES205,","))&amp;",",","&amp;SUBSTITUTE(input_faculty_expertise," ","")&amp;",")))&gt;0)),IF(EU205="",TRUE,IF(input_faculty_expertise="",FALSE,SUMPRODUCT(--ISNUMBER(SEARCH(","&amp;TRIM(TEXTSPLIT(EU205,","))&amp;",",","&amp;SUBSTITUTE(input_faculty_expertise," ","")&amp;",")))=COUNTA(TEXTSPLIT(EU205,",")))))</f>
        <v/>
      </c>
      <c r="JH205" s="19">
        <f>AND(IF(EW205="",TRUE,IF(input_global_network_school="",FALSE,SUMPRODUCT(--ISNUMBER(SEARCH(","&amp;TRIM(TEXTSPLIT(EW205,","))&amp;",",","&amp;SUBSTITUTE(input_global_network_school," ","")&amp;",")))&gt;0)),IF(EY205="",TRUE,IF(input_global_network_school="",FALSE,SUMPRODUCT(--ISNUMBER(SEARCH(","&amp;TRIM(TEXTSPLIT(EY205,","))&amp;",",","&amp;SUBSTITUTE(input_global_network_school," ","")&amp;",")))=COUNTA(TEXTSPLIT(EY205,",")))),IF(FA205="",TRUE,IF(input_global_network_school="",TRUE,SUMPRODUCT(--ISNUMBER(SEARCH(","&amp;TRIM(TEXTSPLIT(FA205,","))&amp;",",","&amp;SUBSTITUTE(input_global_network_school," ","")&amp;",")))=0)),IF(FC205="",TRUE,IF(input_global_network_school="",FALSE,SUMPRODUCT(--ISNUMBER(SEARCH(","&amp;TRIM(TEXTSPLIT(FC205,","))&amp;",",","&amp;SUBSTITUTE(input_global_network_school," ","")&amp;",")))&gt;0)),IF(FE205="",TRUE,IF(input_global_network_school="",FALSE,SUMPRODUCT(--ISNUMBER(SEARCH(","&amp;TRIM(TEXTSPLIT(FE205,","))&amp;",",","&amp;SUBSTITUTE(input_global_network_school," ","")&amp;",")))=COUNTA(TEXTSPLIT(FE205,",")))))</f>
        <v/>
      </c>
      <c r="JI205" s="19">
        <f>AND(IF(FG205="",TRUE,IF(input_industry="",FALSE,SUMPRODUCT(--ISNUMBER(SEARCH(","&amp;TRIM(TEXTSPLIT(FG205,","))&amp;",",","&amp;SUBSTITUTE(input_industry," ","")&amp;",")))&gt;0)),IF(FI205="",TRUE,IF(input_industry="",FALSE,SUMPRODUCT(--ISNUMBER(SEARCH(","&amp;TRIM(TEXTSPLIT(FI205,","))&amp;",",","&amp;SUBSTITUTE(input_industry," ","")&amp;",")))=COUNTA(TEXTSPLIT(FI205,",")))),IF(FK205="",TRUE,IF(input_industry="",TRUE,SUMPRODUCT(--ISNUMBER(SEARCH(","&amp;TRIM(TEXTSPLIT(FK205,","))&amp;",",","&amp;SUBSTITUTE(input_industry," ","")&amp;",")))=0)),IF(FM205="",TRUE,IF(input_industry="",FALSE,SUMPRODUCT(--ISNUMBER(SEARCH(","&amp;TRIM(TEXTSPLIT(FM205,","))&amp;",",","&amp;SUBSTITUTE(input_industry," ","")&amp;",")))&gt;0)),IF(FO205="",TRUE,IF(input_industry="",FALSE,SUMPRODUCT(--ISNUMBER(SEARCH(","&amp;TRIM(TEXTSPLIT(FO205,","))&amp;",",","&amp;SUBSTITUTE(input_industry," ","")&amp;",")))=COUNTA(TEXTSPLIT(FO205,",")))))</f>
        <v/>
      </c>
      <c r="JJ205" s="19">
        <f>AND(IF(FQ205="",TRUE,IF(input_location="",FALSE,SUMPRODUCT(--ISNUMBER(SEARCH(","&amp;TRIM(TEXTSPLIT(FQ205,","))&amp;",",","&amp;SUBSTITUTE(input_location," ","")&amp;",")))&gt;0)),IF(FS205="",TRUE,IF(input_location="",FALSE,SUMPRODUCT(--ISNUMBER(SEARCH(","&amp;TRIM(TEXTSPLIT(FS205,","))&amp;",",","&amp;SUBSTITUTE(input_location," ","")&amp;",")))=COUNTA(TEXTSPLIT(FS205,",")))),IF(FU205="",TRUE,IF(input_location="",TRUE,SUMPRODUCT(--ISNUMBER(SEARCH(","&amp;TRIM(TEXTSPLIT(FU205,","))&amp;",",","&amp;SUBSTITUTE(input_location," ","")&amp;",")))=0)),IF(FW205="",TRUE,IF(input_location="",FALSE,SUMPRODUCT(--ISNUMBER(SEARCH(","&amp;TRIM(TEXTSPLIT(FW205,","))&amp;",",","&amp;SUBSTITUTE(input_location," ","")&amp;",")))&gt;0)),IF(FY205="",TRUE,IF(input_location="",FALSE,SUMPRODUCT(--ISNUMBER(SEARCH(","&amp;TRIM(TEXTSPLIT(FY205,","))&amp;",",","&amp;SUBSTITUTE(input_location," ","")&amp;",")))=COUNTA(TEXTSPLIT(FY205,",")))))</f>
        <v/>
      </c>
      <c r="JK205" s="19">
        <f>AND(IF(GA205="",TRUE,IF(input_modality="",FALSE,SUMPRODUCT(--ISNUMBER(SEARCH(","&amp;TRIM(TEXTSPLIT(GA205,","))&amp;",",","&amp;SUBSTITUTE(input_modality," ","")&amp;",")))&gt;0)),IF(GC205="",TRUE,IF(input_modality="",FALSE,SUMPRODUCT(--ISNUMBER(SEARCH(","&amp;TRIM(TEXTSPLIT(GC205,","))&amp;",",","&amp;SUBSTITUTE(input_modality," ","")&amp;",")))=COUNTA(TEXTSPLIT(GC205,",")))),IF(GE205="",TRUE,IF(input_modality="",TRUE,SUMPRODUCT(--ISNUMBER(SEARCH(","&amp;TRIM(TEXTSPLIT(GE205,","))&amp;",",","&amp;SUBSTITUTE(input_modality," ","")&amp;",")))=0)),IF(GG205="",TRUE,IF(input_modality="",FALSE,SUMPRODUCT(--ISNUMBER(SEARCH(","&amp;TRIM(TEXTSPLIT(GG205,","))&amp;",",","&amp;SUBSTITUTE(input_modality," ","")&amp;",")))&gt;0)),IF(GI205="",TRUE,IF(input_modality="",FALSE,SUMPRODUCT(--ISNUMBER(SEARCH(","&amp;TRIM(TEXTSPLIT(GI205,","))&amp;",",","&amp;SUBSTITUTE(input_modality," ","")&amp;",")))=COUNTA(TEXTSPLIT(GI205,",")))))</f>
        <v/>
      </c>
      <c r="JL205" s="19">
        <f>AND(IF(GK205="",TRUE,IF(input_organizer="",FALSE,SUMPRODUCT(--ISNUMBER(SEARCH(","&amp;TRIM(TEXTSPLIT(GK205,","))&amp;",",","&amp;SUBSTITUTE(input_organizer," ","")&amp;",")))&gt;0)),IF(GM205="",TRUE,IF(input_organizer="",FALSE,SUMPRODUCT(--ISNUMBER(SEARCH(","&amp;TRIM(TEXTSPLIT(GM205,","))&amp;",",","&amp;SUBSTITUTE(input_organizer," ","")&amp;",")))=COUNTA(TEXTSPLIT(GM205,",")))),IF(GO205="",TRUE,IF(input_organizer="",TRUE,SUMPRODUCT(--ISNUMBER(SEARCH(","&amp;TRIM(TEXTSPLIT(GO205,","))&amp;",",","&amp;SUBSTITUTE(input_organizer," ","")&amp;",")))=0)),IF(GQ205="",TRUE,IF(input_organizer="",FALSE,SUMPRODUCT(--ISNUMBER(SEARCH(","&amp;TRIM(TEXTSPLIT(GQ205,","))&amp;",",","&amp;SUBSTITUTE(input_organizer," ","")&amp;",")))&gt;0)),IF(GS205="",TRUE,IF(input_organizer="",FALSE,SUMPRODUCT(--ISNUMBER(SEARCH(","&amp;TRIM(TEXTSPLIT(GS205,","))&amp;",",","&amp;SUBSTITUTE(input_organizer," ","")&amp;",")))=COUNTA(TEXTSPLIT(GS205,",")))))</f>
        <v/>
      </c>
      <c r="JM205" s="19">
        <f>AND(IF(GU205="",TRUE,IF(input_profile_type="",FALSE,SUMPRODUCT(--ISNUMBER(SEARCH(","&amp;TRIM(TEXTSPLIT(GU205,","))&amp;",",","&amp;SUBSTITUTE(input_profile_type," ","")&amp;",")))&gt;0)),IF(GW205="",TRUE,IF(input_profile_type="",FALSE,SUMPRODUCT(--ISNUMBER(SEARCH(","&amp;TRIM(TEXTSPLIT(GW205,","))&amp;",",","&amp;SUBSTITUTE(input_profile_type," ","")&amp;",")))=COUNTA(TEXTSPLIT(GW205,",")))),IF(GY205="",TRUE,IF(input_profile_type="",TRUE,SUMPRODUCT(--ISNUMBER(SEARCH(","&amp;TRIM(TEXTSPLIT(GY205,","))&amp;",",","&amp;SUBSTITUTE(input_profile_type," ","")&amp;",")))=0)),IF(HA205="",TRUE,IF(input_profile_type="",FALSE,SUMPRODUCT(--ISNUMBER(SEARCH(","&amp;TRIM(TEXTSPLIT(HA205,","))&amp;",",","&amp;SUBSTITUTE(input_profile_type," ","")&amp;",")))&gt;0)),IF(HC205="",TRUE,IF(input_profile_type="",FALSE,SUMPRODUCT(--ISNUMBER(SEARCH(","&amp;TRIM(TEXTSPLIT(HC205,","))&amp;",",","&amp;SUBSTITUTE(input_profile_type," ","")&amp;",")))=COUNTA(TEXTSPLIT(HC205,",")))))</f>
        <v/>
      </c>
      <c r="JN205" s="19">
        <f>AND(IF(HE205="",TRUE,IF(input_program="",FALSE,SUMPRODUCT(--ISNUMBER(SEARCH(","&amp;TRIM(TEXTSPLIT(HE205,","))&amp;",",","&amp;SUBSTITUTE(input_program," ","")&amp;",")))&gt;0)),IF(HG205="",TRUE,IF(input_program="",FALSE,SUMPRODUCT(--ISNUMBER(SEARCH(","&amp;TRIM(TEXTSPLIT(HG205,","))&amp;",",","&amp;SUBSTITUTE(input_program," ","")&amp;",")))=COUNTA(TEXTSPLIT(HG205,",")))),IF(HI205="",TRUE,IF(input_program="",TRUE,SUMPRODUCT(--ISNUMBER(SEARCH(","&amp;TRIM(TEXTSPLIT(HI205,","))&amp;",",","&amp;SUBSTITUTE(input_program," ","")&amp;",")))=0)),IF(HK205="",TRUE,IF(input_program="",FALSE,SUMPRODUCT(--ISNUMBER(SEARCH(","&amp;TRIM(TEXTSPLIT(HK205,","))&amp;",",","&amp;SUBSTITUTE(input_program," ","")&amp;",")))&gt;0)),IF(HM205="",TRUE,IF(input_program="",FALSE,SUMPRODUCT(--ISNUMBER(SEARCH(","&amp;TRIM(TEXTSPLIT(HM205,","))&amp;",",","&amp;SUBSTITUTE(input_program," ","")&amp;",")))=COUNTA(TEXTSPLIT(HM205,",")))))</f>
        <v/>
      </c>
      <c r="JO205" s="19">
        <f>AND(IF(HO205="",TRUE,IF(input_story_categories="",FALSE,SUMPRODUCT(--ISNUMBER(SEARCH(","&amp;TRIM(TEXTSPLIT(HO205,","))&amp;",",","&amp;SUBSTITUTE(input_story_categories," ","")&amp;",")))&gt;0)),IF(HQ205="",TRUE,IF(input_story_categories="",FALSE,SUMPRODUCT(--ISNUMBER(SEARCH(","&amp;TRIM(TEXTSPLIT(HQ205,","))&amp;",",","&amp;SUBSTITUTE(input_story_categories," ","")&amp;",")))=COUNTA(TEXTSPLIT(HQ205,",")))),IF(HS205="",TRUE,IF(input_story_categories="",TRUE,SUMPRODUCT(--ISNUMBER(SEARCH(","&amp;TRIM(TEXTSPLIT(HS205,","))&amp;",",","&amp;SUBSTITUTE(input_story_categories," ","")&amp;",")))=0)),IF(HU205="",TRUE,IF(input_story_categories="",FALSE,SUMPRODUCT(--ISNUMBER(SEARCH(","&amp;TRIM(TEXTSPLIT(HU205,","))&amp;",",","&amp;SUBSTITUTE(input_story_categories," ","")&amp;",")))&gt;0)),IF(HW205="",TRUE,IF(input_story_categories="",FALSE,SUMPRODUCT(--ISNUMBER(SEARCH(","&amp;TRIM(TEXTSPLIT(HW205,","))&amp;",",","&amp;SUBSTITUTE(input_story_categories," ","")&amp;",")))=COUNTA(TEXTSPLIT(HW205,",")))))</f>
        <v/>
      </c>
      <c r="JP205" s="19">
        <f>AND(IF(HY205="",TRUE,IF(input_story_type="",FALSE,SUMPRODUCT(--ISNUMBER(SEARCH(","&amp;TRIM(TEXTSPLIT(HY205,","))&amp;",",","&amp;SUBSTITUTE(input_story_type," ","")&amp;",")))&gt;0)),IF(IA205="",TRUE,IF(input_story_type="",FALSE,SUMPRODUCT(--ISNUMBER(SEARCH(","&amp;TRIM(TEXTSPLIT(IA205,","))&amp;",",","&amp;SUBSTITUTE(input_story_type," ","")&amp;",")))=COUNTA(TEXTSPLIT(IA205,",")))),IF(IC205="",TRUE,IF(input_story_type="",TRUE,SUMPRODUCT(--ISNUMBER(SEARCH(","&amp;TRIM(TEXTSPLIT(IC205,","))&amp;",",","&amp;SUBSTITUTE(input_story_type," ","")&amp;",")))=0)),IF(IE205="",TRUE,IF(input_story_type="",FALSE,SUMPRODUCT(--ISNUMBER(SEARCH(","&amp;TRIM(TEXTSPLIT(IE205,","))&amp;",",","&amp;SUBSTITUTE(input_story_type," ","")&amp;",")))&gt;0)),IF(IG205="",TRUE,IF(input_story_type="",FALSE,SUMPRODUCT(--ISNUMBER(SEARCH(","&amp;TRIM(TEXTSPLIT(IG205,","))&amp;",",","&amp;SUBSTITUTE(input_story_type," ","")&amp;",")))=COUNTA(TEXTSPLIT(IG205,",")))))</f>
        <v/>
      </c>
      <c r="JQ205" s="19">
        <f>AND(IF(II205="",TRUE,IF(input_topics="",FALSE,SUMPRODUCT(--ISNUMBER(SEARCH(","&amp;TRIM(TEXTSPLIT(II205,","))&amp;",",","&amp;SUBSTITUTE(input_topics," ","")&amp;",")))&gt;0)),IF(IK205="",TRUE,IF(input_topics="",FALSE,SUMPRODUCT(--ISNUMBER(SEARCH(","&amp;TRIM(TEXTSPLIT(IK205,","))&amp;",",","&amp;SUBSTITUTE(input_topics," ","")&amp;",")))=COUNTA(TEXTSPLIT(IK205,",")))),IF(IM205="",TRUE,IF(input_topics="",TRUE,SUMPRODUCT(--ISNUMBER(SEARCH(","&amp;TRIM(TEXTSPLIT(IM205,","))&amp;",",","&amp;SUBSTITUTE(input_topics," ","")&amp;",")))=0)),IF(IO205="",TRUE,IF(input_topics="",FALSE,SUMPRODUCT(--ISNUMBER(SEARCH(","&amp;TRIM(TEXTSPLIT(IO205,","))&amp;",",","&amp;SUBSTITUTE(input_topics," ","")&amp;",")))&gt;0)),IF(IQ205="",TRUE,IF(input_topics="",FALSE,SUMPRODUCT(--ISNUMBER(SEARCH(","&amp;TRIM(TEXTSPLIT(IQ205,","))&amp;",",","&amp;SUBSTITUTE(input_topics," ","")&amp;",")))=COUNTA(TEXTSPLIT(IQ205,",")))))</f>
        <v/>
      </c>
    </row>
    <row r="206">
      <c r="A206" s="24">
        <f>IF(NOT(IS206),"Excluded",IF(AND(IT206,IU206,IV206,IW206,IX206,IY206,IZ206,JA206,JB206,JC206,JD206,JE206,JF206,JG206,JH206,JI206,JJ206,JK206,JL206,JM206,JN206,JO206,JP206,JQ206),IF(I206&gt;0,"Eligible but limited","Will appear"),"Excluded"))</f>
        <v/>
      </c>
      <c r="B206" s="24" t="inlineStr">
        <is>
          <t>Related stories on story pages</t>
        </is>
      </c>
      <c r="C206" s="27" t="inlineStr">
        <is>
          <t>/story/2025/curriculum-focus-generative-ai-entrepreneurship</t>
        </is>
      </c>
      <c r="D206" s="24" t="inlineStr">
        <is>
          <t>/story/2025/curriculum-focus-generative-ai-entrepreneurship
/story/2025/nick-callegari-25-named-forbes-30-under-30
/story/2025/startup-stories-turning-esg-maze-simple-compliance</t>
        </is>
      </c>
      <c r="E206" s="24" t="n">
        <v>7</v>
      </c>
      <c r="F206" s="24" t="inlineStr">
        <is>
          <t>story</t>
        </is>
      </c>
      <c r="G206" s="24" t="inlineStr">
        <is>
          <t>stories_teaser_cards</t>
        </is>
      </c>
      <c r="H206" s="24" t="inlineStr">
        <is>
          <t>embed_all</t>
        </is>
      </c>
      <c r="I206" s="24" t="n">
        <v>3</v>
      </c>
      <c r="J206" s="31" t="inlineStr">
        <is>
          <t>Template logic</t>
        </is>
      </c>
      <c r="K206" s="24" t="inlineStr">
        <is>
          <t>Grouped surface</t>
        </is>
      </c>
      <c r="L206" s="24" t="inlineStr">
        <is>
          <t>Content type: story; Context uses Courses Context: Program on Entrepreneurship (934); Context uses Story Type: Blog (974); Limited to 3 item(s); Source: Template logic</t>
        </is>
      </c>
      <c r="BQ206" s="19" t="inlineStr">
        <is>
          <t>934</t>
        </is>
      </c>
      <c r="BR206" s="19" t="inlineStr">
        <is>
          <t>Program on Entrepreneurship (934)</t>
        </is>
      </c>
      <c r="IE206" s="19" t="inlineStr">
        <is>
          <t>974</t>
        </is>
      </c>
      <c r="IF206" s="19" t="inlineStr">
        <is>
          <t>Blog (974)</t>
        </is>
      </c>
      <c r="IS206" s="19">
        <f>IF(input_content_type="",FALSE,ISNUMBER(SEARCH(","&amp;LOWER(input_content_type)&amp;",",","&amp;LOWER(SUBSTITUTE(F206," ",""))&amp;",")))</f>
        <v/>
      </c>
      <c r="IT206" s="19">
        <f>AND(IF(M206="",TRUE,IF(input_affiliations="",FALSE,SUMPRODUCT(--ISNUMBER(SEARCH(","&amp;TRIM(TEXTSPLIT(M206,","))&amp;",",","&amp;SUBSTITUTE(input_affiliations," ","")&amp;",")))&gt;0)),IF(O206="",TRUE,IF(input_affiliations="",FALSE,SUMPRODUCT(--ISNUMBER(SEARCH(","&amp;TRIM(TEXTSPLIT(O206,","))&amp;",",","&amp;SUBSTITUTE(input_affiliations," ","")&amp;",")))=COUNTA(TEXTSPLIT(O206,",")))),IF(Q206="",TRUE,IF(input_affiliations="",TRUE,SUMPRODUCT(--ISNUMBER(SEARCH(","&amp;TRIM(TEXTSPLIT(Q206,","))&amp;",",","&amp;SUBSTITUTE(input_affiliations," ","")&amp;",")))=0)),IF(S206="",TRUE,IF(input_affiliations="",FALSE,SUMPRODUCT(--ISNUMBER(SEARCH(","&amp;TRIM(TEXTSPLIT(S206,","))&amp;",",","&amp;SUBSTITUTE(input_affiliations," ","")&amp;",")))&gt;0)),IF(U206="",TRUE,IF(input_affiliations="",FALSE,SUMPRODUCT(--ISNUMBER(SEARCH(","&amp;TRIM(TEXTSPLIT(U206,","))&amp;",",","&amp;SUBSTITUTE(input_affiliations," ","")&amp;",")))=COUNTA(TEXTSPLIT(U206,",")))))</f>
        <v/>
      </c>
      <c r="IU206" s="19">
        <f>AND(IF(W206="",TRUE,IF(input_announcement_category="",FALSE,SUMPRODUCT(--ISNUMBER(SEARCH(","&amp;TRIM(TEXTSPLIT(W206,","))&amp;",",","&amp;SUBSTITUTE(input_announcement_category," ","")&amp;",")))&gt;0)),IF(Y206="",TRUE,IF(input_announcement_category="",FALSE,SUMPRODUCT(--ISNUMBER(SEARCH(","&amp;TRIM(TEXTSPLIT(Y206,","))&amp;",",","&amp;SUBSTITUTE(input_announcement_category," ","")&amp;",")))=COUNTA(TEXTSPLIT(Y206,",")))),IF(AA206="",TRUE,IF(input_announcement_category="",TRUE,SUMPRODUCT(--ISNUMBER(SEARCH(","&amp;TRIM(TEXTSPLIT(AA206,","))&amp;",",","&amp;SUBSTITUTE(input_announcement_category," ","")&amp;",")))=0)),IF(AC206="",TRUE,IF(input_announcement_category="",FALSE,SUMPRODUCT(--ISNUMBER(SEARCH(","&amp;TRIM(TEXTSPLIT(AC206,","))&amp;",",","&amp;SUBSTITUTE(input_announcement_category," ","")&amp;",")))&gt;0)),IF(AE206="",TRUE,IF(input_announcement_category="",FALSE,SUMPRODUCT(--ISNUMBER(SEARCH(","&amp;TRIM(TEXTSPLIT(AE206,","))&amp;",",","&amp;SUBSTITUTE(input_announcement_category," ","")&amp;",")))=COUNTA(TEXTSPLIT(AE206,",")))))</f>
        <v/>
      </c>
      <c r="IV206" s="19">
        <f>AND(IF(AG206="",TRUE,IF(input_area_of_focus="",FALSE,SUMPRODUCT(--ISNUMBER(SEARCH(","&amp;TRIM(TEXTSPLIT(AG206,","))&amp;",",","&amp;SUBSTITUTE(input_area_of_focus," ","")&amp;",")))&gt;0)),IF(AI206="",TRUE,IF(input_area_of_focus="",FALSE,SUMPRODUCT(--ISNUMBER(SEARCH(","&amp;TRIM(TEXTSPLIT(AI206,","))&amp;",",","&amp;SUBSTITUTE(input_area_of_focus," ","")&amp;",")))=COUNTA(TEXTSPLIT(AI206,",")))),IF(AK206="",TRUE,IF(input_area_of_focus="",TRUE,SUMPRODUCT(--ISNUMBER(SEARCH(","&amp;TRIM(TEXTSPLIT(AK206,","))&amp;",",","&amp;SUBSTITUTE(input_area_of_focus," ","")&amp;",")))=0)),IF(AM206="",TRUE,IF(input_area_of_focus="",FALSE,SUMPRODUCT(--ISNUMBER(SEARCH(","&amp;TRIM(TEXTSPLIT(AM206,","))&amp;",",","&amp;SUBSTITUTE(input_area_of_focus," ","")&amp;",")))&gt;0)),IF(AO206="",TRUE,IF(input_area_of_focus="",FALSE,SUMPRODUCT(--ISNUMBER(SEARCH(","&amp;TRIM(TEXTSPLIT(AO206,","))&amp;",",","&amp;SUBSTITUTE(input_area_of_focus," ","")&amp;",")))=COUNTA(TEXTSPLIT(AO206,",")))))</f>
        <v/>
      </c>
      <c r="IW206" s="19">
        <f>AND(IF(AQ206="",TRUE,IF(input_audience="",FALSE,SUMPRODUCT(--ISNUMBER(SEARCH(","&amp;TRIM(TEXTSPLIT(AQ206,","))&amp;",",","&amp;SUBSTITUTE(input_audience," ","")&amp;",")))&gt;0)),IF(AS206="",TRUE,IF(input_audience="",FALSE,SUMPRODUCT(--ISNUMBER(SEARCH(","&amp;TRIM(TEXTSPLIT(AS206,","))&amp;",",","&amp;SUBSTITUTE(input_audience," ","")&amp;",")))=COUNTA(TEXTSPLIT(AS206,",")))),IF(AU206="",TRUE,IF(input_audience="",TRUE,SUMPRODUCT(--ISNUMBER(SEARCH(","&amp;TRIM(TEXTSPLIT(AU206,","))&amp;",",","&amp;SUBSTITUTE(input_audience," ","")&amp;",")))=0)),IF(AW206="",TRUE,IF(input_audience="",FALSE,SUMPRODUCT(--ISNUMBER(SEARCH(","&amp;TRIM(TEXTSPLIT(AW206,","))&amp;",",","&amp;SUBSTITUTE(input_audience," ","")&amp;",")))&gt;0)),IF(AY206="",TRUE,IF(input_audience="",FALSE,SUMPRODUCT(--ISNUMBER(SEARCH(","&amp;TRIM(TEXTSPLIT(AY206,","))&amp;",",","&amp;SUBSTITUTE(input_audience," ","")&amp;",")))=COUNTA(TEXTSPLIT(AY206,",")))))</f>
        <v/>
      </c>
      <c r="IX206" s="19">
        <f>AND(IF(BA206="",TRUE,IF(input_challenge_opportunities="",FALSE,SUMPRODUCT(--ISNUMBER(SEARCH(","&amp;TRIM(TEXTSPLIT(BA206,","))&amp;",",","&amp;SUBSTITUTE(input_challenge_opportunities," ","")&amp;",")))&gt;0)),IF(BC206="",TRUE,IF(input_challenge_opportunities="",FALSE,SUMPRODUCT(--ISNUMBER(SEARCH(","&amp;TRIM(TEXTSPLIT(BC206,","))&amp;",",","&amp;SUBSTITUTE(input_challenge_opportunities," ","")&amp;",")))=COUNTA(TEXTSPLIT(BC206,",")))),IF(BE206="",TRUE,IF(input_challenge_opportunities="",TRUE,SUMPRODUCT(--ISNUMBER(SEARCH(","&amp;TRIM(TEXTSPLIT(BE206,","))&amp;",",","&amp;SUBSTITUTE(input_challenge_opportunities," ","")&amp;",")))=0)),IF(BG206="",TRUE,IF(input_challenge_opportunities="",FALSE,SUMPRODUCT(--ISNUMBER(SEARCH(","&amp;TRIM(TEXTSPLIT(BG206,","))&amp;",",","&amp;SUBSTITUTE(input_challenge_opportunities," ","")&amp;",")))&gt;0)),IF(BI206="",TRUE,IF(input_challenge_opportunities="",FALSE,SUMPRODUCT(--ISNUMBER(SEARCH(","&amp;TRIM(TEXTSPLIT(BI206,","))&amp;",",","&amp;SUBSTITUTE(input_challenge_opportunities," ","")&amp;",")))=COUNTA(TEXTSPLIT(BI206,",")))))</f>
        <v/>
      </c>
      <c r="IY206" s="19">
        <f>AND(IF(BK206="",TRUE,IF(input_context="",FALSE,SUMPRODUCT(--ISNUMBER(SEARCH(","&amp;TRIM(TEXTSPLIT(BK206,","))&amp;",",","&amp;SUBSTITUTE(input_context," ","")&amp;",")))&gt;0)),IF(BM206="",TRUE,IF(input_context="",FALSE,SUMPRODUCT(--ISNUMBER(SEARCH(","&amp;TRIM(TEXTSPLIT(BM206,","))&amp;",",","&amp;SUBSTITUTE(input_context," ","")&amp;",")))=COUNTA(TEXTSPLIT(BM206,",")))),IF(BO206="",TRUE,IF(input_context="",TRUE,SUMPRODUCT(--ISNUMBER(SEARCH(","&amp;TRIM(TEXTSPLIT(BO206,","))&amp;",",","&amp;SUBSTITUTE(input_context," ","")&amp;",")))=0)),IF(BQ206="",TRUE,IF(input_context="",FALSE,SUMPRODUCT(--ISNUMBER(SEARCH(","&amp;TRIM(TEXTSPLIT(BQ206,","))&amp;",",","&amp;SUBSTITUTE(input_context," ","")&amp;",")))&gt;0)),IF(BS206="",TRUE,IF(input_context="",FALSE,SUMPRODUCT(--ISNUMBER(SEARCH(","&amp;TRIM(TEXTSPLIT(BS206,","))&amp;",",","&amp;SUBSTITUTE(input_context," ","")&amp;",")))=COUNTA(TEXTSPLIT(BS206,",")))))</f>
        <v/>
      </c>
      <c r="IZ206" s="19">
        <f>AND(IF(BU206="",TRUE,IF(input_enews_announcement_type="",FALSE,SUMPRODUCT(--ISNUMBER(SEARCH(","&amp;TRIM(TEXTSPLIT(BU206,","))&amp;",",","&amp;SUBSTITUTE(input_enews_announcement_type," ","")&amp;",")))&gt;0)),IF(BW206="",TRUE,IF(input_enews_announcement_type="",FALSE,SUMPRODUCT(--ISNUMBER(SEARCH(","&amp;TRIM(TEXTSPLIT(BW206,","))&amp;",",","&amp;SUBSTITUTE(input_enews_announcement_type," ","")&amp;",")))=COUNTA(TEXTSPLIT(BW206,",")))),IF(BY206="",TRUE,IF(input_enews_announcement_type="",TRUE,SUMPRODUCT(--ISNUMBER(SEARCH(","&amp;TRIM(TEXTSPLIT(BY206,","))&amp;",",","&amp;SUBSTITUTE(input_enews_announcement_type," ","")&amp;",")))=0)),IF(CA206="",TRUE,IF(input_enews_announcement_type="",FALSE,SUMPRODUCT(--ISNUMBER(SEARCH(","&amp;TRIM(TEXTSPLIT(CA206,","))&amp;",",","&amp;SUBSTITUTE(input_enews_announcement_type," ","")&amp;",")))&gt;0)),IF(CC206="",TRUE,IF(input_enews_announcement_type="",FALSE,SUMPRODUCT(--ISNUMBER(SEARCH(","&amp;TRIM(TEXTSPLIT(CC206,","))&amp;",",","&amp;SUBSTITUTE(input_enews_announcement_type," ","")&amp;",")))=COUNTA(TEXTSPLIT(CC206,",")))))</f>
        <v/>
      </c>
      <c r="JA206" s="19">
        <f>AND(IF(CE206="",TRUE,IF(input_enews_audience="",FALSE,SUMPRODUCT(--ISNUMBER(SEARCH(","&amp;TRIM(TEXTSPLIT(CE206,","))&amp;",",","&amp;SUBSTITUTE(input_enews_audience," ","")&amp;",")))&gt;0)),IF(CG206="",TRUE,IF(input_enews_audience="",FALSE,SUMPRODUCT(--ISNUMBER(SEARCH(","&amp;TRIM(TEXTSPLIT(CG206,","))&amp;",",","&amp;SUBSTITUTE(input_enews_audience," ","")&amp;",")))=COUNTA(TEXTSPLIT(CG206,",")))),IF(CI206="",TRUE,IF(input_enews_audience="",TRUE,SUMPRODUCT(--ISNUMBER(SEARCH(","&amp;TRIM(TEXTSPLIT(CI206,","))&amp;",",","&amp;SUBSTITUTE(input_enews_audience," ","")&amp;",")))=0)),IF(CK206="",TRUE,IF(input_enews_audience="",FALSE,SUMPRODUCT(--ISNUMBER(SEARCH(","&amp;TRIM(TEXTSPLIT(CK206,","))&amp;",",","&amp;SUBSTITUTE(input_enews_audience," ","")&amp;",")))&gt;0)),IF(CM206="",TRUE,IF(input_enews_audience="",FALSE,SUMPRODUCT(--ISNUMBER(SEARCH(","&amp;TRIM(TEXTSPLIT(CM206,","))&amp;",",","&amp;SUBSTITUTE(input_enews_audience," ","")&amp;",")))=COUNTA(TEXTSPLIT(CM206,",")))))</f>
        <v/>
      </c>
      <c r="JB206" s="19">
        <f>AND(IF(CO206="",TRUE,IF(input_event_location="",FALSE,SUMPRODUCT(--ISNUMBER(SEARCH(","&amp;TRIM(TEXTSPLIT(CO206,","))&amp;",",","&amp;SUBSTITUTE(input_event_location," ","")&amp;",")))&gt;0)),IF(CQ206="",TRUE,IF(input_event_location="",FALSE,SUMPRODUCT(--ISNUMBER(SEARCH(","&amp;TRIM(TEXTSPLIT(CQ206,","))&amp;",",","&amp;SUBSTITUTE(input_event_location," ","")&amp;",")))=COUNTA(TEXTSPLIT(CQ206,",")))),IF(CS206="",TRUE,IF(input_event_location="",TRUE,SUMPRODUCT(--ISNUMBER(SEARCH(","&amp;TRIM(TEXTSPLIT(CS206,","))&amp;",",","&amp;SUBSTITUTE(input_event_location," ","")&amp;",")))=0)),IF(CU206="",TRUE,IF(input_event_location="",FALSE,SUMPRODUCT(--ISNUMBER(SEARCH(","&amp;TRIM(TEXTSPLIT(CU206,","))&amp;",",","&amp;SUBSTITUTE(input_event_location," ","")&amp;",")))&gt;0)),IF(CW206="",TRUE,IF(input_event_location="",FALSE,SUMPRODUCT(--ISNUMBER(SEARCH(","&amp;TRIM(TEXTSPLIT(CW206,","))&amp;",",","&amp;SUBSTITUTE(input_event_location," ","")&amp;",")))=COUNTA(TEXTSPLIT(CW206,",")))))</f>
        <v/>
      </c>
      <c r="JC206" s="19">
        <f>AND(IF(CY206="",TRUE,IF(input_event_type="",FALSE,SUMPRODUCT(--ISNUMBER(SEARCH(","&amp;TRIM(TEXTSPLIT(CY206,","))&amp;",",","&amp;SUBSTITUTE(input_event_type," ","")&amp;",")))&gt;0)),IF(DA206="",TRUE,IF(input_event_type="",FALSE,SUMPRODUCT(--ISNUMBER(SEARCH(","&amp;TRIM(TEXTSPLIT(DA206,","))&amp;",",","&amp;SUBSTITUTE(input_event_type," ","")&amp;",")))=COUNTA(TEXTSPLIT(DA206,",")))),IF(DC206="",TRUE,IF(input_event_type="",TRUE,SUMPRODUCT(--ISNUMBER(SEARCH(","&amp;TRIM(TEXTSPLIT(DC206,","))&amp;",",","&amp;SUBSTITUTE(input_event_type," ","")&amp;",")))=0)),IF(DE206="",TRUE,IF(input_event_type="",FALSE,SUMPRODUCT(--ISNUMBER(SEARCH(","&amp;TRIM(TEXTSPLIT(DE206,","))&amp;",",","&amp;SUBSTITUTE(input_event_type," ","")&amp;",")))&gt;0)),IF(DG206="",TRUE,IF(input_event_type="",FALSE,SUMPRODUCT(--ISNUMBER(SEARCH(","&amp;TRIM(TEXTSPLIT(DG206,","))&amp;",",","&amp;SUBSTITUTE(input_event_type," ","")&amp;",")))=COUNTA(TEXTSPLIT(DG206,",")))))</f>
        <v/>
      </c>
      <c r="JD206" s="19">
        <f>AND(IF(DI206="",TRUE,IF(input_executive_education_focus="",FALSE,SUMPRODUCT(--ISNUMBER(SEARCH(","&amp;TRIM(TEXTSPLIT(DI206,","))&amp;",",","&amp;SUBSTITUTE(input_executive_education_focus," ","")&amp;",")))&gt;0)),IF(DK206="",TRUE,IF(input_executive_education_focus="",FALSE,SUMPRODUCT(--ISNUMBER(SEARCH(","&amp;TRIM(TEXTSPLIT(DK206,","))&amp;",",","&amp;SUBSTITUTE(input_executive_education_focus," ","")&amp;",")))=COUNTA(TEXTSPLIT(DK206,",")))),IF(DM206="",TRUE,IF(input_executive_education_focus="",TRUE,SUMPRODUCT(--ISNUMBER(SEARCH(","&amp;TRIM(TEXTSPLIT(DM206,","))&amp;",",","&amp;SUBSTITUTE(input_executive_education_focus," ","")&amp;",")))=0)),IF(DO206="",TRUE,IF(input_executive_education_focus="",FALSE,SUMPRODUCT(--ISNUMBER(SEARCH(","&amp;TRIM(TEXTSPLIT(DO206,","))&amp;",",","&amp;SUBSTITUTE(input_executive_education_focus," ","")&amp;",")))&gt;0)),IF(DQ206="",TRUE,IF(input_executive_education_focus="",FALSE,SUMPRODUCT(--ISNUMBER(SEARCH(","&amp;TRIM(TEXTSPLIT(DQ206,","))&amp;",",","&amp;SUBSTITUTE(input_executive_education_focus," ","")&amp;",")))=COUNTA(TEXTSPLIT(DQ206,",")))))</f>
        <v/>
      </c>
      <c r="JE206" s="19">
        <f>AND(IF(DS206="",TRUE,IF(input_faculty_category="",FALSE,SUMPRODUCT(--ISNUMBER(SEARCH(","&amp;TRIM(TEXTSPLIT(DS206,","))&amp;",",","&amp;SUBSTITUTE(input_faculty_category," ","")&amp;",")))&gt;0)),IF(DU206="",TRUE,IF(input_faculty_category="",FALSE,SUMPRODUCT(--ISNUMBER(SEARCH(","&amp;TRIM(TEXTSPLIT(DU206,","))&amp;",",","&amp;SUBSTITUTE(input_faculty_category," ","")&amp;",")))=COUNTA(TEXTSPLIT(DU206,",")))),IF(DW206="",TRUE,IF(input_faculty_category="",TRUE,SUMPRODUCT(--ISNUMBER(SEARCH(","&amp;TRIM(TEXTSPLIT(DW206,","))&amp;",",","&amp;SUBSTITUTE(input_faculty_category," ","")&amp;",")))=0)),IF(DY206="",TRUE,IF(input_faculty_category="",FALSE,SUMPRODUCT(--ISNUMBER(SEARCH(","&amp;TRIM(TEXTSPLIT(DY206,","))&amp;",",","&amp;SUBSTITUTE(input_faculty_category," ","")&amp;",")))&gt;0)),IF(EA206="",TRUE,IF(input_faculty_category="",FALSE,SUMPRODUCT(--ISNUMBER(SEARCH(","&amp;TRIM(TEXTSPLIT(EA206,","))&amp;",",","&amp;SUBSTITUTE(input_faculty_category," ","")&amp;",")))=COUNTA(TEXTSPLIT(EA206,",")))))</f>
        <v/>
      </c>
      <c r="JF206" s="19">
        <f>AND(IF(EC206="",TRUE,IF(input_faculty_discipline="",FALSE,SUMPRODUCT(--ISNUMBER(SEARCH(","&amp;TRIM(TEXTSPLIT(EC206,","))&amp;",",","&amp;SUBSTITUTE(input_faculty_discipline," ","")&amp;",")))&gt;0)),IF(EE206="",TRUE,IF(input_faculty_discipline="",FALSE,SUMPRODUCT(--ISNUMBER(SEARCH(","&amp;TRIM(TEXTSPLIT(EE206,","))&amp;",",","&amp;SUBSTITUTE(input_faculty_discipline," ","")&amp;",")))=COUNTA(TEXTSPLIT(EE206,",")))),IF(EG206="",TRUE,IF(input_faculty_discipline="",TRUE,SUMPRODUCT(--ISNUMBER(SEARCH(","&amp;TRIM(TEXTSPLIT(EG206,","))&amp;",",","&amp;SUBSTITUTE(input_faculty_discipline," ","")&amp;",")))=0)),IF(EI206="",TRUE,IF(input_faculty_discipline="",FALSE,SUMPRODUCT(--ISNUMBER(SEARCH(","&amp;TRIM(TEXTSPLIT(EI206,","))&amp;",",","&amp;SUBSTITUTE(input_faculty_discipline," ","")&amp;",")))&gt;0)),IF(EK206="",TRUE,IF(input_faculty_discipline="",FALSE,SUMPRODUCT(--ISNUMBER(SEARCH(","&amp;TRIM(TEXTSPLIT(EK206,","))&amp;",",","&amp;SUBSTITUTE(input_faculty_discipline," ","")&amp;",")))=COUNTA(TEXTSPLIT(EK206,",")))))</f>
        <v/>
      </c>
      <c r="JG206" s="19">
        <f>AND(IF(EM206="",TRUE,IF(input_faculty_expertise="",FALSE,SUMPRODUCT(--ISNUMBER(SEARCH(","&amp;TRIM(TEXTSPLIT(EM206,","))&amp;",",","&amp;SUBSTITUTE(input_faculty_expertise," ","")&amp;",")))&gt;0)),IF(EO206="",TRUE,IF(input_faculty_expertise="",FALSE,SUMPRODUCT(--ISNUMBER(SEARCH(","&amp;TRIM(TEXTSPLIT(EO206,","))&amp;",",","&amp;SUBSTITUTE(input_faculty_expertise," ","")&amp;",")))=COUNTA(TEXTSPLIT(EO206,",")))),IF(EQ206="",TRUE,IF(input_faculty_expertise="",TRUE,SUMPRODUCT(--ISNUMBER(SEARCH(","&amp;TRIM(TEXTSPLIT(EQ206,","))&amp;",",","&amp;SUBSTITUTE(input_faculty_expertise," ","")&amp;",")))=0)),IF(ES206="",TRUE,IF(input_faculty_expertise="",FALSE,SUMPRODUCT(--ISNUMBER(SEARCH(","&amp;TRIM(TEXTSPLIT(ES206,","))&amp;",",","&amp;SUBSTITUTE(input_faculty_expertise," ","")&amp;",")))&gt;0)),IF(EU206="",TRUE,IF(input_faculty_expertise="",FALSE,SUMPRODUCT(--ISNUMBER(SEARCH(","&amp;TRIM(TEXTSPLIT(EU206,","))&amp;",",","&amp;SUBSTITUTE(input_faculty_expertise," ","")&amp;",")))=COUNTA(TEXTSPLIT(EU206,",")))))</f>
        <v/>
      </c>
      <c r="JH206" s="19">
        <f>AND(IF(EW206="",TRUE,IF(input_global_network_school="",FALSE,SUMPRODUCT(--ISNUMBER(SEARCH(","&amp;TRIM(TEXTSPLIT(EW206,","))&amp;",",","&amp;SUBSTITUTE(input_global_network_school," ","")&amp;",")))&gt;0)),IF(EY206="",TRUE,IF(input_global_network_school="",FALSE,SUMPRODUCT(--ISNUMBER(SEARCH(","&amp;TRIM(TEXTSPLIT(EY206,","))&amp;",",","&amp;SUBSTITUTE(input_global_network_school," ","")&amp;",")))=COUNTA(TEXTSPLIT(EY206,",")))),IF(FA206="",TRUE,IF(input_global_network_school="",TRUE,SUMPRODUCT(--ISNUMBER(SEARCH(","&amp;TRIM(TEXTSPLIT(FA206,","))&amp;",",","&amp;SUBSTITUTE(input_global_network_school," ","")&amp;",")))=0)),IF(FC206="",TRUE,IF(input_global_network_school="",FALSE,SUMPRODUCT(--ISNUMBER(SEARCH(","&amp;TRIM(TEXTSPLIT(FC206,","))&amp;",",","&amp;SUBSTITUTE(input_global_network_school," ","")&amp;",")))&gt;0)),IF(FE206="",TRUE,IF(input_global_network_school="",FALSE,SUMPRODUCT(--ISNUMBER(SEARCH(","&amp;TRIM(TEXTSPLIT(FE206,","))&amp;",",","&amp;SUBSTITUTE(input_global_network_school," ","")&amp;",")))=COUNTA(TEXTSPLIT(FE206,",")))))</f>
        <v/>
      </c>
      <c r="JI206" s="19">
        <f>AND(IF(FG206="",TRUE,IF(input_industry="",FALSE,SUMPRODUCT(--ISNUMBER(SEARCH(","&amp;TRIM(TEXTSPLIT(FG206,","))&amp;",",","&amp;SUBSTITUTE(input_industry," ","")&amp;",")))&gt;0)),IF(FI206="",TRUE,IF(input_industry="",FALSE,SUMPRODUCT(--ISNUMBER(SEARCH(","&amp;TRIM(TEXTSPLIT(FI206,","))&amp;",",","&amp;SUBSTITUTE(input_industry," ","")&amp;",")))=COUNTA(TEXTSPLIT(FI206,",")))),IF(FK206="",TRUE,IF(input_industry="",TRUE,SUMPRODUCT(--ISNUMBER(SEARCH(","&amp;TRIM(TEXTSPLIT(FK206,","))&amp;",",","&amp;SUBSTITUTE(input_industry," ","")&amp;",")))=0)),IF(FM206="",TRUE,IF(input_industry="",FALSE,SUMPRODUCT(--ISNUMBER(SEARCH(","&amp;TRIM(TEXTSPLIT(FM206,","))&amp;",",","&amp;SUBSTITUTE(input_industry," ","")&amp;",")))&gt;0)),IF(FO206="",TRUE,IF(input_industry="",FALSE,SUMPRODUCT(--ISNUMBER(SEARCH(","&amp;TRIM(TEXTSPLIT(FO206,","))&amp;",",","&amp;SUBSTITUTE(input_industry," ","")&amp;",")))=COUNTA(TEXTSPLIT(FO206,",")))))</f>
        <v/>
      </c>
      <c r="JJ206" s="19">
        <f>AND(IF(FQ206="",TRUE,IF(input_location="",FALSE,SUMPRODUCT(--ISNUMBER(SEARCH(","&amp;TRIM(TEXTSPLIT(FQ206,","))&amp;",",","&amp;SUBSTITUTE(input_location," ","")&amp;",")))&gt;0)),IF(FS206="",TRUE,IF(input_location="",FALSE,SUMPRODUCT(--ISNUMBER(SEARCH(","&amp;TRIM(TEXTSPLIT(FS206,","))&amp;",",","&amp;SUBSTITUTE(input_location," ","")&amp;",")))=COUNTA(TEXTSPLIT(FS206,",")))),IF(FU206="",TRUE,IF(input_location="",TRUE,SUMPRODUCT(--ISNUMBER(SEARCH(","&amp;TRIM(TEXTSPLIT(FU206,","))&amp;",",","&amp;SUBSTITUTE(input_location," ","")&amp;",")))=0)),IF(FW206="",TRUE,IF(input_location="",FALSE,SUMPRODUCT(--ISNUMBER(SEARCH(","&amp;TRIM(TEXTSPLIT(FW206,","))&amp;",",","&amp;SUBSTITUTE(input_location," ","")&amp;",")))&gt;0)),IF(FY206="",TRUE,IF(input_location="",FALSE,SUMPRODUCT(--ISNUMBER(SEARCH(","&amp;TRIM(TEXTSPLIT(FY206,","))&amp;",",","&amp;SUBSTITUTE(input_location," ","")&amp;",")))=COUNTA(TEXTSPLIT(FY206,",")))))</f>
        <v/>
      </c>
      <c r="JK206" s="19">
        <f>AND(IF(GA206="",TRUE,IF(input_modality="",FALSE,SUMPRODUCT(--ISNUMBER(SEARCH(","&amp;TRIM(TEXTSPLIT(GA206,","))&amp;",",","&amp;SUBSTITUTE(input_modality," ","")&amp;",")))&gt;0)),IF(GC206="",TRUE,IF(input_modality="",FALSE,SUMPRODUCT(--ISNUMBER(SEARCH(","&amp;TRIM(TEXTSPLIT(GC206,","))&amp;",",","&amp;SUBSTITUTE(input_modality," ","")&amp;",")))=COUNTA(TEXTSPLIT(GC206,",")))),IF(GE206="",TRUE,IF(input_modality="",TRUE,SUMPRODUCT(--ISNUMBER(SEARCH(","&amp;TRIM(TEXTSPLIT(GE206,","))&amp;",",","&amp;SUBSTITUTE(input_modality," ","")&amp;",")))=0)),IF(GG206="",TRUE,IF(input_modality="",FALSE,SUMPRODUCT(--ISNUMBER(SEARCH(","&amp;TRIM(TEXTSPLIT(GG206,","))&amp;",",","&amp;SUBSTITUTE(input_modality," ","")&amp;",")))&gt;0)),IF(GI206="",TRUE,IF(input_modality="",FALSE,SUMPRODUCT(--ISNUMBER(SEARCH(","&amp;TRIM(TEXTSPLIT(GI206,","))&amp;",",","&amp;SUBSTITUTE(input_modality," ","")&amp;",")))=COUNTA(TEXTSPLIT(GI206,",")))))</f>
        <v/>
      </c>
      <c r="JL206" s="19">
        <f>AND(IF(GK206="",TRUE,IF(input_organizer="",FALSE,SUMPRODUCT(--ISNUMBER(SEARCH(","&amp;TRIM(TEXTSPLIT(GK206,","))&amp;",",","&amp;SUBSTITUTE(input_organizer," ","")&amp;",")))&gt;0)),IF(GM206="",TRUE,IF(input_organizer="",FALSE,SUMPRODUCT(--ISNUMBER(SEARCH(","&amp;TRIM(TEXTSPLIT(GM206,","))&amp;",",","&amp;SUBSTITUTE(input_organizer," ","")&amp;",")))=COUNTA(TEXTSPLIT(GM206,",")))),IF(GO206="",TRUE,IF(input_organizer="",TRUE,SUMPRODUCT(--ISNUMBER(SEARCH(","&amp;TRIM(TEXTSPLIT(GO206,","))&amp;",",","&amp;SUBSTITUTE(input_organizer," ","")&amp;",")))=0)),IF(GQ206="",TRUE,IF(input_organizer="",FALSE,SUMPRODUCT(--ISNUMBER(SEARCH(","&amp;TRIM(TEXTSPLIT(GQ206,","))&amp;",",","&amp;SUBSTITUTE(input_organizer," ","")&amp;",")))&gt;0)),IF(GS206="",TRUE,IF(input_organizer="",FALSE,SUMPRODUCT(--ISNUMBER(SEARCH(","&amp;TRIM(TEXTSPLIT(GS206,","))&amp;",",","&amp;SUBSTITUTE(input_organizer," ","")&amp;",")))=COUNTA(TEXTSPLIT(GS206,",")))))</f>
        <v/>
      </c>
      <c r="JM206" s="19">
        <f>AND(IF(GU206="",TRUE,IF(input_profile_type="",FALSE,SUMPRODUCT(--ISNUMBER(SEARCH(","&amp;TRIM(TEXTSPLIT(GU206,","))&amp;",",","&amp;SUBSTITUTE(input_profile_type," ","")&amp;",")))&gt;0)),IF(GW206="",TRUE,IF(input_profile_type="",FALSE,SUMPRODUCT(--ISNUMBER(SEARCH(","&amp;TRIM(TEXTSPLIT(GW206,","))&amp;",",","&amp;SUBSTITUTE(input_profile_type," ","")&amp;",")))=COUNTA(TEXTSPLIT(GW206,",")))),IF(GY206="",TRUE,IF(input_profile_type="",TRUE,SUMPRODUCT(--ISNUMBER(SEARCH(","&amp;TRIM(TEXTSPLIT(GY206,","))&amp;",",","&amp;SUBSTITUTE(input_profile_type," ","")&amp;",")))=0)),IF(HA206="",TRUE,IF(input_profile_type="",FALSE,SUMPRODUCT(--ISNUMBER(SEARCH(","&amp;TRIM(TEXTSPLIT(HA206,","))&amp;",",","&amp;SUBSTITUTE(input_profile_type," ","")&amp;",")))&gt;0)),IF(HC206="",TRUE,IF(input_profile_type="",FALSE,SUMPRODUCT(--ISNUMBER(SEARCH(","&amp;TRIM(TEXTSPLIT(HC206,","))&amp;",",","&amp;SUBSTITUTE(input_profile_type," ","")&amp;",")))=COUNTA(TEXTSPLIT(HC206,",")))))</f>
        <v/>
      </c>
      <c r="JN206" s="19">
        <f>AND(IF(HE206="",TRUE,IF(input_program="",FALSE,SUMPRODUCT(--ISNUMBER(SEARCH(","&amp;TRIM(TEXTSPLIT(HE206,","))&amp;",",","&amp;SUBSTITUTE(input_program," ","")&amp;",")))&gt;0)),IF(HG206="",TRUE,IF(input_program="",FALSE,SUMPRODUCT(--ISNUMBER(SEARCH(","&amp;TRIM(TEXTSPLIT(HG206,","))&amp;",",","&amp;SUBSTITUTE(input_program," ","")&amp;",")))=COUNTA(TEXTSPLIT(HG206,",")))),IF(HI206="",TRUE,IF(input_program="",TRUE,SUMPRODUCT(--ISNUMBER(SEARCH(","&amp;TRIM(TEXTSPLIT(HI206,","))&amp;",",","&amp;SUBSTITUTE(input_program," ","")&amp;",")))=0)),IF(HK206="",TRUE,IF(input_program="",FALSE,SUMPRODUCT(--ISNUMBER(SEARCH(","&amp;TRIM(TEXTSPLIT(HK206,","))&amp;",",","&amp;SUBSTITUTE(input_program," ","")&amp;",")))&gt;0)),IF(HM206="",TRUE,IF(input_program="",FALSE,SUMPRODUCT(--ISNUMBER(SEARCH(","&amp;TRIM(TEXTSPLIT(HM206,","))&amp;",",","&amp;SUBSTITUTE(input_program," ","")&amp;",")))=COUNTA(TEXTSPLIT(HM206,",")))))</f>
        <v/>
      </c>
      <c r="JO206" s="19">
        <f>AND(IF(HO206="",TRUE,IF(input_story_categories="",FALSE,SUMPRODUCT(--ISNUMBER(SEARCH(","&amp;TRIM(TEXTSPLIT(HO206,","))&amp;",",","&amp;SUBSTITUTE(input_story_categories," ","")&amp;",")))&gt;0)),IF(HQ206="",TRUE,IF(input_story_categories="",FALSE,SUMPRODUCT(--ISNUMBER(SEARCH(","&amp;TRIM(TEXTSPLIT(HQ206,","))&amp;",",","&amp;SUBSTITUTE(input_story_categories," ","")&amp;",")))=COUNTA(TEXTSPLIT(HQ206,",")))),IF(HS206="",TRUE,IF(input_story_categories="",TRUE,SUMPRODUCT(--ISNUMBER(SEARCH(","&amp;TRIM(TEXTSPLIT(HS206,","))&amp;",",","&amp;SUBSTITUTE(input_story_categories," ","")&amp;",")))=0)),IF(HU206="",TRUE,IF(input_story_categories="",FALSE,SUMPRODUCT(--ISNUMBER(SEARCH(","&amp;TRIM(TEXTSPLIT(HU206,","))&amp;",",","&amp;SUBSTITUTE(input_story_categories," ","")&amp;",")))&gt;0)),IF(HW206="",TRUE,IF(input_story_categories="",FALSE,SUMPRODUCT(--ISNUMBER(SEARCH(","&amp;TRIM(TEXTSPLIT(HW206,","))&amp;",",","&amp;SUBSTITUTE(input_story_categories," ","")&amp;",")))=COUNTA(TEXTSPLIT(HW206,",")))))</f>
        <v/>
      </c>
      <c r="JP206" s="19">
        <f>AND(IF(HY206="",TRUE,IF(input_story_type="",FALSE,SUMPRODUCT(--ISNUMBER(SEARCH(","&amp;TRIM(TEXTSPLIT(HY206,","))&amp;",",","&amp;SUBSTITUTE(input_story_type," ","")&amp;",")))&gt;0)),IF(IA206="",TRUE,IF(input_story_type="",FALSE,SUMPRODUCT(--ISNUMBER(SEARCH(","&amp;TRIM(TEXTSPLIT(IA206,","))&amp;",",","&amp;SUBSTITUTE(input_story_type," ","")&amp;",")))=COUNTA(TEXTSPLIT(IA206,",")))),IF(IC206="",TRUE,IF(input_story_type="",TRUE,SUMPRODUCT(--ISNUMBER(SEARCH(","&amp;TRIM(TEXTSPLIT(IC206,","))&amp;",",","&amp;SUBSTITUTE(input_story_type," ","")&amp;",")))=0)),IF(IE206="",TRUE,IF(input_story_type="",FALSE,SUMPRODUCT(--ISNUMBER(SEARCH(","&amp;TRIM(TEXTSPLIT(IE206,","))&amp;",",","&amp;SUBSTITUTE(input_story_type," ","")&amp;",")))&gt;0)),IF(IG206="",TRUE,IF(input_story_type="",FALSE,SUMPRODUCT(--ISNUMBER(SEARCH(","&amp;TRIM(TEXTSPLIT(IG206,","))&amp;",",","&amp;SUBSTITUTE(input_story_type," ","")&amp;",")))=COUNTA(TEXTSPLIT(IG206,",")))))</f>
        <v/>
      </c>
      <c r="JQ206" s="19">
        <f>AND(IF(II206="",TRUE,IF(input_topics="",FALSE,SUMPRODUCT(--ISNUMBER(SEARCH(","&amp;TRIM(TEXTSPLIT(II206,","))&amp;",",","&amp;SUBSTITUTE(input_topics," ","")&amp;",")))&gt;0)),IF(IK206="",TRUE,IF(input_topics="",FALSE,SUMPRODUCT(--ISNUMBER(SEARCH(","&amp;TRIM(TEXTSPLIT(IK206,","))&amp;",",","&amp;SUBSTITUTE(input_topics," ","")&amp;",")))=COUNTA(TEXTSPLIT(IK206,",")))),IF(IM206="",TRUE,IF(input_topics="",TRUE,SUMPRODUCT(--ISNUMBER(SEARCH(","&amp;TRIM(TEXTSPLIT(IM206,","))&amp;",",","&amp;SUBSTITUTE(input_topics," ","")&amp;",")))=0)),IF(IO206="",TRUE,IF(input_topics="",FALSE,SUMPRODUCT(--ISNUMBER(SEARCH(","&amp;TRIM(TEXTSPLIT(IO206,","))&amp;",",","&amp;SUBSTITUTE(input_topics," ","")&amp;",")))&gt;0)),IF(IQ206="",TRUE,IF(input_topics="",FALSE,SUMPRODUCT(--ISNUMBER(SEARCH(","&amp;TRIM(TEXTSPLIT(IQ206,","))&amp;",",","&amp;SUBSTITUTE(input_topics," ","")&amp;",")))=COUNTA(TEXTSPLIT(IQ206,",")))))</f>
        <v/>
      </c>
    </row>
    <row r="207">
      <c r="A207" s="24">
        <f>IF(NOT(IS207),"Excluded",IF(AND(IT207,IU207,IV207,IW207,IX207,IY207,IZ207,JA207,JB207,JC207,JD207,JE207,JF207,JG207,JH207,JI207,JJ207,JK207,JL207,JM207,JN207,JO207,JP207,JQ207),IF(I207&gt;0,"Eligible but limited","Will appear"),"Excluded"))</f>
        <v/>
      </c>
      <c r="B207" s="24" t="inlineStr">
        <is>
          <t>Related stories on story pages</t>
        </is>
      </c>
      <c r="C207" s="27" t="inlineStr">
        <is>
          <t>/story/2025/faculty-research-and-honors-2024</t>
        </is>
      </c>
      <c r="D207" s="24" t="inlineStr">
        <is>
          <t>/story/2025/faculty-research-and-honors-2024
/story/2025/prof-fiona-scott-morton-publishes-collection-digital-market-regulation
/story/2025/prof-john-barrios-honored-research-impacting-societal-challenges</t>
        </is>
      </c>
      <c r="E207" s="24" t="n">
        <v>12</v>
      </c>
      <c r="F207" s="24" t="inlineStr">
        <is>
          <t>story</t>
        </is>
      </c>
      <c r="G207" s="24" t="inlineStr">
        <is>
          <t>stories_teaser_cards</t>
        </is>
      </c>
      <c r="H207" s="24" t="inlineStr">
        <is>
          <t>embed_all</t>
        </is>
      </c>
      <c r="I207" s="24" t="n">
        <v>3</v>
      </c>
      <c r="J207" s="31" t="inlineStr">
        <is>
          <t>Template logic</t>
        </is>
      </c>
      <c r="K207" s="24" t="inlineStr">
        <is>
          <t>Grouped surface</t>
        </is>
      </c>
      <c r="L207" s="24" t="inlineStr">
        <is>
          <t>Content type: story; Context uses Courses Context: Faculty (1592); Context uses Story Type: News (924); Limited to 3 item(s); Source: Template logic</t>
        </is>
      </c>
      <c r="BQ207" s="19" t="inlineStr">
        <is>
          <t>1592</t>
        </is>
      </c>
      <c r="BR207" s="19" t="inlineStr">
        <is>
          <t>Faculty (1592)</t>
        </is>
      </c>
      <c r="IE207" s="19" t="inlineStr">
        <is>
          <t>924</t>
        </is>
      </c>
      <c r="IF207" s="19" t="inlineStr">
        <is>
          <t>News (924)</t>
        </is>
      </c>
      <c r="IS207" s="19">
        <f>IF(input_content_type="",FALSE,ISNUMBER(SEARCH(","&amp;LOWER(input_content_type)&amp;",",","&amp;LOWER(SUBSTITUTE(F207," ",""))&amp;",")))</f>
        <v/>
      </c>
      <c r="IT207" s="19">
        <f>AND(IF(M207="",TRUE,IF(input_affiliations="",FALSE,SUMPRODUCT(--ISNUMBER(SEARCH(","&amp;TRIM(TEXTSPLIT(M207,","))&amp;",",","&amp;SUBSTITUTE(input_affiliations," ","")&amp;",")))&gt;0)),IF(O207="",TRUE,IF(input_affiliations="",FALSE,SUMPRODUCT(--ISNUMBER(SEARCH(","&amp;TRIM(TEXTSPLIT(O207,","))&amp;",",","&amp;SUBSTITUTE(input_affiliations," ","")&amp;",")))=COUNTA(TEXTSPLIT(O207,",")))),IF(Q207="",TRUE,IF(input_affiliations="",TRUE,SUMPRODUCT(--ISNUMBER(SEARCH(","&amp;TRIM(TEXTSPLIT(Q207,","))&amp;",",","&amp;SUBSTITUTE(input_affiliations," ","")&amp;",")))=0)),IF(S207="",TRUE,IF(input_affiliations="",FALSE,SUMPRODUCT(--ISNUMBER(SEARCH(","&amp;TRIM(TEXTSPLIT(S207,","))&amp;",",","&amp;SUBSTITUTE(input_affiliations," ","")&amp;",")))&gt;0)),IF(U207="",TRUE,IF(input_affiliations="",FALSE,SUMPRODUCT(--ISNUMBER(SEARCH(","&amp;TRIM(TEXTSPLIT(U207,","))&amp;",",","&amp;SUBSTITUTE(input_affiliations," ","")&amp;",")))=COUNTA(TEXTSPLIT(U207,",")))))</f>
        <v/>
      </c>
      <c r="IU207" s="19">
        <f>AND(IF(W207="",TRUE,IF(input_announcement_category="",FALSE,SUMPRODUCT(--ISNUMBER(SEARCH(","&amp;TRIM(TEXTSPLIT(W207,","))&amp;",",","&amp;SUBSTITUTE(input_announcement_category," ","")&amp;",")))&gt;0)),IF(Y207="",TRUE,IF(input_announcement_category="",FALSE,SUMPRODUCT(--ISNUMBER(SEARCH(","&amp;TRIM(TEXTSPLIT(Y207,","))&amp;",",","&amp;SUBSTITUTE(input_announcement_category," ","")&amp;",")))=COUNTA(TEXTSPLIT(Y207,",")))),IF(AA207="",TRUE,IF(input_announcement_category="",TRUE,SUMPRODUCT(--ISNUMBER(SEARCH(","&amp;TRIM(TEXTSPLIT(AA207,","))&amp;",",","&amp;SUBSTITUTE(input_announcement_category," ","")&amp;",")))=0)),IF(AC207="",TRUE,IF(input_announcement_category="",FALSE,SUMPRODUCT(--ISNUMBER(SEARCH(","&amp;TRIM(TEXTSPLIT(AC207,","))&amp;",",","&amp;SUBSTITUTE(input_announcement_category," ","")&amp;",")))&gt;0)),IF(AE207="",TRUE,IF(input_announcement_category="",FALSE,SUMPRODUCT(--ISNUMBER(SEARCH(","&amp;TRIM(TEXTSPLIT(AE207,","))&amp;",",","&amp;SUBSTITUTE(input_announcement_category," ","")&amp;",")))=COUNTA(TEXTSPLIT(AE207,",")))))</f>
        <v/>
      </c>
      <c r="IV207" s="19">
        <f>AND(IF(AG207="",TRUE,IF(input_area_of_focus="",FALSE,SUMPRODUCT(--ISNUMBER(SEARCH(","&amp;TRIM(TEXTSPLIT(AG207,","))&amp;",",","&amp;SUBSTITUTE(input_area_of_focus," ","")&amp;",")))&gt;0)),IF(AI207="",TRUE,IF(input_area_of_focus="",FALSE,SUMPRODUCT(--ISNUMBER(SEARCH(","&amp;TRIM(TEXTSPLIT(AI207,","))&amp;",",","&amp;SUBSTITUTE(input_area_of_focus," ","")&amp;",")))=COUNTA(TEXTSPLIT(AI207,",")))),IF(AK207="",TRUE,IF(input_area_of_focus="",TRUE,SUMPRODUCT(--ISNUMBER(SEARCH(","&amp;TRIM(TEXTSPLIT(AK207,","))&amp;",",","&amp;SUBSTITUTE(input_area_of_focus," ","")&amp;",")))=0)),IF(AM207="",TRUE,IF(input_area_of_focus="",FALSE,SUMPRODUCT(--ISNUMBER(SEARCH(","&amp;TRIM(TEXTSPLIT(AM207,","))&amp;",",","&amp;SUBSTITUTE(input_area_of_focus," ","")&amp;",")))&gt;0)),IF(AO207="",TRUE,IF(input_area_of_focus="",FALSE,SUMPRODUCT(--ISNUMBER(SEARCH(","&amp;TRIM(TEXTSPLIT(AO207,","))&amp;",",","&amp;SUBSTITUTE(input_area_of_focus," ","")&amp;",")))=COUNTA(TEXTSPLIT(AO207,",")))))</f>
        <v/>
      </c>
      <c r="IW207" s="19">
        <f>AND(IF(AQ207="",TRUE,IF(input_audience="",FALSE,SUMPRODUCT(--ISNUMBER(SEARCH(","&amp;TRIM(TEXTSPLIT(AQ207,","))&amp;",",","&amp;SUBSTITUTE(input_audience," ","")&amp;",")))&gt;0)),IF(AS207="",TRUE,IF(input_audience="",FALSE,SUMPRODUCT(--ISNUMBER(SEARCH(","&amp;TRIM(TEXTSPLIT(AS207,","))&amp;",",","&amp;SUBSTITUTE(input_audience," ","")&amp;",")))=COUNTA(TEXTSPLIT(AS207,",")))),IF(AU207="",TRUE,IF(input_audience="",TRUE,SUMPRODUCT(--ISNUMBER(SEARCH(","&amp;TRIM(TEXTSPLIT(AU207,","))&amp;",",","&amp;SUBSTITUTE(input_audience," ","")&amp;",")))=0)),IF(AW207="",TRUE,IF(input_audience="",FALSE,SUMPRODUCT(--ISNUMBER(SEARCH(","&amp;TRIM(TEXTSPLIT(AW207,","))&amp;",",","&amp;SUBSTITUTE(input_audience," ","")&amp;",")))&gt;0)),IF(AY207="",TRUE,IF(input_audience="",FALSE,SUMPRODUCT(--ISNUMBER(SEARCH(","&amp;TRIM(TEXTSPLIT(AY207,","))&amp;",",","&amp;SUBSTITUTE(input_audience," ","")&amp;",")))=COUNTA(TEXTSPLIT(AY207,",")))))</f>
        <v/>
      </c>
      <c r="IX207" s="19">
        <f>AND(IF(BA207="",TRUE,IF(input_challenge_opportunities="",FALSE,SUMPRODUCT(--ISNUMBER(SEARCH(","&amp;TRIM(TEXTSPLIT(BA207,","))&amp;",",","&amp;SUBSTITUTE(input_challenge_opportunities," ","")&amp;",")))&gt;0)),IF(BC207="",TRUE,IF(input_challenge_opportunities="",FALSE,SUMPRODUCT(--ISNUMBER(SEARCH(","&amp;TRIM(TEXTSPLIT(BC207,","))&amp;",",","&amp;SUBSTITUTE(input_challenge_opportunities," ","")&amp;",")))=COUNTA(TEXTSPLIT(BC207,",")))),IF(BE207="",TRUE,IF(input_challenge_opportunities="",TRUE,SUMPRODUCT(--ISNUMBER(SEARCH(","&amp;TRIM(TEXTSPLIT(BE207,","))&amp;",",","&amp;SUBSTITUTE(input_challenge_opportunities," ","")&amp;",")))=0)),IF(BG207="",TRUE,IF(input_challenge_opportunities="",FALSE,SUMPRODUCT(--ISNUMBER(SEARCH(","&amp;TRIM(TEXTSPLIT(BG207,","))&amp;",",","&amp;SUBSTITUTE(input_challenge_opportunities," ","")&amp;",")))&gt;0)),IF(BI207="",TRUE,IF(input_challenge_opportunities="",FALSE,SUMPRODUCT(--ISNUMBER(SEARCH(","&amp;TRIM(TEXTSPLIT(BI207,","))&amp;",",","&amp;SUBSTITUTE(input_challenge_opportunities," ","")&amp;",")))=COUNTA(TEXTSPLIT(BI207,",")))))</f>
        <v/>
      </c>
      <c r="IY207" s="19">
        <f>AND(IF(BK207="",TRUE,IF(input_context="",FALSE,SUMPRODUCT(--ISNUMBER(SEARCH(","&amp;TRIM(TEXTSPLIT(BK207,","))&amp;",",","&amp;SUBSTITUTE(input_context," ","")&amp;",")))&gt;0)),IF(BM207="",TRUE,IF(input_context="",FALSE,SUMPRODUCT(--ISNUMBER(SEARCH(","&amp;TRIM(TEXTSPLIT(BM207,","))&amp;",",","&amp;SUBSTITUTE(input_context," ","")&amp;",")))=COUNTA(TEXTSPLIT(BM207,",")))),IF(BO207="",TRUE,IF(input_context="",TRUE,SUMPRODUCT(--ISNUMBER(SEARCH(","&amp;TRIM(TEXTSPLIT(BO207,","))&amp;",",","&amp;SUBSTITUTE(input_context," ","")&amp;",")))=0)),IF(BQ207="",TRUE,IF(input_context="",FALSE,SUMPRODUCT(--ISNUMBER(SEARCH(","&amp;TRIM(TEXTSPLIT(BQ207,","))&amp;",",","&amp;SUBSTITUTE(input_context," ","")&amp;",")))&gt;0)),IF(BS207="",TRUE,IF(input_context="",FALSE,SUMPRODUCT(--ISNUMBER(SEARCH(","&amp;TRIM(TEXTSPLIT(BS207,","))&amp;",",","&amp;SUBSTITUTE(input_context," ","")&amp;",")))=COUNTA(TEXTSPLIT(BS207,",")))))</f>
        <v/>
      </c>
      <c r="IZ207" s="19">
        <f>AND(IF(BU207="",TRUE,IF(input_enews_announcement_type="",FALSE,SUMPRODUCT(--ISNUMBER(SEARCH(","&amp;TRIM(TEXTSPLIT(BU207,","))&amp;",",","&amp;SUBSTITUTE(input_enews_announcement_type," ","")&amp;",")))&gt;0)),IF(BW207="",TRUE,IF(input_enews_announcement_type="",FALSE,SUMPRODUCT(--ISNUMBER(SEARCH(","&amp;TRIM(TEXTSPLIT(BW207,","))&amp;",",","&amp;SUBSTITUTE(input_enews_announcement_type," ","")&amp;",")))=COUNTA(TEXTSPLIT(BW207,",")))),IF(BY207="",TRUE,IF(input_enews_announcement_type="",TRUE,SUMPRODUCT(--ISNUMBER(SEARCH(","&amp;TRIM(TEXTSPLIT(BY207,","))&amp;",",","&amp;SUBSTITUTE(input_enews_announcement_type," ","")&amp;",")))=0)),IF(CA207="",TRUE,IF(input_enews_announcement_type="",FALSE,SUMPRODUCT(--ISNUMBER(SEARCH(","&amp;TRIM(TEXTSPLIT(CA207,","))&amp;",",","&amp;SUBSTITUTE(input_enews_announcement_type," ","")&amp;",")))&gt;0)),IF(CC207="",TRUE,IF(input_enews_announcement_type="",FALSE,SUMPRODUCT(--ISNUMBER(SEARCH(","&amp;TRIM(TEXTSPLIT(CC207,","))&amp;",",","&amp;SUBSTITUTE(input_enews_announcement_type," ","")&amp;",")))=COUNTA(TEXTSPLIT(CC207,",")))))</f>
        <v/>
      </c>
      <c r="JA207" s="19">
        <f>AND(IF(CE207="",TRUE,IF(input_enews_audience="",FALSE,SUMPRODUCT(--ISNUMBER(SEARCH(","&amp;TRIM(TEXTSPLIT(CE207,","))&amp;",",","&amp;SUBSTITUTE(input_enews_audience," ","")&amp;",")))&gt;0)),IF(CG207="",TRUE,IF(input_enews_audience="",FALSE,SUMPRODUCT(--ISNUMBER(SEARCH(","&amp;TRIM(TEXTSPLIT(CG207,","))&amp;",",","&amp;SUBSTITUTE(input_enews_audience," ","")&amp;",")))=COUNTA(TEXTSPLIT(CG207,",")))),IF(CI207="",TRUE,IF(input_enews_audience="",TRUE,SUMPRODUCT(--ISNUMBER(SEARCH(","&amp;TRIM(TEXTSPLIT(CI207,","))&amp;",",","&amp;SUBSTITUTE(input_enews_audience," ","")&amp;",")))=0)),IF(CK207="",TRUE,IF(input_enews_audience="",FALSE,SUMPRODUCT(--ISNUMBER(SEARCH(","&amp;TRIM(TEXTSPLIT(CK207,","))&amp;",",","&amp;SUBSTITUTE(input_enews_audience," ","")&amp;",")))&gt;0)),IF(CM207="",TRUE,IF(input_enews_audience="",FALSE,SUMPRODUCT(--ISNUMBER(SEARCH(","&amp;TRIM(TEXTSPLIT(CM207,","))&amp;",",","&amp;SUBSTITUTE(input_enews_audience," ","")&amp;",")))=COUNTA(TEXTSPLIT(CM207,",")))))</f>
        <v/>
      </c>
      <c r="JB207" s="19">
        <f>AND(IF(CO207="",TRUE,IF(input_event_location="",FALSE,SUMPRODUCT(--ISNUMBER(SEARCH(","&amp;TRIM(TEXTSPLIT(CO207,","))&amp;",",","&amp;SUBSTITUTE(input_event_location," ","")&amp;",")))&gt;0)),IF(CQ207="",TRUE,IF(input_event_location="",FALSE,SUMPRODUCT(--ISNUMBER(SEARCH(","&amp;TRIM(TEXTSPLIT(CQ207,","))&amp;",",","&amp;SUBSTITUTE(input_event_location," ","")&amp;",")))=COUNTA(TEXTSPLIT(CQ207,",")))),IF(CS207="",TRUE,IF(input_event_location="",TRUE,SUMPRODUCT(--ISNUMBER(SEARCH(","&amp;TRIM(TEXTSPLIT(CS207,","))&amp;",",","&amp;SUBSTITUTE(input_event_location," ","")&amp;",")))=0)),IF(CU207="",TRUE,IF(input_event_location="",FALSE,SUMPRODUCT(--ISNUMBER(SEARCH(","&amp;TRIM(TEXTSPLIT(CU207,","))&amp;",",","&amp;SUBSTITUTE(input_event_location," ","")&amp;",")))&gt;0)),IF(CW207="",TRUE,IF(input_event_location="",FALSE,SUMPRODUCT(--ISNUMBER(SEARCH(","&amp;TRIM(TEXTSPLIT(CW207,","))&amp;",",","&amp;SUBSTITUTE(input_event_location," ","")&amp;",")))=COUNTA(TEXTSPLIT(CW207,",")))))</f>
        <v/>
      </c>
      <c r="JC207" s="19">
        <f>AND(IF(CY207="",TRUE,IF(input_event_type="",FALSE,SUMPRODUCT(--ISNUMBER(SEARCH(","&amp;TRIM(TEXTSPLIT(CY207,","))&amp;",",","&amp;SUBSTITUTE(input_event_type," ","")&amp;",")))&gt;0)),IF(DA207="",TRUE,IF(input_event_type="",FALSE,SUMPRODUCT(--ISNUMBER(SEARCH(","&amp;TRIM(TEXTSPLIT(DA207,","))&amp;",",","&amp;SUBSTITUTE(input_event_type," ","")&amp;",")))=COUNTA(TEXTSPLIT(DA207,",")))),IF(DC207="",TRUE,IF(input_event_type="",TRUE,SUMPRODUCT(--ISNUMBER(SEARCH(","&amp;TRIM(TEXTSPLIT(DC207,","))&amp;",",","&amp;SUBSTITUTE(input_event_type," ","")&amp;",")))=0)),IF(DE207="",TRUE,IF(input_event_type="",FALSE,SUMPRODUCT(--ISNUMBER(SEARCH(","&amp;TRIM(TEXTSPLIT(DE207,","))&amp;",",","&amp;SUBSTITUTE(input_event_type," ","")&amp;",")))&gt;0)),IF(DG207="",TRUE,IF(input_event_type="",FALSE,SUMPRODUCT(--ISNUMBER(SEARCH(","&amp;TRIM(TEXTSPLIT(DG207,","))&amp;",",","&amp;SUBSTITUTE(input_event_type," ","")&amp;",")))=COUNTA(TEXTSPLIT(DG207,",")))))</f>
        <v/>
      </c>
      <c r="JD207" s="19">
        <f>AND(IF(DI207="",TRUE,IF(input_executive_education_focus="",FALSE,SUMPRODUCT(--ISNUMBER(SEARCH(","&amp;TRIM(TEXTSPLIT(DI207,","))&amp;",",","&amp;SUBSTITUTE(input_executive_education_focus," ","")&amp;",")))&gt;0)),IF(DK207="",TRUE,IF(input_executive_education_focus="",FALSE,SUMPRODUCT(--ISNUMBER(SEARCH(","&amp;TRIM(TEXTSPLIT(DK207,","))&amp;",",","&amp;SUBSTITUTE(input_executive_education_focus," ","")&amp;",")))=COUNTA(TEXTSPLIT(DK207,",")))),IF(DM207="",TRUE,IF(input_executive_education_focus="",TRUE,SUMPRODUCT(--ISNUMBER(SEARCH(","&amp;TRIM(TEXTSPLIT(DM207,","))&amp;",",","&amp;SUBSTITUTE(input_executive_education_focus," ","")&amp;",")))=0)),IF(DO207="",TRUE,IF(input_executive_education_focus="",FALSE,SUMPRODUCT(--ISNUMBER(SEARCH(","&amp;TRIM(TEXTSPLIT(DO207,","))&amp;",",","&amp;SUBSTITUTE(input_executive_education_focus," ","")&amp;",")))&gt;0)),IF(DQ207="",TRUE,IF(input_executive_education_focus="",FALSE,SUMPRODUCT(--ISNUMBER(SEARCH(","&amp;TRIM(TEXTSPLIT(DQ207,","))&amp;",",","&amp;SUBSTITUTE(input_executive_education_focus," ","")&amp;",")))=COUNTA(TEXTSPLIT(DQ207,",")))))</f>
        <v/>
      </c>
      <c r="JE207" s="19">
        <f>AND(IF(DS207="",TRUE,IF(input_faculty_category="",FALSE,SUMPRODUCT(--ISNUMBER(SEARCH(","&amp;TRIM(TEXTSPLIT(DS207,","))&amp;",",","&amp;SUBSTITUTE(input_faculty_category," ","")&amp;",")))&gt;0)),IF(DU207="",TRUE,IF(input_faculty_category="",FALSE,SUMPRODUCT(--ISNUMBER(SEARCH(","&amp;TRIM(TEXTSPLIT(DU207,","))&amp;",",","&amp;SUBSTITUTE(input_faculty_category," ","")&amp;",")))=COUNTA(TEXTSPLIT(DU207,",")))),IF(DW207="",TRUE,IF(input_faculty_category="",TRUE,SUMPRODUCT(--ISNUMBER(SEARCH(","&amp;TRIM(TEXTSPLIT(DW207,","))&amp;",",","&amp;SUBSTITUTE(input_faculty_category," ","")&amp;",")))=0)),IF(DY207="",TRUE,IF(input_faculty_category="",FALSE,SUMPRODUCT(--ISNUMBER(SEARCH(","&amp;TRIM(TEXTSPLIT(DY207,","))&amp;",",","&amp;SUBSTITUTE(input_faculty_category," ","")&amp;",")))&gt;0)),IF(EA207="",TRUE,IF(input_faculty_category="",FALSE,SUMPRODUCT(--ISNUMBER(SEARCH(","&amp;TRIM(TEXTSPLIT(EA207,","))&amp;",",","&amp;SUBSTITUTE(input_faculty_category," ","")&amp;",")))=COUNTA(TEXTSPLIT(EA207,",")))))</f>
        <v/>
      </c>
      <c r="JF207" s="19">
        <f>AND(IF(EC207="",TRUE,IF(input_faculty_discipline="",FALSE,SUMPRODUCT(--ISNUMBER(SEARCH(","&amp;TRIM(TEXTSPLIT(EC207,","))&amp;",",","&amp;SUBSTITUTE(input_faculty_discipline," ","")&amp;",")))&gt;0)),IF(EE207="",TRUE,IF(input_faculty_discipline="",FALSE,SUMPRODUCT(--ISNUMBER(SEARCH(","&amp;TRIM(TEXTSPLIT(EE207,","))&amp;",",","&amp;SUBSTITUTE(input_faculty_discipline," ","")&amp;",")))=COUNTA(TEXTSPLIT(EE207,",")))),IF(EG207="",TRUE,IF(input_faculty_discipline="",TRUE,SUMPRODUCT(--ISNUMBER(SEARCH(","&amp;TRIM(TEXTSPLIT(EG207,","))&amp;",",","&amp;SUBSTITUTE(input_faculty_discipline," ","")&amp;",")))=0)),IF(EI207="",TRUE,IF(input_faculty_discipline="",FALSE,SUMPRODUCT(--ISNUMBER(SEARCH(","&amp;TRIM(TEXTSPLIT(EI207,","))&amp;",",","&amp;SUBSTITUTE(input_faculty_discipline," ","")&amp;",")))&gt;0)),IF(EK207="",TRUE,IF(input_faculty_discipline="",FALSE,SUMPRODUCT(--ISNUMBER(SEARCH(","&amp;TRIM(TEXTSPLIT(EK207,","))&amp;",",","&amp;SUBSTITUTE(input_faculty_discipline," ","")&amp;",")))=COUNTA(TEXTSPLIT(EK207,",")))))</f>
        <v/>
      </c>
      <c r="JG207" s="19">
        <f>AND(IF(EM207="",TRUE,IF(input_faculty_expertise="",FALSE,SUMPRODUCT(--ISNUMBER(SEARCH(","&amp;TRIM(TEXTSPLIT(EM207,","))&amp;",",","&amp;SUBSTITUTE(input_faculty_expertise," ","")&amp;",")))&gt;0)),IF(EO207="",TRUE,IF(input_faculty_expertise="",FALSE,SUMPRODUCT(--ISNUMBER(SEARCH(","&amp;TRIM(TEXTSPLIT(EO207,","))&amp;",",","&amp;SUBSTITUTE(input_faculty_expertise," ","")&amp;",")))=COUNTA(TEXTSPLIT(EO207,",")))),IF(EQ207="",TRUE,IF(input_faculty_expertise="",TRUE,SUMPRODUCT(--ISNUMBER(SEARCH(","&amp;TRIM(TEXTSPLIT(EQ207,","))&amp;",",","&amp;SUBSTITUTE(input_faculty_expertise," ","")&amp;",")))=0)),IF(ES207="",TRUE,IF(input_faculty_expertise="",FALSE,SUMPRODUCT(--ISNUMBER(SEARCH(","&amp;TRIM(TEXTSPLIT(ES207,","))&amp;",",","&amp;SUBSTITUTE(input_faculty_expertise," ","")&amp;",")))&gt;0)),IF(EU207="",TRUE,IF(input_faculty_expertise="",FALSE,SUMPRODUCT(--ISNUMBER(SEARCH(","&amp;TRIM(TEXTSPLIT(EU207,","))&amp;",",","&amp;SUBSTITUTE(input_faculty_expertise," ","")&amp;",")))=COUNTA(TEXTSPLIT(EU207,",")))))</f>
        <v/>
      </c>
      <c r="JH207" s="19">
        <f>AND(IF(EW207="",TRUE,IF(input_global_network_school="",FALSE,SUMPRODUCT(--ISNUMBER(SEARCH(","&amp;TRIM(TEXTSPLIT(EW207,","))&amp;",",","&amp;SUBSTITUTE(input_global_network_school," ","")&amp;",")))&gt;0)),IF(EY207="",TRUE,IF(input_global_network_school="",FALSE,SUMPRODUCT(--ISNUMBER(SEARCH(","&amp;TRIM(TEXTSPLIT(EY207,","))&amp;",",","&amp;SUBSTITUTE(input_global_network_school," ","")&amp;",")))=COUNTA(TEXTSPLIT(EY207,",")))),IF(FA207="",TRUE,IF(input_global_network_school="",TRUE,SUMPRODUCT(--ISNUMBER(SEARCH(","&amp;TRIM(TEXTSPLIT(FA207,","))&amp;",",","&amp;SUBSTITUTE(input_global_network_school," ","")&amp;",")))=0)),IF(FC207="",TRUE,IF(input_global_network_school="",FALSE,SUMPRODUCT(--ISNUMBER(SEARCH(","&amp;TRIM(TEXTSPLIT(FC207,","))&amp;",",","&amp;SUBSTITUTE(input_global_network_school," ","")&amp;",")))&gt;0)),IF(FE207="",TRUE,IF(input_global_network_school="",FALSE,SUMPRODUCT(--ISNUMBER(SEARCH(","&amp;TRIM(TEXTSPLIT(FE207,","))&amp;",",","&amp;SUBSTITUTE(input_global_network_school," ","")&amp;",")))=COUNTA(TEXTSPLIT(FE207,",")))))</f>
        <v/>
      </c>
      <c r="JI207" s="19">
        <f>AND(IF(FG207="",TRUE,IF(input_industry="",FALSE,SUMPRODUCT(--ISNUMBER(SEARCH(","&amp;TRIM(TEXTSPLIT(FG207,","))&amp;",",","&amp;SUBSTITUTE(input_industry," ","")&amp;",")))&gt;0)),IF(FI207="",TRUE,IF(input_industry="",FALSE,SUMPRODUCT(--ISNUMBER(SEARCH(","&amp;TRIM(TEXTSPLIT(FI207,","))&amp;",",","&amp;SUBSTITUTE(input_industry," ","")&amp;",")))=COUNTA(TEXTSPLIT(FI207,",")))),IF(FK207="",TRUE,IF(input_industry="",TRUE,SUMPRODUCT(--ISNUMBER(SEARCH(","&amp;TRIM(TEXTSPLIT(FK207,","))&amp;",",","&amp;SUBSTITUTE(input_industry," ","")&amp;",")))=0)),IF(FM207="",TRUE,IF(input_industry="",FALSE,SUMPRODUCT(--ISNUMBER(SEARCH(","&amp;TRIM(TEXTSPLIT(FM207,","))&amp;",",","&amp;SUBSTITUTE(input_industry," ","")&amp;",")))&gt;0)),IF(FO207="",TRUE,IF(input_industry="",FALSE,SUMPRODUCT(--ISNUMBER(SEARCH(","&amp;TRIM(TEXTSPLIT(FO207,","))&amp;",",","&amp;SUBSTITUTE(input_industry," ","")&amp;",")))=COUNTA(TEXTSPLIT(FO207,",")))))</f>
        <v/>
      </c>
      <c r="JJ207" s="19">
        <f>AND(IF(FQ207="",TRUE,IF(input_location="",FALSE,SUMPRODUCT(--ISNUMBER(SEARCH(","&amp;TRIM(TEXTSPLIT(FQ207,","))&amp;",",","&amp;SUBSTITUTE(input_location," ","")&amp;",")))&gt;0)),IF(FS207="",TRUE,IF(input_location="",FALSE,SUMPRODUCT(--ISNUMBER(SEARCH(","&amp;TRIM(TEXTSPLIT(FS207,","))&amp;",",","&amp;SUBSTITUTE(input_location," ","")&amp;",")))=COUNTA(TEXTSPLIT(FS207,",")))),IF(FU207="",TRUE,IF(input_location="",TRUE,SUMPRODUCT(--ISNUMBER(SEARCH(","&amp;TRIM(TEXTSPLIT(FU207,","))&amp;",",","&amp;SUBSTITUTE(input_location," ","")&amp;",")))=0)),IF(FW207="",TRUE,IF(input_location="",FALSE,SUMPRODUCT(--ISNUMBER(SEARCH(","&amp;TRIM(TEXTSPLIT(FW207,","))&amp;",",","&amp;SUBSTITUTE(input_location," ","")&amp;",")))&gt;0)),IF(FY207="",TRUE,IF(input_location="",FALSE,SUMPRODUCT(--ISNUMBER(SEARCH(","&amp;TRIM(TEXTSPLIT(FY207,","))&amp;",",","&amp;SUBSTITUTE(input_location," ","")&amp;",")))=COUNTA(TEXTSPLIT(FY207,",")))))</f>
        <v/>
      </c>
      <c r="JK207" s="19">
        <f>AND(IF(GA207="",TRUE,IF(input_modality="",FALSE,SUMPRODUCT(--ISNUMBER(SEARCH(","&amp;TRIM(TEXTSPLIT(GA207,","))&amp;",",","&amp;SUBSTITUTE(input_modality," ","")&amp;",")))&gt;0)),IF(GC207="",TRUE,IF(input_modality="",FALSE,SUMPRODUCT(--ISNUMBER(SEARCH(","&amp;TRIM(TEXTSPLIT(GC207,","))&amp;",",","&amp;SUBSTITUTE(input_modality," ","")&amp;",")))=COUNTA(TEXTSPLIT(GC207,",")))),IF(GE207="",TRUE,IF(input_modality="",TRUE,SUMPRODUCT(--ISNUMBER(SEARCH(","&amp;TRIM(TEXTSPLIT(GE207,","))&amp;",",","&amp;SUBSTITUTE(input_modality," ","")&amp;",")))=0)),IF(GG207="",TRUE,IF(input_modality="",FALSE,SUMPRODUCT(--ISNUMBER(SEARCH(","&amp;TRIM(TEXTSPLIT(GG207,","))&amp;",",","&amp;SUBSTITUTE(input_modality," ","")&amp;",")))&gt;0)),IF(GI207="",TRUE,IF(input_modality="",FALSE,SUMPRODUCT(--ISNUMBER(SEARCH(","&amp;TRIM(TEXTSPLIT(GI207,","))&amp;",",","&amp;SUBSTITUTE(input_modality," ","")&amp;",")))=COUNTA(TEXTSPLIT(GI207,",")))))</f>
        <v/>
      </c>
      <c r="JL207" s="19">
        <f>AND(IF(GK207="",TRUE,IF(input_organizer="",FALSE,SUMPRODUCT(--ISNUMBER(SEARCH(","&amp;TRIM(TEXTSPLIT(GK207,","))&amp;",",","&amp;SUBSTITUTE(input_organizer," ","")&amp;",")))&gt;0)),IF(GM207="",TRUE,IF(input_organizer="",FALSE,SUMPRODUCT(--ISNUMBER(SEARCH(","&amp;TRIM(TEXTSPLIT(GM207,","))&amp;",",","&amp;SUBSTITUTE(input_organizer," ","")&amp;",")))=COUNTA(TEXTSPLIT(GM207,",")))),IF(GO207="",TRUE,IF(input_organizer="",TRUE,SUMPRODUCT(--ISNUMBER(SEARCH(","&amp;TRIM(TEXTSPLIT(GO207,","))&amp;",",","&amp;SUBSTITUTE(input_organizer," ","")&amp;",")))=0)),IF(GQ207="",TRUE,IF(input_organizer="",FALSE,SUMPRODUCT(--ISNUMBER(SEARCH(","&amp;TRIM(TEXTSPLIT(GQ207,","))&amp;",",","&amp;SUBSTITUTE(input_organizer," ","")&amp;",")))&gt;0)),IF(GS207="",TRUE,IF(input_organizer="",FALSE,SUMPRODUCT(--ISNUMBER(SEARCH(","&amp;TRIM(TEXTSPLIT(GS207,","))&amp;",",","&amp;SUBSTITUTE(input_organizer," ","")&amp;",")))=COUNTA(TEXTSPLIT(GS207,",")))))</f>
        <v/>
      </c>
      <c r="JM207" s="19">
        <f>AND(IF(GU207="",TRUE,IF(input_profile_type="",FALSE,SUMPRODUCT(--ISNUMBER(SEARCH(","&amp;TRIM(TEXTSPLIT(GU207,","))&amp;",",","&amp;SUBSTITUTE(input_profile_type," ","")&amp;",")))&gt;0)),IF(GW207="",TRUE,IF(input_profile_type="",FALSE,SUMPRODUCT(--ISNUMBER(SEARCH(","&amp;TRIM(TEXTSPLIT(GW207,","))&amp;",",","&amp;SUBSTITUTE(input_profile_type," ","")&amp;",")))=COUNTA(TEXTSPLIT(GW207,",")))),IF(GY207="",TRUE,IF(input_profile_type="",TRUE,SUMPRODUCT(--ISNUMBER(SEARCH(","&amp;TRIM(TEXTSPLIT(GY207,","))&amp;",",","&amp;SUBSTITUTE(input_profile_type," ","")&amp;",")))=0)),IF(HA207="",TRUE,IF(input_profile_type="",FALSE,SUMPRODUCT(--ISNUMBER(SEARCH(","&amp;TRIM(TEXTSPLIT(HA207,","))&amp;",",","&amp;SUBSTITUTE(input_profile_type," ","")&amp;",")))&gt;0)),IF(HC207="",TRUE,IF(input_profile_type="",FALSE,SUMPRODUCT(--ISNUMBER(SEARCH(","&amp;TRIM(TEXTSPLIT(HC207,","))&amp;",",","&amp;SUBSTITUTE(input_profile_type," ","")&amp;",")))=COUNTA(TEXTSPLIT(HC207,",")))))</f>
        <v/>
      </c>
      <c r="JN207" s="19">
        <f>AND(IF(HE207="",TRUE,IF(input_program="",FALSE,SUMPRODUCT(--ISNUMBER(SEARCH(","&amp;TRIM(TEXTSPLIT(HE207,","))&amp;",",","&amp;SUBSTITUTE(input_program," ","")&amp;",")))&gt;0)),IF(HG207="",TRUE,IF(input_program="",FALSE,SUMPRODUCT(--ISNUMBER(SEARCH(","&amp;TRIM(TEXTSPLIT(HG207,","))&amp;",",","&amp;SUBSTITUTE(input_program," ","")&amp;",")))=COUNTA(TEXTSPLIT(HG207,",")))),IF(HI207="",TRUE,IF(input_program="",TRUE,SUMPRODUCT(--ISNUMBER(SEARCH(","&amp;TRIM(TEXTSPLIT(HI207,","))&amp;",",","&amp;SUBSTITUTE(input_program," ","")&amp;",")))=0)),IF(HK207="",TRUE,IF(input_program="",FALSE,SUMPRODUCT(--ISNUMBER(SEARCH(","&amp;TRIM(TEXTSPLIT(HK207,","))&amp;",",","&amp;SUBSTITUTE(input_program," ","")&amp;",")))&gt;0)),IF(HM207="",TRUE,IF(input_program="",FALSE,SUMPRODUCT(--ISNUMBER(SEARCH(","&amp;TRIM(TEXTSPLIT(HM207,","))&amp;",",","&amp;SUBSTITUTE(input_program," ","")&amp;",")))=COUNTA(TEXTSPLIT(HM207,",")))))</f>
        <v/>
      </c>
      <c r="JO207" s="19">
        <f>AND(IF(HO207="",TRUE,IF(input_story_categories="",FALSE,SUMPRODUCT(--ISNUMBER(SEARCH(","&amp;TRIM(TEXTSPLIT(HO207,","))&amp;",",","&amp;SUBSTITUTE(input_story_categories," ","")&amp;",")))&gt;0)),IF(HQ207="",TRUE,IF(input_story_categories="",FALSE,SUMPRODUCT(--ISNUMBER(SEARCH(","&amp;TRIM(TEXTSPLIT(HQ207,","))&amp;",",","&amp;SUBSTITUTE(input_story_categories," ","")&amp;",")))=COUNTA(TEXTSPLIT(HQ207,",")))),IF(HS207="",TRUE,IF(input_story_categories="",TRUE,SUMPRODUCT(--ISNUMBER(SEARCH(","&amp;TRIM(TEXTSPLIT(HS207,","))&amp;",",","&amp;SUBSTITUTE(input_story_categories," ","")&amp;",")))=0)),IF(HU207="",TRUE,IF(input_story_categories="",FALSE,SUMPRODUCT(--ISNUMBER(SEARCH(","&amp;TRIM(TEXTSPLIT(HU207,","))&amp;",",","&amp;SUBSTITUTE(input_story_categories," ","")&amp;",")))&gt;0)),IF(HW207="",TRUE,IF(input_story_categories="",FALSE,SUMPRODUCT(--ISNUMBER(SEARCH(","&amp;TRIM(TEXTSPLIT(HW207,","))&amp;",",","&amp;SUBSTITUTE(input_story_categories," ","")&amp;",")))=COUNTA(TEXTSPLIT(HW207,",")))))</f>
        <v/>
      </c>
      <c r="JP207" s="19">
        <f>AND(IF(HY207="",TRUE,IF(input_story_type="",FALSE,SUMPRODUCT(--ISNUMBER(SEARCH(","&amp;TRIM(TEXTSPLIT(HY207,","))&amp;",",","&amp;SUBSTITUTE(input_story_type," ","")&amp;",")))&gt;0)),IF(IA207="",TRUE,IF(input_story_type="",FALSE,SUMPRODUCT(--ISNUMBER(SEARCH(","&amp;TRIM(TEXTSPLIT(IA207,","))&amp;",",","&amp;SUBSTITUTE(input_story_type," ","")&amp;",")))=COUNTA(TEXTSPLIT(IA207,",")))),IF(IC207="",TRUE,IF(input_story_type="",TRUE,SUMPRODUCT(--ISNUMBER(SEARCH(","&amp;TRIM(TEXTSPLIT(IC207,","))&amp;",",","&amp;SUBSTITUTE(input_story_type," ","")&amp;",")))=0)),IF(IE207="",TRUE,IF(input_story_type="",FALSE,SUMPRODUCT(--ISNUMBER(SEARCH(","&amp;TRIM(TEXTSPLIT(IE207,","))&amp;",",","&amp;SUBSTITUTE(input_story_type," ","")&amp;",")))&gt;0)),IF(IG207="",TRUE,IF(input_story_type="",FALSE,SUMPRODUCT(--ISNUMBER(SEARCH(","&amp;TRIM(TEXTSPLIT(IG207,","))&amp;",",","&amp;SUBSTITUTE(input_story_type," ","")&amp;",")))=COUNTA(TEXTSPLIT(IG207,",")))))</f>
        <v/>
      </c>
      <c r="JQ207" s="19">
        <f>AND(IF(II207="",TRUE,IF(input_topics="",FALSE,SUMPRODUCT(--ISNUMBER(SEARCH(","&amp;TRIM(TEXTSPLIT(II207,","))&amp;",",","&amp;SUBSTITUTE(input_topics," ","")&amp;",")))&gt;0)),IF(IK207="",TRUE,IF(input_topics="",FALSE,SUMPRODUCT(--ISNUMBER(SEARCH(","&amp;TRIM(TEXTSPLIT(IK207,","))&amp;",",","&amp;SUBSTITUTE(input_topics," ","")&amp;",")))=COUNTA(TEXTSPLIT(IK207,",")))),IF(IM207="",TRUE,IF(input_topics="",TRUE,SUMPRODUCT(--ISNUMBER(SEARCH(","&amp;TRIM(TEXTSPLIT(IM207,","))&amp;",",","&amp;SUBSTITUTE(input_topics," ","")&amp;",")))=0)),IF(IO207="",TRUE,IF(input_topics="",FALSE,SUMPRODUCT(--ISNUMBER(SEARCH(","&amp;TRIM(TEXTSPLIT(IO207,","))&amp;",",","&amp;SUBSTITUTE(input_topics," ","")&amp;",")))&gt;0)),IF(IQ207="",TRUE,IF(input_topics="",FALSE,SUMPRODUCT(--ISNUMBER(SEARCH(","&amp;TRIM(TEXTSPLIT(IQ207,","))&amp;",",","&amp;SUBSTITUTE(input_topics," ","")&amp;",")))=COUNTA(TEXTSPLIT(IQ207,",")))))</f>
        <v/>
      </c>
    </row>
    <row r="208">
      <c r="A208" s="24">
        <f>IF(NOT(IS208),"Excluded",IF(AND(IT208,IU208,IV208,IW208,IX208,IY208,IZ208,JA208,JB208,JC208,JD208,JE208,JF208,JG208,JH208,JI208,JJ208,JK208,JL208,JM208,JN208,JO208,JP208,JQ208),IF(I208&gt;0,"Eligible but limited","Will appear"),"Excluded"))</f>
        <v/>
      </c>
      <c r="B208" s="24" t="inlineStr">
        <is>
          <t>Related stories on story pages</t>
        </is>
      </c>
      <c r="C208" s="27" t="inlineStr">
        <is>
          <t>/story/2025/health-veritas-podcast-marks-200-episodes</t>
        </is>
      </c>
      <c r="D208" s="24" t="inlineStr">
        <is>
          <t>/story/2025/health-veritas-podcast-marks-200-episodes
/story/2025/ogilvie-colloquium-panelists-discuss-purpose-and-prosperity-new-haven</t>
        </is>
      </c>
      <c r="E208" s="24" t="n">
        <v>2</v>
      </c>
      <c r="F208" s="24" t="inlineStr">
        <is>
          <t>story</t>
        </is>
      </c>
      <c r="G208" s="24" t="inlineStr">
        <is>
          <t>stories_teaser_cards</t>
        </is>
      </c>
      <c r="H208" s="24" t="inlineStr">
        <is>
          <t>embed_all</t>
        </is>
      </c>
      <c r="I208" s="24" t="n">
        <v>3</v>
      </c>
      <c r="J208" s="31" t="inlineStr">
        <is>
          <t>Template logic</t>
        </is>
      </c>
      <c r="K208" s="24" t="inlineStr">
        <is>
          <t>Grouped surface</t>
        </is>
      </c>
      <c r="L208" s="24" t="inlineStr">
        <is>
          <t>Content type: story; Context uses Courses Context: Programs (94); Context uses Story Type: News (924); Limited to 3 item(s); Source: Template logic</t>
        </is>
      </c>
      <c r="BQ208" s="19" t="inlineStr">
        <is>
          <t>94</t>
        </is>
      </c>
      <c r="BR208" s="19" t="inlineStr">
        <is>
          <t>Programs (94)</t>
        </is>
      </c>
      <c r="IE208" s="19" t="inlineStr">
        <is>
          <t>924</t>
        </is>
      </c>
      <c r="IF208" s="19" t="inlineStr">
        <is>
          <t>News (924)</t>
        </is>
      </c>
      <c r="IS208" s="19">
        <f>IF(input_content_type="",FALSE,ISNUMBER(SEARCH(","&amp;LOWER(input_content_type)&amp;",",","&amp;LOWER(SUBSTITUTE(F208," ",""))&amp;",")))</f>
        <v/>
      </c>
      <c r="IT208" s="19">
        <f>AND(IF(M208="",TRUE,IF(input_affiliations="",FALSE,SUMPRODUCT(--ISNUMBER(SEARCH(","&amp;TRIM(TEXTSPLIT(M208,","))&amp;",",","&amp;SUBSTITUTE(input_affiliations," ","")&amp;",")))&gt;0)),IF(O208="",TRUE,IF(input_affiliations="",FALSE,SUMPRODUCT(--ISNUMBER(SEARCH(","&amp;TRIM(TEXTSPLIT(O208,","))&amp;",",","&amp;SUBSTITUTE(input_affiliations," ","")&amp;",")))=COUNTA(TEXTSPLIT(O208,",")))),IF(Q208="",TRUE,IF(input_affiliations="",TRUE,SUMPRODUCT(--ISNUMBER(SEARCH(","&amp;TRIM(TEXTSPLIT(Q208,","))&amp;",",","&amp;SUBSTITUTE(input_affiliations," ","")&amp;",")))=0)),IF(S208="",TRUE,IF(input_affiliations="",FALSE,SUMPRODUCT(--ISNUMBER(SEARCH(","&amp;TRIM(TEXTSPLIT(S208,","))&amp;",",","&amp;SUBSTITUTE(input_affiliations," ","")&amp;",")))&gt;0)),IF(U208="",TRUE,IF(input_affiliations="",FALSE,SUMPRODUCT(--ISNUMBER(SEARCH(","&amp;TRIM(TEXTSPLIT(U208,","))&amp;",",","&amp;SUBSTITUTE(input_affiliations," ","")&amp;",")))=COUNTA(TEXTSPLIT(U208,",")))))</f>
        <v/>
      </c>
      <c r="IU208" s="19">
        <f>AND(IF(W208="",TRUE,IF(input_announcement_category="",FALSE,SUMPRODUCT(--ISNUMBER(SEARCH(","&amp;TRIM(TEXTSPLIT(W208,","))&amp;",",","&amp;SUBSTITUTE(input_announcement_category," ","")&amp;",")))&gt;0)),IF(Y208="",TRUE,IF(input_announcement_category="",FALSE,SUMPRODUCT(--ISNUMBER(SEARCH(","&amp;TRIM(TEXTSPLIT(Y208,","))&amp;",",","&amp;SUBSTITUTE(input_announcement_category," ","")&amp;",")))=COUNTA(TEXTSPLIT(Y208,",")))),IF(AA208="",TRUE,IF(input_announcement_category="",TRUE,SUMPRODUCT(--ISNUMBER(SEARCH(","&amp;TRIM(TEXTSPLIT(AA208,","))&amp;",",","&amp;SUBSTITUTE(input_announcement_category," ","")&amp;",")))=0)),IF(AC208="",TRUE,IF(input_announcement_category="",FALSE,SUMPRODUCT(--ISNUMBER(SEARCH(","&amp;TRIM(TEXTSPLIT(AC208,","))&amp;",",","&amp;SUBSTITUTE(input_announcement_category," ","")&amp;",")))&gt;0)),IF(AE208="",TRUE,IF(input_announcement_category="",FALSE,SUMPRODUCT(--ISNUMBER(SEARCH(","&amp;TRIM(TEXTSPLIT(AE208,","))&amp;",",","&amp;SUBSTITUTE(input_announcement_category," ","")&amp;",")))=COUNTA(TEXTSPLIT(AE208,",")))))</f>
        <v/>
      </c>
      <c r="IV208" s="19">
        <f>AND(IF(AG208="",TRUE,IF(input_area_of_focus="",FALSE,SUMPRODUCT(--ISNUMBER(SEARCH(","&amp;TRIM(TEXTSPLIT(AG208,","))&amp;",",","&amp;SUBSTITUTE(input_area_of_focus," ","")&amp;",")))&gt;0)),IF(AI208="",TRUE,IF(input_area_of_focus="",FALSE,SUMPRODUCT(--ISNUMBER(SEARCH(","&amp;TRIM(TEXTSPLIT(AI208,","))&amp;",",","&amp;SUBSTITUTE(input_area_of_focus," ","")&amp;",")))=COUNTA(TEXTSPLIT(AI208,",")))),IF(AK208="",TRUE,IF(input_area_of_focus="",TRUE,SUMPRODUCT(--ISNUMBER(SEARCH(","&amp;TRIM(TEXTSPLIT(AK208,","))&amp;",",","&amp;SUBSTITUTE(input_area_of_focus," ","")&amp;",")))=0)),IF(AM208="",TRUE,IF(input_area_of_focus="",FALSE,SUMPRODUCT(--ISNUMBER(SEARCH(","&amp;TRIM(TEXTSPLIT(AM208,","))&amp;",",","&amp;SUBSTITUTE(input_area_of_focus," ","")&amp;",")))&gt;0)),IF(AO208="",TRUE,IF(input_area_of_focus="",FALSE,SUMPRODUCT(--ISNUMBER(SEARCH(","&amp;TRIM(TEXTSPLIT(AO208,","))&amp;",",","&amp;SUBSTITUTE(input_area_of_focus," ","")&amp;",")))=COUNTA(TEXTSPLIT(AO208,",")))))</f>
        <v/>
      </c>
      <c r="IW208" s="19">
        <f>AND(IF(AQ208="",TRUE,IF(input_audience="",FALSE,SUMPRODUCT(--ISNUMBER(SEARCH(","&amp;TRIM(TEXTSPLIT(AQ208,","))&amp;",",","&amp;SUBSTITUTE(input_audience," ","")&amp;",")))&gt;0)),IF(AS208="",TRUE,IF(input_audience="",FALSE,SUMPRODUCT(--ISNUMBER(SEARCH(","&amp;TRIM(TEXTSPLIT(AS208,","))&amp;",",","&amp;SUBSTITUTE(input_audience," ","")&amp;",")))=COUNTA(TEXTSPLIT(AS208,",")))),IF(AU208="",TRUE,IF(input_audience="",TRUE,SUMPRODUCT(--ISNUMBER(SEARCH(","&amp;TRIM(TEXTSPLIT(AU208,","))&amp;",",","&amp;SUBSTITUTE(input_audience," ","")&amp;",")))=0)),IF(AW208="",TRUE,IF(input_audience="",FALSE,SUMPRODUCT(--ISNUMBER(SEARCH(","&amp;TRIM(TEXTSPLIT(AW208,","))&amp;",",","&amp;SUBSTITUTE(input_audience," ","")&amp;",")))&gt;0)),IF(AY208="",TRUE,IF(input_audience="",FALSE,SUMPRODUCT(--ISNUMBER(SEARCH(","&amp;TRIM(TEXTSPLIT(AY208,","))&amp;",",","&amp;SUBSTITUTE(input_audience," ","")&amp;",")))=COUNTA(TEXTSPLIT(AY208,",")))))</f>
        <v/>
      </c>
      <c r="IX208" s="19">
        <f>AND(IF(BA208="",TRUE,IF(input_challenge_opportunities="",FALSE,SUMPRODUCT(--ISNUMBER(SEARCH(","&amp;TRIM(TEXTSPLIT(BA208,","))&amp;",",","&amp;SUBSTITUTE(input_challenge_opportunities," ","")&amp;",")))&gt;0)),IF(BC208="",TRUE,IF(input_challenge_opportunities="",FALSE,SUMPRODUCT(--ISNUMBER(SEARCH(","&amp;TRIM(TEXTSPLIT(BC208,","))&amp;",",","&amp;SUBSTITUTE(input_challenge_opportunities," ","")&amp;",")))=COUNTA(TEXTSPLIT(BC208,",")))),IF(BE208="",TRUE,IF(input_challenge_opportunities="",TRUE,SUMPRODUCT(--ISNUMBER(SEARCH(","&amp;TRIM(TEXTSPLIT(BE208,","))&amp;",",","&amp;SUBSTITUTE(input_challenge_opportunities," ","")&amp;",")))=0)),IF(BG208="",TRUE,IF(input_challenge_opportunities="",FALSE,SUMPRODUCT(--ISNUMBER(SEARCH(","&amp;TRIM(TEXTSPLIT(BG208,","))&amp;",",","&amp;SUBSTITUTE(input_challenge_opportunities," ","")&amp;",")))&gt;0)),IF(BI208="",TRUE,IF(input_challenge_opportunities="",FALSE,SUMPRODUCT(--ISNUMBER(SEARCH(","&amp;TRIM(TEXTSPLIT(BI208,","))&amp;",",","&amp;SUBSTITUTE(input_challenge_opportunities," ","")&amp;",")))=COUNTA(TEXTSPLIT(BI208,",")))))</f>
        <v/>
      </c>
      <c r="IY208" s="19">
        <f>AND(IF(BK208="",TRUE,IF(input_context="",FALSE,SUMPRODUCT(--ISNUMBER(SEARCH(","&amp;TRIM(TEXTSPLIT(BK208,","))&amp;",",","&amp;SUBSTITUTE(input_context," ","")&amp;",")))&gt;0)),IF(BM208="",TRUE,IF(input_context="",FALSE,SUMPRODUCT(--ISNUMBER(SEARCH(","&amp;TRIM(TEXTSPLIT(BM208,","))&amp;",",","&amp;SUBSTITUTE(input_context," ","")&amp;",")))=COUNTA(TEXTSPLIT(BM208,",")))),IF(BO208="",TRUE,IF(input_context="",TRUE,SUMPRODUCT(--ISNUMBER(SEARCH(","&amp;TRIM(TEXTSPLIT(BO208,","))&amp;",",","&amp;SUBSTITUTE(input_context," ","")&amp;",")))=0)),IF(BQ208="",TRUE,IF(input_context="",FALSE,SUMPRODUCT(--ISNUMBER(SEARCH(","&amp;TRIM(TEXTSPLIT(BQ208,","))&amp;",",","&amp;SUBSTITUTE(input_context," ","")&amp;",")))&gt;0)),IF(BS208="",TRUE,IF(input_context="",FALSE,SUMPRODUCT(--ISNUMBER(SEARCH(","&amp;TRIM(TEXTSPLIT(BS208,","))&amp;",",","&amp;SUBSTITUTE(input_context," ","")&amp;",")))=COUNTA(TEXTSPLIT(BS208,",")))))</f>
        <v/>
      </c>
      <c r="IZ208" s="19">
        <f>AND(IF(BU208="",TRUE,IF(input_enews_announcement_type="",FALSE,SUMPRODUCT(--ISNUMBER(SEARCH(","&amp;TRIM(TEXTSPLIT(BU208,","))&amp;",",","&amp;SUBSTITUTE(input_enews_announcement_type," ","")&amp;",")))&gt;0)),IF(BW208="",TRUE,IF(input_enews_announcement_type="",FALSE,SUMPRODUCT(--ISNUMBER(SEARCH(","&amp;TRIM(TEXTSPLIT(BW208,","))&amp;",",","&amp;SUBSTITUTE(input_enews_announcement_type," ","")&amp;",")))=COUNTA(TEXTSPLIT(BW208,",")))),IF(BY208="",TRUE,IF(input_enews_announcement_type="",TRUE,SUMPRODUCT(--ISNUMBER(SEARCH(","&amp;TRIM(TEXTSPLIT(BY208,","))&amp;",",","&amp;SUBSTITUTE(input_enews_announcement_type," ","")&amp;",")))=0)),IF(CA208="",TRUE,IF(input_enews_announcement_type="",FALSE,SUMPRODUCT(--ISNUMBER(SEARCH(","&amp;TRIM(TEXTSPLIT(CA208,","))&amp;",",","&amp;SUBSTITUTE(input_enews_announcement_type," ","")&amp;",")))&gt;0)),IF(CC208="",TRUE,IF(input_enews_announcement_type="",FALSE,SUMPRODUCT(--ISNUMBER(SEARCH(","&amp;TRIM(TEXTSPLIT(CC208,","))&amp;",",","&amp;SUBSTITUTE(input_enews_announcement_type," ","")&amp;",")))=COUNTA(TEXTSPLIT(CC208,",")))))</f>
        <v/>
      </c>
      <c r="JA208" s="19">
        <f>AND(IF(CE208="",TRUE,IF(input_enews_audience="",FALSE,SUMPRODUCT(--ISNUMBER(SEARCH(","&amp;TRIM(TEXTSPLIT(CE208,","))&amp;",",","&amp;SUBSTITUTE(input_enews_audience," ","")&amp;",")))&gt;0)),IF(CG208="",TRUE,IF(input_enews_audience="",FALSE,SUMPRODUCT(--ISNUMBER(SEARCH(","&amp;TRIM(TEXTSPLIT(CG208,","))&amp;",",","&amp;SUBSTITUTE(input_enews_audience," ","")&amp;",")))=COUNTA(TEXTSPLIT(CG208,",")))),IF(CI208="",TRUE,IF(input_enews_audience="",TRUE,SUMPRODUCT(--ISNUMBER(SEARCH(","&amp;TRIM(TEXTSPLIT(CI208,","))&amp;",",","&amp;SUBSTITUTE(input_enews_audience," ","")&amp;",")))=0)),IF(CK208="",TRUE,IF(input_enews_audience="",FALSE,SUMPRODUCT(--ISNUMBER(SEARCH(","&amp;TRIM(TEXTSPLIT(CK208,","))&amp;",",","&amp;SUBSTITUTE(input_enews_audience," ","")&amp;",")))&gt;0)),IF(CM208="",TRUE,IF(input_enews_audience="",FALSE,SUMPRODUCT(--ISNUMBER(SEARCH(","&amp;TRIM(TEXTSPLIT(CM208,","))&amp;",",","&amp;SUBSTITUTE(input_enews_audience," ","")&amp;",")))=COUNTA(TEXTSPLIT(CM208,",")))))</f>
        <v/>
      </c>
      <c r="JB208" s="19">
        <f>AND(IF(CO208="",TRUE,IF(input_event_location="",FALSE,SUMPRODUCT(--ISNUMBER(SEARCH(","&amp;TRIM(TEXTSPLIT(CO208,","))&amp;",",","&amp;SUBSTITUTE(input_event_location," ","")&amp;",")))&gt;0)),IF(CQ208="",TRUE,IF(input_event_location="",FALSE,SUMPRODUCT(--ISNUMBER(SEARCH(","&amp;TRIM(TEXTSPLIT(CQ208,","))&amp;",",","&amp;SUBSTITUTE(input_event_location," ","")&amp;",")))=COUNTA(TEXTSPLIT(CQ208,",")))),IF(CS208="",TRUE,IF(input_event_location="",TRUE,SUMPRODUCT(--ISNUMBER(SEARCH(","&amp;TRIM(TEXTSPLIT(CS208,","))&amp;",",","&amp;SUBSTITUTE(input_event_location," ","")&amp;",")))=0)),IF(CU208="",TRUE,IF(input_event_location="",FALSE,SUMPRODUCT(--ISNUMBER(SEARCH(","&amp;TRIM(TEXTSPLIT(CU208,","))&amp;",",","&amp;SUBSTITUTE(input_event_location," ","")&amp;",")))&gt;0)),IF(CW208="",TRUE,IF(input_event_location="",FALSE,SUMPRODUCT(--ISNUMBER(SEARCH(","&amp;TRIM(TEXTSPLIT(CW208,","))&amp;",",","&amp;SUBSTITUTE(input_event_location," ","")&amp;",")))=COUNTA(TEXTSPLIT(CW208,",")))))</f>
        <v/>
      </c>
      <c r="JC208" s="19">
        <f>AND(IF(CY208="",TRUE,IF(input_event_type="",FALSE,SUMPRODUCT(--ISNUMBER(SEARCH(","&amp;TRIM(TEXTSPLIT(CY208,","))&amp;",",","&amp;SUBSTITUTE(input_event_type," ","")&amp;",")))&gt;0)),IF(DA208="",TRUE,IF(input_event_type="",FALSE,SUMPRODUCT(--ISNUMBER(SEARCH(","&amp;TRIM(TEXTSPLIT(DA208,","))&amp;",",","&amp;SUBSTITUTE(input_event_type," ","")&amp;",")))=COUNTA(TEXTSPLIT(DA208,",")))),IF(DC208="",TRUE,IF(input_event_type="",TRUE,SUMPRODUCT(--ISNUMBER(SEARCH(","&amp;TRIM(TEXTSPLIT(DC208,","))&amp;",",","&amp;SUBSTITUTE(input_event_type," ","")&amp;",")))=0)),IF(DE208="",TRUE,IF(input_event_type="",FALSE,SUMPRODUCT(--ISNUMBER(SEARCH(","&amp;TRIM(TEXTSPLIT(DE208,","))&amp;",",","&amp;SUBSTITUTE(input_event_type," ","")&amp;",")))&gt;0)),IF(DG208="",TRUE,IF(input_event_type="",FALSE,SUMPRODUCT(--ISNUMBER(SEARCH(","&amp;TRIM(TEXTSPLIT(DG208,","))&amp;",",","&amp;SUBSTITUTE(input_event_type," ","")&amp;",")))=COUNTA(TEXTSPLIT(DG208,",")))))</f>
        <v/>
      </c>
      <c r="JD208" s="19">
        <f>AND(IF(DI208="",TRUE,IF(input_executive_education_focus="",FALSE,SUMPRODUCT(--ISNUMBER(SEARCH(","&amp;TRIM(TEXTSPLIT(DI208,","))&amp;",",","&amp;SUBSTITUTE(input_executive_education_focus," ","")&amp;",")))&gt;0)),IF(DK208="",TRUE,IF(input_executive_education_focus="",FALSE,SUMPRODUCT(--ISNUMBER(SEARCH(","&amp;TRIM(TEXTSPLIT(DK208,","))&amp;",",","&amp;SUBSTITUTE(input_executive_education_focus," ","")&amp;",")))=COUNTA(TEXTSPLIT(DK208,",")))),IF(DM208="",TRUE,IF(input_executive_education_focus="",TRUE,SUMPRODUCT(--ISNUMBER(SEARCH(","&amp;TRIM(TEXTSPLIT(DM208,","))&amp;",",","&amp;SUBSTITUTE(input_executive_education_focus," ","")&amp;",")))=0)),IF(DO208="",TRUE,IF(input_executive_education_focus="",FALSE,SUMPRODUCT(--ISNUMBER(SEARCH(","&amp;TRIM(TEXTSPLIT(DO208,","))&amp;",",","&amp;SUBSTITUTE(input_executive_education_focus," ","")&amp;",")))&gt;0)),IF(DQ208="",TRUE,IF(input_executive_education_focus="",FALSE,SUMPRODUCT(--ISNUMBER(SEARCH(","&amp;TRIM(TEXTSPLIT(DQ208,","))&amp;",",","&amp;SUBSTITUTE(input_executive_education_focus," ","")&amp;",")))=COUNTA(TEXTSPLIT(DQ208,",")))))</f>
        <v/>
      </c>
      <c r="JE208" s="19">
        <f>AND(IF(DS208="",TRUE,IF(input_faculty_category="",FALSE,SUMPRODUCT(--ISNUMBER(SEARCH(","&amp;TRIM(TEXTSPLIT(DS208,","))&amp;",",","&amp;SUBSTITUTE(input_faculty_category," ","")&amp;",")))&gt;0)),IF(DU208="",TRUE,IF(input_faculty_category="",FALSE,SUMPRODUCT(--ISNUMBER(SEARCH(","&amp;TRIM(TEXTSPLIT(DU208,","))&amp;",",","&amp;SUBSTITUTE(input_faculty_category," ","")&amp;",")))=COUNTA(TEXTSPLIT(DU208,",")))),IF(DW208="",TRUE,IF(input_faculty_category="",TRUE,SUMPRODUCT(--ISNUMBER(SEARCH(","&amp;TRIM(TEXTSPLIT(DW208,","))&amp;",",","&amp;SUBSTITUTE(input_faculty_category," ","")&amp;",")))=0)),IF(DY208="",TRUE,IF(input_faculty_category="",FALSE,SUMPRODUCT(--ISNUMBER(SEARCH(","&amp;TRIM(TEXTSPLIT(DY208,","))&amp;",",","&amp;SUBSTITUTE(input_faculty_category," ","")&amp;",")))&gt;0)),IF(EA208="",TRUE,IF(input_faculty_category="",FALSE,SUMPRODUCT(--ISNUMBER(SEARCH(","&amp;TRIM(TEXTSPLIT(EA208,","))&amp;",",","&amp;SUBSTITUTE(input_faculty_category," ","")&amp;",")))=COUNTA(TEXTSPLIT(EA208,",")))))</f>
        <v/>
      </c>
      <c r="JF208" s="19">
        <f>AND(IF(EC208="",TRUE,IF(input_faculty_discipline="",FALSE,SUMPRODUCT(--ISNUMBER(SEARCH(","&amp;TRIM(TEXTSPLIT(EC208,","))&amp;",",","&amp;SUBSTITUTE(input_faculty_discipline," ","")&amp;",")))&gt;0)),IF(EE208="",TRUE,IF(input_faculty_discipline="",FALSE,SUMPRODUCT(--ISNUMBER(SEARCH(","&amp;TRIM(TEXTSPLIT(EE208,","))&amp;",",","&amp;SUBSTITUTE(input_faculty_discipline," ","")&amp;",")))=COUNTA(TEXTSPLIT(EE208,",")))),IF(EG208="",TRUE,IF(input_faculty_discipline="",TRUE,SUMPRODUCT(--ISNUMBER(SEARCH(","&amp;TRIM(TEXTSPLIT(EG208,","))&amp;",",","&amp;SUBSTITUTE(input_faculty_discipline," ","")&amp;",")))=0)),IF(EI208="",TRUE,IF(input_faculty_discipline="",FALSE,SUMPRODUCT(--ISNUMBER(SEARCH(","&amp;TRIM(TEXTSPLIT(EI208,","))&amp;",",","&amp;SUBSTITUTE(input_faculty_discipline," ","")&amp;",")))&gt;0)),IF(EK208="",TRUE,IF(input_faculty_discipline="",FALSE,SUMPRODUCT(--ISNUMBER(SEARCH(","&amp;TRIM(TEXTSPLIT(EK208,","))&amp;",",","&amp;SUBSTITUTE(input_faculty_discipline," ","")&amp;",")))=COUNTA(TEXTSPLIT(EK208,",")))))</f>
        <v/>
      </c>
      <c r="JG208" s="19">
        <f>AND(IF(EM208="",TRUE,IF(input_faculty_expertise="",FALSE,SUMPRODUCT(--ISNUMBER(SEARCH(","&amp;TRIM(TEXTSPLIT(EM208,","))&amp;",",","&amp;SUBSTITUTE(input_faculty_expertise," ","")&amp;",")))&gt;0)),IF(EO208="",TRUE,IF(input_faculty_expertise="",FALSE,SUMPRODUCT(--ISNUMBER(SEARCH(","&amp;TRIM(TEXTSPLIT(EO208,","))&amp;",",","&amp;SUBSTITUTE(input_faculty_expertise," ","")&amp;",")))=COUNTA(TEXTSPLIT(EO208,",")))),IF(EQ208="",TRUE,IF(input_faculty_expertise="",TRUE,SUMPRODUCT(--ISNUMBER(SEARCH(","&amp;TRIM(TEXTSPLIT(EQ208,","))&amp;",",","&amp;SUBSTITUTE(input_faculty_expertise," ","")&amp;",")))=0)),IF(ES208="",TRUE,IF(input_faculty_expertise="",FALSE,SUMPRODUCT(--ISNUMBER(SEARCH(","&amp;TRIM(TEXTSPLIT(ES208,","))&amp;",",","&amp;SUBSTITUTE(input_faculty_expertise," ","")&amp;",")))&gt;0)),IF(EU208="",TRUE,IF(input_faculty_expertise="",FALSE,SUMPRODUCT(--ISNUMBER(SEARCH(","&amp;TRIM(TEXTSPLIT(EU208,","))&amp;",",","&amp;SUBSTITUTE(input_faculty_expertise," ","")&amp;",")))=COUNTA(TEXTSPLIT(EU208,",")))))</f>
        <v/>
      </c>
      <c r="JH208" s="19">
        <f>AND(IF(EW208="",TRUE,IF(input_global_network_school="",FALSE,SUMPRODUCT(--ISNUMBER(SEARCH(","&amp;TRIM(TEXTSPLIT(EW208,","))&amp;",",","&amp;SUBSTITUTE(input_global_network_school," ","")&amp;",")))&gt;0)),IF(EY208="",TRUE,IF(input_global_network_school="",FALSE,SUMPRODUCT(--ISNUMBER(SEARCH(","&amp;TRIM(TEXTSPLIT(EY208,","))&amp;",",","&amp;SUBSTITUTE(input_global_network_school," ","")&amp;",")))=COUNTA(TEXTSPLIT(EY208,",")))),IF(FA208="",TRUE,IF(input_global_network_school="",TRUE,SUMPRODUCT(--ISNUMBER(SEARCH(","&amp;TRIM(TEXTSPLIT(FA208,","))&amp;",",","&amp;SUBSTITUTE(input_global_network_school," ","")&amp;",")))=0)),IF(FC208="",TRUE,IF(input_global_network_school="",FALSE,SUMPRODUCT(--ISNUMBER(SEARCH(","&amp;TRIM(TEXTSPLIT(FC208,","))&amp;",",","&amp;SUBSTITUTE(input_global_network_school," ","")&amp;",")))&gt;0)),IF(FE208="",TRUE,IF(input_global_network_school="",FALSE,SUMPRODUCT(--ISNUMBER(SEARCH(","&amp;TRIM(TEXTSPLIT(FE208,","))&amp;",",","&amp;SUBSTITUTE(input_global_network_school," ","")&amp;",")))=COUNTA(TEXTSPLIT(FE208,",")))))</f>
        <v/>
      </c>
      <c r="JI208" s="19">
        <f>AND(IF(FG208="",TRUE,IF(input_industry="",FALSE,SUMPRODUCT(--ISNUMBER(SEARCH(","&amp;TRIM(TEXTSPLIT(FG208,","))&amp;",",","&amp;SUBSTITUTE(input_industry," ","")&amp;",")))&gt;0)),IF(FI208="",TRUE,IF(input_industry="",FALSE,SUMPRODUCT(--ISNUMBER(SEARCH(","&amp;TRIM(TEXTSPLIT(FI208,","))&amp;",",","&amp;SUBSTITUTE(input_industry," ","")&amp;",")))=COUNTA(TEXTSPLIT(FI208,",")))),IF(FK208="",TRUE,IF(input_industry="",TRUE,SUMPRODUCT(--ISNUMBER(SEARCH(","&amp;TRIM(TEXTSPLIT(FK208,","))&amp;",",","&amp;SUBSTITUTE(input_industry," ","")&amp;",")))=0)),IF(FM208="",TRUE,IF(input_industry="",FALSE,SUMPRODUCT(--ISNUMBER(SEARCH(","&amp;TRIM(TEXTSPLIT(FM208,","))&amp;",",","&amp;SUBSTITUTE(input_industry," ","")&amp;",")))&gt;0)),IF(FO208="",TRUE,IF(input_industry="",FALSE,SUMPRODUCT(--ISNUMBER(SEARCH(","&amp;TRIM(TEXTSPLIT(FO208,","))&amp;",",","&amp;SUBSTITUTE(input_industry," ","")&amp;",")))=COUNTA(TEXTSPLIT(FO208,",")))))</f>
        <v/>
      </c>
      <c r="JJ208" s="19">
        <f>AND(IF(FQ208="",TRUE,IF(input_location="",FALSE,SUMPRODUCT(--ISNUMBER(SEARCH(","&amp;TRIM(TEXTSPLIT(FQ208,","))&amp;",",","&amp;SUBSTITUTE(input_location," ","")&amp;",")))&gt;0)),IF(FS208="",TRUE,IF(input_location="",FALSE,SUMPRODUCT(--ISNUMBER(SEARCH(","&amp;TRIM(TEXTSPLIT(FS208,","))&amp;",",","&amp;SUBSTITUTE(input_location," ","")&amp;",")))=COUNTA(TEXTSPLIT(FS208,",")))),IF(FU208="",TRUE,IF(input_location="",TRUE,SUMPRODUCT(--ISNUMBER(SEARCH(","&amp;TRIM(TEXTSPLIT(FU208,","))&amp;",",","&amp;SUBSTITUTE(input_location," ","")&amp;",")))=0)),IF(FW208="",TRUE,IF(input_location="",FALSE,SUMPRODUCT(--ISNUMBER(SEARCH(","&amp;TRIM(TEXTSPLIT(FW208,","))&amp;",",","&amp;SUBSTITUTE(input_location," ","")&amp;",")))&gt;0)),IF(FY208="",TRUE,IF(input_location="",FALSE,SUMPRODUCT(--ISNUMBER(SEARCH(","&amp;TRIM(TEXTSPLIT(FY208,","))&amp;",",","&amp;SUBSTITUTE(input_location," ","")&amp;",")))=COUNTA(TEXTSPLIT(FY208,",")))))</f>
        <v/>
      </c>
      <c r="JK208" s="19">
        <f>AND(IF(GA208="",TRUE,IF(input_modality="",FALSE,SUMPRODUCT(--ISNUMBER(SEARCH(","&amp;TRIM(TEXTSPLIT(GA208,","))&amp;",",","&amp;SUBSTITUTE(input_modality," ","")&amp;",")))&gt;0)),IF(GC208="",TRUE,IF(input_modality="",FALSE,SUMPRODUCT(--ISNUMBER(SEARCH(","&amp;TRIM(TEXTSPLIT(GC208,","))&amp;",",","&amp;SUBSTITUTE(input_modality," ","")&amp;",")))=COUNTA(TEXTSPLIT(GC208,",")))),IF(GE208="",TRUE,IF(input_modality="",TRUE,SUMPRODUCT(--ISNUMBER(SEARCH(","&amp;TRIM(TEXTSPLIT(GE208,","))&amp;",",","&amp;SUBSTITUTE(input_modality," ","")&amp;",")))=0)),IF(GG208="",TRUE,IF(input_modality="",FALSE,SUMPRODUCT(--ISNUMBER(SEARCH(","&amp;TRIM(TEXTSPLIT(GG208,","))&amp;",",","&amp;SUBSTITUTE(input_modality," ","")&amp;",")))&gt;0)),IF(GI208="",TRUE,IF(input_modality="",FALSE,SUMPRODUCT(--ISNUMBER(SEARCH(","&amp;TRIM(TEXTSPLIT(GI208,","))&amp;",",","&amp;SUBSTITUTE(input_modality," ","")&amp;",")))=COUNTA(TEXTSPLIT(GI208,",")))))</f>
        <v/>
      </c>
      <c r="JL208" s="19">
        <f>AND(IF(GK208="",TRUE,IF(input_organizer="",FALSE,SUMPRODUCT(--ISNUMBER(SEARCH(","&amp;TRIM(TEXTSPLIT(GK208,","))&amp;",",","&amp;SUBSTITUTE(input_organizer," ","")&amp;",")))&gt;0)),IF(GM208="",TRUE,IF(input_organizer="",FALSE,SUMPRODUCT(--ISNUMBER(SEARCH(","&amp;TRIM(TEXTSPLIT(GM208,","))&amp;",",","&amp;SUBSTITUTE(input_organizer," ","")&amp;",")))=COUNTA(TEXTSPLIT(GM208,",")))),IF(GO208="",TRUE,IF(input_organizer="",TRUE,SUMPRODUCT(--ISNUMBER(SEARCH(","&amp;TRIM(TEXTSPLIT(GO208,","))&amp;",",","&amp;SUBSTITUTE(input_organizer," ","")&amp;",")))=0)),IF(GQ208="",TRUE,IF(input_organizer="",FALSE,SUMPRODUCT(--ISNUMBER(SEARCH(","&amp;TRIM(TEXTSPLIT(GQ208,","))&amp;",",","&amp;SUBSTITUTE(input_organizer," ","")&amp;",")))&gt;0)),IF(GS208="",TRUE,IF(input_organizer="",FALSE,SUMPRODUCT(--ISNUMBER(SEARCH(","&amp;TRIM(TEXTSPLIT(GS208,","))&amp;",",","&amp;SUBSTITUTE(input_organizer," ","")&amp;",")))=COUNTA(TEXTSPLIT(GS208,",")))))</f>
        <v/>
      </c>
      <c r="JM208" s="19">
        <f>AND(IF(GU208="",TRUE,IF(input_profile_type="",FALSE,SUMPRODUCT(--ISNUMBER(SEARCH(","&amp;TRIM(TEXTSPLIT(GU208,","))&amp;",",","&amp;SUBSTITUTE(input_profile_type," ","")&amp;",")))&gt;0)),IF(GW208="",TRUE,IF(input_profile_type="",FALSE,SUMPRODUCT(--ISNUMBER(SEARCH(","&amp;TRIM(TEXTSPLIT(GW208,","))&amp;",",","&amp;SUBSTITUTE(input_profile_type," ","")&amp;",")))=COUNTA(TEXTSPLIT(GW208,",")))),IF(GY208="",TRUE,IF(input_profile_type="",TRUE,SUMPRODUCT(--ISNUMBER(SEARCH(","&amp;TRIM(TEXTSPLIT(GY208,","))&amp;",",","&amp;SUBSTITUTE(input_profile_type," ","")&amp;",")))=0)),IF(HA208="",TRUE,IF(input_profile_type="",FALSE,SUMPRODUCT(--ISNUMBER(SEARCH(","&amp;TRIM(TEXTSPLIT(HA208,","))&amp;",",","&amp;SUBSTITUTE(input_profile_type," ","")&amp;",")))&gt;0)),IF(HC208="",TRUE,IF(input_profile_type="",FALSE,SUMPRODUCT(--ISNUMBER(SEARCH(","&amp;TRIM(TEXTSPLIT(HC208,","))&amp;",",","&amp;SUBSTITUTE(input_profile_type," ","")&amp;",")))=COUNTA(TEXTSPLIT(HC208,",")))))</f>
        <v/>
      </c>
      <c r="JN208" s="19">
        <f>AND(IF(HE208="",TRUE,IF(input_program="",FALSE,SUMPRODUCT(--ISNUMBER(SEARCH(","&amp;TRIM(TEXTSPLIT(HE208,","))&amp;",",","&amp;SUBSTITUTE(input_program," ","")&amp;",")))&gt;0)),IF(HG208="",TRUE,IF(input_program="",FALSE,SUMPRODUCT(--ISNUMBER(SEARCH(","&amp;TRIM(TEXTSPLIT(HG208,","))&amp;",",","&amp;SUBSTITUTE(input_program," ","")&amp;",")))=COUNTA(TEXTSPLIT(HG208,",")))),IF(HI208="",TRUE,IF(input_program="",TRUE,SUMPRODUCT(--ISNUMBER(SEARCH(","&amp;TRIM(TEXTSPLIT(HI208,","))&amp;",",","&amp;SUBSTITUTE(input_program," ","")&amp;",")))=0)),IF(HK208="",TRUE,IF(input_program="",FALSE,SUMPRODUCT(--ISNUMBER(SEARCH(","&amp;TRIM(TEXTSPLIT(HK208,","))&amp;",",","&amp;SUBSTITUTE(input_program," ","")&amp;",")))&gt;0)),IF(HM208="",TRUE,IF(input_program="",FALSE,SUMPRODUCT(--ISNUMBER(SEARCH(","&amp;TRIM(TEXTSPLIT(HM208,","))&amp;",",","&amp;SUBSTITUTE(input_program," ","")&amp;",")))=COUNTA(TEXTSPLIT(HM208,",")))))</f>
        <v/>
      </c>
      <c r="JO208" s="19">
        <f>AND(IF(HO208="",TRUE,IF(input_story_categories="",FALSE,SUMPRODUCT(--ISNUMBER(SEARCH(","&amp;TRIM(TEXTSPLIT(HO208,","))&amp;",",","&amp;SUBSTITUTE(input_story_categories," ","")&amp;",")))&gt;0)),IF(HQ208="",TRUE,IF(input_story_categories="",FALSE,SUMPRODUCT(--ISNUMBER(SEARCH(","&amp;TRIM(TEXTSPLIT(HQ208,","))&amp;",",","&amp;SUBSTITUTE(input_story_categories," ","")&amp;",")))=COUNTA(TEXTSPLIT(HQ208,",")))),IF(HS208="",TRUE,IF(input_story_categories="",TRUE,SUMPRODUCT(--ISNUMBER(SEARCH(","&amp;TRIM(TEXTSPLIT(HS208,","))&amp;",",","&amp;SUBSTITUTE(input_story_categories," ","")&amp;",")))=0)),IF(HU208="",TRUE,IF(input_story_categories="",FALSE,SUMPRODUCT(--ISNUMBER(SEARCH(","&amp;TRIM(TEXTSPLIT(HU208,","))&amp;",",","&amp;SUBSTITUTE(input_story_categories," ","")&amp;",")))&gt;0)),IF(HW208="",TRUE,IF(input_story_categories="",FALSE,SUMPRODUCT(--ISNUMBER(SEARCH(","&amp;TRIM(TEXTSPLIT(HW208,","))&amp;",",","&amp;SUBSTITUTE(input_story_categories," ","")&amp;",")))=COUNTA(TEXTSPLIT(HW208,",")))))</f>
        <v/>
      </c>
      <c r="JP208" s="19">
        <f>AND(IF(HY208="",TRUE,IF(input_story_type="",FALSE,SUMPRODUCT(--ISNUMBER(SEARCH(","&amp;TRIM(TEXTSPLIT(HY208,","))&amp;",",","&amp;SUBSTITUTE(input_story_type," ","")&amp;",")))&gt;0)),IF(IA208="",TRUE,IF(input_story_type="",FALSE,SUMPRODUCT(--ISNUMBER(SEARCH(","&amp;TRIM(TEXTSPLIT(IA208,","))&amp;",",","&amp;SUBSTITUTE(input_story_type," ","")&amp;",")))=COUNTA(TEXTSPLIT(IA208,",")))),IF(IC208="",TRUE,IF(input_story_type="",TRUE,SUMPRODUCT(--ISNUMBER(SEARCH(","&amp;TRIM(TEXTSPLIT(IC208,","))&amp;",",","&amp;SUBSTITUTE(input_story_type," ","")&amp;",")))=0)),IF(IE208="",TRUE,IF(input_story_type="",FALSE,SUMPRODUCT(--ISNUMBER(SEARCH(","&amp;TRIM(TEXTSPLIT(IE208,","))&amp;",",","&amp;SUBSTITUTE(input_story_type," ","")&amp;",")))&gt;0)),IF(IG208="",TRUE,IF(input_story_type="",FALSE,SUMPRODUCT(--ISNUMBER(SEARCH(","&amp;TRIM(TEXTSPLIT(IG208,","))&amp;",",","&amp;SUBSTITUTE(input_story_type," ","")&amp;",")))=COUNTA(TEXTSPLIT(IG208,",")))))</f>
        <v/>
      </c>
      <c r="JQ208" s="19">
        <f>AND(IF(II208="",TRUE,IF(input_topics="",FALSE,SUMPRODUCT(--ISNUMBER(SEARCH(","&amp;TRIM(TEXTSPLIT(II208,","))&amp;",",","&amp;SUBSTITUTE(input_topics," ","")&amp;",")))&gt;0)),IF(IK208="",TRUE,IF(input_topics="",FALSE,SUMPRODUCT(--ISNUMBER(SEARCH(","&amp;TRIM(TEXTSPLIT(IK208,","))&amp;",",","&amp;SUBSTITUTE(input_topics," ","")&amp;",")))=COUNTA(TEXTSPLIT(IK208,",")))),IF(IM208="",TRUE,IF(input_topics="",TRUE,SUMPRODUCT(--ISNUMBER(SEARCH(","&amp;TRIM(TEXTSPLIT(IM208,","))&amp;",",","&amp;SUBSTITUTE(input_topics," ","")&amp;",")))=0)),IF(IO208="",TRUE,IF(input_topics="",FALSE,SUMPRODUCT(--ISNUMBER(SEARCH(","&amp;TRIM(TEXTSPLIT(IO208,","))&amp;",",","&amp;SUBSTITUTE(input_topics," ","")&amp;",")))&gt;0)),IF(IQ208="",TRUE,IF(input_topics="",FALSE,SUMPRODUCT(--ISNUMBER(SEARCH(","&amp;TRIM(TEXTSPLIT(IQ208,","))&amp;",",","&amp;SUBSTITUTE(input_topics," ","")&amp;",")))=COUNTA(TEXTSPLIT(IQ208,",")))))</f>
        <v/>
      </c>
    </row>
    <row r="209">
      <c r="A209" s="24">
        <f>IF(NOT(IS209),"Excluded",IF(AND(IT209,IU209,IV209,IW209,IX209,IY209,IZ209,JA209,JB209,JC209,JD209,JE209,JF209,JG209,JH209,JI209,JJ209,JK209,JL209,JM209,JN209,JO209,JP209,JQ209),IF(I209&gt;0,"Eligible but limited","Will appear"),"Excluded"))</f>
        <v/>
      </c>
      <c r="B209" s="24" t="inlineStr">
        <is>
          <t>Related stories on story pages</t>
        </is>
      </c>
      <c r="C209" s="27" t="inlineStr">
        <is>
          <t>/story/2025/heritage-awareness-celebrating-latine-hispanic-roots</t>
        </is>
      </c>
      <c r="D209" s="24" t="inlineStr">
        <is>
          <t>/story/2025/heritage-awareness-celebrating-latine-hispanic-roots
/story/2025/heritage-awareness-coming-out-satoshi-suga-26
/story/2025/heritage-awareness-honoring-veterans-day</t>
        </is>
      </c>
      <c r="E209" s="24" t="n">
        <v>6</v>
      </c>
      <c r="F209" s="24" t="inlineStr">
        <is>
          <t>story</t>
        </is>
      </c>
      <c r="G209" s="24" t="inlineStr">
        <is>
          <t>stories_teaser_cards</t>
        </is>
      </c>
      <c r="H209" s="24" t="inlineStr">
        <is>
          <t>embed_all</t>
        </is>
      </c>
      <c r="I209" s="24" t="n">
        <v>3</v>
      </c>
      <c r="J209" s="31" t="inlineStr">
        <is>
          <t>Template logic</t>
        </is>
      </c>
      <c r="K209" s="24" t="inlineStr">
        <is>
          <t>Grouped surface</t>
        </is>
      </c>
      <c r="L209" s="24" t="inlineStr">
        <is>
          <t>Content type: story; Context uses Courses Context: Programs (94); Context uses Story Type: Blog (974); Limited to 3 item(s); Source: Template logic</t>
        </is>
      </c>
      <c r="BQ209" s="19" t="inlineStr">
        <is>
          <t>94</t>
        </is>
      </c>
      <c r="BR209" s="19" t="inlineStr">
        <is>
          <t>Programs (94)</t>
        </is>
      </c>
      <c r="IE209" s="19" t="inlineStr">
        <is>
          <t>974</t>
        </is>
      </c>
      <c r="IF209" s="19" t="inlineStr">
        <is>
          <t>Blog (974)</t>
        </is>
      </c>
      <c r="IS209" s="19">
        <f>IF(input_content_type="",FALSE,ISNUMBER(SEARCH(","&amp;LOWER(input_content_type)&amp;",",","&amp;LOWER(SUBSTITUTE(F209," ",""))&amp;",")))</f>
        <v/>
      </c>
      <c r="IT209" s="19">
        <f>AND(IF(M209="",TRUE,IF(input_affiliations="",FALSE,SUMPRODUCT(--ISNUMBER(SEARCH(","&amp;TRIM(TEXTSPLIT(M209,","))&amp;",",","&amp;SUBSTITUTE(input_affiliations," ","")&amp;",")))&gt;0)),IF(O209="",TRUE,IF(input_affiliations="",FALSE,SUMPRODUCT(--ISNUMBER(SEARCH(","&amp;TRIM(TEXTSPLIT(O209,","))&amp;",",","&amp;SUBSTITUTE(input_affiliations," ","")&amp;",")))=COUNTA(TEXTSPLIT(O209,",")))),IF(Q209="",TRUE,IF(input_affiliations="",TRUE,SUMPRODUCT(--ISNUMBER(SEARCH(","&amp;TRIM(TEXTSPLIT(Q209,","))&amp;",",","&amp;SUBSTITUTE(input_affiliations," ","")&amp;",")))=0)),IF(S209="",TRUE,IF(input_affiliations="",FALSE,SUMPRODUCT(--ISNUMBER(SEARCH(","&amp;TRIM(TEXTSPLIT(S209,","))&amp;",",","&amp;SUBSTITUTE(input_affiliations," ","")&amp;",")))&gt;0)),IF(U209="",TRUE,IF(input_affiliations="",FALSE,SUMPRODUCT(--ISNUMBER(SEARCH(","&amp;TRIM(TEXTSPLIT(U209,","))&amp;",",","&amp;SUBSTITUTE(input_affiliations," ","")&amp;",")))=COUNTA(TEXTSPLIT(U209,",")))))</f>
        <v/>
      </c>
      <c r="IU209" s="19">
        <f>AND(IF(W209="",TRUE,IF(input_announcement_category="",FALSE,SUMPRODUCT(--ISNUMBER(SEARCH(","&amp;TRIM(TEXTSPLIT(W209,","))&amp;",",","&amp;SUBSTITUTE(input_announcement_category," ","")&amp;",")))&gt;0)),IF(Y209="",TRUE,IF(input_announcement_category="",FALSE,SUMPRODUCT(--ISNUMBER(SEARCH(","&amp;TRIM(TEXTSPLIT(Y209,","))&amp;",",","&amp;SUBSTITUTE(input_announcement_category," ","")&amp;",")))=COUNTA(TEXTSPLIT(Y209,",")))),IF(AA209="",TRUE,IF(input_announcement_category="",TRUE,SUMPRODUCT(--ISNUMBER(SEARCH(","&amp;TRIM(TEXTSPLIT(AA209,","))&amp;",",","&amp;SUBSTITUTE(input_announcement_category," ","")&amp;",")))=0)),IF(AC209="",TRUE,IF(input_announcement_category="",FALSE,SUMPRODUCT(--ISNUMBER(SEARCH(","&amp;TRIM(TEXTSPLIT(AC209,","))&amp;",",","&amp;SUBSTITUTE(input_announcement_category," ","")&amp;",")))&gt;0)),IF(AE209="",TRUE,IF(input_announcement_category="",FALSE,SUMPRODUCT(--ISNUMBER(SEARCH(","&amp;TRIM(TEXTSPLIT(AE209,","))&amp;",",","&amp;SUBSTITUTE(input_announcement_category," ","")&amp;",")))=COUNTA(TEXTSPLIT(AE209,",")))))</f>
        <v/>
      </c>
      <c r="IV209" s="19">
        <f>AND(IF(AG209="",TRUE,IF(input_area_of_focus="",FALSE,SUMPRODUCT(--ISNUMBER(SEARCH(","&amp;TRIM(TEXTSPLIT(AG209,","))&amp;",",","&amp;SUBSTITUTE(input_area_of_focus," ","")&amp;",")))&gt;0)),IF(AI209="",TRUE,IF(input_area_of_focus="",FALSE,SUMPRODUCT(--ISNUMBER(SEARCH(","&amp;TRIM(TEXTSPLIT(AI209,","))&amp;",",","&amp;SUBSTITUTE(input_area_of_focus," ","")&amp;",")))=COUNTA(TEXTSPLIT(AI209,",")))),IF(AK209="",TRUE,IF(input_area_of_focus="",TRUE,SUMPRODUCT(--ISNUMBER(SEARCH(","&amp;TRIM(TEXTSPLIT(AK209,","))&amp;",",","&amp;SUBSTITUTE(input_area_of_focus," ","")&amp;",")))=0)),IF(AM209="",TRUE,IF(input_area_of_focus="",FALSE,SUMPRODUCT(--ISNUMBER(SEARCH(","&amp;TRIM(TEXTSPLIT(AM209,","))&amp;",",","&amp;SUBSTITUTE(input_area_of_focus," ","")&amp;",")))&gt;0)),IF(AO209="",TRUE,IF(input_area_of_focus="",FALSE,SUMPRODUCT(--ISNUMBER(SEARCH(","&amp;TRIM(TEXTSPLIT(AO209,","))&amp;",",","&amp;SUBSTITUTE(input_area_of_focus," ","")&amp;",")))=COUNTA(TEXTSPLIT(AO209,",")))))</f>
        <v/>
      </c>
      <c r="IW209" s="19">
        <f>AND(IF(AQ209="",TRUE,IF(input_audience="",FALSE,SUMPRODUCT(--ISNUMBER(SEARCH(","&amp;TRIM(TEXTSPLIT(AQ209,","))&amp;",",","&amp;SUBSTITUTE(input_audience," ","")&amp;",")))&gt;0)),IF(AS209="",TRUE,IF(input_audience="",FALSE,SUMPRODUCT(--ISNUMBER(SEARCH(","&amp;TRIM(TEXTSPLIT(AS209,","))&amp;",",","&amp;SUBSTITUTE(input_audience," ","")&amp;",")))=COUNTA(TEXTSPLIT(AS209,",")))),IF(AU209="",TRUE,IF(input_audience="",TRUE,SUMPRODUCT(--ISNUMBER(SEARCH(","&amp;TRIM(TEXTSPLIT(AU209,","))&amp;",",","&amp;SUBSTITUTE(input_audience," ","")&amp;",")))=0)),IF(AW209="",TRUE,IF(input_audience="",FALSE,SUMPRODUCT(--ISNUMBER(SEARCH(","&amp;TRIM(TEXTSPLIT(AW209,","))&amp;",",","&amp;SUBSTITUTE(input_audience," ","")&amp;",")))&gt;0)),IF(AY209="",TRUE,IF(input_audience="",FALSE,SUMPRODUCT(--ISNUMBER(SEARCH(","&amp;TRIM(TEXTSPLIT(AY209,","))&amp;",",","&amp;SUBSTITUTE(input_audience," ","")&amp;",")))=COUNTA(TEXTSPLIT(AY209,",")))))</f>
        <v/>
      </c>
      <c r="IX209" s="19">
        <f>AND(IF(BA209="",TRUE,IF(input_challenge_opportunities="",FALSE,SUMPRODUCT(--ISNUMBER(SEARCH(","&amp;TRIM(TEXTSPLIT(BA209,","))&amp;",",","&amp;SUBSTITUTE(input_challenge_opportunities," ","")&amp;",")))&gt;0)),IF(BC209="",TRUE,IF(input_challenge_opportunities="",FALSE,SUMPRODUCT(--ISNUMBER(SEARCH(","&amp;TRIM(TEXTSPLIT(BC209,","))&amp;",",","&amp;SUBSTITUTE(input_challenge_opportunities," ","")&amp;",")))=COUNTA(TEXTSPLIT(BC209,",")))),IF(BE209="",TRUE,IF(input_challenge_opportunities="",TRUE,SUMPRODUCT(--ISNUMBER(SEARCH(","&amp;TRIM(TEXTSPLIT(BE209,","))&amp;",",","&amp;SUBSTITUTE(input_challenge_opportunities," ","")&amp;",")))=0)),IF(BG209="",TRUE,IF(input_challenge_opportunities="",FALSE,SUMPRODUCT(--ISNUMBER(SEARCH(","&amp;TRIM(TEXTSPLIT(BG209,","))&amp;",",","&amp;SUBSTITUTE(input_challenge_opportunities," ","")&amp;",")))&gt;0)),IF(BI209="",TRUE,IF(input_challenge_opportunities="",FALSE,SUMPRODUCT(--ISNUMBER(SEARCH(","&amp;TRIM(TEXTSPLIT(BI209,","))&amp;",",","&amp;SUBSTITUTE(input_challenge_opportunities," ","")&amp;",")))=COUNTA(TEXTSPLIT(BI209,",")))))</f>
        <v/>
      </c>
      <c r="IY209" s="19">
        <f>AND(IF(BK209="",TRUE,IF(input_context="",FALSE,SUMPRODUCT(--ISNUMBER(SEARCH(","&amp;TRIM(TEXTSPLIT(BK209,","))&amp;",",","&amp;SUBSTITUTE(input_context," ","")&amp;",")))&gt;0)),IF(BM209="",TRUE,IF(input_context="",FALSE,SUMPRODUCT(--ISNUMBER(SEARCH(","&amp;TRIM(TEXTSPLIT(BM209,","))&amp;",",","&amp;SUBSTITUTE(input_context," ","")&amp;",")))=COUNTA(TEXTSPLIT(BM209,",")))),IF(BO209="",TRUE,IF(input_context="",TRUE,SUMPRODUCT(--ISNUMBER(SEARCH(","&amp;TRIM(TEXTSPLIT(BO209,","))&amp;",",","&amp;SUBSTITUTE(input_context," ","")&amp;",")))=0)),IF(BQ209="",TRUE,IF(input_context="",FALSE,SUMPRODUCT(--ISNUMBER(SEARCH(","&amp;TRIM(TEXTSPLIT(BQ209,","))&amp;",",","&amp;SUBSTITUTE(input_context," ","")&amp;",")))&gt;0)),IF(BS209="",TRUE,IF(input_context="",FALSE,SUMPRODUCT(--ISNUMBER(SEARCH(","&amp;TRIM(TEXTSPLIT(BS209,","))&amp;",",","&amp;SUBSTITUTE(input_context," ","")&amp;",")))=COUNTA(TEXTSPLIT(BS209,",")))))</f>
        <v/>
      </c>
      <c r="IZ209" s="19">
        <f>AND(IF(BU209="",TRUE,IF(input_enews_announcement_type="",FALSE,SUMPRODUCT(--ISNUMBER(SEARCH(","&amp;TRIM(TEXTSPLIT(BU209,","))&amp;",",","&amp;SUBSTITUTE(input_enews_announcement_type," ","")&amp;",")))&gt;0)),IF(BW209="",TRUE,IF(input_enews_announcement_type="",FALSE,SUMPRODUCT(--ISNUMBER(SEARCH(","&amp;TRIM(TEXTSPLIT(BW209,","))&amp;",",","&amp;SUBSTITUTE(input_enews_announcement_type," ","")&amp;",")))=COUNTA(TEXTSPLIT(BW209,",")))),IF(BY209="",TRUE,IF(input_enews_announcement_type="",TRUE,SUMPRODUCT(--ISNUMBER(SEARCH(","&amp;TRIM(TEXTSPLIT(BY209,","))&amp;",",","&amp;SUBSTITUTE(input_enews_announcement_type," ","")&amp;",")))=0)),IF(CA209="",TRUE,IF(input_enews_announcement_type="",FALSE,SUMPRODUCT(--ISNUMBER(SEARCH(","&amp;TRIM(TEXTSPLIT(CA209,","))&amp;",",","&amp;SUBSTITUTE(input_enews_announcement_type," ","")&amp;",")))&gt;0)),IF(CC209="",TRUE,IF(input_enews_announcement_type="",FALSE,SUMPRODUCT(--ISNUMBER(SEARCH(","&amp;TRIM(TEXTSPLIT(CC209,","))&amp;",",","&amp;SUBSTITUTE(input_enews_announcement_type," ","")&amp;",")))=COUNTA(TEXTSPLIT(CC209,",")))))</f>
        <v/>
      </c>
      <c r="JA209" s="19">
        <f>AND(IF(CE209="",TRUE,IF(input_enews_audience="",FALSE,SUMPRODUCT(--ISNUMBER(SEARCH(","&amp;TRIM(TEXTSPLIT(CE209,","))&amp;",",","&amp;SUBSTITUTE(input_enews_audience," ","")&amp;",")))&gt;0)),IF(CG209="",TRUE,IF(input_enews_audience="",FALSE,SUMPRODUCT(--ISNUMBER(SEARCH(","&amp;TRIM(TEXTSPLIT(CG209,","))&amp;",",","&amp;SUBSTITUTE(input_enews_audience," ","")&amp;",")))=COUNTA(TEXTSPLIT(CG209,",")))),IF(CI209="",TRUE,IF(input_enews_audience="",TRUE,SUMPRODUCT(--ISNUMBER(SEARCH(","&amp;TRIM(TEXTSPLIT(CI209,","))&amp;",",","&amp;SUBSTITUTE(input_enews_audience," ","")&amp;",")))=0)),IF(CK209="",TRUE,IF(input_enews_audience="",FALSE,SUMPRODUCT(--ISNUMBER(SEARCH(","&amp;TRIM(TEXTSPLIT(CK209,","))&amp;",",","&amp;SUBSTITUTE(input_enews_audience," ","")&amp;",")))&gt;0)),IF(CM209="",TRUE,IF(input_enews_audience="",FALSE,SUMPRODUCT(--ISNUMBER(SEARCH(","&amp;TRIM(TEXTSPLIT(CM209,","))&amp;",",","&amp;SUBSTITUTE(input_enews_audience," ","")&amp;",")))=COUNTA(TEXTSPLIT(CM209,",")))))</f>
        <v/>
      </c>
      <c r="JB209" s="19">
        <f>AND(IF(CO209="",TRUE,IF(input_event_location="",FALSE,SUMPRODUCT(--ISNUMBER(SEARCH(","&amp;TRIM(TEXTSPLIT(CO209,","))&amp;",",","&amp;SUBSTITUTE(input_event_location," ","")&amp;",")))&gt;0)),IF(CQ209="",TRUE,IF(input_event_location="",FALSE,SUMPRODUCT(--ISNUMBER(SEARCH(","&amp;TRIM(TEXTSPLIT(CQ209,","))&amp;",",","&amp;SUBSTITUTE(input_event_location," ","")&amp;",")))=COUNTA(TEXTSPLIT(CQ209,",")))),IF(CS209="",TRUE,IF(input_event_location="",TRUE,SUMPRODUCT(--ISNUMBER(SEARCH(","&amp;TRIM(TEXTSPLIT(CS209,","))&amp;",",","&amp;SUBSTITUTE(input_event_location," ","")&amp;",")))=0)),IF(CU209="",TRUE,IF(input_event_location="",FALSE,SUMPRODUCT(--ISNUMBER(SEARCH(","&amp;TRIM(TEXTSPLIT(CU209,","))&amp;",",","&amp;SUBSTITUTE(input_event_location," ","")&amp;",")))&gt;0)),IF(CW209="",TRUE,IF(input_event_location="",FALSE,SUMPRODUCT(--ISNUMBER(SEARCH(","&amp;TRIM(TEXTSPLIT(CW209,","))&amp;",",","&amp;SUBSTITUTE(input_event_location," ","")&amp;",")))=COUNTA(TEXTSPLIT(CW209,",")))))</f>
        <v/>
      </c>
      <c r="JC209" s="19">
        <f>AND(IF(CY209="",TRUE,IF(input_event_type="",FALSE,SUMPRODUCT(--ISNUMBER(SEARCH(","&amp;TRIM(TEXTSPLIT(CY209,","))&amp;",",","&amp;SUBSTITUTE(input_event_type," ","")&amp;",")))&gt;0)),IF(DA209="",TRUE,IF(input_event_type="",FALSE,SUMPRODUCT(--ISNUMBER(SEARCH(","&amp;TRIM(TEXTSPLIT(DA209,","))&amp;",",","&amp;SUBSTITUTE(input_event_type," ","")&amp;",")))=COUNTA(TEXTSPLIT(DA209,",")))),IF(DC209="",TRUE,IF(input_event_type="",TRUE,SUMPRODUCT(--ISNUMBER(SEARCH(","&amp;TRIM(TEXTSPLIT(DC209,","))&amp;",",","&amp;SUBSTITUTE(input_event_type," ","")&amp;",")))=0)),IF(DE209="",TRUE,IF(input_event_type="",FALSE,SUMPRODUCT(--ISNUMBER(SEARCH(","&amp;TRIM(TEXTSPLIT(DE209,","))&amp;",",","&amp;SUBSTITUTE(input_event_type," ","")&amp;",")))&gt;0)),IF(DG209="",TRUE,IF(input_event_type="",FALSE,SUMPRODUCT(--ISNUMBER(SEARCH(","&amp;TRIM(TEXTSPLIT(DG209,","))&amp;",",","&amp;SUBSTITUTE(input_event_type," ","")&amp;",")))=COUNTA(TEXTSPLIT(DG209,",")))))</f>
        <v/>
      </c>
      <c r="JD209" s="19">
        <f>AND(IF(DI209="",TRUE,IF(input_executive_education_focus="",FALSE,SUMPRODUCT(--ISNUMBER(SEARCH(","&amp;TRIM(TEXTSPLIT(DI209,","))&amp;",",","&amp;SUBSTITUTE(input_executive_education_focus," ","")&amp;",")))&gt;0)),IF(DK209="",TRUE,IF(input_executive_education_focus="",FALSE,SUMPRODUCT(--ISNUMBER(SEARCH(","&amp;TRIM(TEXTSPLIT(DK209,","))&amp;",",","&amp;SUBSTITUTE(input_executive_education_focus," ","")&amp;",")))=COUNTA(TEXTSPLIT(DK209,",")))),IF(DM209="",TRUE,IF(input_executive_education_focus="",TRUE,SUMPRODUCT(--ISNUMBER(SEARCH(","&amp;TRIM(TEXTSPLIT(DM209,","))&amp;",",","&amp;SUBSTITUTE(input_executive_education_focus," ","")&amp;",")))=0)),IF(DO209="",TRUE,IF(input_executive_education_focus="",FALSE,SUMPRODUCT(--ISNUMBER(SEARCH(","&amp;TRIM(TEXTSPLIT(DO209,","))&amp;",",","&amp;SUBSTITUTE(input_executive_education_focus," ","")&amp;",")))&gt;0)),IF(DQ209="",TRUE,IF(input_executive_education_focus="",FALSE,SUMPRODUCT(--ISNUMBER(SEARCH(","&amp;TRIM(TEXTSPLIT(DQ209,","))&amp;",",","&amp;SUBSTITUTE(input_executive_education_focus," ","")&amp;",")))=COUNTA(TEXTSPLIT(DQ209,",")))))</f>
        <v/>
      </c>
      <c r="JE209" s="19">
        <f>AND(IF(DS209="",TRUE,IF(input_faculty_category="",FALSE,SUMPRODUCT(--ISNUMBER(SEARCH(","&amp;TRIM(TEXTSPLIT(DS209,","))&amp;",",","&amp;SUBSTITUTE(input_faculty_category," ","")&amp;",")))&gt;0)),IF(DU209="",TRUE,IF(input_faculty_category="",FALSE,SUMPRODUCT(--ISNUMBER(SEARCH(","&amp;TRIM(TEXTSPLIT(DU209,","))&amp;",",","&amp;SUBSTITUTE(input_faculty_category," ","")&amp;",")))=COUNTA(TEXTSPLIT(DU209,",")))),IF(DW209="",TRUE,IF(input_faculty_category="",TRUE,SUMPRODUCT(--ISNUMBER(SEARCH(","&amp;TRIM(TEXTSPLIT(DW209,","))&amp;",",","&amp;SUBSTITUTE(input_faculty_category," ","")&amp;",")))=0)),IF(DY209="",TRUE,IF(input_faculty_category="",FALSE,SUMPRODUCT(--ISNUMBER(SEARCH(","&amp;TRIM(TEXTSPLIT(DY209,","))&amp;",",","&amp;SUBSTITUTE(input_faculty_category," ","")&amp;",")))&gt;0)),IF(EA209="",TRUE,IF(input_faculty_category="",FALSE,SUMPRODUCT(--ISNUMBER(SEARCH(","&amp;TRIM(TEXTSPLIT(EA209,","))&amp;",",","&amp;SUBSTITUTE(input_faculty_category," ","")&amp;",")))=COUNTA(TEXTSPLIT(EA209,",")))))</f>
        <v/>
      </c>
      <c r="JF209" s="19">
        <f>AND(IF(EC209="",TRUE,IF(input_faculty_discipline="",FALSE,SUMPRODUCT(--ISNUMBER(SEARCH(","&amp;TRIM(TEXTSPLIT(EC209,","))&amp;",",","&amp;SUBSTITUTE(input_faculty_discipline," ","")&amp;",")))&gt;0)),IF(EE209="",TRUE,IF(input_faculty_discipline="",FALSE,SUMPRODUCT(--ISNUMBER(SEARCH(","&amp;TRIM(TEXTSPLIT(EE209,","))&amp;",",","&amp;SUBSTITUTE(input_faculty_discipline," ","")&amp;",")))=COUNTA(TEXTSPLIT(EE209,",")))),IF(EG209="",TRUE,IF(input_faculty_discipline="",TRUE,SUMPRODUCT(--ISNUMBER(SEARCH(","&amp;TRIM(TEXTSPLIT(EG209,","))&amp;",",","&amp;SUBSTITUTE(input_faculty_discipline," ","")&amp;",")))=0)),IF(EI209="",TRUE,IF(input_faculty_discipline="",FALSE,SUMPRODUCT(--ISNUMBER(SEARCH(","&amp;TRIM(TEXTSPLIT(EI209,","))&amp;",",","&amp;SUBSTITUTE(input_faculty_discipline," ","")&amp;",")))&gt;0)),IF(EK209="",TRUE,IF(input_faculty_discipline="",FALSE,SUMPRODUCT(--ISNUMBER(SEARCH(","&amp;TRIM(TEXTSPLIT(EK209,","))&amp;",",","&amp;SUBSTITUTE(input_faculty_discipline," ","")&amp;",")))=COUNTA(TEXTSPLIT(EK209,",")))))</f>
        <v/>
      </c>
      <c r="JG209" s="19">
        <f>AND(IF(EM209="",TRUE,IF(input_faculty_expertise="",FALSE,SUMPRODUCT(--ISNUMBER(SEARCH(","&amp;TRIM(TEXTSPLIT(EM209,","))&amp;",",","&amp;SUBSTITUTE(input_faculty_expertise," ","")&amp;",")))&gt;0)),IF(EO209="",TRUE,IF(input_faculty_expertise="",FALSE,SUMPRODUCT(--ISNUMBER(SEARCH(","&amp;TRIM(TEXTSPLIT(EO209,","))&amp;",",","&amp;SUBSTITUTE(input_faculty_expertise," ","")&amp;",")))=COUNTA(TEXTSPLIT(EO209,",")))),IF(EQ209="",TRUE,IF(input_faculty_expertise="",TRUE,SUMPRODUCT(--ISNUMBER(SEARCH(","&amp;TRIM(TEXTSPLIT(EQ209,","))&amp;",",","&amp;SUBSTITUTE(input_faculty_expertise," ","")&amp;",")))=0)),IF(ES209="",TRUE,IF(input_faculty_expertise="",FALSE,SUMPRODUCT(--ISNUMBER(SEARCH(","&amp;TRIM(TEXTSPLIT(ES209,","))&amp;",",","&amp;SUBSTITUTE(input_faculty_expertise," ","")&amp;",")))&gt;0)),IF(EU209="",TRUE,IF(input_faculty_expertise="",FALSE,SUMPRODUCT(--ISNUMBER(SEARCH(","&amp;TRIM(TEXTSPLIT(EU209,","))&amp;",",","&amp;SUBSTITUTE(input_faculty_expertise," ","")&amp;",")))=COUNTA(TEXTSPLIT(EU209,",")))))</f>
        <v/>
      </c>
      <c r="JH209" s="19">
        <f>AND(IF(EW209="",TRUE,IF(input_global_network_school="",FALSE,SUMPRODUCT(--ISNUMBER(SEARCH(","&amp;TRIM(TEXTSPLIT(EW209,","))&amp;",",","&amp;SUBSTITUTE(input_global_network_school," ","")&amp;",")))&gt;0)),IF(EY209="",TRUE,IF(input_global_network_school="",FALSE,SUMPRODUCT(--ISNUMBER(SEARCH(","&amp;TRIM(TEXTSPLIT(EY209,","))&amp;",",","&amp;SUBSTITUTE(input_global_network_school," ","")&amp;",")))=COUNTA(TEXTSPLIT(EY209,",")))),IF(FA209="",TRUE,IF(input_global_network_school="",TRUE,SUMPRODUCT(--ISNUMBER(SEARCH(","&amp;TRIM(TEXTSPLIT(FA209,","))&amp;",",","&amp;SUBSTITUTE(input_global_network_school," ","")&amp;",")))=0)),IF(FC209="",TRUE,IF(input_global_network_school="",FALSE,SUMPRODUCT(--ISNUMBER(SEARCH(","&amp;TRIM(TEXTSPLIT(FC209,","))&amp;",",","&amp;SUBSTITUTE(input_global_network_school," ","")&amp;",")))&gt;0)),IF(FE209="",TRUE,IF(input_global_network_school="",FALSE,SUMPRODUCT(--ISNUMBER(SEARCH(","&amp;TRIM(TEXTSPLIT(FE209,","))&amp;",",","&amp;SUBSTITUTE(input_global_network_school," ","")&amp;",")))=COUNTA(TEXTSPLIT(FE209,",")))))</f>
        <v/>
      </c>
      <c r="JI209" s="19">
        <f>AND(IF(FG209="",TRUE,IF(input_industry="",FALSE,SUMPRODUCT(--ISNUMBER(SEARCH(","&amp;TRIM(TEXTSPLIT(FG209,","))&amp;",",","&amp;SUBSTITUTE(input_industry," ","")&amp;",")))&gt;0)),IF(FI209="",TRUE,IF(input_industry="",FALSE,SUMPRODUCT(--ISNUMBER(SEARCH(","&amp;TRIM(TEXTSPLIT(FI209,","))&amp;",",","&amp;SUBSTITUTE(input_industry," ","")&amp;",")))=COUNTA(TEXTSPLIT(FI209,",")))),IF(FK209="",TRUE,IF(input_industry="",TRUE,SUMPRODUCT(--ISNUMBER(SEARCH(","&amp;TRIM(TEXTSPLIT(FK209,","))&amp;",",","&amp;SUBSTITUTE(input_industry," ","")&amp;",")))=0)),IF(FM209="",TRUE,IF(input_industry="",FALSE,SUMPRODUCT(--ISNUMBER(SEARCH(","&amp;TRIM(TEXTSPLIT(FM209,","))&amp;",",","&amp;SUBSTITUTE(input_industry," ","")&amp;",")))&gt;0)),IF(FO209="",TRUE,IF(input_industry="",FALSE,SUMPRODUCT(--ISNUMBER(SEARCH(","&amp;TRIM(TEXTSPLIT(FO209,","))&amp;",",","&amp;SUBSTITUTE(input_industry," ","")&amp;",")))=COUNTA(TEXTSPLIT(FO209,",")))))</f>
        <v/>
      </c>
      <c r="JJ209" s="19">
        <f>AND(IF(FQ209="",TRUE,IF(input_location="",FALSE,SUMPRODUCT(--ISNUMBER(SEARCH(","&amp;TRIM(TEXTSPLIT(FQ209,","))&amp;",",","&amp;SUBSTITUTE(input_location," ","")&amp;",")))&gt;0)),IF(FS209="",TRUE,IF(input_location="",FALSE,SUMPRODUCT(--ISNUMBER(SEARCH(","&amp;TRIM(TEXTSPLIT(FS209,","))&amp;",",","&amp;SUBSTITUTE(input_location," ","")&amp;",")))=COUNTA(TEXTSPLIT(FS209,",")))),IF(FU209="",TRUE,IF(input_location="",TRUE,SUMPRODUCT(--ISNUMBER(SEARCH(","&amp;TRIM(TEXTSPLIT(FU209,","))&amp;",",","&amp;SUBSTITUTE(input_location," ","")&amp;",")))=0)),IF(FW209="",TRUE,IF(input_location="",FALSE,SUMPRODUCT(--ISNUMBER(SEARCH(","&amp;TRIM(TEXTSPLIT(FW209,","))&amp;",",","&amp;SUBSTITUTE(input_location," ","")&amp;",")))&gt;0)),IF(FY209="",TRUE,IF(input_location="",FALSE,SUMPRODUCT(--ISNUMBER(SEARCH(","&amp;TRIM(TEXTSPLIT(FY209,","))&amp;",",","&amp;SUBSTITUTE(input_location," ","")&amp;",")))=COUNTA(TEXTSPLIT(FY209,",")))))</f>
        <v/>
      </c>
      <c r="JK209" s="19">
        <f>AND(IF(GA209="",TRUE,IF(input_modality="",FALSE,SUMPRODUCT(--ISNUMBER(SEARCH(","&amp;TRIM(TEXTSPLIT(GA209,","))&amp;",",","&amp;SUBSTITUTE(input_modality," ","")&amp;",")))&gt;0)),IF(GC209="",TRUE,IF(input_modality="",FALSE,SUMPRODUCT(--ISNUMBER(SEARCH(","&amp;TRIM(TEXTSPLIT(GC209,","))&amp;",",","&amp;SUBSTITUTE(input_modality," ","")&amp;",")))=COUNTA(TEXTSPLIT(GC209,",")))),IF(GE209="",TRUE,IF(input_modality="",TRUE,SUMPRODUCT(--ISNUMBER(SEARCH(","&amp;TRIM(TEXTSPLIT(GE209,","))&amp;",",","&amp;SUBSTITUTE(input_modality," ","")&amp;",")))=0)),IF(GG209="",TRUE,IF(input_modality="",FALSE,SUMPRODUCT(--ISNUMBER(SEARCH(","&amp;TRIM(TEXTSPLIT(GG209,","))&amp;",",","&amp;SUBSTITUTE(input_modality," ","")&amp;",")))&gt;0)),IF(GI209="",TRUE,IF(input_modality="",FALSE,SUMPRODUCT(--ISNUMBER(SEARCH(","&amp;TRIM(TEXTSPLIT(GI209,","))&amp;",",","&amp;SUBSTITUTE(input_modality," ","")&amp;",")))=COUNTA(TEXTSPLIT(GI209,",")))))</f>
        <v/>
      </c>
      <c r="JL209" s="19">
        <f>AND(IF(GK209="",TRUE,IF(input_organizer="",FALSE,SUMPRODUCT(--ISNUMBER(SEARCH(","&amp;TRIM(TEXTSPLIT(GK209,","))&amp;",",","&amp;SUBSTITUTE(input_organizer," ","")&amp;",")))&gt;0)),IF(GM209="",TRUE,IF(input_organizer="",FALSE,SUMPRODUCT(--ISNUMBER(SEARCH(","&amp;TRIM(TEXTSPLIT(GM209,","))&amp;",",","&amp;SUBSTITUTE(input_organizer," ","")&amp;",")))=COUNTA(TEXTSPLIT(GM209,",")))),IF(GO209="",TRUE,IF(input_organizer="",TRUE,SUMPRODUCT(--ISNUMBER(SEARCH(","&amp;TRIM(TEXTSPLIT(GO209,","))&amp;",",","&amp;SUBSTITUTE(input_organizer," ","")&amp;",")))=0)),IF(GQ209="",TRUE,IF(input_organizer="",FALSE,SUMPRODUCT(--ISNUMBER(SEARCH(","&amp;TRIM(TEXTSPLIT(GQ209,","))&amp;",",","&amp;SUBSTITUTE(input_organizer," ","")&amp;",")))&gt;0)),IF(GS209="",TRUE,IF(input_organizer="",FALSE,SUMPRODUCT(--ISNUMBER(SEARCH(","&amp;TRIM(TEXTSPLIT(GS209,","))&amp;",",","&amp;SUBSTITUTE(input_organizer," ","")&amp;",")))=COUNTA(TEXTSPLIT(GS209,",")))))</f>
        <v/>
      </c>
      <c r="JM209" s="19">
        <f>AND(IF(GU209="",TRUE,IF(input_profile_type="",FALSE,SUMPRODUCT(--ISNUMBER(SEARCH(","&amp;TRIM(TEXTSPLIT(GU209,","))&amp;",",","&amp;SUBSTITUTE(input_profile_type," ","")&amp;",")))&gt;0)),IF(GW209="",TRUE,IF(input_profile_type="",FALSE,SUMPRODUCT(--ISNUMBER(SEARCH(","&amp;TRIM(TEXTSPLIT(GW209,","))&amp;",",","&amp;SUBSTITUTE(input_profile_type," ","")&amp;",")))=COUNTA(TEXTSPLIT(GW209,",")))),IF(GY209="",TRUE,IF(input_profile_type="",TRUE,SUMPRODUCT(--ISNUMBER(SEARCH(","&amp;TRIM(TEXTSPLIT(GY209,","))&amp;",",","&amp;SUBSTITUTE(input_profile_type," ","")&amp;",")))=0)),IF(HA209="",TRUE,IF(input_profile_type="",FALSE,SUMPRODUCT(--ISNUMBER(SEARCH(","&amp;TRIM(TEXTSPLIT(HA209,","))&amp;",",","&amp;SUBSTITUTE(input_profile_type," ","")&amp;",")))&gt;0)),IF(HC209="",TRUE,IF(input_profile_type="",FALSE,SUMPRODUCT(--ISNUMBER(SEARCH(","&amp;TRIM(TEXTSPLIT(HC209,","))&amp;",",","&amp;SUBSTITUTE(input_profile_type," ","")&amp;",")))=COUNTA(TEXTSPLIT(HC209,",")))))</f>
        <v/>
      </c>
      <c r="JN209" s="19">
        <f>AND(IF(HE209="",TRUE,IF(input_program="",FALSE,SUMPRODUCT(--ISNUMBER(SEARCH(","&amp;TRIM(TEXTSPLIT(HE209,","))&amp;",",","&amp;SUBSTITUTE(input_program," ","")&amp;",")))&gt;0)),IF(HG209="",TRUE,IF(input_program="",FALSE,SUMPRODUCT(--ISNUMBER(SEARCH(","&amp;TRIM(TEXTSPLIT(HG209,","))&amp;",",","&amp;SUBSTITUTE(input_program," ","")&amp;",")))=COUNTA(TEXTSPLIT(HG209,",")))),IF(HI209="",TRUE,IF(input_program="",TRUE,SUMPRODUCT(--ISNUMBER(SEARCH(","&amp;TRIM(TEXTSPLIT(HI209,","))&amp;",",","&amp;SUBSTITUTE(input_program," ","")&amp;",")))=0)),IF(HK209="",TRUE,IF(input_program="",FALSE,SUMPRODUCT(--ISNUMBER(SEARCH(","&amp;TRIM(TEXTSPLIT(HK209,","))&amp;",",","&amp;SUBSTITUTE(input_program," ","")&amp;",")))&gt;0)),IF(HM209="",TRUE,IF(input_program="",FALSE,SUMPRODUCT(--ISNUMBER(SEARCH(","&amp;TRIM(TEXTSPLIT(HM209,","))&amp;",",","&amp;SUBSTITUTE(input_program," ","")&amp;",")))=COUNTA(TEXTSPLIT(HM209,",")))))</f>
        <v/>
      </c>
      <c r="JO209" s="19">
        <f>AND(IF(HO209="",TRUE,IF(input_story_categories="",FALSE,SUMPRODUCT(--ISNUMBER(SEARCH(","&amp;TRIM(TEXTSPLIT(HO209,","))&amp;",",","&amp;SUBSTITUTE(input_story_categories," ","")&amp;",")))&gt;0)),IF(HQ209="",TRUE,IF(input_story_categories="",FALSE,SUMPRODUCT(--ISNUMBER(SEARCH(","&amp;TRIM(TEXTSPLIT(HQ209,","))&amp;",",","&amp;SUBSTITUTE(input_story_categories," ","")&amp;",")))=COUNTA(TEXTSPLIT(HQ209,",")))),IF(HS209="",TRUE,IF(input_story_categories="",TRUE,SUMPRODUCT(--ISNUMBER(SEARCH(","&amp;TRIM(TEXTSPLIT(HS209,","))&amp;",",","&amp;SUBSTITUTE(input_story_categories," ","")&amp;",")))=0)),IF(HU209="",TRUE,IF(input_story_categories="",FALSE,SUMPRODUCT(--ISNUMBER(SEARCH(","&amp;TRIM(TEXTSPLIT(HU209,","))&amp;",",","&amp;SUBSTITUTE(input_story_categories," ","")&amp;",")))&gt;0)),IF(HW209="",TRUE,IF(input_story_categories="",FALSE,SUMPRODUCT(--ISNUMBER(SEARCH(","&amp;TRIM(TEXTSPLIT(HW209,","))&amp;",",","&amp;SUBSTITUTE(input_story_categories," ","")&amp;",")))=COUNTA(TEXTSPLIT(HW209,",")))))</f>
        <v/>
      </c>
      <c r="JP209" s="19">
        <f>AND(IF(HY209="",TRUE,IF(input_story_type="",FALSE,SUMPRODUCT(--ISNUMBER(SEARCH(","&amp;TRIM(TEXTSPLIT(HY209,","))&amp;",",","&amp;SUBSTITUTE(input_story_type," ","")&amp;",")))&gt;0)),IF(IA209="",TRUE,IF(input_story_type="",FALSE,SUMPRODUCT(--ISNUMBER(SEARCH(","&amp;TRIM(TEXTSPLIT(IA209,","))&amp;",",","&amp;SUBSTITUTE(input_story_type," ","")&amp;",")))=COUNTA(TEXTSPLIT(IA209,",")))),IF(IC209="",TRUE,IF(input_story_type="",TRUE,SUMPRODUCT(--ISNUMBER(SEARCH(","&amp;TRIM(TEXTSPLIT(IC209,","))&amp;",",","&amp;SUBSTITUTE(input_story_type," ","")&amp;",")))=0)),IF(IE209="",TRUE,IF(input_story_type="",FALSE,SUMPRODUCT(--ISNUMBER(SEARCH(","&amp;TRIM(TEXTSPLIT(IE209,","))&amp;",",","&amp;SUBSTITUTE(input_story_type," ","")&amp;",")))&gt;0)),IF(IG209="",TRUE,IF(input_story_type="",FALSE,SUMPRODUCT(--ISNUMBER(SEARCH(","&amp;TRIM(TEXTSPLIT(IG209,","))&amp;",",","&amp;SUBSTITUTE(input_story_type," ","")&amp;",")))=COUNTA(TEXTSPLIT(IG209,",")))))</f>
        <v/>
      </c>
      <c r="JQ209" s="19">
        <f>AND(IF(II209="",TRUE,IF(input_topics="",FALSE,SUMPRODUCT(--ISNUMBER(SEARCH(","&amp;TRIM(TEXTSPLIT(II209,","))&amp;",",","&amp;SUBSTITUTE(input_topics," ","")&amp;",")))&gt;0)),IF(IK209="",TRUE,IF(input_topics="",FALSE,SUMPRODUCT(--ISNUMBER(SEARCH(","&amp;TRIM(TEXTSPLIT(IK209,","))&amp;",",","&amp;SUBSTITUTE(input_topics," ","")&amp;",")))=COUNTA(TEXTSPLIT(IK209,",")))),IF(IM209="",TRUE,IF(input_topics="",TRUE,SUMPRODUCT(--ISNUMBER(SEARCH(","&amp;TRIM(TEXTSPLIT(IM209,","))&amp;",",","&amp;SUBSTITUTE(input_topics," ","")&amp;",")))=0)),IF(IO209="",TRUE,IF(input_topics="",FALSE,SUMPRODUCT(--ISNUMBER(SEARCH(","&amp;TRIM(TEXTSPLIT(IO209,","))&amp;",",","&amp;SUBSTITUTE(input_topics," ","")&amp;",")))&gt;0)),IF(IQ209="",TRUE,IF(input_topics="",FALSE,SUMPRODUCT(--ISNUMBER(SEARCH(","&amp;TRIM(TEXTSPLIT(IQ209,","))&amp;",",","&amp;SUBSTITUTE(input_topics," ","")&amp;",")))=COUNTA(TEXTSPLIT(IQ209,",")))))</f>
        <v/>
      </c>
    </row>
    <row r="210">
      <c r="A210" s="24">
        <f>IF(NOT(IS210),"Excluded",IF(AND(IT210,IU210,IV210,IW210,IX210,IY210,IZ210,JA210,JB210,JC210,JD210,JE210,JF210,JG210,JH210,JI210,JJ210,JK210,JL210,JM210,JN210,JO210,JP210,JQ210),IF(I210&gt;0,"Eligible but limited","Will appear"),"Excluded"))</f>
        <v/>
      </c>
      <c r="B210" s="24" t="inlineStr">
        <is>
          <t>Related stories on story pages</t>
        </is>
      </c>
      <c r="C210" s="27" t="inlineStr">
        <is>
          <t>/story/2025/highlights-2025-yale-impact-investing-conference</t>
        </is>
      </c>
      <c r="D210" s="24" t="inlineStr">
        <is>
          <t>/story/2025/highlights-2025-yale-impact-investing-conference
/story/2025/prof-william-goetzmann-receives-inaugural-seiler-behavioral-research-commendation
/story/2025/profs-cameron-lapoint-and-vahideh-manshadi-receive-research-grants-yale-planetary</t>
        </is>
      </c>
      <c r="E210" s="24" t="n">
        <v>4</v>
      </c>
      <c r="F210" s="24" t="inlineStr">
        <is>
          <t>story</t>
        </is>
      </c>
      <c r="G210" s="24" t="inlineStr">
        <is>
          <t>stories_teaser_cards</t>
        </is>
      </c>
      <c r="H210" s="24" t="inlineStr">
        <is>
          <t>embed_all</t>
        </is>
      </c>
      <c r="I210" s="24" t="n">
        <v>3</v>
      </c>
      <c r="J210" s="31" t="inlineStr">
        <is>
          <t>Template logic</t>
        </is>
      </c>
      <c r="K210" s="24" t="inlineStr">
        <is>
          <t>Grouped surface</t>
        </is>
      </c>
      <c r="L210" s="24" t="inlineStr">
        <is>
          <t>Content type: story; Context uses Courses Context: International Center for Finance (931); Context uses Story Type: News (924); Limited to 3 item(s); Source: Template logic</t>
        </is>
      </c>
      <c r="BQ210" s="19" t="inlineStr">
        <is>
          <t>931</t>
        </is>
      </c>
      <c r="BR210" s="19" t="inlineStr">
        <is>
          <t>International Center for Finance (931)</t>
        </is>
      </c>
      <c r="IE210" s="19" t="inlineStr">
        <is>
          <t>924</t>
        </is>
      </c>
      <c r="IF210" s="19" t="inlineStr">
        <is>
          <t>News (924)</t>
        </is>
      </c>
      <c r="IS210" s="19">
        <f>IF(input_content_type="",FALSE,ISNUMBER(SEARCH(","&amp;LOWER(input_content_type)&amp;",",","&amp;LOWER(SUBSTITUTE(F210," ",""))&amp;",")))</f>
        <v/>
      </c>
      <c r="IT210" s="19">
        <f>AND(IF(M210="",TRUE,IF(input_affiliations="",FALSE,SUMPRODUCT(--ISNUMBER(SEARCH(","&amp;TRIM(TEXTSPLIT(M210,","))&amp;",",","&amp;SUBSTITUTE(input_affiliations," ","")&amp;",")))&gt;0)),IF(O210="",TRUE,IF(input_affiliations="",FALSE,SUMPRODUCT(--ISNUMBER(SEARCH(","&amp;TRIM(TEXTSPLIT(O210,","))&amp;",",","&amp;SUBSTITUTE(input_affiliations," ","")&amp;",")))=COUNTA(TEXTSPLIT(O210,",")))),IF(Q210="",TRUE,IF(input_affiliations="",TRUE,SUMPRODUCT(--ISNUMBER(SEARCH(","&amp;TRIM(TEXTSPLIT(Q210,","))&amp;",",","&amp;SUBSTITUTE(input_affiliations," ","")&amp;",")))=0)),IF(S210="",TRUE,IF(input_affiliations="",FALSE,SUMPRODUCT(--ISNUMBER(SEARCH(","&amp;TRIM(TEXTSPLIT(S210,","))&amp;",",","&amp;SUBSTITUTE(input_affiliations," ","")&amp;",")))&gt;0)),IF(U210="",TRUE,IF(input_affiliations="",FALSE,SUMPRODUCT(--ISNUMBER(SEARCH(","&amp;TRIM(TEXTSPLIT(U210,","))&amp;",",","&amp;SUBSTITUTE(input_affiliations," ","")&amp;",")))=COUNTA(TEXTSPLIT(U210,",")))))</f>
        <v/>
      </c>
      <c r="IU210" s="19">
        <f>AND(IF(W210="",TRUE,IF(input_announcement_category="",FALSE,SUMPRODUCT(--ISNUMBER(SEARCH(","&amp;TRIM(TEXTSPLIT(W210,","))&amp;",",","&amp;SUBSTITUTE(input_announcement_category," ","")&amp;",")))&gt;0)),IF(Y210="",TRUE,IF(input_announcement_category="",FALSE,SUMPRODUCT(--ISNUMBER(SEARCH(","&amp;TRIM(TEXTSPLIT(Y210,","))&amp;",",","&amp;SUBSTITUTE(input_announcement_category," ","")&amp;",")))=COUNTA(TEXTSPLIT(Y210,",")))),IF(AA210="",TRUE,IF(input_announcement_category="",TRUE,SUMPRODUCT(--ISNUMBER(SEARCH(","&amp;TRIM(TEXTSPLIT(AA210,","))&amp;",",","&amp;SUBSTITUTE(input_announcement_category," ","")&amp;",")))=0)),IF(AC210="",TRUE,IF(input_announcement_category="",FALSE,SUMPRODUCT(--ISNUMBER(SEARCH(","&amp;TRIM(TEXTSPLIT(AC210,","))&amp;",",","&amp;SUBSTITUTE(input_announcement_category," ","")&amp;",")))&gt;0)),IF(AE210="",TRUE,IF(input_announcement_category="",FALSE,SUMPRODUCT(--ISNUMBER(SEARCH(","&amp;TRIM(TEXTSPLIT(AE210,","))&amp;",",","&amp;SUBSTITUTE(input_announcement_category," ","")&amp;",")))=COUNTA(TEXTSPLIT(AE210,",")))))</f>
        <v/>
      </c>
      <c r="IV210" s="19">
        <f>AND(IF(AG210="",TRUE,IF(input_area_of_focus="",FALSE,SUMPRODUCT(--ISNUMBER(SEARCH(","&amp;TRIM(TEXTSPLIT(AG210,","))&amp;",",","&amp;SUBSTITUTE(input_area_of_focus," ","")&amp;",")))&gt;0)),IF(AI210="",TRUE,IF(input_area_of_focus="",FALSE,SUMPRODUCT(--ISNUMBER(SEARCH(","&amp;TRIM(TEXTSPLIT(AI210,","))&amp;",",","&amp;SUBSTITUTE(input_area_of_focus," ","")&amp;",")))=COUNTA(TEXTSPLIT(AI210,",")))),IF(AK210="",TRUE,IF(input_area_of_focus="",TRUE,SUMPRODUCT(--ISNUMBER(SEARCH(","&amp;TRIM(TEXTSPLIT(AK210,","))&amp;",",","&amp;SUBSTITUTE(input_area_of_focus," ","")&amp;",")))=0)),IF(AM210="",TRUE,IF(input_area_of_focus="",FALSE,SUMPRODUCT(--ISNUMBER(SEARCH(","&amp;TRIM(TEXTSPLIT(AM210,","))&amp;",",","&amp;SUBSTITUTE(input_area_of_focus," ","")&amp;",")))&gt;0)),IF(AO210="",TRUE,IF(input_area_of_focus="",FALSE,SUMPRODUCT(--ISNUMBER(SEARCH(","&amp;TRIM(TEXTSPLIT(AO210,","))&amp;",",","&amp;SUBSTITUTE(input_area_of_focus," ","")&amp;",")))=COUNTA(TEXTSPLIT(AO210,",")))))</f>
        <v/>
      </c>
      <c r="IW210" s="19">
        <f>AND(IF(AQ210="",TRUE,IF(input_audience="",FALSE,SUMPRODUCT(--ISNUMBER(SEARCH(","&amp;TRIM(TEXTSPLIT(AQ210,","))&amp;",",","&amp;SUBSTITUTE(input_audience," ","")&amp;",")))&gt;0)),IF(AS210="",TRUE,IF(input_audience="",FALSE,SUMPRODUCT(--ISNUMBER(SEARCH(","&amp;TRIM(TEXTSPLIT(AS210,","))&amp;",",","&amp;SUBSTITUTE(input_audience," ","")&amp;",")))=COUNTA(TEXTSPLIT(AS210,",")))),IF(AU210="",TRUE,IF(input_audience="",TRUE,SUMPRODUCT(--ISNUMBER(SEARCH(","&amp;TRIM(TEXTSPLIT(AU210,","))&amp;",",","&amp;SUBSTITUTE(input_audience," ","")&amp;",")))=0)),IF(AW210="",TRUE,IF(input_audience="",FALSE,SUMPRODUCT(--ISNUMBER(SEARCH(","&amp;TRIM(TEXTSPLIT(AW210,","))&amp;",",","&amp;SUBSTITUTE(input_audience," ","")&amp;",")))&gt;0)),IF(AY210="",TRUE,IF(input_audience="",FALSE,SUMPRODUCT(--ISNUMBER(SEARCH(","&amp;TRIM(TEXTSPLIT(AY210,","))&amp;",",","&amp;SUBSTITUTE(input_audience," ","")&amp;",")))=COUNTA(TEXTSPLIT(AY210,",")))))</f>
        <v/>
      </c>
      <c r="IX210" s="19">
        <f>AND(IF(BA210="",TRUE,IF(input_challenge_opportunities="",FALSE,SUMPRODUCT(--ISNUMBER(SEARCH(","&amp;TRIM(TEXTSPLIT(BA210,","))&amp;",",","&amp;SUBSTITUTE(input_challenge_opportunities," ","")&amp;",")))&gt;0)),IF(BC210="",TRUE,IF(input_challenge_opportunities="",FALSE,SUMPRODUCT(--ISNUMBER(SEARCH(","&amp;TRIM(TEXTSPLIT(BC210,","))&amp;",",","&amp;SUBSTITUTE(input_challenge_opportunities," ","")&amp;",")))=COUNTA(TEXTSPLIT(BC210,",")))),IF(BE210="",TRUE,IF(input_challenge_opportunities="",TRUE,SUMPRODUCT(--ISNUMBER(SEARCH(","&amp;TRIM(TEXTSPLIT(BE210,","))&amp;",",","&amp;SUBSTITUTE(input_challenge_opportunities," ","")&amp;",")))=0)),IF(BG210="",TRUE,IF(input_challenge_opportunities="",FALSE,SUMPRODUCT(--ISNUMBER(SEARCH(","&amp;TRIM(TEXTSPLIT(BG210,","))&amp;",",","&amp;SUBSTITUTE(input_challenge_opportunities," ","")&amp;",")))&gt;0)),IF(BI210="",TRUE,IF(input_challenge_opportunities="",FALSE,SUMPRODUCT(--ISNUMBER(SEARCH(","&amp;TRIM(TEXTSPLIT(BI210,","))&amp;",",","&amp;SUBSTITUTE(input_challenge_opportunities," ","")&amp;",")))=COUNTA(TEXTSPLIT(BI210,",")))))</f>
        <v/>
      </c>
      <c r="IY210" s="19">
        <f>AND(IF(BK210="",TRUE,IF(input_context="",FALSE,SUMPRODUCT(--ISNUMBER(SEARCH(","&amp;TRIM(TEXTSPLIT(BK210,","))&amp;",",","&amp;SUBSTITUTE(input_context," ","")&amp;",")))&gt;0)),IF(BM210="",TRUE,IF(input_context="",FALSE,SUMPRODUCT(--ISNUMBER(SEARCH(","&amp;TRIM(TEXTSPLIT(BM210,","))&amp;",",","&amp;SUBSTITUTE(input_context," ","")&amp;",")))=COUNTA(TEXTSPLIT(BM210,",")))),IF(BO210="",TRUE,IF(input_context="",TRUE,SUMPRODUCT(--ISNUMBER(SEARCH(","&amp;TRIM(TEXTSPLIT(BO210,","))&amp;",",","&amp;SUBSTITUTE(input_context," ","")&amp;",")))=0)),IF(BQ210="",TRUE,IF(input_context="",FALSE,SUMPRODUCT(--ISNUMBER(SEARCH(","&amp;TRIM(TEXTSPLIT(BQ210,","))&amp;",",","&amp;SUBSTITUTE(input_context," ","")&amp;",")))&gt;0)),IF(BS210="",TRUE,IF(input_context="",FALSE,SUMPRODUCT(--ISNUMBER(SEARCH(","&amp;TRIM(TEXTSPLIT(BS210,","))&amp;",",","&amp;SUBSTITUTE(input_context," ","")&amp;",")))=COUNTA(TEXTSPLIT(BS210,",")))))</f>
        <v/>
      </c>
      <c r="IZ210" s="19">
        <f>AND(IF(BU210="",TRUE,IF(input_enews_announcement_type="",FALSE,SUMPRODUCT(--ISNUMBER(SEARCH(","&amp;TRIM(TEXTSPLIT(BU210,","))&amp;",",","&amp;SUBSTITUTE(input_enews_announcement_type," ","")&amp;",")))&gt;0)),IF(BW210="",TRUE,IF(input_enews_announcement_type="",FALSE,SUMPRODUCT(--ISNUMBER(SEARCH(","&amp;TRIM(TEXTSPLIT(BW210,","))&amp;",",","&amp;SUBSTITUTE(input_enews_announcement_type," ","")&amp;",")))=COUNTA(TEXTSPLIT(BW210,",")))),IF(BY210="",TRUE,IF(input_enews_announcement_type="",TRUE,SUMPRODUCT(--ISNUMBER(SEARCH(","&amp;TRIM(TEXTSPLIT(BY210,","))&amp;",",","&amp;SUBSTITUTE(input_enews_announcement_type," ","")&amp;",")))=0)),IF(CA210="",TRUE,IF(input_enews_announcement_type="",FALSE,SUMPRODUCT(--ISNUMBER(SEARCH(","&amp;TRIM(TEXTSPLIT(CA210,","))&amp;",",","&amp;SUBSTITUTE(input_enews_announcement_type," ","")&amp;",")))&gt;0)),IF(CC210="",TRUE,IF(input_enews_announcement_type="",FALSE,SUMPRODUCT(--ISNUMBER(SEARCH(","&amp;TRIM(TEXTSPLIT(CC210,","))&amp;",",","&amp;SUBSTITUTE(input_enews_announcement_type," ","")&amp;",")))=COUNTA(TEXTSPLIT(CC210,",")))))</f>
        <v/>
      </c>
      <c r="JA210" s="19">
        <f>AND(IF(CE210="",TRUE,IF(input_enews_audience="",FALSE,SUMPRODUCT(--ISNUMBER(SEARCH(","&amp;TRIM(TEXTSPLIT(CE210,","))&amp;",",","&amp;SUBSTITUTE(input_enews_audience," ","")&amp;",")))&gt;0)),IF(CG210="",TRUE,IF(input_enews_audience="",FALSE,SUMPRODUCT(--ISNUMBER(SEARCH(","&amp;TRIM(TEXTSPLIT(CG210,","))&amp;",",","&amp;SUBSTITUTE(input_enews_audience," ","")&amp;",")))=COUNTA(TEXTSPLIT(CG210,",")))),IF(CI210="",TRUE,IF(input_enews_audience="",TRUE,SUMPRODUCT(--ISNUMBER(SEARCH(","&amp;TRIM(TEXTSPLIT(CI210,","))&amp;",",","&amp;SUBSTITUTE(input_enews_audience," ","")&amp;",")))=0)),IF(CK210="",TRUE,IF(input_enews_audience="",FALSE,SUMPRODUCT(--ISNUMBER(SEARCH(","&amp;TRIM(TEXTSPLIT(CK210,","))&amp;",",","&amp;SUBSTITUTE(input_enews_audience," ","")&amp;",")))&gt;0)),IF(CM210="",TRUE,IF(input_enews_audience="",FALSE,SUMPRODUCT(--ISNUMBER(SEARCH(","&amp;TRIM(TEXTSPLIT(CM210,","))&amp;",",","&amp;SUBSTITUTE(input_enews_audience," ","")&amp;",")))=COUNTA(TEXTSPLIT(CM210,",")))))</f>
        <v/>
      </c>
      <c r="JB210" s="19">
        <f>AND(IF(CO210="",TRUE,IF(input_event_location="",FALSE,SUMPRODUCT(--ISNUMBER(SEARCH(","&amp;TRIM(TEXTSPLIT(CO210,","))&amp;",",","&amp;SUBSTITUTE(input_event_location," ","")&amp;",")))&gt;0)),IF(CQ210="",TRUE,IF(input_event_location="",FALSE,SUMPRODUCT(--ISNUMBER(SEARCH(","&amp;TRIM(TEXTSPLIT(CQ210,","))&amp;",",","&amp;SUBSTITUTE(input_event_location," ","")&amp;",")))=COUNTA(TEXTSPLIT(CQ210,",")))),IF(CS210="",TRUE,IF(input_event_location="",TRUE,SUMPRODUCT(--ISNUMBER(SEARCH(","&amp;TRIM(TEXTSPLIT(CS210,","))&amp;",",","&amp;SUBSTITUTE(input_event_location," ","")&amp;",")))=0)),IF(CU210="",TRUE,IF(input_event_location="",FALSE,SUMPRODUCT(--ISNUMBER(SEARCH(","&amp;TRIM(TEXTSPLIT(CU210,","))&amp;",",","&amp;SUBSTITUTE(input_event_location," ","")&amp;",")))&gt;0)),IF(CW210="",TRUE,IF(input_event_location="",FALSE,SUMPRODUCT(--ISNUMBER(SEARCH(","&amp;TRIM(TEXTSPLIT(CW210,","))&amp;",",","&amp;SUBSTITUTE(input_event_location," ","")&amp;",")))=COUNTA(TEXTSPLIT(CW210,",")))))</f>
        <v/>
      </c>
      <c r="JC210" s="19">
        <f>AND(IF(CY210="",TRUE,IF(input_event_type="",FALSE,SUMPRODUCT(--ISNUMBER(SEARCH(","&amp;TRIM(TEXTSPLIT(CY210,","))&amp;",",","&amp;SUBSTITUTE(input_event_type," ","")&amp;",")))&gt;0)),IF(DA210="",TRUE,IF(input_event_type="",FALSE,SUMPRODUCT(--ISNUMBER(SEARCH(","&amp;TRIM(TEXTSPLIT(DA210,","))&amp;",",","&amp;SUBSTITUTE(input_event_type," ","")&amp;",")))=COUNTA(TEXTSPLIT(DA210,",")))),IF(DC210="",TRUE,IF(input_event_type="",TRUE,SUMPRODUCT(--ISNUMBER(SEARCH(","&amp;TRIM(TEXTSPLIT(DC210,","))&amp;",",","&amp;SUBSTITUTE(input_event_type," ","")&amp;",")))=0)),IF(DE210="",TRUE,IF(input_event_type="",FALSE,SUMPRODUCT(--ISNUMBER(SEARCH(","&amp;TRIM(TEXTSPLIT(DE210,","))&amp;",",","&amp;SUBSTITUTE(input_event_type," ","")&amp;",")))&gt;0)),IF(DG210="",TRUE,IF(input_event_type="",FALSE,SUMPRODUCT(--ISNUMBER(SEARCH(","&amp;TRIM(TEXTSPLIT(DG210,","))&amp;",",","&amp;SUBSTITUTE(input_event_type," ","")&amp;",")))=COUNTA(TEXTSPLIT(DG210,",")))))</f>
        <v/>
      </c>
      <c r="JD210" s="19">
        <f>AND(IF(DI210="",TRUE,IF(input_executive_education_focus="",FALSE,SUMPRODUCT(--ISNUMBER(SEARCH(","&amp;TRIM(TEXTSPLIT(DI210,","))&amp;",",","&amp;SUBSTITUTE(input_executive_education_focus," ","")&amp;",")))&gt;0)),IF(DK210="",TRUE,IF(input_executive_education_focus="",FALSE,SUMPRODUCT(--ISNUMBER(SEARCH(","&amp;TRIM(TEXTSPLIT(DK210,","))&amp;",",","&amp;SUBSTITUTE(input_executive_education_focus," ","")&amp;",")))=COUNTA(TEXTSPLIT(DK210,",")))),IF(DM210="",TRUE,IF(input_executive_education_focus="",TRUE,SUMPRODUCT(--ISNUMBER(SEARCH(","&amp;TRIM(TEXTSPLIT(DM210,","))&amp;",",","&amp;SUBSTITUTE(input_executive_education_focus," ","")&amp;",")))=0)),IF(DO210="",TRUE,IF(input_executive_education_focus="",FALSE,SUMPRODUCT(--ISNUMBER(SEARCH(","&amp;TRIM(TEXTSPLIT(DO210,","))&amp;",",","&amp;SUBSTITUTE(input_executive_education_focus," ","")&amp;",")))&gt;0)),IF(DQ210="",TRUE,IF(input_executive_education_focus="",FALSE,SUMPRODUCT(--ISNUMBER(SEARCH(","&amp;TRIM(TEXTSPLIT(DQ210,","))&amp;",",","&amp;SUBSTITUTE(input_executive_education_focus," ","")&amp;",")))=COUNTA(TEXTSPLIT(DQ210,",")))))</f>
        <v/>
      </c>
      <c r="JE210" s="19">
        <f>AND(IF(DS210="",TRUE,IF(input_faculty_category="",FALSE,SUMPRODUCT(--ISNUMBER(SEARCH(","&amp;TRIM(TEXTSPLIT(DS210,","))&amp;",",","&amp;SUBSTITUTE(input_faculty_category," ","")&amp;",")))&gt;0)),IF(DU210="",TRUE,IF(input_faculty_category="",FALSE,SUMPRODUCT(--ISNUMBER(SEARCH(","&amp;TRIM(TEXTSPLIT(DU210,","))&amp;",",","&amp;SUBSTITUTE(input_faculty_category," ","")&amp;",")))=COUNTA(TEXTSPLIT(DU210,",")))),IF(DW210="",TRUE,IF(input_faculty_category="",TRUE,SUMPRODUCT(--ISNUMBER(SEARCH(","&amp;TRIM(TEXTSPLIT(DW210,","))&amp;",",","&amp;SUBSTITUTE(input_faculty_category," ","")&amp;",")))=0)),IF(DY210="",TRUE,IF(input_faculty_category="",FALSE,SUMPRODUCT(--ISNUMBER(SEARCH(","&amp;TRIM(TEXTSPLIT(DY210,","))&amp;",",","&amp;SUBSTITUTE(input_faculty_category," ","")&amp;",")))&gt;0)),IF(EA210="",TRUE,IF(input_faculty_category="",FALSE,SUMPRODUCT(--ISNUMBER(SEARCH(","&amp;TRIM(TEXTSPLIT(EA210,","))&amp;",",","&amp;SUBSTITUTE(input_faculty_category," ","")&amp;",")))=COUNTA(TEXTSPLIT(EA210,",")))))</f>
        <v/>
      </c>
      <c r="JF210" s="19">
        <f>AND(IF(EC210="",TRUE,IF(input_faculty_discipline="",FALSE,SUMPRODUCT(--ISNUMBER(SEARCH(","&amp;TRIM(TEXTSPLIT(EC210,","))&amp;",",","&amp;SUBSTITUTE(input_faculty_discipline," ","")&amp;",")))&gt;0)),IF(EE210="",TRUE,IF(input_faculty_discipline="",FALSE,SUMPRODUCT(--ISNUMBER(SEARCH(","&amp;TRIM(TEXTSPLIT(EE210,","))&amp;",",","&amp;SUBSTITUTE(input_faculty_discipline," ","")&amp;",")))=COUNTA(TEXTSPLIT(EE210,",")))),IF(EG210="",TRUE,IF(input_faculty_discipline="",TRUE,SUMPRODUCT(--ISNUMBER(SEARCH(","&amp;TRIM(TEXTSPLIT(EG210,","))&amp;",",","&amp;SUBSTITUTE(input_faculty_discipline," ","")&amp;",")))=0)),IF(EI210="",TRUE,IF(input_faculty_discipline="",FALSE,SUMPRODUCT(--ISNUMBER(SEARCH(","&amp;TRIM(TEXTSPLIT(EI210,","))&amp;",",","&amp;SUBSTITUTE(input_faculty_discipline," ","")&amp;",")))&gt;0)),IF(EK210="",TRUE,IF(input_faculty_discipline="",FALSE,SUMPRODUCT(--ISNUMBER(SEARCH(","&amp;TRIM(TEXTSPLIT(EK210,","))&amp;",",","&amp;SUBSTITUTE(input_faculty_discipline," ","")&amp;",")))=COUNTA(TEXTSPLIT(EK210,",")))))</f>
        <v/>
      </c>
      <c r="JG210" s="19">
        <f>AND(IF(EM210="",TRUE,IF(input_faculty_expertise="",FALSE,SUMPRODUCT(--ISNUMBER(SEARCH(","&amp;TRIM(TEXTSPLIT(EM210,","))&amp;",",","&amp;SUBSTITUTE(input_faculty_expertise," ","")&amp;",")))&gt;0)),IF(EO210="",TRUE,IF(input_faculty_expertise="",FALSE,SUMPRODUCT(--ISNUMBER(SEARCH(","&amp;TRIM(TEXTSPLIT(EO210,","))&amp;",",","&amp;SUBSTITUTE(input_faculty_expertise," ","")&amp;",")))=COUNTA(TEXTSPLIT(EO210,",")))),IF(EQ210="",TRUE,IF(input_faculty_expertise="",TRUE,SUMPRODUCT(--ISNUMBER(SEARCH(","&amp;TRIM(TEXTSPLIT(EQ210,","))&amp;",",","&amp;SUBSTITUTE(input_faculty_expertise," ","")&amp;",")))=0)),IF(ES210="",TRUE,IF(input_faculty_expertise="",FALSE,SUMPRODUCT(--ISNUMBER(SEARCH(","&amp;TRIM(TEXTSPLIT(ES210,","))&amp;",",","&amp;SUBSTITUTE(input_faculty_expertise," ","")&amp;",")))&gt;0)),IF(EU210="",TRUE,IF(input_faculty_expertise="",FALSE,SUMPRODUCT(--ISNUMBER(SEARCH(","&amp;TRIM(TEXTSPLIT(EU210,","))&amp;",",","&amp;SUBSTITUTE(input_faculty_expertise," ","")&amp;",")))=COUNTA(TEXTSPLIT(EU210,",")))))</f>
        <v/>
      </c>
      <c r="JH210" s="19">
        <f>AND(IF(EW210="",TRUE,IF(input_global_network_school="",FALSE,SUMPRODUCT(--ISNUMBER(SEARCH(","&amp;TRIM(TEXTSPLIT(EW210,","))&amp;",",","&amp;SUBSTITUTE(input_global_network_school," ","")&amp;",")))&gt;0)),IF(EY210="",TRUE,IF(input_global_network_school="",FALSE,SUMPRODUCT(--ISNUMBER(SEARCH(","&amp;TRIM(TEXTSPLIT(EY210,","))&amp;",",","&amp;SUBSTITUTE(input_global_network_school," ","")&amp;",")))=COUNTA(TEXTSPLIT(EY210,",")))),IF(FA210="",TRUE,IF(input_global_network_school="",TRUE,SUMPRODUCT(--ISNUMBER(SEARCH(","&amp;TRIM(TEXTSPLIT(FA210,","))&amp;",",","&amp;SUBSTITUTE(input_global_network_school," ","")&amp;",")))=0)),IF(FC210="",TRUE,IF(input_global_network_school="",FALSE,SUMPRODUCT(--ISNUMBER(SEARCH(","&amp;TRIM(TEXTSPLIT(FC210,","))&amp;",",","&amp;SUBSTITUTE(input_global_network_school," ","")&amp;",")))&gt;0)),IF(FE210="",TRUE,IF(input_global_network_school="",FALSE,SUMPRODUCT(--ISNUMBER(SEARCH(","&amp;TRIM(TEXTSPLIT(FE210,","))&amp;",",","&amp;SUBSTITUTE(input_global_network_school," ","")&amp;",")))=COUNTA(TEXTSPLIT(FE210,",")))))</f>
        <v/>
      </c>
      <c r="JI210" s="19">
        <f>AND(IF(FG210="",TRUE,IF(input_industry="",FALSE,SUMPRODUCT(--ISNUMBER(SEARCH(","&amp;TRIM(TEXTSPLIT(FG210,","))&amp;",",","&amp;SUBSTITUTE(input_industry," ","")&amp;",")))&gt;0)),IF(FI210="",TRUE,IF(input_industry="",FALSE,SUMPRODUCT(--ISNUMBER(SEARCH(","&amp;TRIM(TEXTSPLIT(FI210,","))&amp;",",","&amp;SUBSTITUTE(input_industry," ","")&amp;",")))=COUNTA(TEXTSPLIT(FI210,",")))),IF(FK210="",TRUE,IF(input_industry="",TRUE,SUMPRODUCT(--ISNUMBER(SEARCH(","&amp;TRIM(TEXTSPLIT(FK210,","))&amp;",",","&amp;SUBSTITUTE(input_industry," ","")&amp;",")))=0)),IF(FM210="",TRUE,IF(input_industry="",FALSE,SUMPRODUCT(--ISNUMBER(SEARCH(","&amp;TRIM(TEXTSPLIT(FM210,","))&amp;",",","&amp;SUBSTITUTE(input_industry," ","")&amp;",")))&gt;0)),IF(FO210="",TRUE,IF(input_industry="",FALSE,SUMPRODUCT(--ISNUMBER(SEARCH(","&amp;TRIM(TEXTSPLIT(FO210,","))&amp;",",","&amp;SUBSTITUTE(input_industry," ","")&amp;",")))=COUNTA(TEXTSPLIT(FO210,",")))))</f>
        <v/>
      </c>
      <c r="JJ210" s="19">
        <f>AND(IF(FQ210="",TRUE,IF(input_location="",FALSE,SUMPRODUCT(--ISNUMBER(SEARCH(","&amp;TRIM(TEXTSPLIT(FQ210,","))&amp;",",","&amp;SUBSTITUTE(input_location," ","")&amp;",")))&gt;0)),IF(FS210="",TRUE,IF(input_location="",FALSE,SUMPRODUCT(--ISNUMBER(SEARCH(","&amp;TRIM(TEXTSPLIT(FS210,","))&amp;",",","&amp;SUBSTITUTE(input_location," ","")&amp;",")))=COUNTA(TEXTSPLIT(FS210,",")))),IF(FU210="",TRUE,IF(input_location="",TRUE,SUMPRODUCT(--ISNUMBER(SEARCH(","&amp;TRIM(TEXTSPLIT(FU210,","))&amp;",",","&amp;SUBSTITUTE(input_location," ","")&amp;",")))=0)),IF(FW210="",TRUE,IF(input_location="",FALSE,SUMPRODUCT(--ISNUMBER(SEARCH(","&amp;TRIM(TEXTSPLIT(FW210,","))&amp;",",","&amp;SUBSTITUTE(input_location," ","")&amp;",")))&gt;0)),IF(FY210="",TRUE,IF(input_location="",FALSE,SUMPRODUCT(--ISNUMBER(SEARCH(","&amp;TRIM(TEXTSPLIT(FY210,","))&amp;",",","&amp;SUBSTITUTE(input_location," ","")&amp;",")))=COUNTA(TEXTSPLIT(FY210,",")))))</f>
        <v/>
      </c>
      <c r="JK210" s="19">
        <f>AND(IF(GA210="",TRUE,IF(input_modality="",FALSE,SUMPRODUCT(--ISNUMBER(SEARCH(","&amp;TRIM(TEXTSPLIT(GA210,","))&amp;",",","&amp;SUBSTITUTE(input_modality," ","")&amp;",")))&gt;0)),IF(GC210="",TRUE,IF(input_modality="",FALSE,SUMPRODUCT(--ISNUMBER(SEARCH(","&amp;TRIM(TEXTSPLIT(GC210,","))&amp;",",","&amp;SUBSTITUTE(input_modality," ","")&amp;",")))=COUNTA(TEXTSPLIT(GC210,",")))),IF(GE210="",TRUE,IF(input_modality="",TRUE,SUMPRODUCT(--ISNUMBER(SEARCH(","&amp;TRIM(TEXTSPLIT(GE210,","))&amp;",",","&amp;SUBSTITUTE(input_modality," ","")&amp;",")))=0)),IF(GG210="",TRUE,IF(input_modality="",FALSE,SUMPRODUCT(--ISNUMBER(SEARCH(","&amp;TRIM(TEXTSPLIT(GG210,","))&amp;",",","&amp;SUBSTITUTE(input_modality," ","")&amp;",")))&gt;0)),IF(GI210="",TRUE,IF(input_modality="",FALSE,SUMPRODUCT(--ISNUMBER(SEARCH(","&amp;TRIM(TEXTSPLIT(GI210,","))&amp;",",","&amp;SUBSTITUTE(input_modality," ","")&amp;",")))=COUNTA(TEXTSPLIT(GI210,",")))))</f>
        <v/>
      </c>
      <c r="JL210" s="19">
        <f>AND(IF(GK210="",TRUE,IF(input_organizer="",FALSE,SUMPRODUCT(--ISNUMBER(SEARCH(","&amp;TRIM(TEXTSPLIT(GK210,","))&amp;",",","&amp;SUBSTITUTE(input_organizer," ","")&amp;",")))&gt;0)),IF(GM210="",TRUE,IF(input_organizer="",FALSE,SUMPRODUCT(--ISNUMBER(SEARCH(","&amp;TRIM(TEXTSPLIT(GM210,","))&amp;",",","&amp;SUBSTITUTE(input_organizer," ","")&amp;",")))=COUNTA(TEXTSPLIT(GM210,",")))),IF(GO210="",TRUE,IF(input_organizer="",TRUE,SUMPRODUCT(--ISNUMBER(SEARCH(","&amp;TRIM(TEXTSPLIT(GO210,","))&amp;",",","&amp;SUBSTITUTE(input_organizer," ","")&amp;",")))=0)),IF(GQ210="",TRUE,IF(input_organizer="",FALSE,SUMPRODUCT(--ISNUMBER(SEARCH(","&amp;TRIM(TEXTSPLIT(GQ210,","))&amp;",",","&amp;SUBSTITUTE(input_organizer," ","")&amp;",")))&gt;0)),IF(GS210="",TRUE,IF(input_organizer="",FALSE,SUMPRODUCT(--ISNUMBER(SEARCH(","&amp;TRIM(TEXTSPLIT(GS210,","))&amp;",",","&amp;SUBSTITUTE(input_organizer," ","")&amp;",")))=COUNTA(TEXTSPLIT(GS210,",")))))</f>
        <v/>
      </c>
      <c r="JM210" s="19">
        <f>AND(IF(GU210="",TRUE,IF(input_profile_type="",FALSE,SUMPRODUCT(--ISNUMBER(SEARCH(","&amp;TRIM(TEXTSPLIT(GU210,","))&amp;",",","&amp;SUBSTITUTE(input_profile_type," ","")&amp;",")))&gt;0)),IF(GW210="",TRUE,IF(input_profile_type="",FALSE,SUMPRODUCT(--ISNUMBER(SEARCH(","&amp;TRIM(TEXTSPLIT(GW210,","))&amp;",",","&amp;SUBSTITUTE(input_profile_type," ","")&amp;",")))=COUNTA(TEXTSPLIT(GW210,",")))),IF(GY210="",TRUE,IF(input_profile_type="",TRUE,SUMPRODUCT(--ISNUMBER(SEARCH(","&amp;TRIM(TEXTSPLIT(GY210,","))&amp;",",","&amp;SUBSTITUTE(input_profile_type," ","")&amp;",")))=0)),IF(HA210="",TRUE,IF(input_profile_type="",FALSE,SUMPRODUCT(--ISNUMBER(SEARCH(","&amp;TRIM(TEXTSPLIT(HA210,","))&amp;",",","&amp;SUBSTITUTE(input_profile_type," ","")&amp;",")))&gt;0)),IF(HC210="",TRUE,IF(input_profile_type="",FALSE,SUMPRODUCT(--ISNUMBER(SEARCH(","&amp;TRIM(TEXTSPLIT(HC210,","))&amp;",",","&amp;SUBSTITUTE(input_profile_type," ","")&amp;",")))=COUNTA(TEXTSPLIT(HC210,",")))))</f>
        <v/>
      </c>
      <c r="JN210" s="19">
        <f>AND(IF(HE210="",TRUE,IF(input_program="",FALSE,SUMPRODUCT(--ISNUMBER(SEARCH(","&amp;TRIM(TEXTSPLIT(HE210,","))&amp;",",","&amp;SUBSTITUTE(input_program," ","")&amp;",")))&gt;0)),IF(HG210="",TRUE,IF(input_program="",FALSE,SUMPRODUCT(--ISNUMBER(SEARCH(","&amp;TRIM(TEXTSPLIT(HG210,","))&amp;",",","&amp;SUBSTITUTE(input_program," ","")&amp;",")))=COUNTA(TEXTSPLIT(HG210,",")))),IF(HI210="",TRUE,IF(input_program="",TRUE,SUMPRODUCT(--ISNUMBER(SEARCH(","&amp;TRIM(TEXTSPLIT(HI210,","))&amp;",",","&amp;SUBSTITUTE(input_program," ","")&amp;",")))=0)),IF(HK210="",TRUE,IF(input_program="",FALSE,SUMPRODUCT(--ISNUMBER(SEARCH(","&amp;TRIM(TEXTSPLIT(HK210,","))&amp;",",","&amp;SUBSTITUTE(input_program," ","")&amp;",")))&gt;0)),IF(HM210="",TRUE,IF(input_program="",FALSE,SUMPRODUCT(--ISNUMBER(SEARCH(","&amp;TRIM(TEXTSPLIT(HM210,","))&amp;",",","&amp;SUBSTITUTE(input_program," ","")&amp;",")))=COUNTA(TEXTSPLIT(HM210,",")))))</f>
        <v/>
      </c>
      <c r="JO210" s="19">
        <f>AND(IF(HO210="",TRUE,IF(input_story_categories="",FALSE,SUMPRODUCT(--ISNUMBER(SEARCH(","&amp;TRIM(TEXTSPLIT(HO210,","))&amp;",",","&amp;SUBSTITUTE(input_story_categories," ","")&amp;",")))&gt;0)),IF(HQ210="",TRUE,IF(input_story_categories="",FALSE,SUMPRODUCT(--ISNUMBER(SEARCH(","&amp;TRIM(TEXTSPLIT(HQ210,","))&amp;",",","&amp;SUBSTITUTE(input_story_categories," ","")&amp;",")))=COUNTA(TEXTSPLIT(HQ210,",")))),IF(HS210="",TRUE,IF(input_story_categories="",TRUE,SUMPRODUCT(--ISNUMBER(SEARCH(","&amp;TRIM(TEXTSPLIT(HS210,","))&amp;",",","&amp;SUBSTITUTE(input_story_categories," ","")&amp;",")))=0)),IF(HU210="",TRUE,IF(input_story_categories="",FALSE,SUMPRODUCT(--ISNUMBER(SEARCH(","&amp;TRIM(TEXTSPLIT(HU210,","))&amp;",",","&amp;SUBSTITUTE(input_story_categories," ","")&amp;",")))&gt;0)),IF(HW210="",TRUE,IF(input_story_categories="",FALSE,SUMPRODUCT(--ISNUMBER(SEARCH(","&amp;TRIM(TEXTSPLIT(HW210,","))&amp;",",","&amp;SUBSTITUTE(input_story_categories," ","")&amp;",")))=COUNTA(TEXTSPLIT(HW210,",")))))</f>
        <v/>
      </c>
      <c r="JP210" s="19">
        <f>AND(IF(HY210="",TRUE,IF(input_story_type="",FALSE,SUMPRODUCT(--ISNUMBER(SEARCH(","&amp;TRIM(TEXTSPLIT(HY210,","))&amp;",",","&amp;SUBSTITUTE(input_story_type," ","")&amp;",")))&gt;0)),IF(IA210="",TRUE,IF(input_story_type="",FALSE,SUMPRODUCT(--ISNUMBER(SEARCH(","&amp;TRIM(TEXTSPLIT(IA210,","))&amp;",",","&amp;SUBSTITUTE(input_story_type," ","")&amp;",")))=COUNTA(TEXTSPLIT(IA210,",")))),IF(IC210="",TRUE,IF(input_story_type="",TRUE,SUMPRODUCT(--ISNUMBER(SEARCH(","&amp;TRIM(TEXTSPLIT(IC210,","))&amp;",",","&amp;SUBSTITUTE(input_story_type," ","")&amp;",")))=0)),IF(IE210="",TRUE,IF(input_story_type="",FALSE,SUMPRODUCT(--ISNUMBER(SEARCH(","&amp;TRIM(TEXTSPLIT(IE210,","))&amp;",",","&amp;SUBSTITUTE(input_story_type," ","")&amp;",")))&gt;0)),IF(IG210="",TRUE,IF(input_story_type="",FALSE,SUMPRODUCT(--ISNUMBER(SEARCH(","&amp;TRIM(TEXTSPLIT(IG210,","))&amp;",",","&amp;SUBSTITUTE(input_story_type," ","")&amp;",")))=COUNTA(TEXTSPLIT(IG210,",")))))</f>
        <v/>
      </c>
      <c r="JQ210" s="19">
        <f>AND(IF(II210="",TRUE,IF(input_topics="",FALSE,SUMPRODUCT(--ISNUMBER(SEARCH(","&amp;TRIM(TEXTSPLIT(II210,","))&amp;",",","&amp;SUBSTITUTE(input_topics," ","")&amp;",")))&gt;0)),IF(IK210="",TRUE,IF(input_topics="",FALSE,SUMPRODUCT(--ISNUMBER(SEARCH(","&amp;TRIM(TEXTSPLIT(IK210,","))&amp;",",","&amp;SUBSTITUTE(input_topics," ","")&amp;",")))=COUNTA(TEXTSPLIT(IK210,",")))),IF(IM210="",TRUE,IF(input_topics="",TRUE,SUMPRODUCT(--ISNUMBER(SEARCH(","&amp;TRIM(TEXTSPLIT(IM210,","))&amp;",",","&amp;SUBSTITUTE(input_topics," ","")&amp;",")))=0)),IF(IO210="",TRUE,IF(input_topics="",FALSE,SUMPRODUCT(--ISNUMBER(SEARCH(","&amp;TRIM(TEXTSPLIT(IO210,","))&amp;",",","&amp;SUBSTITUTE(input_topics," ","")&amp;",")))&gt;0)),IF(IQ210="",TRUE,IF(input_topics="",FALSE,SUMPRODUCT(--ISNUMBER(SEARCH(","&amp;TRIM(TEXTSPLIT(IQ210,","))&amp;",",","&amp;SUBSTITUTE(input_topics," ","")&amp;",")))=COUNTA(TEXTSPLIT(IQ210,",")))))</f>
        <v/>
      </c>
    </row>
    <row r="211">
      <c r="A211" s="24">
        <f>IF(NOT(IS211),"Excluded",IF(AND(IT211,IU211,IV211,IW211,IX211,IY211,IZ211,JA211,JB211,JC211,JD211,JE211,JF211,JG211,JH211,JI211,JJ211,JK211,JL211,JM211,JN211,JO211,JP211,JQ211),IF(I211&gt;0,"Eligible but limited","Will appear"),"Excluded"))</f>
        <v/>
      </c>
      <c r="B211" s="24" t="inlineStr">
        <is>
          <t>Related stories on story pages</t>
        </is>
      </c>
      <c r="C211" s="27" t="inlineStr">
        <is>
          <t>/story/2025/inclusive-growth-fellows-share-recommendations-economic-development-new-haven</t>
        </is>
      </c>
      <c r="D211" s="24" t="inlineStr">
        <is>
          <t>/story/2025/inclusive-growth-fellows-share-recommendations-economic-development-new-haven</t>
        </is>
      </c>
      <c r="E211" s="24" t="n">
        <v>1</v>
      </c>
      <c r="F211" s="24" t="inlineStr">
        <is>
          <t>story</t>
        </is>
      </c>
      <c r="G211" s="24" t="inlineStr">
        <is>
          <t>stories_teaser_cards</t>
        </is>
      </c>
      <c r="H211" s="24" t="inlineStr">
        <is>
          <t>embed_all</t>
        </is>
      </c>
      <c r="I211" s="24" t="n">
        <v>3</v>
      </c>
      <c r="J211" s="31" t="inlineStr">
        <is>
          <t>Template logic</t>
        </is>
      </c>
      <c r="K211" s="24" t="inlineStr">
        <is>
          <t>Grouped surface</t>
        </is>
      </c>
      <c r="L211" s="24" t="inlineStr">
        <is>
          <t>Content type: story; Context uses Courses Context: Inclusive Growth Fellowship (1518); Context uses Story Type: News (924); Limited to 3 item(s); Source: Template logic</t>
        </is>
      </c>
      <c r="BQ211" s="19" t="inlineStr">
        <is>
          <t>1518</t>
        </is>
      </c>
      <c r="BR211" s="19" t="inlineStr">
        <is>
          <t>Inclusive Growth Fellowship (1518)</t>
        </is>
      </c>
      <c r="IE211" s="19" t="inlineStr">
        <is>
          <t>924</t>
        </is>
      </c>
      <c r="IF211" s="19" t="inlineStr">
        <is>
          <t>News (924)</t>
        </is>
      </c>
      <c r="IS211" s="19">
        <f>IF(input_content_type="",FALSE,ISNUMBER(SEARCH(","&amp;LOWER(input_content_type)&amp;",",","&amp;LOWER(SUBSTITUTE(F211," ",""))&amp;",")))</f>
        <v/>
      </c>
      <c r="IT211" s="19">
        <f>AND(IF(M211="",TRUE,IF(input_affiliations="",FALSE,SUMPRODUCT(--ISNUMBER(SEARCH(","&amp;TRIM(TEXTSPLIT(M211,","))&amp;",",","&amp;SUBSTITUTE(input_affiliations," ","")&amp;",")))&gt;0)),IF(O211="",TRUE,IF(input_affiliations="",FALSE,SUMPRODUCT(--ISNUMBER(SEARCH(","&amp;TRIM(TEXTSPLIT(O211,","))&amp;",",","&amp;SUBSTITUTE(input_affiliations," ","")&amp;",")))=COUNTA(TEXTSPLIT(O211,",")))),IF(Q211="",TRUE,IF(input_affiliations="",TRUE,SUMPRODUCT(--ISNUMBER(SEARCH(","&amp;TRIM(TEXTSPLIT(Q211,","))&amp;",",","&amp;SUBSTITUTE(input_affiliations," ","")&amp;",")))=0)),IF(S211="",TRUE,IF(input_affiliations="",FALSE,SUMPRODUCT(--ISNUMBER(SEARCH(","&amp;TRIM(TEXTSPLIT(S211,","))&amp;",",","&amp;SUBSTITUTE(input_affiliations," ","")&amp;",")))&gt;0)),IF(U211="",TRUE,IF(input_affiliations="",FALSE,SUMPRODUCT(--ISNUMBER(SEARCH(","&amp;TRIM(TEXTSPLIT(U211,","))&amp;",",","&amp;SUBSTITUTE(input_affiliations," ","")&amp;",")))=COUNTA(TEXTSPLIT(U211,",")))))</f>
        <v/>
      </c>
      <c r="IU211" s="19">
        <f>AND(IF(W211="",TRUE,IF(input_announcement_category="",FALSE,SUMPRODUCT(--ISNUMBER(SEARCH(","&amp;TRIM(TEXTSPLIT(W211,","))&amp;",",","&amp;SUBSTITUTE(input_announcement_category," ","")&amp;",")))&gt;0)),IF(Y211="",TRUE,IF(input_announcement_category="",FALSE,SUMPRODUCT(--ISNUMBER(SEARCH(","&amp;TRIM(TEXTSPLIT(Y211,","))&amp;",",","&amp;SUBSTITUTE(input_announcement_category," ","")&amp;",")))=COUNTA(TEXTSPLIT(Y211,",")))),IF(AA211="",TRUE,IF(input_announcement_category="",TRUE,SUMPRODUCT(--ISNUMBER(SEARCH(","&amp;TRIM(TEXTSPLIT(AA211,","))&amp;",",","&amp;SUBSTITUTE(input_announcement_category," ","")&amp;",")))=0)),IF(AC211="",TRUE,IF(input_announcement_category="",FALSE,SUMPRODUCT(--ISNUMBER(SEARCH(","&amp;TRIM(TEXTSPLIT(AC211,","))&amp;",",","&amp;SUBSTITUTE(input_announcement_category," ","")&amp;",")))&gt;0)),IF(AE211="",TRUE,IF(input_announcement_category="",FALSE,SUMPRODUCT(--ISNUMBER(SEARCH(","&amp;TRIM(TEXTSPLIT(AE211,","))&amp;",",","&amp;SUBSTITUTE(input_announcement_category," ","")&amp;",")))=COUNTA(TEXTSPLIT(AE211,",")))))</f>
        <v/>
      </c>
      <c r="IV211" s="19">
        <f>AND(IF(AG211="",TRUE,IF(input_area_of_focus="",FALSE,SUMPRODUCT(--ISNUMBER(SEARCH(","&amp;TRIM(TEXTSPLIT(AG211,","))&amp;",",","&amp;SUBSTITUTE(input_area_of_focus," ","")&amp;",")))&gt;0)),IF(AI211="",TRUE,IF(input_area_of_focus="",FALSE,SUMPRODUCT(--ISNUMBER(SEARCH(","&amp;TRIM(TEXTSPLIT(AI211,","))&amp;",",","&amp;SUBSTITUTE(input_area_of_focus," ","")&amp;",")))=COUNTA(TEXTSPLIT(AI211,",")))),IF(AK211="",TRUE,IF(input_area_of_focus="",TRUE,SUMPRODUCT(--ISNUMBER(SEARCH(","&amp;TRIM(TEXTSPLIT(AK211,","))&amp;",",","&amp;SUBSTITUTE(input_area_of_focus," ","")&amp;",")))=0)),IF(AM211="",TRUE,IF(input_area_of_focus="",FALSE,SUMPRODUCT(--ISNUMBER(SEARCH(","&amp;TRIM(TEXTSPLIT(AM211,","))&amp;",",","&amp;SUBSTITUTE(input_area_of_focus," ","")&amp;",")))&gt;0)),IF(AO211="",TRUE,IF(input_area_of_focus="",FALSE,SUMPRODUCT(--ISNUMBER(SEARCH(","&amp;TRIM(TEXTSPLIT(AO211,","))&amp;",",","&amp;SUBSTITUTE(input_area_of_focus," ","")&amp;",")))=COUNTA(TEXTSPLIT(AO211,",")))))</f>
        <v/>
      </c>
      <c r="IW211" s="19">
        <f>AND(IF(AQ211="",TRUE,IF(input_audience="",FALSE,SUMPRODUCT(--ISNUMBER(SEARCH(","&amp;TRIM(TEXTSPLIT(AQ211,","))&amp;",",","&amp;SUBSTITUTE(input_audience," ","")&amp;",")))&gt;0)),IF(AS211="",TRUE,IF(input_audience="",FALSE,SUMPRODUCT(--ISNUMBER(SEARCH(","&amp;TRIM(TEXTSPLIT(AS211,","))&amp;",",","&amp;SUBSTITUTE(input_audience," ","")&amp;",")))=COUNTA(TEXTSPLIT(AS211,",")))),IF(AU211="",TRUE,IF(input_audience="",TRUE,SUMPRODUCT(--ISNUMBER(SEARCH(","&amp;TRIM(TEXTSPLIT(AU211,","))&amp;",",","&amp;SUBSTITUTE(input_audience," ","")&amp;",")))=0)),IF(AW211="",TRUE,IF(input_audience="",FALSE,SUMPRODUCT(--ISNUMBER(SEARCH(","&amp;TRIM(TEXTSPLIT(AW211,","))&amp;",",","&amp;SUBSTITUTE(input_audience," ","")&amp;",")))&gt;0)),IF(AY211="",TRUE,IF(input_audience="",FALSE,SUMPRODUCT(--ISNUMBER(SEARCH(","&amp;TRIM(TEXTSPLIT(AY211,","))&amp;",",","&amp;SUBSTITUTE(input_audience," ","")&amp;",")))=COUNTA(TEXTSPLIT(AY211,",")))))</f>
        <v/>
      </c>
      <c r="IX211" s="19">
        <f>AND(IF(BA211="",TRUE,IF(input_challenge_opportunities="",FALSE,SUMPRODUCT(--ISNUMBER(SEARCH(","&amp;TRIM(TEXTSPLIT(BA211,","))&amp;",",","&amp;SUBSTITUTE(input_challenge_opportunities," ","")&amp;",")))&gt;0)),IF(BC211="",TRUE,IF(input_challenge_opportunities="",FALSE,SUMPRODUCT(--ISNUMBER(SEARCH(","&amp;TRIM(TEXTSPLIT(BC211,","))&amp;",",","&amp;SUBSTITUTE(input_challenge_opportunities," ","")&amp;",")))=COUNTA(TEXTSPLIT(BC211,",")))),IF(BE211="",TRUE,IF(input_challenge_opportunities="",TRUE,SUMPRODUCT(--ISNUMBER(SEARCH(","&amp;TRIM(TEXTSPLIT(BE211,","))&amp;",",","&amp;SUBSTITUTE(input_challenge_opportunities," ","")&amp;",")))=0)),IF(BG211="",TRUE,IF(input_challenge_opportunities="",FALSE,SUMPRODUCT(--ISNUMBER(SEARCH(","&amp;TRIM(TEXTSPLIT(BG211,","))&amp;",",","&amp;SUBSTITUTE(input_challenge_opportunities," ","")&amp;",")))&gt;0)),IF(BI211="",TRUE,IF(input_challenge_opportunities="",FALSE,SUMPRODUCT(--ISNUMBER(SEARCH(","&amp;TRIM(TEXTSPLIT(BI211,","))&amp;",",","&amp;SUBSTITUTE(input_challenge_opportunities," ","")&amp;",")))=COUNTA(TEXTSPLIT(BI211,",")))))</f>
        <v/>
      </c>
      <c r="IY211" s="19">
        <f>AND(IF(BK211="",TRUE,IF(input_context="",FALSE,SUMPRODUCT(--ISNUMBER(SEARCH(","&amp;TRIM(TEXTSPLIT(BK211,","))&amp;",",","&amp;SUBSTITUTE(input_context," ","")&amp;",")))&gt;0)),IF(BM211="",TRUE,IF(input_context="",FALSE,SUMPRODUCT(--ISNUMBER(SEARCH(","&amp;TRIM(TEXTSPLIT(BM211,","))&amp;",",","&amp;SUBSTITUTE(input_context," ","")&amp;",")))=COUNTA(TEXTSPLIT(BM211,",")))),IF(BO211="",TRUE,IF(input_context="",TRUE,SUMPRODUCT(--ISNUMBER(SEARCH(","&amp;TRIM(TEXTSPLIT(BO211,","))&amp;",",","&amp;SUBSTITUTE(input_context," ","")&amp;",")))=0)),IF(BQ211="",TRUE,IF(input_context="",FALSE,SUMPRODUCT(--ISNUMBER(SEARCH(","&amp;TRIM(TEXTSPLIT(BQ211,","))&amp;",",","&amp;SUBSTITUTE(input_context," ","")&amp;",")))&gt;0)),IF(BS211="",TRUE,IF(input_context="",FALSE,SUMPRODUCT(--ISNUMBER(SEARCH(","&amp;TRIM(TEXTSPLIT(BS211,","))&amp;",",","&amp;SUBSTITUTE(input_context," ","")&amp;",")))=COUNTA(TEXTSPLIT(BS211,",")))))</f>
        <v/>
      </c>
      <c r="IZ211" s="19">
        <f>AND(IF(BU211="",TRUE,IF(input_enews_announcement_type="",FALSE,SUMPRODUCT(--ISNUMBER(SEARCH(","&amp;TRIM(TEXTSPLIT(BU211,","))&amp;",",","&amp;SUBSTITUTE(input_enews_announcement_type," ","")&amp;",")))&gt;0)),IF(BW211="",TRUE,IF(input_enews_announcement_type="",FALSE,SUMPRODUCT(--ISNUMBER(SEARCH(","&amp;TRIM(TEXTSPLIT(BW211,","))&amp;",",","&amp;SUBSTITUTE(input_enews_announcement_type," ","")&amp;",")))=COUNTA(TEXTSPLIT(BW211,",")))),IF(BY211="",TRUE,IF(input_enews_announcement_type="",TRUE,SUMPRODUCT(--ISNUMBER(SEARCH(","&amp;TRIM(TEXTSPLIT(BY211,","))&amp;",",","&amp;SUBSTITUTE(input_enews_announcement_type," ","")&amp;",")))=0)),IF(CA211="",TRUE,IF(input_enews_announcement_type="",FALSE,SUMPRODUCT(--ISNUMBER(SEARCH(","&amp;TRIM(TEXTSPLIT(CA211,","))&amp;",",","&amp;SUBSTITUTE(input_enews_announcement_type," ","")&amp;",")))&gt;0)),IF(CC211="",TRUE,IF(input_enews_announcement_type="",FALSE,SUMPRODUCT(--ISNUMBER(SEARCH(","&amp;TRIM(TEXTSPLIT(CC211,","))&amp;",",","&amp;SUBSTITUTE(input_enews_announcement_type," ","")&amp;",")))=COUNTA(TEXTSPLIT(CC211,",")))))</f>
        <v/>
      </c>
      <c r="JA211" s="19">
        <f>AND(IF(CE211="",TRUE,IF(input_enews_audience="",FALSE,SUMPRODUCT(--ISNUMBER(SEARCH(","&amp;TRIM(TEXTSPLIT(CE211,","))&amp;",",","&amp;SUBSTITUTE(input_enews_audience," ","")&amp;",")))&gt;0)),IF(CG211="",TRUE,IF(input_enews_audience="",FALSE,SUMPRODUCT(--ISNUMBER(SEARCH(","&amp;TRIM(TEXTSPLIT(CG211,","))&amp;",",","&amp;SUBSTITUTE(input_enews_audience," ","")&amp;",")))=COUNTA(TEXTSPLIT(CG211,",")))),IF(CI211="",TRUE,IF(input_enews_audience="",TRUE,SUMPRODUCT(--ISNUMBER(SEARCH(","&amp;TRIM(TEXTSPLIT(CI211,","))&amp;",",","&amp;SUBSTITUTE(input_enews_audience," ","")&amp;",")))=0)),IF(CK211="",TRUE,IF(input_enews_audience="",FALSE,SUMPRODUCT(--ISNUMBER(SEARCH(","&amp;TRIM(TEXTSPLIT(CK211,","))&amp;",",","&amp;SUBSTITUTE(input_enews_audience," ","")&amp;",")))&gt;0)),IF(CM211="",TRUE,IF(input_enews_audience="",FALSE,SUMPRODUCT(--ISNUMBER(SEARCH(","&amp;TRIM(TEXTSPLIT(CM211,","))&amp;",",","&amp;SUBSTITUTE(input_enews_audience," ","")&amp;",")))=COUNTA(TEXTSPLIT(CM211,",")))))</f>
        <v/>
      </c>
      <c r="JB211" s="19">
        <f>AND(IF(CO211="",TRUE,IF(input_event_location="",FALSE,SUMPRODUCT(--ISNUMBER(SEARCH(","&amp;TRIM(TEXTSPLIT(CO211,","))&amp;",",","&amp;SUBSTITUTE(input_event_location," ","")&amp;",")))&gt;0)),IF(CQ211="",TRUE,IF(input_event_location="",FALSE,SUMPRODUCT(--ISNUMBER(SEARCH(","&amp;TRIM(TEXTSPLIT(CQ211,","))&amp;",",","&amp;SUBSTITUTE(input_event_location," ","")&amp;",")))=COUNTA(TEXTSPLIT(CQ211,",")))),IF(CS211="",TRUE,IF(input_event_location="",TRUE,SUMPRODUCT(--ISNUMBER(SEARCH(","&amp;TRIM(TEXTSPLIT(CS211,","))&amp;",",","&amp;SUBSTITUTE(input_event_location," ","")&amp;",")))=0)),IF(CU211="",TRUE,IF(input_event_location="",FALSE,SUMPRODUCT(--ISNUMBER(SEARCH(","&amp;TRIM(TEXTSPLIT(CU211,","))&amp;",",","&amp;SUBSTITUTE(input_event_location," ","")&amp;",")))&gt;0)),IF(CW211="",TRUE,IF(input_event_location="",FALSE,SUMPRODUCT(--ISNUMBER(SEARCH(","&amp;TRIM(TEXTSPLIT(CW211,","))&amp;",",","&amp;SUBSTITUTE(input_event_location," ","")&amp;",")))=COUNTA(TEXTSPLIT(CW211,",")))))</f>
        <v/>
      </c>
      <c r="JC211" s="19">
        <f>AND(IF(CY211="",TRUE,IF(input_event_type="",FALSE,SUMPRODUCT(--ISNUMBER(SEARCH(","&amp;TRIM(TEXTSPLIT(CY211,","))&amp;",",","&amp;SUBSTITUTE(input_event_type," ","")&amp;",")))&gt;0)),IF(DA211="",TRUE,IF(input_event_type="",FALSE,SUMPRODUCT(--ISNUMBER(SEARCH(","&amp;TRIM(TEXTSPLIT(DA211,","))&amp;",",","&amp;SUBSTITUTE(input_event_type," ","")&amp;",")))=COUNTA(TEXTSPLIT(DA211,",")))),IF(DC211="",TRUE,IF(input_event_type="",TRUE,SUMPRODUCT(--ISNUMBER(SEARCH(","&amp;TRIM(TEXTSPLIT(DC211,","))&amp;",",","&amp;SUBSTITUTE(input_event_type," ","")&amp;",")))=0)),IF(DE211="",TRUE,IF(input_event_type="",FALSE,SUMPRODUCT(--ISNUMBER(SEARCH(","&amp;TRIM(TEXTSPLIT(DE211,","))&amp;",",","&amp;SUBSTITUTE(input_event_type," ","")&amp;",")))&gt;0)),IF(DG211="",TRUE,IF(input_event_type="",FALSE,SUMPRODUCT(--ISNUMBER(SEARCH(","&amp;TRIM(TEXTSPLIT(DG211,","))&amp;",",","&amp;SUBSTITUTE(input_event_type," ","")&amp;",")))=COUNTA(TEXTSPLIT(DG211,",")))))</f>
        <v/>
      </c>
      <c r="JD211" s="19">
        <f>AND(IF(DI211="",TRUE,IF(input_executive_education_focus="",FALSE,SUMPRODUCT(--ISNUMBER(SEARCH(","&amp;TRIM(TEXTSPLIT(DI211,","))&amp;",",","&amp;SUBSTITUTE(input_executive_education_focus," ","")&amp;",")))&gt;0)),IF(DK211="",TRUE,IF(input_executive_education_focus="",FALSE,SUMPRODUCT(--ISNUMBER(SEARCH(","&amp;TRIM(TEXTSPLIT(DK211,","))&amp;",",","&amp;SUBSTITUTE(input_executive_education_focus," ","")&amp;",")))=COUNTA(TEXTSPLIT(DK211,",")))),IF(DM211="",TRUE,IF(input_executive_education_focus="",TRUE,SUMPRODUCT(--ISNUMBER(SEARCH(","&amp;TRIM(TEXTSPLIT(DM211,","))&amp;",",","&amp;SUBSTITUTE(input_executive_education_focus," ","")&amp;",")))=0)),IF(DO211="",TRUE,IF(input_executive_education_focus="",FALSE,SUMPRODUCT(--ISNUMBER(SEARCH(","&amp;TRIM(TEXTSPLIT(DO211,","))&amp;",",","&amp;SUBSTITUTE(input_executive_education_focus," ","")&amp;",")))&gt;0)),IF(DQ211="",TRUE,IF(input_executive_education_focus="",FALSE,SUMPRODUCT(--ISNUMBER(SEARCH(","&amp;TRIM(TEXTSPLIT(DQ211,","))&amp;",",","&amp;SUBSTITUTE(input_executive_education_focus," ","")&amp;",")))=COUNTA(TEXTSPLIT(DQ211,",")))))</f>
        <v/>
      </c>
      <c r="JE211" s="19">
        <f>AND(IF(DS211="",TRUE,IF(input_faculty_category="",FALSE,SUMPRODUCT(--ISNUMBER(SEARCH(","&amp;TRIM(TEXTSPLIT(DS211,","))&amp;",",","&amp;SUBSTITUTE(input_faculty_category," ","")&amp;",")))&gt;0)),IF(DU211="",TRUE,IF(input_faculty_category="",FALSE,SUMPRODUCT(--ISNUMBER(SEARCH(","&amp;TRIM(TEXTSPLIT(DU211,","))&amp;",",","&amp;SUBSTITUTE(input_faculty_category," ","")&amp;",")))=COUNTA(TEXTSPLIT(DU211,",")))),IF(DW211="",TRUE,IF(input_faculty_category="",TRUE,SUMPRODUCT(--ISNUMBER(SEARCH(","&amp;TRIM(TEXTSPLIT(DW211,","))&amp;",",","&amp;SUBSTITUTE(input_faculty_category," ","")&amp;",")))=0)),IF(DY211="",TRUE,IF(input_faculty_category="",FALSE,SUMPRODUCT(--ISNUMBER(SEARCH(","&amp;TRIM(TEXTSPLIT(DY211,","))&amp;",",","&amp;SUBSTITUTE(input_faculty_category," ","")&amp;",")))&gt;0)),IF(EA211="",TRUE,IF(input_faculty_category="",FALSE,SUMPRODUCT(--ISNUMBER(SEARCH(","&amp;TRIM(TEXTSPLIT(EA211,","))&amp;",",","&amp;SUBSTITUTE(input_faculty_category," ","")&amp;",")))=COUNTA(TEXTSPLIT(EA211,",")))))</f>
        <v/>
      </c>
      <c r="JF211" s="19">
        <f>AND(IF(EC211="",TRUE,IF(input_faculty_discipline="",FALSE,SUMPRODUCT(--ISNUMBER(SEARCH(","&amp;TRIM(TEXTSPLIT(EC211,","))&amp;",",","&amp;SUBSTITUTE(input_faculty_discipline," ","")&amp;",")))&gt;0)),IF(EE211="",TRUE,IF(input_faculty_discipline="",FALSE,SUMPRODUCT(--ISNUMBER(SEARCH(","&amp;TRIM(TEXTSPLIT(EE211,","))&amp;",",","&amp;SUBSTITUTE(input_faculty_discipline," ","")&amp;",")))=COUNTA(TEXTSPLIT(EE211,",")))),IF(EG211="",TRUE,IF(input_faculty_discipline="",TRUE,SUMPRODUCT(--ISNUMBER(SEARCH(","&amp;TRIM(TEXTSPLIT(EG211,","))&amp;",",","&amp;SUBSTITUTE(input_faculty_discipline," ","")&amp;",")))=0)),IF(EI211="",TRUE,IF(input_faculty_discipline="",FALSE,SUMPRODUCT(--ISNUMBER(SEARCH(","&amp;TRIM(TEXTSPLIT(EI211,","))&amp;",",","&amp;SUBSTITUTE(input_faculty_discipline," ","")&amp;",")))&gt;0)),IF(EK211="",TRUE,IF(input_faculty_discipline="",FALSE,SUMPRODUCT(--ISNUMBER(SEARCH(","&amp;TRIM(TEXTSPLIT(EK211,","))&amp;",",","&amp;SUBSTITUTE(input_faculty_discipline," ","")&amp;",")))=COUNTA(TEXTSPLIT(EK211,",")))))</f>
        <v/>
      </c>
      <c r="JG211" s="19">
        <f>AND(IF(EM211="",TRUE,IF(input_faculty_expertise="",FALSE,SUMPRODUCT(--ISNUMBER(SEARCH(","&amp;TRIM(TEXTSPLIT(EM211,","))&amp;",",","&amp;SUBSTITUTE(input_faculty_expertise," ","")&amp;",")))&gt;0)),IF(EO211="",TRUE,IF(input_faculty_expertise="",FALSE,SUMPRODUCT(--ISNUMBER(SEARCH(","&amp;TRIM(TEXTSPLIT(EO211,","))&amp;",",","&amp;SUBSTITUTE(input_faculty_expertise," ","")&amp;",")))=COUNTA(TEXTSPLIT(EO211,",")))),IF(EQ211="",TRUE,IF(input_faculty_expertise="",TRUE,SUMPRODUCT(--ISNUMBER(SEARCH(","&amp;TRIM(TEXTSPLIT(EQ211,","))&amp;",",","&amp;SUBSTITUTE(input_faculty_expertise," ","")&amp;",")))=0)),IF(ES211="",TRUE,IF(input_faculty_expertise="",FALSE,SUMPRODUCT(--ISNUMBER(SEARCH(","&amp;TRIM(TEXTSPLIT(ES211,","))&amp;",",","&amp;SUBSTITUTE(input_faculty_expertise," ","")&amp;",")))&gt;0)),IF(EU211="",TRUE,IF(input_faculty_expertise="",FALSE,SUMPRODUCT(--ISNUMBER(SEARCH(","&amp;TRIM(TEXTSPLIT(EU211,","))&amp;",",","&amp;SUBSTITUTE(input_faculty_expertise," ","")&amp;",")))=COUNTA(TEXTSPLIT(EU211,",")))))</f>
        <v/>
      </c>
      <c r="JH211" s="19">
        <f>AND(IF(EW211="",TRUE,IF(input_global_network_school="",FALSE,SUMPRODUCT(--ISNUMBER(SEARCH(","&amp;TRIM(TEXTSPLIT(EW211,","))&amp;",",","&amp;SUBSTITUTE(input_global_network_school," ","")&amp;",")))&gt;0)),IF(EY211="",TRUE,IF(input_global_network_school="",FALSE,SUMPRODUCT(--ISNUMBER(SEARCH(","&amp;TRIM(TEXTSPLIT(EY211,","))&amp;",",","&amp;SUBSTITUTE(input_global_network_school," ","")&amp;",")))=COUNTA(TEXTSPLIT(EY211,",")))),IF(FA211="",TRUE,IF(input_global_network_school="",TRUE,SUMPRODUCT(--ISNUMBER(SEARCH(","&amp;TRIM(TEXTSPLIT(FA211,","))&amp;",",","&amp;SUBSTITUTE(input_global_network_school," ","")&amp;",")))=0)),IF(FC211="",TRUE,IF(input_global_network_school="",FALSE,SUMPRODUCT(--ISNUMBER(SEARCH(","&amp;TRIM(TEXTSPLIT(FC211,","))&amp;",",","&amp;SUBSTITUTE(input_global_network_school," ","")&amp;",")))&gt;0)),IF(FE211="",TRUE,IF(input_global_network_school="",FALSE,SUMPRODUCT(--ISNUMBER(SEARCH(","&amp;TRIM(TEXTSPLIT(FE211,","))&amp;",",","&amp;SUBSTITUTE(input_global_network_school," ","")&amp;",")))=COUNTA(TEXTSPLIT(FE211,",")))))</f>
        <v/>
      </c>
      <c r="JI211" s="19">
        <f>AND(IF(FG211="",TRUE,IF(input_industry="",FALSE,SUMPRODUCT(--ISNUMBER(SEARCH(","&amp;TRIM(TEXTSPLIT(FG211,","))&amp;",",","&amp;SUBSTITUTE(input_industry," ","")&amp;",")))&gt;0)),IF(FI211="",TRUE,IF(input_industry="",FALSE,SUMPRODUCT(--ISNUMBER(SEARCH(","&amp;TRIM(TEXTSPLIT(FI211,","))&amp;",",","&amp;SUBSTITUTE(input_industry," ","")&amp;",")))=COUNTA(TEXTSPLIT(FI211,",")))),IF(FK211="",TRUE,IF(input_industry="",TRUE,SUMPRODUCT(--ISNUMBER(SEARCH(","&amp;TRIM(TEXTSPLIT(FK211,","))&amp;",",","&amp;SUBSTITUTE(input_industry," ","")&amp;",")))=0)),IF(FM211="",TRUE,IF(input_industry="",FALSE,SUMPRODUCT(--ISNUMBER(SEARCH(","&amp;TRIM(TEXTSPLIT(FM211,","))&amp;",",","&amp;SUBSTITUTE(input_industry," ","")&amp;",")))&gt;0)),IF(FO211="",TRUE,IF(input_industry="",FALSE,SUMPRODUCT(--ISNUMBER(SEARCH(","&amp;TRIM(TEXTSPLIT(FO211,","))&amp;",",","&amp;SUBSTITUTE(input_industry," ","")&amp;",")))=COUNTA(TEXTSPLIT(FO211,",")))))</f>
        <v/>
      </c>
      <c r="JJ211" s="19">
        <f>AND(IF(FQ211="",TRUE,IF(input_location="",FALSE,SUMPRODUCT(--ISNUMBER(SEARCH(","&amp;TRIM(TEXTSPLIT(FQ211,","))&amp;",",","&amp;SUBSTITUTE(input_location," ","")&amp;",")))&gt;0)),IF(FS211="",TRUE,IF(input_location="",FALSE,SUMPRODUCT(--ISNUMBER(SEARCH(","&amp;TRIM(TEXTSPLIT(FS211,","))&amp;",",","&amp;SUBSTITUTE(input_location," ","")&amp;",")))=COUNTA(TEXTSPLIT(FS211,",")))),IF(FU211="",TRUE,IF(input_location="",TRUE,SUMPRODUCT(--ISNUMBER(SEARCH(","&amp;TRIM(TEXTSPLIT(FU211,","))&amp;",",","&amp;SUBSTITUTE(input_location," ","")&amp;",")))=0)),IF(FW211="",TRUE,IF(input_location="",FALSE,SUMPRODUCT(--ISNUMBER(SEARCH(","&amp;TRIM(TEXTSPLIT(FW211,","))&amp;",",","&amp;SUBSTITUTE(input_location," ","")&amp;",")))&gt;0)),IF(FY211="",TRUE,IF(input_location="",FALSE,SUMPRODUCT(--ISNUMBER(SEARCH(","&amp;TRIM(TEXTSPLIT(FY211,","))&amp;",",","&amp;SUBSTITUTE(input_location," ","")&amp;",")))=COUNTA(TEXTSPLIT(FY211,",")))))</f>
        <v/>
      </c>
      <c r="JK211" s="19">
        <f>AND(IF(GA211="",TRUE,IF(input_modality="",FALSE,SUMPRODUCT(--ISNUMBER(SEARCH(","&amp;TRIM(TEXTSPLIT(GA211,","))&amp;",",","&amp;SUBSTITUTE(input_modality," ","")&amp;",")))&gt;0)),IF(GC211="",TRUE,IF(input_modality="",FALSE,SUMPRODUCT(--ISNUMBER(SEARCH(","&amp;TRIM(TEXTSPLIT(GC211,","))&amp;",",","&amp;SUBSTITUTE(input_modality," ","")&amp;",")))=COUNTA(TEXTSPLIT(GC211,",")))),IF(GE211="",TRUE,IF(input_modality="",TRUE,SUMPRODUCT(--ISNUMBER(SEARCH(","&amp;TRIM(TEXTSPLIT(GE211,","))&amp;",",","&amp;SUBSTITUTE(input_modality," ","")&amp;",")))=0)),IF(GG211="",TRUE,IF(input_modality="",FALSE,SUMPRODUCT(--ISNUMBER(SEARCH(","&amp;TRIM(TEXTSPLIT(GG211,","))&amp;",",","&amp;SUBSTITUTE(input_modality," ","")&amp;",")))&gt;0)),IF(GI211="",TRUE,IF(input_modality="",FALSE,SUMPRODUCT(--ISNUMBER(SEARCH(","&amp;TRIM(TEXTSPLIT(GI211,","))&amp;",",","&amp;SUBSTITUTE(input_modality," ","")&amp;",")))=COUNTA(TEXTSPLIT(GI211,",")))))</f>
        <v/>
      </c>
      <c r="JL211" s="19">
        <f>AND(IF(GK211="",TRUE,IF(input_organizer="",FALSE,SUMPRODUCT(--ISNUMBER(SEARCH(","&amp;TRIM(TEXTSPLIT(GK211,","))&amp;",",","&amp;SUBSTITUTE(input_organizer," ","")&amp;",")))&gt;0)),IF(GM211="",TRUE,IF(input_organizer="",FALSE,SUMPRODUCT(--ISNUMBER(SEARCH(","&amp;TRIM(TEXTSPLIT(GM211,","))&amp;",",","&amp;SUBSTITUTE(input_organizer," ","")&amp;",")))=COUNTA(TEXTSPLIT(GM211,",")))),IF(GO211="",TRUE,IF(input_organizer="",TRUE,SUMPRODUCT(--ISNUMBER(SEARCH(","&amp;TRIM(TEXTSPLIT(GO211,","))&amp;",",","&amp;SUBSTITUTE(input_organizer," ","")&amp;",")))=0)),IF(GQ211="",TRUE,IF(input_organizer="",FALSE,SUMPRODUCT(--ISNUMBER(SEARCH(","&amp;TRIM(TEXTSPLIT(GQ211,","))&amp;",",","&amp;SUBSTITUTE(input_organizer," ","")&amp;",")))&gt;0)),IF(GS211="",TRUE,IF(input_organizer="",FALSE,SUMPRODUCT(--ISNUMBER(SEARCH(","&amp;TRIM(TEXTSPLIT(GS211,","))&amp;",",","&amp;SUBSTITUTE(input_organizer," ","")&amp;",")))=COUNTA(TEXTSPLIT(GS211,",")))))</f>
        <v/>
      </c>
      <c r="JM211" s="19">
        <f>AND(IF(GU211="",TRUE,IF(input_profile_type="",FALSE,SUMPRODUCT(--ISNUMBER(SEARCH(","&amp;TRIM(TEXTSPLIT(GU211,","))&amp;",",","&amp;SUBSTITUTE(input_profile_type," ","")&amp;",")))&gt;0)),IF(GW211="",TRUE,IF(input_profile_type="",FALSE,SUMPRODUCT(--ISNUMBER(SEARCH(","&amp;TRIM(TEXTSPLIT(GW211,","))&amp;",",","&amp;SUBSTITUTE(input_profile_type," ","")&amp;",")))=COUNTA(TEXTSPLIT(GW211,",")))),IF(GY211="",TRUE,IF(input_profile_type="",TRUE,SUMPRODUCT(--ISNUMBER(SEARCH(","&amp;TRIM(TEXTSPLIT(GY211,","))&amp;",",","&amp;SUBSTITUTE(input_profile_type," ","")&amp;",")))=0)),IF(HA211="",TRUE,IF(input_profile_type="",FALSE,SUMPRODUCT(--ISNUMBER(SEARCH(","&amp;TRIM(TEXTSPLIT(HA211,","))&amp;",",","&amp;SUBSTITUTE(input_profile_type," ","")&amp;",")))&gt;0)),IF(HC211="",TRUE,IF(input_profile_type="",FALSE,SUMPRODUCT(--ISNUMBER(SEARCH(","&amp;TRIM(TEXTSPLIT(HC211,","))&amp;",",","&amp;SUBSTITUTE(input_profile_type," ","")&amp;",")))=COUNTA(TEXTSPLIT(HC211,",")))))</f>
        <v/>
      </c>
      <c r="JN211" s="19">
        <f>AND(IF(HE211="",TRUE,IF(input_program="",FALSE,SUMPRODUCT(--ISNUMBER(SEARCH(","&amp;TRIM(TEXTSPLIT(HE211,","))&amp;",",","&amp;SUBSTITUTE(input_program," ","")&amp;",")))&gt;0)),IF(HG211="",TRUE,IF(input_program="",FALSE,SUMPRODUCT(--ISNUMBER(SEARCH(","&amp;TRIM(TEXTSPLIT(HG211,","))&amp;",",","&amp;SUBSTITUTE(input_program," ","")&amp;",")))=COUNTA(TEXTSPLIT(HG211,",")))),IF(HI211="",TRUE,IF(input_program="",TRUE,SUMPRODUCT(--ISNUMBER(SEARCH(","&amp;TRIM(TEXTSPLIT(HI211,","))&amp;",",","&amp;SUBSTITUTE(input_program," ","")&amp;",")))=0)),IF(HK211="",TRUE,IF(input_program="",FALSE,SUMPRODUCT(--ISNUMBER(SEARCH(","&amp;TRIM(TEXTSPLIT(HK211,","))&amp;",",","&amp;SUBSTITUTE(input_program," ","")&amp;",")))&gt;0)),IF(HM211="",TRUE,IF(input_program="",FALSE,SUMPRODUCT(--ISNUMBER(SEARCH(","&amp;TRIM(TEXTSPLIT(HM211,","))&amp;",",","&amp;SUBSTITUTE(input_program," ","")&amp;",")))=COUNTA(TEXTSPLIT(HM211,",")))))</f>
        <v/>
      </c>
      <c r="JO211" s="19">
        <f>AND(IF(HO211="",TRUE,IF(input_story_categories="",FALSE,SUMPRODUCT(--ISNUMBER(SEARCH(","&amp;TRIM(TEXTSPLIT(HO211,","))&amp;",",","&amp;SUBSTITUTE(input_story_categories," ","")&amp;",")))&gt;0)),IF(HQ211="",TRUE,IF(input_story_categories="",FALSE,SUMPRODUCT(--ISNUMBER(SEARCH(","&amp;TRIM(TEXTSPLIT(HQ211,","))&amp;",",","&amp;SUBSTITUTE(input_story_categories," ","")&amp;",")))=COUNTA(TEXTSPLIT(HQ211,",")))),IF(HS211="",TRUE,IF(input_story_categories="",TRUE,SUMPRODUCT(--ISNUMBER(SEARCH(","&amp;TRIM(TEXTSPLIT(HS211,","))&amp;",",","&amp;SUBSTITUTE(input_story_categories," ","")&amp;",")))=0)),IF(HU211="",TRUE,IF(input_story_categories="",FALSE,SUMPRODUCT(--ISNUMBER(SEARCH(","&amp;TRIM(TEXTSPLIT(HU211,","))&amp;",",","&amp;SUBSTITUTE(input_story_categories," ","")&amp;",")))&gt;0)),IF(HW211="",TRUE,IF(input_story_categories="",FALSE,SUMPRODUCT(--ISNUMBER(SEARCH(","&amp;TRIM(TEXTSPLIT(HW211,","))&amp;",",","&amp;SUBSTITUTE(input_story_categories," ","")&amp;",")))=COUNTA(TEXTSPLIT(HW211,",")))))</f>
        <v/>
      </c>
      <c r="JP211" s="19">
        <f>AND(IF(HY211="",TRUE,IF(input_story_type="",FALSE,SUMPRODUCT(--ISNUMBER(SEARCH(","&amp;TRIM(TEXTSPLIT(HY211,","))&amp;",",","&amp;SUBSTITUTE(input_story_type," ","")&amp;",")))&gt;0)),IF(IA211="",TRUE,IF(input_story_type="",FALSE,SUMPRODUCT(--ISNUMBER(SEARCH(","&amp;TRIM(TEXTSPLIT(IA211,","))&amp;",",","&amp;SUBSTITUTE(input_story_type," ","")&amp;",")))=COUNTA(TEXTSPLIT(IA211,",")))),IF(IC211="",TRUE,IF(input_story_type="",TRUE,SUMPRODUCT(--ISNUMBER(SEARCH(","&amp;TRIM(TEXTSPLIT(IC211,","))&amp;",",","&amp;SUBSTITUTE(input_story_type," ","")&amp;",")))=0)),IF(IE211="",TRUE,IF(input_story_type="",FALSE,SUMPRODUCT(--ISNUMBER(SEARCH(","&amp;TRIM(TEXTSPLIT(IE211,","))&amp;",",","&amp;SUBSTITUTE(input_story_type," ","")&amp;",")))&gt;0)),IF(IG211="",TRUE,IF(input_story_type="",FALSE,SUMPRODUCT(--ISNUMBER(SEARCH(","&amp;TRIM(TEXTSPLIT(IG211,","))&amp;",",","&amp;SUBSTITUTE(input_story_type," ","")&amp;",")))=COUNTA(TEXTSPLIT(IG211,",")))))</f>
        <v/>
      </c>
      <c r="JQ211" s="19">
        <f>AND(IF(II211="",TRUE,IF(input_topics="",FALSE,SUMPRODUCT(--ISNUMBER(SEARCH(","&amp;TRIM(TEXTSPLIT(II211,","))&amp;",",","&amp;SUBSTITUTE(input_topics," ","")&amp;",")))&gt;0)),IF(IK211="",TRUE,IF(input_topics="",FALSE,SUMPRODUCT(--ISNUMBER(SEARCH(","&amp;TRIM(TEXTSPLIT(IK211,","))&amp;",",","&amp;SUBSTITUTE(input_topics," ","")&amp;",")))=COUNTA(TEXTSPLIT(IK211,",")))),IF(IM211="",TRUE,IF(input_topics="",TRUE,SUMPRODUCT(--ISNUMBER(SEARCH(","&amp;TRIM(TEXTSPLIT(IM211,","))&amp;",",","&amp;SUBSTITUTE(input_topics," ","")&amp;",")))=0)),IF(IO211="",TRUE,IF(input_topics="",FALSE,SUMPRODUCT(--ISNUMBER(SEARCH(","&amp;TRIM(TEXTSPLIT(IO211,","))&amp;",",","&amp;SUBSTITUTE(input_topics," ","")&amp;",")))&gt;0)),IF(IQ211="",TRUE,IF(input_topics="",FALSE,SUMPRODUCT(--ISNUMBER(SEARCH(","&amp;TRIM(TEXTSPLIT(IQ211,","))&amp;",",","&amp;SUBSTITUTE(input_topics," ","")&amp;",")))=COUNTA(TEXTSPLIT(IQ211,",")))))</f>
        <v/>
      </c>
    </row>
    <row r="212">
      <c r="A212" s="24">
        <f>IF(NOT(IS212),"Excluded",IF(AND(IT212,IU212,IV212,IW212,IX212,IY212,IZ212,JA212,JB212,JC212,JD212,JE212,JF212,JG212,JH212,JI212,JJ212,JK212,JL212,JM212,JN212,JO212,JP212,JQ212),IF(I212&gt;0,"Eligible but limited","Will appear"),"Excluded"))</f>
        <v/>
      </c>
      <c r="B212" s="24" t="inlineStr">
        <is>
          <t>Related stories on story pages</t>
        </is>
      </c>
      <c r="C212" s="27" t="inlineStr">
        <is>
          <t>/story/2025/inclusive-growth-fellowship-spotlight-hannah-hua-26</t>
        </is>
      </c>
      <c r="D212" s="24" t="inlineStr">
        <is>
          <t>/story/2025/inclusive-growth-fellowship-spotlight-hannah-hua-26</t>
        </is>
      </c>
      <c r="E212" s="24" t="n">
        <v>1</v>
      </c>
      <c r="F212" s="24" t="inlineStr">
        <is>
          <t>story</t>
        </is>
      </c>
      <c r="G212" s="24" t="inlineStr">
        <is>
          <t>stories_teaser_cards</t>
        </is>
      </c>
      <c r="H212" s="24" t="inlineStr">
        <is>
          <t>embed_all</t>
        </is>
      </c>
      <c r="I212" s="24" t="n">
        <v>3</v>
      </c>
      <c r="J212" s="31" t="inlineStr">
        <is>
          <t>Template logic</t>
        </is>
      </c>
      <c r="K212" s="24" t="inlineStr">
        <is>
          <t>Grouped surface</t>
        </is>
      </c>
      <c r="L212" s="24" t="inlineStr">
        <is>
          <t>Content type: story; Context uses Courses Context: Inclusive Growth Fellowship (1518); Context uses Story Type: Blog (974); Limited to 3 item(s); Source: Template logic</t>
        </is>
      </c>
      <c r="BQ212" s="19" t="inlineStr">
        <is>
          <t>1518</t>
        </is>
      </c>
      <c r="BR212" s="19" t="inlineStr">
        <is>
          <t>Inclusive Growth Fellowship (1518)</t>
        </is>
      </c>
      <c r="IE212" s="19" t="inlineStr">
        <is>
          <t>974</t>
        </is>
      </c>
      <c r="IF212" s="19" t="inlineStr">
        <is>
          <t>Blog (974)</t>
        </is>
      </c>
      <c r="IS212" s="19">
        <f>IF(input_content_type="",FALSE,ISNUMBER(SEARCH(","&amp;LOWER(input_content_type)&amp;",",","&amp;LOWER(SUBSTITUTE(F212," ",""))&amp;",")))</f>
        <v/>
      </c>
      <c r="IT212" s="19">
        <f>AND(IF(M212="",TRUE,IF(input_affiliations="",FALSE,SUMPRODUCT(--ISNUMBER(SEARCH(","&amp;TRIM(TEXTSPLIT(M212,","))&amp;",",","&amp;SUBSTITUTE(input_affiliations," ","")&amp;",")))&gt;0)),IF(O212="",TRUE,IF(input_affiliations="",FALSE,SUMPRODUCT(--ISNUMBER(SEARCH(","&amp;TRIM(TEXTSPLIT(O212,","))&amp;",",","&amp;SUBSTITUTE(input_affiliations," ","")&amp;",")))=COUNTA(TEXTSPLIT(O212,",")))),IF(Q212="",TRUE,IF(input_affiliations="",TRUE,SUMPRODUCT(--ISNUMBER(SEARCH(","&amp;TRIM(TEXTSPLIT(Q212,","))&amp;",",","&amp;SUBSTITUTE(input_affiliations," ","")&amp;",")))=0)),IF(S212="",TRUE,IF(input_affiliations="",FALSE,SUMPRODUCT(--ISNUMBER(SEARCH(","&amp;TRIM(TEXTSPLIT(S212,","))&amp;",",","&amp;SUBSTITUTE(input_affiliations," ","")&amp;",")))&gt;0)),IF(U212="",TRUE,IF(input_affiliations="",FALSE,SUMPRODUCT(--ISNUMBER(SEARCH(","&amp;TRIM(TEXTSPLIT(U212,","))&amp;",",","&amp;SUBSTITUTE(input_affiliations," ","")&amp;",")))=COUNTA(TEXTSPLIT(U212,",")))))</f>
        <v/>
      </c>
      <c r="IU212" s="19">
        <f>AND(IF(W212="",TRUE,IF(input_announcement_category="",FALSE,SUMPRODUCT(--ISNUMBER(SEARCH(","&amp;TRIM(TEXTSPLIT(W212,","))&amp;",",","&amp;SUBSTITUTE(input_announcement_category," ","")&amp;",")))&gt;0)),IF(Y212="",TRUE,IF(input_announcement_category="",FALSE,SUMPRODUCT(--ISNUMBER(SEARCH(","&amp;TRIM(TEXTSPLIT(Y212,","))&amp;",",","&amp;SUBSTITUTE(input_announcement_category," ","")&amp;",")))=COUNTA(TEXTSPLIT(Y212,",")))),IF(AA212="",TRUE,IF(input_announcement_category="",TRUE,SUMPRODUCT(--ISNUMBER(SEARCH(","&amp;TRIM(TEXTSPLIT(AA212,","))&amp;",",","&amp;SUBSTITUTE(input_announcement_category," ","")&amp;",")))=0)),IF(AC212="",TRUE,IF(input_announcement_category="",FALSE,SUMPRODUCT(--ISNUMBER(SEARCH(","&amp;TRIM(TEXTSPLIT(AC212,","))&amp;",",","&amp;SUBSTITUTE(input_announcement_category," ","")&amp;",")))&gt;0)),IF(AE212="",TRUE,IF(input_announcement_category="",FALSE,SUMPRODUCT(--ISNUMBER(SEARCH(","&amp;TRIM(TEXTSPLIT(AE212,","))&amp;",",","&amp;SUBSTITUTE(input_announcement_category," ","")&amp;",")))=COUNTA(TEXTSPLIT(AE212,",")))))</f>
        <v/>
      </c>
      <c r="IV212" s="19">
        <f>AND(IF(AG212="",TRUE,IF(input_area_of_focus="",FALSE,SUMPRODUCT(--ISNUMBER(SEARCH(","&amp;TRIM(TEXTSPLIT(AG212,","))&amp;",",","&amp;SUBSTITUTE(input_area_of_focus," ","")&amp;",")))&gt;0)),IF(AI212="",TRUE,IF(input_area_of_focus="",FALSE,SUMPRODUCT(--ISNUMBER(SEARCH(","&amp;TRIM(TEXTSPLIT(AI212,","))&amp;",",","&amp;SUBSTITUTE(input_area_of_focus," ","")&amp;",")))=COUNTA(TEXTSPLIT(AI212,",")))),IF(AK212="",TRUE,IF(input_area_of_focus="",TRUE,SUMPRODUCT(--ISNUMBER(SEARCH(","&amp;TRIM(TEXTSPLIT(AK212,","))&amp;",",","&amp;SUBSTITUTE(input_area_of_focus," ","")&amp;",")))=0)),IF(AM212="",TRUE,IF(input_area_of_focus="",FALSE,SUMPRODUCT(--ISNUMBER(SEARCH(","&amp;TRIM(TEXTSPLIT(AM212,","))&amp;",",","&amp;SUBSTITUTE(input_area_of_focus," ","")&amp;",")))&gt;0)),IF(AO212="",TRUE,IF(input_area_of_focus="",FALSE,SUMPRODUCT(--ISNUMBER(SEARCH(","&amp;TRIM(TEXTSPLIT(AO212,","))&amp;",",","&amp;SUBSTITUTE(input_area_of_focus," ","")&amp;",")))=COUNTA(TEXTSPLIT(AO212,",")))))</f>
        <v/>
      </c>
      <c r="IW212" s="19">
        <f>AND(IF(AQ212="",TRUE,IF(input_audience="",FALSE,SUMPRODUCT(--ISNUMBER(SEARCH(","&amp;TRIM(TEXTSPLIT(AQ212,","))&amp;",",","&amp;SUBSTITUTE(input_audience," ","")&amp;",")))&gt;0)),IF(AS212="",TRUE,IF(input_audience="",FALSE,SUMPRODUCT(--ISNUMBER(SEARCH(","&amp;TRIM(TEXTSPLIT(AS212,","))&amp;",",","&amp;SUBSTITUTE(input_audience," ","")&amp;",")))=COUNTA(TEXTSPLIT(AS212,",")))),IF(AU212="",TRUE,IF(input_audience="",TRUE,SUMPRODUCT(--ISNUMBER(SEARCH(","&amp;TRIM(TEXTSPLIT(AU212,","))&amp;",",","&amp;SUBSTITUTE(input_audience," ","")&amp;",")))=0)),IF(AW212="",TRUE,IF(input_audience="",FALSE,SUMPRODUCT(--ISNUMBER(SEARCH(","&amp;TRIM(TEXTSPLIT(AW212,","))&amp;",",","&amp;SUBSTITUTE(input_audience," ","")&amp;",")))&gt;0)),IF(AY212="",TRUE,IF(input_audience="",FALSE,SUMPRODUCT(--ISNUMBER(SEARCH(","&amp;TRIM(TEXTSPLIT(AY212,","))&amp;",",","&amp;SUBSTITUTE(input_audience," ","")&amp;",")))=COUNTA(TEXTSPLIT(AY212,",")))))</f>
        <v/>
      </c>
      <c r="IX212" s="19">
        <f>AND(IF(BA212="",TRUE,IF(input_challenge_opportunities="",FALSE,SUMPRODUCT(--ISNUMBER(SEARCH(","&amp;TRIM(TEXTSPLIT(BA212,","))&amp;",",","&amp;SUBSTITUTE(input_challenge_opportunities," ","")&amp;",")))&gt;0)),IF(BC212="",TRUE,IF(input_challenge_opportunities="",FALSE,SUMPRODUCT(--ISNUMBER(SEARCH(","&amp;TRIM(TEXTSPLIT(BC212,","))&amp;",",","&amp;SUBSTITUTE(input_challenge_opportunities," ","")&amp;",")))=COUNTA(TEXTSPLIT(BC212,",")))),IF(BE212="",TRUE,IF(input_challenge_opportunities="",TRUE,SUMPRODUCT(--ISNUMBER(SEARCH(","&amp;TRIM(TEXTSPLIT(BE212,","))&amp;",",","&amp;SUBSTITUTE(input_challenge_opportunities," ","")&amp;",")))=0)),IF(BG212="",TRUE,IF(input_challenge_opportunities="",FALSE,SUMPRODUCT(--ISNUMBER(SEARCH(","&amp;TRIM(TEXTSPLIT(BG212,","))&amp;",",","&amp;SUBSTITUTE(input_challenge_opportunities," ","")&amp;",")))&gt;0)),IF(BI212="",TRUE,IF(input_challenge_opportunities="",FALSE,SUMPRODUCT(--ISNUMBER(SEARCH(","&amp;TRIM(TEXTSPLIT(BI212,","))&amp;",",","&amp;SUBSTITUTE(input_challenge_opportunities," ","")&amp;",")))=COUNTA(TEXTSPLIT(BI212,",")))))</f>
        <v/>
      </c>
      <c r="IY212" s="19">
        <f>AND(IF(BK212="",TRUE,IF(input_context="",FALSE,SUMPRODUCT(--ISNUMBER(SEARCH(","&amp;TRIM(TEXTSPLIT(BK212,","))&amp;",",","&amp;SUBSTITUTE(input_context," ","")&amp;",")))&gt;0)),IF(BM212="",TRUE,IF(input_context="",FALSE,SUMPRODUCT(--ISNUMBER(SEARCH(","&amp;TRIM(TEXTSPLIT(BM212,","))&amp;",",","&amp;SUBSTITUTE(input_context," ","")&amp;",")))=COUNTA(TEXTSPLIT(BM212,",")))),IF(BO212="",TRUE,IF(input_context="",TRUE,SUMPRODUCT(--ISNUMBER(SEARCH(","&amp;TRIM(TEXTSPLIT(BO212,","))&amp;",",","&amp;SUBSTITUTE(input_context," ","")&amp;",")))=0)),IF(BQ212="",TRUE,IF(input_context="",FALSE,SUMPRODUCT(--ISNUMBER(SEARCH(","&amp;TRIM(TEXTSPLIT(BQ212,","))&amp;",",","&amp;SUBSTITUTE(input_context," ","")&amp;",")))&gt;0)),IF(BS212="",TRUE,IF(input_context="",FALSE,SUMPRODUCT(--ISNUMBER(SEARCH(","&amp;TRIM(TEXTSPLIT(BS212,","))&amp;",",","&amp;SUBSTITUTE(input_context," ","")&amp;",")))=COUNTA(TEXTSPLIT(BS212,",")))))</f>
        <v/>
      </c>
      <c r="IZ212" s="19">
        <f>AND(IF(BU212="",TRUE,IF(input_enews_announcement_type="",FALSE,SUMPRODUCT(--ISNUMBER(SEARCH(","&amp;TRIM(TEXTSPLIT(BU212,","))&amp;",",","&amp;SUBSTITUTE(input_enews_announcement_type," ","")&amp;",")))&gt;0)),IF(BW212="",TRUE,IF(input_enews_announcement_type="",FALSE,SUMPRODUCT(--ISNUMBER(SEARCH(","&amp;TRIM(TEXTSPLIT(BW212,","))&amp;",",","&amp;SUBSTITUTE(input_enews_announcement_type," ","")&amp;",")))=COUNTA(TEXTSPLIT(BW212,",")))),IF(BY212="",TRUE,IF(input_enews_announcement_type="",TRUE,SUMPRODUCT(--ISNUMBER(SEARCH(","&amp;TRIM(TEXTSPLIT(BY212,","))&amp;",",","&amp;SUBSTITUTE(input_enews_announcement_type," ","")&amp;",")))=0)),IF(CA212="",TRUE,IF(input_enews_announcement_type="",FALSE,SUMPRODUCT(--ISNUMBER(SEARCH(","&amp;TRIM(TEXTSPLIT(CA212,","))&amp;",",","&amp;SUBSTITUTE(input_enews_announcement_type," ","")&amp;",")))&gt;0)),IF(CC212="",TRUE,IF(input_enews_announcement_type="",FALSE,SUMPRODUCT(--ISNUMBER(SEARCH(","&amp;TRIM(TEXTSPLIT(CC212,","))&amp;",",","&amp;SUBSTITUTE(input_enews_announcement_type," ","")&amp;",")))=COUNTA(TEXTSPLIT(CC212,",")))))</f>
        <v/>
      </c>
      <c r="JA212" s="19">
        <f>AND(IF(CE212="",TRUE,IF(input_enews_audience="",FALSE,SUMPRODUCT(--ISNUMBER(SEARCH(","&amp;TRIM(TEXTSPLIT(CE212,","))&amp;",",","&amp;SUBSTITUTE(input_enews_audience," ","")&amp;",")))&gt;0)),IF(CG212="",TRUE,IF(input_enews_audience="",FALSE,SUMPRODUCT(--ISNUMBER(SEARCH(","&amp;TRIM(TEXTSPLIT(CG212,","))&amp;",",","&amp;SUBSTITUTE(input_enews_audience," ","")&amp;",")))=COUNTA(TEXTSPLIT(CG212,",")))),IF(CI212="",TRUE,IF(input_enews_audience="",TRUE,SUMPRODUCT(--ISNUMBER(SEARCH(","&amp;TRIM(TEXTSPLIT(CI212,","))&amp;",",","&amp;SUBSTITUTE(input_enews_audience," ","")&amp;",")))=0)),IF(CK212="",TRUE,IF(input_enews_audience="",FALSE,SUMPRODUCT(--ISNUMBER(SEARCH(","&amp;TRIM(TEXTSPLIT(CK212,","))&amp;",",","&amp;SUBSTITUTE(input_enews_audience," ","")&amp;",")))&gt;0)),IF(CM212="",TRUE,IF(input_enews_audience="",FALSE,SUMPRODUCT(--ISNUMBER(SEARCH(","&amp;TRIM(TEXTSPLIT(CM212,","))&amp;",",","&amp;SUBSTITUTE(input_enews_audience," ","")&amp;",")))=COUNTA(TEXTSPLIT(CM212,",")))))</f>
        <v/>
      </c>
      <c r="JB212" s="19">
        <f>AND(IF(CO212="",TRUE,IF(input_event_location="",FALSE,SUMPRODUCT(--ISNUMBER(SEARCH(","&amp;TRIM(TEXTSPLIT(CO212,","))&amp;",",","&amp;SUBSTITUTE(input_event_location," ","")&amp;",")))&gt;0)),IF(CQ212="",TRUE,IF(input_event_location="",FALSE,SUMPRODUCT(--ISNUMBER(SEARCH(","&amp;TRIM(TEXTSPLIT(CQ212,","))&amp;",",","&amp;SUBSTITUTE(input_event_location," ","")&amp;",")))=COUNTA(TEXTSPLIT(CQ212,",")))),IF(CS212="",TRUE,IF(input_event_location="",TRUE,SUMPRODUCT(--ISNUMBER(SEARCH(","&amp;TRIM(TEXTSPLIT(CS212,","))&amp;",",","&amp;SUBSTITUTE(input_event_location," ","")&amp;",")))=0)),IF(CU212="",TRUE,IF(input_event_location="",FALSE,SUMPRODUCT(--ISNUMBER(SEARCH(","&amp;TRIM(TEXTSPLIT(CU212,","))&amp;",",","&amp;SUBSTITUTE(input_event_location," ","")&amp;",")))&gt;0)),IF(CW212="",TRUE,IF(input_event_location="",FALSE,SUMPRODUCT(--ISNUMBER(SEARCH(","&amp;TRIM(TEXTSPLIT(CW212,","))&amp;",",","&amp;SUBSTITUTE(input_event_location," ","")&amp;",")))=COUNTA(TEXTSPLIT(CW212,",")))))</f>
        <v/>
      </c>
      <c r="JC212" s="19">
        <f>AND(IF(CY212="",TRUE,IF(input_event_type="",FALSE,SUMPRODUCT(--ISNUMBER(SEARCH(","&amp;TRIM(TEXTSPLIT(CY212,","))&amp;",",","&amp;SUBSTITUTE(input_event_type," ","")&amp;",")))&gt;0)),IF(DA212="",TRUE,IF(input_event_type="",FALSE,SUMPRODUCT(--ISNUMBER(SEARCH(","&amp;TRIM(TEXTSPLIT(DA212,","))&amp;",",","&amp;SUBSTITUTE(input_event_type," ","")&amp;",")))=COUNTA(TEXTSPLIT(DA212,",")))),IF(DC212="",TRUE,IF(input_event_type="",TRUE,SUMPRODUCT(--ISNUMBER(SEARCH(","&amp;TRIM(TEXTSPLIT(DC212,","))&amp;",",","&amp;SUBSTITUTE(input_event_type," ","")&amp;",")))=0)),IF(DE212="",TRUE,IF(input_event_type="",FALSE,SUMPRODUCT(--ISNUMBER(SEARCH(","&amp;TRIM(TEXTSPLIT(DE212,","))&amp;",",","&amp;SUBSTITUTE(input_event_type," ","")&amp;",")))&gt;0)),IF(DG212="",TRUE,IF(input_event_type="",FALSE,SUMPRODUCT(--ISNUMBER(SEARCH(","&amp;TRIM(TEXTSPLIT(DG212,","))&amp;",",","&amp;SUBSTITUTE(input_event_type," ","")&amp;",")))=COUNTA(TEXTSPLIT(DG212,",")))))</f>
        <v/>
      </c>
      <c r="JD212" s="19">
        <f>AND(IF(DI212="",TRUE,IF(input_executive_education_focus="",FALSE,SUMPRODUCT(--ISNUMBER(SEARCH(","&amp;TRIM(TEXTSPLIT(DI212,","))&amp;",",","&amp;SUBSTITUTE(input_executive_education_focus," ","")&amp;",")))&gt;0)),IF(DK212="",TRUE,IF(input_executive_education_focus="",FALSE,SUMPRODUCT(--ISNUMBER(SEARCH(","&amp;TRIM(TEXTSPLIT(DK212,","))&amp;",",","&amp;SUBSTITUTE(input_executive_education_focus," ","")&amp;",")))=COUNTA(TEXTSPLIT(DK212,",")))),IF(DM212="",TRUE,IF(input_executive_education_focus="",TRUE,SUMPRODUCT(--ISNUMBER(SEARCH(","&amp;TRIM(TEXTSPLIT(DM212,","))&amp;",",","&amp;SUBSTITUTE(input_executive_education_focus," ","")&amp;",")))=0)),IF(DO212="",TRUE,IF(input_executive_education_focus="",FALSE,SUMPRODUCT(--ISNUMBER(SEARCH(","&amp;TRIM(TEXTSPLIT(DO212,","))&amp;",",","&amp;SUBSTITUTE(input_executive_education_focus," ","")&amp;",")))&gt;0)),IF(DQ212="",TRUE,IF(input_executive_education_focus="",FALSE,SUMPRODUCT(--ISNUMBER(SEARCH(","&amp;TRIM(TEXTSPLIT(DQ212,","))&amp;",",","&amp;SUBSTITUTE(input_executive_education_focus," ","")&amp;",")))=COUNTA(TEXTSPLIT(DQ212,",")))))</f>
        <v/>
      </c>
      <c r="JE212" s="19">
        <f>AND(IF(DS212="",TRUE,IF(input_faculty_category="",FALSE,SUMPRODUCT(--ISNUMBER(SEARCH(","&amp;TRIM(TEXTSPLIT(DS212,","))&amp;",",","&amp;SUBSTITUTE(input_faculty_category," ","")&amp;",")))&gt;0)),IF(DU212="",TRUE,IF(input_faculty_category="",FALSE,SUMPRODUCT(--ISNUMBER(SEARCH(","&amp;TRIM(TEXTSPLIT(DU212,","))&amp;",",","&amp;SUBSTITUTE(input_faculty_category," ","")&amp;",")))=COUNTA(TEXTSPLIT(DU212,",")))),IF(DW212="",TRUE,IF(input_faculty_category="",TRUE,SUMPRODUCT(--ISNUMBER(SEARCH(","&amp;TRIM(TEXTSPLIT(DW212,","))&amp;",",","&amp;SUBSTITUTE(input_faculty_category," ","")&amp;",")))=0)),IF(DY212="",TRUE,IF(input_faculty_category="",FALSE,SUMPRODUCT(--ISNUMBER(SEARCH(","&amp;TRIM(TEXTSPLIT(DY212,","))&amp;",",","&amp;SUBSTITUTE(input_faculty_category," ","")&amp;",")))&gt;0)),IF(EA212="",TRUE,IF(input_faculty_category="",FALSE,SUMPRODUCT(--ISNUMBER(SEARCH(","&amp;TRIM(TEXTSPLIT(EA212,","))&amp;",",","&amp;SUBSTITUTE(input_faculty_category," ","")&amp;",")))=COUNTA(TEXTSPLIT(EA212,",")))))</f>
        <v/>
      </c>
      <c r="JF212" s="19">
        <f>AND(IF(EC212="",TRUE,IF(input_faculty_discipline="",FALSE,SUMPRODUCT(--ISNUMBER(SEARCH(","&amp;TRIM(TEXTSPLIT(EC212,","))&amp;",",","&amp;SUBSTITUTE(input_faculty_discipline," ","")&amp;",")))&gt;0)),IF(EE212="",TRUE,IF(input_faculty_discipline="",FALSE,SUMPRODUCT(--ISNUMBER(SEARCH(","&amp;TRIM(TEXTSPLIT(EE212,","))&amp;",",","&amp;SUBSTITUTE(input_faculty_discipline," ","")&amp;",")))=COUNTA(TEXTSPLIT(EE212,",")))),IF(EG212="",TRUE,IF(input_faculty_discipline="",TRUE,SUMPRODUCT(--ISNUMBER(SEARCH(","&amp;TRIM(TEXTSPLIT(EG212,","))&amp;",",","&amp;SUBSTITUTE(input_faculty_discipline," ","")&amp;",")))=0)),IF(EI212="",TRUE,IF(input_faculty_discipline="",FALSE,SUMPRODUCT(--ISNUMBER(SEARCH(","&amp;TRIM(TEXTSPLIT(EI212,","))&amp;",",","&amp;SUBSTITUTE(input_faculty_discipline," ","")&amp;",")))&gt;0)),IF(EK212="",TRUE,IF(input_faculty_discipline="",FALSE,SUMPRODUCT(--ISNUMBER(SEARCH(","&amp;TRIM(TEXTSPLIT(EK212,","))&amp;",",","&amp;SUBSTITUTE(input_faculty_discipline," ","")&amp;",")))=COUNTA(TEXTSPLIT(EK212,",")))))</f>
        <v/>
      </c>
      <c r="JG212" s="19">
        <f>AND(IF(EM212="",TRUE,IF(input_faculty_expertise="",FALSE,SUMPRODUCT(--ISNUMBER(SEARCH(","&amp;TRIM(TEXTSPLIT(EM212,","))&amp;",",","&amp;SUBSTITUTE(input_faculty_expertise," ","")&amp;",")))&gt;0)),IF(EO212="",TRUE,IF(input_faculty_expertise="",FALSE,SUMPRODUCT(--ISNUMBER(SEARCH(","&amp;TRIM(TEXTSPLIT(EO212,","))&amp;",",","&amp;SUBSTITUTE(input_faculty_expertise," ","")&amp;",")))=COUNTA(TEXTSPLIT(EO212,",")))),IF(EQ212="",TRUE,IF(input_faculty_expertise="",TRUE,SUMPRODUCT(--ISNUMBER(SEARCH(","&amp;TRIM(TEXTSPLIT(EQ212,","))&amp;",",","&amp;SUBSTITUTE(input_faculty_expertise," ","")&amp;",")))=0)),IF(ES212="",TRUE,IF(input_faculty_expertise="",FALSE,SUMPRODUCT(--ISNUMBER(SEARCH(","&amp;TRIM(TEXTSPLIT(ES212,","))&amp;",",","&amp;SUBSTITUTE(input_faculty_expertise," ","")&amp;",")))&gt;0)),IF(EU212="",TRUE,IF(input_faculty_expertise="",FALSE,SUMPRODUCT(--ISNUMBER(SEARCH(","&amp;TRIM(TEXTSPLIT(EU212,","))&amp;",",","&amp;SUBSTITUTE(input_faculty_expertise," ","")&amp;",")))=COUNTA(TEXTSPLIT(EU212,",")))))</f>
        <v/>
      </c>
      <c r="JH212" s="19">
        <f>AND(IF(EW212="",TRUE,IF(input_global_network_school="",FALSE,SUMPRODUCT(--ISNUMBER(SEARCH(","&amp;TRIM(TEXTSPLIT(EW212,","))&amp;",",","&amp;SUBSTITUTE(input_global_network_school," ","")&amp;",")))&gt;0)),IF(EY212="",TRUE,IF(input_global_network_school="",FALSE,SUMPRODUCT(--ISNUMBER(SEARCH(","&amp;TRIM(TEXTSPLIT(EY212,","))&amp;",",","&amp;SUBSTITUTE(input_global_network_school," ","")&amp;",")))=COUNTA(TEXTSPLIT(EY212,",")))),IF(FA212="",TRUE,IF(input_global_network_school="",TRUE,SUMPRODUCT(--ISNUMBER(SEARCH(","&amp;TRIM(TEXTSPLIT(FA212,","))&amp;",",","&amp;SUBSTITUTE(input_global_network_school," ","")&amp;",")))=0)),IF(FC212="",TRUE,IF(input_global_network_school="",FALSE,SUMPRODUCT(--ISNUMBER(SEARCH(","&amp;TRIM(TEXTSPLIT(FC212,","))&amp;",",","&amp;SUBSTITUTE(input_global_network_school," ","")&amp;",")))&gt;0)),IF(FE212="",TRUE,IF(input_global_network_school="",FALSE,SUMPRODUCT(--ISNUMBER(SEARCH(","&amp;TRIM(TEXTSPLIT(FE212,","))&amp;",",","&amp;SUBSTITUTE(input_global_network_school," ","")&amp;",")))=COUNTA(TEXTSPLIT(FE212,",")))))</f>
        <v/>
      </c>
      <c r="JI212" s="19">
        <f>AND(IF(FG212="",TRUE,IF(input_industry="",FALSE,SUMPRODUCT(--ISNUMBER(SEARCH(","&amp;TRIM(TEXTSPLIT(FG212,","))&amp;",",","&amp;SUBSTITUTE(input_industry," ","")&amp;",")))&gt;0)),IF(FI212="",TRUE,IF(input_industry="",FALSE,SUMPRODUCT(--ISNUMBER(SEARCH(","&amp;TRIM(TEXTSPLIT(FI212,","))&amp;",",","&amp;SUBSTITUTE(input_industry," ","")&amp;",")))=COUNTA(TEXTSPLIT(FI212,",")))),IF(FK212="",TRUE,IF(input_industry="",TRUE,SUMPRODUCT(--ISNUMBER(SEARCH(","&amp;TRIM(TEXTSPLIT(FK212,","))&amp;",",","&amp;SUBSTITUTE(input_industry," ","")&amp;",")))=0)),IF(FM212="",TRUE,IF(input_industry="",FALSE,SUMPRODUCT(--ISNUMBER(SEARCH(","&amp;TRIM(TEXTSPLIT(FM212,","))&amp;",",","&amp;SUBSTITUTE(input_industry," ","")&amp;",")))&gt;0)),IF(FO212="",TRUE,IF(input_industry="",FALSE,SUMPRODUCT(--ISNUMBER(SEARCH(","&amp;TRIM(TEXTSPLIT(FO212,","))&amp;",",","&amp;SUBSTITUTE(input_industry," ","")&amp;",")))=COUNTA(TEXTSPLIT(FO212,",")))))</f>
        <v/>
      </c>
      <c r="JJ212" s="19">
        <f>AND(IF(FQ212="",TRUE,IF(input_location="",FALSE,SUMPRODUCT(--ISNUMBER(SEARCH(","&amp;TRIM(TEXTSPLIT(FQ212,","))&amp;",",","&amp;SUBSTITUTE(input_location," ","")&amp;",")))&gt;0)),IF(FS212="",TRUE,IF(input_location="",FALSE,SUMPRODUCT(--ISNUMBER(SEARCH(","&amp;TRIM(TEXTSPLIT(FS212,","))&amp;",",","&amp;SUBSTITUTE(input_location," ","")&amp;",")))=COUNTA(TEXTSPLIT(FS212,",")))),IF(FU212="",TRUE,IF(input_location="",TRUE,SUMPRODUCT(--ISNUMBER(SEARCH(","&amp;TRIM(TEXTSPLIT(FU212,","))&amp;",",","&amp;SUBSTITUTE(input_location," ","")&amp;",")))=0)),IF(FW212="",TRUE,IF(input_location="",FALSE,SUMPRODUCT(--ISNUMBER(SEARCH(","&amp;TRIM(TEXTSPLIT(FW212,","))&amp;",",","&amp;SUBSTITUTE(input_location," ","")&amp;",")))&gt;0)),IF(FY212="",TRUE,IF(input_location="",FALSE,SUMPRODUCT(--ISNUMBER(SEARCH(","&amp;TRIM(TEXTSPLIT(FY212,","))&amp;",",","&amp;SUBSTITUTE(input_location," ","")&amp;",")))=COUNTA(TEXTSPLIT(FY212,",")))))</f>
        <v/>
      </c>
      <c r="JK212" s="19">
        <f>AND(IF(GA212="",TRUE,IF(input_modality="",FALSE,SUMPRODUCT(--ISNUMBER(SEARCH(","&amp;TRIM(TEXTSPLIT(GA212,","))&amp;",",","&amp;SUBSTITUTE(input_modality," ","")&amp;",")))&gt;0)),IF(GC212="",TRUE,IF(input_modality="",FALSE,SUMPRODUCT(--ISNUMBER(SEARCH(","&amp;TRIM(TEXTSPLIT(GC212,","))&amp;",",","&amp;SUBSTITUTE(input_modality," ","")&amp;",")))=COUNTA(TEXTSPLIT(GC212,",")))),IF(GE212="",TRUE,IF(input_modality="",TRUE,SUMPRODUCT(--ISNUMBER(SEARCH(","&amp;TRIM(TEXTSPLIT(GE212,","))&amp;",",","&amp;SUBSTITUTE(input_modality," ","")&amp;",")))=0)),IF(GG212="",TRUE,IF(input_modality="",FALSE,SUMPRODUCT(--ISNUMBER(SEARCH(","&amp;TRIM(TEXTSPLIT(GG212,","))&amp;",",","&amp;SUBSTITUTE(input_modality," ","")&amp;",")))&gt;0)),IF(GI212="",TRUE,IF(input_modality="",FALSE,SUMPRODUCT(--ISNUMBER(SEARCH(","&amp;TRIM(TEXTSPLIT(GI212,","))&amp;",",","&amp;SUBSTITUTE(input_modality," ","")&amp;",")))=COUNTA(TEXTSPLIT(GI212,",")))))</f>
        <v/>
      </c>
      <c r="JL212" s="19">
        <f>AND(IF(GK212="",TRUE,IF(input_organizer="",FALSE,SUMPRODUCT(--ISNUMBER(SEARCH(","&amp;TRIM(TEXTSPLIT(GK212,","))&amp;",",","&amp;SUBSTITUTE(input_organizer," ","")&amp;",")))&gt;0)),IF(GM212="",TRUE,IF(input_organizer="",FALSE,SUMPRODUCT(--ISNUMBER(SEARCH(","&amp;TRIM(TEXTSPLIT(GM212,","))&amp;",",","&amp;SUBSTITUTE(input_organizer," ","")&amp;",")))=COUNTA(TEXTSPLIT(GM212,",")))),IF(GO212="",TRUE,IF(input_organizer="",TRUE,SUMPRODUCT(--ISNUMBER(SEARCH(","&amp;TRIM(TEXTSPLIT(GO212,","))&amp;",",","&amp;SUBSTITUTE(input_organizer," ","")&amp;",")))=0)),IF(GQ212="",TRUE,IF(input_organizer="",FALSE,SUMPRODUCT(--ISNUMBER(SEARCH(","&amp;TRIM(TEXTSPLIT(GQ212,","))&amp;",",","&amp;SUBSTITUTE(input_organizer," ","")&amp;",")))&gt;0)),IF(GS212="",TRUE,IF(input_organizer="",FALSE,SUMPRODUCT(--ISNUMBER(SEARCH(","&amp;TRIM(TEXTSPLIT(GS212,","))&amp;",",","&amp;SUBSTITUTE(input_organizer," ","")&amp;",")))=COUNTA(TEXTSPLIT(GS212,",")))))</f>
        <v/>
      </c>
      <c r="JM212" s="19">
        <f>AND(IF(GU212="",TRUE,IF(input_profile_type="",FALSE,SUMPRODUCT(--ISNUMBER(SEARCH(","&amp;TRIM(TEXTSPLIT(GU212,","))&amp;",",","&amp;SUBSTITUTE(input_profile_type," ","")&amp;",")))&gt;0)),IF(GW212="",TRUE,IF(input_profile_type="",FALSE,SUMPRODUCT(--ISNUMBER(SEARCH(","&amp;TRIM(TEXTSPLIT(GW212,","))&amp;",",","&amp;SUBSTITUTE(input_profile_type," ","")&amp;",")))=COUNTA(TEXTSPLIT(GW212,",")))),IF(GY212="",TRUE,IF(input_profile_type="",TRUE,SUMPRODUCT(--ISNUMBER(SEARCH(","&amp;TRIM(TEXTSPLIT(GY212,","))&amp;",",","&amp;SUBSTITUTE(input_profile_type," ","")&amp;",")))=0)),IF(HA212="",TRUE,IF(input_profile_type="",FALSE,SUMPRODUCT(--ISNUMBER(SEARCH(","&amp;TRIM(TEXTSPLIT(HA212,","))&amp;",",","&amp;SUBSTITUTE(input_profile_type," ","")&amp;",")))&gt;0)),IF(HC212="",TRUE,IF(input_profile_type="",FALSE,SUMPRODUCT(--ISNUMBER(SEARCH(","&amp;TRIM(TEXTSPLIT(HC212,","))&amp;",",","&amp;SUBSTITUTE(input_profile_type," ","")&amp;",")))=COUNTA(TEXTSPLIT(HC212,",")))))</f>
        <v/>
      </c>
      <c r="JN212" s="19">
        <f>AND(IF(HE212="",TRUE,IF(input_program="",FALSE,SUMPRODUCT(--ISNUMBER(SEARCH(","&amp;TRIM(TEXTSPLIT(HE212,","))&amp;",",","&amp;SUBSTITUTE(input_program," ","")&amp;",")))&gt;0)),IF(HG212="",TRUE,IF(input_program="",FALSE,SUMPRODUCT(--ISNUMBER(SEARCH(","&amp;TRIM(TEXTSPLIT(HG212,","))&amp;",",","&amp;SUBSTITUTE(input_program," ","")&amp;",")))=COUNTA(TEXTSPLIT(HG212,",")))),IF(HI212="",TRUE,IF(input_program="",TRUE,SUMPRODUCT(--ISNUMBER(SEARCH(","&amp;TRIM(TEXTSPLIT(HI212,","))&amp;",",","&amp;SUBSTITUTE(input_program," ","")&amp;",")))=0)),IF(HK212="",TRUE,IF(input_program="",FALSE,SUMPRODUCT(--ISNUMBER(SEARCH(","&amp;TRIM(TEXTSPLIT(HK212,","))&amp;",",","&amp;SUBSTITUTE(input_program," ","")&amp;",")))&gt;0)),IF(HM212="",TRUE,IF(input_program="",FALSE,SUMPRODUCT(--ISNUMBER(SEARCH(","&amp;TRIM(TEXTSPLIT(HM212,","))&amp;",",","&amp;SUBSTITUTE(input_program," ","")&amp;",")))=COUNTA(TEXTSPLIT(HM212,",")))))</f>
        <v/>
      </c>
      <c r="JO212" s="19">
        <f>AND(IF(HO212="",TRUE,IF(input_story_categories="",FALSE,SUMPRODUCT(--ISNUMBER(SEARCH(","&amp;TRIM(TEXTSPLIT(HO212,","))&amp;",",","&amp;SUBSTITUTE(input_story_categories," ","")&amp;",")))&gt;0)),IF(HQ212="",TRUE,IF(input_story_categories="",FALSE,SUMPRODUCT(--ISNUMBER(SEARCH(","&amp;TRIM(TEXTSPLIT(HQ212,","))&amp;",",","&amp;SUBSTITUTE(input_story_categories," ","")&amp;",")))=COUNTA(TEXTSPLIT(HQ212,",")))),IF(HS212="",TRUE,IF(input_story_categories="",TRUE,SUMPRODUCT(--ISNUMBER(SEARCH(","&amp;TRIM(TEXTSPLIT(HS212,","))&amp;",",","&amp;SUBSTITUTE(input_story_categories," ","")&amp;",")))=0)),IF(HU212="",TRUE,IF(input_story_categories="",FALSE,SUMPRODUCT(--ISNUMBER(SEARCH(","&amp;TRIM(TEXTSPLIT(HU212,","))&amp;",",","&amp;SUBSTITUTE(input_story_categories," ","")&amp;",")))&gt;0)),IF(HW212="",TRUE,IF(input_story_categories="",FALSE,SUMPRODUCT(--ISNUMBER(SEARCH(","&amp;TRIM(TEXTSPLIT(HW212,","))&amp;",",","&amp;SUBSTITUTE(input_story_categories," ","")&amp;",")))=COUNTA(TEXTSPLIT(HW212,",")))))</f>
        <v/>
      </c>
      <c r="JP212" s="19">
        <f>AND(IF(HY212="",TRUE,IF(input_story_type="",FALSE,SUMPRODUCT(--ISNUMBER(SEARCH(","&amp;TRIM(TEXTSPLIT(HY212,","))&amp;",",","&amp;SUBSTITUTE(input_story_type," ","")&amp;",")))&gt;0)),IF(IA212="",TRUE,IF(input_story_type="",FALSE,SUMPRODUCT(--ISNUMBER(SEARCH(","&amp;TRIM(TEXTSPLIT(IA212,","))&amp;",",","&amp;SUBSTITUTE(input_story_type," ","")&amp;",")))=COUNTA(TEXTSPLIT(IA212,",")))),IF(IC212="",TRUE,IF(input_story_type="",TRUE,SUMPRODUCT(--ISNUMBER(SEARCH(","&amp;TRIM(TEXTSPLIT(IC212,","))&amp;",",","&amp;SUBSTITUTE(input_story_type," ","")&amp;",")))=0)),IF(IE212="",TRUE,IF(input_story_type="",FALSE,SUMPRODUCT(--ISNUMBER(SEARCH(","&amp;TRIM(TEXTSPLIT(IE212,","))&amp;",",","&amp;SUBSTITUTE(input_story_type," ","")&amp;",")))&gt;0)),IF(IG212="",TRUE,IF(input_story_type="",FALSE,SUMPRODUCT(--ISNUMBER(SEARCH(","&amp;TRIM(TEXTSPLIT(IG212,","))&amp;",",","&amp;SUBSTITUTE(input_story_type," ","")&amp;",")))=COUNTA(TEXTSPLIT(IG212,",")))))</f>
        <v/>
      </c>
      <c r="JQ212" s="19">
        <f>AND(IF(II212="",TRUE,IF(input_topics="",FALSE,SUMPRODUCT(--ISNUMBER(SEARCH(","&amp;TRIM(TEXTSPLIT(II212,","))&amp;",",","&amp;SUBSTITUTE(input_topics," ","")&amp;",")))&gt;0)),IF(IK212="",TRUE,IF(input_topics="",FALSE,SUMPRODUCT(--ISNUMBER(SEARCH(","&amp;TRIM(TEXTSPLIT(IK212,","))&amp;",",","&amp;SUBSTITUTE(input_topics," ","")&amp;",")))=COUNTA(TEXTSPLIT(IK212,",")))),IF(IM212="",TRUE,IF(input_topics="",TRUE,SUMPRODUCT(--ISNUMBER(SEARCH(","&amp;TRIM(TEXTSPLIT(IM212,","))&amp;",",","&amp;SUBSTITUTE(input_topics," ","")&amp;",")))=0)),IF(IO212="",TRUE,IF(input_topics="",FALSE,SUMPRODUCT(--ISNUMBER(SEARCH(","&amp;TRIM(TEXTSPLIT(IO212,","))&amp;",",","&amp;SUBSTITUTE(input_topics," ","")&amp;",")))&gt;0)),IF(IQ212="",TRUE,IF(input_topics="",FALSE,SUMPRODUCT(--ISNUMBER(SEARCH(","&amp;TRIM(TEXTSPLIT(IQ212,","))&amp;",",","&amp;SUBSTITUTE(input_topics," ","")&amp;",")))=COUNTA(TEXTSPLIT(IQ212,",")))))</f>
        <v/>
      </c>
    </row>
    <row r="213">
      <c r="A213" s="24">
        <f>IF(NOT(IS213),"Excluded",IF(AND(IT213,IU213,IV213,IW213,IX213,IY213,IZ213,JA213,JB213,JC213,JD213,JE213,JF213,JG213,JH213,JI213,JJ213,JK213,JL213,JM213,JN213,JO213,JP213,JQ213),IF(I213&gt;0,"Eligible but limited","Will appear"),"Excluded"))</f>
        <v/>
      </c>
      <c r="B213" s="24" t="inlineStr">
        <is>
          <t>Related stories on story pages</t>
        </is>
      </c>
      <c r="C213" s="27" t="inlineStr">
        <is>
          <t>/story/2025/meet-masters-degree-systemic-risk-class-2026</t>
        </is>
      </c>
      <c r="D213" s="24" t="inlineStr">
        <is>
          <t>/story/2025/meet-masters-degree-systemic-risk-class-2026</t>
        </is>
      </c>
      <c r="E213" s="24" t="n">
        <v>1</v>
      </c>
      <c r="F213" s="24" t="inlineStr">
        <is>
          <t>story</t>
        </is>
      </c>
      <c r="G213" s="24" t="inlineStr">
        <is>
          <t>stories_teaser_cards</t>
        </is>
      </c>
      <c r="H213" s="24" t="inlineStr">
        <is>
          <t>embed_all</t>
        </is>
      </c>
      <c r="I213" s="24" t="n">
        <v>3</v>
      </c>
      <c r="J213" s="31" t="inlineStr">
        <is>
          <t>Template logic</t>
        </is>
      </c>
      <c r="K213" s="24" t="inlineStr">
        <is>
          <t>Grouped surface</t>
        </is>
      </c>
      <c r="L213" s="24" t="inlineStr">
        <is>
          <t>Content type: story; Context uses Courses Context: Master's Degree in Systemic Risk (949); Context uses Story Type: Blog (974); Limited to 3 item(s); Source: Template logic</t>
        </is>
      </c>
      <c r="BQ213" s="19" t="inlineStr">
        <is>
          <t>949</t>
        </is>
      </c>
      <c r="BR213" s="19" t="inlineStr">
        <is>
          <t>Master's Degree in Systemic Risk (949)</t>
        </is>
      </c>
      <c r="IE213" s="19" t="inlineStr">
        <is>
          <t>974</t>
        </is>
      </c>
      <c r="IF213" s="19" t="inlineStr">
        <is>
          <t>Blog (974)</t>
        </is>
      </c>
      <c r="IS213" s="19">
        <f>IF(input_content_type="",FALSE,ISNUMBER(SEARCH(","&amp;LOWER(input_content_type)&amp;",",","&amp;LOWER(SUBSTITUTE(F213," ",""))&amp;",")))</f>
        <v/>
      </c>
      <c r="IT213" s="19">
        <f>AND(IF(M213="",TRUE,IF(input_affiliations="",FALSE,SUMPRODUCT(--ISNUMBER(SEARCH(","&amp;TRIM(TEXTSPLIT(M213,","))&amp;",",","&amp;SUBSTITUTE(input_affiliations," ","")&amp;",")))&gt;0)),IF(O213="",TRUE,IF(input_affiliations="",FALSE,SUMPRODUCT(--ISNUMBER(SEARCH(","&amp;TRIM(TEXTSPLIT(O213,","))&amp;",",","&amp;SUBSTITUTE(input_affiliations," ","")&amp;",")))=COUNTA(TEXTSPLIT(O213,",")))),IF(Q213="",TRUE,IF(input_affiliations="",TRUE,SUMPRODUCT(--ISNUMBER(SEARCH(","&amp;TRIM(TEXTSPLIT(Q213,","))&amp;",",","&amp;SUBSTITUTE(input_affiliations," ","")&amp;",")))=0)),IF(S213="",TRUE,IF(input_affiliations="",FALSE,SUMPRODUCT(--ISNUMBER(SEARCH(","&amp;TRIM(TEXTSPLIT(S213,","))&amp;",",","&amp;SUBSTITUTE(input_affiliations," ","")&amp;",")))&gt;0)),IF(U213="",TRUE,IF(input_affiliations="",FALSE,SUMPRODUCT(--ISNUMBER(SEARCH(","&amp;TRIM(TEXTSPLIT(U213,","))&amp;",",","&amp;SUBSTITUTE(input_affiliations," ","")&amp;",")))=COUNTA(TEXTSPLIT(U213,",")))))</f>
        <v/>
      </c>
      <c r="IU213" s="19">
        <f>AND(IF(W213="",TRUE,IF(input_announcement_category="",FALSE,SUMPRODUCT(--ISNUMBER(SEARCH(","&amp;TRIM(TEXTSPLIT(W213,","))&amp;",",","&amp;SUBSTITUTE(input_announcement_category," ","")&amp;",")))&gt;0)),IF(Y213="",TRUE,IF(input_announcement_category="",FALSE,SUMPRODUCT(--ISNUMBER(SEARCH(","&amp;TRIM(TEXTSPLIT(Y213,","))&amp;",",","&amp;SUBSTITUTE(input_announcement_category," ","")&amp;",")))=COUNTA(TEXTSPLIT(Y213,",")))),IF(AA213="",TRUE,IF(input_announcement_category="",TRUE,SUMPRODUCT(--ISNUMBER(SEARCH(","&amp;TRIM(TEXTSPLIT(AA213,","))&amp;",",","&amp;SUBSTITUTE(input_announcement_category," ","")&amp;",")))=0)),IF(AC213="",TRUE,IF(input_announcement_category="",FALSE,SUMPRODUCT(--ISNUMBER(SEARCH(","&amp;TRIM(TEXTSPLIT(AC213,","))&amp;",",","&amp;SUBSTITUTE(input_announcement_category," ","")&amp;",")))&gt;0)),IF(AE213="",TRUE,IF(input_announcement_category="",FALSE,SUMPRODUCT(--ISNUMBER(SEARCH(","&amp;TRIM(TEXTSPLIT(AE213,","))&amp;",",","&amp;SUBSTITUTE(input_announcement_category," ","")&amp;",")))=COUNTA(TEXTSPLIT(AE213,",")))))</f>
        <v/>
      </c>
      <c r="IV213" s="19">
        <f>AND(IF(AG213="",TRUE,IF(input_area_of_focus="",FALSE,SUMPRODUCT(--ISNUMBER(SEARCH(","&amp;TRIM(TEXTSPLIT(AG213,","))&amp;",",","&amp;SUBSTITUTE(input_area_of_focus," ","")&amp;",")))&gt;0)),IF(AI213="",TRUE,IF(input_area_of_focus="",FALSE,SUMPRODUCT(--ISNUMBER(SEARCH(","&amp;TRIM(TEXTSPLIT(AI213,","))&amp;",",","&amp;SUBSTITUTE(input_area_of_focus," ","")&amp;",")))=COUNTA(TEXTSPLIT(AI213,",")))),IF(AK213="",TRUE,IF(input_area_of_focus="",TRUE,SUMPRODUCT(--ISNUMBER(SEARCH(","&amp;TRIM(TEXTSPLIT(AK213,","))&amp;",",","&amp;SUBSTITUTE(input_area_of_focus," ","")&amp;",")))=0)),IF(AM213="",TRUE,IF(input_area_of_focus="",FALSE,SUMPRODUCT(--ISNUMBER(SEARCH(","&amp;TRIM(TEXTSPLIT(AM213,","))&amp;",",","&amp;SUBSTITUTE(input_area_of_focus," ","")&amp;",")))&gt;0)),IF(AO213="",TRUE,IF(input_area_of_focus="",FALSE,SUMPRODUCT(--ISNUMBER(SEARCH(","&amp;TRIM(TEXTSPLIT(AO213,","))&amp;",",","&amp;SUBSTITUTE(input_area_of_focus," ","")&amp;",")))=COUNTA(TEXTSPLIT(AO213,",")))))</f>
        <v/>
      </c>
      <c r="IW213" s="19">
        <f>AND(IF(AQ213="",TRUE,IF(input_audience="",FALSE,SUMPRODUCT(--ISNUMBER(SEARCH(","&amp;TRIM(TEXTSPLIT(AQ213,","))&amp;",",","&amp;SUBSTITUTE(input_audience," ","")&amp;",")))&gt;0)),IF(AS213="",TRUE,IF(input_audience="",FALSE,SUMPRODUCT(--ISNUMBER(SEARCH(","&amp;TRIM(TEXTSPLIT(AS213,","))&amp;",",","&amp;SUBSTITUTE(input_audience," ","")&amp;",")))=COUNTA(TEXTSPLIT(AS213,",")))),IF(AU213="",TRUE,IF(input_audience="",TRUE,SUMPRODUCT(--ISNUMBER(SEARCH(","&amp;TRIM(TEXTSPLIT(AU213,","))&amp;",",","&amp;SUBSTITUTE(input_audience," ","")&amp;",")))=0)),IF(AW213="",TRUE,IF(input_audience="",FALSE,SUMPRODUCT(--ISNUMBER(SEARCH(","&amp;TRIM(TEXTSPLIT(AW213,","))&amp;",",","&amp;SUBSTITUTE(input_audience," ","")&amp;",")))&gt;0)),IF(AY213="",TRUE,IF(input_audience="",FALSE,SUMPRODUCT(--ISNUMBER(SEARCH(","&amp;TRIM(TEXTSPLIT(AY213,","))&amp;",",","&amp;SUBSTITUTE(input_audience," ","")&amp;",")))=COUNTA(TEXTSPLIT(AY213,",")))))</f>
        <v/>
      </c>
      <c r="IX213" s="19">
        <f>AND(IF(BA213="",TRUE,IF(input_challenge_opportunities="",FALSE,SUMPRODUCT(--ISNUMBER(SEARCH(","&amp;TRIM(TEXTSPLIT(BA213,","))&amp;",",","&amp;SUBSTITUTE(input_challenge_opportunities," ","")&amp;",")))&gt;0)),IF(BC213="",TRUE,IF(input_challenge_opportunities="",FALSE,SUMPRODUCT(--ISNUMBER(SEARCH(","&amp;TRIM(TEXTSPLIT(BC213,","))&amp;",",","&amp;SUBSTITUTE(input_challenge_opportunities," ","")&amp;",")))=COUNTA(TEXTSPLIT(BC213,",")))),IF(BE213="",TRUE,IF(input_challenge_opportunities="",TRUE,SUMPRODUCT(--ISNUMBER(SEARCH(","&amp;TRIM(TEXTSPLIT(BE213,","))&amp;",",","&amp;SUBSTITUTE(input_challenge_opportunities," ","")&amp;",")))=0)),IF(BG213="",TRUE,IF(input_challenge_opportunities="",FALSE,SUMPRODUCT(--ISNUMBER(SEARCH(","&amp;TRIM(TEXTSPLIT(BG213,","))&amp;",",","&amp;SUBSTITUTE(input_challenge_opportunities," ","")&amp;",")))&gt;0)),IF(BI213="",TRUE,IF(input_challenge_opportunities="",FALSE,SUMPRODUCT(--ISNUMBER(SEARCH(","&amp;TRIM(TEXTSPLIT(BI213,","))&amp;",",","&amp;SUBSTITUTE(input_challenge_opportunities," ","")&amp;",")))=COUNTA(TEXTSPLIT(BI213,",")))))</f>
        <v/>
      </c>
      <c r="IY213" s="19">
        <f>AND(IF(BK213="",TRUE,IF(input_context="",FALSE,SUMPRODUCT(--ISNUMBER(SEARCH(","&amp;TRIM(TEXTSPLIT(BK213,","))&amp;",",","&amp;SUBSTITUTE(input_context," ","")&amp;",")))&gt;0)),IF(BM213="",TRUE,IF(input_context="",FALSE,SUMPRODUCT(--ISNUMBER(SEARCH(","&amp;TRIM(TEXTSPLIT(BM213,","))&amp;",",","&amp;SUBSTITUTE(input_context," ","")&amp;",")))=COUNTA(TEXTSPLIT(BM213,",")))),IF(BO213="",TRUE,IF(input_context="",TRUE,SUMPRODUCT(--ISNUMBER(SEARCH(","&amp;TRIM(TEXTSPLIT(BO213,","))&amp;",",","&amp;SUBSTITUTE(input_context," ","")&amp;",")))=0)),IF(BQ213="",TRUE,IF(input_context="",FALSE,SUMPRODUCT(--ISNUMBER(SEARCH(","&amp;TRIM(TEXTSPLIT(BQ213,","))&amp;",",","&amp;SUBSTITUTE(input_context," ","")&amp;",")))&gt;0)),IF(BS213="",TRUE,IF(input_context="",FALSE,SUMPRODUCT(--ISNUMBER(SEARCH(","&amp;TRIM(TEXTSPLIT(BS213,","))&amp;",",","&amp;SUBSTITUTE(input_context," ","")&amp;",")))=COUNTA(TEXTSPLIT(BS213,",")))))</f>
        <v/>
      </c>
      <c r="IZ213" s="19">
        <f>AND(IF(BU213="",TRUE,IF(input_enews_announcement_type="",FALSE,SUMPRODUCT(--ISNUMBER(SEARCH(","&amp;TRIM(TEXTSPLIT(BU213,","))&amp;",",","&amp;SUBSTITUTE(input_enews_announcement_type," ","")&amp;",")))&gt;0)),IF(BW213="",TRUE,IF(input_enews_announcement_type="",FALSE,SUMPRODUCT(--ISNUMBER(SEARCH(","&amp;TRIM(TEXTSPLIT(BW213,","))&amp;",",","&amp;SUBSTITUTE(input_enews_announcement_type," ","")&amp;",")))=COUNTA(TEXTSPLIT(BW213,",")))),IF(BY213="",TRUE,IF(input_enews_announcement_type="",TRUE,SUMPRODUCT(--ISNUMBER(SEARCH(","&amp;TRIM(TEXTSPLIT(BY213,","))&amp;",",","&amp;SUBSTITUTE(input_enews_announcement_type," ","")&amp;",")))=0)),IF(CA213="",TRUE,IF(input_enews_announcement_type="",FALSE,SUMPRODUCT(--ISNUMBER(SEARCH(","&amp;TRIM(TEXTSPLIT(CA213,","))&amp;",",","&amp;SUBSTITUTE(input_enews_announcement_type," ","")&amp;",")))&gt;0)),IF(CC213="",TRUE,IF(input_enews_announcement_type="",FALSE,SUMPRODUCT(--ISNUMBER(SEARCH(","&amp;TRIM(TEXTSPLIT(CC213,","))&amp;",",","&amp;SUBSTITUTE(input_enews_announcement_type," ","")&amp;",")))=COUNTA(TEXTSPLIT(CC213,",")))))</f>
        <v/>
      </c>
      <c r="JA213" s="19">
        <f>AND(IF(CE213="",TRUE,IF(input_enews_audience="",FALSE,SUMPRODUCT(--ISNUMBER(SEARCH(","&amp;TRIM(TEXTSPLIT(CE213,","))&amp;",",","&amp;SUBSTITUTE(input_enews_audience," ","")&amp;",")))&gt;0)),IF(CG213="",TRUE,IF(input_enews_audience="",FALSE,SUMPRODUCT(--ISNUMBER(SEARCH(","&amp;TRIM(TEXTSPLIT(CG213,","))&amp;",",","&amp;SUBSTITUTE(input_enews_audience," ","")&amp;",")))=COUNTA(TEXTSPLIT(CG213,",")))),IF(CI213="",TRUE,IF(input_enews_audience="",TRUE,SUMPRODUCT(--ISNUMBER(SEARCH(","&amp;TRIM(TEXTSPLIT(CI213,","))&amp;",",","&amp;SUBSTITUTE(input_enews_audience," ","")&amp;",")))=0)),IF(CK213="",TRUE,IF(input_enews_audience="",FALSE,SUMPRODUCT(--ISNUMBER(SEARCH(","&amp;TRIM(TEXTSPLIT(CK213,","))&amp;",",","&amp;SUBSTITUTE(input_enews_audience," ","")&amp;",")))&gt;0)),IF(CM213="",TRUE,IF(input_enews_audience="",FALSE,SUMPRODUCT(--ISNUMBER(SEARCH(","&amp;TRIM(TEXTSPLIT(CM213,","))&amp;",",","&amp;SUBSTITUTE(input_enews_audience," ","")&amp;",")))=COUNTA(TEXTSPLIT(CM213,",")))))</f>
        <v/>
      </c>
      <c r="JB213" s="19">
        <f>AND(IF(CO213="",TRUE,IF(input_event_location="",FALSE,SUMPRODUCT(--ISNUMBER(SEARCH(","&amp;TRIM(TEXTSPLIT(CO213,","))&amp;",",","&amp;SUBSTITUTE(input_event_location," ","")&amp;",")))&gt;0)),IF(CQ213="",TRUE,IF(input_event_location="",FALSE,SUMPRODUCT(--ISNUMBER(SEARCH(","&amp;TRIM(TEXTSPLIT(CQ213,","))&amp;",",","&amp;SUBSTITUTE(input_event_location," ","")&amp;",")))=COUNTA(TEXTSPLIT(CQ213,",")))),IF(CS213="",TRUE,IF(input_event_location="",TRUE,SUMPRODUCT(--ISNUMBER(SEARCH(","&amp;TRIM(TEXTSPLIT(CS213,","))&amp;",",","&amp;SUBSTITUTE(input_event_location," ","")&amp;",")))=0)),IF(CU213="",TRUE,IF(input_event_location="",FALSE,SUMPRODUCT(--ISNUMBER(SEARCH(","&amp;TRIM(TEXTSPLIT(CU213,","))&amp;",",","&amp;SUBSTITUTE(input_event_location," ","")&amp;",")))&gt;0)),IF(CW213="",TRUE,IF(input_event_location="",FALSE,SUMPRODUCT(--ISNUMBER(SEARCH(","&amp;TRIM(TEXTSPLIT(CW213,","))&amp;",",","&amp;SUBSTITUTE(input_event_location," ","")&amp;",")))=COUNTA(TEXTSPLIT(CW213,",")))))</f>
        <v/>
      </c>
      <c r="JC213" s="19">
        <f>AND(IF(CY213="",TRUE,IF(input_event_type="",FALSE,SUMPRODUCT(--ISNUMBER(SEARCH(","&amp;TRIM(TEXTSPLIT(CY213,","))&amp;",",","&amp;SUBSTITUTE(input_event_type," ","")&amp;",")))&gt;0)),IF(DA213="",TRUE,IF(input_event_type="",FALSE,SUMPRODUCT(--ISNUMBER(SEARCH(","&amp;TRIM(TEXTSPLIT(DA213,","))&amp;",",","&amp;SUBSTITUTE(input_event_type," ","")&amp;",")))=COUNTA(TEXTSPLIT(DA213,",")))),IF(DC213="",TRUE,IF(input_event_type="",TRUE,SUMPRODUCT(--ISNUMBER(SEARCH(","&amp;TRIM(TEXTSPLIT(DC213,","))&amp;",",","&amp;SUBSTITUTE(input_event_type," ","")&amp;",")))=0)),IF(DE213="",TRUE,IF(input_event_type="",FALSE,SUMPRODUCT(--ISNUMBER(SEARCH(","&amp;TRIM(TEXTSPLIT(DE213,","))&amp;",",","&amp;SUBSTITUTE(input_event_type," ","")&amp;",")))&gt;0)),IF(DG213="",TRUE,IF(input_event_type="",FALSE,SUMPRODUCT(--ISNUMBER(SEARCH(","&amp;TRIM(TEXTSPLIT(DG213,","))&amp;",",","&amp;SUBSTITUTE(input_event_type," ","")&amp;",")))=COUNTA(TEXTSPLIT(DG213,",")))))</f>
        <v/>
      </c>
      <c r="JD213" s="19">
        <f>AND(IF(DI213="",TRUE,IF(input_executive_education_focus="",FALSE,SUMPRODUCT(--ISNUMBER(SEARCH(","&amp;TRIM(TEXTSPLIT(DI213,","))&amp;",",","&amp;SUBSTITUTE(input_executive_education_focus," ","")&amp;",")))&gt;0)),IF(DK213="",TRUE,IF(input_executive_education_focus="",FALSE,SUMPRODUCT(--ISNUMBER(SEARCH(","&amp;TRIM(TEXTSPLIT(DK213,","))&amp;",",","&amp;SUBSTITUTE(input_executive_education_focus," ","")&amp;",")))=COUNTA(TEXTSPLIT(DK213,",")))),IF(DM213="",TRUE,IF(input_executive_education_focus="",TRUE,SUMPRODUCT(--ISNUMBER(SEARCH(","&amp;TRIM(TEXTSPLIT(DM213,","))&amp;",",","&amp;SUBSTITUTE(input_executive_education_focus," ","")&amp;",")))=0)),IF(DO213="",TRUE,IF(input_executive_education_focus="",FALSE,SUMPRODUCT(--ISNUMBER(SEARCH(","&amp;TRIM(TEXTSPLIT(DO213,","))&amp;",",","&amp;SUBSTITUTE(input_executive_education_focus," ","")&amp;",")))&gt;0)),IF(DQ213="",TRUE,IF(input_executive_education_focus="",FALSE,SUMPRODUCT(--ISNUMBER(SEARCH(","&amp;TRIM(TEXTSPLIT(DQ213,","))&amp;",",","&amp;SUBSTITUTE(input_executive_education_focus," ","")&amp;",")))=COUNTA(TEXTSPLIT(DQ213,",")))))</f>
        <v/>
      </c>
      <c r="JE213" s="19">
        <f>AND(IF(DS213="",TRUE,IF(input_faculty_category="",FALSE,SUMPRODUCT(--ISNUMBER(SEARCH(","&amp;TRIM(TEXTSPLIT(DS213,","))&amp;",",","&amp;SUBSTITUTE(input_faculty_category," ","")&amp;",")))&gt;0)),IF(DU213="",TRUE,IF(input_faculty_category="",FALSE,SUMPRODUCT(--ISNUMBER(SEARCH(","&amp;TRIM(TEXTSPLIT(DU213,","))&amp;",",","&amp;SUBSTITUTE(input_faculty_category," ","")&amp;",")))=COUNTA(TEXTSPLIT(DU213,",")))),IF(DW213="",TRUE,IF(input_faculty_category="",TRUE,SUMPRODUCT(--ISNUMBER(SEARCH(","&amp;TRIM(TEXTSPLIT(DW213,","))&amp;",",","&amp;SUBSTITUTE(input_faculty_category," ","")&amp;",")))=0)),IF(DY213="",TRUE,IF(input_faculty_category="",FALSE,SUMPRODUCT(--ISNUMBER(SEARCH(","&amp;TRIM(TEXTSPLIT(DY213,","))&amp;",",","&amp;SUBSTITUTE(input_faculty_category," ","")&amp;",")))&gt;0)),IF(EA213="",TRUE,IF(input_faculty_category="",FALSE,SUMPRODUCT(--ISNUMBER(SEARCH(","&amp;TRIM(TEXTSPLIT(EA213,","))&amp;",",","&amp;SUBSTITUTE(input_faculty_category," ","")&amp;",")))=COUNTA(TEXTSPLIT(EA213,",")))))</f>
        <v/>
      </c>
      <c r="JF213" s="19">
        <f>AND(IF(EC213="",TRUE,IF(input_faculty_discipline="",FALSE,SUMPRODUCT(--ISNUMBER(SEARCH(","&amp;TRIM(TEXTSPLIT(EC213,","))&amp;",",","&amp;SUBSTITUTE(input_faculty_discipline," ","")&amp;",")))&gt;0)),IF(EE213="",TRUE,IF(input_faculty_discipline="",FALSE,SUMPRODUCT(--ISNUMBER(SEARCH(","&amp;TRIM(TEXTSPLIT(EE213,","))&amp;",",","&amp;SUBSTITUTE(input_faculty_discipline," ","")&amp;",")))=COUNTA(TEXTSPLIT(EE213,",")))),IF(EG213="",TRUE,IF(input_faculty_discipline="",TRUE,SUMPRODUCT(--ISNUMBER(SEARCH(","&amp;TRIM(TEXTSPLIT(EG213,","))&amp;",",","&amp;SUBSTITUTE(input_faculty_discipline," ","")&amp;",")))=0)),IF(EI213="",TRUE,IF(input_faculty_discipline="",FALSE,SUMPRODUCT(--ISNUMBER(SEARCH(","&amp;TRIM(TEXTSPLIT(EI213,","))&amp;",",","&amp;SUBSTITUTE(input_faculty_discipline," ","")&amp;",")))&gt;0)),IF(EK213="",TRUE,IF(input_faculty_discipline="",FALSE,SUMPRODUCT(--ISNUMBER(SEARCH(","&amp;TRIM(TEXTSPLIT(EK213,","))&amp;",",","&amp;SUBSTITUTE(input_faculty_discipline," ","")&amp;",")))=COUNTA(TEXTSPLIT(EK213,",")))))</f>
        <v/>
      </c>
      <c r="JG213" s="19">
        <f>AND(IF(EM213="",TRUE,IF(input_faculty_expertise="",FALSE,SUMPRODUCT(--ISNUMBER(SEARCH(","&amp;TRIM(TEXTSPLIT(EM213,","))&amp;",",","&amp;SUBSTITUTE(input_faculty_expertise," ","")&amp;",")))&gt;0)),IF(EO213="",TRUE,IF(input_faculty_expertise="",FALSE,SUMPRODUCT(--ISNUMBER(SEARCH(","&amp;TRIM(TEXTSPLIT(EO213,","))&amp;",",","&amp;SUBSTITUTE(input_faculty_expertise," ","")&amp;",")))=COUNTA(TEXTSPLIT(EO213,",")))),IF(EQ213="",TRUE,IF(input_faculty_expertise="",TRUE,SUMPRODUCT(--ISNUMBER(SEARCH(","&amp;TRIM(TEXTSPLIT(EQ213,","))&amp;",",","&amp;SUBSTITUTE(input_faculty_expertise," ","")&amp;",")))=0)),IF(ES213="",TRUE,IF(input_faculty_expertise="",FALSE,SUMPRODUCT(--ISNUMBER(SEARCH(","&amp;TRIM(TEXTSPLIT(ES213,","))&amp;",",","&amp;SUBSTITUTE(input_faculty_expertise," ","")&amp;",")))&gt;0)),IF(EU213="",TRUE,IF(input_faculty_expertise="",FALSE,SUMPRODUCT(--ISNUMBER(SEARCH(","&amp;TRIM(TEXTSPLIT(EU213,","))&amp;",",","&amp;SUBSTITUTE(input_faculty_expertise," ","")&amp;",")))=COUNTA(TEXTSPLIT(EU213,",")))))</f>
        <v/>
      </c>
      <c r="JH213" s="19">
        <f>AND(IF(EW213="",TRUE,IF(input_global_network_school="",FALSE,SUMPRODUCT(--ISNUMBER(SEARCH(","&amp;TRIM(TEXTSPLIT(EW213,","))&amp;",",","&amp;SUBSTITUTE(input_global_network_school," ","")&amp;",")))&gt;0)),IF(EY213="",TRUE,IF(input_global_network_school="",FALSE,SUMPRODUCT(--ISNUMBER(SEARCH(","&amp;TRIM(TEXTSPLIT(EY213,","))&amp;",",","&amp;SUBSTITUTE(input_global_network_school," ","")&amp;",")))=COUNTA(TEXTSPLIT(EY213,",")))),IF(FA213="",TRUE,IF(input_global_network_school="",TRUE,SUMPRODUCT(--ISNUMBER(SEARCH(","&amp;TRIM(TEXTSPLIT(FA213,","))&amp;",",","&amp;SUBSTITUTE(input_global_network_school," ","")&amp;",")))=0)),IF(FC213="",TRUE,IF(input_global_network_school="",FALSE,SUMPRODUCT(--ISNUMBER(SEARCH(","&amp;TRIM(TEXTSPLIT(FC213,","))&amp;",",","&amp;SUBSTITUTE(input_global_network_school," ","")&amp;",")))&gt;0)),IF(FE213="",TRUE,IF(input_global_network_school="",FALSE,SUMPRODUCT(--ISNUMBER(SEARCH(","&amp;TRIM(TEXTSPLIT(FE213,","))&amp;",",","&amp;SUBSTITUTE(input_global_network_school," ","")&amp;",")))=COUNTA(TEXTSPLIT(FE213,",")))))</f>
        <v/>
      </c>
      <c r="JI213" s="19">
        <f>AND(IF(FG213="",TRUE,IF(input_industry="",FALSE,SUMPRODUCT(--ISNUMBER(SEARCH(","&amp;TRIM(TEXTSPLIT(FG213,","))&amp;",",","&amp;SUBSTITUTE(input_industry," ","")&amp;",")))&gt;0)),IF(FI213="",TRUE,IF(input_industry="",FALSE,SUMPRODUCT(--ISNUMBER(SEARCH(","&amp;TRIM(TEXTSPLIT(FI213,","))&amp;",",","&amp;SUBSTITUTE(input_industry," ","")&amp;",")))=COUNTA(TEXTSPLIT(FI213,",")))),IF(FK213="",TRUE,IF(input_industry="",TRUE,SUMPRODUCT(--ISNUMBER(SEARCH(","&amp;TRIM(TEXTSPLIT(FK213,","))&amp;",",","&amp;SUBSTITUTE(input_industry," ","")&amp;",")))=0)),IF(FM213="",TRUE,IF(input_industry="",FALSE,SUMPRODUCT(--ISNUMBER(SEARCH(","&amp;TRIM(TEXTSPLIT(FM213,","))&amp;",",","&amp;SUBSTITUTE(input_industry," ","")&amp;",")))&gt;0)),IF(FO213="",TRUE,IF(input_industry="",FALSE,SUMPRODUCT(--ISNUMBER(SEARCH(","&amp;TRIM(TEXTSPLIT(FO213,","))&amp;",",","&amp;SUBSTITUTE(input_industry," ","")&amp;",")))=COUNTA(TEXTSPLIT(FO213,",")))))</f>
        <v/>
      </c>
      <c r="JJ213" s="19">
        <f>AND(IF(FQ213="",TRUE,IF(input_location="",FALSE,SUMPRODUCT(--ISNUMBER(SEARCH(","&amp;TRIM(TEXTSPLIT(FQ213,","))&amp;",",","&amp;SUBSTITUTE(input_location," ","")&amp;",")))&gt;0)),IF(FS213="",TRUE,IF(input_location="",FALSE,SUMPRODUCT(--ISNUMBER(SEARCH(","&amp;TRIM(TEXTSPLIT(FS213,","))&amp;",",","&amp;SUBSTITUTE(input_location," ","")&amp;",")))=COUNTA(TEXTSPLIT(FS213,",")))),IF(FU213="",TRUE,IF(input_location="",TRUE,SUMPRODUCT(--ISNUMBER(SEARCH(","&amp;TRIM(TEXTSPLIT(FU213,","))&amp;",",","&amp;SUBSTITUTE(input_location," ","")&amp;",")))=0)),IF(FW213="",TRUE,IF(input_location="",FALSE,SUMPRODUCT(--ISNUMBER(SEARCH(","&amp;TRIM(TEXTSPLIT(FW213,","))&amp;",",","&amp;SUBSTITUTE(input_location," ","")&amp;",")))&gt;0)),IF(FY213="",TRUE,IF(input_location="",FALSE,SUMPRODUCT(--ISNUMBER(SEARCH(","&amp;TRIM(TEXTSPLIT(FY213,","))&amp;",",","&amp;SUBSTITUTE(input_location," ","")&amp;",")))=COUNTA(TEXTSPLIT(FY213,",")))))</f>
        <v/>
      </c>
      <c r="JK213" s="19">
        <f>AND(IF(GA213="",TRUE,IF(input_modality="",FALSE,SUMPRODUCT(--ISNUMBER(SEARCH(","&amp;TRIM(TEXTSPLIT(GA213,","))&amp;",",","&amp;SUBSTITUTE(input_modality," ","")&amp;",")))&gt;0)),IF(GC213="",TRUE,IF(input_modality="",FALSE,SUMPRODUCT(--ISNUMBER(SEARCH(","&amp;TRIM(TEXTSPLIT(GC213,","))&amp;",",","&amp;SUBSTITUTE(input_modality," ","")&amp;",")))=COUNTA(TEXTSPLIT(GC213,",")))),IF(GE213="",TRUE,IF(input_modality="",TRUE,SUMPRODUCT(--ISNUMBER(SEARCH(","&amp;TRIM(TEXTSPLIT(GE213,","))&amp;",",","&amp;SUBSTITUTE(input_modality," ","")&amp;",")))=0)),IF(GG213="",TRUE,IF(input_modality="",FALSE,SUMPRODUCT(--ISNUMBER(SEARCH(","&amp;TRIM(TEXTSPLIT(GG213,","))&amp;",",","&amp;SUBSTITUTE(input_modality," ","")&amp;",")))&gt;0)),IF(GI213="",TRUE,IF(input_modality="",FALSE,SUMPRODUCT(--ISNUMBER(SEARCH(","&amp;TRIM(TEXTSPLIT(GI213,","))&amp;",",","&amp;SUBSTITUTE(input_modality," ","")&amp;",")))=COUNTA(TEXTSPLIT(GI213,",")))))</f>
        <v/>
      </c>
      <c r="JL213" s="19">
        <f>AND(IF(GK213="",TRUE,IF(input_organizer="",FALSE,SUMPRODUCT(--ISNUMBER(SEARCH(","&amp;TRIM(TEXTSPLIT(GK213,","))&amp;",",","&amp;SUBSTITUTE(input_organizer," ","")&amp;",")))&gt;0)),IF(GM213="",TRUE,IF(input_organizer="",FALSE,SUMPRODUCT(--ISNUMBER(SEARCH(","&amp;TRIM(TEXTSPLIT(GM213,","))&amp;",",","&amp;SUBSTITUTE(input_organizer," ","")&amp;",")))=COUNTA(TEXTSPLIT(GM213,",")))),IF(GO213="",TRUE,IF(input_organizer="",TRUE,SUMPRODUCT(--ISNUMBER(SEARCH(","&amp;TRIM(TEXTSPLIT(GO213,","))&amp;",",","&amp;SUBSTITUTE(input_organizer," ","")&amp;",")))=0)),IF(GQ213="",TRUE,IF(input_organizer="",FALSE,SUMPRODUCT(--ISNUMBER(SEARCH(","&amp;TRIM(TEXTSPLIT(GQ213,","))&amp;",",","&amp;SUBSTITUTE(input_organizer," ","")&amp;",")))&gt;0)),IF(GS213="",TRUE,IF(input_organizer="",FALSE,SUMPRODUCT(--ISNUMBER(SEARCH(","&amp;TRIM(TEXTSPLIT(GS213,","))&amp;",",","&amp;SUBSTITUTE(input_organizer," ","")&amp;",")))=COUNTA(TEXTSPLIT(GS213,",")))))</f>
        <v/>
      </c>
      <c r="JM213" s="19">
        <f>AND(IF(GU213="",TRUE,IF(input_profile_type="",FALSE,SUMPRODUCT(--ISNUMBER(SEARCH(","&amp;TRIM(TEXTSPLIT(GU213,","))&amp;",",","&amp;SUBSTITUTE(input_profile_type," ","")&amp;",")))&gt;0)),IF(GW213="",TRUE,IF(input_profile_type="",FALSE,SUMPRODUCT(--ISNUMBER(SEARCH(","&amp;TRIM(TEXTSPLIT(GW213,","))&amp;",",","&amp;SUBSTITUTE(input_profile_type," ","")&amp;",")))=COUNTA(TEXTSPLIT(GW213,",")))),IF(GY213="",TRUE,IF(input_profile_type="",TRUE,SUMPRODUCT(--ISNUMBER(SEARCH(","&amp;TRIM(TEXTSPLIT(GY213,","))&amp;",",","&amp;SUBSTITUTE(input_profile_type," ","")&amp;",")))=0)),IF(HA213="",TRUE,IF(input_profile_type="",FALSE,SUMPRODUCT(--ISNUMBER(SEARCH(","&amp;TRIM(TEXTSPLIT(HA213,","))&amp;",",","&amp;SUBSTITUTE(input_profile_type," ","")&amp;",")))&gt;0)),IF(HC213="",TRUE,IF(input_profile_type="",FALSE,SUMPRODUCT(--ISNUMBER(SEARCH(","&amp;TRIM(TEXTSPLIT(HC213,","))&amp;",",","&amp;SUBSTITUTE(input_profile_type," ","")&amp;",")))=COUNTA(TEXTSPLIT(HC213,",")))))</f>
        <v/>
      </c>
      <c r="JN213" s="19">
        <f>AND(IF(HE213="",TRUE,IF(input_program="",FALSE,SUMPRODUCT(--ISNUMBER(SEARCH(","&amp;TRIM(TEXTSPLIT(HE213,","))&amp;",",","&amp;SUBSTITUTE(input_program," ","")&amp;",")))&gt;0)),IF(HG213="",TRUE,IF(input_program="",FALSE,SUMPRODUCT(--ISNUMBER(SEARCH(","&amp;TRIM(TEXTSPLIT(HG213,","))&amp;",",","&amp;SUBSTITUTE(input_program," ","")&amp;",")))=COUNTA(TEXTSPLIT(HG213,",")))),IF(HI213="",TRUE,IF(input_program="",TRUE,SUMPRODUCT(--ISNUMBER(SEARCH(","&amp;TRIM(TEXTSPLIT(HI213,","))&amp;",",","&amp;SUBSTITUTE(input_program," ","")&amp;",")))=0)),IF(HK213="",TRUE,IF(input_program="",FALSE,SUMPRODUCT(--ISNUMBER(SEARCH(","&amp;TRIM(TEXTSPLIT(HK213,","))&amp;",",","&amp;SUBSTITUTE(input_program," ","")&amp;",")))&gt;0)),IF(HM213="",TRUE,IF(input_program="",FALSE,SUMPRODUCT(--ISNUMBER(SEARCH(","&amp;TRIM(TEXTSPLIT(HM213,","))&amp;",",","&amp;SUBSTITUTE(input_program," ","")&amp;",")))=COUNTA(TEXTSPLIT(HM213,",")))))</f>
        <v/>
      </c>
      <c r="JO213" s="19">
        <f>AND(IF(HO213="",TRUE,IF(input_story_categories="",FALSE,SUMPRODUCT(--ISNUMBER(SEARCH(","&amp;TRIM(TEXTSPLIT(HO213,","))&amp;",",","&amp;SUBSTITUTE(input_story_categories," ","")&amp;",")))&gt;0)),IF(HQ213="",TRUE,IF(input_story_categories="",FALSE,SUMPRODUCT(--ISNUMBER(SEARCH(","&amp;TRIM(TEXTSPLIT(HQ213,","))&amp;",",","&amp;SUBSTITUTE(input_story_categories," ","")&amp;",")))=COUNTA(TEXTSPLIT(HQ213,",")))),IF(HS213="",TRUE,IF(input_story_categories="",TRUE,SUMPRODUCT(--ISNUMBER(SEARCH(","&amp;TRIM(TEXTSPLIT(HS213,","))&amp;",",","&amp;SUBSTITUTE(input_story_categories," ","")&amp;",")))=0)),IF(HU213="",TRUE,IF(input_story_categories="",FALSE,SUMPRODUCT(--ISNUMBER(SEARCH(","&amp;TRIM(TEXTSPLIT(HU213,","))&amp;",",","&amp;SUBSTITUTE(input_story_categories," ","")&amp;",")))&gt;0)),IF(HW213="",TRUE,IF(input_story_categories="",FALSE,SUMPRODUCT(--ISNUMBER(SEARCH(","&amp;TRIM(TEXTSPLIT(HW213,","))&amp;",",","&amp;SUBSTITUTE(input_story_categories," ","")&amp;",")))=COUNTA(TEXTSPLIT(HW213,",")))))</f>
        <v/>
      </c>
      <c r="JP213" s="19">
        <f>AND(IF(HY213="",TRUE,IF(input_story_type="",FALSE,SUMPRODUCT(--ISNUMBER(SEARCH(","&amp;TRIM(TEXTSPLIT(HY213,","))&amp;",",","&amp;SUBSTITUTE(input_story_type," ","")&amp;",")))&gt;0)),IF(IA213="",TRUE,IF(input_story_type="",FALSE,SUMPRODUCT(--ISNUMBER(SEARCH(","&amp;TRIM(TEXTSPLIT(IA213,","))&amp;",",","&amp;SUBSTITUTE(input_story_type," ","")&amp;",")))=COUNTA(TEXTSPLIT(IA213,",")))),IF(IC213="",TRUE,IF(input_story_type="",TRUE,SUMPRODUCT(--ISNUMBER(SEARCH(","&amp;TRIM(TEXTSPLIT(IC213,","))&amp;",",","&amp;SUBSTITUTE(input_story_type," ","")&amp;",")))=0)),IF(IE213="",TRUE,IF(input_story_type="",FALSE,SUMPRODUCT(--ISNUMBER(SEARCH(","&amp;TRIM(TEXTSPLIT(IE213,","))&amp;",",","&amp;SUBSTITUTE(input_story_type," ","")&amp;",")))&gt;0)),IF(IG213="",TRUE,IF(input_story_type="",FALSE,SUMPRODUCT(--ISNUMBER(SEARCH(","&amp;TRIM(TEXTSPLIT(IG213,","))&amp;",",","&amp;SUBSTITUTE(input_story_type," ","")&amp;",")))=COUNTA(TEXTSPLIT(IG213,",")))))</f>
        <v/>
      </c>
      <c r="JQ213" s="19">
        <f>AND(IF(II213="",TRUE,IF(input_topics="",FALSE,SUMPRODUCT(--ISNUMBER(SEARCH(","&amp;TRIM(TEXTSPLIT(II213,","))&amp;",",","&amp;SUBSTITUTE(input_topics," ","")&amp;",")))&gt;0)),IF(IK213="",TRUE,IF(input_topics="",FALSE,SUMPRODUCT(--ISNUMBER(SEARCH(","&amp;TRIM(TEXTSPLIT(IK213,","))&amp;",",","&amp;SUBSTITUTE(input_topics," ","")&amp;",")))=COUNTA(TEXTSPLIT(IK213,",")))),IF(IM213="",TRUE,IF(input_topics="",TRUE,SUMPRODUCT(--ISNUMBER(SEARCH(","&amp;TRIM(TEXTSPLIT(IM213,","))&amp;",",","&amp;SUBSTITUTE(input_topics," ","")&amp;",")))=0)),IF(IO213="",TRUE,IF(input_topics="",FALSE,SUMPRODUCT(--ISNUMBER(SEARCH(","&amp;TRIM(TEXTSPLIT(IO213,","))&amp;",",","&amp;SUBSTITUTE(input_topics," ","")&amp;",")))&gt;0)),IF(IQ213="",TRUE,IF(input_topics="",FALSE,SUMPRODUCT(--ISNUMBER(SEARCH(","&amp;TRIM(TEXTSPLIT(IQ213,","))&amp;",",","&amp;SUBSTITUTE(input_topics," ","")&amp;",")))=COUNTA(TEXTSPLIT(IQ213,",")))))</f>
        <v/>
      </c>
    </row>
    <row r="214">
      <c r="A214" s="24">
        <f>IF(NOT(IS214),"Excluded",IF(AND(IT214,IU214,IV214,IW214,IX214,IY214,IZ214,JA214,JB214,JC214,JD214,JE214,JF214,JG214,JH214,JI214,JJ214,JK214,JL214,JM214,JN214,JO214,JP214,JQ214),IF(I214&gt;0,"Eligible but limited","Will appear"),"Excluded"))</f>
        <v/>
      </c>
      <c r="B214" s="24" t="inlineStr">
        <is>
          <t>Related stories on story pages</t>
        </is>
      </c>
      <c r="C214" s="27" t="inlineStr">
        <is>
          <t>/story/2025/meet-masters-technology-management-class-2026</t>
        </is>
      </c>
      <c r="D214" s="24" t="inlineStr">
        <is>
          <t>/story/2025/meet-masters-technology-management-class-2026</t>
        </is>
      </c>
      <c r="E214" s="24" t="n">
        <v>1</v>
      </c>
      <c r="F214" s="24" t="inlineStr">
        <is>
          <t>story</t>
        </is>
      </c>
      <c r="G214" s="24" t="inlineStr">
        <is>
          <t>stories_teaser_cards</t>
        </is>
      </c>
      <c r="H214" s="24" t="inlineStr">
        <is>
          <t>embed_all</t>
        </is>
      </c>
      <c r="I214" s="24" t="n">
        <v>3</v>
      </c>
      <c r="J214" s="31" t="inlineStr">
        <is>
          <t>Template logic</t>
        </is>
      </c>
      <c r="K214" s="24" t="inlineStr">
        <is>
          <t>Grouped surface</t>
        </is>
      </c>
      <c r="L214" s="24" t="inlineStr">
        <is>
          <t>Content type: story; Context uses Courses Context: Master's in Technology Management (1201); Context uses Story Type: Blog (974); Limited to 3 item(s); Source: Template logic</t>
        </is>
      </c>
      <c r="BQ214" s="19" t="inlineStr">
        <is>
          <t>1201</t>
        </is>
      </c>
      <c r="BR214" s="19" t="inlineStr">
        <is>
          <t>Master's in Technology Management (1201)</t>
        </is>
      </c>
      <c r="IE214" s="19" t="inlineStr">
        <is>
          <t>974</t>
        </is>
      </c>
      <c r="IF214" s="19" t="inlineStr">
        <is>
          <t>Blog (974)</t>
        </is>
      </c>
      <c r="IS214" s="19">
        <f>IF(input_content_type="",FALSE,ISNUMBER(SEARCH(","&amp;LOWER(input_content_type)&amp;",",","&amp;LOWER(SUBSTITUTE(F214," ",""))&amp;",")))</f>
        <v/>
      </c>
      <c r="IT214" s="19">
        <f>AND(IF(M214="",TRUE,IF(input_affiliations="",FALSE,SUMPRODUCT(--ISNUMBER(SEARCH(","&amp;TRIM(TEXTSPLIT(M214,","))&amp;",",","&amp;SUBSTITUTE(input_affiliations," ","")&amp;",")))&gt;0)),IF(O214="",TRUE,IF(input_affiliations="",FALSE,SUMPRODUCT(--ISNUMBER(SEARCH(","&amp;TRIM(TEXTSPLIT(O214,","))&amp;",",","&amp;SUBSTITUTE(input_affiliations," ","")&amp;",")))=COUNTA(TEXTSPLIT(O214,",")))),IF(Q214="",TRUE,IF(input_affiliations="",TRUE,SUMPRODUCT(--ISNUMBER(SEARCH(","&amp;TRIM(TEXTSPLIT(Q214,","))&amp;",",","&amp;SUBSTITUTE(input_affiliations," ","")&amp;",")))=0)),IF(S214="",TRUE,IF(input_affiliations="",FALSE,SUMPRODUCT(--ISNUMBER(SEARCH(","&amp;TRIM(TEXTSPLIT(S214,","))&amp;",",","&amp;SUBSTITUTE(input_affiliations," ","")&amp;",")))&gt;0)),IF(U214="",TRUE,IF(input_affiliations="",FALSE,SUMPRODUCT(--ISNUMBER(SEARCH(","&amp;TRIM(TEXTSPLIT(U214,","))&amp;",",","&amp;SUBSTITUTE(input_affiliations," ","")&amp;",")))=COUNTA(TEXTSPLIT(U214,",")))))</f>
        <v/>
      </c>
      <c r="IU214" s="19">
        <f>AND(IF(W214="",TRUE,IF(input_announcement_category="",FALSE,SUMPRODUCT(--ISNUMBER(SEARCH(","&amp;TRIM(TEXTSPLIT(W214,","))&amp;",",","&amp;SUBSTITUTE(input_announcement_category," ","")&amp;",")))&gt;0)),IF(Y214="",TRUE,IF(input_announcement_category="",FALSE,SUMPRODUCT(--ISNUMBER(SEARCH(","&amp;TRIM(TEXTSPLIT(Y214,","))&amp;",",","&amp;SUBSTITUTE(input_announcement_category," ","")&amp;",")))=COUNTA(TEXTSPLIT(Y214,",")))),IF(AA214="",TRUE,IF(input_announcement_category="",TRUE,SUMPRODUCT(--ISNUMBER(SEARCH(","&amp;TRIM(TEXTSPLIT(AA214,","))&amp;",",","&amp;SUBSTITUTE(input_announcement_category," ","")&amp;",")))=0)),IF(AC214="",TRUE,IF(input_announcement_category="",FALSE,SUMPRODUCT(--ISNUMBER(SEARCH(","&amp;TRIM(TEXTSPLIT(AC214,","))&amp;",",","&amp;SUBSTITUTE(input_announcement_category," ","")&amp;",")))&gt;0)),IF(AE214="",TRUE,IF(input_announcement_category="",FALSE,SUMPRODUCT(--ISNUMBER(SEARCH(","&amp;TRIM(TEXTSPLIT(AE214,","))&amp;",",","&amp;SUBSTITUTE(input_announcement_category," ","")&amp;",")))=COUNTA(TEXTSPLIT(AE214,",")))))</f>
        <v/>
      </c>
      <c r="IV214" s="19">
        <f>AND(IF(AG214="",TRUE,IF(input_area_of_focus="",FALSE,SUMPRODUCT(--ISNUMBER(SEARCH(","&amp;TRIM(TEXTSPLIT(AG214,","))&amp;",",","&amp;SUBSTITUTE(input_area_of_focus," ","")&amp;",")))&gt;0)),IF(AI214="",TRUE,IF(input_area_of_focus="",FALSE,SUMPRODUCT(--ISNUMBER(SEARCH(","&amp;TRIM(TEXTSPLIT(AI214,","))&amp;",",","&amp;SUBSTITUTE(input_area_of_focus," ","")&amp;",")))=COUNTA(TEXTSPLIT(AI214,",")))),IF(AK214="",TRUE,IF(input_area_of_focus="",TRUE,SUMPRODUCT(--ISNUMBER(SEARCH(","&amp;TRIM(TEXTSPLIT(AK214,","))&amp;",",","&amp;SUBSTITUTE(input_area_of_focus," ","")&amp;",")))=0)),IF(AM214="",TRUE,IF(input_area_of_focus="",FALSE,SUMPRODUCT(--ISNUMBER(SEARCH(","&amp;TRIM(TEXTSPLIT(AM214,","))&amp;",",","&amp;SUBSTITUTE(input_area_of_focus," ","")&amp;",")))&gt;0)),IF(AO214="",TRUE,IF(input_area_of_focus="",FALSE,SUMPRODUCT(--ISNUMBER(SEARCH(","&amp;TRIM(TEXTSPLIT(AO214,","))&amp;",",","&amp;SUBSTITUTE(input_area_of_focus," ","")&amp;",")))=COUNTA(TEXTSPLIT(AO214,",")))))</f>
        <v/>
      </c>
      <c r="IW214" s="19">
        <f>AND(IF(AQ214="",TRUE,IF(input_audience="",FALSE,SUMPRODUCT(--ISNUMBER(SEARCH(","&amp;TRIM(TEXTSPLIT(AQ214,","))&amp;",",","&amp;SUBSTITUTE(input_audience," ","")&amp;",")))&gt;0)),IF(AS214="",TRUE,IF(input_audience="",FALSE,SUMPRODUCT(--ISNUMBER(SEARCH(","&amp;TRIM(TEXTSPLIT(AS214,","))&amp;",",","&amp;SUBSTITUTE(input_audience," ","")&amp;",")))=COUNTA(TEXTSPLIT(AS214,",")))),IF(AU214="",TRUE,IF(input_audience="",TRUE,SUMPRODUCT(--ISNUMBER(SEARCH(","&amp;TRIM(TEXTSPLIT(AU214,","))&amp;",",","&amp;SUBSTITUTE(input_audience," ","")&amp;",")))=0)),IF(AW214="",TRUE,IF(input_audience="",FALSE,SUMPRODUCT(--ISNUMBER(SEARCH(","&amp;TRIM(TEXTSPLIT(AW214,","))&amp;",",","&amp;SUBSTITUTE(input_audience," ","")&amp;",")))&gt;0)),IF(AY214="",TRUE,IF(input_audience="",FALSE,SUMPRODUCT(--ISNUMBER(SEARCH(","&amp;TRIM(TEXTSPLIT(AY214,","))&amp;",",","&amp;SUBSTITUTE(input_audience," ","")&amp;",")))=COUNTA(TEXTSPLIT(AY214,",")))))</f>
        <v/>
      </c>
      <c r="IX214" s="19">
        <f>AND(IF(BA214="",TRUE,IF(input_challenge_opportunities="",FALSE,SUMPRODUCT(--ISNUMBER(SEARCH(","&amp;TRIM(TEXTSPLIT(BA214,","))&amp;",",","&amp;SUBSTITUTE(input_challenge_opportunities," ","")&amp;",")))&gt;0)),IF(BC214="",TRUE,IF(input_challenge_opportunities="",FALSE,SUMPRODUCT(--ISNUMBER(SEARCH(","&amp;TRIM(TEXTSPLIT(BC214,","))&amp;",",","&amp;SUBSTITUTE(input_challenge_opportunities," ","")&amp;",")))=COUNTA(TEXTSPLIT(BC214,",")))),IF(BE214="",TRUE,IF(input_challenge_opportunities="",TRUE,SUMPRODUCT(--ISNUMBER(SEARCH(","&amp;TRIM(TEXTSPLIT(BE214,","))&amp;",",","&amp;SUBSTITUTE(input_challenge_opportunities," ","")&amp;",")))=0)),IF(BG214="",TRUE,IF(input_challenge_opportunities="",FALSE,SUMPRODUCT(--ISNUMBER(SEARCH(","&amp;TRIM(TEXTSPLIT(BG214,","))&amp;",",","&amp;SUBSTITUTE(input_challenge_opportunities," ","")&amp;",")))&gt;0)),IF(BI214="",TRUE,IF(input_challenge_opportunities="",FALSE,SUMPRODUCT(--ISNUMBER(SEARCH(","&amp;TRIM(TEXTSPLIT(BI214,","))&amp;",",","&amp;SUBSTITUTE(input_challenge_opportunities," ","")&amp;",")))=COUNTA(TEXTSPLIT(BI214,",")))))</f>
        <v/>
      </c>
      <c r="IY214" s="19">
        <f>AND(IF(BK214="",TRUE,IF(input_context="",FALSE,SUMPRODUCT(--ISNUMBER(SEARCH(","&amp;TRIM(TEXTSPLIT(BK214,","))&amp;",",","&amp;SUBSTITUTE(input_context," ","")&amp;",")))&gt;0)),IF(BM214="",TRUE,IF(input_context="",FALSE,SUMPRODUCT(--ISNUMBER(SEARCH(","&amp;TRIM(TEXTSPLIT(BM214,","))&amp;",",","&amp;SUBSTITUTE(input_context," ","")&amp;",")))=COUNTA(TEXTSPLIT(BM214,",")))),IF(BO214="",TRUE,IF(input_context="",TRUE,SUMPRODUCT(--ISNUMBER(SEARCH(","&amp;TRIM(TEXTSPLIT(BO214,","))&amp;",",","&amp;SUBSTITUTE(input_context," ","")&amp;",")))=0)),IF(BQ214="",TRUE,IF(input_context="",FALSE,SUMPRODUCT(--ISNUMBER(SEARCH(","&amp;TRIM(TEXTSPLIT(BQ214,","))&amp;",",","&amp;SUBSTITUTE(input_context," ","")&amp;",")))&gt;0)),IF(BS214="",TRUE,IF(input_context="",FALSE,SUMPRODUCT(--ISNUMBER(SEARCH(","&amp;TRIM(TEXTSPLIT(BS214,","))&amp;",",","&amp;SUBSTITUTE(input_context," ","")&amp;",")))=COUNTA(TEXTSPLIT(BS214,",")))))</f>
        <v/>
      </c>
      <c r="IZ214" s="19">
        <f>AND(IF(BU214="",TRUE,IF(input_enews_announcement_type="",FALSE,SUMPRODUCT(--ISNUMBER(SEARCH(","&amp;TRIM(TEXTSPLIT(BU214,","))&amp;",",","&amp;SUBSTITUTE(input_enews_announcement_type," ","")&amp;",")))&gt;0)),IF(BW214="",TRUE,IF(input_enews_announcement_type="",FALSE,SUMPRODUCT(--ISNUMBER(SEARCH(","&amp;TRIM(TEXTSPLIT(BW214,","))&amp;",",","&amp;SUBSTITUTE(input_enews_announcement_type," ","")&amp;",")))=COUNTA(TEXTSPLIT(BW214,",")))),IF(BY214="",TRUE,IF(input_enews_announcement_type="",TRUE,SUMPRODUCT(--ISNUMBER(SEARCH(","&amp;TRIM(TEXTSPLIT(BY214,","))&amp;",",","&amp;SUBSTITUTE(input_enews_announcement_type," ","")&amp;",")))=0)),IF(CA214="",TRUE,IF(input_enews_announcement_type="",FALSE,SUMPRODUCT(--ISNUMBER(SEARCH(","&amp;TRIM(TEXTSPLIT(CA214,","))&amp;",",","&amp;SUBSTITUTE(input_enews_announcement_type," ","")&amp;",")))&gt;0)),IF(CC214="",TRUE,IF(input_enews_announcement_type="",FALSE,SUMPRODUCT(--ISNUMBER(SEARCH(","&amp;TRIM(TEXTSPLIT(CC214,","))&amp;",",","&amp;SUBSTITUTE(input_enews_announcement_type," ","")&amp;",")))=COUNTA(TEXTSPLIT(CC214,",")))))</f>
        <v/>
      </c>
      <c r="JA214" s="19">
        <f>AND(IF(CE214="",TRUE,IF(input_enews_audience="",FALSE,SUMPRODUCT(--ISNUMBER(SEARCH(","&amp;TRIM(TEXTSPLIT(CE214,","))&amp;",",","&amp;SUBSTITUTE(input_enews_audience," ","")&amp;",")))&gt;0)),IF(CG214="",TRUE,IF(input_enews_audience="",FALSE,SUMPRODUCT(--ISNUMBER(SEARCH(","&amp;TRIM(TEXTSPLIT(CG214,","))&amp;",",","&amp;SUBSTITUTE(input_enews_audience," ","")&amp;",")))=COUNTA(TEXTSPLIT(CG214,",")))),IF(CI214="",TRUE,IF(input_enews_audience="",TRUE,SUMPRODUCT(--ISNUMBER(SEARCH(","&amp;TRIM(TEXTSPLIT(CI214,","))&amp;",",","&amp;SUBSTITUTE(input_enews_audience," ","")&amp;",")))=0)),IF(CK214="",TRUE,IF(input_enews_audience="",FALSE,SUMPRODUCT(--ISNUMBER(SEARCH(","&amp;TRIM(TEXTSPLIT(CK214,","))&amp;",",","&amp;SUBSTITUTE(input_enews_audience," ","")&amp;",")))&gt;0)),IF(CM214="",TRUE,IF(input_enews_audience="",FALSE,SUMPRODUCT(--ISNUMBER(SEARCH(","&amp;TRIM(TEXTSPLIT(CM214,","))&amp;",",","&amp;SUBSTITUTE(input_enews_audience," ","")&amp;",")))=COUNTA(TEXTSPLIT(CM214,",")))))</f>
        <v/>
      </c>
      <c r="JB214" s="19">
        <f>AND(IF(CO214="",TRUE,IF(input_event_location="",FALSE,SUMPRODUCT(--ISNUMBER(SEARCH(","&amp;TRIM(TEXTSPLIT(CO214,","))&amp;",",","&amp;SUBSTITUTE(input_event_location," ","")&amp;",")))&gt;0)),IF(CQ214="",TRUE,IF(input_event_location="",FALSE,SUMPRODUCT(--ISNUMBER(SEARCH(","&amp;TRIM(TEXTSPLIT(CQ214,","))&amp;",",","&amp;SUBSTITUTE(input_event_location," ","")&amp;",")))=COUNTA(TEXTSPLIT(CQ214,",")))),IF(CS214="",TRUE,IF(input_event_location="",TRUE,SUMPRODUCT(--ISNUMBER(SEARCH(","&amp;TRIM(TEXTSPLIT(CS214,","))&amp;",",","&amp;SUBSTITUTE(input_event_location," ","")&amp;",")))=0)),IF(CU214="",TRUE,IF(input_event_location="",FALSE,SUMPRODUCT(--ISNUMBER(SEARCH(","&amp;TRIM(TEXTSPLIT(CU214,","))&amp;",",","&amp;SUBSTITUTE(input_event_location," ","")&amp;",")))&gt;0)),IF(CW214="",TRUE,IF(input_event_location="",FALSE,SUMPRODUCT(--ISNUMBER(SEARCH(","&amp;TRIM(TEXTSPLIT(CW214,","))&amp;",",","&amp;SUBSTITUTE(input_event_location," ","")&amp;",")))=COUNTA(TEXTSPLIT(CW214,",")))))</f>
        <v/>
      </c>
      <c r="JC214" s="19">
        <f>AND(IF(CY214="",TRUE,IF(input_event_type="",FALSE,SUMPRODUCT(--ISNUMBER(SEARCH(","&amp;TRIM(TEXTSPLIT(CY214,","))&amp;",",","&amp;SUBSTITUTE(input_event_type," ","")&amp;",")))&gt;0)),IF(DA214="",TRUE,IF(input_event_type="",FALSE,SUMPRODUCT(--ISNUMBER(SEARCH(","&amp;TRIM(TEXTSPLIT(DA214,","))&amp;",",","&amp;SUBSTITUTE(input_event_type," ","")&amp;",")))=COUNTA(TEXTSPLIT(DA214,",")))),IF(DC214="",TRUE,IF(input_event_type="",TRUE,SUMPRODUCT(--ISNUMBER(SEARCH(","&amp;TRIM(TEXTSPLIT(DC214,","))&amp;",",","&amp;SUBSTITUTE(input_event_type," ","")&amp;",")))=0)),IF(DE214="",TRUE,IF(input_event_type="",FALSE,SUMPRODUCT(--ISNUMBER(SEARCH(","&amp;TRIM(TEXTSPLIT(DE214,","))&amp;",",","&amp;SUBSTITUTE(input_event_type," ","")&amp;",")))&gt;0)),IF(DG214="",TRUE,IF(input_event_type="",FALSE,SUMPRODUCT(--ISNUMBER(SEARCH(","&amp;TRIM(TEXTSPLIT(DG214,","))&amp;",",","&amp;SUBSTITUTE(input_event_type," ","")&amp;",")))=COUNTA(TEXTSPLIT(DG214,",")))))</f>
        <v/>
      </c>
      <c r="JD214" s="19">
        <f>AND(IF(DI214="",TRUE,IF(input_executive_education_focus="",FALSE,SUMPRODUCT(--ISNUMBER(SEARCH(","&amp;TRIM(TEXTSPLIT(DI214,","))&amp;",",","&amp;SUBSTITUTE(input_executive_education_focus," ","")&amp;",")))&gt;0)),IF(DK214="",TRUE,IF(input_executive_education_focus="",FALSE,SUMPRODUCT(--ISNUMBER(SEARCH(","&amp;TRIM(TEXTSPLIT(DK214,","))&amp;",",","&amp;SUBSTITUTE(input_executive_education_focus," ","")&amp;",")))=COUNTA(TEXTSPLIT(DK214,",")))),IF(DM214="",TRUE,IF(input_executive_education_focus="",TRUE,SUMPRODUCT(--ISNUMBER(SEARCH(","&amp;TRIM(TEXTSPLIT(DM214,","))&amp;",",","&amp;SUBSTITUTE(input_executive_education_focus," ","")&amp;",")))=0)),IF(DO214="",TRUE,IF(input_executive_education_focus="",FALSE,SUMPRODUCT(--ISNUMBER(SEARCH(","&amp;TRIM(TEXTSPLIT(DO214,","))&amp;",",","&amp;SUBSTITUTE(input_executive_education_focus," ","")&amp;",")))&gt;0)),IF(DQ214="",TRUE,IF(input_executive_education_focus="",FALSE,SUMPRODUCT(--ISNUMBER(SEARCH(","&amp;TRIM(TEXTSPLIT(DQ214,","))&amp;",",","&amp;SUBSTITUTE(input_executive_education_focus," ","")&amp;",")))=COUNTA(TEXTSPLIT(DQ214,",")))))</f>
        <v/>
      </c>
      <c r="JE214" s="19">
        <f>AND(IF(DS214="",TRUE,IF(input_faculty_category="",FALSE,SUMPRODUCT(--ISNUMBER(SEARCH(","&amp;TRIM(TEXTSPLIT(DS214,","))&amp;",",","&amp;SUBSTITUTE(input_faculty_category," ","")&amp;",")))&gt;0)),IF(DU214="",TRUE,IF(input_faculty_category="",FALSE,SUMPRODUCT(--ISNUMBER(SEARCH(","&amp;TRIM(TEXTSPLIT(DU214,","))&amp;",",","&amp;SUBSTITUTE(input_faculty_category," ","")&amp;",")))=COUNTA(TEXTSPLIT(DU214,",")))),IF(DW214="",TRUE,IF(input_faculty_category="",TRUE,SUMPRODUCT(--ISNUMBER(SEARCH(","&amp;TRIM(TEXTSPLIT(DW214,","))&amp;",",","&amp;SUBSTITUTE(input_faculty_category," ","")&amp;",")))=0)),IF(DY214="",TRUE,IF(input_faculty_category="",FALSE,SUMPRODUCT(--ISNUMBER(SEARCH(","&amp;TRIM(TEXTSPLIT(DY214,","))&amp;",",","&amp;SUBSTITUTE(input_faculty_category," ","")&amp;",")))&gt;0)),IF(EA214="",TRUE,IF(input_faculty_category="",FALSE,SUMPRODUCT(--ISNUMBER(SEARCH(","&amp;TRIM(TEXTSPLIT(EA214,","))&amp;",",","&amp;SUBSTITUTE(input_faculty_category," ","")&amp;",")))=COUNTA(TEXTSPLIT(EA214,",")))))</f>
        <v/>
      </c>
      <c r="JF214" s="19">
        <f>AND(IF(EC214="",TRUE,IF(input_faculty_discipline="",FALSE,SUMPRODUCT(--ISNUMBER(SEARCH(","&amp;TRIM(TEXTSPLIT(EC214,","))&amp;",",","&amp;SUBSTITUTE(input_faculty_discipline," ","")&amp;",")))&gt;0)),IF(EE214="",TRUE,IF(input_faculty_discipline="",FALSE,SUMPRODUCT(--ISNUMBER(SEARCH(","&amp;TRIM(TEXTSPLIT(EE214,","))&amp;",",","&amp;SUBSTITUTE(input_faculty_discipline," ","")&amp;",")))=COUNTA(TEXTSPLIT(EE214,",")))),IF(EG214="",TRUE,IF(input_faculty_discipline="",TRUE,SUMPRODUCT(--ISNUMBER(SEARCH(","&amp;TRIM(TEXTSPLIT(EG214,","))&amp;",",","&amp;SUBSTITUTE(input_faculty_discipline," ","")&amp;",")))=0)),IF(EI214="",TRUE,IF(input_faculty_discipline="",FALSE,SUMPRODUCT(--ISNUMBER(SEARCH(","&amp;TRIM(TEXTSPLIT(EI214,","))&amp;",",","&amp;SUBSTITUTE(input_faculty_discipline," ","")&amp;",")))&gt;0)),IF(EK214="",TRUE,IF(input_faculty_discipline="",FALSE,SUMPRODUCT(--ISNUMBER(SEARCH(","&amp;TRIM(TEXTSPLIT(EK214,","))&amp;",",","&amp;SUBSTITUTE(input_faculty_discipline," ","")&amp;",")))=COUNTA(TEXTSPLIT(EK214,",")))))</f>
        <v/>
      </c>
      <c r="JG214" s="19">
        <f>AND(IF(EM214="",TRUE,IF(input_faculty_expertise="",FALSE,SUMPRODUCT(--ISNUMBER(SEARCH(","&amp;TRIM(TEXTSPLIT(EM214,","))&amp;",",","&amp;SUBSTITUTE(input_faculty_expertise," ","")&amp;",")))&gt;0)),IF(EO214="",TRUE,IF(input_faculty_expertise="",FALSE,SUMPRODUCT(--ISNUMBER(SEARCH(","&amp;TRIM(TEXTSPLIT(EO214,","))&amp;",",","&amp;SUBSTITUTE(input_faculty_expertise," ","")&amp;",")))=COUNTA(TEXTSPLIT(EO214,",")))),IF(EQ214="",TRUE,IF(input_faculty_expertise="",TRUE,SUMPRODUCT(--ISNUMBER(SEARCH(","&amp;TRIM(TEXTSPLIT(EQ214,","))&amp;",",","&amp;SUBSTITUTE(input_faculty_expertise," ","")&amp;",")))=0)),IF(ES214="",TRUE,IF(input_faculty_expertise="",FALSE,SUMPRODUCT(--ISNUMBER(SEARCH(","&amp;TRIM(TEXTSPLIT(ES214,","))&amp;",",","&amp;SUBSTITUTE(input_faculty_expertise," ","")&amp;",")))&gt;0)),IF(EU214="",TRUE,IF(input_faculty_expertise="",FALSE,SUMPRODUCT(--ISNUMBER(SEARCH(","&amp;TRIM(TEXTSPLIT(EU214,","))&amp;",",","&amp;SUBSTITUTE(input_faculty_expertise," ","")&amp;",")))=COUNTA(TEXTSPLIT(EU214,",")))))</f>
        <v/>
      </c>
      <c r="JH214" s="19">
        <f>AND(IF(EW214="",TRUE,IF(input_global_network_school="",FALSE,SUMPRODUCT(--ISNUMBER(SEARCH(","&amp;TRIM(TEXTSPLIT(EW214,","))&amp;",",","&amp;SUBSTITUTE(input_global_network_school," ","")&amp;",")))&gt;0)),IF(EY214="",TRUE,IF(input_global_network_school="",FALSE,SUMPRODUCT(--ISNUMBER(SEARCH(","&amp;TRIM(TEXTSPLIT(EY214,","))&amp;",",","&amp;SUBSTITUTE(input_global_network_school," ","")&amp;",")))=COUNTA(TEXTSPLIT(EY214,",")))),IF(FA214="",TRUE,IF(input_global_network_school="",TRUE,SUMPRODUCT(--ISNUMBER(SEARCH(","&amp;TRIM(TEXTSPLIT(FA214,","))&amp;",",","&amp;SUBSTITUTE(input_global_network_school," ","")&amp;",")))=0)),IF(FC214="",TRUE,IF(input_global_network_school="",FALSE,SUMPRODUCT(--ISNUMBER(SEARCH(","&amp;TRIM(TEXTSPLIT(FC214,","))&amp;",",","&amp;SUBSTITUTE(input_global_network_school," ","")&amp;",")))&gt;0)),IF(FE214="",TRUE,IF(input_global_network_school="",FALSE,SUMPRODUCT(--ISNUMBER(SEARCH(","&amp;TRIM(TEXTSPLIT(FE214,","))&amp;",",","&amp;SUBSTITUTE(input_global_network_school," ","")&amp;",")))=COUNTA(TEXTSPLIT(FE214,",")))))</f>
        <v/>
      </c>
      <c r="JI214" s="19">
        <f>AND(IF(FG214="",TRUE,IF(input_industry="",FALSE,SUMPRODUCT(--ISNUMBER(SEARCH(","&amp;TRIM(TEXTSPLIT(FG214,","))&amp;",",","&amp;SUBSTITUTE(input_industry," ","")&amp;",")))&gt;0)),IF(FI214="",TRUE,IF(input_industry="",FALSE,SUMPRODUCT(--ISNUMBER(SEARCH(","&amp;TRIM(TEXTSPLIT(FI214,","))&amp;",",","&amp;SUBSTITUTE(input_industry," ","")&amp;",")))=COUNTA(TEXTSPLIT(FI214,",")))),IF(FK214="",TRUE,IF(input_industry="",TRUE,SUMPRODUCT(--ISNUMBER(SEARCH(","&amp;TRIM(TEXTSPLIT(FK214,","))&amp;",",","&amp;SUBSTITUTE(input_industry," ","")&amp;",")))=0)),IF(FM214="",TRUE,IF(input_industry="",FALSE,SUMPRODUCT(--ISNUMBER(SEARCH(","&amp;TRIM(TEXTSPLIT(FM214,","))&amp;",",","&amp;SUBSTITUTE(input_industry," ","")&amp;",")))&gt;0)),IF(FO214="",TRUE,IF(input_industry="",FALSE,SUMPRODUCT(--ISNUMBER(SEARCH(","&amp;TRIM(TEXTSPLIT(FO214,","))&amp;",",","&amp;SUBSTITUTE(input_industry," ","")&amp;",")))=COUNTA(TEXTSPLIT(FO214,",")))))</f>
        <v/>
      </c>
      <c r="JJ214" s="19">
        <f>AND(IF(FQ214="",TRUE,IF(input_location="",FALSE,SUMPRODUCT(--ISNUMBER(SEARCH(","&amp;TRIM(TEXTSPLIT(FQ214,","))&amp;",",","&amp;SUBSTITUTE(input_location," ","")&amp;",")))&gt;0)),IF(FS214="",TRUE,IF(input_location="",FALSE,SUMPRODUCT(--ISNUMBER(SEARCH(","&amp;TRIM(TEXTSPLIT(FS214,","))&amp;",",","&amp;SUBSTITUTE(input_location," ","")&amp;",")))=COUNTA(TEXTSPLIT(FS214,",")))),IF(FU214="",TRUE,IF(input_location="",TRUE,SUMPRODUCT(--ISNUMBER(SEARCH(","&amp;TRIM(TEXTSPLIT(FU214,","))&amp;",",","&amp;SUBSTITUTE(input_location," ","")&amp;",")))=0)),IF(FW214="",TRUE,IF(input_location="",FALSE,SUMPRODUCT(--ISNUMBER(SEARCH(","&amp;TRIM(TEXTSPLIT(FW214,","))&amp;",",","&amp;SUBSTITUTE(input_location," ","")&amp;",")))&gt;0)),IF(FY214="",TRUE,IF(input_location="",FALSE,SUMPRODUCT(--ISNUMBER(SEARCH(","&amp;TRIM(TEXTSPLIT(FY214,","))&amp;",",","&amp;SUBSTITUTE(input_location," ","")&amp;",")))=COUNTA(TEXTSPLIT(FY214,",")))))</f>
        <v/>
      </c>
      <c r="JK214" s="19">
        <f>AND(IF(GA214="",TRUE,IF(input_modality="",FALSE,SUMPRODUCT(--ISNUMBER(SEARCH(","&amp;TRIM(TEXTSPLIT(GA214,","))&amp;",",","&amp;SUBSTITUTE(input_modality," ","")&amp;",")))&gt;0)),IF(GC214="",TRUE,IF(input_modality="",FALSE,SUMPRODUCT(--ISNUMBER(SEARCH(","&amp;TRIM(TEXTSPLIT(GC214,","))&amp;",",","&amp;SUBSTITUTE(input_modality," ","")&amp;",")))=COUNTA(TEXTSPLIT(GC214,",")))),IF(GE214="",TRUE,IF(input_modality="",TRUE,SUMPRODUCT(--ISNUMBER(SEARCH(","&amp;TRIM(TEXTSPLIT(GE214,","))&amp;",",","&amp;SUBSTITUTE(input_modality," ","")&amp;",")))=0)),IF(GG214="",TRUE,IF(input_modality="",FALSE,SUMPRODUCT(--ISNUMBER(SEARCH(","&amp;TRIM(TEXTSPLIT(GG214,","))&amp;",",","&amp;SUBSTITUTE(input_modality," ","")&amp;",")))&gt;0)),IF(GI214="",TRUE,IF(input_modality="",FALSE,SUMPRODUCT(--ISNUMBER(SEARCH(","&amp;TRIM(TEXTSPLIT(GI214,","))&amp;",",","&amp;SUBSTITUTE(input_modality," ","")&amp;",")))=COUNTA(TEXTSPLIT(GI214,",")))))</f>
        <v/>
      </c>
      <c r="JL214" s="19">
        <f>AND(IF(GK214="",TRUE,IF(input_organizer="",FALSE,SUMPRODUCT(--ISNUMBER(SEARCH(","&amp;TRIM(TEXTSPLIT(GK214,","))&amp;",",","&amp;SUBSTITUTE(input_organizer," ","")&amp;",")))&gt;0)),IF(GM214="",TRUE,IF(input_organizer="",FALSE,SUMPRODUCT(--ISNUMBER(SEARCH(","&amp;TRIM(TEXTSPLIT(GM214,","))&amp;",",","&amp;SUBSTITUTE(input_organizer," ","")&amp;",")))=COUNTA(TEXTSPLIT(GM214,",")))),IF(GO214="",TRUE,IF(input_organizer="",TRUE,SUMPRODUCT(--ISNUMBER(SEARCH(","&amp;TRIM(TEXTSPLIT(GO214,","))&amp;",",","&amp;SUBSTITUTE(input_organizer," ","")&amp;",")))=0)),IF(GQ214="",TRUE,IF(input_organizer="",FALSE,SUMPRODUCT(--ISNUMBER(SEARCH(","&amp;TRIM(TEXTSPLIT(GQ214,","))&amp;",",","&amp;SUBSTITUTE(input_organizer," ","")&amp;",")))&gt;0)),IF(GS214="",TRUE,IF(input_organizer="",FALSE,SUMPRODUCT(--ISNUMBER(SEARCH(","&amp;TRIM(TEXTSPLIT(GS214,","))&amp;",",","&amp;SUBSTITUTE(input_organizer," ","")&amp;",")))=COUNTA(TEXTSPLIT(GS214,",")))))</f>
        <v/>
      </c>
      <c r="JM214" s="19">
        <f>AND(IF(GU214="",TRUE,IF(input_profile_type="",FALSE,SUMPRODUCT(--ISNUMBER(SEARCH(","&amp;TRIM(TEXTSPLIT(GU214,","))&amp;",",","&amp;SUBSTITUTE(input_profile_type," ","")&amp;",")))&gt;0)),IF(GW214="",TRUE,IF(input_profile_type="",FALSE,SUMPRODUCT(--ISNUMBER(SEARCH(","&amp;TRIM(TEXTSPLIT(GW214,","))&amp;",",","&amp;SUBSTITUTE(input_profile_type," ","")&amp;",")))=COUNTA(TEXTSPLIT(GW214,",")))),IF(GY214="",TRUE,IF(input_profile_type="",TRUE,SUMPRODUCT(--ISNUMBER(SEARCH(","&amp;TRIM(TEXTSPLIT(GY214,","))&amp;",",","&amp;SUBSTITUTE(input_profile_type," ","")&amp;",")))=0)),IF(HA214="",TRUE,IF(input_profile_type="",FALSE,SUMPRODUCT(--ISNUMBER(SEARCH(","&amp;TRIM(TEXTSPLIT(HA214,","))&amp;",",","&amp;SUBSTITUTE(input_profile_type," ","")&amp;",")))&gt;0)),IF(HC214="",TRUE,IF(input_profile_type="",FALSE,SUMPRODUCT(--ISNUMBER(SEARCH(","&amp;TRIM(TEXTSPLIT(HC214,","))&amp;",",","&amp;SUBSTITUTE(input_profile_type," ","")&amp;",")))=COUNTA(TEXTSPLIT(HC214,",")))))</f>
        <v/>
      </c>
      <c r="JN214" s="19">
        <f>AND(IF(HE214="",TRUE,IF(input_program="",FALSE,SUMPRODUCT(--ISNUMBER(SEARCH(","&amp;TRIM(TEXTSPLIT(HE214,","))&amp;",",","&amp;SUBSTITUTE(input_program," ","")&amp;",")))&gt;0)),IF(HG214="",TRUE,IF(input_program="",FALSE,SUMPRODUCT(--ISNUMBER(SEARCH(","&amp;TRIM(TEXTSPLIT(HG214,","))&amp;",",","&amp;SUBSTITUTE(input_program," ","")&amp;",")))=COUNTA(TEXTSPLIT(HG214,",")))),IF(HI214="",TRUE,IF(input_program="",TRUE,SUMPRODUCT(--ISNUMBER(SEARCH(","&amp;TRIM(TEXTSPLIT(HI214,","))&amp;",",","&amp;SUBSTITUTE(input_program," ","")&amp;",")))=0)),IF(HK214="",TRUE,IF(input_program="",FALSE,SUMPRODUCT(--ISNUMBER(SEARCH(","&amp;TRIM(TEXTSPLIT(HK214,","))&amp;",",","&amp;SUBSTITUTE(input_program," ","")&amp;",")))&gt;0)),IF(HM214="",TRUE,IF(input_program="",FALSE,SUMPRODUCT(--ISNUMBER(SEARCH(","&amp;TRIM(TEXTSPLIT(HM214,","))&amp;",",","&amp;SUBSTITUTE(input_program," ","")&amp;",")))=COUNTA(TEXTSPLIT(HM214,",")))))</f>
        <v/>
      </c>
      <c r="JO214" s="19">
        <f>AND(IF(HO214="",TRUE,IF(input_story_categories="",FALSE,SUMPRODUCT(--ISNUMBER(SEARCH(","&amp;TRIM(TEXTSPLIT(HO214,","))&amp;",",","&amp;SUBSTITUTE(input_story_categories," ","")&amp;",")))&gt;0)),IF(HQ214="",TRUE,IF(input_story_categories="",FALSE,SUMPRODUCT(--ISNUMBER(SEARCH(","&amp;TRIM(TEXTSPLIT(HQ214,","))&amp;",",","&amp;SUBSTITUTE(input_story_categories," ","")&amp;",")))=COUNTA(TEXTSPLIT(HQ214,",")))),IF(HS214="",TRUE,IF(input_story_categories="",TRUE,SUMPRODUCT(--ISNUMBER(SEARCH(","&amp;TRIM(TEXTSPLIT(HS214,","))&amp;",",","&amp;SUBSTITUTE(input_story_categories," ","")&amp;",")))=0)),IF(HU214="",TRUE,IF(input_story_categories="",FALSE,SUMPRODUCT(--ISNUMBER(SEARCH(","&amp;TRIM(TEXTSPLIT(HU214,","))&amp;",",","&amp;SUBSTITUTE(input_story_categories," ","")&amp;",")))&gt;0)),IF(HW214="",TRUE,IF(input_story_categories="",FALSE,SUMPRODUCT(--ISNUMBER(SEARCH(","&amp;TRIM(TEXTSPLIT(HW214,","))&amp;",",","&amp;SUBSTITUTE(input_story_categories," ","")&amp;",")))=COUNTA(TEXTSPLIT(HW214,",")))))</f>
        <v/>
      </c>
      <c r="JP214" s="19">
        <f>AND(IF(HY214="",TRUE,IF(input_story_type="",FALSE,SUMPRODUCT(--ISNUMBER(SEARCH(","&amp;TRIM(TEXTSPLIT(HY214,","))&amp;",",","&amp;SUBSTITUTE(input_story_type," ","")&amp;",")))&gt;0)),IF(IA214="",TRUE,IF(input_story_type="",FALSE,SUMPRODUCT(--ISNUMBER(SEARCH(","&amp;TRIM(TEXTSPLIT(IA214,","))&amp;",",","&amp;SUBSTITUTE(input_story_type," ","")&amp;",")))=COUNTA(TEXTSPLIT(IA214,",")))),IF(IC214="",TRUE,IF(input_story_type="",TRUE,SUMPRODUCT(--ISNUMBER(SEARCH(","&amp;TRIM(TEXTSPLIT(IC214,","))&amp;",",","&amp;SUBSTITUTE(input_story_type," ","")&amp;",")))=0)),IF(IE214="",TRUE,IF(input_story_type="",FALSE,SUMPRODUCT(--ISNUMBER(SEARCH(","&amp;TRIM(TEXTSPLIT(IE214,","))&amp;",",","&amp;SUBSTITUTE(input_story_type," ","")&amp;",")))&gt;0)),IF(IG214="",TRUE,IF(input_story_type="",FALSE,SUMPRODUCT(--ISNUMBER(SEARCH(","&amp;TRIM(TEXTSPLIT(IG214,","))&amp;",",","&amp;SUBSTITUTE(input_story_type," ","")&amp;",")))=COUNTA(TEXTSPLIT(IG214,",")))))</f>
        <v/>
      </c>
      <c r="JQ214" s="19">
        <f>AND(IF(II214="",TRUE,IF(input_topics="",FALSE,SUMPRODUCT(--ISNUMBER(SEARCH(","&amp;TRIM(TEXTSPLIT(II214,","))&amp;",",","&amp;SUBSTITUTE(input_topics," ","")&amp;",")))&gt;0)),IF(IK214="",TRUE,IF(input_topics="",FALSE,SUMPRODUCT(--ISNUMBER(SEARCH(","&amp;TRIM(TEXTSPLIT(IK214,","))&amp;",",","&amp;SUBSTITUTE(input_topics," ","")&amp;",")))=COUNTA(TEXTSPLIT(IK214,",")))),IF(IM214="",TRUE,IF(input_topics="",TRUE,SUMPRODUCT(--ISNUMBER(SEARCH(","&amp;TRIM(TEXTSPLIT(IM214,","))&amp;",",","&amp;SUBSTITUTE(input_topics," ","")&amp;",")))=0)),IF(IO214="",TRUE,IF(input_topics="",FALSE,SUMPRODUCT(--ISNUMBER(SEARCH(","&amp;TRIM(TEXTSPLIT(IO214,","))&amp;",",","&amp;SUBSTITUTE(input_topics," ","")&amp;",")))&gt;0)),IF(IQ214="",TRUE,IF(input_topics="",FALSE,SUMPRODUCT(--ISNUMBER(SEARCH(","&amp;TRIM(TEXTSPLIT(IQ214,","))&amp;",",","&amp;SUBSTITUTE(input_topics," ","")&amp;",")))=COUNTA(TEXTSPLIT(IQ214,",")))))</f>
        <v/>
      </c>
    </row>
    <row r="215">
      <c r="A215" s="24">
        <f>IF(NOT(IS215),"Excluded",IF(AND(IT215,IU215,IV215,IW215,IX215,IY215,IZ215,JA215,JB215,JC215,JD215,JE215,JF215,JG215,JH215,JI215,JJ215,JK215,JL215,JM215,JN215,JO215,JP215,JQ215),IF(I215&gt;0,"Eligible but limited","Will appear"),"Excluded"))</f>
        <v/>
      </c>
      <c r="B215" s="24" t="inlineStr">
        <is>
          <t>Related stories on story pages</t>
        </is>
      </c>
      <c r="C215" s="27" t="inlineStr">
        <is>
          <t>/story/2025/prof-roger-ibbotson-honored-investments-wealth-institute</t>
        </is>
      </c>
      <c r="D215" s="24" t="inlineStr">
        <is>
          <t>/story/2025/prof-roger-ibbotson-honored-investments-wealth-institute</t>
        </is>
      </c>
      <c r="E215" s="24" t="n">
        <v>1</v>
      </c>
      <c r="F215" s="24" t="inlineStr">
        <is>
          <t>story</t>
        </is>
      </c>
      <c r="G215" s="24" t="inlineStr">
        <is>
          <t>stories_teaser_cards</t>
        </is>
      </c>
      <c r="H215" s="24" t="inlineStr">
        <is>
          <t>embed_all</t>
        </is>
      </c>
      <c r="I215" s="24" t="n">
        <v>3</v>
      </c>
      <c r="J215" s="31" t="inlineStr">
        <is>
          <t>Template logic</t>
        </is>
      </c>
      <c r="K215" s="24" t="inlineStr">
        <is>
          <t>Grouped surface</t>
        </is>
      </c>
      <c r="L215" s="24" t="inlineStr">
        <is>
          <t>Content type: story; Context uses Courses Context: International Center for Finance (931); Context uses Story Type: Blog (974); Limited to 3 item(s); Source: Template logic</t>
        </is>
      </c>
      <c r="BQ215" s="19" t="inlineStr">
        <is>
          <t>931</t>
        </is>
      </c>
      <c r="BR215" s="19" t="inlineStr">
        <is>
          <t>International Center for Finance (931)</t>
        </is>
      </c>
      <c r="IE215" s="19" t="inlineStr">
        <is>
          <t>974</t>
        </is>
      </c>
      <c r="IF215" s="19" t="inlineStr">
        <is>
          <t>Blog (974)</t>
        </is>
      </c>
      <c r="IS215" s="19">
        <f>IF(input_content_type="",FALSE,ISNUMBER(SEARCH(","&amp;LOWER(input_content_type)&amp;",",","&amp;LOWER(SUBSTITUTE(F215," ",""))&amp;",")))</f>
        <v/>
      </c>
      <c r="IT215" s="19">
        <f>AND(IF(M215="",TRUE,IF(input_affiliations="",FALSE,SUMPRODUCT(--ISNUMBER(SEARCH(","&amp;TRIM(TEXTSPLIT(M215,","))&amp;",",","&amp;SUBSTITUTE(input_affiliations," ","")&amp;",")))&gt;0)),IF(O215="",TRUE,IF(input_affiliations="",FALSE,SUMPRODUCT(--ISNUMBER(SEARCH(","&amp;TRIM(TEXTSPLIT(O215,","))&amp;",",","&amp;SUBSTITUTE(input_affiliations," ","")&amp;",")))=COUNTA(TEXTSPLIT(O215,",")))),IF(Q215="",TRUE,IF(input_affiliations="",TRUE,SUMPRODUCT(--ISNUMBER(SEARCH(","&amp;TRIM(TEXTSPLIT(Q215,","))&amp;",",","&amp;SUBSTITUTE(input_affiliations," ","")&amp;",")))=0)),IF(S215="",TRUE,IF(input_affiliations="",FALSE,SUMPRODUCT(--ISNUMBER(SEARCH(","&amp;TRIM(TEXTSPLIT(S215,","))&amp;",",","&amp;SUBSTITUTE(input_affiliations," ","")&amp;",")))&gt;0)),IF(U215="",TRUE,IF(input_affiliations="",FALSE,SUMPRODUCT(--ISNUMBER(SEARCH(","&amp;TRIM(TEXTSPLIT(U215,","))&amp;",",","&amp;SUBSTITUTE(input_affiliations," ","")&amp;",")))=COUNTA(TEXTSPLIT(U215,",")))))</f>
        <v/>
      </c>
      <c r="IU215" s="19">
        <f>AND(IF(W215="",TRUE,IF(input_announcement_category="",FALSE,SUMPRODUCT(--ISNUMBER(SEARCH(","&amp;TRIM(TEXTSPLIT(W215,","))&amp;",",","&amp;SUBSTITUTE(input_announcement_category," ","")&amp;",")))&gt;0)),IF(Y215="",TRUE,IF(input_announcement_category="",FALSE,SUMPRODUCT(--ISNUMBER(SEARCH(","&amp;TRIM(TEXTSPLIT(Y215,","))&amp;",",","&amp;SUBSTITUTE(input_announcement_category," ","")&amp;",")))=COUNTA(TEXTSPLIT(Y215,",")))),IF(AA215="",TRUE,IF(input_announcement_category="",TRUE,SUMPRODUCT(--ISNUMBER(SEARCH(","&amp;TRIM(TEXTSPLIT(AA215,","))&amp;",",","&amp;SUBSTITUTE(input_announcement_category," ","")&amp;",")))=0)),IF(AC215="",TRUE,IF(input_announcement_category="",FALSE,SUMPRODUCT(--ISNUMBER(SEARCH(","&amp;TRIM(TEXTSPLIT(AC215,","))&amp;",",","&amp;SUBSTITUTE(input_announcement_category," ","")&amp;",")))&gt;0)),IF(AE215="",TRUE,IF(input_announcement_category="",FALSE,SUMPRODUCT(--ISNUMBER(SEARCH(","&amp;TRIM(TEXTSPLIT(AE215,","))&amp;",",","&amp;SUBSTITUTE(input_announcement_category," ","")&amp;",")))=COUNTA(TEXTSPLIT(AE215,",")))))</f>
        <v/>
      </c>
      <c r="IV215" s="19">
        <f>AND(IF(AG215="",TRUE,IF(input_area_of_focus="",FALSE,SUMPRODUCT(--ISNUMBER(SEARCH(","&amp;TRIM(TEXTSPLIT(AG215,","))&amp;",",","&amp;SUBSTITUTE(input_area_of_focus," ","")&amp;",")))&gt;0)),IF(AI215="",TRUE,IF(input_area_of_focus="",FALSE,SUMPRODUCT(--ISNUMBER(SEARCH(","&amp;TRIM(TEXTSPLIT(AI215,","))&amp;",",","&amp;SUBSTITUTE(input_area_of_focus," ","")&amp;",")))=COUNTA(TEXTSPLIT(AI215,",")))),IF(AK215="",TRUE,IF(input_area_of_focus="",TRUE,SUMPRODUCT(--ISNUMBER(SEARCH(","&amp;TRIM(TEXTSPLIT(AK215,","))&amp;",",","&amp;SUBSTITUTE(input_area_of_focus," ","")&amp;",")))=0)),IF(AM215="",TRUE,IF(input_area_of_focus="",FALSE,SUMPRODUCT(--ISNUMBER(SEARCH(","&amp;TRIM(TEXTSPLIT(AM215,","))&amp;",",","&amp;SUBSTITUTE(input_area_of_focus," ","")&amp;",")))&gt;0)),IF(AO215="",TRUE,IF(input_area_of_focus="",FALSE,SUMPRODUCT(--ISNUMBER(SEARCH(","&amp;TRIM(TEXTSPLIT(AO215,","))&amp;",",","&amp;SUBSTITUTE(input_area_of_focus," ","")&amp;",")))=COUNTA(TEXTSPLIT(AO215,",")))))</f>
        <v/>
      </c>
      <c r="IW215" s="19">
        <f>AND(IF(AQ215="",TRUE,IF(input_audience="",FALSE,SUMPRODUCT(--ISNUMBER(SEARCH(","&amp;TRIM(TEXTSPLIT(AQ215,","))&amp;",",","&amp;SUBSTITUTE(input_audience," ","")&amp;",")))&gt;0)),IF(AS215="",TRUE,IF(input_audience="",FALSE,SUMPRODUCT(--ISNUMBER(SEARCH(","&amp;TRIM(TEXTSPLIT(AS215,","))&amp;",",","&amp;SUBSTITUTE(input_audience," ","")&amp;",")))=COUNTA(TEXTSPLIT(AS215,",")))),IF(AU215="",TRUE,IF(input_audience="",TRUE,SUMPRODUCT(--ISNUMBER(SEARCH(","&amp;TRIM(TEXTSPLIT(AU215,","))&amp;",",","&amp;SUBSTITUTE(input_audience," ","")&amp;",")))=0)),IF(AW215="",TRUE,IF(input_audience="",FALSE,SUMPRODUCT(--ISNUMBER(SEARCH(","&amp;TRIM(TEXTSPLIT(AW215,","))&amp;",",","&amp;SUBSTITUTE(input_audience," ","")&amp;",")))&gt;0)),IF(AY215="",TRUE,IF(input_audience="",FALSE,SUMPRODUCT(--ISNUMBER(SEARCH(","&amp;TRIM(TEXTSPLIT(AY215,","))&amp;",",","&amp;SUBSTITUTE(input_audience," ","")&amp;",")))=COUNTA(TEXTSPLIT(AY215,",")))))</f>
        <v/>
      </c>
      <c r="IX215" s="19">
        <f>AND(IF(BA215="",TRUE,IF(input_challenge_opportunities="",FALSE,SUMPRODUCT(--ISNUMBER(SEARCH(","&amp;TRIM(TEXTSPLIT(BA215,","))&amp;",",","&amp;SUBSTITUTE(input_challenge_opportunities," ","")&amp;",")))&gt;0)),IF(BC215="",TRUE,IF(input_challenge_opportunities="",FALSE,SUMPRODUCT(--ISNUMBER(SEARCH(","&amp;TRIM(TEXTSPLIT(BC215,","))&amp;",",","&amp;SUBSTITUTE(input_challenge_opportunities," ","")&amp;",")))=COUNTA(TEXTSPLIT(BC215,",")))),IF(BE215="",TRUE,IF(input_challenge_opportunities="",TRUE,SUMPRODUCT(--ISNUMBER(SEARCH(","&amp;TRIM(TEXTSPLIT(BE215,","))&amp;",",","&amp;SUBSTITUTE(input_challenge_opportunities," ","")&amp;",")))=0)),IF(BG215="",TRUE,IF(input_challenge_opportunities="",FALSE,SUMPRODUCT(--ISNUMBER(SEARCH(","&amp;TRIM(TEXTSPLIT(BG215,","))&amp;",",","&amp;SUBSTITUTE(input_challenge_opportunities," ","")&amp;",")))&gt;0)),IF(BI215="",TRUE,IF(input_challenge_opportunities="",FALSE,SUMPRODUCT(--ISNUMBER(SEARCH(","&amp;TRIM(TEXTSPLIT(BI215,","))&amp;",",","&amp;SUBSTITUTE(input_challenge_opportunities," ","")&amp;",")))=COUNTA(TEXTSPLIT(BI215,",")))))</f>
        <v/>
      </c>
      <c r="IY215" s="19">
        <f>AND(IF(BK215="",TRUE,IF(input_context="",FALSE,SUMPRODUCT(--ISNUMBER(SEARCH(","&amp;TRIM(TEXTSPLIT(BK215,","))&amp;",",","&amp;SUBSTITUTE(input_context," ","")&amp;",")))&gt;0)),IF(BM215="",TRUE,IF(input_context="",FALSE,SUMPRODUCT(--ISNUMBER(SEARCH(","&amp;TRIM(TEXTSPLIT(BM215,","))&amp;",",","&amp;SUBSTITUTE(input_context," ","")&amp;",")))=COUNTA(TEXTSPLIT(BM215,",")))),IF(BO215="",TRUE,IF(input_context="",TRUE,SUMPRODUCT(--ISNUMBER(SEARCH(","&amp;TRIM(TEXTSPLIT(BO215,","))&amp;",",","&amp;SUBSTITUTE(input_context," ","")&amp;",")))=0)),IF(BQ215="",TRUE,IF(input_context="",FALSE,SUMPRODUCT(--ISNUMBER(SEARCH(","&amp;TRIM(TEXTSPLIT(BQ215,","))&amp;",",","&amp;SUBSTITUTE(input_context," ","")&amp;",")))&gt;0)),IF(BS215="",TRUE,IF(input_context="",FALSE,SUMPRODUCT(--ISNUMBER(SEARCH(","&amp;TRIM(TEXTSPLIT(BS215,","))&amp;",",","&amp;SUBSTITUTE(input_context," ","")&amp;",")))=COUNTA(TEXTSPLIT(BS215,",")))))</f>
        <v/>
      </c>
      <c r="IZ215" s="19">
        <f>AND(IF(BU215="",TRUE,IF(input_enews_announcement_type="",FALSE,SUMPRODUCT(--ISNUMBER(SEARCH(","&amp;TRIM(TEXTSPLIT(BU215,","))&amp;",",","&amp;SUBSTITUTE(input_enews_announcement_type," ","")&amp;",")))&gt;0)),IF(BW215="",TRUE,IF(input_enews_announcement_type="",FALSE,SUMPRODUCT(--ISNUMBER(SEARCH(","&amp;TRIM(TEXTSPLIT(BW215,","))&amp;",",","&amp;SUBSTITUTE(input_enews_announcement_type," ","")&amp;",")))=COUNTA(TEXTSPLIT(BW215,",")))),IF(BY215="",TRUE,IF(input_enews_announcement_type="",TRUE,SUMPRODUCT(--ISNUMBER(SEARCH(","&amp;TRIM(TEXTSPLIT(BY215,","))&amp;",",","&amp;SUBSTITUTE(input_enews_announcement_type," ","")&amp;",")))=0)),IF(CA215="",TRUE,IF(input_enews_announcement_type="",FALSE,SUMPRODUCT(--ISNUMBER(SEARCH(","&amp;TRIM(TEXTSPLIT(CA215,","))&amp;",",","&amp;SUBSTITUTE(input_enews_announcement_type," ","")&amp;",")))&gt;0)),IF(CC215="",TRUE,IF(input_enews_announcement_type="",FALSE,SUMPRODUCT(--ISNUMBER(SEARCH(","&amp;TRIM(TEXTSPLIT(CC215,","))&amp;",",","&amp;SUBSTITUTE(input_enews_announcement_type," ","")&amp;",")))=COUNTA(TEXTSPLIT(CC215,",")))))</f>
        <v/>
      </c>
      <c r="JA215" s="19">
        <f>AND(IF(CE215="",TRUE,IF(input_enews_audience="",FALSE,SUMPRODUCT(--ISNUMBER(SEARCH(","&amp;TRIM(TEXTSPLIT(CE215,","))&amp;",",","&amp;SUBSTITUTE(input_enews_audience," ","")&amp;",")))&gt;0)),IF(CG215="",TRUE,IF(input_enews_audience="",FALSE,SUMPRODUCT(--ISNUMBER(SEARCH(","&amp;TRIM(TEXTSPLIT(CG215,","))&amp;",",","&amp;SUBSTITUTE(input_enews_audience," ","")&amp;",")))=COUNTA(TEXTSPLIT(CG215,",")))),IF(CI215="",TRUE,IF(input_enews_audience="",TRUE,SUMPRODUCT(--ISNUMBER(SEARCH(","&amp;TRIM(TEXTSPLIT(CI215,","))&amp;",",","&amp;SUBSTITUTE(input_enews_audience," ","")&amp;",")))=0)),IF(CK215="",TRUE,IF(input_enews_audience="",FALSE,SUMPRODUCT(--ISNUMBER(SEARCH(","&amp;TRIM(TEXTSPLIT(CK215,","))&amp;",",","&amp;SUBSTITUTE(input_enews_audience," ","")&amp;",")))&gt;0)),IF(CM215="",TRUE,IF(input_enews_audience="",FALSE,SUMPRODUCT(--ISNUMBER(SEARCH(","&amp;TRIM(TEXTSPLIT(CM215,","))&amp;",",","&amp;SUBSTITUTE(input_enews_audience," ","")&amp;",")))=COUNTA(TEXTSPLIT(CM215,",")))))</f>
        <v/>
      </c>
      <c r="JB215" s="19">
        <f>AND(IF(CO215="",TRUE,IF(input_event_location="",FALSE,SUMPRODUCT(--ISNUMBER(SEARCH(","&amp;TRIM(TEXTSPLIT(CO215,","))&amp;",",","&amp;SUBSTITUTE(input_event_location," ","")&amp;",")))&gt;0)),IF(CQ215="",TRUE,IF(input_event_location="",FALSE,SUMPRODUCT(--ISNUMBER(SEARCH(","&amp;TRIM(TEXTSPLIT(CQ215,","))&amp;",",","&amp;SUBSTITUTE(input_event_location," ","")&amp;",")))=COUNTA(TEXTSPLIT(CQ215,",")))),IF(CS215="",TRUE,IF(input_event_location="",TRUE,SUMPRODUCT(--ISNUMBER(SEARCH(","&amp;TRIM(TEXTSPLIT(CS215,","))&amp;",",","&amp;SUBSTITUTE(input_event_location," ","")&amp;",")))=0)),IF(CU215="",TRUE,IF(input_event_location="",FALSE,SUMPRODUCT(--ISNUMBER(SEARCH(","&amp;TRIM(TEXTSPLIT(CU215,","))&amp;",",","&amp;SUBSTITUTE(input_event_location," ","")&amp;",")))&gt;0)),IF(CW215="",TRUE,IF(input_event_location="",FALSE,SUMPRODUCT(--ISNUMBER(SEARCH(","&amp;TRIM(TEXTSPLIT(CW215,","))&amp;",",","&amp;SUBSTITUTE(input_event_location," ","")&amp;",")))=COUNTA(TEXTSPLIT(CW215,",")))))</f>
        <v/>
      </c>
      <c r="JC215" s="19">
        <f>AND(IF(CY215="",TRUE,IF(input_event_type="",FALSE,SUMPRODUCT(--ISNUMBER(SEARCH(","&amp;TRIM(TEXTSPLIT(CY215,","))&amp;",",","&amp;SUBSTITUTE(input_event_type," ","")&amp;",")))&gt;0)),IF(DA215="",TRUE,IF(input_event_type="",FALSE,SUMPRODUCT(--ISNUMBER(SEARCH(","&amp;TRIM(TEXTSPLIT(DA215,","))&amp;",",","&amp;SUBSTITUTE(input_event_type," ","")&amp;",")))=COUNTA(TEXTSPLIT(DA215,",")))),IF(DC215="",TRUE,IF(input_event_type="",TRUE,SUMPRODUCT(--ISNUMBER(SEARCH(","&amp;TRIM(TEXTSPLIT(DC215,","))&amp;",",","&amp;SUBSTITUTE(input_event_type," ","")&amp;",")))=0)),IF(DE215="",TRUE,IF(input_event_type="",FALSE,SUMPRODUCT(--ISNUMBER(SEARCH(","&amp;TRIM(TEXTSPLIT(DE215,","))&amp;",",","&amp;SUBSTITUTE(input_event_type," ","")&amp;",")))&gt;0)),IF(DG215="",TRUE,IF(input_event_type="",FALSE,SUMPRODUCT(--ISNUMBER(SEARCH(","&amp;TRIM(TEXTSPLIT(DG215,","))&amp;",",","&amp;SUBSTITUTE(input_event_type," ","")&amp;",")))=COUNTA(TEXTSPLIT(DG215,",")))))</f>
        <v/>
      </c>
      <c r="JD215" s="19">
        <f>AND(IF(DI215="",TRUE,IF(input_executive_education_focus="",FALSE,SUMPRODUCT(--ISNUMBER(SEARCH(","&amp;TRIM(TEXTSPLIT(DI215,","))&amp;",",","&amp;SUBSTITUTE(input_executive_education_focus," ","")&amp;",")))&gt;0)),IF(DK215="",TRUE,IF(input_executive_education_focus="",FALSE,SUMPRODUCT(--ISNUMBER(SEARCH(","&amp;TRIM(TEXTSPLIT(DK215,","))&amp;",",","&amp;SUBSTITUTE(input_executive_education_focus," ","")&amp;",")))=COUNTA(TEXTSPLIT(DK215,",")))),IF(DM215="",TRUE,IF(input_executive_education_focus="",TRUE,SUMPRODUCT(--ISNUMBER(SEARCH(","&amp;TRIM(TEXTSPLIT(DM215,","))&amp;",",","&amp;SUBSTITUTE(input_executive_education_focus," ","")&amp;",")))=0)),IF(DO215="",TRUE,IF(input_executive_education_focus="",FALSE,SUMPRODUCT(--ISNUMBER(SEARCH(","&amp;TRIM(TEXTSPLIT(DO215,","))&amp;",",","&amp;SUBSTITUTE(input_executive_education_focus," ","")&amp;",")))&gt;0)),IF(DQ215="",TRUE,IF(input_executive_education_focus="",FALSE,SUMPRODUCT(--ISNUMBER(SEARCH(","&amp;TRIM(TEXTSPLIT(DQ215,","))&amp;",",","&amp;SUBSTITUTE(input_executive_education_focus," ","")&amp;",")))=COUNTA(TEXTSPLIT(DQ215,",")))))</f>
        <v/>
      </c>
      <c r="JE215" s="19">
        <f>AND(IF(DS215="",TRUE,IF(input_faculty_category="",FALSE,SUMPRODUCT(--ISNUMBER(SEARCH(","&amp;TRIM(TEXTSPLIT(DS215,","))&amp;",",","&amp;SUBSTITUTE(input_faculty_category," ","")&amp;",")))&gt;0)),IF(DU215="",TRUE,IF(input_faculty_category="",FALSE,SUMPRODUCT(--ISNUMBER(SEARCH(","&amp;TRIM(TEXTSPLIT(DU215,","))&amp;",",","&amp;SUBSTITUTE(input_faculty_category," ","")&amp;",")))=COUNTA(TEXTSPLIT(DU215,",")))),IF(DW215="",TRUE,IF(input_faculty_category="",TRUE,SUMPRODUCT(--ISNUMBER(SEARCH(","&amp;TRIM(TEXTSPLIT(DW215,","))&amp;",",","&amp;SUBSTITUTE(input_faculty_category," ","")&amp;",")))=0)),IF(DY215="",TRUE,IF(input_faculty_category="",FALSE,SUMPRODUCT(--ISNUMBER(SEARCH(","&amp;TRIM(TEXTSPLIT(DY215,","))&amp;",",","&amp;SUBSTITUTE(input_faculty_category," ","")&amp;",")))&gt;0)),IF(EA215="",TRUE,IF(input_faculty_category="",FALSE,SUMPRODUCT(--ISNUMBER(SEARCH(","&amp;TRIM(TEXTSPLIT(EA215,","))&amp;",",","&amp;SUBSTITUTE(input_faculty_category," ","")&amp;",")))=COUNTA(TEXTSPLIT(EA215,",")))))</f>
        <v/>
      </c>
      <c r="JF215" s="19">
        <f>AND(IF(EC215="",TRUE,IF(input_faculty_discipline="",FALSE,SUMPRODUCT(--ISNUMBER(SEARCH(","&amp;TRIM(TEXTSPLIT(EC215,","))&amp;",",","&amp;SUBSTITUTE(input_faculty_discipline," ","")&amp;",")))&gt;0)),IF(EE215="",TRUE,IF(input_faculty_discipline="",FALSE,SUMPRODUCT(--ISNUMBER(SEARCH(","&amp;TRIM(TEXTSPLIT(EE215,","))&amp;",",","&amp;SUBSTITUTE(input_faculty_discipline," ","")&amp;",")))=COUNTA(TEXTSPLIT(EE215,",")))),IF(EG215="",TRUE,IF(input_faculty_discipline="",TRUE,SUMPRODUCT(--ISNUMBER(SEARCH(","&amp;TRIM(TEXTSPLIT(EG215,","))&amp;",",","&amp;SUBSTITUTE(input_faculty_discipline," ","")&amp;",")))=0)),IF(EI215="",TRUE,IF(input_faculty_discipline="",FALSE,SUMPRODUCT(--ISNUMBER(SEARCH(","&amp;TRIM(TEXTSPLIT(EI215,","))&amp;",",","&amp;SUBSTITUTE(input_faculty_discipline," ","")&amp;",")))&gt;0)),IF(EK215="",TRUE,IF(input_faculty_discipline="",FALSE,SUMPRODUCT(--ISNUMBER(SEARCH(","&amp;TRIM(TEXTSPLIT(EK215,","))&amp;",",","&amp;SUBSTITUTE(input_faculty_discipline," ","")&amp;",")))=COUNTA(TEXTSPLIT(EK215,",")))))</f>
        <v/>
      </c>
      <c r="JG215" s="19">
        <f>AND(IF(EM215="",TRUE,IF(input_faculty_expertise="",FALSE,SUMPRODUCT(--ISNUMBER(SEARCH(","&amp;TRIM(TEXTSPLIT(EM215,","))&amp;",",","&amp;SUBSTITUTE(input_faculty_expertise," ","")&amp;",")))&gt;0)),IF(EO215="",TRUE,IF(input_faculty_expertise="",FALSE,SUMPRODUCT(--ISNUMBER(SEARCH(","&amp;TRIM(TEXTSPLIT(EO215,","))&amp;",",","&amp;SUBSTITUTE(input_faculty_expertise," ","")&amp;",")))=COUNTA(TEXTSPLIT(EO215,",")))),IF(EQ215="",TRUE,IF(input_faculty_expertise="",TRUE,SUMPRODUCT(--ISNUMBER(SEARCH(","&amp;TRIM(TEXTSPLIT(EQ215,","))&amp;",",","&amp;SUBSTITUTE(input_faculty_expertise," ","")&amp;",")))=0)),IF(ES215="",TRUE,IF(input_faculty_expertise="",FALSE,SUMPRODUCT(--ISNUMBER(SEARCH(","&amp;TRIM(TEXTSPLIT(ES215,","))&amp;",",","&amp;SUBSTITUTE(input_faculty_expertise," ","")&amp;",")))&gt;0)),IF(EU215="",TRUE,IF(input_faculty_expertise="",FALSE,SUMPRODUCT(--ISNUMBER(SEARCH(","&amp;TRIM(TEXTSPLIT(EU215,","))&amp;",",","&amp;SUBSTITUTE(input_faculty_expertise," ","")&amp;",")))=COUNTA(TEXTSPLIT(EU215,",")))))</f>
        <v/>
      </c>
      <c r="JH215" s="19">
        <f>AND(IF(EW215="",TRUE,IF(input_global_network_school="",FALSE,SUMPRODUCT(--ISNUMBER(SEARCH(","&amp;TRIM(TEXTSPLIT(EW215,","))&amp;",",","&amp;SUBSTITUTE(input_global_network_school," ","")&amp;",")))&gt;0)),IF(EY215="",TRUE,IF(input_global_network_school="",FALSE,SUMPRODUCT(--ISNUMBER(SEARCH(","&amp;TRIM(TEXTSPLIT(EY215,","))&amp;",",","&amp;SUBSTITUTE(input_global_network_school," ","")&amp;",")))=COUNTA(TEXTSPLIT(EY215,",")))),IF(FA215="",TRUE,IF(input_global_network_school="",TRUE,SUMPRODUCT(--ISNUMBER(SEARCH(","&amp;TRIM(TEXTSPLIT(FA215,","))&amp;",",","&amp;SUBSTITUTE(input_global_network_school," ","")&amp;",")))=0)),IF(FC215="",TRUE,IF(input_global_network_school="",FALSE,SUMPRODUCT(--ISNUMBER(SEARCH(","&amp;TRIM(TEXTSPLIT(FC215,","))&amp;",",","&amp;SUBSTITUTE(input_global_network_school," ","")&amp;",")))&gt;0)),IF(FE215="",TRUE,IF(input_global_network_school="",FALSE,SUMPRODUCT(--ISNUMBER(SEARCH(","&amp;TRIM(TEXTSPLIT(FE215,","))&amp;",",","&amp;SUBSTITUTE(input_global_network_school," ","")&amp;",")))=COUNTA(TEXTSPLIT(FE215,",")))))</f>
        <v/>
      </c>
      <c r="JI215" s="19">
        <f>AND(IF(FG215="",TRUE,IF(input_industry="",FALSE,SUMPRODUCT(--ISNUMBER(SEARCH(","&amp;TRIM(TEXTSPLIT(FG215,","))&amp;",",","&amp;SUBSTITUTE(input_industry," ","")&amp;",")))&gt;0)),IF(FI215="",TRUE,IF(input_industry="",FALSE,SUMPRODUCT(--ISNUMBER(SEARCH(","&amp;TRIM(TEXTSPLIT(FI215,","))&amp;",",","&amp;SUBSTITUTE(input_industry," ","")&amp;",")))=COUNTA(TEXTSPLIT(FI215,",")))),IF(FK215="",TRUE,IF(input_industry="",TRUE,SUMPRODUCT(--ISNUMBER(SEARCH(","&amp;TRIM(TEXTSPLIT(FK215,","))&amp;",",","&amp;SUBSTITUTE(input_industry," ","")&amp;",")))=0)),IF(FM215="",TRUE,IF(input_industry="",FALSE,SUMPRODUCT(--ISNUMBER(SEARCH(","&amp;TRIM(TEXTSPLIT(FM215,","))&amp;",",","&amp;SUBSTITUTE(input_industry," ","")&amp;",")))&gt;0)),IF(FO215="",TRUE,IF(input_industry="",FALSE,SUMPRODUCT(--ISNUMBER(SEARCH(","&amp;TRIM(TEXTSPLIT(FO215,","))&amp;",",","&amp;SUBSTITUTE(input_industry," ","")&amp;",")))=COUNTA(TEXTSPLIT(FO215,",")))))</f>
        <v/>
      </c>
      <c r="JJ215" s="19">
        <f>AND(IF(FQ215="",TRUE,IF(input_location="",FALSE,SUMPRODUCT(--ISNUMBER(SEARCH(","&amp;TRIM(TEXTSPLIT(FQ215,","))&amp;",",","&amp;SUBSTITUTE(input_location," ","")&amp;",")))&gt;0)),IF(FS215="",TRUE,IF(input_location="",FALSE,SUMPRODUCT(--ISNUMBER(SEARCH(","&amp;TRIM(TEXTSPLIT(FS215,","))&amp;",",","&amp;SUBSTITUTE(input_location," ","")&amp;",")))=COUNTA(TEXTSPLIT(FS215,",")))),IF(FU215="",TRUE,IF(input_location="",TRUE,SUMPRODUCT(--ISNUMBER(SEARCH(","&amp;TRIM(TEXTSPLIT(FU215,","))&amp;",",","&amp;SUBSTITUTE(input_location," ","")&amp;",")))=0)),IF(FW215="",TRUE,IF(input_location="",FALSE,SUMPRODUCT(--ISNUMBER(SEARCH(","&amp;TRIM(TEXTSPLIT(FW215,","))&amp;",",","&amp;SUBSTITUTE(input_location," ","")&amp;",")))&gt;0)),IF(FY215="",TRUE,IF(input_location="",FALSE,SUMPRODUCT(--ISNUMBER(SEARCH(","&amp;TRIM(TEXTSPLIT(FY215,","))&amp;",",","&amp;SUBSTITUTE(input_location," ","")&amp;",")))=COUNTA(TEXTSPLIT(FY215,",")))))</f>
        <v/>
      </c>
      <c r="JK215" s="19">
        <f>AND(IF(GA215="",TRUE,IF(input_modality="",FALSE,SUMPRODUCT(--ISNUMBER(SEARCH(","&amp;TRIM(TEXTSPLIT(GA215,","))&amp;",",","&amp;SUBSTITUTE(input_modality," ","")&amp;",")))&gt;0)),IF(GC215="",TRUE,IF(input_modality="",FALSE,SUMPRODUCT(--ISNUMBER(SEARCH(","&amp;TRIM(TEXTSPLIT(GC215,","))&amp;",",","&amp;SUBSTITUTE(input_modality," ","")&amp;",")))=COUNTA(TEXTSPLIT(GC215,",")))),IF(GE215="",TRUE,IF(input_modality="",TRUE,SUMPRODUCT(--ISNUMBER(SEARCH(","&amp;TRIM(TEXTSPLIT(GE215,","))&amp;",",","&amp;SUBSTITUTE(input_modality," ","")&amp;",")))=0)),IF(GG215="",TRUE,IF(input_modality="",FALSE,SUMPRODUCT(--ISNUMBER(SEARCH(","&amp;TRIM(TEXTSPLIT(GG215,","))&amp;",",","&amp;SUBSTITUTE(input_modality," ","")&amp;",")))&gt;0)),IF(GI215="",TRUE,IF(input_modality="",FALSE,SUMPRODUCT(--ISNUMBER(SEARCH(","&amp;TRIM(TEXTSPLIT(GI215,","))&amp;",",","&amp;SUBSTITUTE(input_modality," ","")&amp;",")))=COUNTA(TEXTSPLIT(GI215,",")))))</f>
        <v/>
      </c>
      <c r="JL215" s="19">
        <f>AND(IF(GK215="",TRUE,IF(input_organizer="",FALSE,SUMPRODUCT(--ISNUMBER(SEARCH(","&amp;TRIM(TEXTSPLIT(GK215,","))&amp;",",","&amp;SUBSTITUTE(input_organizer," ","")&amp;",")))&gt;0)),IF(GM215="",TRUE,IF(input_organizer="",FALSE,SUMPRODUCT(--ISNUMBER(SEARCH(","&amp;TRIM(TEXTSPLIT(GM215,","))&amp;",",","&amp;SUBSTITUTE(input_organizer," ","")&amp;",")))=COUNTA(TEXTSPLIT(GM215,",")))),IF(GO215="",TRUE,IF(input_organizer="",TRUE,SUMPRODUCT(--ISNUMBER(SEARCH(","&amp;TRIM(TEXTSPLIT(GO215,","))&amp;",",","&amp;SUBSTITUTE(input_organizer," ","")&amp;",")))=0)),IF(GQ215="",TRUE,IF(input_organizer="",FALSE,SUMPRODUCT(--ISNUMBER(SEARCH(","&amp;TRIM(TEXTSPLIT(GQ215,","))&amp;",",","&amp;SUBSTITUTE(input_organizer," ","")&amp;",")))&gt;0)),IF(GS215="",TRUE,IF(input_organizer="",FALSE,SUMPRODUCT(--ISNUMBER(SEARCH(","&amp;TRIM(TEXTSPLIT(GS215,","))&amp;",",","&amp;SUBSTITUTE(input_organizer," ","")&amp;",")))=COUNTA(TEXTSPLIT(GS215,",")))))</f>
        <v/>
      </c>
      <c r="JM215" s="19">
        <f>AND(IF(GU215="",TRUE,IF(input_profile_type="",FALSE,SUMPRODUCT(--ISNUMBER(SEARCH(","&amp;TRIM(TEXTSPLIT(GU215,","))&amp;",",","&amp;SUBSTITUTE(input_profile_type," ","")&amp;",")))&gt;0)),IF(GW215="",TRUE,IF(input_profile_type="",FALSE,SUMPRODUCT(--ISNUMBER(SEARCH(","&amp;TRIM(TEXTSPLIT(GW215,","))&amp;",",","&amp;SUBSTITUTE(input_profile_type," ","")&amp;",")))=COUNTA(TEXTSPLIT(GW215,",")))),IF(GY215="",TRUE,IF(input_profile_type="",TRUE,SUMPRODUCT(--ISNUMBER(SEARCH(","&amp;TRIM(TEXTSPLIT(GY215,","))&amp;",",","&amp;SUBSTITUTE(input_profile_type," ","")&amp;",")))=0)),IF(HA215="",TRUE,IF(input_profile_type="",FALSE,SUMPRODUCT(--ISNUMBER(SEARCH(","&amp;TRIM(TEXTSPLIT(HA215,","))&amp;",",","&amp;SUBSTITUTE(input_profile_type," ","")&amp;",")))&gt;0)),IF(HC215="",TRUE,IF(input_profile_type="",FALSE,SUMPRODUCT(--ISNUMBER(SEARCH(","&amp;TRIM(TEXTSPLIT(HC215,","))&amp;",",","&amp;SUBSTITUTE(input_profile_type," ","")&amp;",")))=COUNTA(TEXTSPLIT(HC215,",")))))</f>
        <v/>
      </c>
      <c r="JN215" s="19">
        <f>AND(IF(HE215="",TRUE,IF(input_program="",FALSE,SUMPRODUCT(--ISNUMBER(SEARCH(","&amp;TRIM(TEXTSPLIT(HE215,","))&amp;",",","&amp;SUBSTITUTE(input_program," ","")&amp;",")))&gt;0)),IF(HG215="",TRUE,IF(input_program="",FALSE,SUMPRODUCT(--ISNUMBER(SEARCH(","&amp;TRIM(TEXTSPLIT(HG215,","))&amp;",",","&amp;SUBSTITUTE(input_program," ","")&amp;",")))=COUNTA(TEXTSPLIT(HG215,",")))),IF(HI215="",TRUE,IF(input_program="",TRUE,SUMPRODUCT(--ISNUMBER(SEARCH(","&amp;TRIM(TEXTSPLIT(HI215,","))&amp;",",","&amp;SUBSTITUTE(input_program," ","")&amp;",")))=0)),IF(HK215="",TRUE,IF(input_program="",FALSE,SUMPRODUCT(--ISNUMBER(SEARCH(","&amp;TRIM(TEXTSPLIT(HK215,","))&amp;",",","&amp;SUBSTITUTE(input_program," ","")&amp;",")))&gt;0)),IF(HM215="",TRUE,IF(input_program="",FALSE,SUMPRODUCT(--ISNUMBER(SEARCH(","&amp;TRIM(TEXTSPLIT(HM215,","))&amp;",",","&amp;SUBSTITUTE(input_program," ","")&amp;",")))=COUNTA(TEXTSPLIT(HM215,",")))))</f>
        <v/>
      </c>
      <c r="JO215" s="19">
        <f>AND(IF(HO215="",TRUE,IF(input_story_categories="",FALSE,SUMPRODUCT(--ISNUMBER(SEARCH(","&amp;TRIM(TEXTSPLIT(HO215,","))&amp;",",","&amp;SUBSTITUTE(input_story_categories," ","")&amp;",")))&gt;0)),IF(HQ215="",TRUE,IF(input_story_categories="",FALSE,SUMPRODUCT(--ISNUMBER(SEARCH(","&amp;TRIM(TEXTSPLIT(HQ215,","))&amp;",",","&amp;SUBSTITUTE(input_story_categories," ","")&amp;",")))=COUNTA(TEXTSPLIT(HQ215,",")))),IF(HS215="",TRUE,IF(input_story_categories="",TRUE,SUMPRODUCT(--ISNUMBER(SEARCH(","&amp;TRIM(TEXTSPLIT(HS215,","))&amp;",",","&amp;SUBSTITUTE(input_story_categories," ","")&amp;",")))=0)),IF(HU215="",TRUE,IF(input_story_categories="",FALSE,SUMPRODUCT(--ISNUMBER(SEARCH(","&amp;TRIM(TEXTSPLIT(HU215,","))&amp;",",","&amp;SUBSTITUTE(input_story_categories," ","")&amp;",")))&gt;0)),IF(HW215="",TRUE,IF(input_story_categories="",FALSE,SUMPRODUCT(--ISNUMBER(SEARCH(","&amp;TRIM(TEXTSPLIT(HW215,","))&amp;",",","&amp;SUBSTITUTE(input_story_categories," ","")&amp;",")))=COUNTA(TEXTSPLIT(HW215,",")))))</f>
        <v/>
      </c>
      <c r="JP215" s="19">
        <f>AND(IF(HY215="",TRUE,IF(input_story_type="",FALSE,SUMPRODUCT(--ISNUMBER(SEARCH(","&amp;TRIM(TEXTSPLIT(HY215,","))&amp;",",","&amp;SUBSTITUTE(input_story_type," ","")&amp;",")))&gt;0)),IF(IA215="",TRUE,IF(input_story_type="",FALSE,SUMPRODUCT(--ISNUMBER(SEARCH(","&amp;TRIM(TEXTSPLIT(IA215,","))&amp;",",","&amp;SUBSTITUTE(input_story_type," ","")&amp;",")))=COUNTA(TEXTSPLIT(IA215,",")))),IF(IC215="",TRUE,IF(input_story_type="",TRUE,SUMPRODUCT(--ISNUMBER(SEARCH(","&amp;TRIM(TEXTSPLIT(IC215,","))&amp;",",","&amp;SUBSTITUTE(input_story_type," ","")&amp;",")))=0)),IF(IE215="",TRUE,IF(input_story_type="",FALSE,SUMPRODUCT(--ISNUMBER(SEARCH(","&amp;TRIM(TEXTSPLIT(IE215,","))&amp;",",","&amp;SUBSTITUTE(input_story_type," ","")&amp;",")))&gt;0)),IF(IG215="",TRUE,IF(input_story_type="",FALSE,SUMPRODUCT(--ISNUMBER(SEARCH(","&amp;TRIM(TEXTSPLIT(IG215,","))&amp;",",","&amp;SUBSTITUTE(input_story_type," ","")&amp;",")))=COUNTA(TEXTSPLIT(IG215,",")))))</f>
        <v/>
      </c>
      <c r="JQ215" s="19">
        <f>AND(IF(II215="",TRUE,IF(input_topics="",FALSE,SUMPRODUCT(--ISNUMBER(SEARCH(","&amp;TRIM(TEXTSPLIT(II215,","))&amp;",",","&amp;SUBSTITUTE(input_topics," ","")&amp;",")))&gt;0)),IF(IK215="",TRUE,IF(input_topics="",FALSE,SUMPRODUCT(--ISNUMBER(SEARCH(","&amp;TRIM(TEXTSPLIT(IK215,","))&amp;",",","&amp;SUBSTITUTE(input_topics," ","")&amp;",")))=COUNTA(TEXTSPLIT(IK215,",")))),IF(IM215="",TRUE,IF(input_topics="",TRUE,SUMPRODUCT(--ISNUMBER(SEARCH(","&amp;TRIM(TEXTSPLIT(IM215,","))&amp;",",","&amp;SUBSTITUTE(input_topics," ","")&amp;",")))=0)),IF(IO215="",TRUE,IF(input_topics="",FALSE,SUMPRODUCT(--ISNUMBER(SEARCH(","&amp;TRIM(TEXTSPLIT(IO215,","))&amp;",",","&amp;SUBSTITUTE(input_topics," ","")&amp;",")))&gt;0)),IF(IQ215="",TRUE,IF(input_topics="",FALSE,SUMPRODUCT(--ISNUMBER(SEARCH(","&amp;TRIM(TEXTSPLIT(IQ215,","))&amp;",",","&amp;SUBSTITUTE(input_topics," ","")&amp;",")))=COUNTA(TEXTSPLIT(IQ215,",")))))</f>
        <v/>
      </c>
    </row>
    <row r="216">
      <c r="A216" s="24">
        <f>IF(NOT(IS216),"Excluded",IF(AND(IT216,IU216,IV216,IW216,IX216,IY216,IZ216,JA216,JB216,JC216,JD216,JE216,JF216,JG216,JH216,JI216,JJ216,JK216,JL216,JM216,JN216,JO216,JP216,JQ216),IF(I216&gt;0,"Eligible but limited","Will appear"),"Excluded"))</f>
        <v/>
      </c>
      <c r="B216" s="24" t="inlineStr">
        <is>
          <t>Related stories on story pages</t>
        </is>
      </c>
      <c r="C216" s="27" t="inlineStr">
        <is>
          <t>/story/2025/swensen-symposium-celebrates-yale-cios-lasting-legacy</t>
        </is>
      </c>
      <c r="D216" s="24" t="inlineStr">
        <is>
          <t>/story/2025/swensen-symposium-celebrates-yale-cios-lasting-legacy</t>
        </is>
      </c>
      <c r="E216" s="24" t="n">
        <v>1</v>
      </c>
      <c r="F216" s="24" t="inlineStr">
        <is>
          <t>story</t>
        </is>
      </c>
      <c r="G216" s="24" t="inlineStr">
        <is>
          <t>stories_teaser_cards</t>
        </is>
      </c>
      <c r="H216" s="24" t="inlineStr">
        <is>
          <t>embed_all</t>
        </is>
      </c>
      <c r="I216" s="24" t="n">
        <v>3</v>
      </c>
      <c r="J216" s="31" t="inlineStr">
        <is>
          <t>Template logic</t>
        </is>
      </c>
      <c r="K216" s="24" t="inlineStr">
        <is>
          <t>Grouped surface</t>
        </is>
      </c>
      <c r="L216" s="24" t="inlineStr">
        <is>
          <t>Content type: story; Context uses Courses Context: Swensen Asset Management Institute (1174); Context uses Story Type: News (924); Limited to 3 item(s); Source: Template logic</t>
        </is>
      </c>
      <c r="BQ216" s="19" t="inlineStr">
        <is>
          <t>1174</t>
        </is>
      </c>
      <c r="BR216" s="19" t="inlineStr">
        <is>
          <t>Swensen Asset Management Institute (1174)</t>
        </is>
      </c>
      <c r="IE216" s="19" t="inlineStr">
        <is>
          <t>924</t>
        </is>
      </c>
      <c r="IF216" s="19" t="inlineStr">
        <is>
          <t>News (924)</t>
        </is>
      </c>
      <c r="IS216" s="19">
        <f>IF(input_content_type="",FALSE,ISNUMBER(SEARCH(","&amp;LOWER(input_content_type)&amp;",",","&amp;LOWER(SUBSTITUTE(F216," ",""))&amp;",")))</f>
        <v/>
      </c>
      <c r="IT216" s="19">
        <f>AND(IF(M216="",TRUE,IF(input_affiliations="",FALSE,SUMPRODUCT(--ISNUMBER(SEARCH(","&amp;TRIM(TEXTSPLIT(M216,","))&amp;",",","&amp;SUBSTITUTE(input_affiliations," ","")&amp;",")))&gt;0)),IF(O216="",TRUE,IF(input_affiliations="",FALSE,SUMPRODUCT(--ISNUMBER(SEARCH(","&amp;TRIM(TEXTSPLIT(O216,","))&amp;",",","&amp;SUBSTITUTE(input_affiliations," ","")&amp;",")))=COUNTA(TEXTSPLIT(O216,",")))),IF(Q216="",TRUE,IF(input_affiliations="",TRUE,SUMPRODUCT(--ISNUMBER(SEARCH(","&amp;TRIM(TEXTSPLIT(Q216,","))&amp;",",","&amp;SUBSTITUTE(input_affiliations," ","")&amp;",")))=0)),IF(S216="",TRUE,IF(input_affiliations="",FALSE,SUMPRODUCT(--ISNUMBER(SEARCH(","&amp;TRIM(TEXTSPLIT(S216,","))&amp;",",","&amp;SUBSTITUTE(input_affiliations," ","")&amp;",")))&gt;0)),IF(U216="",TRUE,IF(input_affiliations="",FALSE,SUMPRODUCT(--ISNUMBER(SEARCH(","&amp;TRIM(TEXTSPLIT(U216,","))&amp;",",","&amp;SUBSTITUTE(input_affiliations," ","")&amp;",")))=COUNTA(TEXTSPLIT(U216,",")))))</f>
        <v/>
      </c>
      <c r="IU216" s="19">
        <f>AND(IF(W216="",TRUE,IF(input_announcement_category="",FALSE,SUMPRODUCT(--ISNUMBER(SEARCH(","&amp;TRIM(TEXTSPLIT(W216,","))&amp;",",","&amp;SUBSTITUTE(input_announcement_category," ","")&amp;",")))&gt;0)),IF(Y216="",TRUE,IF(input_announcement_category="",FALSE,SUMPRODUCT(--ISNUMBER(SEARCH(","&amp;TRIM(TEXTSPLIT(Y216,","))&amp;",",","&amp;SUBSTITUTE(input_announcement_category," ","")&amp;",")))=COUNTA(TEXTSPLIT(Y216,",")))),IF(AA216="",TRUE,IF(input_announcement_category="",TRUE,SUMPRODUCT(--ISNUMBER(SEARCH(","&amp;TRIM(TEXTSPLIT(AA216,","))&amp;",",","&amp;SUBSTITUTE(input_announcement_category," ","")&amp;",")))=0)),IF(AC216="",TRUE,IF(input_announcement_category="",FALSE,SUMPRODUCT(--ISNUMBER(SEARCH(","&amp;TRIM(TEXTSPLIT(AC216,","))&amp;",",","&amp;SUBSTITUTE(input_announcement_category," ","")&amp;",")))&gt;0)),IF(AE216="",TRUE,IF(input_announcement_category="",FALSE,SUMPRODUCT(--ISNUMBER(SEARCH(","&amp;TRIM(TEXTSPLIT(AE216,","))&amp;",",","&amp;SUBSTITUTE(input_announcement_category," ","")&amp;",")))=COUNTA(TEXTSPLIT(AE216,",")))))</f>
        <v/>
      </c>
      <c r="IV216" s="19">
        <f>AND(IF(AG216="",TRUE,IF(input_area_of_focus="",FALSE,SUMPRODUCT(--ISNUMBER(SEARCH(","&amp;TRIM(TEXTSPLIT(AG216,","))&amp;",",","&amp;SUBSTITUTE(input_area_of_focus," ","")&amp;",")))&gt;0)),IF(AI216="",TRUE,IF(input_area_of_focus="",FALSE,SUMPRODUCT(--ISNUMBER(SEARCH(","&amp;TRIM(TEXTSPLIT(AI216,","))&amp;",",","&amp;SUBSTITUTE(input_area_of_focus," ","")&amp;",")))=COUNTA(TEXTSPLIT(AI216,",")))),IF(AK216="",TRUE,IF(input_area_of_focus="",TRUE,SUMPRODUCT(--ISNUMBER(SEARCH(","&amp;TRIM(TEXTSPLIT(AK216,","))&amp;",",","&amp;SUBSTITUTE(input_area_of_focus," ","")&amp;",")))=0)),IF(AM216="",TRUE,IF(input_area_of_focus="",FALSE,SUMPRODUCT(--ISNUMBER(SEARCH(","&amp;TRIM(TEXTSPLIT(AM216,","))&amp;",",","&amp;SUBSTITUTE(input_area_of_focus," ","")&amp;",")))&gt;0)),IF(AO216="",TRUE,IF(input_area_of_focus="",FALSE,SUMPRODUCT(--ISNUMBER(SEARCH(","&amp;TRIM(TEXTSPLIT(AO216,","))&amp;",",","&amp;SUBSTITUTE(input_area_of_focus," ","")&amp;",")))=COUNTA(TEXTSPLIT(AO216,",")))))</f>
        <v/>
      </c>
      <c r="IW216" s="19">
        <f>AND(IF(AQ216="",TRUE,IF(input_audience="",FALSE,SUMPRODUCT(--ISNUMBER(SEARCH(","&amp;TRIM(TEXTSPLIT(AQ216,","))&amp;",",","&amp;SUBSTITUTE(input_audience," ","")&amp;",")))&gt;0)),IF(AS216="",TRUE,IF(input_audience="",FALSE,SUMPRODUCT(--ISNUMBER(SEARCH(","&amp;TRIM(TEXTSPLIT(AS216,","))&amp;",",","&amp;SUBSTITUTE(input_audience," ","")&amp;",")))=COUNTA(TEXTSPLIT(AS216,",")))),IF(AU216="",TRUE,IF(input_audience="",TRUE,SUMPRODUCT(--ISNUMBER(SEARCH(","&amp;TRIM(TEXTSPLIT(AU216,","))&amp;",",","&amp;SUBSTITUTE(input_audience," ","")&amp;",")))=0)),IF(AW216="",TRUE,IF(input_audience="",FALSE,SUMPRODUCT(--ISNUMBER(SEARCH(","&amp;TRIM(TEXTSPLIT(AW216,","))&amp;",",","&amp;SUBSTITUTE(input_audience," ","")&amp;",")))&gt;0)),IF(AY216="",TRUE,IF(input_audience="",FALSE,SUMPRODUCT(--ISNUMBER(SEARCH(","&amp;TRIM(TEXTSPLIT(AY216,","))&amp;",",","&amp;SUBSTITUTE(input_audience," ","")&amp;",")))=COUNTA(TEXTSPLIT(AY216,",")))))</f>
        <v/>
      </c>
      <c r="IX216" s="19">
        <f>AND(IF(BA216="",TRUE,IF(input_challenge_opportunities="",FALSE,SUMPRODUCT(--ISNUMBER(SEARCH(","&amp;TRIM(TEXTSPLIT(BA216,","))&amp;",",","&amp;SUBSTITUTE(input_challenge_opportunities," ","")&amp;",")))&gt;0)),IF(BC216="",TRUE,IF(input_challenge_opportunities="",FALSE,SUMPRODUCT(--ISNUMBER(SEARCH(","&amp;TRIM(TEXTSPLIT(BC216,","))&amp;",",","&amp;SUBSTITUTE(input_challenge_opportunities," ","")&amp;",")))=COUNTA(TEXTSPLIT(BC216,",")))),IF(BE216="",TRUE,IF(input_challenge_opportunities="",TRUE,SUMPRODUCT(--ISNUMBER(SEARCH(","&amp;TRIM(TEXTSPLIT(BE216,","))&amp;",",","&amp;SUBSTITUTE(input_challenge_opportunities," ","")&amp;",")))=0)),IF(BG216="",TRUE,IF(input_challenge_opportunities="",FALSE,SUMPRODUCT(--ISNUMBER(SEARCH(","&amp;TRIM(TEXTSPLIT(BG216,","))&amp;",",","&amp;SUBSTITUTE(input_challenge_opportunities," ","")&amp;",")))&gt;0)),IF(BI216="",TRUE,IF(input_challenge_opportunities="",FALSE,SUMPRODUCT(--ISNUMBER(SEARCH(","&amp;TRIM(TEXTSPLIT(BI216,","))&amp;",",","&amp;SUBSTITUTE(input_challenge_opportunities," ","")&amp;",")))=COUNTA(TEXTSPLIT(BI216,",")))))</f>
        <v/>
      </c>
      <c r="IY216" s="19">
        <f>AND(IF(BK216="",TRUE,IF(input_context="",FALSE,SUMPRODUCT(--ISNUMBER(SEARCH(","&amp;TRIM(TEXTSPLIT(BK216,","))&amp;",",","&amp;SUBSTITUTE(input_context," ","")&amp;",")))&gt;0)),IF(BM216="",TRUE,IF(input_context="",FALSE,SUMPRODUCT(--ISNUMBER(SEARCH(","&amp;TRIM(TEXTSPLIT(BM216,","))&amp;",",","&amp;SUBSTITUTE(input_context," ","")&amp;",")))=COUNTA(TEXTSPLIT(BM216,",")))),IF(BO216="",TRUE,IF(input_context="",TRUE,SUMPRODUCT(--ISNUMBER(SEARCH(","&amp;TRIM(TEXTSPLIT(BO216,","))&amp;",",","&amp;SUBSTITUTE(input_context," ","")&amp;",")))=0)),IF(BQ216="",TRUE,IF(input_context="",FALSE,SUMPRODUCT(--ISNUMBER(SEARCH(","&amp;TRIM(TEXTSPLIT(BQ216,","))&amp;",",","&amp;SUBSTITUTE(input_context," ","")&amp;",")))&gt;0)),IF(BS216="",TRUE,IF(input_context="",FALSE,SUMPRODUCT(--ISNUMBER(SEARCH(","&amp;TRIM(TEXTSPLIT(BS216,","))&amp;",",","&amp;SUBSTITUTE(input_context," ","")&amp;",")))=COUNTA(TEXTSPLIT(BS216,",")))))</f>
        <v/>
      </c>
      <c r="IZ216" s="19">
        <f>AND(IF(BU216="",TRUE,IF(input_enews_announcement_type="",FALSE,SUMPRODUCT(--ISNUMBER(SEARCH(","&amp;TRIM(TEXTSPLIT(BU216,","))&amp;",",","&amp;SUBSTITUTE(input_enews_announcement_type," ","")&amp;",")))&gt;0)),IF(BW216="",TRUE,IF(input_enews_announcement_type="",FALSE,SUMPRODUCT(--ISNUMBER(SEARCH(","&amp;TRIM(TEXTSPLIT(BW216,","))&amp;",",","&amp;SUBSTITUTE(input_enews_announcement_type," ","")&amp;",")))=COUNTA(TEXTSPLIT(BW216,",")))),IF(BY216="",TRUE,IF(input_enews_announcement_type="",TRUE,SUMPRODUCT(--ISNUMBER(SEARCH(","&amp;TRIM(TEXTSPLIT(BY216,","))&amp;",",","&amp;SUBSTITUTE(input_enews_announcement_type," ","")&amp;",")))=0)),IF(CA216="",TRUE,IF(input_enews_announcement_type="",FALSE,SUMPRODUCT(--ISNUMBER(SEARCH(","&amp;TRIM(TEXTSPLIT(CA216,","))&amp;",",","&amp;SUBSTITUTE(input_enews_announcement_type," ","")&amp;",")))&gt;0)),IF(CC216="",TRUE,IF(input_enews_announcement_type="",FALSE,SUMPRODUCT(--ISNUMBER(SEARCH(","&amp;TRIM(TEXTSPLIT(CC216,","))&amp;",",","&amp;SUBSTITUTE(input_enews_announcement_type," ","")&amp;",")))=COUNTA(TEXTSPLIT(CC216,",")))))</f>
        <v/>
      </c>
      <c r="JA216" s="19">
        <f>AND(IF(CE216="",TRUE,IF(input_enews_audience="",FALSE,SUMPRODUCT(--ISNUMBER(SEARCH(","&amp;TRIM(TEXTSPLIT(CE216,","))&amp;",",","&amp;SUBSTITUTE(input_enews_audience," ","")&amp;",")))&gt;0)),IF(CG216="",TRUE,IF(input_enews_audience="",FALSE,SUMPRODUCT(--ISNUMBER(SEARCH(","&amp;TRIM(TEXTSPLIT(CG216,","))&amp;",",","&amp;SUBSTITUTE(input_enews_audience," ","")&amp;",")))=COUNTA(TEXTSPLIT(CG216,",")))),IF(CI216="",TRUE,IF(input_enews_audience="",TRUE,SUMPRODUCT(--ISNUMBER(SEARCH(","&amp;TRIM(TEXTSPLIT(CI216,","))&amp;",",","&amp;SUBSTITUTE(input_enews_audience," ","")&amp;",")))=0)),IF(CK216="",TRUE,IF(input_enews_audience="",FALSE,SUMPRODUCT(--ISNUMBER(SEARCH(","&amp;TRIM(TEXTSPLIT(CK216,","))&amp;",",","&amp;SUBSTITUTE(input_enews_audience," ","")&amp;",")))&gt;0)),IF(CM216="",TRUE,IF(input_enews_audience="",FALSE,SUMPRODUCT(--ISNUMBER(SEARCH(","&amp;TRIM(TEXTSPLIT(CM216,","))&amp;",",","&amp;SUBSTITUTE(input_enews_audience," ","")&amp;",")))=COUNTA(TEXTSPLIT(CM216,",")))))</f>
        <v/>
      </c>
      <c r="JB216" s="19">
        <f>AND(IF(CO216="",TRUE,IF(input_event_location="",FALSE,SUMPRODUCT(--ISNUMBER(SEARCH(","&amp;TRIM(TEXTSPLIT(CO216,","))&amp;",",","&amp;SUBSTITUTE(input_event_location," ","")&amp;",")))&gt;0)),IF(CQ216="",TRUE,IF(input_event_location="",FALSE,SUMPRODUCT(--ISNUMBER(SEARCH(","&amp;TRIM(TEXTSPLIT(CQ216,","))&amp;",",","&amp;SUBSTITUTE(input_event_location," ","")&amp;",")))=COUNTA(TEXTSPLIT(CQ216,",")))),IF(CS216="",TRUE,IF(input_event_location="",TRUE,SUMPRODUCT(--ISNUMBER(SEARCH(","&amp;TRIM(TEXTSPLIT(CS216,","))&amp;",",","&amp;SUBSTITUTE(input_event_location," ","")&amp;",")))=0)),IF(CU216="",TRUE,IF(input_event_location="",FALSE,SUMPRODUCT(--ISNUMBER(SEARCH(","&amp;TRIM(TEXTSPLIT(CU216,","))&amp;",",","&amp;SUBSTITUTE(input_event_location," ","")&amp;",")))&gt;0)),IF(CW216="",TRUE,IF(input_event_location="",FALSE,SUMPRODUCT(--ISNUMBER(SEARCH(","&amp;TRIM(TEXTSPLIT(CW216,","))&amp;",",","&amp;SUBSTITUTE(input_event_location," ","")&amp;",")))=COUNTA(TEXTSPLIT(CW216,",")))))</f>
        <v/>
      </c>
      <c r="JC216" s="19">
        <f>AND(IF(CY216="",TRUE,IF(input_event_type="",FALSE,SUMPRODUCT(--ISNUMBER(SEARCH(","&amp;TRIM(TEXTSPLIT(CY216,","))&amp;",",","&amp;SUBSTITUTE(input_event_type," ","")&amp;",")))&gt;0)),IF(DA216="",TRUE,IF(input_event_type="",FALSE,SUMPRODUCT(--ISNUMBER(SEARCH(","&amp;TRIM(TEXTSPLIT(DA216,","))&amp;",",","&amp;SUBSTITUTE(input_event_type," ","")&amp;",")))=COUNTA(TEXTSPLIT(DA216,",")))),IF(DC216="",TRUE,IF(input_event_type="",TRUE,SUMPRODUCT(--ISNUMBER(SEARCH(","&amp;TRIM(TEXTSPLIT(DC216,","))&amp;",",","&amp;SUBSTITUTE(input_event_type," ","")&amp;",")))=0)),IF(DE216="",TRUE,IF(input_event_type="",FALSE,SUMPRODUCT(--ISNUMBER(SEARCH(","&amp;TRIM(TEXTSPLIT(DE216,","))&amp;",",","&amp;SUBSTITUTE(input_event_type," ","")&amp;",")))&gt;0)),IF(DG216="",TRUE,IF(input_event_type="",FALSE,SUMPRODUCT(--ISNUMBER(SEARCH(","&amp;TRIM(TEXTSPLIT(DG216,","))&amp;",",","&amp;SUBSTITUTE(input_event_type," ","")&amp;",")))=COUNTA(TEXTSPLIT(DG216,",")))))</f>
        <v/>
      </c>
      <c r="JD216" s="19">
        <f>AND(IF(DI216="",TRUE,IF(input_executive_education_focus="",FALSE,SUMPRODUCT(--ISNUMBER(SEARCH(","&amp;TRIM(TEXTSPLIT(DI216,","))&amp;",",","&amp;SUBSTITUTE(input_executive_education_focus," ","")&amp;",")))&gt;0)),IF(DK216="",TRUE,IF(input_executive_education_focus="",FALSE,SUMPRODUCT(--ISNUMBER(SEARCH(","&amp;TRIM(TEXTSPLIT(DK216,","))&amp;",",","&amp;SUBSTITUTE(input_executive_education_focus," ","")&amp;",")))=COUNTA(TEXTSPLIT(DK216,",")))),IF(DM216="",TRUE,IF(input_executive_education_focus="",TRUE,SUMPRODUCT(--ISNUMBER(SEARCH(","&amp;TRIM(TEXTSPLIT(DM216,","))&amp;",",","&amp;SUBSTITUTE(input_executive_education_focus," ","")&amp;",")))=0)),IF(DO216="",TRUE,IF(input_executive_education_focus="",FALSE,SUMPRODUCT(--ISNUMBER(SEARCH(","&amp;TRIM(TEXTSPLIT(DO216,","))&amp;",",","&amp;SUBSTITUTE(input_executive_education_focus," ","")&amp;",")))&gt;0)),IF(DQ216="",TRUE,IF(input_executive_education_focus="",FALSE,SUMPRODUCT(--ISNUMBER(SEARCH(","&amp;TRIM(TEXTSPLIT(DQ216,","))&amp;",",","&amp;SUBSTITUTE(input_executive_education_focus," ","")&amp;",")))=COUNTA(TEXTSPLIT(DQ216,",")))))</f>
        <v/>
      </c>
      <c r="JE216" s="19">
        <f>AND(IF(DS216="",TRUE,IF(input_faculty_category="",FALSE,SUMPRODUCT(--ISNUMBER(SEARCH(","&amp;TRIM(TEXTSPLIT(DS216,","))&amp;",",","&amp;SUBSTITUTE(input_faculty_category," ","")&amp;",")))&gt;0)),IF(DU216="",TRUE,IF(input_faculty_category="",FALSE,SUMPRODUCT(--ISNUMBER(SEARCH(","&amp;TRIM(TEXTSPLIT(DU216,","))&amp;",",","&amp;SUBSTITUTE(input_faculty_category," ","")&amp;",")))=COUNTA(TEXTSPLIT(DU216,",")))),IF(DW216="",TRUE,IF(input_faculty_category="",TRUE,SUMPRODUCT(--ISNUMBER(SEARCH(","&amp;TRIM(TEXTSPLIT(DW216,","))&amp;",",","&amp;SUBSTITUTE(input_faculty_category," ","")&amp;",")))=0)),IF(DY216="",TRUE,IF(input_faculty_category="",FALSE,SUMPRODUCT(--ISNUMBER(SEARCH(","&amp;TRIM(TEXTSPLIT(DY216,","))&amp;",",","&amp;SUBSTITUTE(input_faculty_category," ","")&amp;",")))&gt;0)),IF(EA216="",TRUE,IF(input_faculty_category="",FALSE,SUMPRODUCT(--ISNUMBER(SEARCH(","&amp;TRIM(TEXTSPLIT(EA216,","))&amp;",",","&amp;SUBSTITUTE(input_faculty_category," ","")&amp;",")))=COUNTA(TEXTSPLIT(EA216,",")))))</f>
        <v/>
      </c>
      <c r="JF216" s="19">
        <f>AND(IF(EC216="",TRUE,IF(input_faculty_discipline="",FALSE,SUMPRODUCT(--ISNUMBER(SEARCH(","&amp;TRIM(TEXTSPLIT(EC216,","))&amp;",",","&amp;SUBSTITUTE(input_faculty_discipline," ","")&amp;",")))&gt;0)),IF(EE216="",TRUE,IF(input_faculty_discipline="",FALSE,SUMPRODUCT(--ISNUMBER(SEARCH(","&amp;TRIM(TEXTSPLIT(EE216,","))&amp;",",","&amp;SUBSTITUTE(input_faculty_discipline," ","")&amp;",")))=COUNTA(TEXTSPLIT(EE216,",")))),IF(EG216="",TRUE,IF(input_faculty_discipline="",TRUE,SUMPRODUCT(--ISNUMBER(SEARCH(","&amp;TRIM(TEXTSPLIT(EG216,","))&amp;",",","&amp;SUBSTITUTE(input_faculty_discipline," ","")&amp;",")))=0)),IF(EI216="",TRUE,IF(input_faculty_discipline="",FALSE,SUMPRODUCT(--ISNUMBER(SEARCH(","&amp;TRIM(TEXTSPLIT(EI216,","))&amp;",",","&amp;SUBSTITUTE(input_faculty_discipline," ","")&amp;",")))&gt;0)),IF(EK216="",TRUE,IF(input_faculty_discipline="",FALSE,SUMPRODUCT(--ISNUMBER(SEARCH(","&amp;TRIM(TEXTSPLIT(EK216,","))&amp;",",","&amp;SUBSTITUTE(input_faculty_discipline," ","")&amp;",")))=COUNTA(TEXTSPLIT(EK216,",")))))</f>
        <v/>
      </c>
      <c r="JG216" s="19">
        <f>AND(IF(EM216="",TRUE,IF(input_faculty_expertise="",FALSE,SUMPRODUCT(--ISNUMBER(SEARCH(","&amp;TRIM(TEXTSPLIT(EM216,","))&amp;",",","&amp;SUBSTITUTE(input_faculty_expertise," ","")&amp;",")))&gt;0)),IF(EO216="",TRUE,IF(input_faculty_expertise="",FALSE,SUMPRODUCT(--ISNUMBER(SEARCH(","&amp;TRIM(TEXTSPLIT(EO216,","))&amp;",",","&amp;SUBSTITUTE(input_faculty_expertise," ","")&amp;",")))=COUNTA(TEXTSPLIT(EO216,",")))),IF(EQ216="",TRUE,IF(input_faculty_expertise="",TRUE,SUMPRODUCT(--ISNUMBER(SEARCH(","&amp;TRIM(TEXTSPLIT(EQ216,","))&amp;",",","&amp;SUBSTITUTE(input_faculty_expertise," ","")&amp;",")))=0)),IF(ES216="",TRUE,IF(input_faculty_expertise="",FALSE,SUMPRODUCT(--ISNUMBER(SEARCH(","&amp;TRIM(TEXTSPLIT(ES216,","))&amp;",",","&amp;SUBSTITUTE(input_faculty_expertise," ","")&amp;",")))&gt;0)),IF(EU216="",TRUE,IF(input_faculty_expertise="",FALSE,SUMPRODUCT(--ISNUMBER(SEARCH(","&amp;TRIM(TEXTSPLIT(EU216,","))&amp;",",","&amp;SUBSTITUTE(input_faculty_expertise," ","")&amp;",")))=COUNTA(TEXTSPLIT(EU216,",")))))</f>
        <v/>
      </c>
      <c r="JH216" s="19">
        <f>AND(IF(EW216="",TRUE,IF(input_global_network_school="",FALSE,SUMPRODUCT(--ISNUMBER(SEARCH(","&amp;TRIM(TEXTSPLIT(EW216,","))&amp;",",","&amp;SUBSTITUTE(input_global_network_school," ","")&amp;",")))&gt;0)),IF(EY216="",TRUE,IF(input_global_network_school="",FALSE,SUMPRODUCT(--ISNUMBER(SEARCH(","&amp;TRIM(TEXTSPLIT(EY216,","))&amp;",",","&amp;SUBSTITUTE(input_global_network_school," ","")&amp;",")))=COUNTA(TEXTSPLIT(EY216,",")))),IF(FA216="",TRUE,IF(input_global_network_school="",TRUE,SUMPRODUCT(--ISNUMBER(SEARCH(","&amp;TRIM(TEXTSPLIT(FA216,","))&amp;",",","&amp;SUBSTITUTE(input_global_network_school," ","")&amp;",")))=0)),IF(FC216="",TRUE,IF(input_global_network_school="",FALSE,SUMPRODUCT(--ISNUMBER(SEARCH(","&amp;TRIM(TEXTSPLIT(FC216,","))&amp;",",","&amp;SUBSTITUTE(input_global_network_school," ","")&amp;",")))&gt;0)),IF(FE216="",TRUE,IF(input_global_network_school="",FALSE,SUMPRODUCT(--ISNUMBER(SEARCH(","&amp;TRIM(TEXTSPLIT(FE216,","))&amp;",",","&amp;SUBSTITUTE(input_global_network_school," ","")&amp;",")))=COUNTA(TEXTSPLIT(FE216,",")))))</f>
        <v/>
      </c>
      <c r="JI216" s="19">
        <f>AND(IF(FG216="",TRUE,IF(input_industry="",FALSE,SUMPRODUCT(--ISNUMBER(SEARCH(","&amp;TRIM(TEXTSPLIT(FG216,","))&amp;",",","&amp;SUBSTITUTE(input_industry," ","")&amp;",")))&gt;0)),IF(FI216="",TRUE,IF(input_industry="",FALSE,SUMPRODUCT(--ISNUMBER(SEARCH(","&amp;TRIM(TEXTSPLIT(FI216,","))&amp;",",","&amp;SUBSTITUTE(input_industry," ","")&amp;",")))=COUNTA(TEXTSPLIT(FI216,",")))),IF(FK216="",TRUE,IF(input_industry="",TRUE,SUMPRODUCT(--ISNUMBER(SEARCH(","&amp;TRIM(TEXTSPLIT(FK216,","))&amp;",",","&amp;SUBSTITUTE(input_industry," ","")&amp;",")))=0)),IF(FM216="",TRUE,IF(input_industry="",FALSE,SUMPRODUCT(--ISNUMBER(SEARCH(","&amp;TRIM(TEXTSPLIT(FM216,","))&amp;",",","&amp;SUBSTITUTE(input_industry," ","")&amp;",")))&gt;0)),IF(FO216="",TRUE,IF(input_industry="",FALSE,SUMPRODUCT(--ISNUMBER(SEARCH(","&amp;TRIM(TEXTSPLIT(FO216,","))&amp;",",","&amp;SUBSTITUTE(input_industry," ","")&amp;",")))=COUNTA(TEXTSPLIT(FO216,",")))))</f>
        <v/>
      </c>
      <c r="JJ216" s="19">
        <f>AND(IF(FQ216="",TRUE,IF(input_location="",FALSE,SUMPRODUCT(--ISNUMBER(SEARCH(","&amp;TRIM(TEXTSPLIT(FQ216,","))&amp;",",","&amp;SUBSTITUTE(input_location," ","")&amp;",")))&gt;0)),IF(FS216="",TRUE,IF(input_location="",FALSE,SUMPRODUCT(--ISNUMBER(SEARCH(","&amp;TRIM(TEXTSPLIT(FS216,","))&amp;",",","&amp;SUBSTITUTE(input_location," ","")&amp;",")))=COUNTA(TEXTSPLIT(FS216,",")))),IF(FU216="",TRUE,IF(input_location="",TRUE,SUMPRODUCT(--ISNUMBER(SEARCH(","&amp;TRIM(TEXTSPLIT(FU216,","))&amp;",",","&amp;SUBSTITUTE(input_location," ","")&amp;",")))=0)),IF(FW216="",TRUE,IF(input_location="",FALSE,SUMPRODUCT(--ISNUMBER(SEARCH(","&amp;TRIM(TEXTSPLIT(FW216,","))&amp;",",","&amp;SUBSTITUTE(input_location," ","")&amp;",")))&gt;0)),IF(FY216="",TRUE,IF(input_location="",FALSE,SUMPRODUCT(--ISNUMBER(SEARCH(","&amp;TRIM(TEXTSPLIT(FY216,","))&amp;",",","&amp;SUBSTITUTE(input_location," ","")&amp;",")))=COUNTA(TEXTSPLIT(FY216,",")))))</f>
        <v/>
      </c>
      <c r="JK216" s="19">
        <f>AND(IF(GA216="",TRUE,IF(input_modality="",FALSE,SUMPRODUCT(--ISNUMBER(SEARCH(","&amp;TRIM(TEXTSPLIT(GA216,","))&amp;",",","&amp;SUBSTITUTE(input_modality," ","")&amp;",")))&gt;0)),IF(GC216="",TRUE,IF(input_modality="",FALSE,SUMPRODUCT(--ISNUMBER(SEARCH(","&amp;TRIM(TEXTSPLIT(GC216,","))&amp;",",","&amp;SUBSTITUTE(input_modality," ","")&amp;",")))=COUNTA(TEXTSPLIT(GC216,",")))),IF(GE216="",TRUE,IF(input_modality="",TRUE,SUMPRODUCT(--ISNUMBER(SEARCH(","&amp;TRIM(TEXTSPLIT(GE216,","))&amp;",",","&amp;SUBSTITUTE(input_modality," ","")&amp;",")))=0)),IF(GG216="",TRUE,IF(input_modality="",FALSE,SUMPRODUCT(--ISNUMBER(SEARCH(","&amp;TRIM(TEXTSPLIT(GG216,","))&amp;",",","&amp;SUBSTITUTE(input_modality," ","")&amp;",")))&gt;0)),IF(GI216="",TRUE,IF(input_modality="",FALSE,SUMPRODUCT(--ISNUMBER(SEARCH(","&amp;TRIM(TEXTSPLIT(GI216,","))&amp;",",","&amp;SUBSTITUTE(input_modality," ","")&amp;",")))=COUNTA(TEXTSPLIT(GI216,",")))))</f>
        <v/>
      </c>
      <c r="JL216" s="19">
        <f>AND(IF(GK216="",TRUE,IF(input_organizer="",FALSE,SUMPRODUCT(--ISNUMBER(SEARCH(","&amp;TRIM(TEXTSPLIT(GK216,","))&amp;",",","&amp;SUBSTITUTE(input_organizer," ","")&amp;",")))&gt;0)),IF(GM216="",TRUE,IF(input_organizer="",FALSE,SUMPRODUCT(--ISNUMBER(SEARCH(","&amp;TRIM(TEXTSPLIT(GM216,","))&amp;",",","&amp;SUBSTITUTE(input_organizer," ","")&amp;",")))=COUNTA(TEXTSPLIT(GM216,",")))),IF(GO216="",TRUE,IF(input_organizer="",TRUE,SUMPRODUCT(--ISNUMBER(SEARCH(","&amp;TRIM(TEXTSPLIT(GO216,","))&amp;",",","&amp;SUBSTITUTE(input_organizer," ","")&amp;",")))=0)),IF(GQ216="",TRUE,IF(input_organizer="",FALSE,SUMPRODUCT(--ISNUMBER(SEARCH(","&amp;TRIM(TEXTSPLIT(GQ216,","))&amp;",",","&amp;SUBSTITUTE(input_organizer," ","")&amp;",")))&gt;0)),IF(GS216="",TRUE,IF(input_organizer="",FALSE,SUMPRODUCT(--ISNUMBER(SEARCH(","&amp;TRIM(TEXTSPLIT(GS216,","))&amp;",",","&amp;SUBSTITUTE(input_organizer," ","")&amp;",")))=COUNTA(TEXTSPLIT(GS216,",")))))</f>
        <v/>
      </c>
      <c r="JM216" s="19">
        <f>AND(IF(GU216="",TRUE,IF(input_profile_type="",FALSE,SUMPRODUCT(--ISNUMBER(SEARCH(","&amp;TRIM(TEXTSPLIT(GU216,","))&amp;",",","&amp;SUBSTITUTE(input_profile_type," ","")&amp;",")))&gt;0)),IF(GW216="",TRUE,IF(input_profile_type="",FALSE,SUMPRODUCT(--ISNUMBER(SEARCH(","&amp;TRIM(TEXTSPLIT(GW216,","))&amp;",",","&amp;SUBSTITUTE(input_profile_type," ","")&amp;",")))=COUNTA(TEXTSPLIT(GW216,",")))),IF(GY216="",TRUE,IF(input_profile_type="",TRUE,SUMPRODUCT(--ISNUMBER(SEARCH(","&amp;TRIM(TEXTSPLIT(GY216,","))&amp;",",","&amp;SUBSTITUTE(input_profile_type," ","")&amp;",")))=0)),IF(HA216="",TRUE,IF(input_profile_type="",FALSE,SUMPRODUCT(--ISNUMBER(SEARCH(","&amp;TRIM(TEXTSPLIT(HA216,","))&amp;",",","&amp;SUBSTITUTE(input_profile_type," ","")&amp;",")))&gt;0)),IF(HC216="",TRUE,IF(input_profile_type="",FALSE,SUMPRODUCT(--ISNUMBER(SEARCH(","&amp;TRIM(TEXTSPLIT(HC216,","))&amp;",",","&amp;SUBSTITUTE(input_profile_type," ","")&amp;",")))=COUNTA(TEXTSPLIT(HC216,",")))))</f>
        <v/>
      </c>
      <c r="JN216" s="19">
        <f>AND(IF(HE216="",TRUE,IF(input_program="",FALSE,SUMPRODUCT(--ISNUMBER(SEARCH(","&amp;TRIM(TEXTSPLIT(HE216,","))&amp;",",","&amp;SUBSTITUTE(input_program," ","")&amp;",")))&gt;0)),IF(HG216="",TRUE,IF(input_program="",FALSE,SUMPRODUCT(--ISNUMBER(SEARCH(","&amp;TRIM(TEXTSPLIT(HG216,","))&amp;",",","&amp;SUBSTITUTE(input_program," ","")&amp;",")))=COUNTA(TEXTSPLIT(HG216,",")))),IF(HI216="",TRUE,IF(input_program="",TRUE,SUMPRODUCT(--ISNUMBER(SEARCH(","&amp;TRIM(TEXTSPLIT(HI216,","))&amp;",",","&amp;SUBSTITUTE(input_program," ","")&amp;",")))=0)),IF(HK216="",TRUE,IF(input_program="",FALSE,SUMPRODUCT(--ISNUMBER(SEARCH(","&amp;TRIM(TEXTSPLIT(HK216,","))&amp;",",","&amp;SUBSTITUTE(input_program," ","")&amp;",")))&gt;0)),IF(HM216="",TRUE,IF(input_program="",FALSE,SUMPRODUCT(--ISNUMBER(SEARCH(","&amp;TRIM(TEXTSPLIT(HM216,","))&amp;",",","&amp;SUBSTITUTE(input_program," ","")&amp;",")))=COUNTA(TEXTSPLIT(HM216,",")))))</f>
        <v/>
      </c>
      <c r="JO216" s="19">
        <f>AND(IF(HO216="",TRUE,IF(input_story_categories="",FALSE,SUMPRODUCT(--ISNUMBER(SEARCH(","&amp;TRIM(TEXTSPLIT(HO216,","))&amp;",",","&amp;SUBSTITUTE(input_story_categories," ","")&amp;",")))&gt;0)),IF(HQ216="",TRUE,IF(input_story_categories="",FALSE,SUMPRODUCT(--ISNUMBER(SEARCH(","&amp;TRIM(TEXTSPLIT(HQ216,","))&amp;",",","&amp;SUBSTITUTE(input_story_categories," ","")&amp;",")))=COUNTA(TEXTSPLIT(HQ216,",")))),IF(HS216="",TRUE,IF(input_story_categories="",TRUE,SUMPRODUCT(--ISNUMBER(SEARCH(","&amp;TRIM(TEXTSPLIT(HS216,","))&amp;",",","&amp;SUBSTITUTE(input_story_categories," ","")&amp;",")))=0)),IF(HU216="",TRUE,IF(input_story_categories="",FALSE,SUMPRODUCT(--ISNUMBER(SEARCH(","&amp;TRIM(TEXTSPLIT(HU216,","))&amp;",",","&amp;SUBSTITUTE(input_story_categories," ","")&amp;",")))&gt;0)),IF(HW216="",TRUE,IF(input_story_categories="",FALSE,SUMPRODUCT(--ISNUMBER(SEARCH(","&amp;TRIM(TEXTSPLIT(HW216,","))&amp;",",","&amp;SUBSTITUTE(input_story_categories," ","")&amp;",")))=COUNTA(TEXTSPLIT(HW216,",")))))</f>
        <v/>
      </c>
      <c r="JP216" s="19">
        <f>AND(IF(HY216="",TRUE,IF(input_story_type="",FALSE,SUMPRODUCT(--ISNUMBER(SEARCH(","&amp;TRIM(TEXTSPLIT(HY216,","))&amp;",",","&amp;SUBSTITUTE(input_story_type," ","")&amp;",")))&gt;0)),IF(IA216="",TRUE,IF(input_story_type="",FALSE,SUMPRODUCT(--ISNUMBER(SEARCH(","&amp;TRIM(TEXTSPLIT(IA216,","))&amp;",",","&amp;SUBSTITUTE(input_story_type," ","")&amp;",")))=COUNTA(TEXTSPLIT(IA216,",")))),IF(IC216="",TRUE,IF(input_story_type="",TRUE,SUMPRODUCT(--ISNUMBER(SEARCH(","&amp;TRIM(TEXTSPLIT(IC216,","))&amp;",",","&amp;SUBSTITUTE(input_story_type," ","")&amp;",")))=0)),IF(IE216="",TRUE,IF(input_story_type="",FALSE,SUMPRODUCT(--ISNUMBER(SEARCH(","&amp;TRIM(TEXTSPLIT(IE216,","))&amp;",",","&amp;SUBSTITUTE(input_story_type," ","")&amp;",")))&gt;0)),IF(IG216="",TRUE,IF(input_story_type="",FALSE,SUMPRODUCT(--ISNUMBER(SEARCH(","&amp;TRIM(TEXTSPLIT(IG216,","))&amp;",",","&amp;SUBSTITUTE(input_story_type," ","")&amp;",")))=COUNTA(TEXTSPLIT(IG216,",")))))</f>
        <v/>
      </c>
      <c r="JQ216" s="19">
        <f>AND(IF(II216="",TRUE,IF(input_topics="",FALSE,SUMPRODUCT(--ISNUMBER(SEARCH(","&amp;TRIM(TEXTSPLIT(II216,","))&amp;",",","&amp;SUBSTITUTE(input_topics," ","")&amp;",")))&gt;0)),IF(IK216="",TRUE,IF(input_topics="",FALSE,SUMPRODUCT(--ISNUMBER(SEARCH(","&amp;TRIM(TEXTSPLIT(IK216,","))&amp;",",","&amp;SUBSTITUTE(input_topics," ","")&amp;",")))=COUNTA(TEXTSPLIT(IK216,",")))),IF(IM216="",TRUE,IF(input_topics="",TRUE,SUMPRODUCT(--ISNUMBER(SEARCH(","&amp;TRIM(TEXTSPLIT(IM216,","))&amp;",",","&amp;SUBSTITUTE(input_topics," ","")&amp;",")))=0)),IF(IO216="",TRUE,IF(input_topics="",FALSE,SUMPRODUCT(--ISNUMBER(SEARCH(","&amp;TRIM(TEXTSPLIT(IO216,","))&amp;",",","&amp;SUBSTITUTE(input_topics," ","")&amp;",")))&gt;0)),IF(IQ216="",TRUE,IF(input_topics="",FALSE,SUMPRODUCT(--ISNUMBER(SEARCH(","&amp;TRIM(TEXTSPLIT(IQ216,","))&amp;",",","&amp;SUBSTITUTE(input_topics," ","")&amp;",")))=COUNTA(TEXTSPLIT(IQ216,",")))))</f>
        <v/>
      </c>
    </row>
    <row r="217">
      <c r="A217" s="24">
        <f>IF(NOT(IS217),"Excluded",IF(AND(IT217,IU217,IV217,IW217,IX217,IY217,IZ217,JA217,JB217,JC217,JD217,JE217,JF217,JG217,JH217,JI217,JJ217,JK217,JL217,JM217,JN217,JO217,JP217,JQ217),IF(I217&gt;0,"Eligible but limited","Will appear"),"Excluded"))</f>
        <v/>
      </c>
      <c r="B217" s="24" t="inlineStr">
        <is>
          <t>Related stories on story pages</t>
        </is>
      </c>
      <c r="C217" s="27" t="inlineStr">
        <is>
          <t>/story/2025/volunteers-teach-business-and-life-lessons-new-haven-school</t>
        </is>
      </c>
      <c r="D217" s="24" t="inlineStr">
        <is>
          <t>/story/2025/volunteers-teach-business-and-life-lessons-new-haven-school
/story/2025/yale-clean-energy-conference-speakers-discuss-evolving-global-landscape-renewables
/story/2026/sixth-global-network-stock-trading-game-students-navigate-bear-market</t>
        </is>
      </c>
      <c r="E217" s="24" t="n">
        <v>4</v>
      </c>
      <c r="F217" s="24" t="inlineStr">
        <is>
          <t>story</t>
        </is>
      </c>
      <c r="G217" s="24" t="inlineStr">
        <is>
          <t>stories_teaser_cards</t>
        </is>
      </c>
      <c r="H217" s="24" t="inlineStr">
        <is>
          <t>embed_all</t>
        </is>
      </c>
      <c r="I217" s="24" t="n">
        <v>3</v>
      </c>
      <c r="J217" s="31" t="inlineStr">
        <is>
          <t>Template logic</t>
        </is>
      </c>
      <c r="K217" s="24" t="inlineStr">
        <is>
          <t>Grouped surface</t>
        </is>
      </c>
      <c r="L217" s="24" t="inlineStr">
        <is>
          <t>Content type: story; Context uses Courses Context: Residential master's programs (1571); Context uses Story Type: News (924); Limited to 3 item(s); Source: Template logic</t>
        </is>
      </c>
      <c r="BQ217" s="19" t="inlineStr">
        <is>
          <t>1571</t>
        </is>
      </c>
      <c r="BR217" s="19" t="inlineStr">
        <is>
          <t>Residential master's programs (1571)</t>
        </is>
      </c>
      <c r="IE217" s="19" t="inlineStr">
        <is>
          <t>924</t>
        </is>
      </c>
      <c r="IF217" s="19" t="inlineStr">
        <is>
          <t>News (924)</t>
        </is>
      </c>
      <c r="IS217" s="19">
        <f>IF(input_content_type="",FALSE,ISNUMBER(SEARCH(","&amp;LOWER(input_content_type)&amp;",",","&amp;LOWER(SUBSTITUTE(F217," ",""))&amp;",")))</f>
        <v/>
      </c>
      <c r="IT217" s="19">
        <f>AND(IF(M217="",TRUE,IF(input_affiliations="",FALSE,SUMPRODUCT(--ISNUMBER(SEARCH(","&amp;TRIM(TEXTSPLIT(M217,","))&amp;",",","&amp;SUBSTITUTE(input_affiliations," ","")&amp;",")))&gt;0)),IF(O217="",TRUE,IF(input_affiliations="",FALSE,SUMPRODUCT(--ISNUMBER(SEARCH(","&amp;TRIM(TEXTSPLIT(O217,","))&amp;",",","&amp;SUBSTITUTE(input_affiliations," ","")&amp;",")))=COUNTA(TEXTSPLIT(O217,",")))),IF(Q217="",TRUE,IF(input_affiliations="",TRUE,SUMPRODUCT(--ISNUMBER(SEARCH(","&amp;TRIM(TEXTSPLIT(Q217,","))&amp;",",","&amp;SUBSTITUTE(input_affiliations," ","")&amp;",")))=0)),IF(S217="",TRUE,IF(input_affiliations="",FALSE,SUMPRODUCT(--ISNUMBER(SEARCH(","&amp;TRIM(TEXTSPLIT(S217,","))&amp;",",","&amp;SUBSTITUTE(input_affiliations," ","")&amp;",")))&gt;0)),IF(U217="",TRUE,IF(input_affiliations="",FALSE,SUMPRODUCT(--ISNUMBER(SEARCH(","&amp;TRIM(TEXTSPLIT(U217,","))&amp;",",","&amp;SUBSTITUTE(input_affiliations," ","")&amp;",")))=COUNTA(TEXTSPLIT(U217,",")))))</f>
        <v/>
      </c>
      <c r="IU217" s="19">
        <f>AND(IF(W217="",TRUE,IF(input_announcement_category="",FALSE,SUMPRODUCT(--ISNUMBER(SEARCH(","&amp;TRIM(TEXTSPLIT(W217,","))&amp;",",","&amp;SUBSTITUTE(input_announcement_category," ","")&amp;",")))&gt;0)),IF(Y217="",TRUE,IF(input_announcement_category="",FALSE,SUMPRODUCT(--ISNUMBER(SEARCH(","&amp;TRIM(TEXTSPLIT(Y217,","))&amp;",",","&amp;SUBSTITUTE(input_announcement_category," ","")&amp;",")))=COUNTA(TEXTSPLIT(Y217,",")))),IF(AA217="",TRUE,IF(input_announcement_category="",TRUE,SUMPRODUCT(--ISNUMBER(SEARCH(","&amp;TRIM(TEXTSPLIT(AA217,","))&amp;",",","&amp;SUBSTITUTE(input_announcement_category," ","")&amp;",")))=0)),IF(AC217="",TRUE,IF(input_announcement_category="",FALSE,SUMPRODUCT(--ISNUMBER(SEARCH(","&amp;TRIM(TEXTSPLIT(AC217,","))&amp;",",","&amp;SUBSTITUTE(input_announcement_category," ","")&amp;",")))&gt;0)),IF(AE217="",TRUE,IF(input_announcement_category="",FALSE,SUMPRODUCT(--ISNUMBER(SEARCH(","&amp;TRIM(TEXTSPLIT(AE217,","))&amp;",",","&amp;SUBSTITUTE(input_announcement_category," ","")&amp;",")))=COUNTA(TEXTSPLIT(AE217,",")))))</f>
        <v/>
      </c>
      <c r="IV217" s="19">
        <f>AND(IF(AG217="",TRUE,IF(input_area_of_focus="",FALSE,SUMPRODUCT(--ISNUMBER(SEARCH(","&amp;TRIM(TEXTSPLIT(AG217,","))&amp;",",","&amp;SUBSTITUTE(input_area_of_focus," ","")&amp;",")))&gt;0)),IF(AI217="",TRUE,IF(input_area_of_focus="",FALSE,SUMPRODUCT(--ISNUMBER(SEARCH(","&amp;TRIM(TEXTSPLIT(AI217,","))&amp;",",","&amp;SUBSTITUTE(input_area_of_focus," ","")&amp;",")))=COUNTA(TEXTSPLIT(AI217,",")))),IF(AK217="",TRUE,IF(input_area_of_focus="",TRUE,SUMPRODUCT(--ISNUMBER(SEARCH(","&amp;TRIM(TEXTSPLIT(AK217,","))&amp;",",","&amp;SUBSTITUTE(input_area_of_focus," ","")&amp;",")))=0)),IF(AM217="",TRUE,IF(input_area_of_focus="",FALSE,SUMPRODUCT(--ISNUMBER(SEARCH(","&amp;TRIM(TEXTSPLIT(AM217,","))&amp;",",","&amp;SUBSTITUTE(input_area_of_focus," ","")&amp;",")))&gt;0)),IF(AO217="",TRUE,IF(input_area_of_focus="",FALSE,SUMPRODUCT(--ISNUMBER(SEARCH(","&amp;TRIM(TEXTSPLIT(AO217,","))&amp;",",","&amp;SUBSTITUTE(input_area_of_focus," ","")&amp;",")))=COUNTA(TEXTSPLIT(AO217,",")))))</f>
        <v/>
      </c>
      <c r="IW217" s="19">
        <f>AND(IF(AQ217="",TRUE,IF(input_audience="",FALSE,SUMPRODUCT(--ISNUMBER(SEARCH(","&amp;TRIM(TEXTSPLIT(AQ217,","))&amp;",",","&amp;SUBSTITUTE(input_audience," ","")&amp;",")))&gt;0)),IF(AS217="",TRUE,IF(input_audience="",FALSE,SUMPRODUCT(--ISNUMBER(SEARCH(","&amp;TRIM(TEXTSPLIT(AS217,","))&amp;",",","&amp;SUBSTITUTE(input_audience," ","")&amp;",")))=COUNTA(TEXTSPLIT(AS217,",")))),IF(AU217="",TRUE,IF(input_audience="",TRUE,SUMPRODUCT(--ISNUMBER(SEARCH(","&amp;TRIM(TEXTSPLIT(AU217,","))&amp;",",","&amp;SUBSTITUTE(input_audience," ","")&amp;",")))=0)),IF(AW217="",TRUE,IF(input_audience="",FALSE,SUMPRODUCT(--ISNUMBER(SEARCH(","&amp;TRIM(TEXTSPLIT(AW217,","))&amp;",",","&amp;SUBSTITUTE(input_audience," ","")&amp;",")))&gt;0)),IF(AY217="",TRUE,IF(input_audience="",FALSE,SUMPRODUCT(--ISNUMBER(SEARCH(","&amp;TRIM(TEXTSPLIT(AY217,","))&amp;",",","&amp;SUBSTITUTE(input_audience," ","")&amp;",")))=COUNTA(TEXTSPLIT(AY217,",")))))</f>
        <v/>
      </c>
      <c r="IX217" s="19">
        <f>AND(IF(BA217="",TRUE,IF(input_challenge_opportunities="",FALSE,SUMPRODUCT(--ISNUMBER(SEARCH(","&amp;TRIM(TEXTSPLIT(BA217,","))&amp;",",","&amp;SUBSTITUTE(input_challenge_opportunities," ","")&amp;",")))&gt;0)),IF(BC217="",TRUE,IF(input_challenge_opportunities="",FALSE,SUMPRODUCT(--ISNUMBER(SEARCH(","&amp;TRIM(TEXTSPLIT(BC217,","))&amp;",",","&amp;SUBSTITUTE(input_challenge_opportunities," ","")&amp;",")))=COUNTA(TEXTSPLIT(BC217,",")))),IF(BE217="",TRUE,IF(input_challenge_opportunities="",TRUE,SUMPRODUCT(--ISNUMBER(SEARCH(","&amp;TRIM(TEXTSPLIT(BE217,","))&amp;",",","&amp;SUBSTITUTE(input_challenge_opportunities," ","")&amp;",")))=0)),IF(BG217="",TRUE,IF(input_challenge_opportunities="",FALSE,SUMPRODUCT(--ISNUMBER(SEARCH(","&amp;TRIM(TEXTSPLIT(BG217,","))&amp;",",","&amp;SUBSTITUTE(input_challenge_opportunities," ","")&amp;",")))&gt;0)),IF(BI217="",TRUE,IF(input_challenge_opportunities="",FALSE,SUMPRODUCT(--ISNUMBER(SEARCH(","&amp;TRIM(TEXTSPLIT(BI217,","))&amp;",",","&amp;SUBSTITUTE(input_challenge_opportunities," ","")&amp;",")))=COUNTA(TEXTSPLIT(BI217,",")))))</f>
        <v/>
      </c>
      <c r="IY217" s="19">
        <f>AND(IF(BK217="",TRUE,IF(input_context="",FALSE,SUMPRODUCT(--ISNUMBER(SEARCH(","&amp;TRIM(TEXTSPLIT(BK217,","))&amp;",",","&amp;SUBSTITUTE(input_context," ","")&amp;",")))&gt;0)),IF(BM217="",TRUE,IF(input_context="",FALSE,SUMPRODUCT(--ISNUMBER(SEARCH(","&amp;TRIM(TEXTSPLIT(BM217,","))&amp;",",","&amp;SUBSTITUTE(input_context," ","")&amp;",")))=COUNTA(TEXTSPLIT(BM217,",")))),IF(BO217="",TRUE,IF(input_context="",TRUE,SUMPRODUCT(--ISNUMBER(SEARCH(","&amp;TRIM(TEXTSPLIT(BO217,","))&amp;",",","&amp;SUBSTITUTE(input_context," ","")&amp;",")))=0)),IF(BQ217="",TRUE,IF(input_context="",FALSE,SUMPRODUCT(--ISNUMBER(SEARCH(","&amp;TRIM(TEXTSPLIT(BQ217,","))&amp;",",","&amp;SUBSTITUTE(input_context," ","")&amp;",")))&gt;0)),IF(BS217="",TRUE,IF(input_context="",FALSE,SUMPRODUCT(--ISNUMBER(SEARCH(","&amp;TRIM(TEXTSPLIT(BS217,","))&amp;",",","&amp;SUBSTITUTE(input_context," ","")&amp;",")))=COUNTA(TEXTSPLIT(BS217,",")))))</f>
        <v/>
      </c>
      <c r="IZ217" s="19">
        <f>AND(IF(BU217="",TRUE,IF(input_enews_announcement_type="",FALSE,SUMPRODUCT(--ISNUMBER(SEARCH(","&amp;TRIM(TEXTSPLIT(BU217,","))&amp;",",","&amp;SUBSTITUTE(input_enews_announcement_type," ","")&amp;",")))&gt;0)),IF(BW217="",TRUE,IF(input_enews_announcement_type="",FALSE,SUMPRODUCT(--ISNUMBER(SEARCH(","&amp;TRIM(TEXTSPLIT(BW217,","))&amp;",",","&amp;SUBSTITUTE(input_enews_announcement_type," ","")&amp;",")))=COUNTA(TEXTSPLIT(BW217,",")))),IF(BY217="",TRUE,IF(input_enews_announcement_type="",TRUE,SUMPRODUCT(--ISNUMBER(SEARCH(","&amp;TRIM(TEXTSPLIT(BY217,","))&amp;",",","&amp;SUBSTITUTE(input_enews_announcement_type," ","")&amp;",")))=0)),IF(CA217="",TRUE,IF(input_enews_announcement_type="",FALSE,SUMPRODUCT(--ISNUMBER(SEARCH(","&amp;TRIM(TEXTSPLIT(CA217,","))&amp;",",","&amp;SUBSTITUTE(input_enews_announcement_type," ","")&amp;",")))&gt;0)),IF(CC217="",TRUE,IF(input_enews_announcement_type="",FALSE,SUMPRODUCT(--ISNUMBER(SEARCH(","&amp;TRIM(TEXTSPLIT(CC217,","))&amp;",",","&amp;SUBSTITUTE(input_enews_announcement_type," ","")&amp;",")))=COUNTA(TEXTSPLIT(CC217,",")))))</f>
        <v/>
      </c>
      <c r="JA217" s="19">
        <f>AND(IF(CE217="",TRUE,IF(input_enews_audience="",FALSE,SUMPRODUCT(--ISNUMBER(SEARCH(","&amp;TRIM(TEXTSPLIT(CE217,","))&amp;",",","&amp;SUBSTITUTE(input_enews_audience," ","")&amp;",")))&gt;0)),IF(CG217="",TRUE,IF(input_enews_audience="",FALSE,SUMPRODUCT(--ISNUMBER(SEARCH(","&amp;TRIM(TEXTSPLIT(CG217,","))&amp;",",","&amp;SUBSTITUTE(input_enews_audience," ","")&amp;",")))=COUNTA(TEXTSPLIT(CG217,",")))),IF(CI217="",TRUE,IF(input_enews_audience="",TRUE,SUMPRODUCT(--ISNUMBER(SEARCH(","&amp;TRIM(TEXTSPLIT(CI217,","))&amp;",",","&amp;SUBSTITUTE(input_enews_audience," ","")&amp;",")))=0)),IF(CK217="",TRUE,IF(input_enews_audience="",FALSE,SUMPRODUCT(--ISNUMBER(SEARCH(","&amp;TRIM(TEXTSPLIT(CK217,","))&amp;",",","&amp;SUBSTITUTE(input_enews_audience," ","")&amp;",")))&gt;0)),IF(CM217="",TRUE,IF(input_enews_audience="",FALSE,SUMPRODUCT(--ISNUMBER(SEARCH(","&amp;TRIM(TEXTSPLIT(CM217,","))&amp;",",","&amp;SUBSTITUTE(input_enews_audience," ","")&amp;",")))=COUNTA(TEXTSPLIT(CM217,",")))))</f>
        <v/>
      </c>
      <c r="JB217" s="19">
        <f>AND(IF(CO217="",TRUE,IF(input_event_location="",FALSE,SUMPRODUCT(--ISNUMBER(SEARCH(","&amp;TRIM(TEXTSPLIT(CO217,","))&amp;",",","&amp;SUBSTITUTE(input_event_location," ","")&amp;",")))&gt;0)),IF(CQ217="",TRUE,IF(input_event_location="",FALSE,SUMPRODUCT(--ISNUMBER(SEARCH(","&amp;TRIM(TEXTSPLIT(CQ217,","))&amp;",",","&amp;SUBSTITUTE(input_event_location," ","")&amp;",")))=COUNTA(TEXTSPLIT(CQ217,",")))),IF(CS217="",TRUE,IF(input_event_location="",TRUE,SUMPRODUCT(--ISNUMBER(SEARCH(","&amp;TRIM(TEXTSPLIT(CS217,","))&amp;",",","&amp;SUBSTITUTE(input_event_location," ","")&amp;",")))=0)),IF(CU217="",TRUE,IF(input_event_location="",FALSE,SUMPRODUCT(--ISNUMBER(SEARCH(","&amp;TRIM(TEXTSPLIT(CU217,","))&amp;",",","&amp;SUBSTITUTE(input_event_location," ","")&amp;",")))&gt;0)),IF(CW217="",TRUE,IF(input_event_location="",FALSE,SUMPRODUCT(--ISNUMBER(SEARCH(","&amp;TRIM(TEXTSPLIT(CW217,","))&amp;",",","&amp;SUBSTITUTE(input_event_location," ","")&amp;",")))=COUNTA(TEXTSPLIT(CW217,",")))))</f>
        <v/>
      </c>
      <c r="JC217" s="19">
        <f>AND(IF(CY217="",TRUE,IF(input_event_type="",FALSE,SUMPRODUCT(--ISNUMBER(SEARCH(","&amp;TRIM(TEXTSPLIT(CY217,","))&amp;",",","&amp;SUBSTITUTE(input_event_type," ","")&amp;",")))&gt;0)),IF(DA217="",TRUE,IF(input_event_type="",FALSE,SUMPRODUCT(--ISNUMBER(SEARCH(","&amp;TRIM(TEXTSPLIT(DA217,","))&amp;",",","&amp;SUBSTITUTE(input_event_type," ","")&amp;",")))=COUNTA(TEXTSPLIT(DA217,",")))),IF(DC217="",TRUE,IF(input_event_type="",TRUE,SUMPRODUCT(--ISNUMBER(SEARCH(","&amp;TRIM(TEXTSPLIT(DC217,","))&amp;",",","&amp;SUBSTITUTE(input_event_type," ","")&amp;",")))=0)),IF(DE217="",TRUE,IF(input_event_type="",FALSE,SUMPRODUCT(--ISNUMBER(SEARCH(","&amp;TRIM(TEXTSPLIT(DE217,","))&amp;",",","&amp;SUBSTITUTE(input_event_type," ","")&amp;",")))&gt;0)),IF(DG217="",TRUE,IF(input_event_type="",FALSE,SUMPRODUCT(--ISNUMBER(SEARCH(","&amp;TRIM(TEXTSPLIT(DG217,","))&amp;",",","&amp;SUBSTITUTE(input_event_type," ","")&amp;",")))=COUNTA(TEXTSPLIT(DG217,",")))))</f>
        <v/>
      </c>
      <c r="JD217" s="19">
        <f>AND(IF(DI217="",TRUE,IF(input_executive_education_focus="",FALSE,SUMPRODUCT(--ISNUMBER(SEARCH(","&amp;TRIM(TEXTSPLIT(DI217,","))&amp;",",","&amp;SUBSTITUTE(input_executive_education_focus," ","")&amp;",")))&gt;0)),IF(DK217="",TRUE,IF(input_executive_education_focus="",FALSE,SUMPRODUCT(--ISNUMBER(SEARCH(","&amp;TRIM(TEXTSPLIT(DK217,","))&amp;",",","&amp;SUBSTITUTE(input_executive_education_focus," ","")&amp;",")))=COUNTA(TEXTSPLIT(DK217,",")))),IF(DM217="",TRUE,IF(input_executive_education_focus="",TRUE,SUMPRODUCT(--ISNUMBER(SEARCH(","&amp;TRIM(TEXTSPLIT(DM217,","))&amp;",",","&amp;SUBSTITUTE(input_executive_education_focus," ","")&amp;",")))=0)),IF(DO217="",TRUE,IF(input_executive_education_focus="",FALSE,SUMPRODUCT(--ISNUMBER(SEARCH(","&amp;TRIM(TEXTSPLIT(DO217,","))&amp;",",","&amp;SUBSTITUTE(input_executive_education_focus," ","")&amp;",")))&gt;0)),IF(DQ217="",TRUE,IF(input_executive_education_focus="",FALSE,SUMPRODUCT(--ISNUMBER(SEARCH(","&amp;TRIM(TEXTSPLIT(DQ217,","))&amp;",",","&amp;SUBSTITUTE(input_executive_education_focus," ","")&amp;",")))=COUNTA(TEXTSPLIT(DQ217,",")))))</f>
        <v/>
      </c>
      <c r="JE217" s="19">
        <f>AND(IF(DS217="",TRUE,IF(input_faculty_category="",FALSE,SUMPRODUCT(--ISNUMBER(SEARCH(","&amp;TRIM(TEXTSPLIT(DS217,","))&amp;",",","&amp;SUBSTITUTE(input_faculty_category," ","")&amp;",")))&gt;0)),IF(DU217="",TRUE,IF(input_faculty_category="",FALSE,SUMPRODUCT(--ISNUMBER(SEARCH(","&amp;TRIM(TEXTSPLIT(DU217,","))&amp;",",","&amp;SUBSTITUTE(input_faculty_category," ","")&amp;",")))=COUNTA(TEXTSPLIT(DU217,",")))),IF(DW217="",TRUE,IF(input_faculty_category="",TRUE,SUMPRODUCT(--ISNUMBER(SEARCH(","&amp;TRIM(TEXTSPLIT(DW217,","))&amp;",",","&amp;SUBSTITUTE(input_faculty_category," ","")&amp;",")))=0)),IF(DY217="",TRUE,IF(input_faculty_category="",FALSE,SUMPRODUCT(--ISNUMBER(SEARCH(","&amp;TRIM(TEXTSPLIT(DY217,","))&amp;",",","&amp;SUBSTITUTE(input_faculty_category," ","")&amp;",")))&gt;0)),IF(EA217="",TRUE,IF(input_faculty_category="",FALSE,SUMPRODUCT(--ISNUMBER(SEARCH(","&amp;TRIM(TEXTSPLIT(EA217,","))&amp;",",","&amp;SUBSTITUTE(input_faculty_category," ","")&amp;",")))=COUNTA(TEXTSPLIT(EA217,",")))))</f>
        <v/>
      </c>
      <c r="JF217" s="19">
        <f>AND(IF(EC217="",TRUE,IF(input_faculty_discipline="",FALSE,SUMPRODUCT(--ISNUMBER(SEARCH(","&amp;TRIM(TEXTSPLIT(EC217,","))&amp;",",","&amp;SUBSTITUTE(input_faculty_discipline," ","")&amp;",")))&gt;0)),IF(EE217="",TRUE,IF(input_faculty_discipline="",FALSE,SUMPRODUCT(--ISNUMBER(SEARCH(","&amp;TRIM(TEXTSPLIT(EE217,","))&amp;",",","&amp;SUBSTITUTE(input_faculty_discipline," ","")&amp;",")))=COUNTA(TEXTSPLIT(EE217,",")))),IF(EG217="",TRUE,IF(input_faculty_discipline="",TRUE,SUMPRODUCT(--ISNUMBER(SEARCH(","&amp;TRIM(TEXTSPLIT(EG217,","))&amp;",",","&amp;SUBSTITUTE(input_faculty_discipline," ","")&amp;",")))=0)),IF(EI217="",TRUE,IF(input_faculty_discipline="",FALSE,SUMPRODUCT(--ISNUMBER(SEARCH(","&amp;TRIM(TEXTSPLIT(EI217,","))&amp;",",","&amp;SUBSTITUTE(input_faculty_discipline," ","")&amp;",")))&gt;0)),IF(EK217="",TRUE,IF(input_faculty_discipline="",FALSE,SUMPRODUCT(--ISNUMBER(SEARCH(","&amp;TRIM(TEXTSPLIT(EK217,","))&amp;",",","&amp;SUBSTITUTE(input_faculty_discipline," ","")&amp;",")))=COUNTA(TEXTSPLIT(EK217,",")))))</f>
        <v/>
      </c>
      <c r="JG217" s="19">
        <f>AND(IF(EM217="",TRUE,IF(input_faculty_expertise="",FALSE,SUMPRODUCT(--ISNUMBER(SEARCH(","&amp;TRIM(TEXTSPLIT(EM217,","))&amp;",",","&amp;SUBSTITUTE(input_faculty_expertise," ","")&amp;",")))&gt;0)),IF(EO217="",TRUE,IF(input_faculty_expertise="",FALSE,SUMPRODUCT(--ISNUMBER(SEARCH(","&amp;TRIM(TEXTSPLIT(EO217,","))&amp;",",","&amp;SUBSTITUTE(input_faculty_expertise," ","")&amp;",")))=COUNTA(TEXTSPLIT(EO217,",")))),IF(EQ217="",TRUE,IF(input_faculty_expertise="",TRUE,SUMPRODUCT(--ISNUMBER(SEARCH(","&amp;TRIM(TEXTSPLIT(EQ217,","))&amp;",",","&amp;SUBSTITUTE(input_faculty_expertise," ","")&amp;",")))=0)),IF(ES217="",TRUE,IF(input_faculty_expertise="",FALSE,SUMPRODUCT(--ISNUMBER(SEARCH(","&amp;TRIM(TEXTSPLIT(ES217,","))&amp;",",","&amp;SUBSTITUTE(input_faculty_expertise," ","")&amp;",")))&gt;0)),IF(EU217="",TRUE,IF(input_faculty_expertise="",FALSE,SUMPRODUCT(--ISNUMBER(SEARCH(","&amp;TRIM(TEXTSPLIT(EU217,","))&amp;",",","&amp;SUBSTITUTE(input_faculty_expertise," ","")&amp;",")))=COUNTA(TEXTSPLIT(EU217,",")))))</f>
        <v/>
      </c>
      <c r="JH217" s="19">
        <f>AND(IF(EW217="",TRUE,IF(input_global_network_school="",FALSE,SUMPRODUCT(--ISNUMBER(SEARCH(","&amp;TRIM(TEXTSPLIT(EW217,","))&amp;",",","&amp;SUBSTITUTE(input_global_network_school," ","")&amp;",")))&gt;0)),IF(EY217="",TRUE,IF(input_global_network_school="",FALSE,SUMPRODUCT(--ISNUMBER(SEARCH(","&amp;TRIM(TEXTSPLIT(EY217,","))&amp;",",","&amp;SUBSTITUTE(input_global_network_school," ","")&amp;",")))=COUNTA(TEXTSPLIT(EY217,",")))),IF(FA217="",TRUE,IF(input_global_network_school="",TRUE,SUMPRODUCT(--ISNUMBER(SEARCH(","&amp;TRIM(TEXTSPLIT(FA217,","))&amp;",",","&amp;SUBSTITUTE(input_global_network_school," ","")&amp;",")))=0)),IF(FC217="",TRUE,IF(input_global_network_school="",FALSE,SUMPRODUCT(--ISNUMBER(SEARCH(","&amp;TRIM(TEXTSPLIT(FC217,","))&amp;",",","&amp;SUBSTITUTE(input_global_network_school," ","")&amp;",")))&gt;0)),IF(FE217="",TRUE,IF(input_global_network_school="",FALSE,SUMPRODUCT(--ISNUMBER(SEARCH(","&amp;TRIM(TEXTSPLIT(FE217,","))&amp;",",","&amp;SUBSTITUTE(input_global_network_school," ","")&amp;",")))=COUNTA(TEXTSPLIT(FE217,",")))))</f>
        <v/>
      </c>
      <c r="JI217" s="19">
        <f>AND(IF(FG217="",TRUE,IF(input_industry="",FALSE,SUMPRODUCT(--ISNUMBER(SEARCH(","&amp;TRIM(TEXTSPLIT(FG217,","))&amp;",",","&amp;SUBSTITUTE(input_industry," ","")&amp;",")))&gt;0)),IF(FI217="",TRUE,IF(input_industry="",FALSE,SUMPRODUCT(--ISNUMBER(SEARCH(","&amp;TRIM(TEXTSPLIT(FI217,","))&amp;",",","&amp;SUBSTITUTE(input_industry," ","")&amp;",")))=COUNTA(TEXTSPLIT(FI217,",")))),IF(FK217="",TRUE,IF(input_industry="",TRUE,SUMPRODUCT(--ISNUMBER(SEARCH(","&amp;TRIM(TEXTSPLIT(FK217,","))&amp;",",","&amp;SUBSTITUTE(input_industry," ","")&amp;",")))=0)),IF(FM217="",TRUE,IF(input_industry="",FALSE,SUMPRODUCT(--ISNUMBER(SEARCH(","&amp;TRIM(TEXTSPLIT(FM217,","))&amp;",",","&amp;SUBSTITUTE(input_industry," ","")&amp;",")))&gt;0)),IF(FO217="",TRUE,IF(input_industry="",FALSE,SUMPRODUCT(--ISNUMBER(SEARCH(","&amp;TRIM(TEXTSPLIT(FO217,","))&amp;",",","&amp;SUBSTITUTE(input_industry," ","")&amp;",")))=COUNTA(TEXTSPLIT(FO217,",")))))</f>
        <v/>
      </c>
      <c r="JJ217" s="19">
        <f>AND(IF(FQ217="",TRUE,IF(input_location="",FALSE,SUMPRODUCT(--ISNUMBER(SEARCH(","&amp;TRIM(TEXTSPLIT(FQ217,","))&amp;",",","&amp;SUBSTITUTE(input_location," ","")&amp;",")))&gt;0)),IF(FS217="",TRUE,IF(input_location="",FALSE,SUMPRODUCT(--ISNUMBER(SEARCH(","&amp;TRIM(TEXTSPLIT(FS217,","))&amp;",",","&amp;SUBSTITUTE(input_location," ","")&amp;",")))=COUNTA(TEXTSPLIT(FS217,",")))),IF(FU217="",TRUE,IF(input_location="",TRUE,SUMPRODUCT(--ISNUMBER(SEARCH(","&amp;TRIM(TEXTSPLIT(FU217,","))&amp;",",","&amp;SUBSTITUTE(input_location," ","")&amp;",")))=0)),IF(FW217="",TRUE,IF(input_location="",FALSE,SUMPRODUCT(--ISNUMBER(SEARCH(","&amp;TRIM(TEXTSPLIT(FW217,","))&amp;",",","&amp;SUBSTITUTE(input_location," ","")&amp;",")))&gt;0)),IF(FY217="",TRUE,IF(input_location="",FALSE,SUMPRODUCT(--ISNUMBER(SEARCH(","&amp;TRIM(TEXTSPLIT(FY217,","))&amp;",",","&amp;SUBSTITUTE(input_location," ","")&amp;",")))=COUNTA(TEXTSPLIT(FY217,",")))))</f>
        <v/>
      </c>
      <c r="JK217" s="19">
        <f>AND(IF(GA217="",TRUE,IF(input_modality="",FALSE,SUMPRODUCT(--ISNUMBER(SEARCH(","&amp;TRIM(TEXTSPLIT(GA217,","))&amp;",",","&amp;SUBSTITUTE(input_modality," ","")&amp;",")))&gt;0)),IF(GC217="",TRUE,IF(input_modality="",FALSE,SUMPRODUCT(--ISNUMBER(SEARCH(","&amp;TRIM(TEXTSPLIT(GC217,","))&amp;",",","&amp;SUBSTITUTE(input_modality," ","")&amp;",")))=COUNTA(TEXTSPLIT(GC217,",")))),IF(GE217="",TRUE,IF(input_modality="",TRUE,SUMPRODUCT(--ISNUMBER(SEARCH(","&amp;TRIM(TEXTSPLIT(GE217,","))&amp;",",","&amp;SUBSTITUTE(input_modality," ","")&amp;",")))=0)),IF(GG217="",TRUE,IF(input_modality="",FALSE,SUMPRODUCT(--ISNUMBER(SEARCH(","&amp;TRIM(TEXTSPLIT(GG217,","))&amp;",",","&amp;SUBSTITUTE(input_modality," ","")&amp;",")))&gt;0)),IF(GI217="",TRUE,IF(input_modality="",FALSE,SUMPRODUCT(--ISNUMBER(SEARCH(","&amp;TRIM(TEXTSPLIT(GI217,","))&amp;",",","&amp;SUBSTITUTE(input_modality," ","")&amp;",")))=COUNTA(TEXTSPLIT(GI217,",")))))</f>
        <v/>
      </c>
      <c r="JL217" s="19">
        <f>AND(IF(GK217="",TRUE,IF(input_organizer="",FALSE,SUMPRODUCT(--ISNUMBER(SEARCH(","&amp;TRIM(TEXTSPLIT(GK217,","))&amp;",",","&amp;SUBSTITUTE(input_organizer," ","")&amp;",")))&gt;0)),IF(GM217="",TRUE,IF(input_organizer="",FALSE,SUMPRODUCT(--ISNUMBER(SEARCH(","&amp;TRIM(TEXTSPLIT(GM217,","))&amp;",",","&amp;SUBSTITUTE(input_organizer," ","")&amp;",")))=COUNTA(TEXTSPLIT(GM217,",")))),IF(GO217="",TRUE,IF(input_organizer="",TRUE,SUMPRODUCT(--ISNUMBER(SEARCH(","&amp;TRIM(TEXTSPLIT(GO217,","))&amp;",",","&amp;SUBSTITUTE(input_organizer," ","")&amp;",")))=0)),IF(GQ217="",TRUE,IF(input_organizer="",FALSE,SUMPRODUCT(--ISNUMBER(SEARCH(","&amp;TRIM(TEXTSPLIT(GQ217,","))&amp;",",","&amp;SUBSTITUTE(input_organizer," ","")&amp;",")))&gt;0)),IF(GS217="",TRUE,IF(input_organizer="",FALSE,SUMPRODUCT(--ISNUMBER(SEARCH(","&amp;TRIM(TEXTSPLIT(GS217,","))&amp;",",","&amp;SUBSTITUTE(input_organizer," ","")&amp;",")))=COUNTA(TEXTSPLIT(GS217,",")))))</f>
        <v/>
      </c>
      <c r="JM217" s="19">
        <f>AND(IF(GU217="",TRUE,IF(input_profile_type="",FALSE,SUMPRODUCT(--ISNUMBER(SEARCH(","&amp;TRIM(TEXTSPLIT(GU217,","))&amp;",",","&amp;SUBSTITUTE(input_profile_type," ","")&amp;",")))&gt;0)),IF(GW217="",TRUE,IF(input_profile_type="",FALSE,SUMPRODUCT(--ISNUMBER(SEARCH(","&amp;TRIM(TEXTSPLIT(GW217,","))&amp;",",","&amp;SUBSTITUTE(input_profile_type," ","")&amp;",")))=COUNTA(TEXTSPLIT(GW217,",")))),IF(GY217="",TRUE,IF(input_profile_type="",TRUE,SUMPRODUCT(--ISNUMBER(SEARCH(","&amp;TRIM(TEXTSPLIT(GY217,","))&amp;",",","&amp;SUBSTITUTE(input_profile_type," ","")&amp;",")))=0)),IF(HA217="",TRUE,IF(input_profile_type="",FALSE,SUMPRODUCT(--ISNUMBER(SEARCH(","&amp;TRIM(TEXTSPLIT(HA217,","))&amp;",",","&amp;SUBSTITUTE(input_profile_type," ","")&amp;",")))&gt;0)),IF(HC217="",TRUE,IF(input_profile_type="",FALSE,SUMPRODUCT(--ISNUMBER(SEARCH(","&amp;TRIM(TEXTSPLIT(HC217,","))&amp;",",","&amp;SUBSTITUTE(input_profile_type," ","")&amp;",")))=COUNTA(TEXTSPLIT(HC217,",")))))</f>
        <v/>
      </c>
      <c r="JN217" s="19">
        <f>AND(IF(HE217="",TRUE,IF(input_program="",FALSE,SUMPRODUCT(--ISNUMBER(SEARCH(","&amp;TRIM(TEXTSPLIT(HE217,","))&amp;",",","&amp;SUBSTITUTE(input_program," ","")&amp;",")))&gt;0)),IF(HG217="",TRUE,IF(input_program="",FALSE,SUMPRODUCT(--ISNUMBER(SEARCH(","&amp;TRIM(TEXTSPLIT(HG217,","))&amp;",",","&amp;SUBSTITUTE(input_program," ","")&amp;",")))=COUNTA(TEXTSPLIT(HG217,",")))),IF(HI217="",TRUE,IF(input_program="",TRUE,SUMPRODUCT(--ISNUMBER(SEARCH(","&amp;TRIM(TEXTSPLIT(HI217,","))&amp;",",","&amp;SUBSTITUTE(input_program," ","")&amp;",")))=0)),IF(HK217="",TRUE,IF(input_program="",FALSE,SUMPRODUCT(--ISNUMBER(SEARCH(","&amp;TRIM(TEXTSPLIT(HK217,","))&amp;",",","&amp;SUBSTITUTE(input_program," ","")&amp;",")))&gt;0)),IF(HM217="",TRUE,IF(input_program="",FALSE,SUMPRODUCT(--ISNUMBER(SEARCH(","&amp;TRIM(TEXTSPLIT(HM217,","))&amp;",",","&amp;SUBSTITUTE(input_program," ","")&amp;",")))=COUNTA(TEXTSPLIT(HM217,",")))))</f>
        <v/>
      </c>
      <c r="JO217" s="19">
        <f>AND(IF(HO217="",TRUE,IF(input_story_categories="",FALSE,SUMPRODUCT(--ISNUMBER(SEARCH(","&amp;TRIM(TEXTSPLIT(HO217,","))&amp;",",","&amp;SUBSTITUTE(input_story_categories," ","")&amp;",")))&gt;0)),IF(HQ217="",TRUE,IF(input_story_categories="",FALSE,SUMPRODUCT(--ISNUMBER(SEARCH(","&amp;TRIM(TEXTSPLIT(HQ217,","))&amp;",",","&amp;SUBSTITUTE(input_story_categories," ","")&amp;",")))=COUNTA(TEXTSPLIT(HQ217,",")))),IF(HS217="",TRUE,IF(input_story_categories="",TRUE,SUMPRODUCT(--ISNUMBER(SEARCH(","&amp;TRIM(TEXTSPLIT(HS217,","))&amp;",",","&amp;SUBSTITUTE(input_story_categories," ","")&amp;",")))=0)),IF(HU217="",TRUE,IF(input_story_categories="",FALSE,SUMPRODUCT(--ISNUMBER(SEARCH(","&amp;TRIM(TEXTSPLIT(HU217,","))&amp;",",","&amp;SUBSTITUTE(input_story_categories," ","")&amp;",")))&gt;0)),IF(HW217="",TRUE,IF(input_story_categories="",FALSE,SUMPRODUCT(--ISNUMBER(SEARCH(","&amp;TRIM(TEXTSPLIT(HW217,","))&amp;",",","&amp;SUBSTITUTE(input_story_categories," ","")&amp;",")))=COUNTA(TEXTSPLIT(HW217,",")))))</f>
        <v/>
      </c>
      <c r="JP217" s="19">
        <f>AND(IF(HY217="",TRUE,IF(input_story_type="",FALSE,SUMPRODUCT(--ISNUMBER(SEARCH(","&amp;TRIM(TEXTSPLIT(HY217,","))&amp;",",","&amp;SUBSTITUTE(input_story_type," ","")&amp;",")))&gt;0)),IF(IA217="",TRUE,IF(input_story_type="",FALSE,SUMPRODUCT(--ISNUMBER(SEARCH(","&amp;TRIM(TEXTSPLIT(IA217,","))&amp;",",","&amp;SUBSTITUTE(input_story_type," ","")&amp;",")))=COUNTA(TEXTSPLIT(IA217,",")))),IF(IC217="",TRUE,IF(input_story_type="",TRUE,SUMPRODUCT(--ISNUMBER(SEARCH(","&amp;TRIM(TEXTSPLIT(IC217,","))&amp;",",","&amp;SUBSTITUTE(input_story_type," ","")&amp;",")))=0)),IF(IE217="",TRUE,IF(input_story_type="",FALSE,SUMPRODUCT(--ISNUMBER(SEARCH(","&amp;TRIM(TEXTSPLIT(IE217,","))&amp;",",","&amp;SUBSTITUTE(input_story_type," ","")&amp;",")))&gt;0)),IF(IG217="",TRUE,IF(input_story_type="",FALSE,SUMPRODUCT(--ISNUMBER(SEARCH(","&amp;TRIM(TEXTSPLIT(IG217,","))&amp;",",","&amp;SUBSTITUTE(input_story_type," ","")&amp;",")))=COUNTA(TEXTSPLIT(IG217,",")))))</f>
        <v/>
      </c>
      <c r="JQ217" s="19">
        <f>AND(IF(II217="",TRUE,IF(input_topics="",FALSE,SUMPRODUCT(--ISNUMBER(SEARCH(","&amp;TRIM(TEXTSPLIT(II217,","))&amp;",",","&amp;SUBSTITUTE(input_topics," ","")&amp;",")))&gt;0)),IF(IK217="",TRUE,IF(input_topics="",FALSE,SUMPRODUCT(--ISNUMBER(SEARCH(","&amp;TRIM(TEXTSPLIT(IK217,","))&amp;",",","&amp;SUBSTITUTE(input_topics," ","")&amp;",")))=COUNTA(TEXTSPLIT(IK217,",")))),IF(IM217="",TRUE,IF(input_topics="",TRUE,SUMPRODUCT(--ISNUMBER(SEARCH(","&amp;TRIM(TEXTSPLIT(IM217,","))&amp;",",","&amp;SUBSTITUTE(input_topics," ","")&amp;",")))=0)),IF(IO217="",TRUE,IF(input_topics="",FALSE,SUMPRODUCT(--ISNUMBER(SEARCH(","&amp;TRIM(TEXTSPLIT(IO217,","))&amp;",",","&amp;SUBSTITUTE(input_topics," ","")&amp;",")))&gt;0)),IF(IQ217="",TRUE,IF(input_topics="",FALSE,SUMPRODUCT(--ISNUMBER(SEARCH(","&amp;TRIM(TEXTSPLIT(IQ217,","))&amp;",",","&amp;SUBSTITUTE(input_topics," ","")&amp;",")))=COUNTA(TEXTSPLIT(IQ217,",")))))</f>
        <v/>
      </c>
    </row>
    <row r="218">
      <c r="A218" s="24">
        <f>IF(NOT(IS218),"Excluded",IF(AND(IT218,IU218,IV218,IW218,IX218,IY218,IZ218,JA218,JB218,JC218,JD218,JE218,JF218,JG218,JH218,JI218,JJ218,JK218,JL218,JM218,JN218,JO218,JP218,JQ218),IF(I218&gt;0,"Eligible but limited","Will appear"),"Excluded"))</f>
        <v/>
      </c>
      <c r="B218" s="24" t="inlineStr">
        <is>
          <t>Related stories on story pages</t>
        </is>
      </c>
      <c r="C218" s="27" t="inlineStr">
        <is>
          <t>/story/2025/y-sim-welcomes-mars-incorporated-cfo-claus-aagaard-advisory-board</t>
        </is>
      </c>
      <c r="D218" s="24" t="inlineStr">
        <is>
          <t>/story/2025/y-sim-welcomes-mars-incorporated-cfo-claus-aagaard-advisory-board
/story/2025/y-sims-refounding-concept-introduced-economist</t>
        </is>
      </c>
      <c r="E218" s="24" t="n">
        <v>2</v>
      </c>
      <c r="F218" s="24" t="inlineStr">
        <is>
          <t>story</t>
        </is>
      </c>
      <c r="G218" s="24" t="inlineStr">
        <is>
          <t>stories_teaser_cards</t>
        </is>
      </c>
      <c r="H218" s="24" t="inlineStr">
        <is>
          <t>embed_all</t>
        </is>
      </c>
      <c r="I218" s="24" t="n">
        <v>3</v>
      </c>
      <c r="J218" s="31" t="inlineStr">
        <is>
          <t>Template logic</t>
        </is>
      </c>
      <c r="K218" s="24" t="inlineStr">
        <is>
          <t>Grouped surface</t>
        </is>
      </c>
      <c r="L218" s="24" t="inlineStr">
        <is>
          <t>Content type: story; Context uses Courses Context: Program on Stakeholder Innovation and Management (1161); Context uses Story Type: News (924); Limited to 3 item(s); Source: Template logic</t>
        </is>
      </c>
      <c r="BQ218" s="19" t="inlineStr">
        <is>
          <t>1161</t>
        </is>
      </c>
      <c r="BR218" s="19" t="inlineStr">
        <is>
          <t>Program on Stakeholder Innovation and Management (1161)</t>
        </is>
      </c>
      <c r="IE218" s="19" t="inlineStr">
        <is>
          <t>924</t>
        </is>
      </c>
      <c r="IF218" s="19" t="inlineStr">
        <is>
          <t>News (924)</t>
        </is>
      </c>
      <c r="IS218" s="19">
        <f>IF(input_content_type="",FALSE,ISNUMBER(SEARCH(","&amp;LOWER(input_content_type)&amp;",",","&amp;LOWER(SUBSTITUTE(F218," ",""))&amp;",")))</f>
        <v/>
      </c>
      <c r="IT218" s="19">
        <f>AND(IF(M218="",TRUE,IF(input_affiliations="",FALSE,SUMPRODUCT(--ISNUMBER(SEARCH(","&amp;TRIM(TEXTSPLIT(M218,","))&amp;",",","&amp;SUBSTITUTE(input_affiliations," ","")&amp;",")))&gt;0)),IF(O218="",TRUE,IF(input_affiliations="",FALSE,SUMPRODUCT(--ISNUMBER(SEARCH(","&amp;TRIM(TEXTSPLIT(O218,","))&amp;",",","&amp;SUBSTITUTE(input_affiliations," ","")&amp;",")))=COUNTA(TEXTSPLIT(O218,",")))),IF(Q218="",TRUE,IF(input_affiliations="",TRUE,SUMPRODUCT(--ISNUMBER(SEARCH(","&amp;TRIM(TEXTSPLIT(Q218,","))&amp;",",","&amp;SUBSTITUTE(input_affiliations," ","")&amp;",")))=0)),IF(S218="",TRUE,IF(input_affiliations="",FALSE,SUMPRODUCT(--ISNUMBER(SEARCH(","&amp;TRIM(TEXTSPLIT(S218,","))&amp;",",","&amp;SUBSTITUTE(input_affiliations," ","")&amp;",")))&gt;0)),IF(U218="",TRUE,IF(input_affiliations="",FALSE,SUMPRODUCT(--ISNUMBER(SEARCH(","&amp;TRIM(TEXTSPLIT(U218,","))&amp;",",","&amp;SUBSTITUTE(input_affiliations," ","")&amp;",")))=COUNTA(TEXTSPLIT(U218,",")))))</f>
        <v/>
      </c>
      <c r="IU218" s="19">
        <f>AND(IF(W218="",TRUE,IF(input_announcement_category="",FALSE,SUMPRODUCT(--ISNUMBER(SEARCH(","&amp;TRIM(TEXTSPLIT(W218,","))&amp;",",","&amp;SUBSTITUTE(input_announcement_category," ","")&amp;",")))&gt;0)),IF(Y218="",TRUE,IF(input_announcement_category="",FALSE,SUMPRODUCT(--ISNUMBER(SEARCH(","&amp;TRIM(TEXTSPLIT(Y218,","))&amp;",",","&amp;SUBSTITUTE(input_announcement_category," ","")&amp;",")))=COUNTA(TEXTSPLIT(Y218,",")))),IF(AA218="",TRUE,IF(input_announcement_category="",TRUE,SUMPRODUCT(--ISNUMBER(SEARCH(","&amp;TRIM(TEXTSPLIT(AA218,","))&amp;",",","&amp;SUBSTITUTE(input_announcement_category," ","")&amp;",")))=0)),IF(AC218="",TRUE,IF(input_announcement_category="",FALSE,SUMPRODUCT(--ISNUMBER(SEARCH(","&amp;TRIM(TEXTSPLIT(AC218,","))&amp;",",","&amp;SUBSTITUTE(input_announcement_category," ","")&amp;",")))&gt;0)),IF(AE218="",TRUE,IF(input_announcement_category="",FALSE,SUMPRODUCT(--ISNUMBER(SEARCH(","&amp;TRIM(TEXTSPLIT(AE218,","))&amp;",",","&amp;SUBSTITUTE(input_announcement_category," ","")&amp;",")))=COUNTA(TEXTSPLIT(AE218,",")))))</f>
        <v/>
      </c>
      <c r="IV218" s="19">
        <f>AND(IF(AG218="",TRUE,IF(input_area_of_focus="",FALSE,SUMPRODUCT(--ISNUMBER(SEARCH(","&amp;TRIM(TEXTSPLIT(AG218,","))&amp;",",","&amp;SUBSTITUTE(input_area_of_focus," ","")&amp;",")))&gt;0)),IF(AI218="",TRUE,IF(input_area_of_focus="",FALSE,SUMPRODUCT(--ISNUMBER(SEARCH(","&amp;TRIM(TEXTSPLIT(AI218,","))&amp;",",","&amp;SUBSTITUTE(input_area_of_focus," ","")&amp;",")))=COUNTA(TEXTSPLIT(AI218,",")))),IF(AK218="",TRUE,IF(input_area_of_focus="",TRUE,SUMPRODUCT(--ISNUMBER(SEARCH(","&amp;TRIM(TEXTSPLIT(AK218,","))&amp;",",","&amp;SUBSTITUTE(input_area_of_focus," ","")&amp;",")))=0)),IF(AM218="",TRUE,IF(input_area_of_focus="",FALSE,SUMPRODUCT(--ISNUMBER(SEARCH(","&amp;TRIM(TEXTSPLIT(AM218,","))&amp;",",","&amp;SUBSTITUTE(input_area_of_focus," ","")&amp;",")))&gt;0)),IF(AO218="",TRUE,IF(input_area_of_focus="",FALSE,SUMPRODUCT(--ISNUMBER(SEARCH(","&amp;TRIM(TEXTSPLIT(AO218,","))&amp;",",","&amp;SUBSTITUTE(input_area_of_focus," ","")&amp;",")))=COUNTA(TEXTSPLIT(AO218,",")))))</f>
        <v/>
      </c>
      <c r="IW218" s="19">
        <f>AND(IF(AQ218="",TRUE,IF(input_audience="",FALSE,SUMPRODUCT(--ISNUMBER(SEARCH(","&amp;TRIM(TEXTSPLIT(AQ218,","))&amp;",",","&amp;SUBSTITUTE(input_audience," ","")&amp;",")))&gt;0)),IF(AS218="",TRUE,IF(input_audience="",FALSE,SUMPRODUCT(--ISNUMBER(SEARCH(","&amp;TRIM(TEXTSPLIT(AS218,","))&amp;",",","&amp;SUBSTITUTE(input_audience," ","")&amp;",")))=COUNTA(TEXTSPLIT(AS218,",")))),IF(AU218="",TRUE,IF(input_audience="",TRUE,SUMPRODUCT(--ISNUMBER(SEARCH(","&amp;TRIM(TEXTSPLIT(AU218,","))&amp;",",","&amp;SUBSTITUTE(input_audience," ","")&amp;",")))=0)),IF(AW218="",TRUE,IF(input_audience="",FALSE,SUMPRODUCT(--ISNUMBER(SEARCH(","&amp;TRIM(TEXTSPLIT(AW218,","))&amp;",",","&amp;SUBSTITUTE(input_audience," ","")&amp;",")))&gt;0)),IF(AY218="",TRUE,IF(input_audience="",FALSE,SUMPRODUCT(--ISNUMBER(SEARCH(","&amp;TRIM(TEXTSPLIT(AY218,","))&amp;",",","&amp;SUBSTITUTE(input_audience," ","")&amp;",")))=COUNTA(TEXTSPLIT(AY218,",")))))</f>
        <v/>
      </c>
      <c r="IX218" s="19">
        <f>AND(IF(BA218="",TRUE,IF(input_challenge_opportunities="",FALSE,SUMPRODUCT(--ISNUMBER(SEARCH(","&amp;TRIM(TEXTSPLIT(BA218,","))&amp;",",","&amp;SUBSTITUTE(input_challenge_opportunities," ","")&amp;",")))&gt;0)),IF(BC218="",TRUE,IF(input_challenge_opportunities="",FALSE,SUMPRODUCT(--ISNUMBER(SEARCH(","&amp;TRIM(TEXTSPLIT(BC218,","))&amp;",",","&amp;SUBSTITUTE(input_challenge_opportunities," ","")&amp;",")))=COUNTA(TEXTSPLIT(BC218,",")))),IF(BE218="",TRUE,IF(input_challenge_opportunities="",TRUE,SUMPRODUCT(--ISNUMBER(SEARCH(","&amp;TRIM(TEXTSPLIT(BE218,","))&amp;",",","&amp;SUBSTITUTE(input_challenge_opportunities," ","")&amp;",")))=0)),IF(BG218="",TRUE,IF(input_challenge_opportunities="",FALSE,SUMPRODUCT(--ISNUMBER(SEARCH(","&amp;TRIM(TEXTSPLIT(BG218,","))&amp;",",","&amp;SUBSTITUTE(input_challenge_opportunities," ","")&amp;",")))&gt;0)),IF(BI218="",TRUE,IF(input_challenge_opportunities="",FALSE,SUMPRODUCT(--ISNUMBER(SEARCH(","&amp;TRIM(TEXTSPLIT(BI218,","))&amp;",",","&amp;SUBSTITUTE(input_challenge_opportunities," ","")&amp;",")))=COUNTA(TEXTSPLIT(BI218,",")))))</f>
        <v/>
      </c>
      <c r="IY218" s="19">
        <f>AND(IF(BK218="",TRUE,IF(input_context="",FALSE,SUMPRODUCT(--ISNUMBER(SEARCH(","&amp;TRIM(TEXTSPLIT(BK218,","))&amp;",",","&amp;SUBSTITUTE(input_context," ","")&amp;",")))&gt;0)),IF(BM218="",TRUE,IF(input_context="",FALSE,SUMPRODUCT(--ISNUMBER(SEARCH(","&amp;TRIM(TEXTSPLIT(BM218,","))&amp;",",","&amp;SUBSTITUTE(input_context," ","")&amp;",")))=COUNTA(TEXTSPLIT(BM218,",")))),IF(BO218="",TRUE,IF(input_context="",TRUE,SUMPRODUCT(--ISNUMBER(SEARCH(","&amp;TRIM(TEXTSPLIT(BO218,","))&amp;",",","&amp;SUBSTITUTE(input_context," ","")&amp;",")))=0)),IF(BQ218="",TRUE,IF(input_context="",FALSE,SUMPRODUCT(--ISNUMBER(SEARCH(","&amp;TRIM(TEXTSPLIT(BQ218,","))&amp;",",","&amp;SUBSTITUTE(input_context," ","")&amp;",")))&gt;0)),IF(BS218="",TRUE,IF(input_context="",FALSE,SUMPRODUCT(--ISNUMBER(SEARCH(","&amp;TRIM(TEXTSPLIT(BS218,","))&amp;",",","&amp;SUBSTITUTE(input_context," ","")&amp;",")))=COUNTA(TEXTSPLIT(BS218,",")))))</f>
        <v/>
      </c>
      <c r="IZ218" s="19">
        <f>AND(IF(BU218="",TRUE,IF(input_enews_announcement_type="",FALSE,SUMPRODUCT(--ISNUMBER(SEARCH(","&amp;TRIM(TEXTSPLIT(BU218,","))&amp;",",","&amp;SUBSTITUTE(input_enews_announcement_type," ","")&amp;",")))&gt;0)),IF(BW218="",TRUE,IF(input_enews_announcement_type="",FALSE,SUMPRODUCT(--ISNUMBER(SEARCH(","&amp;TRIM(TEXTSPLIT(BW218,","))&amp;",",","&amp;SUBSTITUTE(input_enews_announcement_type," ","")&amp;",")))=COUNTA(TEXTSPLIT(BW218,",")))),IF(BY218="",TRUE,IF(input_enews_announcement_type="",TRUE,SUMPRODUCT(--ISNUMBER(SEARCH(","&amp;TRIM(TEXTSPLIT(BY218,","))&amp;",",","&amp;SUBSTITUTE(input_enews_announcement_type," ","")&amp;",")))=0)),IF(CA218="",TRUE,IF(input_enews_announcement_type="",FALSE,SUMPRODUCT(--ISNUMBER(SEARCH(","&amp;TRIM(TEXTSPLIT(CA218,","))&amp;",",","&amp;SUBSTITUTE(input_enews_announcement_type," ","")&amp;",")))&gt;0)),IF(CC218="",TRUE,IF(input_enews_announcement_type="",FALSE,SUMPRODUCT(--ISNUMBER(SEARCH(","&amp;TRIM(TEXTSPLIT(CC218,","))&amp;",",","&amp;SUBSTITUTE(input_enews_announcement_type," ","")&amp;",")))=COUNTA(TEXTSPLIT(CC218,",")))))</f>
        <v/>
      </c>
      <c r="JA218" s="19">
        <f>AND(IF(CE218="",TRUE,IF(input_enews_audience="",FALSE,SUMPRODUCT(--ISNUMBER(SEARCH(","&amp;TRIM(TEXTSPLIT(CE218,","))&amp;",",","&amp;SUBSTITUTE(input_enews_audience," ","")&amp;",")))&gt;0)),IF(CG218="",TRUE,IF(input_enews_audience="",FALSE,SUMPRODUCT(--ISNUMBER(SEARCH(","&amp;TRIM(TEXTSPLIT(CG218,","))&amp;",",","&amp;SUBSTITUTE(input_enews_audience," ","")&amp;",")))=COUNTA(TEXTSPLIT(CG218,",")))),IF(CI218="",TRUE,IF(input_enews_audience="",TRUE,SUMPRODUCT(--ISNUMBER(SEARCH(","&amp;TRIM(TEXTSPLIT(CI218,","))&amp;",",","&amp;SUBSTITUTE(input_enews_audience," ","")&amp;",")))=0)),IF(CK218="",TRUE,IF(input_enews_audience="",FALSE,SUMPRODUCT(--ISNUMBER(SEARCH(","&amp;TRIM(TEXTSPLIT(CK218,","))&amp;",",","&amp;SUBSTITUTE(input_enews_audience," ","")&amp;",")))&gt;0)),IF(CM218="",TRUE,IF(input_enews_audience="",FALSE,SUMPRODUCT(--ISNUMBER(SEARCH(","&amp;TRIM(TEXTSPLIT(CM218,","))&amp;",",","&amp;SUBSTITUTE(input_enews_audience," ","")&amp;",")))=COUNTA(TEXTSPLIT(CM218,",")))))</f>
        <v/>
      </c>
      <c r="JB218" s="19">
        <f>AND(IF(CO218="",TRUE,IF(input_event_location="",FALSE,SUMPRODUCT(--ISNUMBER(SEARCH(","&amp;TRIM(TEXTSPLIT(CO218,","))&amp;",",","&amp;SUBSTITUTE(input_event_location," ","")&amp;",")))&gt;0)),IF(CQ218="",TRUE,IF(input_event_location="",FALSE,SUMPRODUCT(--ISNUMBER(SEARCH(","&amp;TRIM(TEXTSPLIT(CQ218,","))&amp;",",","&amp;SUBSTITUTE(input_event_location," ","")&amp;",")))=COUNTA(TEXTSPLIT(CQ218,",")))),IF(CS218="",TRUE,IF(input_event_location="",TRUE,SUMPRODUCT(--ISNUMBER(SEARCH(","&amp;TRIM(TEXTSPLIT(CS218,","))&amp;",",","&amp;SUBSTITUTE(input_event_location," ","")&amp;",")))=0)),IF(CU218="",TRUE,IF(input_event_location="",FALSE,SUMPRODUCT(--ISNUMBER(SEARCH(","&amp;TRIM(TEXTSPLIT(CU218,","))&amp;",",","&amp;SUBSTITUTE(input_event_location," ","")&amp;",")))&gt;0)),IF(CW218="",TRUE,IF(input_event_location="",FALSE,SUMPRODUCT(--ISNUMBER(SEARCH(","&amp;TRIM(TEXTSPLIT(CW218,","))&amp;",",","&amp;SUBSTITUTE(input_event_location," ","")&amp;",")))=COUNTA(TEXTSPLIT(CW218,",")))))</f>
        <v/>
      </c>
      <c r="JC218" s="19">
        <f>AND(IF(CY218="",TRUE,IF(input_event_type="",FALSE,SUMPRODUCT(--ISNUMBER(SEARCH(","&amp;TRIM(TEXTSPLIT(CY218,","))&amp;",",","&amp;SUBSTITUTE(input_event_type," ","")&amp;",")))&gt;0)),IF(DA218="",TRUE,IF(input_event_type="",FALSE,SUMPRODUCT(--ISNUMBER(SEARCH(","&amp;TRIM(TEXTSPLIT(DA218,","))&amp;",",","&amp;SUBSTITUTE(input_event_type," ","")&amp;",")))=COUNTA(TEXTSPLIT(DA218,",")))),IF(DC218="",TRUE,IF(input_event_type="",TRUE,SUMPRODUCT(--ISNUMBER(SEARCH(","&amp;TRIM(TEXTSPLIT(DC218,","))&amp;",",","&amp;SUBSTITUTE(input_event_type," ","")&amp;",")))=0)),IF(DE218="",TRUE,IF(input_event_type="",FALSE,SUMPRODUCT(--ISNUMBER(SEARCH(","&amp;TRIM(TEXTSPLIT(DE218,","))&amp;",",","&amp;SUBSTITUTE(input_event_type," ","")&amp;",")))&gt;0)),IF(DG218="",TRUE,IF(input_event_type="",FALSE,SUMPRODUCT(--ISNUMBER(SEARCH(","&amp;TRIM(TEXTSPLIT(DG218,","))&amp;",",","&amp;SUBSTITUTE(input_event_type," ","")&amp;",")))=COUNTA(TEXTSPLIT(DG218,",")))))</f>
        <v/>
      </c>
      <c r="JD218" s="19">
        <f>AND(IF(DI218="",TRUE,IF(input_executive_education_focus="",FALSE,SUMPRODUCT(--ISNUMBER(SEARCH(","&amp;TRIM(TEXTSPLIT(DI218,","))&amp;",",","&amp;SUBSTITUTE(input_executive_education_focus," ","")&amp;",")))&gt;0)),IF(DK218="",TRUE,IF(input_executive_education_focus="",FALSE,SUMPRODUCT(--ISNUMBER(SEARCH(","&amp;TRIM(TEXTSPLIT(DK218,","))&amp;",",","&amp;SUBSTITUTE(input_executive_education_focus," ","")&amp;",")))=COUNTA(TEXTSPLIT(DK218,",")))),IF(DM218="",TRUE,IF(input_executive_education_focus="",TRUE,SUMPRODUCT(--ISNUMBER(SEARCH(","&amp;TRIM(TEXTSPLIT(DM218,","))&amp;",",","&amp;SUBSTITUTE(input_executive_education_focus," ","")&amp;",")))=0)),IF(DO218="",TRUE,IF(input_executive_education_focus="",FALSE,SUMPRODUCT(--ISNUMBER(SEARCH(","&amp;TRIM(TEXTSPLIT(DO218,","))&amp;",",","&amp;SUBSTITUTE(input_executive_education_focus," ","")&amp;",")))&gt;0)),IF(DQ218="",TRUE,IF(input_executive_education_focus="",FALSE,SUMPRODUCT(--ISNUMBER(SEARCH(","&amp;TRIM(TEXTSPLIT(DQ218,","))&amp;",",","&amp;SUBSTITUTE(input_executive_education_focus," ","")&amp;",")))=COUNTA(TEXTSPLIT(DQ218,",")))))</f>
        <v/>
      </c>
      <c r="JE218" s="19">
        <f>AND(IF(DS218="",TRUE,IF(input_faculty_category="",FALSE,SUMPRODUCT(--ISNUMBER(SEARCH(","&amp;TRIM(TEXTSPLIT(DS218,","))&amp;",",","&amp;SUBSTITUTE(input_faculty_category," ","")&amp;",")))&gt;0)),IF(DU218="",TRUE,IF(input_faculty_category="",FALSE,SUMPRODUCT(--ISNUMBER(SEARCH(","&amp;TRIM(TEXTSPLIT(DU218,","))&amp;",",","&amp;SUBSTITUTE(input_faculty_category," ","")&amp;",")))=COUNTA(TEXTSPLIT(DU218,",")))),IF(DW218="",TRUE,IF(input_faculty_category="",TRUE,SUMPRODUCT(--ISNUMBER(SEARCH(","&amp;TRIM(TEXTSPLIT(DW218,","))&amp;",",","&amp;SUBSTITUTE(input_faculty_category," ","")&amp;",")))=0)),IF(DY218="",TRUE,IF(input_faculty_category="",FALSE,SUMPRODUCT(--ISNUMBER(SEARCH(","&amp;TRIM(TEXTSPLIT(DY218,","))&amp;",",","&amp;SUBSTITUTE(input_faculty_category," ","")&amp;",")))&gt;0)),IF(EA218="",TRUE,IF(input_faculty_category="",FALSE,SUMPRODUCT(--ISNUMBER(SEARCH(","&amp;TRIM(TEXTSPLIT(EA218,","))&amp;",",","&amp;SUBSTITUTE(input_faculty_category," ","")&amp;",")))=COUNTA(TEXTSPLIT(EA218,",")))))</f>
        <v/>
      </c>
      <c r="JF218" s="19">
        <f>AND(IF(EC218="",TRUE,IF(input_faculty_discipline="",FALSE,SUMPRODUCT(--ISNUMBER(SEARCH(","&amp;TRIM(TEXTSPLIT(EC218,","))&amp;",",","&amp;SUBSTITUTE(input_faculty_discipline," ","")&amp;",")))&gt;0)),IF(EE218="",TRUE,IF(input_faculty_discipline="",FALSE,SUMPRODUCT(--ISNUMBER(SEARCH(","&amp;TRIM(TEXTSPLIT(EE218,","))&amp;",",","&amp;SUBSTITUTE(input_faculty_discipline," ","")&amp;",")))=COUNTA(TEXTSPLIT(EE218,",")))),IF(EG218="",TRUE,IF(input_faculty_discipline="",TRUE,SUMPRODUCT(--ISNUMBER(SEARCH(","&amp;TRIM(TEXTSPLIT(EG218,","))&amp;",",","&amp;SUBSTITUTE(input_faculty_discipline," ","")&amp;",")))=0)),IF(EI218="",TRUE,IF(input_faculty_discipline="",FALSE,SUMPRODUCT(--ISNUMBER(SEARCH(","&amp;TRIM(TEXTSPLIT(EI218,","))&amp;",",","&amp;SUBSTITUTE(input_faculty_discipline," ","")&amp;",")))&gt;0)),IF(EK218="",TRUE,IF(input_faculty_discipline="",FALSE,SUMPRODUCT(--ISNUMBER(SEARCH(","&amp;TRIM(TEXTSPLIT(EK218,","))&amp;",",","&amp;SUBSTITUTE(input_faculty_discipline," ","")&amp;",")))=COUNTA(TEXTSPLIT(EK218,",")))))</f>
        <v/>
      </c>
      <c r="JG218" s="19">
        <f>AND(IF(EM218="",TRUE,IF(input_faculty_expertise="",FALSE,SUMPRODUCT(--ISNUMBER(SEARCH(","&amp;TRIM(TEXTSPLIT(EM218,","))&amp;",",","&amp;SUBSTITUTE(input_faculty_expertise," ","")&amp;",")))&gt;0)),IF(EO218="",TRUE,IF(input_faculty_expertise="",FALSE,SUMPRODUCT(--ISNUMBER(SEARCH(","&amp;TRIM(TEXTSPLIT(EO218,","))&amp;",",","&amp;SUBSTITUTE(input_faculty_expertise," ","")&amp;",")))=COUNTA(TEXTSPLIT(EO218,",")))),IF(EQ218="",TRUE,IF(input_faculty_expertise="",TRUE,SUMPRODUCT(--ISNUMBER(SEARCH(","&amp;TRIM(TEXTSPLIT(EQ218,","))&amp;",",","&amp;SUBSTITUTE(input_faculty_expertise," ","")&amp;",")))=0)),IF(ES218="",TRUE,IF(input_faculty_expertise="",FALSE,SUMPRODUCT(--ISNUMBER(SEARCH(","&amp;TRIM(TEXTSPLIT(ES218,","))&amp;",",","&amp;SUBSTITUTE(input_faculty_expertise," ","")&amp;",")))&gt;0)),IF(EU218="",TRUE,IF(input_faculty_expertise="",FALSE,SUMPRODUCT(--ISNUMBER(SEARCH(","&amp;TRIM(TEXTSPLIT(EU218,","))&amp;",",","&amp;SUBSTITUTE(input_faculty_expertise," ","")&amp;",")))=COUNTA(TEXTSPLIT(EU218,",")))))</f>
        <v/>
      </c>
      <c r="JH218" s="19">
        <f>AND(IF(EW218="",TRUE,IF(input_global_network_school="",FALSE,SUMPRODUCT(--ISNUMBER(SEARCH(","&amp;TRIM(TEXTSPLIT(EW218,","))&amp;",",","&amp;SUBSTITUTE(input_global_network_school," ","")&amp;",")))&gt;0)),IF(EY218="",TRUE,IF(input_global_network_school="",FALSE,SUMPRODUCT(--ISNUMBER(SEARCH(","&amp;TRIM(TEXTSPLIT(EY218,","))&amp;",",","&amp;SUBSTITUTE(input_global_network_school," ","")&amp;",")))=COUNTA(TEXTSPLIT(EY218,",")))),IF(FA218="",TRUE,IF(input_global_network_school="",TRUE,SUMPRODUCT(--ISNUMBER(SEARCH(","&amp;TRIM(TEXTSPLIT(FA218,","))&amp;",",","&amp;SUBSTITUTE(input_global_network_school," ","")&amp;",")))=0)),IF(FC218="",TRUE,IF(input_global_network_school="",FALSE,SUMPRODUCT(--ISNUMBER(SEARCH(","&amp;TRIM(TEXTSPLIT(FC218,","))&amp;",",","&amp;SUBSTITUTE(input_global_network_school," ","")&amp;",")))&gt;0)),IF(FE218="",TRUE,IF(input_global_network_school="",FALSE,SUMPRODUCT(--ISNUMBER(SEARCH(","&amp;TRIM(TEXTSPLIT(FE218,","))&amp;",",","&amp;SUBSTITUTE(input_global_network_school," ","")&amp;",")))=COUNTA(TEXTSPLIT(FE218,",")))))</f>
        <v/>
      </c>
      <c r="JI218" s="19">
        <f>AND(IF(FG218="",TRUE,IF(input_industry="",FALSE,SUMPRODUCT(--ISNUMBER(SEARCH(","&amp;TRIM(TEXTSPLIT(FG218,","))&amp;",",","&amp;SUBSTITUTE(input_industry," ","")&amp;",")))&gt;0)),IF(FI218="",TRUE,IF(input_industry="",FALSE,SUMPRODUCT(--ISNUMBER(SEARCH(","&amp;TRIM(TEXTSPLIT(FI218,","))&amp;",",","&amp;SUBSTITUTE(input_industry," ","")&amp;",")))=COUNTA(TEXTSPLIT(FI218,",")))),IF(FK218="",TRUE,IF(input_industry="",TRUE,SUMPRODUCT(--ISNUMBER(SEARCH(","&amp;TRIM(TEXTSPLIT(FK218,","))&amp;",",","&amp;SUBSTITUTE(input_industry," ","")&amp;",")))=0)),IF(FM218="",TRUE,IF(input_industry="",FALSE,SUMPRODUCT(--ISNUMBER(SEARCH(","&amp;TRIM(TEXTSPLIT(FM218,","))&amp;",",","&amp;SUBSTITUTE(input_industry," ","")&amp;",")))&gt;0)),IF(FO218="",TRUE,IF(input_industry="",FALSE,SUMPRODUCT(--ISNUMBER(SEARCH(","&amp;TRIM(TEXTSPLIT(FO218,","))&amp;",",","&amp;SUBSTITUTE(input_industry," ","")&amp;",")))=COUNTA(TEXTSPLIT(FO218,",")))))</f>
        <v/>
      </c>
      <c r="JJ218" s="19">
        <f>AND(IF(FQ218="",TRUE,IF(input_location="",FALSE,SUMPRODUCT(--ISNUMBER(SEARCH(","&amp;TRIM(TEXTSPLIT(FQ218,","))&amp;",",","&amp;SUBSTITUTE(input_location," ","")&amp;",")))&gt;0)),IF(FS218="",TRUE,IF(input_location="",FALSE,SUMPRODUCT(--ISNUMBER(SEARCH(","&amp;TRIM(TEXTSPLIT(FS218,","))&amp;",",","&amp;SUBSTITUTE(input_location," ","")&amp;",")))=COUNTA(TEXTSPLIT(FS218,",")))),IF(FU218="",TRUE,IF(input_location="",TRUE,SUMPRODUCT(--ISNUMBER(SEARCH(","&amp;TRIM(TEXTSPLIT(FU218,","))&amp;",",","&amp;SUBSTITUTE(input_location," ","")&amp;",")))=0)),IF(FW218="",TRUE,IF(input_location="",FALSE,SUMPRODUCT(--ISNUMBER(SEARCH(","&amp;TRIM(TEXTSPLIT(FW218,","))&amp;",",","&amp;SUBSTITUTE(input_location," ","")&amp;",")))&gt;0)),IF(FY218="",TRUE,IF(input_location="",FALSE,SUMPRODUCT(--ISNUMBER(SEARCH(","&amp;TRIM(TEXTSPLIT(FY218,","))&amp;",",","&amp;SUBSTITUTE(input_location," ","")&amp;",")))=COUNTA(TEXTSPLIT(FY218,",")))))</f>
        <v/>
      </c>
      <c r="JK218" s="19">
        <f>AND(IF(GA218="",TRUE,IF(input_modality="",FALSE,SUMPRODUCT(--ISNUMBER(SEARCH(","&amp;TRIM(TEXTSPLIT(GA218,","))&amp;",",","&amp;SUBSTITUTE(input_modality," ","")&amp;",")))&gt;0)),IF(GC218="",TRUE,IF(input_modality="",FALSE,SUMPRODUCT(--ISNUMBER(SEARCH(","&amp;TRIM(TEXTSPLIT(GC218,","))&amp;",",","&amp;SUBSTITUTE(input_modality," ","")&amp;",")))=COUNTA(TEXTSPLIT(GC218,",")))),IF(GE218="",TRUE,IF(input_modality="",TRUE,SUMPRODUCT(--ISNUMBER(SEARCH(","&amp;TRIM(TEXTSPLIT(GE218,","))&amp;",",","&amp;SUBSTITUTE(input_modality," ","")&amp;",")))=0)),IF(GG218="",TRUE,IF(input_modality="",FALSE,SUMPRODUCT(--ISNUMBER(SEARCH(","&amp;TRIM(TEXTSPLIT(GG218,","))&amp;",",","&amp;SUBSTITUTE(input_modality," ","")&amp;",")))&gt;0)),IF(GI218="",TRUE,IF(input_modality="",FALSE,SUMPRODUCT(--ISNUMBER(SEARCH(","&amp;TRIM(TEXTSPLIT(GI218,","))&amp;",",","&amp;SUBSTITUTE(input_modality," ","")&amp;",")))=COUNTA(TEXTSPLIT(GI218,",")))))</f>
        <v/>
      </c>
      <c r="JL218" s="19">
        <f>AND(IF(GK218="",TRUE,IF(input_organizer="",FALSE,SUMPRODUCT(--ISNUMBER(SEARCH(","&amp;TRIM(TEXTSPLIT(GK218,","))&amp;",",","&amp;SUBSTITUTE(input_organizer," ","")&amp;",")))&gt;0)),IF(GM218="",TRUE,IF(input_organizer="",FALSE,SUMPRODUCT(--ISNUMBER(SEARCH(","&amp;TRIM(TEXTSPLIT(GM218,","))&amp;",",","&amp;SUBSTITUTE(input_organizer," ","")&amp;",")))=COUNTA(TEXTSPLIT(GM218,",")))),IF(GO218="",TRUE,IF(input_organizer="",TRUE,SUMPRODUCT(--ISNUMBER(SEARCH(","&amp;TRIM(TEXTSPLIT(GO218,","))&amp;",",","&amp;SUBSTITUTE(input_organizer," ","")&amp;",")))=0)),IF(GQ218="",TRUE,IF(input_organizer="",FALSE,SUMPRODUCT(--ISNUMBER(SEARCH(","&amp;TRIM(TEXTSPLIT(GQ218,","))&amp;",",","&amp;SUBSTITUTE(input_organizer," ","")&amp;",")))&gt;0)),IF(GS218="",TRUE,IF(input_organizer="",FALSE,SUMPRODUCT(--ISNUMBER(SEARCH(","&amp;TRIM(TEXTSPLIT(GS218,","))&amp;",",","&amp;SUBSTITUTE(input_organizer," ","")&amp;",")))=COUNTA(TEXTSPLIT(GS218,",")))))</f>
        <v/>
      </c>
      <c r="JM218" s="19">
        <f>AND(IF(GU218="",TRUE,IF(input_profile_type="",FALSE,SUMPRODUCT(--ISNUMBER(SEARCH(","&amp;TRIM(TEXTSPLIT(GU218,","))&amp;",",","&amp;SUBSTITUTE(input_profile_type," ","")&amp;",")))&gt;0)),IF(GW218="",TRUE,IF(input_profile_type="",FALSE,SUMPRODUCT(--ISNUMBER(SEARCH(","&amp;TRIM(TEXTSPLIT(GW218,","))&amp;",",","&amp;SUBSTITUTE(input_profile_type," ","")&amp;",")))=COUNTA(TEXTSPLIT(GW218,",")))),IF(GY218="",TRUE,IF(input_profile_type="",TRUE,SUMPRODUCT(--ISNUMBER(SEARCH(","&amp;TRIM(TEXTSPLIT(GY218,","))&amp;",",","&amp;SUBSTITUTE(input_profile_type," ","")&amp;",")))=0)),IF(HA218="",TRUE,IF(input_profile_type="",FALSE,SUMPRODUCT(--ISNUMBER(SEARCH(","&amp;TRIM(TEXTSPLIT(HA218,","))&amp;",",","&amp;SUBSTITUTE(input_profile_type," ","")&amp;",")))&gt;0)),IF(HC218="",TRUE,IF(input_profile_type="",FALSE,SUMPRODUCT(--ISNUMBER(SEARCH(","&amp;TRIM(TEXTSPLIT(HC218,","))&amp;",",","&amp;SUBSTITUTE(input_profile_type," ","")&amp;",")))=COUNTA(TEXTSPLIT(HC218,",")))))</f>
        <v/>
      </c>
      <c r="JN218" s="19">
        <f>AND(IF(HE218="",TRUE,IF(input_program="",FALSE,SUMPRODUCT(--ISNUMBER(SEARCH(","&amp;TRIM(TEXTSPLIT(HE218,","))&amp;",",","&amp;SUBSTITUTE(input_program," ","")&amp;",")))&gt;0)),IF(HG218="",TRUE,IF(input_program="",FALSE,SUMPRODUCT(--ISNUMBER(SEARCH(","&amp;TRIM(TEXTSPLIT(HG218,","))&amp;",",","&amp;SUBSTITUTE(input_program," ","")&amp;",")))=COUNTA(TEXTSPLIT(HG218,",")))),IF(HI218="",TRUE,IF(input_program="",TRUE,SUMPRODUCT(--ISNUMBER(SEARCH(","&amp;TRIM(TEXTSPLIT(HI218,","))&amp;",",","&amp;SUBSTITUTE(input_program," ","")&amp;",")))=0)),IF(HK218="",TRUE,IF(input_program="",FALSE,SUMPRODUCT(--ISNUMBER(SEARCH(","&amp;TRIM(TEXTSPLIT(HK218,","))&amp;",",","&amp;SUBSTITUTE(input_program," ","")&amp;",")))&gt;0)),IF(HM218="",TRUE,IF(input_program="",FALSE,SUMPRODUCT(--ISNUMBER(SEARCH(","&amp;TRIM(TEXTSPLIT(HM218,","))&amp;",",","&amp;SUBSTITUTE(input_program," ","")&amp;",")))=COUNTA(TEXTSPLIT(HM218,",")))))</f>
        <v/>
      </c>
      <c r="JO218" s="19">
        <f>AND(IF(HO218="",TRUE,IF(input_story_categories="",FALSE,SUMPRODUCT(--ISNUMBER(SEARCH(","&amp;TRIM(TEXTSPLIT(HO218,","))&amp;",",","&amp;SUBSTITUTE(input_story_categories," ","")&amp;",")))&gt;0)),IF(HQ218="",TRUE,IF(input_story_categories="",FALSE,SUMPRODUCT(--ISNUMBER(SEARCH(","&amp;TRIM(TEXTSPLIT(HQ218,","))&amp;",",","&amp;SUBSTITUTE(input_story_categories," ","")&amp;",")))=COUNTA(TEXTSPLIT(HQ218,",")))),IF(HS218="",TRUE,IF(input_story_categories="",TRUE,SUMPRODUCT(--ISNUMBER(SEARCH(","&amp;TRIM(TEXTSPLIT(HS218,","))&amp;",",","&amp;SUBSTITUTE(input_story_categories," ","")&amp;",")))=0)),IF(HU218="",TRUE,IF(input_story_categories="",FALSE,SUMPRODUCT(--ISNUMBER(SEARCH(","&amp;TRIM(TEXTSPLIT(HU218,","))&amp;",",","&amp;SUBSTITUTE(input_story_categories," ","")&amp;",")))&gt;0)),IF(HW218="",TRUE,IF(input_story_categories="",FALSE,SUMPRODUCT(--ISNUMBER(SEARCH(","&amp;TRIM(TEXTSPLIT(HW218,","))&amp;",",","&amp;SUBSTITUTE(input_story_categories," ","")&amp;",")))=COUNTA(TEXTSPLIT(HW218,",")))))</f>
        <v/>
      </c>
      <c r="JP218" s="19">
        <f>AND(IF(HY218="",TRUE,IF(input_story_type="",FALSE,SUMPRODUCT(--ISNUMBER(SEARCH(","&amp;TRIM(TEXTSPLIT(HY218,","))&amp;",",","&amp;SUBSTITUTE(input_story_type," ","")&amp;",")))&gt;0)),IF(IA218="",TRUE,IF(input_story_type="",FALSE,SUMPRODUCT(--ISNUMBER(SEARCH(","&amp;TRIM(TEXTSPLIT(IA218,","))&amp;",",","&amp;SUBSTITUTE(input_story_type," ","")&amp;",")))=COUNTA(TEXTSPLIT(IA218,",")))),IF(IC218="",TRUE,IF(input_story_type="",TRUE,SUMPRODUCT(--ISNUMBER(SEARCH(","&amp;TRIM(TEXTSPLIT(IC218,","))&amp;",",","&amp;SUBSTITUTE(input_story_type," ","")&amp;",")))=0)),IF(IE218="",TRUE,IF(input_story_type="",FALSE,SUMPRODUCT(--ISNUMBER(SEARCH(","&amp;TRIM(TEXTSPLIT(IE218,","))&amp;",",","&amp;SUBSTITUTE(input_story_type," ","")&amp;",")))&gt;0)),IF(IG218="",TRUE,IF(input_story_type="",FALSE,SUMPRODUCT(--ISNUMBER(SEARCH(","&amp;TRIM(TEXTSPLIT(IG218,","))&amp;",",","&amp;SUBSTITUTE(input_story_type," ","")&amp;",")))=COUNTA(TEXTSPLIT(IG218,",")))))</f>
        <v/>
      </c>
      <c r="JQ218" s="19">
        <f>AND(IF(II218="",TRUE,IF(input_topics="",FALSE,SUMPRODUCT(--ISNUMBER(SEARCH(","&amp;TRIM(TEXTSPLIT(II218,","))&amp;",",","&amp;SUBSTITUTE(input_topics," ","")&amp;",")))&gt;0)),IF(IK218="",TRUE,IF(input_topics="",FALSE,SUMPRODUCT(--ISNUMBER(SEARCH(","&amp;TRIM(TEXTSPLIT(IK218,","))&amp;",",","&amp;SUBSTITUTE(input_topics," ","")&amp;",")))=COUNTA(TEXTSPLIT(IK218,",")))),IF(IM218="",TRUE,IF(input_topics="",TRUE,SUMPRODUCT(--ISNUMBER(SEARCH(","&amp;TRIM(TEXTSPLIT(IM218,","))&amp;",",","&amp;SUBSTITUTE(input_topics," ","")&amp;",")))=0)),IF(IO218="",TRUE,IF(input_topics="",FALSE,SUMPRODUCT(--ISNUMBER(SEARCH(","&amp;TRIM(TEXTSPLIT(IO218,","))&amp;",",","&amp;SUBSTITUTE(input_topics," ","")&amp;",")))&gt;0)),IF(IQ218="",TRUE,IF(input_topics="",FALSE,SUMPRODUCT(--ISNUMBER(SEARCH(","&amp;TRIM(TEXTSPLIT(IQ218,","))&amp;",",","&amp;SUBSTITUTE(input_topics," ","")&amp;",")))=COUNTA(TEXTSPLIT(IQ218,",")))))</f>
        <v/>
      </c>
    </row>
    <row r="219">
      <c r="A219" s="24">
        <f>IF(NOT(IS219),"Excluded",IF(AND(IT219,IU219,IV219,IW219,IX219,IY219,IZ219,JA219,JB219,JC219,JD219,JE219,JF219,JG219,JH219,JI219,JJ219,JK219,JL219,JM219,JN219,JO219,JP219,JQ219),IF(I219&gt;0,"Eligible but limited","Will appear"),"Excluded"))</f>
        <v/>
      </c>
      <c r="B219" s="24" t="inlineStr">
        <is>
          <t>Related stories on story pages</t>
        </is>
      </c>
      <c r="C219" s="27" t="inlineStr">
        <is>
          <t>/story/2025/yale-program-financial-stability-presents-financial-crisis-fighting-playbook</t>
        </is>
      </c>
      <c r="D219" s="24" t="inlineStr">
        <is>
          <t>/story/2025/yale-program-financial-stability-presents-financial-crisis-fighting-playbook</t>
        </is>
      </c>
      <c r="E219" s="24" t="n">
        <v>1</v>
      </c>
      <c r="F219" s="24" t="inlineStr">
        <is>
          <t>story</t>
        </is>
      </c>
      <c r="G219" s="24" t="inlineStr">
        <is>
          <t>stories_teaser_cards</t>
        </is>
      </c>
      <c r="H219" s="24" t="inlineStr">
        <is>
          <t>embed_all</t>
        </is>
      </c>
      <c r="I219" s="24" t="n">
        <v>3</v>
      </c>
      <c r="J219" s="31" t="inlineStr">
        <is>
          <t>Template logic</t>
        </is>
      </c>
      <c r="K219" s="24" t="inlineStr">
        <is>
          <t>Grouped surface</t>
        </is>
      </c>
      <c r="L219" s="24" t="inlineStr">
        <is>
          <t>Content type: story; Context uses Courses Context: Master's Degree in Systemic Risk (949); Context uses Story Type: News (924); Limited to 3 item(s); Source: Template logic</t>
        </is>
      </c>
      <c r="BQ219" s="19" t="inlineStr">
        <is>
          <t>949</t>
        </is>
      </c>
      <c r="BR219" s="19" t="inlineStr">
        <is>
          <t>Master's Degree in Systemic Risk (949)</t>
        </is>
      </c>
      <c r="IE219" s="19" t="inlineStr">
        <is>
          <t>924</t>
        </is>
      </c>
      <c r="IF219" s="19" t="inlineStr">
        <is>
          <t>News (924)</t>
        </is>
      </c>
      <c r="IS219" s="19">
        <f>IF(input_content_type="",FALSE,ISNUMBER(SEARCH(","&amp;LOWER(input_content_type)&amp;",",","&amp;LOWER(SUBSTITUTE(F219," ",""))&amp;",")))</f>
        <v/>
      </c>
      <c r="IT219" s="19">
        <f>AND(IF(M219="",TRUE,IF(input_affiliations="",FALSE,SUMPRODUCT(--ISNUMBER(SEARCH(","&amp;TRIM(TEXTSPLIT(M219,","))&amp;",",","&amp;SUBSTITUTE(input_affiliations," ","")&amp;",")))&gt;0)),IF(O219="",TRUE,IF(input_affiliations="",FALSE,SUMPRODUCT(--ISNUMBER(SEARCH(","&amp;TRIM(TEXTSPLIT(O219,","))&amp;",",","&amp;SUBSTITUTE(input_affiliations," ","")&amp;",")))=COUNTA(TEXTSPLIT(O219,",")))),IF(Q219="",TRUE,IF(input_affiliations="",TRUE,SUMPRODUCT(--ISNUMBER(SEARCH(","&amp;TRIM(TEXTSPLIT(Q219,","))&amp;",",","&amp;SUBSTITUTE(input_affiliations," ","")&amp;",")))=0)),IF(S219="",TRUE,IF(input_affiliations="",FALSE,SUMPRODUCT(--ISNUMBER(SEARCH(","&amp;TRIM(TEXTSPLIT(S219,","))&amp;",",","&amp;SUBSTITUTE(input_affiliations," ","")&amp;",")))&gt;0)),IF(U219="",TRUE,IF(input_affiliations="",FALSE,SUMPRODUCT(--ISNUMBER(SEARCH(","&amp;TRIM(TEXTSPLIT(U219,","))&amp;",",","&amp;SUBSTITUTE(input_affiliations," ","")&amp;",")))=COUNTA(TEXTSPLIT(U219,",")))))</f>
        <v/>
      </c>
      <c r="IU219" s="19">
        <f>AND(IF(W219="",TRUE,IF(input_announcement_category="",FALSE,SUMPRODUCT(--ISNUMBER(SEARCH(","&amp;TRIM(TEXTSPLIT(W219,","))&amp;",",","&amp;SUBSTITUTE(input_announcement_category," ","")&amp;",")))&gt;0)),IF(Y219="",TRUE,IF(input_announcement_category="",FALSE,SUMPRODUCT(--ISNUMBER(SEARCH(","&amp;TRIM(TEXTSPLIT(Y219,","))&amp;",",","&amp;SUBSTITUTE(input_announcement_category," ","")&amp;",")))=COUNTA(TEXTSPLIT(Y219,",")))),IF(AA219="",TRUE,IF(input_announcement_category="",TRUE,SUMPRODUCT(--ISNUMBER(SEARCH(","&amp;TRIM(TEXTSPLIT(AA219,","))&amp;",",","&amp;SUBSTITUTE(input_announcement_category," ","")&amp;",")))=0)),IF(AC219="",TRUE,IF(input_announcement_category="",FALSE,SUMPRODUCT(--ISNUMBER(SEARCH(","&amp;TRIM(TEXTSPLIT(AC219,","))&amp;",",","&amp;SUBSTITUTE(input_announcement_category," ","")&amp;",")))&gt;0)),IF(AE219="",TRUE,IF(input_announcement_category="",FALSE,SUMPRODUCT(--ISNUMBER(SEARCH(","&amp;TRIM(TEXTSPLIT(AE219,","))&amp;",",","&amp;SUBSTITUTE(input_announcement_category," ","")&amp;",")))=COUNTA(TEXTSPLIT(AE219,",")))))</f>
        <v/>
      </c>
      <c r="IV219" s="19">
        <f>AND(IF(AG219="",TRUE,IF(input_area_of_focus="",FALSE,SUMPRODUCT(--ISNUMBER(SEARCH(","&amp;TRIM(TEXTSPLIT(AG219,","))&amp;",",","&amp;SUBSTITUTE(input_area_of_focus," ","")&amp;",")))&gt;0)),IF(AI219="",TRUE,IF(input_area_of_focus="",FALSE,SUMPRODUCT(--ISNUMBER(SEARCH(","&amp;TRIM(TEXTSPLIT(AI219,","))&amp;",",","&amp;SUBSTITUTE(input_area_of_focus," ","")&amp;",")))=COUNTA(TEXTSPLIT(AI219,",")))),IF(AK219="",TRUE,IF(input_area_of_focus="",TRUE,SUMPRODUCT(--ISNUMBER(SEARCH(","&amp;TRIM(TEXTSPLIT(AK219,","))&amp;",",","&amp;SUBSTITUTE(input_area_of_focus," ","")&amp;",")))=0)),IF(AM219="",TRUE,IF(input_area_of_focus="",FALSE,SUMPRODUCT(--ISNUMBER(SEARCH(","&amp;TRIM(TEXTSPLIT(AM219,","))&amp;",",","&amp;SUBSTITUTE(input_area_of_focus," ","")&amp;",")))&gt;0)),IF(AO219="",TRUE,IF(input_area_of_focus="",FALSE,SUMPRODUCT(--ISNUMBER(SEARCH(","&amp;TRIM(TEXTSPLIT(AO219,","))&amp;",",","&amp;SUBSTITUTE(input_area_of_focus," ","")&amp;",")))=COUNTA(TEXTSPLIT(AO219,",")))))</f>
        <v/>
      </c>
      <c r="IW219" s="19">
        <f>AND(IF(AQ219="",TRUE,IF(input_audience="",FALSE,SUMPRODUCT(--ISNUMBER(SEARCH(","&amp;TRIM(TEXTSPLIT(AQ219,","))&amp;",",","&amp;SUBSTITUTE(input_audience," ","")&amp;",")))&gt;0)),IF(AS219="",TRUE,IF(input_audience="",FALSE,SUMPRODUCT(--ISNUMBER(SEARCH(","&amp;TRIM(TEXTSPLIT(AS219,","))&amp;",",","&amp;SUBSTITUTE(input_audience," ","")&amp;",")))=COUNTA(TEXTSPLIT(AS219,",")))),IF(AU219="",TRUE,IF(input_audience="",TRUE,SUMPRODUCT(--ISNUMBER(SEARCH(","&amp;TRIM(TEXTSPLIT(AU219,","))&amp;",",","&amp;SUBSTITUTE(input_audience," ","")&amp;",")))=0)),IF(AW219="",TRUE,IF(input_audience="",FALSE,SUMPRODUCT(--ISNUMBER(SEARCH(","&amp;TRIM(TEXTSPLIT(AW219,","))&amp;",",","&amp;SUBSTITUTE(input_audience," ","")&amp;",")))&gt;0)),IF(AY219="",TRUE,IF(input_audience="",FALSE,SUMPRODUCT(--ISNUMBER(SEARCH(","&amp;TRIM(TEXTSPLIT(AY219,","))&amp;",",","&amp;SUBSTITUTE(input_audience," ","")&amp;",")))=COUNTA(TEXTSPLIT(AY219,",")))))</f>
        <v/>
      </c>
      <c r="IX219" s="19">
        <f>AND(IF(BA219="",TRUE,IF(input_challenge_opportunities="",FALSE,SUMPRODUCT(--ISNUMBER(SEARCH(","&amp;TRIM(TEXTSPLIT(BA219,","))&amp;",",","&amp;SUBSTITUTE(input_challenge_opportunities," ","")&amp;",")))&gt;0)),IF(BC219="",TRUE,IF(input_challenge_opportunities="",FALSE,SUMPRODUCT(--ISNUMBER(SEARCH(","&amp;TRIM(TEXTSPLIT(BC219,","))&amp;",",","&amp;SUBSTITUTE(input_challenge_opportunities," ","")&amp;",")))=COUNTA(TEXTSPLIT(BC219,",")))),IF(BE219="",TRUE,IF(input_challenge_opportunities="",TRUE,SUMPRODUCT(--ISNUMBER(SEARCH(","&amp;TRIM(TEXTSPLIT(BE219,","))&amp;",",","&amp;SUBSTITUTE(input_challenge_opportunities," ","")&amp;",")))=0)),IF(BG219="",TRUE,IF(input_challenge_opportunities="",FALSE,SUMPRODUCT(--ISNUMBER(SEARCH(","&amp;TRIM(TEXTSPLIT(BG219,","))&amp;",",","&amp;SUBSTITUTE(input_challenge_opportunities," ","")&amp;",")))&gt;0)),IF(BI219="",TRUE,IF(input_challenge_opportunities="",FALSE,SUMPRODUCT(--ISNUMBER(SEARCH(","&amp;TRIM(TEXTSPLIT(BI219,","))&amp;",",","&amp;SUBSTITUTE(input_challenge_opportunities," ","")&amp;",")))=COUNTA(TEXTSPLIT(BI219,",")))))</f>
        <v/>
      </c>
      <c r="IY219" s="19">
        <f>AND(IF(BK219="",TRUE,IF(input_context="",FALSE,SUMPRODUCT(--ISNUMBER(SEARCH(","&amp;TRIM(TEXTSPLIT(BK219,","))&amp;",",","&amp;SUBSTITUTE(input_context," ","")&amp;",")))&gt;0)),IF(BM219="",TRUE,IF(input_context="",FALSE,SUMPRODUCT(--ISNUMBER(SEARCH(","&amp;TRIM(TEXTSPLIT(BM219,","))&amp;",",","&amp;SUBSTITUTE(input_context," ","")&amp;",")))=COUNTA(TEXTSPLIT(BM219,",")))),IF(BO219="",TRUE,IF(input_context="",TRUE,SUMPRODUCT(--ISNUMBER(SEARCH(","&amp;TRIM(TEXTSPLIT(BO219,","))&amp;",",","&amp;SUBSTITUTE(input_context," ","")&amp;",")))=0)),IF(BQ219="",TRUE,IF(input_context="",FALSE,SUMPRODUCT(--ISNUMBER(SEARCH(","&amp;TRIM(TEXTSPLIT(BQ219,","))&amp;",",","&amp;SUBSTITUTE(input_context," ","")&amp;",")))&gt;0)),IF(BS219="",TRUE,IF(input_context="",FALSE,SUMPRODUCT(--ISNUMBER(SEARCH(","&amp;TRIM(TEXTSPLIT(BS219,","))&amp;",",","&amp;SUBSTITUTE(input_context," ","")&amp;",")))=COUNTA(TEXTSPLIT(BS219,",")))))</f>
        <v/>
      </c>
      <c r="IZ219" s="19">
        <f>AND(IF(BU219="",TRUE,IF(input_enews_announcement_type="",FALSE,SUMPRODUCT(--ISNUMBER(SEARCH(","&amp;TRIM(TEXTSPLIT(BU219,","))&amp;",",","&amp;SUBSTITUTE(input_enews_announcement_type," ","")&amp;",")))&gt;0)),IF(BW219="",TRUE,IF(input_enews_announcement_type="",FALSE,SUMPRODUCT(--ISNUMBER(SEARCH(","&amp;TRIM(TEXTSPLIT(BW219,","))&amp;",",","&amp;SUBSTITUTE(input_enews_announcement_type," ","")&amp;",")))=COUNTA(TEXTSPLIT(BW219,",")))),IF(BY219="",TRUE,IF(input_enews_announcement_type="",TRUE,SUMPRODUCT(--ISNUMBER(SEARCH(","&amp;TRIM(TEXTSPLIT(BY219,","))&amp;",",","&amp;SUBSTITUTE(input_enews_announcement_type," ","")&amp;",")))=0)),IF(CA219="",TRUE,IF(input_enews_announcement_type="",FALSE,SUMPRODUCT(--ISNUMBER(SEARCH(","&amp;TRIM(TEXTSPLIT(CA219,","))&amp;",",","&amp;SUBSTITUTE(input_enews_announcement_type," ","")&amp;",")))&gt;0)),IF(CC219="",TRUE,IF(input_enews_announcement_type="",FALSE,SUMPRODUCT(--ISNUMBER(SEARCH(","&amp;TRIM(TEXTSPLIT(CC219,","))&amp;",",","&amp;SUBSTITUTE(input_enews_announcement_type," ","")&amp;",")))=COUNTA(TEXTSPLIT(CC219,",")))))</f>
        <v/>
      </c>
      <c r="JA219" s="19">
        <f>AND(IF(CE219="",TRUE,IF(input_enews_audience="",FALSE,SUMPRODUCT(--ISNUMBER(SEARCH(","&amp;TRIM(TEXTSPLIT(CE219,","))&amp;",",","&amp;SUBSTITUTE(input_enews_audience," ","")&amp;",")))&gt;0)),IF(CG219="",TRUE,IF(input_enews_audience="",FALSE,SUMPRODUCT(--ISNUMBER(SEARCH(","&amp;TRIM(TEXTSPLIT(CG219,","))&amp;",",","&amp;SUBSTITUTE(input_enews_audience," ","")&amp;",")))=COUNTA(TEXTSPLIT(CG219,",")))),IF(CI219="",TRUE,IF(input_enews_audience="",TRUE,SUMPRODUCT(--ISNUMBER(SEARCH(","&amp;TRIM(TEXTSPLIT(CI219,","))&amp;",",","&amp;SUBSTITUTE(input_enews_audience," ","")&amp;",")))=0)),IF(CK219="",TRUE,IF(input_enews_audience="",FALSE,SUMPRODUCT(--ISNUMBER(SEARCH(","&amp;TRIM(TEXTSPLIT(CK219,","))&amp;",",","&amp;SUBSTITUTE(input_enews_audience," ","")&amp;",")))&gt;0)),IF(CM219="",TRUE,IF(input_enews_audience="",FALSE,SUMPRODUCT(--ISNUMBER(SEARCH(","&amp;TRIM(TEXTSPLIT(CM219,","))&amp;",",","&amp;SUBSTITUTE(input_enews_audience," ","")&amp;",")))=COUNTA(TEXTSPLIT(CM219,",")))))</f>
        <v/>
      </c>
      <c r="JB219" s="19">
        <f>AND(IF(CO219="",TRUE,IF(input_event_location="",FALSE,SUMPRODUCT(--ISNUMBER(SEARCH(","&amp;TRIM(TEXTSPLIT(CO219,","))&amp;",",","&amp;SUBSTITUTE(input_event_location," ","")&amp;",")))&gt;0)),IF(CQ219="",TRUE,IF(input_event_location="",FALSE,SUMPRODUCT(--ISNUMBER(SEARCH(","&amp;TRIM(TEXTSPLIT(CQ219,","))&amp;",",","&amp;SUBSTITUTE(input_event_location," ","")&amp;",")))=COUNTA(TEXTSPLIT(CQ219,",")))),IF(CS219="",TRUE,IF(input_event_location="",TRUE,SUMPRODUCT(--ISNUMBER(SEARCH(","&amp;TRIM(TEXTSPLIT(CS219,","))&amp;",",","&amp;SUBSTITUTE(input_event_location," ","")&amp;",")))=0)),IF(CU219="",TRUE,IF(input_event_location="",FALSE,SUMPRODUCT(--ISNUMBER(SEARCH(","&amp;TRIM(TEXTSPLIT(CU219,","))&amp;",",","&amp;SUBSTITUTE(input_event_location," ","")&amp;",")))&gt;0)),IF(CW219="",TRUE,IF(input_event_location="",FALSE,SUMPRODUCT(--ISNUMBER(SEARCH(","&amp;TRIM(TEXTSPLIT(CW219,","))&amp;",",","&amp;SUBSTITUTE(input_event_location," ","")&amp;",")))=COUNTA(TEXTSPLIT(CW219,",")))))</f>
        <v/>
      </c>
      <c r="JC219" s="19">
        <f>AND(IF(CY219="",TRUE,IF(input_event_type="",FALSE,SUMPRODUCT(--ISNUMBER(SEARCH(","&amp;TRIM(TEXTSPLIT(CY219,","))&amp;",",","&amp;SUBSTITUTE(input_event_type," ","")&amp;",")))&gt;0)),IF(DA219="",TRUE,IF(input_event_type="",FALSE,SUMPRODUCT(--ISNUMBER(SEARCH(","&amp;TRIM(TEXTSPLIT(DA219,","))&amp;",",","&amp;SUBSTITUTE(input_event_type," ","")&amp;",")))=COUNTA(TEXTSPLIT(DA219,",")))),IF(DC219="",TRUE,IF(input_event_type="",TRUE,SUMPRODUCT(--ISNUMBER(SEARCH(","&amp;TRIM(TEXTSPLIT(DC219,","))&amp;",",","&amp;SUBSTITUTE(input_event_type," ","")&amp;",")))=0)),IF(DE219="",TRUE,IF(input_event_type="",FALSE,SUMPRODUCT(--ISNUMBER(SEARCH(","&amp;TRIM(TEXTSPLIT(DE219,","))&amp;",",","&amp;SUBSTITUTE(input_event_type," ","")&amp;",")))&gt;0)),IF(DG219="",TRUE,IF(input_event_type="",FALSE,SUMPRODUCT(--ISNUMBER(SEARCH(","&amp;TRIM(TEXTSPLIT(DG219,","))&amp;",",","&amp;SUBSTITUTE(input_event_type," ","")&amp;",")))=COUNTA(TEXTSPLIT(DG219,",")))))</f>
        <v/>
      </c>
      <c r="JD219" s="19">
        <f>AND(IF(DI219="",TRUE,IF(input_executive_education_focus="",FALSE,SUMPRODUCT(--ISNUMBER(SEARCH(","&amp;TRIM(TEXTSPLIT(DI219,","))&amp;",",","&amp;SUBSTITUTE(input_executive_education_focus," ","")&amp;",")))&gt;0)),IF(DK219="",TRUE,IF(input_executive_education_focus="",FALSE,SUMPRODUCT(--ISNUMBER(SEARCH(","&amp;TRIM(TEXTSPLIT(DK219,","))&amp;",",","&amp;SUBSTITUTE(input_executive_education_focus," ","")&amp;",")))=COUNTA(TEXTSPLIT(DK219,",")))),IF(DM219="",TRUE,IF(input_executive_education_focus="",TRUE,SUMPRODUCT(--ISNUMBER(SEARCH(","&amp;TRIM(TEXTSPLIT(DM219,","))&amp;",",","&amp;SUBSTITUTE(input_executive_education_focus," ","")&amp;",")))=0)),IF(DO219="",TRUE,IF(input_executive_education_focus="",FALSE,SUMPRODUCT(--ISNUMBER(SEARCH(","&amp;TRIM(TEXTSPLIT(DO219,","))&amp;",",","&amp;SUBSTITUTE(input_executive_education_focus," ","")&amp;",")))&gt;0)),IF(DQ219="",TRUE,IF(input_executive_education_focus="",FALSE,SUMPRODUCT(--ISNUMBER(SEARCH(","&amp;TRIM(TEXTSPLIT(DQ219,","))&amp;",",","&amp;SUBSTITUTE(input_executive_education_focus," ","")&amp;",")))=COUNTA(TEXTSPLIT(DQ219,",")))))</f>
        <v/>
      </c>
      <c r="JE219" s="19">
        <f>AND(IF(DS219="",TRUE,IF(input_faculty_category="",FALSE,SUMPRODUCT(--ISNUMBER(SEARCH(","&amp;TRIM(TEXTSPLIT(DS219,","))&amp;",",","&amp;SUBSTITUTE(input_faculty_category," ","")&amp;",")))&gt;0)),IF(DU219="",TRUE,IF(input_faculty_category="",FALSE,SUMPRODUCT(--ISNUMBER(SEARCH(","&amp;TRIM(TEXTSPLIT(DU219,","))&amp;",",","&amp;SUBSTITUTE(input_faculty_category," ","")&amp;",")))=COUNTA(TEXTSPLIT(DU219,",")))),IF(DW219="",TRUE,IF(input_faculty_category="",TRUE,SUMPRODUCT(--ISNUMBER(SEARCH(","&amp;TRIM(TEXTSPLIT(DW219,","))&amp;",",","&amp;SUBSTITUTE(input_faculty_category," ","")&amp;",")))=0)),IF(DY219="",TRUE,IF(input_faculty_category="",FALSE,SUMPRODUCT(--ISNUMBER(SEARCH(","&amp;TRIM(TEXTSPLIT(DY219,","))&amp;",",","&amp;SUBSTITUTE(input_faculty_category," ","")&amp;",")))&gt;0)),IF(EA219="",TRUE,IF(input_faculty_category="",FALSE,SUMPRODUCT(--ISNUMBER(SEARCH(","&amp;TRIM(TEXTSPLIT(EA219,","))&amp;",",","&amp;SUBSTITUTE(input_faculty_category," ","")&amp;",")))=COUNTA(TEXTSPLIT(EA219,",")))))</f>
        <v/>
      </c>
      <c r="JF219" s="19">
        <f>AND(IF(EC219="",TRUE,IF(input_faculty_discipline="",FALSE,SUMPRODUCT(--ISNUMBER(SEARCH(","&amp;TRIM(TEXTSPLIT(EC219,","))&amp;",",","&amp;SUBSTITUTE(input_faculty_discipline," ","")&amp;",")))&gt;0)),IF(EE219="",TRUE,IF(input_faculty_discipline="",FALSE,SUMPRODUCT(--ISNUMBER(SEARCH(","&amp;TRIM(TEXTSPLIT(EE219,","))&amp;",",","&amp;SUBSTITUTE(input_faculty_discipline," ","")&amp;",")))=COUNTA(TEXTSPLIT(EE219,",")))),IF(EG219="",TRUE,IF(input_faculty_discipline="",TRUE,SUMPRODUCT(--ISNUMBER(SEARCH(","&amp;TRIM(TEXTSPLIT(EG219,","))&amp;",",","&amp;SUBSTITUTE(input_faculty_discipline," ","")&amp;",")))=0)),IF(EI219="",TRUE,IF(input_faculty_discipline="",FALSE,SUMPRODUCT(--ISNUMBER(SEARCH(","&amp;TRIM(TEXTSPLIT(EI219,","))&amp;",",","&amp;SUBSTITUTE(input_faculty_discipline," ","")&amp;",")))&gt;0)),IF(EK219="",TRUE,IF(input_faculty_discipline="",FALSE,SUMPRODUCT(--ISNUMBER(SEARCH(","&amp;TRIM(TEXTSPLIT(EK219,","))&amp;",",","&amp;SUBSTITUTE(input_faculty_discipline," ","")&amp;",")))=COUNTA(TEXTSPLIT(EK219,",")))))</f>
        <v/>
      </c>
      <c r="JG219" s="19">
        <f>AND(IF(EM219="",TRUE,IF(input_faculty_expertise="",FALSE,SUMPRODUCT(--ISNUMBER(SEARCH(","&amp;TRIM(TEXTSPLIT(EM219,","))&amp;",",","&amp;SUBSTITUTE(input_faculty_expertise," ","")&amp;",")))&gt;0)),IF(EO219="",TRUE,IF(input_faculty_expertise="",FALSE,SUMPRODUCT(--ISNUMBER(SEARCH(","&amp;TRIM(TEXTSPLIT(EO219,","))&amp;",",","&amp;SUBSTITUTE(input_faculty_expertise," ","")&amp;",")))=COUNTA(TEXTSPLIT(EO219,",")))),IF(EQ219="",TRUE,IF(input_faculty_expertise="",TRUE,SUMPRODUCT(--ISNUMBER(SEARCH(","&amp;TRIM(TEXTSPLIT(EQ219,","))&amp;",",","&amp;SUBSTITUTE(input_faculty_expertise," ","")&amp;",")))=0)),IF(ES219="",TRUE,IF(input_faculty_expertise="",FALSE,SUMPRODUCT(--ISNUMBER(SEARCH(","&amp;TRIM(TEXTSPLIT(ES219,","))&amp;",",","&amp;SUBSTITUTE(input_faculty_expertise," ","")&amp;",")))&gt;0)),IF(EU219="",TRUE,IF(input_faculty_expertise="",FALSE,SUMPRODUCT(--ISNUMBER(SEARCH(","&amp;TRIM(TEXTSPLIT(EU219,","))&amp;",",","&amp;SUBSTITUTE(input_faculty_expertise," ","")&amp;",")))=COUNTA(TEXTSPLIT(EU219,",")))))</f>
        <v/>
      </c>
      <c r="JH219" s="19">
        <f>AND(IF(EW219="",TRUE,IF(input_global_network_school="",FALSE,SUMPRODUCT(--ISNUMBER(SEARCH(","&amp;TRIM(TEXTSPLIT(EW219,","))&amp;",",","&amp;SUBSTITUTE(input_global_network_school," ","")&amp;",")))&gt;0)),IF(EY219="",TRUE,IF(input_global_network_school="",FALSE,SUMPRODUCT(--ISNUMBER(SEARCH(","&amp;TRIM(TEXTSPLIT(EY219,","))&amp;",",","&amp;SUBSTITUTE(input_global_network_school," ","")&amp;",")))=COUNTA(TEXTSPLIT(EY219,",")))),IF(FA219="",TRUE,IF(input_global_network_school="",TRUE,SUMPRODUCT(--ISNUMBER(SEARCH(","&amp;TRIM(TEXTSPLIT(FA219,","))&amp;",",","&amp;SUBSTITUTE(input_global_network_school," ","")&amp;",")))=0)),IF(FC219="",TRUE,IF(input_global_network_school="",FALSE,SUMPRODUCT(--ISNUMBER(SEARCH(","&amp;TRIM(TEXTSPLIT(FC219,","))&amp;",",","&amp;SUBSTITUTE(input_global_network_school," ","")&amp;",")))&gt;0)),IF(FE219="",TRUE,IF(input_global_network_school="",FALSE,SUMPRODUCT(--ISNUMBER(SEARCH(","&amp;TRIM(TEXTSPLIT(FE219,","))&amp;",",","&amp;SUBSTITUTE(input_global_network_school," ","")&amp;",")))=COUNTA(TEXTSPLIT(FE219,",")))))</f>
        <v/>
      </c>
      <c r="JI219" s="19">
        <f>AND(IF(FG219="",TRUE,IF(input_industry="",FALSE,SUMPRODUCT(--ISNUMBER(SEARCH(","&amp;TRIM(TEXTSPLIT(FG219,","))&amp;",",","&amp;SUBSTITUTE(input_industry," ","")&amp;",")))&gt;0)),IF(FI219="",TRUE,IF(input_industry="",FALSE,SUMPRODUCT(--ISNUMBER(SEARCH(","&amp;TRIM(TEXTSPLIT(FI219,","))&amp;",",","&amp;SUBSTITUTE(input_industry," ","")&amp;",")))=COUNTA(TEXTSPLIT(FI219,",")))),IF(FK219="",TRUE,IF(input_industry="",TRUE,SUMPRODUCT(--ISNUMBER(SEARCH(","&amp;TRIM(TEXTSPLIT(FK219,","))&amp;",",","&amp;SUBSTITUTE(input_industry," ","")&amp;",")))=0)),IF(FM219="",TRUE,IF(input_industry="",FALSE,SUMPRODUCT(--ISNUMBER(SEARCH(","&amp;TRIM(TEXTSPLIT(FM219,","))&amp;",",","&amp;SUBSTITUTE(input_industry," ","")&amp;",")))&gt;0)),IF(FO219="",TRUE,IF(input_industry="",FALSE,SUMPRODUCT(--ISNUMBER(SEARCH(","&amp;TRIM(TEXTSPLIT(FO219,","))&amp;",",","&amp;SUBSTITUTE(input_industry," ","")&amp;",")))=COUNTA(TEXTSPLIT(FO219,",")))))</f>
        <v/>
      </c>
      <c r="JJ219" s="19">
        <f>AND(IF(FQ219="",TRUE,IF(input_location="",FALSE,SUMPRODUCT(--ISNUMBER(SEARCH(","&amp;TRIM(TEXTSPLIT(FQ219,","))&amp;",",","&amp;SUBSTITUTE(input_location," ","")&amp;",")))&gt;0)),IF(FS219="",TRUE,IF(input_location="",FALSE,SUMPRODUCT(--ISNUMBER(SEARCH(","&amp;TRIM(TEXTSPLIT(FS219,","))&amp;",",","&amp;SUBSTITUTE(input_location," ","")&amp;",")))=COUNTA(TEXTSPLIT(FS219,",")))),IF(FU219="",TRUE,IF(input_location="",TRUE,SUMPRODUCT(--ISNUMBER(SEARCH(","&amp;TRIM(TEXTSPLIT(FU219,","))&amp;",",","&amp;SUBSTITUTE(input_location," ","")&amp;",")))=0)),IF(FW219="",TRUE,IF(input_location="",FALSE,SUMPRODUCT(--ISNUMBER(SEARCH(","&amp;TRIM(TEXTSPLIT(FW219,","))&amp;",",","&amp;SUBSTITUTE(input_location," ","")&amp;",")))&gt;0)),IF(FY219="",TRUE,IF(input_location="",FALSE,SUMPRODUCT(--ISNUMBER(SEARCH(","&amp;TRIM(TEXTSPLIT(FY219,","))&amp;",",","&amp;SUBSTITUTE(input_location," ","")&amp;",")))=COUNTA(TEXTSPLIT(FY219,",")))))</f>
        <v/>
      </c>
      <c r="JK219" s="19">
        <f>AND(IF(GA219="",TRUE,IF(input_modality="",FALSE,SUMPRODUCT(--ISNUMBER(SEARCH(","&amp;TRIM(TEXTSPLIT(GA219,","))&amp;",",","&amp;SUBSTITUTE(input_modality," ","")&amp;",")))&gt;0)),IF(GC219="",TRUE,IF(input_modality="",FALSE,SUMPRODUCT(--ISNUMBER(SEARCH(","&amp;TRIM(TEXTSPLIT(GC219,","))&amp;",",","&amp;SUBSTITUTE(input_modality," ","")&amp;",")))=COUNTA(TEXTSPLIT(GC219,",")))),IF(GE219="",TRUE,IF(input_modality="",TRUE,SUMPRODUCT(--ISNUMBER(SEARCH(","&amp;TRIM(TEXTSPLIT(GE219,","))&amp;",",","&amp;SUBSTITUTE(input_modality," ","")&amp;",")))=0)),IF(GG219="",TRUE,IF(input_modality="",FALSE,SUMPRODUCT(--ISNUMBER(SEARCH(","&amp;TRIM(TEXTSPLIT(GG219,","))&amp;",",","&amp;SUBSTITUTE(input_modality," ","")&amp;",")))&gt;0)),IF(GI219="",TRUE,IF(input_modality="",FALSE,SUMPRODUCT(--ISNUMBER(SEARCH(","&amp;TRIM(TEXTSPLIT(GI219,","))&amp;",",","&amp;SUBSTITUTE(input_modality," ","")&amp;",")))=COUNTA(TEXTSPLIT(GI219,",")))))</f>
        <v/>
      </c>
      <c r="JL219" s="19">
        <f>AND(IF(GK219="",TRUE,IF(input_organizer="",FALSE,SUMPRODUCT(--ISNUMBER(SEARCH(","&amp;TRIM(TEXTSPLIT(GK219,","))&amp;",",","&amp;SUBSTITUTE(input_organizer," ","")&amp;",")))&gt;0)),IF(GM219="",TRUE,IF(input_organizer="",FALSE,SUMPRODUCT(--ISNUMBER(SEARCH(","&amp;TRIM(TEXTSPLIT(GM219,","))&amp;",",","&amp;SUBSTITUTE(input_organizer," ","")&amp;",")))=COUNTA(TEXTSPLIT(GM219,",")))),IF(GO219="",TRUE,IF(input_organizer="",TRUE,SUMPRODUCT(--ISNUMBER(SEARCH(","&amp;TRIM(TEXTSPLIT(GO219,","))&amp;",",","&amp;SUBSTITUTE(input_organizer," ","")&amp;",")))=0)),IF(GQ219="",TRUE,IF(input_organizer="",FALSE,SUMPRODUCT(--ISNUMBER(SEARCH(","&amp;TRIM(TEXTSPLIT(GQ219,","))&amp;",",","&amp;SUBSTITUTE(input_organizer," ","")&amp;",")))&gt;0)),IF(GS219="",TRUE,IF(input_organizer="",FALSE,SUMPRODUCT(--ISNUMBER(SEARCH(","&amp;TRIM(TEXTSPLIT(GS219,","))&amp;",",","&amp;SUBSTITUTE(input_organizer," ","")&amp;",")))=COUNTA(TEXTSPLIT(GS219,",")))))</f>
        <v/>
      </c>
      <c r="JM219" s="19">
        <f>AND(IF(GU219="",TRUE,IF(input_profile_type="",FALSE,SUMPRODUCT(--ISNUMBER(SEARCH(","&amp;TRIM(TEXTSPLIT(GU219,","))&amp;",",","&amp;SUBSTITUTE(input_profile_type," ","")&amp;",")))&gt;0)),IF(GW219="",TRUE,IF(input_profile_type="",FALSE,SUMPRODUCT(--ISNUMBER(SEARCH(","&amp;TRIM(TEXTSPLIT(GW219,","))&amp;",",","&amp;SUBSTITUTE(input_profile_type," ","")&amp;",")))=COUNTA(TEXTSPLIT(GW219,",")))),IF(GY219="",TRUE,IF(input_profile_type="",TRUE,SUMPRODUCT(--ISNUMBER(SEARCH(","&amp;TRIM(TEXTSPLIT(GY219,","))&amp;",",","&amp;SUBSTITUTE(input_profile_type," ","")&amp;",")))=0)),IF(HA219="",TRUE,IF(input_profile_type="",FALSE,SUMPRODUCT(--ISNUMBER(SEARCH(","&amp;TRIM(TEXTSPLIT(HA219,","))&amp;",",","&amp;SUBSTITUTE(input_profile_type," ","")&amp;",")))&gt;0)),IF(HC219="",TRUE,IF(input_profile_type="",FALSE,SUMPRODUCT(--ISNUMBER(SEARCH(","&amp;TRIM(TEXTSPLIT(HC219,","))&amp;",",","&amp;SUBSTITUTE(input_profile_type," ","")&amp;",")))=COUNTA(TEXTSPLIT(HC219,",")))))</f>
        <v/>
      </c>
      <c r="JN219" s="19">
        <f>AND(IF(HE219="",TRUE,IF(input_program="",FALSE,SUMPRODUCT(--ISNUMBER(SEARCH(","&amp;TRIM(TEXTSPLIT(HE219,","))&amp;",",","&amp;SUBSTITUTE(input_program," ","")&amp;",")))&gt;0)),IF(HG219="",TRUE,IF(input_program="",FALSE,SUMPRODUCT(--ISNUMBER(SEARCH(","&amp;TRIM(TEXTSPLIT(HG219,","))&amp;",",","&amp;SUBSTITUTE(input_program," ","")&amp;",")))=COUNTA(TEXTSPLIT(HG219,",")))),IF(HI219="",TRUE,IF(input_program="",TRUE,SUMPRODUCT(--ISNUMBER(SEARCH(","&amp;TRIM(TEXTSPLIT(HI219,","))&amp;",",","&amp;SUBSTITUTE(input_program," ","")&amp;",")))=0)),IF(HK219="",TRUE,IF(input_program="",FALSE,SUMPRODUCT(--ISNUMBER(SEARCH(","&amp;TRIM(TEXTSPLIT(HK219,","))&amp;",",","&amp;SUBSTITUTE(input_program," ","")&amp;",")))&gt;0)),IF(HM219="",TRUE,IF(input_program="",FALSE,SUMPRODUCT(--ISNUMBER(SEARCH(","&amp;TRIM(TEXTSPLIT(HM219,","))&amp;",",","&amp;SUBSTITUTE(input_program," ","")&amp;",")))=COUNTA(TEXTSPLIT(HM219,",")))))</f>
        <v/>
      </c>
      <c r="JO219" s="19">
        <f>AND(IF(HO219="",TRUE,IF(input_story_categories="",FALSE,SUMPRODUCT(--ISNUMBER(SEARCH(","&amp;TRIM(TEXTSPLIT(HO219,","))&amp;",",","&amp;SUBSTITUTE(input_story_categories," ","")&amp;",")))&gt;0)),IF(HQ219="",TRUE,IF(input_story_categories="",FALSE,SUMPRODUCT(--ISNUMBER(SEARCH(","&amp;TRIM(TEXTSPLIT(HQ219,","))&amp;",",","&amp;SUBSTITUTE(input_story_categories," ","")&amp;",")))=COUNTA(TEXTSPLIT(HQ219,",")))),IF(HS219="",TRUE,IF(input_story_categories="",TRUE,SUMPRODUCT(--ISNUMBER(SEARCH(","&amp;TRIM(TEXTSPLIT(HS219,","))&amp;",",","&amp;SUBSTITUTE(input_story_categories," ","")&amp;",")))=0)),IF(HU219="",TRUE,IF(input_story_categories="",FALSE,SUMPRODUCT(--ISNUMBER(SEARCH(","&amp;TRIM(TEXTSPLIT(HU219,","))&amp;",",","&amp;SUBSTITUTE(input_story_categories," ","")&amp;",")))&gt;0)),IF(HW219="",TRUE,IF(input_story_categories="",FALSE,SUMPRODUCT(--ISNUMBER(SEARCH(","&amp;TRIM(TEXTSPLIT(HW219,","))&amp;",",","&amp;SUBSTITUTE(input_story_categories," ","")&amp;",")))=COUNTA(TEXTSPLIT(HW219,",")))))</f>
        <v/>
      </c>
      <c r="JP219" s="19">
        <f>AND(IF(HY219="",TRUE,IF(input_story_type="",FALSE,SUMPRODUCT(--ISNUMBER(SEARCH(","&amp;TRIM(TEXTSPLIT(HY219,","))&amp;",",","&amp;SUBSTITUTE(input_story_type," ","")&amp;",")))&gt;0)),IF(IA219="",TRUE,IF(input_story_type="",FALSE,SUMPRODUCT(--ISNUMBER(SEARCH(","&amp;TRIM(TEXTSPLIT(IA219,","))&amp;",",","&amp;SUBSTITUTE(input_story_type," ","")&amp;",")))=COUNTA(TEXTSPLIT(IA219,",")))),IF(IC219="",TRUE,IF(input_story_type="",TRUE,SUMPRODUCT(--ISNUMBER(SEARCH(","&amp;TRIM(TEXTSPLIT(IC219,","))&amp;",",","&amp;SUBSTITUTE(input_story_type," ","")&amp;",")))=0)),IF(IE219="",TRUE,IF(input_story_type="",FALSE,SUMPRODUCT(--ISNUMBER(SEARCH(","&amp;TRIM(TEXTSPLIT(IE219,","))&amp;",",","&amp;SUBSTITUTE(input_story_type," ","")&amp;",")))&gt;0)),IF(IG219="",TRUE,IF(input_story_type="",FALSE,SUMPRODUCT(--ISNUMBER(SEARCH(","&amp;TRIM(TEXTSPLIT(IG219,","))&amp;",",","&amp;SUBSTITUTE(input_story_type," ","")&amp;",")))=COUNTA(TEXTSPLIT(IG219,",")))))</f>
        <v/>
      </c>
      <c r="JQ219" s="19">
        <f>AND(IF(II219="",TRUE,IF(input_topics="",FALSE,SUMPRODUCT(--ISNUMBER(SEARCH(","&amp;TRIM(TEXTSPLIT(II219,","))&amp;",",","&amp;SUBSTITUTE(input_topics," ","")&amp;",")))&gt;0)),IF(IK219="",TRUE,IF(input_topics="",FALSE,SUMPRODUCT(--ISNUMBER(SEARCH(","&amp;TRIM(TEXTSPLIT(IK219,","))&amp;",",","&amp;SUBSTITUTE(input_topics," ","")&amp;",")))=COUNTA(TEXTSPLIT(IK219,",")))),IF(IM219="",TRUE,IF(input_topics="",TRUE,SUMPRODUCT(--ISNUMBER(SEARCH(","&amp;TRIM(TEXTSPLIT(IM219,","))&amp;",",","&amp;SUBSTITUTE(input_topics," ","")&amp;",")))=0)),IF(IO219="",TRUE,IF(input_topics="",FALSE,SUMPRODUCT(--ISNUMBER(SEARCH(","&amp;TRIM(TEXTSPLIT(IO219,","))&amp;",",","&amp;SUBSTITUTE(input_topics," ","")&amp;",")))&gt;0)),IF(IQ219="",TRUE,IF(input_topics="",FALSE,SUMPRODUCT(--ISNUMBER(SEARCH(","&amp;TRIM(TEXTSPLIT(IQ219,","))&amp;",",","&amp;SUBSTITUTE(input_topics," ","")&amp;",")))=COUNTA(TEXTSPLIT(IQ219,",")))))</f>
        <v/>
      </c>
    </row>
    <row r="220">
      <c r="A220" s="24">
        <f>IF(NOT(IS220),"Excluded",IF(AND(IT220,IU220,IV220,IW220,IX220,IY220,IZ220,JA220,JB220,JC220,JD220,JE220,JF220,JG220,JH220,JI220,JJ220,JK220,JL220,JM220,JN220,JO220,JP220,JQ220),IF(I220&gt;0,"Eligible but limited","Will appear"),"Excluded"))</f>
        <v/>
      </c>
      <c r="B220" s="24" t="inlineStr">
        <is>
          <t>Related stories on story pages</t>
        </is>
      </c>
      <c r="C220" s="27" t="inlineStr">
        <is>
          <t>/story/2026/dean-kerwin-charles-visits-alumni-communities-west-coast</t>
        </is>
      </c>
      <c r="D220" s="24" t="inlineStr">
        <is>
          <t>/story/2026/dean-kerwin-charles-visits-alumni-communities-west-coast</t>
        </is>
      </c>
      <c r="E220" s="24" t="n">
        <v>1</v>
      </c>
      <c r="F220" s="24" t="inlineStr">
        <is>
          <t>story</t>
        </is>
      </c>
      <c r="G220" s="24" t="inlineStr">
        <is>
          <t>stories_teaser_cards</t>
        </is>
      </c>
      <c r="H220" s="24" t="inlineStr">
        <is>
          <t>embed_all</t>
        </is>
      </c>
      <c r="I220" s="24" t="n">
        <v>3</v>
      </c>
      <c r="J220" s="31" t="inlineStr">
        <is>
          <t>Template logic</t>
        </is>
      </c>
      <c r="K220" s="24" t="inlineStr">
        <is>
          <t>Grouped surface</t>
        </is>
      </c>
      <c r="L220" s="24" t="inlineStr">
        <is>
          <t>Content type: story; Context uses Courses Context: Alumni (1142); Context uses Story Type: News (924); Limited to 3 item(s); Source: Template logic</t>
        </is>
      </c>
      <c r="BQ220" s="19" t="inlineStr">
        <is>
          <t>1142</t>
        </is>
      </c>
      <c r="BR220" s="19" t="inlineStr">
        <is>
          <t>Alumni (1142)</t>
        </is>
      </c>
      <c r="IE220" s="19" t="inlineStr">
        <is>
          <t>924</t>
        </is>
      </c>
      <c r="IF220" s="19" t="inlineStr">
        <is>
          <t>News (924)</t>
        </is>
      </c>
      <c r="IS220" s="19">
        <f>IF(input_content_type="",FALSE,ISNUMBER(SEARCH(","&amp;LOWER(input_content_type)&amp;",",","&amp;LOWER(SUBSTITUTE(F220," ",""))&amp;",")))</f>
        <v/>
      </c>
      <c r="IT220" s="19">
        <f>AND(IF(M220="",TRUE,IF(input_affiliations="",FALSE,SUMPRODUCT(--ISNUMBER(SEARCH(","&amp;TRIM(TEXTSPLIT(M220,","))&amp;",",","&amp;SUBSTITUTE(input_affiliations," ","")&amp;",")))&gt;0)),IF(O220="",TRUE,IF(input_affiliations="",FALSE,SUMPRODUCT(--ISNUMBER(SEARCH(","&amp;TRIM(TEXTSPLIT(O220,","))&amp;",",","&amp;SUBSTITUTE(input_affiliations," ","")&amp;",")))=COUNTA(TEXTSPLIT(O220,",")))),IF(Q220="",TRUE,IF(input_affiliations="",TRUE,SUMPRODUCT(--ISNUMBER(SEARCH(","&amp;TRIM(TEXTSPLIT(Q220,","))&amp;",",","&amp;SUBSTITUTE(input_affiliations," ","")&amp;",")))=0)),IF(S220="",TRUE,IF(input_affiliations="",FALSE,SUMPRODUCT(--ISNUMBER(SEARCH(","&amp;TRIM(TEXTSPLIT(S220,","))&amp;",",","&amp;SUBSTITUTE(input_affiliations," ","")&amp;",")))&gt;0)),IF(U220="",TRUE,IF(input_affiliations="",FALSE,SUMPRODUCT(--ISNUMBER(SEARCH(","&amp;TRIM(TEXTSPLIT(U220,","))&amp;",",","&amp;SUBSTITUTE(input_affiliations," ","")&amp;",")))=COUNTA(TEXTSPLIT(U220,",")))))</f>
        <v/>
      </c>
      <c r="IU220" s="19">
        <f>AND(IF(W220="",TRUE,IF(input_announcement_category="",FALSE,SUMPRODUCT(--ISNUMBER(SEARCH(","&amp;TRIM(TEXTSPLIT(W220,","))&amp;",",","&amp;SUBSTITUTE(input_announcement_category," ","")&amp;",")))&gt;0)),IF(Y220="",TRUE,IF(input_announcement_category="",FALSE,SUMPRODUCT(--ISNUMBER(SEARCH(","&amp;TRIM(TEXTSPLIT(Y220,","))&amp;",",","&amp;SUBSTITUTE(input_announcement_category," ","")&amp;",")))=COUNTA(TEXTSPLIT(Y220,",")))),IF(AA220="",TRUE,IF(input_announcement_category="",TRUE,SUMPRODUCT(--ISNUMBER(SEARCH(","&amp;TRIM(TEXTSPLIT(AA220,","))&amp;",",","&amp;SUBSTITUTE(input_announcement_category," ","")&amp;",")))=0)),IF(AC220="",TRUE,IF(input_announcement_category="",FALSE,SUMPRODUCT(--ISNUMBER(SEARCH(","&amp;TRIM(TEXTSPLIT(AC220,","))&amp;",",","&amp;SUBSTITUTE(input_announcement_category," ","")&amp;",")))&gt;0)),IF(AE220="",TRUE,IF(input_announcement_category="",FALSE,SUMPRODUCT(--ISNUMBER(SEARCH(","&amp;TRIM(TEXTSPLIT(AE220,","))&amp;",",","&amp;SUBSTITUTE(input_announcement_category," ","")&amp;",")))=COUNTA(TEXTSPLIT(AE220,",")))))</f>
        <v/>
      </c>
      <c r="IV220" s="19">
        <f>AND(IF(AG220="",TRUE,IF(input_area_of_focus="",FALSE,SUMPRODUCT(--ISNUMBER(SEARCH(","&amp;TRIM(TEXTSPLIT(AG220,","))&amp;",",","&amp;SUBSTITUTE(input_area_of_focus," ","")&amp;",")))&gt;0)),IF(AI220="",TRUE,IF(input_area_of_focus="",FALSE,SUMPRODUCT(--ISNUMBER(SEARCH(","&amp;TRIM(TEXTSPLIT(AI220,","))&amp;",",","&amp;SUBSTITUTE(input_area_of_focus," ","")&amp;",")))=COUNTA(TEXTSPLIT(AI220,",")))),IF(AK220="",TRUE,IF(input_area_of_focus="",TRUE,SUMPRODUCT(--ISNUMBER(SEARCH(","&amp;TRIM(TEXTSPLIT(AK220,","))&amp;",",","&amp;SUBSTITUTE(input_area_of_focus," ","")&amp;",")))=0)),IF(AM220="",TRUE,IF(input_area_of_focus="",FALSE,SUMPRODUCT(--ISNUMBER(SEARCH(","&amp;TRIM(TEXTSPLIT(AM220,","))&amp;",",","&amp;SUBSTITUTE(input_area_of_focus," ","")&amp;",")))&gt;0)),IF(AO220="",TRUE,IF(input_area_of_focus="",FALSE,SUMPRODUCT(--ISNUMBER(SEARCH(","&amp;TRIM(TEXTSPLIT(AO220,","))&amp;",",","&amp;SUBSTITUTE(input_area_of_focus," ","")&amp;",")))=COUNTA(TEXTSPLIT(AO220,",")))))</f>
        <v/>
      </c>
      <c r="IW220" s="19">
        <f>AND(IF(AQ220="",TRUE,IF(input_audience="",FALSE,SUMPRODUCT(--ISNUMBER(SEARCH(","&amp;TRIM(TEXTSPLIT(AQ220,","))&amp;",",","&amp;SUBSTITUTE(input_audience," ","")&amp;",")))&gt;0)),IF(AS220="",TRUE,IF(input_audience="",FALSE,SUMPRODUCT(--ISNUMBER(SEARCH(","&amp;TRIM(TEXTSPLIT(AS220,","))&amp;",",","&amp;SUBSTITUTE(input_audience," ","")&amp;",")))=COUNTA(TEXTSPLIT(AS220,",")))),IF(AU220="",TRUE,IF(input_audience="",TRUE,SUMPRODUCT(--ISNUMBER(SEARCH(","&amp;TRIM(TEXTSPLIT(AU220,","))&amp;",",","&amp;SUBSTITUTE(input_audience," ","")&amp;",")))=0)),IF(AW220="",TRUE,IF(input_audience="",FALSE,SUMPRODUCT(--ISNUMBER(SEARCH(","&amp;TRIM(TEXTSPLIT(AW220,","))&amp;",",","&amp;SUBSTITUTE(input_audience," ","")&amp;",")))&gt;0)),IF(AY220="",TRUE,IF(input_audience="",FALSE,SUMPRODUCT(--ISNUMBER(SEARCH(","&amp;TRIM(TEXTSPLIT(AY220,","))&amp;",",","&amp;SUBSTITUTE(input_audience," ","")&amp;",")))=COUNTA(TEXTSPLIT(AY220,",")))))</f>
        <v/>
      </c>
      <c r="IX220" s="19">
        <f>AND(IF(BA220="",TRUE,IF(input_challenge_opportunities="",FALSE,SUMPRODUCT(--ISNUMBER(SEARCH(","&amp;TRIM(TEXTSPLIT(BA220,","))&amp;",",","&amp;SUBSTITUTE(input_challenge_opportunities," ","")&amp;",")))&gt;0)),IF(BC220="",TRUE,IF(input_challenge_opportunities="",FALSE,SUMPRODUCT(--ISNUMBER(SEARCH(","&amp;TRIM(TEXTSPLIT(BC220,","))&amp;",",","&amp;SUBSTITUTE(input_challenge_opportunities," ","")&amp;",")))=COUNTA(TEXTSPLIT(BC220,",")))),IF(BE220="",TRUE,IF(input_challenge_opportunities="",TRUE,SUMPRODUCT(--ISNUMBER(SEARCH(","&amp;TRIM(TEXTSPLIT(BE220,","))&amp;",",","&amp;SUBSTITUTE(input_challenge_opportunities," ","")&amp;",")))=0)),IF(BG220="",TRUE,IF(input_challenge_opportunities="",FALSE,SUMPRODUCT(--ISNUMBER(SEARCH(","&amp;TRIM(TEXTSPLIT(BG220,","))&amp;",",","&amp;SUBSTITUTE(input_challenge_opportunities," ","")&amp;",")))&gt;0)),IF(BI220="",TRUE,IF(input_challenge_opportunities="",FALSE,SUMPRODUCT(--ISNUMBER(SEARCH(","&amp;TRIM(TEXTSPLIT(BI220,","))&amp;",",","&amp;SUBSTITUTE(input_challenge_opportunities," ","")&amp;",")))=COUNTA(TEXTSPLIT(BI220,",")))))</f>
        <v/>
      </c>
      <c r="IY220" s="19">
        <f>AND(IF(BK220="",TRUE,IF(input_context="",FALSE,SUMPRODUCT(--ISNUMBER(SEARCH(","&amp;TRIM(TEXTSPLIT(BK220,","))&amp;",",","&amp;SUBSTITUTE(input_context," ","")&amp;",")))&gt;0)),IF(BM220="",TRUE,IF(input_context="",FALSE,SUMPRODUCT(--ISNUMBER(SEARCH(","&amp;TRIM(TEXTSPLIT(BM220,","))&amp;",",","&amp;SUBSTITUTE(input_context," ","")&amp;",")))=COUNTA(TEXTSPLIT(BM220,",")))),IF(BO220="",TRUE,IF(input_context="",TRUE,SUMPRODUCT(--ISNUMBER(SEARCH(","&amp;TRIM(TEXTSPLIT(BO220,","))&amp;",",","&amp;SUBSTITUTE(input_context," ","")&amp;",")))=0)),IF(BQ220="",TRUE,IF(input_context="",FALSE,SUMPRODUCT(--ISNUMBER(SEARCH(","&amp;TRIM(TEXTSPLIT(BQ220,","))&amp;",",","&amp;SUBSTITUTE(input_context," ","")&amp;",")))&gt;0)),IF(BS220="",TRUE,IF(input_context="",FALSE,SUMPRODUCT(--ISNUMBER(SEARCH(","&amp;TRIM(TEXTSPLIT(BS220,","))&amp;",",","&amp;SUBSTITUTE(input_context," ","")&amp;",")))=COUNTA(TEXTSPLIT(BS220,",")))))</f>
        <v/>
      </c>
      <c r="IZ220" s="19">
        <f>AND(IF(BU220="",TRUE,IF(input_enews_announcement_type="",FALSE,SUMPRODUCT(--ISNUMBER(SEARCH(","&amp;TRIM(TEXTSPLIT(BU220,","))&amp;",",","&amp;SUBSTITUTE(input_enews_announcement_type," ","")&amp;",")))&gt;0)),IF(BW220="",TRUE,IF(input_enews_announcement_type="",FALSE,SUMPRODUCT(--ISNUMBER(SEARCH(","&amp;TRIM(TEXTSPLIT(BW220,","))&amp;",",","&amp;SUBSTITUTE(input_enews_announcement_type," ","")&amp;",")))=COUNTA(TEXTSPLIT(BW220,",")))),IF(BY220="",TRUE,IF(input_enews_announcement_type="",TRUE,SUMPRODUCT(--ISNUMBER(SEARCH(","&amp;TRIM(TEXTSPLIT(BY220,","))&amp;",",","&amp;SUBSTITUTE(input_enews_announcement_type," ","")&amp;",")))=0)),IF(CA220="",TRUE,IF(input_enews_announcement_type="",FALSE,SUMPRODUCT(--ISNUMBER(SEARCH(","&amp;TRIM(TEXTSPLIT(CA220,","))&amp;",",","&amp;SUBSTITUTE(input_enews_announcement_type," ","")&amp;",")))&gt;0)),IF(CC220="",TRUE,IF(input_enews_announcement_type="",FALSE,SUMPRODUCT(--ISNUMBER(SEARCH(","&amp;TRIM(TEXTSPLIT(CC220,","))&amp;",",","&amp;SUBSTITUTE(input_enews_announcement_type," ","")&amp;",")))=COUNTA(TEXTSPLIT(CC220,",")))))</f>
        <v/>
      </c>
      <c r="JA220" s="19">
        <f>AND(IF(CE220="",TRUE,IF(input_enews_audience="",FALSE,SUMPRODUCT(--ISNUMBER(SEARCH(","&amp;TRIM(TEXTSPLIT(CE220,","))&amp;",",","&amp;SUBSTITUTE(input_enews_audience," ","")&amp;",")))&gt;0)),IF(CG220="",TRUE,IF(input_enews_audience="",FALSE,SUMPRODUCT(--ISNUMBER(SEARCH(","&amp;TRIM(TEXTSPLIT(CG220,","))&amp;",",","&amp;SUBSTITUTE(input_enews_audience," ","")&amp;",")))=COUNTA(TEXTSPLIT(CG220,",")))),IF(CI220="",TRUE,IF(input_enews_audience="",TRUE,SUMPRODUCT(--ISNUMBER(SEARCH(","&amp;TRIM(TEXTSPLIT(CI220,","))&amp;",",","&amp;SUBSTITUTE(input_enews_audience," ","")&amp;",")))=0)),IF(CK220="",TRUE,IF(input_enews_audience="",FALSE,SUMPRODUCT(--ISNUMBER(SEARCH(","&amp;TRIM(TEXTSPLIT(CK220,","))&amp;",",","&amp;SUBSTITUTE(input_enews_audience," ","")&amp;",")))&gt;0)),IF(CM220="",TRUE,IF(input_enews_audience="",FALSE,SUMPRODUCT(--ISNUMBER(SEARCH(","&amp;TRIM(TEXTSPLIT(CM220,","))&amp;",",","&amp;SUBSTITUTE(input_enews_audience," ","")&amp;",")))=COUNTA(TEXTSPLIT(CM220,",")))))</f>
        <v/>
      </c>
      <c r="JB220" s="19">
        <f>AND(IF(CO220="",TRUE,IF(input_event_location="",FALSE,SUMPRODUCT(--ISNUMBER(SEARCH(","&amp;TRIM(TEXTSPLIT(CO220,","))&amp;",",","&amp;SUBSTITUTE(input_event_location," ","")&amp;",")))&gt;0)),IF(CQ220="",TRUE,IF(input_event_location="",FALSE,SUMPRODUCT(--ISNUMBER(SEARCH(","&amp;TRIM(TEXTSPLIT(CQ220,","))&amp;",",","&amp;SUBSTITUTE(input_event_location," ","")&amp;",")))=COUNTA(TEXTSPLIT(CQ220,",")))),IF(CS220="",TRUE,IF(input_event_location="",TRUE,SUMPRODUCT(--ISNUMBER(SEARCH(","&amp;TRIM(TEXTSPLIT(CS220,","))&amp;",",","&amp;SUBSTITUTE(input_event_location," ","")&amp;",")))=0)),IF(CU220="",TRUE,IF(input_event_location="",FALSE,SUMPRODUCT(--ISNUMBER(SEARCH(","&amp;TRIM(TEXTSPLIT(CU220,","))&amp;",",","&amp;SUBSTITUTE(input_event_location," ","")&amp;",")))&gt;0)),IF(CW220="",TRUE,IF(input_event_location="",FALSE,SUMPRODUCT(--ISNUMBER(SEARCH(","&amp;TRIM(TEXTSPLIT(CW220,","))&amp;",",","&amp;SUBSTITUTE(input_event_location," ","")&amp;",")))=COUNTA(TEXTSPLIT(CW220,",")))))</f>
        <v/>
      </c>
      <c r="JC220" s="19">
        <f>AND(IF(CY220="",TRUE,IF(input_event_type="",FALSE,SUMPRODUCT(--ISNUMBER(SEARCH(","&amp;TRIM(TEXTSPLIT(CY220,","))&amp;",",","&amp;SUBSTITUTE(input_event_type," ","")&amp;",")))&gt;0)),IF(DA220="",TRUE,IF(input_event_type="",FALSE,SUMPRODUCT(--ISNUMBER(SEARCH(","&amp;TRIM(TEXTSPLIT(DA220,","))&amp;",",","&amp;SUBSTITUTE(input_event_type," ","")&amp;",")))=COUNTA(TEXTSPLIT(DA220,",")))),IF(DC220="",TRUE,IF(input_event_type="",TRUE,SUMPRODUCT(--ISNUMBER(SEARCH(","&amp;TRIM(TEXTSPLIT(DC220,","))&amp;",",","&amp;SUBSTITUTE(input_event_type," ","")&amp;",")))=0)),IF(DE220="",TRUE,IF(input_event_type="",FALSE,SUMPRODUCT(--ISNUMBER(SEARCH(","&amp;TRIM(TEXTSPLIT(DE220,","))&amp;",",","&amp;SUBSTITUTE(input_event_type," ","")&amp;",")))&gt;0)),IF(DG220="",TRUE,IF(input_event_type="",FALSE,SUMPRODUCT(--ISNUMBER(SEARCH(","&amp;TRIM(TEXTSPLIT(DG220,","))&amp;",",","&amp;SUBSTITUTE(input_event_type," ","")&amp;",")))=COUNTA(TEXTSPLIT(DG220,",")))))</f>
        <v/>
      </c>
      <c r="JD220" s="19">
        <f>AND(IF(DI220="",TRUE,IF(input_executive_education_focus="",FALSE,SUMPRODUCT(--ISNUMBER(SEARCH(","&amp;TRIM(TEXTSPLIT(DI220,","))&amp;",",","&amp;SUBSTITUTE(input_executive_education_focus," ","")&amp;",")))&gt;0)),IF(DK220="",TRUE,IF(input_executive_education_focus="",FALSE,SUMPRODUCT(--ISNUMBER(SEARCH(","&amp;TRIM(TEXTSPLIT(DK220,","))&amp;",",","&amp;SUBSTITUTE(input_executive_education_focus," ","")&amp;",")))=COUNTA(TEXTSPLIT(DK220,",")))),IF(DM220="",TRUE,IF(input_executive_education_focus="",TRUE,SUMPRODUCT(--ISNUMBER(SEARCH(","&amp;TRIM(TEXTSPLIT(DM220,","))&amp;",",","&amp;SUBSTITUTE(input_executive_education_focus," ","")&amp;",")))=0)),IF(DO220="",TRUE,IF(input_executive_education_focus="",FALSE,SUMPRODUCT(--ISNUMBER(SEARCH(","&amp;TRIM(TEXTSPLIT(DO220,","))&amp;",",","&amp;SUBSTITUTE(input_executive_education_focus," ","")&amp;",")))&gt;0)),IF(DQ220="",TRUE,IF(input_executive_education_focus="",FALSE,SUMPRODUCT(--ISNUMBER(SEARCH(","&amp;TRIM(TEXTSPLIT(DQ220,","))&amp;",",","&amp;SUBSTITUTE(input_executive_education_focus," ","")&amp;",")))=COUNTA(TEXTSPLIT(DQ220,",")))))</f>
        <v/>
      </c>
      <c r="JE220" s="19">
        <f>AND(IF(DS220="",TRUE,IF(input_faculty_category="",FALSE,SUMPRODUCT(--ISNUMBER(SEARCH(","&amp;TRIM(TEXTSPLIT(DS220,","))&amp;",",","&amp;SUBSTITUTE(input_faculty_category," ","")&amp;",")))&gt;0)),IF(DU220="",TRUE,IF(input_faculty_category="",FALSE,SUMPRODUCT(--ISNUMBER(SEARCH(","&amp;TRIM(TEXTSPLIT(DU220,","))&amp;",",","&amp;SUBSTITUTE(input_faculty_category," ","")&amp;",")))=COUNTA(TEXTSPLIT(DU220,",")))),IF(DW220="",TRUE,IF(input_faculty_category="",TRUE,SUMPRODUCT(--ISNUMBER(SEARCH(","&amp;TRIM(TEXTSPLIT(DW220,","))&amp;",",","&amp;SUBSTITUTE(input_faculty_category," ","")&amp;",")))=0)),IF(DY220="",TRUE,IF(input_faculty_category="",FALSE,SUMPRODUCT(--ISNUMBER(SEARCH(","&amp;TRIM(TEXTSPLIT(DY220,","))&amp;",",","&amp;SUBSTITUTE(input_faculty_category," ","")&amp;",")))&gt;0)),IF(EA220="",TRUE,IF(input_faculty_category="",FALSE,SUMPRODUCT(--ISNUMBER(SEARCH(","&amp;TRIM(TEXTSPLIT(EA220,","))&amp;",",","&amp;SUBSTITUTE(input_faculty_category," ","")&amp;",")))=COUNTA(TEXTSPLIT(EA220,",")))))</f>
        <v/>
      </c>
      <c r="JF220" s="19">
        <f>AND(IF(EC220="",TRUE,IF(input_faculty_discipline="",FALSE,SUMPRODUCT(--ISNUMBER(SEARCH(","&amp;TRIM(TEXTSPLIT(EC220,","))&amp;",",","&amp;SUBSTITUTE(input_faculty_discipline," ","")&amp;",")))&gt;0)),IF(EE220="",TRUE,IF(input_faculty_discipline="",FALSE,SUMPRODUCT(--ISNUMBER(SEARCH(","&amp;TRIM(TEXTSPLIT(EE220,","))&amp;",",","&amp;SUBSTITUTE(input_faculty_discipline," ","")&amp;",")))=COUNTA(TEXTSPLIT(EE220,",")))),IF(EG220="",TRUE,IF(input_faculty_discipline="",TRUE,SUMPRODUCT(--ISNUMBER(SEARCH(","&amp;TRIM(TEXTSPLIT(EG220,","))&amp;",",","&amp;SUBSTITUTE(input_faculty_discipline," ","")&amp;",")))=0)),IF(EI220="",TRUE,IF(input_faculty_discipline="",FALSE,SUMPRODUCT(--ISNUMBER(SEARCH(","&amp;TRIM(TEXTSPLIT(EI220,","))&amp;",",","&amp;SUBSTITUTE(input_faculty_discipline," ","")&amp;",")))&gt;0)),IF(EK220="",TRUE,IF(input_faculty_discipline="",FALSE,SUMPRODUCT(--ISNUMBER(SEARCH(","&amp;TRIM(TEXTSPLIT(EK220,","))&amp;",",","&amp;SUBSTITUTE(input_faculty_discipline," ","")&amp;",")))=COUNTA(TEXTSPLIT(EK220,",")))))</f>
        <v/>
      </c>
      <c r="JG220" s="19">
        <f>AND(IF(EM220="",TRUE,IF(input_faculty_expertise="",FALSE,SUMPRODUCT(--ISNUMBER(SEARCH(","&amp;TRIM(TEXTSPLIT(EM220,","))&amp;",",","&amp;SUBSTITUTE(input_faculty_expertise," ","")&amp;",")))&gt;0)),IF(EO220="",TRUE,IF(input_faculty_expertise="",FALSE,SUMPRODUCT(--ISNUMBER(SEARCH(","&amp;TRIM(TEXTSPLIT(EO220,","))&amp;",",","&amp;SUBSTITUTE(input_faculty_expertise," ","")&amp;",")))=COUNTA(TEXTSPLIT(EO220,",")))),IF(EQ220="",TRUE,IF(input_faculty_expertise="",TRUE,SUMPRODUCT(--ISNUMBER(SEARCH(","&amp;TRIM(TEXTSPLIT(EQ220,","))&amp;",",","&amp;SUBSTITUTE(input_faculty_expertise," ","")&amp;",")))=0)),IF(ES220="",TRUE,IF(input_faculty_expertise="",FALSE,SUMPRODUCT(--ISNUMBER(SEARCH(","&amp;TRIM(TEXTSPLIT(ES220,","))&amp;",",","&amp;SUBSTITUTE(input_faculty_expertise," ","")&amp;",")))&gt;0)),IF(EU220="",TRUE,IF(input_faculty_expertise="",FALSE,SUMPRODUCT(--ISNUMBER(SEARCH(","&amp;TRIM(TEXTSPLIT(EU220,","))&amp;",",","&amp;SUBSTITUTE(input_faculty_expertise," ","")&amp;",")))=COUNTA(TEXTSPLIT(EU220,",")))))</f>
        <v/>
      </c>
      <c r="JH220" s="19">
        <f>AND(IF(EW220="",TRUE,IF(input_global_network_school="",FALSE,SUMPRODUCT(--ISNUMBER(SEARCH(","&amp;TRIM(TEXTSPLIT(EW220,","))&amp;",",","&amp;SUBSTITUTE(input_global_network_school," ","")&amp;",")))&gt;0)),IF(EY220="",TRUE,IF(input_global_network_school="",FALSE,SUMPRODUCT(--ISNUMBER(SEARCH(","&amp;TRIM(TEXTSPLIT(EY220,","))&amp;",",","&amp;SUBSTITUTE(input_global_network_school," ","")&amp;",")))=COUNTA(TEXTSPLIT(EY220,",")))),IF(FA220="",TRUE,IF(input_global_network_school="",TRUE,SUMPRODUCT(--ISNUMBER(SEARCH(","&amp;TRIM(TEXTSPLIT(FA220,","))&amp;",",","&amp;SUBSTITUTE(input_global_network_school," ","")&amp;",")))=0)),IF(FC220="",TRUE,IF(input_global_network_school="",FALSE,SUMPRODUCT(--ISNUMBER(SEARCH(","&amp;TRIM(TEXTSPLIT(FC220,","))&amp;",",","&amp;SUBSTITUTE(input_global_network_school," ","")&amp;",")))&gt;0)),IF(FE220="",TRUE,IF(input_global_network_school="",FALSE,SUMPRODUCT(--ISNUMBER(SEARCH(","&amp;TRIM(TEXTSPLIT(FE220,","))&amp;",",","&amp;SUBSTITUTE(input_global_network_school," ","")&amp;",")))=COUNTA(TEXTSPLIT(FE220,",")))))</f>
        <v/>
      </c>
      <c r="JI220" s="19">
        <f>AND(IF(FG220="",TRUE,IF(input_industry="",FALSE,SUMPRODUCT(--ISNUMBER(SEARCH(","&amp;TRIM(TEXTSPLIT(FG220,","))&amp;",",","&amp;SUBSTITUTE(input_industry," ","")&amp;",")))&gt;0)),IF(FI220="",TRUE,IF(input_industry="",FALSE,SUMPRODUCT(--ISNUMBER(SEARCH(","&amp;TRIM(TEXTSPLIT(FI220,","))&amp;",",","&amp;SUBSTITUTE(input_industry," ","")&amp;",")))=COUNTA(TEXTSPLIT(FI220,",")))),IF(FK220="",TRUE,IF(input_industry="",TRUE,SUMPRODUCT(--ISNUMBER(SEARCH(","&amp;TRIM(TEXTSPLIT(FK220,","))&amp;",",","&amp;SUBSTITUTE(input_industry," ","")&amp;",")))=0)),IF(FM220="",TRUE,IF(input_industry="",FALSE,SUMPRODUCT(--ISNUMBER(SEARCH(","&amp;TRIM(TEXTSPLIT(FM220,","))&amp;",",","&amp;SUBSTITUTE(input_industry," ","")&amp;",")))&gt;0)),IF(FO220="",TRUE,IF(input_industry="",FALSE,SUMPRODUCT(--ISNUMBER(SEARCH(","&amp;TRIM(TEXTSPLIT(FO220,","))&amp;",",","&amp;SUBSTITUTE(input_industry," ","")&amp;",")))=COUNTA(TEXTSPLIT(FO220,",")))))</f>
        <v/>
      </c>
      <c r="JJ220" s="19">
        <f>AND(IF(FQ220="",TRUE,IF(input_location="",FALSE,SUMPRODUCT(--ISNUMBER(SEARCH(","&amp;TRIM(TEXTSPLIT(FQ220,","))&amp;",",","&amp;SUBSTITUTE(input_location," ","")&amp;",")))&gt;0)),IF(FS220="",TRUE,IF(input_location="",FALSE,SUMPRODUCT(--ISNUMBER(SEARCH(","&amp;TRIM(TEXTSPLIT(FS220,","))&amp;",",","&amp;SUBSTITUTE(input_location," ","")&amp;",")))=COUNTA(TEXTSPLIT(FS220,",")))),IF(FU220="",TRUE,IF(input_location="",TRUE,SUMPRODUCT(--ISNUMBER(SEARCH(","&amp;TRIM(TEXTSPLIT(FU220,","))&amp;",",","&amp;SUBSTITUTE(input_location," ","")&amp;",")))=0)),IF(FW220="",TRUE,IF(input_location="",FALSE,SUMPRODUCT(--ISNUMBER(SEARCH(","&amp;TRIM(TEXTSPLIT(FW220,","))&amp;",",","&amp;SUBSTITUTE(input_location," ","")&amp;",")))&gt;0)),IF(FY220="",TRUE,IF(input_location="",FALSE,SUMPRODUCT(--ISNUMBER(SEARCH(","&amp;TRIM(TEXTSPLIT(FY220,","))&amp;",",","&amp;SUBSTITUTE(input_location," ","")&amp;",")))=COUNTA(TEXTSPLIT(FY220,",")))))</f>
        <v/>
      </c>
      <c r="JK220" s="19">
        <f>AND(IF(GA220="",TRUE,IF(input_modality="",FALSE,SUMPRODUCT(--ISNUMBER(SEARCH(","&amp;TRIM(TEXTSPLIT(GA220,","))&amp;",",","&amp;SUBSTITUTE(input_modality," ","")&amp;",")))&gt;0)),IF(GC220="",TRUE,IF(input_modality="",FALSE,SUMPRODUCT(--ISNUMBER(SEARCH(","&amp;TRIM(TEXTSPLIT(GC220,","))&amp;",",","&amp;SUBSTITUTE(input_modality," ","")&amp;",")))=COUNTA(TEXTSPLIT(GC220,",")))),IF(GE220="",TRUE,IF(input_modality="",TRUE,SUMPRODUCT(--ISNUMBER(SEARCH(","&amp;TRIM(TEXTSPLIT(GE220,","))&amp;",",","&amp;SUBSTITUTE(input_modality," ","")&amp;",")))=0)),IF(GG220="",TRUE,IF(input_modality="",FALSE,SUMPRODUCT(--ISNUMBER(SEARCH(","&amp;TRIM(TEXTSPLIT(GG220,","))&amp;",",","&amp;SUBSTITUTE(input_modality," ","")&amp;",")))&gt;0)),IF(GI220="",TRUE,IF(input_modality="",FALSE,SUMPRODUCT(--ISNUMBER(SEARCH(","&amp;TRIM(TEXTSPLIT(GI220,","))&amp;",",","&amp;SUBSTITUTE(input_modality," ","")&amp;",")))=COUNTA(TEXTSPLIT(GI220,",")))))</f>
        <v/>
      </c>
      <c r="JL220" s="19">
        <f>AND(IF(GK220="",TRUE,IF(input_organizer="",FALSE,SUMPRODUCT(--ISNUMBER(SEARCH(","&amp;TRIM(TEXTSPLIT(GK220,","))&amp;",",","&amp;SUBSTITUTE(input_organizer," ","")&amp;",")))&gt;0)),IF(GM220="",TRUE,IF(input_organizer="",FALSE,SUMPRODUCT(--ISNUMBER(SEARCH(","&amp;TRIM(TEXTSPLIT(GM220,","))&amp;",",","&amp;SUBSTITUTE(input_organizer," ","")&amp;",")))=COUNTA(TEXTSPLIT(GM220,",")))),IF(GO220="",TRUE,IF(input_organizer="",TRUE,SUMPRODUCT(--ISNUMBER(SEARCH(","&amp;TRIM(TEXTSPLIT(GO220,","))&amp;",",","&amp;SUBSTITUTE(input_organizer," ","")&amp;",")))=0)),IF(GQ220="",TRUE,IF(input_organizer="",FALSE,SUMPRODUCT(--ISNUMBER(SEARCH(","&amp;TRIM(TEXTSPLIT(GQ220,","))&amp;",",","&amp;SUBSTITUTE(input_organizer," ","")&amp;",")))&gt;0)),IF(GS220="",TRUE,IF(input_organizer="",FALSE,SUMPRODUCT(--ISNUMBER(SEARCH(","&amp;TRIM(TEXTSPLIT(GS220,","))&amp;",",","&amp;SUBSTITUTE(input_organizer," ","")&amp;",")))=COUNTA(TEXTSPLIT(GS220,",")))))</f>
        <v/>
      </c>
      <c r="JM220" s="19">
        <f>AND(IF(GU220="",TRUE,IF(input_profile_type="",FALSE,SUMPRODUCT(--ISNUMBER(SEARCH(","&amp;TRIM(TEXTSPLIT(GU220,","))&amp;",",","&amp;SUBSTITUTE(input_profile_type," ","")&amp;",")))&gt;0)),IF(GW220="",TRUE,IF(input_profile_type="",FALSE,SUMPRODUCT(--ISNUMBER(SEARCH(","&amp;TRIM(TEXTSPLIT(GW220,","))&amp;",",","&amp;SUBSTITUTE(input_profile_type," ","")&amp;",")))=COUNTA(TEXTSPLIT(GW220,",")))),IF(GY220="",TRUE,IF(input_profile_type="",TRUE,SUMPRODUCT(--ISNUMBER(SEARCH(","&amp;TRIM(TEXTSPLIT(GY220,","))&amp;",",","&amp;SUBSTITUTE(input_profile_type," ","")&amp;",")))=0)),IF(HA220="",TRUE,IF(input_profile_type="",FALSE,SUMPRODUCT(--ISNUMBER(SEARCH(","&amp;TRIM(TEXTSPLIT(HA220,","))&amp;",",","&amp;SUBSTITUTE(input_profile_type," ","")&amp;",")))&gt;0)),IF(HC220="",TRUE,IF(input_profile_type="",FALSE,SUMPRODUCT(--ISNUMBER(SEARCH(","&amp;TRIM(TEXTSPLIT(HC220,","))&amp;",",","&amp;SUBSTITUTE(input_profile_type," ","")&amp;",")))=COUNTA(TEXTSPLIT(HC220,",")))))</f>
        <v/>
      </c>
      <c r="JN220" s="19">
        <f>AND(IF(HE220="",TRUE,IF(input_program="",FALSE,SUMPRODUCT(--ISNUMBER(SEARCH(","&amp;TRIM(TEXTSPLIT(HE220,","))&amp;",",","&amp;SUBSTITUTE(input_program," ","")&amp;",")))&gt;0)),IF(HG220="",TRUE,IF(input_program="",FALSE,SUMPRODUCT(--ISNUMBER(SEARCH(","&amp;TRIM(TEXTSPLIT(HG220,","))&amp;",",","&amp;SUBSTITUTE(input_program," ","")&amp;",")))=COUNTA(TEXTSPLIT(HG220,",")))),IF(HI220="",TRUE,IF(input_program="",TRUE,SUMPRODUCT(--ISNUMBER(SEARCH(","&amp;TRIM(TEXTSPLIT(HI220,","))&amp;",",","&amp;SUBSTITUTE(input_program," ","")&amp;",")))=0)),IF(HK220="",TRUE,IF(input_program="",FALSE,SUMPRODUCT(--ISNUMBER(SEARCH(","&amp;TRIM(TEXTSPLIT(HK220,","))&amp;",",","&amp;SUBSTITUTE(input_program," ","")&amp;",")))&gt;0)),IF(HM220="",TRUE,IF(input_program="",FALSE,SUMPRODUCT(--ISNUMBER(SEARCH(","&amp;TRIM(TEXTSPLIT(HM220,","))&amp;",",","&amp;SUBSTITUTE(input_program," ","")&amp;",")))=COUNTA(TEXTSPLIT(HM220,",")))))</f>
        <v/>
      </c>
      <c r="JO220" s="19">
        <f>AND(IF(HO220="",TRUE,IF(input_story_categories="",FALSE,SUMPRODUCT(--ISNUMBER(SEARCH(","&amp;TRIM(TEXTSPLIT(HO220,","))&amp;",",","&amp;SUBSTITUTE(input_story_categories," ","")&amp;",")))&gt;0)),IF(HQ220="",TRUE,IF(input_story_categories="",FALSE,SUMPRODUCT(--ISNUMBER(SEARCH(","&amp;TRIM(TEXTSPLIT(HQ220,","))&amp;",",","&amp;SUBSTITUTE(input_story_categories," ","")&amp;",")))=COUNTA(TEXTSPLIT(HQ220,",")))),IF(HS220="",TRUE,IF(input_story_categories="",TRUE,SUMPRODUCT(--ISNUMBER(SEARCH(","&amp;TRIM(TEXTSPLIT(HS220,","))&amp;",",","&amp;SUBSTITUTE(input_story_categories," ","")&amp;",")))=0)),IF(HU220="",TRUE,IF(input_story_categories="",FALSE,SUMPRODUCT(--ISNUMBER(SEARCH(","&amp;TRIM(TEXTSPLIT(HU220,","))&amp;",",","&amp;SUBSTITUTE(input_story_categories," ","")&amp;",")))&gt;0)),IF(HW220="",TRUE,IF(input_story_categories="",FALSE,SUMPRODUCT(--ISNUMBER(SEARCH(","&amp;TRIM(TEXTSPLIT(HW220,","))&amp;",",","&amp;SUBSTITUTE(input_story_categories," ","")&amp;",")))=COUNTA(TEXTSPLIT(HW220,",")))))</f>
        <v/>
      </c>
      <c r="JP220" s="19">
        <f>AND(IF(HY220="",TRUE,IF(input_story_type="",FALSE,SUMPRODUCT(--ISNUMBER(SEARCH(","&amp;TRIM(TEXTSPLIT(HY220,","))&amp;",",","&amp;SUBSTITUTE(input_story_type," ","")&amp;",")))&gt;0)),IF(IA220="",TRUE,IF(input_story_type="",FALSE,SUMPRODUCT(--ISNUMBER(SEARCH(","&amp;TRIM(TEXTSPLIT(IA220,","))&amp;",",","&amp;SUBSTITUTE(input_story_type," ","")&amp;",")))=COUNTA(TEXTSPLIT(IA220,",")))),IF(IC220="",TRUE,IF(input_story_type="",TRUE,SUMPRODUCT(--ISNUMBER(SEARCH(","&amp;TRIM(TEXTSPLIT(IC220,","))&amp;",",","&amp;SUBSTITUTE(input_story_type," ","")&amp;",")))=0)),IF(IE220="",TRUE,IF(input_story_type="",FALSE,SUMPRODUCT(--ISNUMBER(SEARCH(","&amp;TRIM(TEXTSPLIT(IE220,","))&amp;",",","&amp;SUBSTITUTE(input_story_type," ","")&amp;",")))&gt;0)),IF(IG220="",TRUE,IF(input_story_type="",FALSE,SUMPRODUCT(--ISNUMBER(SEARCH(","&amp;TRIM(TEXTSPLIT(IG220,","))&amp;",",","&amp;SUBSTITUTE(input_story_type," ","")&amp;",")))=COUNTA(TEXTSPLIT(IG220,",")))))</f>
        <v/>
      </c>
      <c r="JQ220" s="19">
        <f>AND(IF(II220="",TRUE,IF(input_topics="",FALSE,SUMPRODUCT(--ISNUMBER(SEARCH(","&amp;TRIM(TEXTSPLIT(II220,","))&amp;",",","&amp;SUBSTITUTE(input_topics," ","")&amp;",")))&gt;0)),IF(IK220="",TRUE,IF(input_topics="",FALSE,SUMPRODUCT(--ISNUMBER(SEARCH(","&amp;TRIM(TEXTSPLIT(IK220,","))&amp;",",","&amp;SUBSTITUTE(input_topics," ","")&amp;",")))=COUNTA(TEXTSPLIT(IK220,",")))),IF(IM220="",TRUE,IF(input_topics="",TRUE,SUMPRODUCT(--ISNUMBER(SEARCH(","&amp;TRIM(TEXTSPLIT(IM220,","))&amp;",",","&amp;SUBSTITUTE(input_topics," ","")&amp;",")))=0)),IF(IO220="",TRUE,IF(input_topics="",FALSE,SUMPRODUCT(--ISNUMBER(SEARCH(","&amp;TRIM(TEXTSPLIT(IO220,","))&amp;",",","&amp;SUBSTITUTE(input_topics," ","")&amp;",")))&gt;0)),IF(IQ220="",TRUE,IF(input_topics="",FALSE,SUMPRODUCT(--ISNUMBER(SEARCH(","&amp;TRIM(TEXTSPLIT(IQ220,","))&amp;",",","&amp;SUBSTITUTE(input_topics," ","")&amp;",")))=COUNTA(TEXTSPLIT(IQ220,",")))))</f>
        <v/>
      </c>
    </row>
    <row r="221">
      <c r="A221" s="24">
        <f>IF(NOT(IS221),"Excluded",IF(AND(IT221,IU221,IV221,IW221,IX221,IY221,IZ221,JA221,JB221,JC221,JD221,JE221,JF221,JG221,JH221,JI221,JJ221,JK221,JL221,JM221,JN221,JO221,JP221,JQ221),IF(I221&gt;0,"Eligible but limited","Will appear"),"Excluded"))</f>
        <v/>
      </c>
      <c r="B221" s="24" t="inlineStr">
        <is>
          <t>Related stories on story pages</t>
        </is>
      </c>
      <c r="C221" s="27" t="inlineStr">
        <is>
          <t>/story/2026/event-dispatch-learning-self-defense-skills</t>
        </is>
      </c>
      <c r="D221" s="24" t="inlineStr">
        <is>
          <t>/story/2026/event-dispatch-learning-self-defense-skills
/story/2026/event-dispatch-ringing-lunar-new-year</t>
        </is>
      </c>
      <c r="E221" s="24" t="n">
        <v>2</v>
      </c>
      <c r="F221" s="24" t="inlineStr">
        <is>
          <t>story</t>
        </is>
      </c>
      <c r="G221" s="24" t="inlineStr">
        <is>
          <t>stories_teaser_cards</t>
        </is>
      </c>
      <c r="H221" s="24" t="inlineStr">
        <is>
          <t>embed_all</t>
        </is>
      </c>
      <c r="I221" s="24" t="n">
        <v>3</v>
      </c>
      <c r="J221" s="31" t="inlineStr">
        <is>
          <t>Template logic</t>
        </is>
      </c>
      <c r="K221" s="24" t="inlineStr">
        <is>
          <t>Grouped surface</t>
        </is>
      </c>
      <c r="L221" s="24" t="inlineStr">
        <is>
          <t>Content type: story; Context uses Courses Context: Clubs (1619); Context uses Story Type: Blog (974); Limited to 3 item(s); Source: Template logic</t>
        </is>
      </c>
      <c r="BQ221" s="19" t="inlineStr">
        <is>
          <t>1619</t>
        </is>
      </c>
      <c r="BR221" s="19" t="inlineStr">
        <is>
          <t>Clubs (1619)</t>
        </is>
      </c>
      <c r="IE221" s="19" t="inlineStr">
        <is>
          <t>974</t>
        </is>
      </c>
      <c r="IF221" s="19" t="inlineStr">
        <is>
          <t>Blog (974)</t>
        </is>
      </c>
      <c r="IS221" s="19">
        <f>IF(input_content_type="",FALSE,ISNUMBER(SEARCH(","&amp;LOWER(input_content_type)&amp;",",","&amp;LOWER(SUBSTITUTE(F221," ",""))&amp;",")))</f>
        <v/>
      </c>
      <c r="IT221" s="19">
        <f>AND(IF(M221="",TRUE,IF(input_affiliations="",FALSE,SUMPRODUCT(--ISNUMBER(SEARCH(","&amp;TRIM(TEXTSPLIT(M221,","))&amp;",",","&amp;SUBSTITUTE(input_affiliations," ","")&amp;",")))&gt;0)),IF(O221="",TRUE,IF(input_affiliations="",FALSE,SUMPRODUCT(--ISNUMBER(SEARCH(","&amp;TRIM(TEXTSPLIT(O221,","))&amp;",",","&amp;SUBSTITUTE(input_affiliations," ","")&amp;",")))=COUNTA(TEXTSPLIT(O221,",")))),IF(Q221="",TRUE,IF(input_affiliations="",TRUE,SUMPRODUCT(--ISNUMBER(SEARCH(","&amp;TRIM(TEXTSPLIT(Q221,","))&amp;",",","&amp;SUBSTITUTE(input_affiliations," ","")&amp;",")))=0)),IF(S221="",TRUE,IF(input_affiliations="",FALSE,SUMPRODUCT(--ISNUMBER(SEARCH(","&amp;TRIM(TEXTSPLIT(S221,","))&amp;",",","&amp;SUBSTITUTE(input_affiliations," ","")&amp;",")))&gt;0)),IF(U221="",TRUE,IF(input_affiliations="",FALSE,SUMPRODUCT(--ISNUMBER(SEARCH(","&amp;TRIM(TEXTSPLIT(U221,","))&amp;",",","&amp;SUBSTITUTE(input_affiliations," ","")&amp;",")))=COUNTA(TEXTSPLIT(U221,",")))))</f>
        <v/>
      </c>
      <c r="IU221" s="19">
        <f>AND(IF(W221="",TRUE,IF(input_announcement_category="",FALSE,SUMPRODUCT(--ISNUMBER(SEARCH(","&amp;TRIM(TEXTSPLIT(W221,","))&amp;",",","&amp;SUBSTITUTE(input_announcement_category," ","")&amp;",")))&gt;0)),IF(Y221="",TRUE,IF(input_announcement_category="",FALSE,SUMPRODUCT(--ISNUMBER(SEARCH(","&amp;TRIM(TEXTSPLIT(Y221,","))&amp;",",","&amp;SUBSTITUTE(input_announcement_category," ","")&amp;",")))=COUNTA(TEXTSPLIT(Y221,",")))),IF(AA221="",TRUE,IF(input_announcement_category="",TRUE,SUMPRODUCT(--ISNUMBER(SEARCH(","&amp;TRIM(TEXTSPLIT(AA221,","))&amp;",",","&amp;SUBSTITUTE(input_announcement_category," ","")&amp;",")))=0)),IF(AC221="",TRUE,IF(input_announcement_category="",FALSE,SUMPRODUCT(--ISNUMBER(SEARCH(","&amp;TRIM(TEXTSPLIT(AC221,","))&amp;",",","&amp;SUBSTITUTE(input_announcement_category," ","")&amp;",")))&gt;0)),IF(AE221="",TRUE,IF(input_announcement_category="",FALSE,SUMPRODUCT(--ISNUMBER(SEARCH(","&amp;TRIM(TEXTSPLIT(AE221,","))&amp;",",","&amp;SUBSTITUTE(input_announcement_category," ","")&amp;",")))=COUNTA(TEXTSPLIT(AE221,",")))))</f>
        <v/>
      </c>
      <c r="IV221" s="19">
        <f>AND(IF(AG221="",TRUE,IF(input_area_of_focus="",FALSE,SUMPRODUCT(--ISNUMBER(SEARCH(","&amp;TRIM(TEXTSPLIT(AG221,","))&amp;",",","&amp;SUBSTITUTE(input_area_of_focus," ","")&amp;",")))&gt;0)),IF(AI221="",TRUE,IF(input_area_of_focus="",FALSE,SUMPRODUCT(--ISNUMBER(SEARCH(","&amp;TRIM(TEXTSPLIT(AI221,","))&amp;",",","&amp;SUBSTITUTE(input_area_of_focus," ","")&amp;",")))=COUNTA(TEXTSPLIT(AI221,",")))),IF(AK221="",TRUE,IF(input_area_of_focus="",TRUE,SUMPRODUCT(--ISNUMBER(SEARCH(","&amp;TRIM(TEXTSPLIT(AK221,","))&amp;",",","&amp;SUBSTITUTE(input_area_of_focus," ","")&amp;",")))=0)),IF(AM221="",TRUE,IF(input_area_of_focus="",FALSE,SUMPRODUCT(--ISNUMBER(SEARCH(","&amp;TRIM(TEXTSPLIT(AM221,","))&amp;",",","&amp;SUBSTITUTE(input_area_of_focus," ","")&amp;",")))&gt;0)),IF(AO221="",TRUE,IF(input_area_of_focus="",FALSE,SUMPRODUCT(--ISNUMBER(SEARCH(","&amp;TRIM(TEXTSPLIT(AO221,","))&amp;",",","&amp;SUBSTITUTE(input_area_of_focus," ","")&amp;",")))=COUNTA(TEXTSPLIT(AO221,",")))))</f>
        <v/>
      </c>
      <c r="IW221" s="19">
        <f>AND(IF(AQ221="",TRUE,IF(input_audience="",FALSE,SUMPRODUCT(--ISNUMBER(SEARCH(","&amp;TRIM(TEXTSPLIT(AQ221,","))&amp;",",","&amp;SUBSTITUTE(input_audience," ","")&amp;",")))&gt;0)),IF(AS221="",TRUE,IF(input_audience="",FALSE,SUMPRODUCT(--ISNUMBER(SEARCH(","&amp;TRIM(TEXTSPLIT(AS221,","))&amp;",",","&amp;SUBSTITUTE(input_audience," ","")&amp;",")))=COUNTA(TEXTSPLIT(AS221,",")))),IF(AU221="",TRUE,IF(input_audience="",TRUE,SUMPRODUCT(--ISNUMBER(SEARCH(","&amp;TRIM(TEXTSPLIT(AU221,","))&amp;",",","&amp;SUBSTITUTE(input_audience," ","")&amp;",")))=0)),IF(AW221="",TRUE,IF(input_audience="",FALSE,SUMPRODUCT(--ISNUMBER(SEARCH(","&amp;TRIM(TEXTSPLIT(AW221,","))&amp;",",","&amp;SUBSTITUTE(input_audience," ","")&amp;",")))&gt;0)),IF(AY221="",TRUE,IF(input_audience="",FALSE,SUMPRODUCT(--ISNUMBER(SEARCH(","&amp;TRIM(TEXTSPLIT(AY221,","))&amp;",",","&amp;SUBSTITUTE(input_audience," ","")&amp;",")))=COUNTA(TEXTSPLIT(AY221,",")))))</f>
        <v/>
      </c>
      <c r="IX221" s="19">
        <f>AND(IF(BA221="",TRUE,IF(input_challenge_opportunities="",FALSE,SUMPRODUCT(--ISNUMBER(SEARCH(","&amp;TRIM(TEXTSPLIT(BA221,","))&amp;",",","&amp;SUBSTITUTE(input_challenge_opportunities," ","")&amp;",")))&gt;0)),IF(BC221="",TRUE,IF(input_challenge_opportunities="",FALSE,SUMPRODUCT(--ISNUMBER(SEARCH(","&amp;TRIM(TEXTSPLIT(BC221,","))&amp;",",","&amp;SUBSTITUTE(input_challenge_opportunities," ","")&amp;",")))=COUNTA(TEXTSPLIT(BC221,",")))),IF(BE221="",TRUE,IF(input_challenge_opportunities="",TRUE,SUMPRODUCT(--ISNUMBER(SEARCH(","&amp;TRIM(TEXTSPLIT(BE221,","))&amp;",",","&amp;SUBSTITUTE(input_challenge_opportunities," ","")&amp;",")))=0)),IF(BG221="",TRUE,IF(input_challenge_opportunities="",FALSE,SUMPRODUCT(--ISNUMBER(SEARCH(","&amp;TRIM(TEXTSPLIT(BG221,","))&amp;",",","&amp;SUBSTITUTE(input_challenge_opportunities," ","")&amp;",")))&gt;0)),IF(BI221="",TRUE,IF(input_challenge_opportunities="",FALSE,SUMPRODUCT(--ISNUMBER(SEARCH(","&amp;TRIM(TEXTSPLIT(BI221,","))&amp;",",","&amp;SUBSTITUTE(input_challenge_opportunities," ","")&amp;",")))=COUNTA(TEXTSPLIT(BI221,",")))))</f>
        <v/>
      </c>
      <c r="IY221" s="19">
        <f>AND(IF(BK221="",TRUE,IF(input_context="",FALSE,SUMPRODUCT(--ISNUMBER(SEARCH(","&amp;TRIM(TEXTSPLIT(BK221,","))&amp;",",","&amp;SUBSTITUTE(input_context," ","")&amp;",")))&gt;0)),IF(BM221="",TRUE,IF(input_context="",FALSE,SUMPRODUCT(--ISNUMBER(SEARCH(","&amp;TRIM(TEXTSPLIT(BM221,","))&amp;",",","&amp;SUBSTITUTE(input_context," ","")&amp;",")))=COUNTA(TEXTSPLIT(BM221,",")))),IF(BO221="",TRUE,IF(input_context="",TRUE,SUMPRODUCT(--ISNUMBER(SEARCH(","&amp;TRIM(TEXTSPLIT(BO221,","))&amp;",",","&amp;SUBSTITUTE(input_context," ","")&amp;",")))=0)),IF(BQ221="",TRUE,IF(input_context="",FALSE,SUMPRODUCT(--ISNUMBER(SEARCH(","&amp;TRIM(TEXTSPLIT(BQ221,","))&amp;",",","&amp;SUBSTITUTE(input_context," ","")&amp;",")))&gt;0)),IF(BS221="",TRUE,IF(input_context="",FALSE,SUMPRODUCT(--ISNUMBER(SEARCH(","&amp;TRIM(TEXTSPLIT(BS221,","))&amp;",",","&amp;SUBSTITUTE(input_context," ","")&amp;",")))=COUNTA(TEXTSPLIT(BS221,",")))))</f>
        <v/>
      </c>
      <c r="IZ221" s="19">
        <f>AND(IF(BU221="",TRUE,IF(input_enews_announcement_type="",FALSE,SUMPRODUCT(--ISNUMBER(SEARCH(","&amp;TRIM(TEXTSPLIT(BU221,","))&amp;",",","&amp;SUBSTITUTE(input_enews_announcement_type," ","")&amp;",")))&gt;0)),IF(BW221="",TRUE,IF(input_enews_announcement_type="",FALSE,SUMPRODUCT(--ISNUMBER(SEARCH(","&amp;TRIM(TEXTSPLIT(BW221,","))&amp;",",","&amp;SUBSTITUTE(input_enews_announcement_type," ","")&amp;",")))=COUNTA(TEXTSPLIT(BW221,",")))),IF(BY221="",TRUE,IF(input_enews_announcement_type="",TRUE,SUMPRODUCT(--ISNUMBER(SEARCH(","&amp;TRIM(TEXTSPLIT(BY221,","))&amp;",",","&amp;SUBSTITUTE(input_enews_announcement_type," ","")&amp;",")))=0)),IF(CA221="",TRUE,IF(input_enews_announcement_type="",FALSE,SUMPRODUCT(--ISNUMBER(SEARCH(","&amp;TRIM(TEXTSPLIT(CA221,","))&amp;",",","&amp;SUBSTITUTE(input_enews_announcement_type," ","")&amp;",")))&gt;0)),IF(CC221="",TRUE,IF(input_enews_announcement_type="",FALSE,SUMPRODUCT(--ISNUMBER(SEARCH(","&amp;TRIM(TEXTSPLIT(CC221,","))&amp;",",","&amp;SUBSTITUTE(input_enews_announcement_type," ","")&amp;",")))=COUNTA(TEXTSPLIT(CC221,",")))))</f>
        <v/>
      </c>
      <c r="JA221" s="19">
        <f>AND(IF(CE221="",TRUE,IF(input_enews_audience="",FALSE,SUMPRODUCT(--ISNUMBER(SEARCH(","&amp;TRIM(TEXTSPLIT(CE221,","))&amp;",",","&amp;SUBSTITUTE(input_enews_audience," ","")&amp;",")))&gt;0)),IF(CG221="",TRUE,IF(input_enews_audience="",FALSE,SUMPRODUCT(--ISNUMBER(SEARCH(","&amp;TRIM(TEXTSPLIT(CG221,","))&amp;",",","&amp;SUBSTITUTE(input_enews_audience," ","")&amp;",")))=COUNTA(TEXTSPLIT(CG221,",")))),IF(CI221="",TRUE,IF(input_enews_audience="",TRUE,SUMPRODUCT(--ISNUMBER(SEARCH(","&amp;TRIM(TEXTSPLIT(CI221,","))&amp;",",","&amp;SUBSTITUTE(input_enews_audience," ","")&amp;",")))=0)),IF(CK221="",TRUE,IF(input_enews_audience="",FALSE,SUMPRODUCT(--ISNUMBER(SEARCH(","&amp;TRIM(TEXTSPLIT(CK221,","))&amp;",",","&amp;SUBSTITUTE(input_enews_audience," ","")&amp;",")))&gt;0)),IF(CM221="",TRUE,IF(input_enews_audience="",FALSE,SUMPRODUCT(--ISNUMBER(SEARCH(","&amp;TRIM(TEXTSPLIT(CM221,","))&amp;",",","&amp;SUBSTITUTE(input_enews_audience," ","")&amp;",")))=COUNTA(TEXTSPLIT(CM221,",")))))</f>
        <v/>
      </c>
      <c r="JB221" s="19">
        <f>AND(IF(CO221="",TRUE,IF(input_event_location="",FALSE,SUMPRODUCT(--ISNUMBER(SEARCH(","&amp;TRIM(TEXTSPLIT(CO221,","))&amp;",",","&amp;SUBSTITUTE(input_event_location," ","")&amp;",")))&gt;0)),IF(CQ221="",TRUE,IF(input_event_location="",FALSE,SUMPRODUCT(--ISNUMBER(SEARCH(","&amp;TRIM(TEXTSPLIT(CQ221,","))&amp;",",","&amp;SUBSTITUTE(input_event_location," ","")&amp;",")))=COUNTA(TEXTSPLIT(CQ221,",")))),IF(CS221="",TRUE,IF(input_event_location="",TRUE,SUMPRODUCT(--ISNUMBER(SEARCH(","&amp;TRIM(TEXTSPLIT(CS221,","))&amp;",",","&amp;SUBSTITUTE(input_event_location," ","")&amp;",")))=0)),IF(CU221="",TRUE,IF(input_event_location="",FALSE,SUMPRODUCT(--ISNUMBER(SEARCH(","&amp;TRIM(TEXTSPLIT(CU221,","))&amp;",",","&amp;SUBSTITUTE(input_event_location," ","")&amp;",")))&gt;0)),IF(CW221="",TRUE,IF(input_event_location="",FALSE,SUMPRODUCT(--ISNUMBER(SEARCH(","&amp;TRIM(TEXTSPLIT(CW221,","))&amp;",",","&amp;SUBSTITUTE(input_event_location," ","")&amp;",")))=COUNTA(TEXTSPLIT(CW221,",")))))</f>
        <v/>
      </c>
      <c r="JC221" s="19">
        <f>AND(IF(CY221="",TRUE,IF(input_event_type="",FALSE,SUMPRODUCT(--ISNUMBER(SEARCH(","&amp;TRIM(TEXTSPLIT(CY221,","))&amp;",",","&amp;SUBSTITUTE(input_event_type," ","")&amp;",")))&gt;0)),IF(DA221="",TRUE,IF(input_event_type="",FALSE,SUMPRODUCT(--ISNUMBER(SEARCH(","&amp;TRIM(TEXTSPLIT(DA221,","))&amp;",",","&amp;SUBSTITUTE(input_event_type," ","")&amp;",")))=COUNTA(TEXTSPLIT(DA221,",")))),IF(DC221="",TRUE,IF(input_event_type="",TRUE,SUMPRODUCT(--ISNUMBER(SEARCH(","&amp;TRIM(TEXTSPLIT(DC221,","))&amp;",",","&amp;SUBSTITUTE(input_event_type," ","")&amp;",")))=0)),IF(DE221="",TRUE,IF(input_event_type="",FALSE,SUMPRODUCT(--ISNUMBER(SEARCH(","&amp;TRIM(TEXTSPLIT(DE221,","))&amp;",",","&amp;SUBSTITUTE(input_event_type," ","")&amp;",")))&gt;0)),IF(DG221="",TRUE,IF(input_event_type="",FALSE,SUMPRODUCT(--ISNUMBER(SEARCH(","&amp;TRIM(TEXTSPLIT(DG221,","))&amp;",",","&amp;SUBSTITUTE(input_event_type," ","")&amp;",")))=COUNTA(TEXTSPLIT(DG221,",")))))</f>
        <v/>
      </c>
      <c r="JD221" s="19">
        <f>AND(IF(DI221="",TRUE,IF(input_executive_education_focus="",FALSE,SUMPRODUCT(--ISNUMBER(SEARCH(","&amp;TRIM(TEXTSPLIT(DI221,","))&amp;",",","&amp;SUBSTITUTE(input_executive_education_focus," ","")&amp;",")))&gt;0)),IF(DK221="",TRUE,IF(input_executive_education_focus="",FALSE,SUMPRODUCT(--ISNUMBER(SEARCH(","&amp;TRIM(TEXTSPLIT(DK221,","))&amp;",",","&amp;SUBSTITUTE(input_executive_education_focus," ","")&amp;",")))=COUNTA(TEXTSPLIT(DK221,",")))),IF(DM221="",TRUE,IF(input_executive_education_focus="",TRUE,SUMPRODUCT(--ISNUMBER(SEARCH(","&amp;TRIM(TEXTSPLIT(DM221,","))&amp;",",","&amp;SUBSTITUTE(input_executive_education_focus," ","")&amp;",")))=0)),IF(DO221="",TRUE,IF(input_executive_education_focus="",FALSE,SUMPRODUCT(--ISNUMBER(SEARCH(","&amp;TRIM(TEXTSPLIT(DO221,","))&amp;",",","&amp;SUBSTITUTE(input_executive_education_focus," ","")&amp;",")))&gt;0)),IF(DQ221="",TRUE,IF(input_executive_education_focus="",FALSE,SUMPRODUCT(--ISNUMBER(SEARCH(","&amp;TRIM(TEXTSPLIT(DQ221,","))&amp;",",","&amp;SUBSTITUTE(input_executive_education_focus," ","")&amp;",")))=COUNTA(TEXTSPLIT(DQ221,",")))))</f>
        <v/>
      </c>
      <c r="JE221" s="19">
        <f>AND(IF(DS221="",TRUE,IF(input_faculty_category="",FALSE,SUMPRODUCT(--ISNUMBER(SEARCH(","&amp;TRIM(TEXTSPLIT(DS221,","))&amp;",",","&amp;SUBSTITUTE(input_faculty_category," ","")&amp;",")))&gt;0)),IF(DU221="",TRUE,IF(input_faculty_category="",FALSE,SUMPRODUCT(--ISNUMBER(SEARCH(","&amp;TRIM(TEXTSPLIT(DU221,","))&amp;",",","&amp;SUBSTITUTE(input_faculty_category," ","")&amp;",")))=COUNTA(TEXTSPLIT(DU221,",")))),IF(DW221="",TRUE,IF(input_faculty_category="",TRUE,SUMPRODUCT(--ISNUMBER(SEARCH(","&amp;TRIM(TEXTSPLIT(DW221,","))&amp;",",","&amp;SUBSTITUTE(input_faculty_category," ","")&amp;",")))=0)),IF(DY221="",TRUE,IF(input_faculty_category="",FALSE,SUMPRODUCT(--ISNUMBER(SEARCH(","&amp;TRIM(TEXTSPLIT(DY221,","))&amp;",",","&amp;SUBSTITUTE(input_faculty_category," ","")&amp;",")))&gt;0)),IF(EA221="",TRUE,IF(input_faculty_category="",FALSE,SUMPRODUCT(--ISNUMBER(SEARCH(","&amp;TRIM(TEXTSPLIT(EA221,","))&amp;",",","&amp;SUBSTITUTE(input_faculty_category," ","")&amp;",")))=COUNTA(TEXTSPLIT(EA221,",")))))</f>
        <v/>
      </c>
      <c r="JF221" s="19">
        <f>AND(IF(EC221="",TRUE,IF(input_faculty_discipline="",FALSE,SUMPRODUCT(--ISNUMBER(SEARCH(","&amp;TRIM(TEXTSPLIT(EC221,","))&amp;",",","&amp;SUBSTITUTE(input_faculty_discipline," ","")&amp;",")))&gt;0)),IF(EE221="",TRUE,IF(input_faculty_discipline="",FALSE,SUMPRODUCT(--ISNUMBER(SEARCH(","&amp;TRIM(TEXTSPLIT(EE221,","))&amp;",",","&amp;SUBSTITUTE(input_faculty_discipline," ","")&amp;",")))=COUNTA(TEXTSPLIT(EE221,",")))),IF(EG221="",TRUE,IF(input_faculty_discipline="",TRUE,SUMPRODUCT(--ISNUMBER(SEARCH(","&amp;TRIM(TEXTSPLIT(EG221,","))&amp;",",","&amp;SUBSTITUTE(input_faculty_discipline," ","")&amp;",")))=0)),IF(EI221="",TRUE,IF(input_faculty_discipline="",FALSE,SUMPRODUCT(--ISNUMBER(SEARCH(","&amp;TRIM(TEXTSPLIT(EI221,","))&amp;",",","&amp;SUBSTITUTE(input_faculty_discipline," ","")&amp;",")))&gt;0)),IF(EK221="",TRUE,IF(input_faculty_discipline="",FALSE,SUMPRODUCT(--ISNUMBER(SEARCH(","&amp;TRIM(TEXTSPLIT(EK221,","))&amp;",",","&amp;SUBSTITUTE(input_faculty_discipline," ","")&amp;",")))=COUNTA(TEXTSPLIT(EK221,",")))))</f>
        <v/>
      </c>
      <c r="JG221" s="19">
        <f>AND(IF(EM221="",TRUE,IF(input_faculty_expertise="",FALSE,SUMPRODUCT(--ISNUMBER(SEARCH(","&amp;TRIM(TEXTSPLIT(EM221,","))&amp;",",","&amp;SUBSTITUTE(input_faculty_expertise," ","")&amp;",")))&gt;0)),IF(EO221="",TRUE,IF(input_faculty_expertise="",FALSE,SUMPRODUCT(--ISNUMBER(SEARCH(","&amp;TRIM(TEXTSPLIT(EO221,","))&amp;",",","&amp;SUBSTITUTE(input_faculty_expertise," ","")&amp;",")))=COUNTA(TEXTSPLIT(EO221,",")))),IF(EQ221="",TRUE,IF(input_faculty_expertise="",TRUE,SUMPRODUCT(--ISNUMBER(SEARCH(","&amp;TRIM(TEXTSPLIT(EQ221,","))&amp;",",","&amp;SUBSTITUTE(input_faculty_expertise," ","")&amp;",")))=0)),IF(ES221="",TRUE,IF(input_faculty_expertise="",FALSE,SUMPRODUCT(--ISNUMBER(SEARCH(","&amp;TRIM(TEXTSPLIT(ES221,","))&amp;",",","&amp;SUBSTITUTE(input_faculty_expertise," ","")&amp;",")))&gt;0)),IF(EU221="",TRUE,IF(input_faculty_expertise="",FALSE,SUMPRODUCT(--ISNUMBER(SEARCH(","&amp;TRIM(TEXTSPLIT(EU221,","))&amp;",",","&amp;SUBSTITUTE(input_faculty_expertise," ","")&amp;",")))=COUNTA(TEXTSPLIT(EU221,",")))))</f>
        <v/>
      </c>
      <c r="JH221" s="19">
        <f>AND(IF(EW221="",TRUE,IF(input_global_network_school="",FALSE,SUMPRODUCT(--ISNUMBER(SEARCH(","&amp;TRIM(TEXTSPLIT(EW221,","))&amp;",",","&amp;SUBSTITUTE(input_global_network_school," ","")&amp;",")))&gt;0)),IF(EY221="",TRUE,IF(input_global_network_school="",FALSE,SUMPRODUCT(--ISNUMBER(SEARCH(","&amp;TRIM(TEXTSPLIT(EY221,","))&amp;",",","&amp;SUBSTITUTE(input_global_network_school," ","")&amp;",")))=COUNTA(TEXTSPLIT(EY221,",")))),IF(FA221="",TRUE,IF(input_global_network_school="",TRUE,SUMPRODUCT(--ISNUMBER(SEARCH(","&amp;TRIM(TEXTSPLIT(FA221,","))&amp;",",","&amp;SUBSTITUTE(input_global_network_school," ","")&amp;",")))=0)),IF(FC221="",TRUE,IF(input_global_network_school="",FALSE,SUMPRODUCT(--ISNUMBER(SEARCH(","&amp;TRIM(TEXTSPLIT(FC221,","))&amp;",",","&amp;SUBSTITUTE(input_global_network_school," ","")&amp;",")))&gt;0)),IF(FE221="",TRUE,IF(input_global_network_school="",FALSE,SUMPRODUCT(--ISNUMBER(SEARCH(","&amp;TRIM(TEXTSPLIT(FE221,","))&amp;",",","&amp;SUBSTITUTE(input_global_network_school," ","")&amp;",")))=COUNTA(TEXTSPLIT(FE221,",")))))</f>
        <v/>
      </c>
      <c r="JI221" s="19">
        <f>AND(IF(FG221="",TRUE,IF(input_industry="",FALSE,SUMPRODUCT(--ISNUMBER(SEARCH(","&amp;TRIM(TEXTSPLIT(FG221,","))&amp;",",","&amp;SUBSTITUTE(input_industry," ","")&amp;",")))&gt;0)),IF(FI221="",TRUE,IF(input_industry="",FALSE,SUMPRODUCT(--ISNUMBER(SEARCH(","&amp;TRIM(TEXTSPLIT(FI221,","))&amp;",",","&amp;SUBSTITUTE(input_industry," ","")&amp;",")))=COUNTA(TEXTSPLIT(FI221,",")))),IF(FK221="",TRUE,IF(input_industry="",TRUE,SUMPRODUCT(--ISNUMBER(SEARCH(","&amp;TRIM(TEXTSPLIT(FK221,","))&amp;",",","&amp;SUBSTITUTE(input_industry," ","")&amp;",")))=0)),IF(FM221="",TRUE,IF(input_industry="",FALSE,SUMPRODUCT(--ISNUMBER(SEARCH(","&amp;TRIM(TEXTSPLIT(FM221,","))&amp;",",","&amp;SUBSTITUTE(input_industry," ","")&amp;",")))&gt;0)),IF(FO221="",TRUE,IF(input_industry="",FALSE,SUMPRODUCT(--ISNUMBER(SEARCH(","&amp;TRIM(TEXTSPLIT(FO221,","))&amp;",",","&amp;SUBSTITUTE(input_industry," ","")&amp;",")))=COUNTA(TEXTSPLIT(FO221,",")))))</f>
        <v/>
      </c>
      <c r="JJ221" s="19">
        <f>AND(IF(FQ221="",TRUE,IF(input_location="",FALSE,SUMPRODUCT(--ISNUMBER(SEARCH(","&amp;TRIM(TEXTSPLIT(FQ221,","))&amp;",",","&amp;SUBSTITUTE(input_location," ","")&amp;",")))&gt;0)),IF(FS221="",TRUE,IF(input_location="",FALSE,SUMPRODUCT(--ISNUMBER(SEARCH(","&amp;TRIM(TEXTSPLIT(FS221,","))&amp;",",","&amp;SUBSTITUTE(input_location," ","")&amp;",")))=COUNTA(TEXTSPLIT(FS221,",")))),IF(FU221="",TRUE,IF(input_location="",TRUE,SUMPRODUCT(--ISNUMBER(SEARCH(","&amp;TRIM(TEXTSPLIT(FU221,","))&amp;",",","&amp;SUBSTITUTE(input_location," ","")&amp;",")))=0)),IF(FW221="",TRUE,IF(input_location="",FALSE,SUMPRODUCT(--ISNUMBER(SEARCH(","&amp;TRIM(TEXTSPLIT(FW221,","))&amp;",",","&amp;SUBSTITUTE(input_location," ","")&amp;",")))&gt;0)),IF(FY221="",TRUE,IF(input_location="",FALSE,SUMPRODUCT(--ISNUMBER(SEARCH(","&amp;TRIM(TEXTSPLIT(FY221,","))&amp;",",","&amp;SUBSTITUTE(input_location," ","")&amp;",")))=COUNTA(TEXTSPLIT(FY221,",")))))</f>
        <v/>
      </c>
      <c r="JK221" s="19">
        <f>AND(IF(GA221="",TRUE,IF(input_modality="",FALSE,SUMPRODUCT(--ISNUMBER(SEARCH(","&amp;TRIM(TEXTSPLIT(GA221,","))&amp;",",","&amp;SUBSTITUTE(input_modality," ","")&amp;",")))&gt;0)),IF(GC221="",TRUE,IF(input_modality="",FALSE,SUMPRODUCT(--ISNUMBER(SEARCH(","&amp;TRIM(TEXTSPLIT(GC221,","))&amp;",",","&amp;SUBSTITUTE(input_modality," ","")&amp;",")))=COUNTA(TEXTSPLIT(GC221,",")))),IF(GE221="",TRUE,IF(input_modality="",TRUE,SUMPRODUCT(--ISNUMBER(SEARCH(","&amp;TRIM(TEXTSPLIT(GE221,","))&amp;",",","&amp;SUBSTITUTE(input_modality," ","")&amp;",")))=0)),IF(GG221="",TRUE,IF(input_modality="",FALSE,SUMPRODUCT(--ISNUMBER(SEARCH(","&amp;TRIM(TEXTSPLIT(GG221,","))&amp;",",","&amp;SUBSTITUTE(input_modality," ","")&amp;",")))&gt;0)),IF(GI221="",TRUE,IF(input_modality="",FALSE,SUMPRODUCT(--ISNUMBER(SEARCH(","&amp;TRIM(TEXTSPLIT(GI221,","))&amp;",",","&amp;SUBSTITUTE(input_modality," ","")&amp;",")))=COUNTA(TEXTSPLIT(GI221,",")))))</f>
        <v/>
      </c>
      <c r="JL221" s="19">
        <f>AND(IF(GK221="",TRUE,IF(input_organizer="",FALSE,SUMPRODUCT(--ISNUMBER(SEARCH(","&amp;TRIM(TEXTSPLIT(GK221,","))&amp;",",","&amp;SUBSTITUTE(input_organizer," ","")&amp;",")))&gt;0)),IF(GM221="",TRUE,IF(input_organizer="",FALSE,SUMPRODUCT(--ISNUMBER(SEARCH(","&amp;TRIM(TEXTSPLIT(GM221,","))&amp;",",","&amp;SUBSTITUTE(input_organizer," ","")&amp;",")))=COUNTA(TEXTSPLIT(GM221,",")))),IF(GO221="",TRUE,IF(input_organizer="",TRUE,SUMPRODUCT(--ISNUMBER(SEARCH(","&amp;TRIM(TEXTSPLIT(GO221,","))&amp;",",","&amp;SUBSTITUTE(input_organizer," ","")&amp;",")))=0)),IF(GQ221="",TRUE,IF(input_organizer="",FALSE,SUMPRODUCT(--ISNUMBER(SEARCH(","&amp;TRIM(TEXTSPLIT(GQ221,","))&amp;",",","&amp;SUBSTITUTE(input_organizer," ","")&amp;",")))&gt;0)),IF(GS221="",TRUE,IF(input_organizer="",FALSE,SUMPRODUCT(--ISNUMBER(SEARCH(","&amp;TRIM(TEXTSPLIT(GS221,","))&amp;",",","&amp;SUBSTITUTE(input_organizer," ","")&amp;",")))=COUNTA(TEXTSPLIT(GS221,",")))))</f>
        <v/>
      </c>
      <c r="JM221" s="19">
        <f>AND(IF(GU221="",TRUE,IF(input_profile_type="",FALSE,SUMPRODUCT(--ISNUMBER(SEARCH(","&amp;TRIM(TEXTSPLIT(GU221,","))&amp;",",","&amp;SUBSTITUTE(input_profile_type," ","")&amp;",")))&gt;0)),IF(GW221="",TRUE,IF(input_profile_type="",FALSE,SUMPRODUCT(--ISNUMBER(SEARCH(","&amp;TRIM(TEXTSPLIT(GW221,","))&amp;",",","&amp;SUBSTITUTE(input_profile_type," ","")&amp;",")))=COUNTA(TEXTSPLIT(GW221,",")))),IF(GY221="",TRUE,IF(input_profile_type="",TRUE,SUMPRODUCT(--ISNUMBER(SEARCH(","&amp;TRIM(TEXTSPLIT(GY221,","))&amp;",",","&amp;SUBSTITUTE(input_profile_type," ","")&amp;",")))=0)),IF(HA221="",TRUE,IF(input_profile_type="",FALSE,SUMPRODUCT(--ISNUMBER(SEARCH(","&amp;TRIM(TEXTSPLIT(HA221,","))&amp;",",","&amp;SUBSTITUTE(input_profile_type," ","")&amp;",")))&gt;0)),IF(HC221="",TRUE,IF(input_profile_type="",FALSE,SUMPRODUCT(--ISNUMBER(SEARCH(","&amp;TRIM(TEXTSPLIT(HC221,","))&amp;",",","&amp;SUBSTITUTE(input_profile_type," ","")&amp;",")))=COUNTA(TEXTSPLIT(HC221,",")))))</f>
        <v/>
      </c>
      <c r="JN221" s="19">
        <f>AND(IF(HE221="",TRUE,IF(input_program="",FALSE,SUMPRODUCT(--ISNUMBER(SEARCH(","&amp;TRIM(TEXTSPLIT(HE221,","))&amp;",",","&amp;SUBSTITUTE(input_program," ","")&amp;",")))&gt;0)),IF(HG221="",TRUE,IF(input_program="",FALSE,SUMPRODUCT(--ISNUMBER(SEARCH(","&amp;TRIM(TEXTSPLIT(HG221,","))&amp;",",","&amp;SUBSTITUTE(input_program," ","")&amp;",")))=COUNTA(TEXTSPLIT(HG221,",")))),IF(HI221="",TRUE,IF(input_program="",TRUE,SUMPRODUCT(--ISNUMBER(SEARCH(","&amp;TRIM(TEXTSPLIT(HI221,","))&amp;",",","&amp;SUBSTITUTE(input_program," ","")&amp;",")))=0)),IF(HK221="",TRUE,IF(input_program="",FALSE,SUMPRODUCT(--ISNUMBER(SEARCH(","&amp;TRIM(TEXTSPLIT(HK221,","))&amp;",",","&amp;SUBSTITUTE(input_program," ","")&amp;",")))&gt;0)),IF(HM221="",TRUE,IF(input_program="",FALSE,SUMPRODUCT(--ISNUMBER(SEARCH(","&amp;TRIM(TEXTSPLIT(HM221,","))&amp;",",","&amp;SUBSTITUTE(input_program," ","")&amp;",")))=COUNTA(TEXTSPLIT(HM221,",")))))</f>
        <v/>
      </c>
      <c r="JO221" s="19">
        <f>AND(IF(HO221="",TRUE,IF(input_story_categories="",FALSE,SUMPRODUCT(--ISNUMBER(SEARCH(","&amp;TRIM(TEXTSPLIT(HO221,","))&amp;",",","&amp;SUBSTITUTE(input_story_categories," ","")&amp;",")))&gt;0)),IF(HQ221="",TRUE,IF(input_story_categories="",FALSE,SUMPRODUCT(--ISNUMBER(SEARCH(","&amp;TRIM(TEXTSPLIT(HQ221,","))&amp;",",","&amp;SUBSTITUTE(input_story_categories," ","")&amp;",")))=COUNTA(TEXTSPLIT(HQ221,",")))),IF(HS221="",TRUE,IF(input_story_categories="",TRUE,SUMPRODUCT(--ISNUMBER(SEARCH(","&amp;TRIM(TEXTSPLIT(HS221,","))&amp;",",","&amp;SUBSTITUTE(input_story_categories," ","")&amp;",")))=0)),IF(HU221="",TRUE,IF(input_story_categories="",FALSE,SUMPRODUCT(--ISNUMBER(SEARCH(","&amp;TRIM(TEXTSPLIT(HU221,","))&amp;",",","&amp;SUBSTITUTE(input_story_categories," ","")&amp;",")))&gt;0)),IF(HW221="",TRUE,IF(input_story_categories="",FALSE,SUMPRODUCT(--ISNUMBER(SEARCH(","&amp;TRIM(TEXTSPLIT(HW221,","))&amp;",",","&amp;SUBSTITUTE(input_story_categories," ","")&amp;",")))=COUNTA(TEXTSPLIT(HW221,",")))))</f>
        <v/>
      </c>
      <c r="JP221" s="19">
        <f>AND(IF(HY221="",TRUE,IF(input_story_type="",FALSE,SUMPRODUCT(--ISNUMBER(SEARCH(","&amp;TRIM(TEXTSPLIT(HY221,","))&amp;",",","&amp;SUBSTITUTE(input_story_type," ","")&amp;",")))&gt;0)),IF(IA221="",TRUE,IF(input_story_type="",FALSE,SUMPRODUCT(--ISNUMBER(SEARCH(","&amp;TRIM(TEXTSPLIT(IA221,","))&amp;",",","&amp;SUBSTITUTE(input_story_type," ","")&amp;",")))=COUNTA(TEXTSPLIT(IA221,",")))),IF(IC221="",TRUE,IF(input_story_type="",TRUE,SUMPRODUCT(--ISNUMBER(SEARCH(","&amp;TRIM(TEXTSPLIT(IC221,","))&amp;",",","&amp;SUBSTITUTE(input_story_type," ","")&amp;",")))=0)),IF(IE221="",TRUE,IF(input_story_type="",FALSE,SUMPRODUCT(--ISNUMBER(SEARCH(","&amp;TRIM(TEXTSPLIT(IE221,","))&amp;",",","&amp;SUBSTITUTE(input_story_type," ","")&amp;",")))&gt;0)),IF(IG221="",TRUE,IF(input_story_type="",FALSE,SUMPRODUCT(--ISNUMBER(SEARCH(","&amp;TRIM(TEXTSPLIT(IG221,","))&amp;",",","&amp;SUBSTITUTE(input_story_type," ","")&amp;",")))=COUNTA(TEXTSPLIT(IG221,",")))))</f>
        <v/>
      </c>
      <c r="JQ221" s="19">
        <f>AND(IF(II221="",TRUE,IF(input_topics="",FALSE,SUMPRODUCT(--ISNUMBER(SEARCH(","&amp;TRIM(TEXTSPLIT(II221,","))&amp;",",","&amp;SUBSTITUTE(input_topics," ","")&amp;",")))&gt;0)),IF(IK221="",TRUE,IF(input_topics="",FALSE,SUMPRODUCT(--ISNUMBER(SEARCH(","&amp;TRIM(TEXTSPLIT(IK221,","))&amp;",",","&amp;SUBSTITUTE(input_topics," ","")&amp;",")))=COUNTA(TEXTSPLIT(IK221,",")))),IF(IM221="",TRUE,IF(input_topics="",TRUE,SUMPRODUCT(--ISNUMBER(SEARCH(","&amp;TRIM(TEXTSPLIT(IM221,","))&amp;",",","&amp;SUBSTITUTE(input_topics," ","")&amp;",")))=0)),IF(IO221="",TRUE,IF(input_topics="",FALSE,SUMPRODUCT(--ISNUMBER(SEARCH(","&amp;TRIM(TEXTSPLIT(IO221,","))&amp;",",","&amp;SUBSTITUTE(input_topics," ","")&amp;",")))&gt;0)),IF(IQ221="",TRUE,IF(input_topics="",FALSE,SUMPRODUCT(--ISNUMBER(SEARCH(","&amp;TRIM(TEXTSPLIT(IQ221,","))&amp;",",","&amp;SUBSTITUTE(input_topics," ","")&amp;",")))=COUNTA(TEXTSPLIT(IQ221,",")))))</f>
        <v/>
      </c>
    </row>
    <row r="222">
      <c r="A222" s="24">
        <f>IF(NOT(IS222),"Excluded",IF(AND(IT222,IU222,IV222,IW222,IX222,IY222,IZ222,JA222,JB222,JC222,JD222,JE222,JF222,JG222,JH222,JI222,JJ222,JK222,JL222,JM222,JN222,JO222,JP222,JQ222),IF(I222&gt;0,"Eligible but limited","Will appear"),"Excluded"))</f>
        <v/>
      </c>
      <c r="B222" s="24" t="inlineStr">
        <is>
          <t>Related stories on story pages</t>
        </is>
      </c>
      <c r="C222" s="27" t="inlineStr">
        <is>
          <t>/story/2026/event-dispatch-snagging-free-reads-black-authors</t>
        </is>
      </c>
      <c r="D222" s="24" t="inlineStr">
        <is>
          <t>/story/2026/event-dispatch-snagging-free-reads-black-authors</t>
        </is>
      </c>
      <c r="E222" s="24" t="n">
        <v>1</v>
      </c>
      <c r="F222" s="24" t="inlineStr">
        <is>
          <t>story</t>
        </is>
      </c>
      <c r="G222" s="24" t="inlineStr">
        <is>
          <t>stories_teaser_cards</t>
        </is>
      </c>
      <c r="H222" s="24" t="inlineStr">
        <is>
          <t>embed_all</t>
        </is>
      </c>
      <c r="I222" s="24" t="n">
        <v>3</v>
      </c>
      <c r="J222" s="31" t="inlineStr">
        <is>
          <t>Template logic</t>
        </is>
      </c>
      <c r="K222" s="24" t="inlineStr">
        <is>
          <t>Grouped surface</t>
        </is>
      </c>
      <c r="L222" s="24" t="inlineStr">
        <is>
          <t>Content type: story; Context uses Courses Context: Event Dispatch (1772); Context uses Story Type: Blog (974); Limited to 3 item(s); Source: Template logic</t>
        </is>
      </c>
      <c r="BQ222" s="19" t="inlineStr">
        <is>
          <t>1772</t>
        </is>
      </c>
      <c r="BR222" s="19" t="inlineStr">
        <is>
          <t>Event Dispatch (1772)</t>
        </is>
      </c>
      <c r="IE222" s="19" t="inlineStr">
        <is>
          <t>974</t>
        </is>
      </c>
      <c r="IF222" s="19" t="inlineStr">
        <is>
          <t>Blog (974)</t>
        </is>
      </c>
      <c r="IS222" s="19">
        <f>IF(input_content_type="",FALSE,ISNUMBER(SEARCH(","&amp;LOWER(input_content_type)&amp;",",","&amp;LOWER(SUBSTITUTE(F222," ",""))&amp;",")))</f>
        <v/>
      </c>
      <c r="IT222" s="19">
        <f>AND(IF(M222="",TRUE,IF(input_affiliations="",FALSE,SUMPRODUCT(--ISNUMBER(SEARCH(","&amp;TRIM(TEXTSPLIT(M222,","))&amp;",",","&amp;SUBSTITUTE(input_affiliations," ","")&amp;",")))&gt;0)),IF(O222="",TRUE,IF(input_affiliations="",FALSE,SUMPRODUCT(--ISNUMBER(SEARCH(","&amp;TRIM(TEXTSPLIT(O222,","))&amp;",",","&amp;SUBSTITUTE(input_affiliations," ","")&amp;",")))=COUNTA(TEXTSPLIT(O222,",")))),IF(Q222="",TRUE,IF(input_affiliations="",TRUE,SUMPRODUCT(--ISNUMBER(SEARCH(","&amp;TRIM(TEXTSPLIT(Q222,","))&amp;",",","&amp;SUBSTITUTE(input_affiliations," ","")&amp;",")))=0)),IF(S222="",TRUE,IF(input_affiliations="",FALSE,SUMPRODUCT(--ISNUMBER(SEARCH(","&amp;TRIM(TEXTSPLIT(S222,","))&amp;",",","&amp;SUBSTITUTE(input_affiliations," ","")&amp;",")))&gt;0)),IF(U222="",TRUE,IF(input_affiliations="",FALSE,SUMPRODUCT(--ISNUMBER(SEARCH(","&amp;TRIM(TEXTSPLIT(U222,","))&amp;",",","&amp;SUBSTITUTE(input_affiliations," ","")&amp;",")))=COUNTA(TEXTSPLIT(U222,",")))))</f>
        <v/>
      </c>
      <c r="IU222" s="19">
        <f>AND(IF(W222="",TRUE,IF(input_announcement_category="",FALSE,SUMPRODUCT(--ISNUMBER(SEARCH(","&amp;TRIM(TEXTSPLIT(W222,","))&amp;",",","&amp;SUBSTITUTE(input_announcement_category," ","")&amp;",")))&gt;0)),IF(Y222="",TRUE,IF(input_announcement_category="",FALSE,SUMPRODUCT(--ISNUMBER(SEARCH(","&amp;TRIM(TEXTSPLIT(Y222,","))&amp;",",","&amp;SUBSTITUTE(input_announcement_category," ","")&amp;",")))=COUNTA(TEXTSPLIT(Y222,",")))),IF(AA222="",TRUE,IF(input_announcement_category="",TRUE,SUMPRODUCT(--ISNUMBER(SEARCH(","&amp;TRIM(TEXTSPLIT(AA222,","))&amp;",",","&amp;SUBSTITUTE(input_announcement_category," ","")&amp;",")))=0)),IF(AC222="",TRUE,IF(input_announcement_category="",FALSE,SUMPRODUCT(--ISNUMBER(SEARCH(","&amp;TRIM(TEXTSPLIT(AC222,","))&amp;",",","&amp;SUBSTITUTE(input_announcement_category," ","")&amp;",")))&gt;0)),IF(AE222="",TRUE,IF(input_announcement_category="",FALSE,SUMPRODUCT(--ISNUMBER(SEARCH(","&amp;TRIM(TEXTSPLIT(AE222,","))&amp;",",","&amp;SUBSTITUTE(input_announcement_category," ","")&amp;",")))=COUNTA(TEXTSPLIT(AE222,",")))))</f>
        <v/>
      </c>
      <c r="IV222" s="19">
        <f>AND(IF(AG222="",TRUE,IF(input_area_of_focus="",FALSE,SUMPRODUCT(--ISNUMBER(SEARCH(","&amp;TRIM(TEXTSPLIT(AG222,","))&amp;",",","&amp;SUBSTITUTE(input_area_of_focus," ","")&amp;",")))&gt;0)),IF(AI222="",TRUE,IF(input_area_of_focus="",FALSE,SUMPRODUCT(--ISNUMBER(SEARCH(","&amp;TRIM(TEXTSPLIT(AI222,","))&amp;",",","&amp;SUBSTITUTE(input_area_of_focus," ","")&amp;",")))=COUNTA(TEXTSPLIT(AI222,",")))),IF(AK222="",TRUE,IF(input_area_of_focus="",TRUE,SUMPRODUCT(--ISNUMBER(SEARCH(","&amp;TRIM(TEXTSPLIT(AK222,","))&amp;",",","&amp;SUBSTITUTE(input_area_of_focus," ","")&amp;",")))=0)),IF(AM222="",TRUE,IF(input_area_of_focus="",FALSE,SUMPRODUCT(--ISNUMBER(SEARCH(","&amp;TRIM(TEXTSPLIT(AM222,","))&amp;",",","&amp;SUBSTITUTE(input_area_of_focus," ","")&amp;",")))&gt;0)),IF(AO222="",TRUE,IF(input_area_of_focus="",FALSE,SUMPRODUCT(--ISNUMBER(SEARCH(","&amp;TRIM(TEXTSPLIT(AO222,","))&amp;",",","&amp;SUBSTITUTE(input_area_of_focus," ","")&amp;",")))=COUNTA(TEXTSPLIT(AO222,",")))))</f>
        <v/>
      </c>
      <c r="IW222" s="19">
        <f>AND(IF(AQ222="",TRUE,IF(input_audience="",FALSE,SUMPRODUCT(--ISNUMBER(SEARCH(","&amp;TRIM(TEXTSPLIT(AQ222,","))&amp;",",","&amp;SUBSTITUTE(input_audience," ","")&amp;",")))&gt;0)),IF(AS222="",TRUE,IF(input_audience="",FALSE,SUMPRODUCT(--ISNUMBER(SEARCH(","&amp;TRIM(TEXTSPLIT(AS222,","))&amp;",",","&amp;SUBSTITUTE(input_audience," ","")&amp;",")))=COUNTA(TEXTSPLIT(AS222,",")))),IF(AU222="",TRUE,IF(input_audience="",TRUE,SUMPRODUCT(--ISNUMBER(SEARCH(","&amp;TRIM(TEXTSPLIT(AU222,","))&amp;",",","&amp;SUBSTITUTE(input_audience," ","")&amp;",")))=0)),IF(AW222="",TRUE,IF(input_audience="",FALSE,SUMPRODUCT(--ISNUMBER(SEARCH(","&amp;TRIM(TEXTSPLIT(AW222,","))&amp;",",","&amp;SUBSTITUTE(input_audience," ","")&amp;",")))&gt;0)),IF(AY222="",TRUE,IF(input_audience="",FALSE,SUMPRODUCT(--ISNUMBER(SEARCH(","&amp;TRIM(TEXTSPLIT(AY222,","))&amp;",",","&amp;SUBSTITUTE(input_audience," ","")&amp;",")))=COUNTA(TEXTSPLIT(AY222,",")))))</f>
        <v/>
      </c>
      <c r="IX222" s="19">
        <f>AND(IF(BA222="",TRUE,IF(input_challenge_opportunities="",FALSE,SUMPRODUCT(--ISNUMBER(SEARCH(","&amp;TRIM(TEXTSPLIT(BA222,","))&amp;",",","&amp;SUBSTITUTE(input_challenge_opportunities," ","")&amp;",")))&gt;0)),IF(BC222="",TRUE,IF(input_challenge_opportunities="",FALSE,SUMPRODUCT(--ISNUMBER(SEARCH(","&amp;TRIM(TEXTSPLIT(BC222,","))&amp;",",","&amp;SUBSTITUTE(input_challenge_opportunities," ","")&amp;",")))=COUNTA(TEXTSPLIT(BC222,",")))),IF(BE222="",TRUE,IF(input_challenge_opportunities="",TRUE,SUMPRODUCT(--ISNUMBER(SEARCH(","&amp;TRIM(TEXTSPLIT(BE222,","))&amp;",",","&amp;SUBSTITUTE(input_challenge_opportunities," ","")&amp;",")))=0)),IF(BG222="",TRUE,IF(input_challenge_opportunities="",FALSE,SUMPRODUCT(--ISNUMBER(SEARCH(","&amp;TRIM(TEXTSPLIT(BG222,","))&amp;",",","&amp;SUBSTITUTE(input_challenge_opportunities," ","")&amp;",")))&gt;0)),IF(BI222="",TRUE,IF(input_challenge_opportunities="",FALSE,SUMPRODUCT(--ISNUMBER(SEARCH(","&amp;TRIM(TEXTSPLIT(BI222,","))&amp;",",","&amp;SUBSTITUTE(input_challenge_opportunities," ","")&amp;",")))=COUNTA(TEXTSPLIT(BI222,",")))))</f>
        <v/>
      </c>
      <c r="IY222" s="19">
        <f>AND(IF(BK222="",TRUE,IF(input_context="",FALSE,SUMPRODUCT(--ISNUMBER(SEARCH(","&amp;TRIM(TEXTSPLIT(BK222,","))&amp;",",","&amp;SUBSTITUTE(input_context," ","")&amp;",")))&gt;0)),IF(BM222="",TRUE,IF(input_context="",FALSE,SUMPRODUCT(--ISNUMBER(SEARCH(","&amp;TRIM(TEXTSPLIT(BM222,","))&amp;",",","&amp;SUBSTITUTE(input_context," ","")&amp;",")))=COUNTA(TEXTSPLIT(BM222,",")))),IF(BO222="",TRUE,IF(input_context="",TRUE,SUMPRODUCT(--ISNUMBER(SEARCH(","&amp;TRIM(TEXTSPLIT(BO222,","))&amp;",",","&amp;SUBSTITUTE(input_context," ","")&amp;",")))=0)),IF(BQ222="",TRUE,IF(input_context="",FALSE,SUMPRODUCT(--ISNUMBER(SEARCH(","&amp;TRIM(TEXTSPLIT(BQ222,","))&amp;",",","&amp;SUBSTITUTE(input_context," ","")&amp;",")))&gt;0)),IF(BS222="",TRUE,IF(input_context="",FALSE,SUMPRODUCT(--ISNUMBER(SEARCH(","&amp;TRIM(TEXTSPLIT(BS222,","))&amp;",",","&amp;SUBSTITUTE(input_context," ","")&amp;",")))=COUNTA(TEXTSPLIT(BS222,",")))))</f>
        <v/>
      </c>
      <c r="IZ222" s="19">
        <f>AND(IF(BU222="",TRUE,IF(input_enews_announcement_type="",FALSE,SUMPRODUCT(--ISNUMBER(SEARCH(","&amp;TRIM(TEXTSPLIT(BU222,","))&amp;",",","&amp;SUBSTITUTE(input_enews_announcement_type," ","")&amp;",")))&gt;0)),IF(BW222="",TRUE,IF(input_enews_announcement_type="",FALSE,SUMPRODUCT(--ISNUMBER(SEARCH(","&amp;TRIM(TEXTSPLIT(BW222,","))&amp;",",","&amp;SUBSTITUTE(input_enews_announcement_type," ","")&amp;",")))=COUNTA(TEXTSPLIT(BW222,",")))),IF(BY222="",TRUE,IF(input_enews_announcement_type="",TRUE,SUMPRODUCT(--ISNUMBER(SEARCH(","&amp;TRIM(TEXTSPLIT(BY222,","))&amp;",",","&amp;SUBSTITUTE(input_enews_announcement_type," ","")&amp;",")))=0)),IF(CA222="",TRUE,IF(input_enews_announcement_type="",FALSE,SUMPRODUCT(--ISNUMBER(SEARCH(","&amp;TRIM(TEXTSPLIT(CA222,","))&amp;",",","&amp;SUBSTITUTE(input_enews_announcement_type," ","")&amp;",")))&gt;0)),IF(CC222="",TRUE,IF(input_enews_announcement_type="",FALSE,SUMPRODUCT(--ISNUMBER(SEARCH(","&amp;TRIM(TEXTSPLIT(CC222,","))&amp;",",","&amp;SUBSTITUTE(input_enews_announcement_type," ","")&amp;",")))=COUNTA(TEXTSPLIT(CC222,",")))))</f>
        <v/>
      </c>
      <c r="JA222" s="19">
        <f>AND(IF(CE222="",TRUE,IF(input_enews_audience="",FALSE,SUMPRODUCT(--ISNUMBER(SEARCH(","&amp;TRIM(TEXTSPLIT(CE222,","))&amp;",",","&amp;SUBSTITUTE(input_enews_audience," ","")&amp;",")))&gt;0)),IF(CG222="",TRUE,IF(input_enews_audience="",FALSE,SUMPRODUCT(--ISNUMBER(SEARCH(","&amp;TRIM(TEXTSPLIT(CG222,","))&amp;",",","&amp;SUBSTITUTE(input_enews_audience," ","")&amp;",")))=COUNTA(TEXTSPLIT(CG222,",")))),IF(CI222="",TRUE,IF(input_enews_audience="",TRUE,SUMPRODUCT(--ISNUMBER(SEARCH(","&amp;TRIM(TEXTSPLIT(CI222,","))&amp;",",","&amp;SUBSTITUTE(input_enews_audience," ","")&amp;",")))=0)),IF(CK222="",TRUE,IF(input_enews_audience="",FALSE,SUMPRODUCT(--ISNUMBER(SEARCH(","&amp;TRIM(TEXTSPLIT(CK222,","))&amp;",",","&amp;SUBSTITUTE(input_enews_audience," ","")&amp;",")))&gt;0)),IF(CM222="",TRUE,IF(input_enews_audience="",FALSE,SUMPRODUCT(--ISNUMBER(SEARCH(","&amp;TRIM(TEXTSPLIT(CM222,","))&amp;",",","&amp;SUBSTITUTE(input_enews_audience," ","")&amp;",")))=COUNTA(TEXTSPLIT(CM222,",")))))</f>
        <v/>
      </c>
      <c r="JB222" s="19">
        <f>AND(IF(CO222="",TRUE,IF(input_event_location="",FALSE,SUMPRODUCT(--ISNUMBER(SEARCH(","&amp;TRIM(TEXTSPLIT(CO222,","))&amp;",",","&amp;SUBSTITUTE(input_event_location," ","")&amp;",")))&gt;0)),IF(CQ222="",TRUE,IF(input_event_location="",FALSE,SUMPRODUCT(--ISNUMBER(SEARCH(","&amp;TRIM(TEXTSPLIT(CQ222,","))&amp;",",","&amp;SUBSTITUTE(input_event_location," ","")&amp;",")))=COUNTA(TEXTSPLIT(CQ222,",")))),IF(CS222="",TRUE,IF(input_event_location="",TRUE,SUMPRODUCT(--ISNUMBER(SEARCH(","&amp;TRIM(TEXTSPLIT(CS222,","))&amp;",",","&amp;SUBSTITUTE(input_event_location," ","")&amp;",")))=0)),IF(CU222="",TRUE,IF(input_event_location="",FALSE,SUMPRODUCT(--ISNUMBER(SEARCH(","&amp;TRIM(TEXTSPLIT(CU222,","))&amp;",",","&amp;SUBSTITUTE(input_event_location," ","")&amp;",")))&gt;0)),IF(CW222="",TRUE,IF(input_event_location="",FALSE,SUMPRODUCT(--ISNUMBER(SEARCH(","&amp;TRIM(TEXTSPLIT(CW222,","))&amp;",",","&amp;SUBSTITUTE(input_event_location," ","")&amp;",")))=COUNTA(TEXTSPLIT(CW222,",")))))</f>
        <v/>
      </c>
      <c r="JC222" s="19">
        <f>AND(IF(CY222="",TRUE,IF(input_event_type="",FALSE,SUMPRODUCT(--ISNUMBER(SEARCH(","&amp;TRIM(TEXTSPLIT(CY222,","))&amp;",",","&amp;SUBSTITUTE(input_event_type," ","")&amp;",")))&gt;0)),IF(DA222="",TRUE,IF(input_event_type="",FALSE,SUMPRODUCT(--ISNUMBER(SEARCH(","&amp;TRIM(TEXTSPLIT(DA222,","))&amp;",",","&amp;SUBSTITUTE(input_event_type," ","")&amp;",")))=COUNTA(TEXTSPLIT(DA222,",")))),IF(DC222="",TRUE,IF(input_event_type="",TRUE,SUMPRODUCT(--ISNUMBER(SEARCH(","&amp;TRIM(TEXTSPLIT(DC222,","))&amp;",",","&amp;SUBSTITUTE(input_event_type," ","")&amp;",")))=0)),IF(DE222="",TRUE,IF(input_event_type="",FALSE,SUMPRODUCT(--ISNUMBER(SEARCH(","&amp;TRIM(TEXTSPLIT(DE222,","))&amp;",",","&amp;SUBSTITUTE(input_event_type," ","")&amp;",")))&gt;0)),IF(DG222="",TRUE,IF(input_event_type="",FALSE,SUMPRODUCT(--ISNUMBER(SEARCH(","&amp;TRIM(TEXTSPLIT(DG222,","))&amp;",",","&amp;SUBSTITUTE(input_event_type," ","")&amp;",")))=COUNTA(TEXTSPLIT(DG222,",")))))</f>
        <v/>
      </c>
      <c r="JD222" s="19">
        <f>AND(IF(DI222="",TRUE,IF(input_executive_education_focus="",FALSE,SUMPRODUCT(--ISNUMBER(SEARCH(","&amp;TRIM(TEXTSPLIT(DI222,","))&amp;",",","&amp;SUBSTITUTE(input_executive_education_focus," ","")&amp;",")))&gt;0)),IF(DK222="",TRUE,IF(input_executive_education_focus="",FALSE,SUMPRODUCT(--ISNUMBER(SEARCH(","&amp;TRIM(TEXTSPLIT(DK222,","))&amp;",",","&amp;SUBSTITUTE(input_executive_education_focus," ","")&amp;",")))=COUNTA(TEXTSPLIT(DK222,",")))),IF(DM222="",TRUE,IF(input_executive_education_focus="",TRUE,SUMPRODUCT(--ISNUMBER(SEARCH(","&amp;TRIM(TEXTSPLIT(DM222,","))&amp;",",","&amp;SUBSTITUTE(input_executive_education_focus," ","")&amp;",")))=0)),IF(DO222="",TRUE,IF(input_executive_education_focus="",FALSE,SUMPRODUCT(--ISNUMBER(SEARCH(","&amp;TRIM(TEXTSPLIT(DO222,","))&amp;",",","&amp;SUBSTITUTE(input_executive_education_focus," ","")&amp;",")))&gt;0)),IF(DQ222="",TRUE,IF(input_executive_education_focus="",FALSE,SUMPRODUCT(--ISNUMBER(SEARCH(","&amp;TRIM(TEXTSPLIT(DQ222,","))&amp;",",","&amp;SUBSTITUTE(input_executive_education_focus," ","")&amp;",")))=COUNTA(TEXTSPLIT(DQ222,",")))))</f>
        <v/>
      </c>
      <c r="JE222" s="19">
        <f>AND(IF(DS222="",TRUE,IF(input_faculty_category="",FALSE,SUMPRODUCT(--ISNUMBER(SEARCH(","&amp;TRIM(TEXTSPLIT(DS222,","))&amp;",",","&amp;SUBSTITUTE(input_faculty_category," ","")&amp;",")))&gt;0)),IF(DU222="",TRUE,IF(input_faculty_category="",FALSE,SUMPRODUCT(--ISNUMBER(SEARCH(","&amp;TRIM(TEXTSPLIT(DU222,","))&amp;",",","&amp;SUBSTITUTE(input_faculty_category," ","")&amp;",")))=COUNTA(TEXTSPLIT(DU222,",")))),IF(DW222="",TRUE,IF(input_faculty_category="",TRUE,SUMPRODUCT(--ISNUMBER(SEARCH(","&amp;TRIM(TEXTSPLIT(DW222,","))&amp;",",","&amp;SUBSTITUTE(input_faculty_category," ","")&amp;",")))=0)),IF(DY222="",TRUE,IF(input_faculty_category="",FALSE,SUMPRODUCT(--ISNUMBER(SEARCH(","&amp;TRIM(TEXTSPLIT(DY222,","))&amp;",",","&amp;SUBSTITUTE(input_faculty_category," ","")&amp;",")))&gt;0)),IF(EA222="",TRUE,IF(input_faculty_category="",FALSE,SUMPRODUCT(--ISNUMBER(SEARCH(","&amp;TRIM(TEXTSPLIT(EA222,","))&amp;",",","&amp;SUBSTITUTE(input_faculty_category," ","")&amp;",")))=COUNTA(TEXTSPLIT(EA222,",")))))</f>
        <v/>
      </c>
      <c r="JF222" s="19">
        <f>AND(IF(EC222="",TRUE,IF(input_faculty_discipline="",FALSE,SUMPRODUCT(--ISNUMBER(SEARCH(","&amp;TRIM(TEXTSPLIT(EC222,","))&amp;",",","&amp;SUBSTITUTE(input_faculty_discipline," ","")&amp;",")))&gt;0)),IF(EE222="",TRUE,IF(input_faculty_discipline="",FALSE,SUMPRODUCT(--ISNUMBER(SEARCH(","&amp;TRIM(TEXTSPLIT(EE222,","))&amp;",",","&amp;SUBSTITUTE(input_faculty_discipline," ","")&amp;",")))=COUNTA(TEXTSPLIT(EE222,",")))),IF(EG222="",TRUE,IF(input_faculty_discipline="",TRUE,SUMPRODUCT(--ISNUMBER(SEARCH(","&amp;TRIM(TEXTSPLIT(EG222,","))&amp;",",","&amp;SUBSTITUTE(input_faculty_discipline," ","")&amp;",")))=0)),IF(EI222="",TRUE,IF(input_faculty_discipline="",FALSE,SUMPRODUCT(--ISNUMBER(SEARCH(","&amp;TRIM(TEXTSPLIT(EI222,","))&amp;",",","&amp;SUBSTITUTE(input_faculty_discipline," ","")&amp;",")))&gt;0)),IF(EK222="",TRUE,IF(input_faculty_discipline="",FALSE,SUMPRODUCT(--ISNUMBER(SEARCH(","&amp;TRIM(TEXTSPLIT(EK222,","))&amp;",",","&amp;SUBSTITUTE(input_faculty_discipline," ","")&amp;",")))=COUNTA(TEXTSPLIT(EK222,",")))))</f>
        <v/>
      </c>
      <c r="JG222" s="19">
        <f>AND(IF(EM222="",TRUE,IF(input_faculty_expertise="",FALSE,SUMPRODUCT(--ISNUMBER(SEARCH(","&amp;TRIM(TEXTSPLIT(EM222,","))&amp;",",","&amp;SUBSTITUTE(input_faculty_expertise," ","")&amp;",")))&gt;0)),IF(EO222="",TRUE,IF(input_faculty_expertise="",FALSE,SUMPRODUCT(--ISNUMBER(SEARCH(","&amp;TRIM(TEXTSPLIT(EO222,","))&amp;",",","&amp;SUBSTITUTE(input_faculty_expertise," ","")&amp;",")))=COUNTA(TEXTSPLIT(EO222,",")))),IF(EQ222="",TRUE,IF(input_faculty_expertise="",TRUE,SUMPRODUCT(--ISNUMBER(SEARCH(","&amp;TRIM(TEXTSPLIT(EQ222,","))&amp;",",","&amp;SUBSTITUTE(input_faculty_expertise," ","")&amp;",")))=0)),IF(ES222="",TRUE,IF(input_faculty_expertise="",FALSE,SUMPRODUCT(--ISNUMBER(SEARCH(","&amp;TRIM(TEXTSPLIT(ES222,","))&amp;",",","&amp;SUBSTITUTE(input_faculty_expertise," ","")&amp;",")))&gt;0)),IF(EU222="",TRUE,IF(input_faculty_expertise="",FALSE,SUMPRODUCT(--ISNUMBER(SEARCH(","&amp;TRIM(TEXTSPLIT(EU222,","))&amp;",",","&amp;SUBSTITUTE(input_faculty_expertise," ","")&amp;",")))=COUNTA(TEXTSPLIT(EU222,",")))))</f>
        <v/>
      </c>
      <c r="JH222" s="19">
        <f>AND(IF(EW222="",TRUE,IF(input_global_network_school="",FALSE,SUMPRODUCT(--ISNUMBER(SEARCH(","&amp;TRIM(TEXTSPLIT(EW222,","))&amp;",",","&amp;SUBSTITUTE(input_global_network_school," ","")&amp;",")))&gt;0)),IF(EY222="",TRUE,IF(input_global_network_school="",FALSE,SUMPRODUCT(--ISNUMBER(SEARCH(","&amp;TRIM(TEXTSPLIT(EY222,","))&amp;",",","&amp;SUBSTITUTE(input_global_network_school," ","")&amp;",")))=COUNTA(TEXTSPLIT(EY222,",")))),IF(FA222="",TRUE,IF(input_global_network_school="",TRUE,SUMPRODUCT(--ISNUMBER(SEARCH(","&amp;TRIM(TEXTSPLIT(FA222,","))&amp;",",","&amp;SUBSTITUTE(input_global_network_school," ","")&amp;",")))=0)),IF(FC222="",TRUE,IF(input_global_network_school="",FALSE,SUMPRODUCT(--ISNUMBER(SEARCH(","&amp;TRIM(TEXTSPLIT(FC222,","))&amp;",",","&amp;SUBSTITUTE(input_global_network_school," ","")&amp;",")))&gt;0)),IF(FE222="",TRUE,IF(input_global_network_school="",FALSE,SUMPRODUCT(--ISNUMBER(SEARCH(","&amp;TRIM(TEXTSPLIT(FE222,","))&amp;",",","&amp;SUBSTITUTE(input_global_network_school," ","")&amp;",")))=COUNTA(TEXTSPLIT(FE222,",")))))</f>
        <v/>
      </c>
      <c r="JI222" s="19">
        <f>AND(IF(FG222="",TRUE,IF(input_industry="",FALSE,SUMPRODUCT(--ISNUMBER(SEARCH(","&amp;TRIM(TEXTSPLIT(FG222,","))&amp;",",","&amp;SUBSTITUTE(input_industry," ","")&amp;",")))&gt;0)),IF(FI222="",TRUE,IF(input_industry="",FALSE,SUMPRODUCT(--ISNUMBER(SEARCH(","&amp;TRIM(TEXTSPLIT(FI222,","))&amp;",",","&amp;SUBSTITUTE(input_industry," ","")&amp;",")))=COUNTA(TEXTSPLIT(FI222,",")))),IF(FK222="",TRUE,IF(input_industry="",TRUE,SUMPRODUCT(--ISNUMBER(SEARCH(","&amp;TRIM(TEXTSPLIT(FK222,","))&amp;",",","&amp;SUBSTITUTE(input_industry," ","")&amp;",")))=0)),IF(FM222="",TRUE,IF(input_industry="",FALSE,SUMPRODUCT(--ISNUMBER(SEARCH(","&amp;TRIM(TEXTSPLIT(FM222,","))&amp;",",","&amp;SUBSTITUTE(input_industry," ","")&amp;",")))&gt;0)),IF(FO222="",TRUE,IF(input_industry="",FALSE,SUMPRODUCT(--ISNUMBER(SEARCH(","&amp;TRIM(TEXTSPLIT(FO222,","))&amp;",",","&amp;SUBSTITUTE(input_industry," ","")&amp;",")))=COUNTA(TEXTSPLIT(FO222,",")))))</f>
        <v/>
      </c>
      <c r="JJ222" s="19">
        <f>AND(IF(FQ222="",TRUE,IF(input_location="",FALSE,SUMPRODUCT(--ISNUMBER(SEARCH(","&amp;TRIM(TEXTSPLIT(FQ222,","))&amp;",",","&amp;SUBSTITUTE(input_location," ","")&amp;",")))&gt;0)),IF(FS222="",TRUE,IF(input_location="",FALSE,SUMPRODUCT(--ISNUMBER(SEARCH(","&amp;TRIM(TEXTSPLIT(FS222,","))&amp;",",","&amp;SUBSTITUTE(input_location," ","")&amp;",")))=COUNTA(TEXTSPLIT(FS222,",")))),IF(FU222="",TRUE,IF(input_location="",TRUE,SUMPRODUCT(--ISNUMBER(SEARCH(","&amp;TRIM(TEXTSPLIT(FU222,","))&amp;",",","&amp;SUBSTITUTE(input_location," ","")&amp;",")))=0)),IF(FW222="",TRUE,IF(input_location="",FALSE,SUMPRODUCT(--ISNUMBER(SEARCH(","&amp;TRIM(TEXTSPLIT(FW222,","))&amp;",",","&amp;SUBSTITUTE(input_location," ","")&amp;",")))&gt;0)),IF(FY222="",TRUE,IF(input_location="",FALSE,SUMPRODUCT(--ISNUMBER(SEARCH(","&amp;TRIM(TEXTSPLIT(FY222,","))&amp;",",","&amp;SUBSTITUTE(input_location," ","")&amp;",")))=COUNTA(TEXTSPLIT(FY222,",")))))</f>
        <v/>
      </c>
      <c r="JK222" s="19">
        <f>AND(IF(GA222="",TRUE,IF(input_modality="",FALSE,SUMPRODUCT(--ISNUMBER(SEARCH(","&amp;TRIM(TEXTSPLIT(GA222,","))&amp;",",","&amp;SUBSTITUTE(input_modality," ","")&amp;",")))&gt;0)),IF(GC222="",TRUE,IF(input_modality="",FALSE,SUMPRODUCT(--ISNUMBER(SEARCH(","&amp;TRIM(TEXTSPLIT(GC222,","))&amp;",",","&amp;SUBSTITUTE(input_modality," ","")&amp;",")))=COUNTA(TEXTSPLIT(GC222,",")))),IF(GE222="",TRUE,IF(input_modality="",TRUE,SUMPRODUCT(--ISNUMBER(SEARCH(","&amp;TRIM(TEXTSPLIT(GE222,","))&amp;",",","&amp;SUBSTITUTE(input_modality," ","")&amp;",")))=0)),IF(GG222="",TRUE,IF(input_modality="",FALSE,SUMPRODUCT(--ISNUMBER(SEARCH(","&amp;TRIM(TEXTSPLIT(GG222,","))&amp;",",","&amp;SUBSTITUTE(input_modality," ","")&amp;",")))&gt;0)),IF(GI222="",TRUE,IF(input_modality="",FALSE,SUMPRODUCT(--ISNUMBER(SEARCH(","&amp;TRIM(TEXTSPLIT(GI222,","))&amp;",",","&amp;SUBSTITUTE(input_modality," ","")&amp;",")))=COUNTA(TEXTSPLIT(GI222,",")))))</f>
        <v/>
      </c>
      <c r="JL222" s="19">
        <f>AND(IF(GK222="",TRUE,IF(input_organizer="",FALSE,SUMPRODUCT(--ISNUMBER(SEARCH(","&amp;TRIM(TEXTSPLIT(GK222,","))&amp;",",","&amp;SUBSTITUTE(input_organizer," ","")&amp;",")))&gt;0)),IF(GM222="",TRUE,IF(input_organizer="",FALSE,SUMPRODUCT(--ISNUMBER(SEARCH(","&amp;TRIM(TEXTSPLIT(GM222,","))&amp;",",","&amp;SUBSTITUTE(input_organizer," ","")&amp;",")))=COUNTA(TEXTSPLIT(GM222,",")))),IF(GO222="",TRUE,IF(input_organizer="",TRUE,SUMPRODUCT(--ISNUMBER(SEARCH(","&amp;TRIM(TEXTSPLIT(GO222,","))&amp;",",","&amp;SUBSTITUTE(input_organizer," ","")&amp;",")))=0)),IF(GQ222="",TRUE,IF(input_organizer="",FALSE,SUMPRODUCT(--ISNUMBER(SEARCH(","&amp;TRIM(TEXTSPLIT(GQ222,","))&amp;",",","&amp;SUBSTITUTE(input_organizer," ","")&amp;",")))&gt;0)),IF(GS222="",TRUE,IF(input_organizer="",FALSE,SUMPRODUCT(--ISNUMBER(SEARCH(","&amp;TRIM(TEXTSPLIT(GS222,","))&amp;",",","&amp;SUBSTITUTE(input_organizer," ","")&amp;",")))=COUNTA(TEXTSPLIT(GS222,",")))))</f>
        <v/>
      </c>
      <c r="JM222" s="19">
        <f>AND(IF(GU222="",TRUE,IF(input_profile_type="",FALSE,SUMPRODUCT(--ISNUMBER(SEARCH(","&amp;TRIM(TEXTSPLIT(GU222,","))&amp;",",","&amp;SUBSTITUTE(input_profile_type," ","")&amp;",")))&gt;0)),IF(GW222="",TRUE,IF(input_profile_type="",FALSE,SUMPRODUCT(--ISNUMBER(SEARCH(","&amp;TRIM(TEXTSPLIT(GW222,","))&amp;",",","&amp;SUBSTITUTE(input_profile_type," ","")&amp;",")))=COUNTA(TEXTSPLIT(GW222,",")))),IF(GY222="",TRUE,IF(input_profile_type="",TRUE,SUMPRODUCT(--ISNUMBER(SEARCH(","&amp;TRIM(TEXTSPLIT(GY222,","))&amp;",",","&amp;SUBSTITUTE(input_profile_type," ","")&amp;",")))=0)),IF(HA222="",TRUE,IF(input_profile_type="",FALSE,SUMPRODUCT(--ISNUMBER(SEARCH(","&amp;TRIM(TEXTSPLIT(HA222,","))&amp;",",","&amp;SUBSTITUTE(input_profile_type," ","")&amp;",")))&gt;0)),IF(HC222="",TRUE,IF(input_profile_type="",FALSE,SUMPRODUCT(--ISNUMBER(SEARCH(","&amp;TRIM(TEXTSPLIT(HC222,","))&amp;",",","&amp;SUBSTITUTE(input_profile_type," ","")&amp;",")))=COUNTA(TEXTSPLIT(HC222,",")))))</f>
        <v/>
      </c>
      <c r="JN222" s="19">
        <f>AND(IF(HE222="",TRUE,IF(input_program="",FALSE,SUMPRODUCT(--ISNUMBER(SEARCH(","&amp;TRIM(TEXTSPLIT(HE222,","))&amp;",",","&amp;SUBSTITUTE(input_program," ","")&amp;",")))&gt;0)),IF(HG222="",TRUE,IF(input_program="",FALSE,SUMPRODUCT(--ISNUMBER(SEARCH(","&amp;TRIM(TEXTSPLIT(HG222,","))&amp;",",","&amp;SUBSTITUTE(input_program," ","")&amp;",")))=COUNTA(TEXTSPLIT(HG222,",")))),IF(HI222="",TRUE,IF(input_program="",TRUE,SUMPRODUCT(--ISNUMBER(SEARCH(","&amp;TRIM(TEXTSPLIT(HI222,","))&amp;",",","&amp;SUBSTITUTE(input_program," ","")&amp;",")))=0)),IF(HK222="",TRUE,IF(input_program="",FALSE,SUMPRODUCT(--ISNUMBER(SEARCH(","&amp;TRIM(TEXTSPLIT(HK222,","))&amp;",",","&amp;SUBSTITUTE(input_program," ","")&amp;",")))&gt;0)),IF(HM222="",TRUE,IF(input_program="",FALSE,SUMPRODUCT(--ISNUMBER(SEARCH(","&amp;TRIM(TEXTSPLIT(HM222,","))&amp;",",","&amp;SUBSTITUTE(input_program," ","")&amp;",")))=COUNTA(TEXTSPLIT(HM222,",")))))</f>
        <v/>
      </c>
      <c r="JO222" s="19">
        <f>AND(IF(HO222="",TRUE,IF(input_story_categories="",FALSE,SUMPRODUCT(--ISNUMBER(SEARCH(","&amp;TRIM(TEXTSPLIT(HO222,","))&amp;",",","&amp;SUBSTITUTE(input_story_categories," ","")&amp;",")))&gt;0)),IF(HQ222="",TRUE,IF(input_story_categories="",FALSE,SUMPRODUCT(--ISNUMBER(SEARCH(","&amp;TRIM(TEXTSPLIT(HQ222,","))&amp;",",","&amp;SUBSTITUTE(input_story_categories," ","")&amp;",")))=COUNTA(TEXTSPLIT(HQ222,",")))),IF(HS222="",TRUE,IF(input_story_categories="",TRUE,SUMPRODUCT(--ISNUMBER(SEARCH(","&amp;TRIM(TEXTSPLIT(HS222,","))&amp;",",","&amp;SUBSTITUTE(input_story_categories," ","")&amp;",")))=0)),IF(HU222="",TRUE,IF(input_story_categories="",FALSE,SUMPRODUCT(--ISNUMBER(SEARCH(","&amp;TRIM(TEXTSPLIT(HU222,","))&amp;",",","&amp;SUBSTITUTE(input_story_categories," ","")&amp;",")))&gt;0)),IF(HW222="",TRUE,IF(input_story_categories="",FALSE,SUMPRODUCT(--ISNUMBER(SEARCH(","&amp;TRIM(TEXTSPLIT(HW222,","))&amp;",",","&amp;SUBSTITUTE(input_story_categories," ","")&amp;",")))=COUNTA(TEXTSPLIT(HW222,",")))))</f>
        <v/>
      </c>
      <c r="JP222" s="19">
        <f>AND(IF(HY222="",TRUE,IF(input_story_type="",FALSE,SUMPRODUCT(--ISNUMBER(SEARCH(","&amp;TRIM(TEXTSPLIT(HY222,","))&amp;",",","&amp;SUBSTITUTE(input_story_type," ","")&amp;",")))&gt;0)),IF(IA222="",TRUE,IF(input_story_type="",FALSE,SUMPRODUCT(--ISNUMBER(SEARCH(","&amp;TRIM(TEXTSPLIT(IA222,","))&amp;",",","&amp;SUBSTITUTE(input_story_type," ","")&amp;",")))=COUNTA(TEXTSPLIT(IA222,",")))),IF(IC222="",TRUE,IF(input_story_type="",TRUE,SUMPRODUCT(--ISNUMBER(SEARCH(","&amp;TRIM(TEXTSPLIT(IC222,","))&amp;",",","&amp;SUBSTITUTE(input_story_type," ","")&amp;",")))=0)),IF(IE222="",TRUE,IF(input_story_type="",FALSE,SUMPRODUCT(--ISNUMBER(SEARCH(","&amp;TRIM(TEXTSPLIT(IE222,","))&amp;",",","&amp;SUBSTITUTE(input_story_type," ","")&amp;",")))&gt;0)),IF(IG222="",TRUE,IF(input_story_type="",FALSE,SUMPRODUCT(--ISNUMBER(SEARCH(","&amp;TRIM(TEXTSPLIT(IG222,","))&amp;",",","&amp;SUBSTITUTE(input_story_type," ","")&amp;",")))=COUNTA(TEXTSPLIT(IG222,",")))))</f>
        <v/>
      </c>
      <c r="JQ222" s="19">
        <f>AND(IF(II222="",TRUE,IF(input_topics="",FALSE,SUMPRODUCT(--ISNUMBER(SEARCH(","&amp;TRIM(TEXTSPLIT(II222,","))&amp;",",","&amp;SUBSTITUTE(input_topics," ","")&amp;",")))&gt;0)),IF(IK222="",TRUE,IF(input_topics="",FALSE,SUMPRODUCT(--ISNUMBER(SEARCH(","&amp;TRIM(TEXTSPLIT(IK222,","))&amp;",",","&amp;SUBSTITUTE(input_topics," ","")&amp;",")))=COUNTA(TEXTSPLIT(IK222,",")))),IF(IM222="",TRUE,IF(input_topics="",TRUE,SUMPRODUCT(--ISNUMBER(SEARCH(","&amp;TRIM(TEXTSPLIT(IM222,","))&amp;",",","&amp;SUBSTITUTE(input_topics," ","")&amp;",")))=0)),IF(IO222="",TRUE,IF(input_topics="",FALSE,SUMPRODUCT(--ISNUMBER(SEARCH(","&amp;TRIM(TEXTSPLIT(IO222,","))&amp;",",","&amp;SUBSTITUTE(input_topics," ","")&amp;",")))&gt;0)),IF(IQ222="",TRUE,IF(input_topics="",FALSE,SUMPRODUCT(--ISNUMBER(SEARCH(","&amp;TRIM(TEXTSPLIT(IQ222,","))&amp;",",","&amp;SUBSTITUTE(input_topics," ","")&amp;",")))=COUNTA(TEXTSPLIT(IQ222,",")))))</f>
        <v/>
      </c>
    </row>
    <row r="223">
      <c r="A223" s="24">
        <f>IF(NOT(IS223),"Excluded",IF(AND(IT223,IU223,IV223,IW223,IX223,IY223,IZ223,JA223,JB223,JC223,JD223,JE223,JF223,JG223,JH223,JI223,JJ223,JK223,JL223,JM223,JN223,JO223,JP223,JQ223),IF(I223&gt;0,"Eligible but limited","Will appear"),"Excluded"))</f>
        <v/>
      </c>
      <c r="B223" s="24" t="inlineStr">
        <is>
          <t>Related stories on story pages</t>
        </is>
      </c>
      <c r="C223" s="27" t="inlineStr">
        <is>
          <t>/story/2026/news-systemic-risk-friday-march-6-2026-945-am</t>
        </is>
      </c>
      <c r="D223" s="24" t="inlineStr">
        <is>
          <t>/story/2026/news-systemic-risk-friday-march-6-2026-945-am
/story/2026/news-systemic-risk-thursday-march-5-2026-945-am
/story/2026/news-systemic-risk-wednesday-march-4-2026-945-am</t>
        </is>
      </c>
      <c r="E223" s="24" t="n">
        <v>3</v>
      </c>
      <c r="F223" s="24" t="inlineStr">
        <is>
          <t>story</t>
        </is>
      </c>
      <c r="G223" s="24" t="inlineStr">
        <is>
          <t>stories_teaser_cards</t>
        </is>
      </c>
      <c r="H223" s="24" t="inlineStr">
        <is>
          <t>embed_all</t>
        </is>
      </c>
      <c r="I223" s="24" t="n">
        <v>3</v>
      </c>
      <c r="J223" s="31" t="inlineStr">
        <is>
          <t>Template logic</t>
        </is>
      </c>
      <c r="K223" s="24" t="inlineStr">
        <is>
          <t>Grouped surface</t>
        </is>
      </c>
      <c r="L223" s="24" t="inlineStr">
        <is>
          <t>Content type: story; Context uses Courses Context: Program on Financial Stability (955); Context uses Story Type: Blog (974); Limited to 3 item(s); Source: Template logic</t>
        </is>
      </c>
      <c r="BQ223" s="19" t="inlineStr">
        <is>
          <t>955</t>
        </is>
      </c>
      <c r="BR223" s="19" t="inlineStr">
        <is>
          <t>Program on Financial Stability (955)</t>
        </is>
      </c>
      <c r="IE223" s="19" t="inlineStr">
        <is>
          <t>974</t>
        </is>
      </c>
      <c r="IF223" s="19" t="inlineStr">
        <is>
          <t>Blog (974)</t>
        </is>
      </c>
      <c r="IS223" s="19">
        <f>IF(input_content_type="",FALSE,ISNUMBER(SEARCH(","&amp;LOWER(input_content_type)&amp;",",","&amp;LOWER(SUBSTITUTE(F223," ",""))&amp;",")))</f>
        <v/>
      </c>
      <c r="IT223" s="19">
        <f>AND(IF(M223="",TRUE,IF(input_affiliations="",FALSE,SUMPRODUCT(--ISNUMBER(SEARCH(","&amp;TRIM(TEXTSPLIT(M223,","))&amp;",",","&amp;SUBSTITUTE(input_affiliations," ","")&amp;",")))&gt;0)),IF(O223="",TRUE,IF(input_affiliations="",FALSE,SUMPRODUCT(--ISNUMBER(SEARCH(","&amp;TRIM(TEXTSPLIT(O223,","))&amp;",",","&amp;SUBSTITUTE(input_affiliations," ","")&amp;",")))=COUNTA(TEXTSPLIT(O223,",")))),IF(Q223="",TRUE,IF(input_affiliations="",TRUE,SUMPRODUCT(--ISNUMBER(SEARCH(","&amp;TRIM(TEXTSPLIT(Q223,","))&amp;",",","&amp;SUBSTITUTE(input_affiliations," ","")&amp;",")))=0)),IF(S223="",TRUE,IF(input_affiliations="",FALSE,SUMPRODUCT(--ISNUMBER(SEARCH(","&amp;TRIM(TEXTSPLIT(S223,","))&amp;",",","&amp;SUBSTITUTE(input_affiliations," ","")&amp;",")))&gt;0)),IF(U223="",TRUE,IF(input_affiliations="",FALSE,SUMPRODUCT(--ISNUMBER(SEARCH(","&amp;TRIM(TEXTSPLIT(U223,","))&amp;",",","&amp;SUBSTITUTE(input_affiliations," ","")&amp;",")))=COUNTA(TEXTSPLIT(U223,",")))))</f>
        <v/>
      </c>
      <c r="IU223" s="19">
        <f>AND(IF(W223="",TRUE,IF(input_announcement_category="",FALSE,SUMPRODUCT(--ISNUMBER(SEARCH(","&amp;TRIM(TEXTSPLIT(W223,","))&amp;",",","&amp;SUBSTITUTE(input_announcement_category," ","")&amp;",")))&gt;0)),IF(Y223="",TRUE,IF(input_announcement_category="",FALSE,SUMPRODUCT(--ISNUMBER(SEARCH(","&amp;TRIM(TEXTSPLIT(Y223,","))&amp;",",","&amp;SUBSTITUTE(input_announcement_category," ","")&amp;",")))=COUNTA(TEXTSPLIT(Y223,",")))),IF(AA223="",TRUE,IF(input_announcement_category="",TRUE,SUMPRODUCT(--ISNUMBER(SEARCH(","&amp;TRIM(TEXTSPLIT(AA223,","))&amp;",",","&amp;SUBSTITUTE(input_announcement_category," ","")&amp;",")))=0)),IF(AC223="",TRUE,IF(input_announcement_category="",FALSE,SUMPRODUCT(--ISNUMBER(SEARCH(","&amp;TRIM(TEXTSPLIT(AC223,","))&amp;",",","&amp;SUBSTITUTE(input_announcement_category," ","")&amp;",")))&gt;0)),IF(AE223="",TRUE,IF(input_announcement_category="",FALSE,SUMPRODUCT(--ISNUMBER(SEARCH(","&amp;TRIM(TEXTSPLIT(AE223,","))&amp;",",","&amp;SUBSTITUTE(input_announcement_category," ","")&amp;",")))=COUNTA(TEXTSPLIT(AE223,",")))))</f>
        <v/>
      </c>
      <c r="IV223" s="19">
        <f>AND(IF(AG223="",TRUE,IF(input_area_of_focus="",FALSE,SUMPRODUCT(--ISNUMBER(SEARCH(","&amp;TRIM(TEXTSPLIT(AG223,","))&amp;",",","&amp;SUBSTITUTE(input_area_of_focus," ","")&amp;",")))&gt;0)),IF(AI223="",TRUE,IF(input_area_of_focus="",FALSE,SUMPRODUCT(--ISNUMBER(SEARCH(","&amp;TRIM(TEXTSPLIT(AI223,","))&amp;",",","&amp;SUBSTITUTE(input_area_of_focus," ","")&amp;",")))=COUNTA(TEXTSPLIT(AI223,",")))),IF(AK223="",TRUE,IF(input_area_of_focus="",TRUE,SUMPRODUCT(--ISNUMBER(SEARCH(","&amp;TRIM(TEXTSPLIT(AK223,","))&amp;",",","&amp;SUBSTITUTE(input_area_of_focus," ","")&amp;",")))=0)),IF(AM223="",TRUE,IF(input_area_of_focus="",FALSE,SUMPRODUCT(--ISNUMBER(SEARCH(","&amp;TRIM(TEXTSPLIT(AM223,","))&amp;",",","&amp;SUBSTITUTE(input_area_of_focus," ","")&amp;",")))&gt;0)),IF(AO223="",TRUE,IF(input_area_of_focus="",FALSE,SUMPRODUCT(--ISNUMBER(SEARCH(","&amp;TRIM(TEXTSPLIT(AO223,","))&amp;",",","&amp;SUBSTITUTE(input_area_of_focus," ","")&amp;",")))=COUNTA(TEXTSPLIT(AO223,",")))))</f>
        <v/>
      </c>
      <c r="IW223" s="19">
        <f>AND(IF(AQ223="",TRUE,IF(input_audience="",FALSE,SUMPRODUCT(--ISNUMBER(SEARCH(","&amp;TRIM(TEXTSPLIT(AQ223,","))&amp;",",","&amp;SUBSTITUTE(input_audience," ","")&amp;",")))&gt;0)),IF(AS223="",TRUE,IF(input_audience="",FALSE,SUMPRODUCT(--ISNUMBER(SEARCH(","&amp;TRIM(TEXTSPLIT(AS223,","))&amp;",",","&amp;SUBSTITUTE(input_audience," ","")&amp;",")))=COUNTA(TEXTSPLIT(AS223,",")))),IF(AU223="",TRUE,IF(input_audience="",TRUE,SUMPRODUCT(--ISNUMBER(SEARCH(","&amp;TRIM(TEXTSPLIT(AU223,","))&amp;",",","&amp;SUBSTITUTE(input_audience," ","")&amp;",")))=0)),IF(AW223="",TRUE,IF(input_audience="",FALSE,SUMPRODUCT(--ISNUMBER(SEARCH(","&amp;TRIM(TEXTSPLIT(AW223,","))&amp;",",","&amp;SUBSTITUTE(input_audience," ","")&amp;",")))&gt;0)),IF(AY223="",TRUE,IF(input_audience="",FALSE,SUMPRODUCT(--ISNUMBER(SEARCH(","&amp;TRIM(TEXTSPLIT(AY223,","))&amp;",",","&amp;SUBSTITUTE(input_audience," ","")&amp;",")))=COUNTA(TEXTSPLIT(AY223,",")))))</f>
        <v/>
      </c>
      <c r="IX223" s="19">
        <f>AND(IF(BA223="",TRUE,IF(input_challenge_opportunities="",FALSE,SUMPRODUCT(--ISNUMBER(SEARCH(","&amp;TRIM(TEXTSPLIT(BA223,","))&amp;",",","&amp;SUBSTITUTE(input_challenge_opportunities," ","")&amp;",")))&gt;0)),IF(BC223="",TRUE,IF(input_challenge_opportunities="",FALSE,SUMPRODUCT(--ISNUMBER(SEARCH(","&amp;TRIM(TEXTSPLIT(BC223,","))&amp;",",","&amp;SUBSTITUTE(input_challenge_opportunities," ","")&amp;",")))=COUNTA(TEXTSPLIT(BC223,",")))),IF(BE223="",TRUE,IF(input_challenge_opportunities="",TRUE,SUMPRODUCT(--ISNUMBER(SEARCH(","&amp;TRIM(TEXTSPLIT(BE223,","))&amp;",",","&amp;SUBSTITUTE(input_challenge_opportunities," ","")&amp;",")))=0)),IF(BG223="",TRUE,IF(input_challenge_opportunities="",FALSE,SUMPRODUCT(--ISNUMBER(SEARCH(","&amp;TRIM(TEXTSPLIT(BG223,","))&amp;",",","&amp;SUBSTITUTE(input_challenge_opportunities," ","")&amp;",")))&gt;0)),IF(BI223="",TRUE,IF(input_challenge_opportunities="",FALSE,SUMPRODUCT(--ISNUMBER(SEARCH(","&amp;TRIM(TEXTSPLIT(BI223,","))&amp;",",","&amp;SUBSTITUTE(input_challenge_opportunities," ","")&amp;",")))=COUNTA(TEXTSPLIT(BI223,",")))))</f>
        <v/>
      </c>
      <c r="IY223" s="19">
        <f>AND(IF(BK223="",TRUE,IF(input_context="",FALSE,SUMPRODUCT(--ISNUMBER(SEARCH(","&amp;TRIM(TEXTSPLIT(BK223,","))&amp;",",","&amp;SUBSTITUTE(input_context," ","")&amp;",")))&gt;0)),IF(BM223="",TRUE,IF(input_context="",FALSE,SUMPRODUCT(--ISNUMBER(SEARCH(","&amp;TRIM(TEXTSPLIT(BM223,","))&amp;",",","&amp;SUBSTITUTE(input_context," ","")&amp;",")))=COUNTA(TEXTSPLIT(BM223,",")))),IF(BO223="",TRUE,IF(input_context="",TRUE,SUMPRODUCT(--ISNUMBER(SEARCH(","&amp;TRIM(TEXTSPLIT(BO223,","))&amp;",",","&amp;SUBSTITUTE(input_context," ","")&amp;",")))=0)),IF(BQ223="",TRUE,IF(input_context="",FALSE,SUMPRODUCT(--ISNUMBER(SEARCH(","&amp;TRIM(TEXTSPLIT(BQ223,","))&amp;",",","&amp;SUBSTITUTE(input_context," ","")&amp;",")))&gt;0)),IF(BS223="",TRUE,IF(input_context="",FALSE,SUMPRODUCT(--ISNUMBER(SEARCH(","&amp;TRIM(TEXTSPLIT(BS223,","))&amp;",",","&amp;SUBSTITUTE(input_context," ","")&amp;",")))=COUNTA(TEXTSPLIT(BS223,",")))))</f>
        <v/>
      </c>
      <c r="IZ223" s="19">
        <f>AND(IF(BU223="",TRUE,IF(input_enews_announcement_type="",FALSE,SUMPRODUCT(--ISNUMBER(SEARCH(","&amp;TRIM(TEXTSPLIT(BU223,","))&amp;",",","&amp;SUBSTITUTE(input_enews_announcement_type," ","")&amp;",")))&gt;0)),IF(BW223="",TRUE,IF(input_enews_announcement_type="",FALSE,SUMPRODUCT(--ISNUMBER(SEARCH(","&amp;TRIM(TEXTSPLIT(BW223,","))&amp;",",","&amp;SUBSTITUTE(input_enews_announcement_type," ","")&amp;",")))=COUNTA(TEXTSPLIT(BW223,",")))),IF(BY223="",TRUE,IF(input_enews_announcement_type="",TRUE,SUMPRODUCT(--ISNUMBER(SEARCH(","&amp;TRIM(TEXTSPLIT(BY223,","))&amp;",",","&amp;SUBSTITUTE(input_enews_announcement_type," ","")&amp;",")))=0)),IF(CA223="",TRUE,IF(input_enews_announcement_type="",FALSE,SUMPRODUCT(--ISNUMBER(SEARCH(","&amp;TRIM(TEXTSPLIT(CA223,","))&amp;",",","&amp;SUBSTITUTE(input_enews_announcement_type," ","")&amp;",")))&gt;0)),IF(CC223="",TRUE,IF(input_enews_announcement_type="",FALSE,SUMPRODUCT(--ISNUMBER(SEARCH(","&amp;TRIM(TEXTSPLIT(CC223,","))&amp;",",","&amp;SUBSTITUTE(input_enews_announcement_type," ","")&amp;",")))=COUNTA(TEXTSPLIT(CC223,",")))))</f>
        <v/>
      </c>
      <c r="JA223" s="19">
        <f>AND(IF(CE223="",TRUE,IF(input_enews_audience="",FALSE,SUMPRODUCT(--ISNUMBER(SEARCH(","&amp;TRIM(TEXTSPLIT(CE223,","))&amp;",",","&amp;SUBSTITUTE(input_enews_audience," ","")&amp;",")))&gt;0)),IF(CG223="",TRUE,IF(input_enews_audience="",FALSE,SUMPRODUCT(--ISNUMBER(SEARCH(","&amp;TRIM(TEXTSPLIT(CG223,","))&amp;",",","&amp;SUBSTITUTE(input_enews_audience," ","")&amp;",")))=COUNTA(TEXTSPLIT(CG223,",")))),IF(CI223="",TRUE,IF(input_enews_audience="",TRUE,SUMPRODUCT(--ISNUMBER(SEARCH(","&amp;TRIM(TEXTSPLIT(CI223,","))&amp;",",","&amp;SUBSTITUTE(input_enews_audience," ","")&amp;",")))=0)),IF(CK223="",TRUE,IF(input_enews_audience="",FALSE,SUMPRODUCT(--ISNUMBER(SEARCH(","&amp;TRIM(TEXTSPLIT(CK223,","))&amp;",",","&amp;SUBSTITUTE(input_enews_audience," ","")&amp;",")))&gt;0)),IF(CM223="",TRUE,IF(input_enews_audience="",FALSE,SUMPRODUCT(--ISNUMBER(SEARCH(","&amp;TRIM(TEXTSPLIT(CM223,","))&amp;",",","&amp;SUBSTITUTE(input_enews_audience," ","")&amp;",")))=COUNTA(TEXTSPLIT(CM223,",")))))</f>
        <v/>
      </c>
      <c r="JB223" s="19">
        <f>AND(IF(CO223="",TRUE,IF(input_event_location="",FALSE,SUMPRODUCT(--ISNUMBER(SEARCH(","&amp;TRIM(TEXTSPLIT(CO223,","))&amp;",",","&amp;SUBSTITUTE(input_event_location," ","")&amp;",")))&gt;0)),IF(CQ223="",TRUE,IF(input_event_location="",FALSE,SUMPRODUCT(--ISNUMBER(SEARCH(","&amp;TRIM(TEXTSPLIT(CQ223,","))&amp;",",","&amp;SUBSTITUTE(input_event_location," ","")&amp;",")))=COUNTA(TEXTSPLIT(CQ223,",")))),IF(CS223="",TRUE,IF(input_event_location="",TRUE,SUMPRODUCT(--ISNUMBER(SEARCH(","&amp;TRIM(TEXTSPLIT(CS223,","))&amp;",",","&amp;SUBSTITUTE(input_event_location," ","")&amp;",")))=0)),IF(CU223="",TRUE,IF(input_event_location="",FALSE,SUMPRODUCT(--ISNUMBER(SEARCH(","&amp;TRIM(TEXTSPLIT(CU223,","))&amp;",",","&amp;SUBSTITUTE(input_event_location," ","")&amp;",")))&gt;0)),IF(CW223="",TRUE,IF(input_event_location="",FALSE,SUMPRODUCT(--ISNUMBER(SEARCH(","&amp;TRIM(TEXTSPLIT(CW223,","))&amp;",",","&amp;SUBSTITUTE(input_event_location," ","")&amp;",")))=COUNTA(TEXTSPLIT(CW223,",")))))</f>
        <v/>
      </c>
      <c r="JC223" s="19">
        <f>AND(IF(CY223="",TRUE,IF(input_event_type="",FALSE,SUMPRODUCT(--ISNUMBER(SEARCH(","&amp;TRIM(TEXTSPLIT(CY223,","))&amp;",",","&amp;SUBSTITUTE(input_event_type," ","")&amp;",")))&gt;0)),IF(DA223="",TRUE,IF(input_event_type="",FALSE,SUMPRODUCT(--ISNUMBER(SEARCH(","&amp;TRIM(TEXTSPLIT(DA223,","))&amp;",",","&amp;SUBSTITUTE(input_event_type," ","")&amp;",")))=COUNTA(TEXTSPLIT(DA223,",")))),IF(DC223="",TRUE,IF(input_event_type="",TRUE,SUMPRODUCT(--ISNUMBER(SEARCH(","&amp;TRIM(TEXTSPLIT(DC223,","))&amp;",",","&amp;SUBSTITUTE(input_event_type," ","")&amp;",")))=0)),IF(DE223="",TRUE,IF(input_event_type="",FALSE,SUMPRODUCT(--ISNUMBER(SEARCH(","&amp;TRIM(TEXTSPLIT(DE223,","))&amp;",",","&amp;SUBSTITUTE(input_event_type," ","")&amp;",")))&gt;0)),IF(DG223="",TRUE,IF(input_event_type="",FALSE,SUMPRODUCT(--ISNUMBER(SEARCH(","&amp;TRIM(TEXTSPLIT(DG223,","))&amp;",",","&amp;SUBSTITUTE(input_event_type," ","")&amp;",")))=COUNTA(TEXTSPLIT(DG223,",")))))</f>
        <v/>
      </c>
      <c r="JD223" s="19">
        <f>AND(IF(DI223="",TRUE,IF(input_executive_education_focus="",FALSE,SUMPRODUCT(--ISNUMBER(SEARCH(","&amp;TRIM(TEXTSPLIT(DI223,","))&amp;",",","&amp;SUBSTITUTE(input_executive_education_focus," ","")&amp;",")))&gt;0)),IF(DK223="",TRUE,IF(input_executive_education_focus="",FALSE,SUMPRODUCT(--ISNUMBER(SEARCH(","&amp;TRIM(TEXTSPLIT(DK223,","))&amp;",",","&amp;SUBSTITUTE(input_executive_education_focus," ","")&amp;",")))=COUNTA(TEXTSPLIT(DK223,",")))),IF(DM223="",TRUE,IF(input_executive_education_focus="",TRUE,SUMPRODUCT(--ISNUMBER(SEARCH(","&amp;TRIM(TEXTSPLIT(DM223,","))&amp;",",","&amp;SUBSTITUTE(input_executive_education_focus," ","")&amp;",")))=0)),IF(DO223="",TRUE,IF(input_executive_education_focus="",FALSE,SUMPRODUCT(--ISNUMBER(SEARCH(","&amp;TRIM(TEXTSPLIT(DO223,","))&amp;",",","&amp;SUBSTITUTE(input_executive_education_focus," ","")&amp;",")))&gt;0)),IF(DQ223="",TRUE,IF(input_executive_education_focus="",FALSE,SUMPRODUCT(--ISNUMBER(SEARCH(","&amp;TRIM(TEXTSPLIT(DQ223,","))&amp;",",","&amp;SUBSTITUTE(input_executive_education_focus," ","")&amp;",")))=COUNTA(TEXTSPLIT(DQ223,",")))))</f>
        <v/>
      </c>
      <c r="JE223" s="19">
        <f>AND(IF(DS223="",TRUE,IF(input_faculty_category="",FALSE,SUMPRODUCT(--ISNUMBER(SEARCH(","&amp;TRIM(TEXTSPLIT(DS223,","))&amp;",",","&amp;SUBSTITUTE(input_faculty_category," ","")&amp;",")))&gt;0)),IF(DU223="",TRUE,IF(input_faculty_category="",FALSE,SUMPRODUCT(--ISNUMBER(SEARCH(","&amp;TRIM(TEXTSPLIT(DU223,","))&amp;",",","&amp;SUBSTITUTE(input_faculty_category," ","")&amp;",")))=COUNTA(TEXTSPLIT(DU223,",")))),IF(DW223="",TRUE,IF(input_faculty_category="",TRUE,SUMPRODUCT(--ISNUMBER(SEARCH(","&amp;TRIM(TEXTSPLIT(DW223,","))&amp;",",","&amp;SUBSTITUTE(input_faculty_category," ","")&amp;",")))=0)),IF(DY223="",TRUE,IF(input_faculty_category="",FALSE,SUMPRODUCT(--ISNUMBER(SEARCH(","&amp;TRIM(TEXTSPLIT(DY223,","))&amp;",",","&amp;SUBSTITUTE(input_faculty_category," ","")&amp;",")))&gt;0)),IF(EA223="",TRUE,IF(input_faculty_category="",FALSE,SUMPRODUCT(--ISNUMBER(SEARCH(","&amp;TRIM(TEXTSPLIT(EA223,","))&amp;",",","&amp;SUBSTITUTE(input_faculty_category," ","")&amp;",")))=COUNTA(TEXTSPLIT(EA223,",")))))</f>
        <v/>
      </c>
      <c r="JF223" s="19">
        <f>AND(IF(EC223="",TRUE,IF(input_faculty_discipline="",FALSE,SUMPRODUCT(--ISNUMBER(SEARCH(","&amp;TRIM(TEXTSPLIT(EC223,","))&amp;",",","&amp;SUBSTITUTE(input_faculty_discipline," ","")&amp;",")))&gt;0)),IF(EE223="",TRUE,IF(input_faculty_discipline="",FALSE,SUMPRODUCT(--ISNUMBER(SEARCH(","&amp;TRIM(TEXTSPLIT(EE223,","))&amp;",",","&amp;SUBSTITUTE(input_faculty_discipline," ","")&amp;",")))=COUNTA(TEXTSPLIT(EE223,",")))),IF(EG223="",TRUE,IF(input_faculty_discipline="",TRUE,SUMPRODUCT(--ISNUMBER(SEARCH(","&amp;TRIM(TEXTSPLIT(EG223,","))&amp;",",","&amp;SUBSTITUTE(input_faculty_discipline," ","")&amp;",")))=0)),IF(EI223="",TRUE,IF(input_faculty_discipline="",FALSE,SUMPRODUCT(--ISNUMBER(SEARCH(","&amp;TRIM(TEXTSPLIT(EI223,","))&amp;",",","&amp;SUBSTITUTE(input_faculty_discipline," ","")&amp;",")))&gt;0)),IF(EK223="",TRUE,IF(input_faculty_discipline="",FALSE,SUMPRODUCT(--ISNUMBER(SEARCH(","&amp;TRIM(TEXTSPLIT(EK223,","))&amp;",",","&amp;SUBSTITUTE(input_faculty_discipline," ","")&amp;",")))=COUNTA(TEXTSPLIT(EK223,",")))))</f>
        <v/>
      </c>
      <c r="JG223" s="19">
        <f>AND(IF(EM223="",TRUE,IF(input_faculty_expertise="",FALSE,SUMPRODUCT(--ISNUMBER(SEARCH(","&amp;TRIM(TEXTSPLIT(EM223,","))&amp;",",","&amp;SUBSTITUTE(input_faculty_expertise," ","")&amp;",")))&gt;0)),IF(EO223="",TRUE,IF(input_faculty_expertise="",FALSE,SUMPRODUCT(--ISNUMBER(SEARCH(","&amp;TRIM(TEXTSPLIT(EO223,","))&amp;",",","&amp;SUBSTITUTE(input_faculty_expertise," ","")&amp;",")))=COUNTA(TEXTSPLIT(EO223,",")))),IF(EQ223="",TRUE,IF(input_faculty_expertise="",TRUE,SUMPRODUCT(--ISNUMBER(SEARCH(","&amp;TRIM(TEXTSPLIT(EQ223,","))&amp;",",","&amp;SUBSTITUTE(input_faculty_expertise," ","")&amp;",")))=0)),IF(ES223="",TRUE,IF(input_faculty_expertise="",FALSE,SUMPRODUCT(--ISNUMBER(SEARCH(","&amp;TRIM(TEXTSPLIT(ES223,","))&amp;",",","&amp;SUBSTITUTE(input_faculty_expertise," ","")&amp;",")))&gt;0)),IF(EU223="",TRUE,IF(input_faculty_expertise="",FALSE,SUMPRODUCT(--ISNUMBER(SEARCH(","&amp;TRIM(TEXTSPLIT(EU223,","))&amp;",",","&amp;SUBSTITUTE(input_faculty_expertise," ","")&amp;",")))=COUNTA(TEXTSPLIT(EU223,",")))))</f>
        <v/>
      </c>
      <c r="JH223" s="19">
        <f>AND(IF(EW223="",TRUE,IF(input_global_network_school="",FALSE,SUMPRODUCT(--ISNUMBER(SEARCH(","&amp;TRIM(TEXTSPLIT(EW223,","))&amp;",",","&amp;SUBSTITUTE(input_global_network_school," ","")&amp;",")))&gt;0)),IF(EY223="",TRUE,IF(input_global_network_school="",FALSE,SUMPRODUCT(--ISNUMBER(SEARCH(","&amp;TRIM(TEXTSPLIT(EY223,","))&amp;",",","&amp;SUBSTITUTE(input_global_network_school," ","")&amp;",")))=COUNTA(TEXTSPLIT(EY223,",")))),IF(FA223="",TRUE,IF(input_global_network_school="",TRUE,SUMPRODUCT(--ISNUMBER(SEARCH(","&amp;TRIM(TEXTSPLIT(FA223,","))&amp;",",","&amp;SUBSTITUTE(input_global_network_school," ","")&amp;",")))=0)),IF(FC223="",TRUE,IF(input_global_network_school="",FALSE,SUMPRODUCT(--ISNUMBER(SEARCH(","&amp;TRIM(TEXTSPLIT(FC223,","))&amp;",",","&amp;SUBSTITUTE(input_global_network_school," ","")&amp;",")))&gt;0)),IF(FE223="",TRUE,IF(input_global_network_school="",FALSE,SUMPRODUCT(--ISNUMBER(SEARCH(","&amp;TRIM(TEXTSPLIT(FE223,","))&amp;",",","&amp;SUBSTITUTE(input_global_network_school," ","")&amp;",")))=COUNTA(TEXTSPLIT(FE223,",")))))</f>
        <v/>
      </c>
      <c r="JI223" s="19">
        <f>AND(IF(FG223="",TRUE,IF(input_industry="",FALSE,SUMPRODUCT(--ISNUMBER(SEARCH(","&amp;TRIM(TEXTSPLIT(FG223,","))&amp;",",","&amp;SUBSTITUTE(input_industry," ","")&amp;",")))&gt;0)),IF(FI223="",TRUE,IF(input_industry="",FALSE,SUMPRODUCT(--ISNUMBER(SEARCH(","&amp;TRIM(TEXTSPLIT(FI223,","))&amp;",",","&amp;SUBSTITUTE(input_industry," ","")&amp;",")))=COUNTA(TEXTSPLIT(FI223,",")))),IF(FK223="",TRUE,IF(input_industry="",TRUE,SUMPRODUCT(--ISNUMBER(SEARCH(","&amp;TRIM(TEXTSPLIT(FK223,","))&amp;",",","&amp;SUBSTITUTE(input_industry," ","")&amp;",")))=0)),IF(FM223="",TRUE,IF(input_industry="",FALSE,SUMPRODUCT(--ISNUMBER(SEARCH(","&amp;TRIM(TEXTSPLIT(FM223,","))&amp;",",","&amp;SUBSTITUTE(input_industry," ","")&amp;",")))&gt;0)),IF(FO223="",TRUE,IF(input_industry="",FALSE,SUMPRODUCT(--ISNUMBER(SEARCH(","&amp;TRIM(TEXTSPLIT(FO223,","))&amp;",",","&amp;SUBSTITUTE(input_industry," ","")&amp;",")))=COUNTA(TEXTSPLIT(FO223,",")))))</f>
        <v/>
      </c>
      <c r="JJ223" s="19">
        <f>AND(IF(FQ223="",TRUE,IF(input_location="",FALSE,SUMPRODUCT(--ISNUMBER(SEARCH(","&amp;TRIM(TEXTSPLIT(FQ223,","))&amp;",",","&amp;SUBSTITUTE(input_location," ","")&amp;",")))&gt;0)),IF(FS223="",TRUE,IF(input_location="",FALSE,SUMPRODUCT(--ISNUMBER(SEARCH(","&amp;TRIM(TEXTSPLIT(FS223,","))&amp;",",","&amp;SUBSTITUTE(input_location," ","")&amp;",")))=COUNTA(TEXTSPLIT(FS223,",")))),IF(FU223="",TRUE,IF(input_location="",TRUE,SUMPRODUCT(--ISNUMBER(SEARCH(","&amp;TRIM(TEXTSPLIT(FU223,","))&amp;",",","&amp;SUBSTITUTE(input_location," ","")&amp;",")))=0)),IF(FW223="",TRUE,IF(input_location="",FALSE,SUMPRODUCT(--ISNUMBER(SEARCH(","&amp;TRIM(TEXTSPLIT(FW223,","))&amp;",",","&amp;SUBSTITUTE(input_location," ","")&amp;",")))&gt;0)),IF(FY223="",TRUE,IF(input_location="",FALSE,SUMPRODUCT(--ISNUMBER(SEARCH(","&amp;TRIM(TEXTSPLIT(FY223,","))&amp;",",","&amp;SUBSTITUTE(input_location," ","")&amp;",")))=COUNTA(TEXTSPLIT(FY223,",")))))</f>
        <v/>
      </c>
      <c r="JK223" s="19">
        <f>AND(IF(GA223="",TRUE,IF(input_modality="",FALSE,SUMPRODUCT(--ISNUMBER(SEARCH(","&amp;TRIM(TEXTSPLIT(GA223,","))&amp;",",","&amp;SUBSTITUTE(input_modality," ","")&amp;",")))&gt;0)),IF(GC223="",TRUE,IF(input_modality="",FALSE,SUMPRODUCT(--ISNUMBER(SEARCH(","&amp;TRIM(TEXTSPLIT(GC223,","))&amp;",",","&amp;SUBSTITUTE(input_modality," ","")&amp;",")))=COUNTA(TEXTSPLIT(GC223,",")))),IF(GE223="",TRUE,IF(input_modality="",TRUE,SUMPRODUCT(--ISNUMBER(SEARCH(","&amp;TRIM(TEXTSPLIT(GE223,","))&amp;",",","&amp;SUBSTITUTE(input_modality," ","")&amp;",")))=0)),IF(GG223="",TRUE,IF(input_modality="",FALSE,SUMPRODUCT(--ISNUMBER(SEARCH(","&amp;TRIM(TEXTSPLIT(GG223,","))&amp;",",","&amp;SUBSTITUTE(input_modality," ","")&amp;",")))&gt;0)),IF(GI223="",TRUE,IF(input_modality="",FALSE,SUMPRODUCT(--ISNUMBER(SEARCH(","&amp;TRIM(TEXTSPLIT(GI223,","))&amp;",",","&amp;SUBSTITUTE(input_modality," ","")&amp;",")))=COUNTA(TEXTSPLIT(GI223,",")))))</f>
        <v/>
      </c>
      <c r="JL223" s="19">
        <f>AND(IF(GK223="",TRUE,IF(input_organizer="",FALSE,SUMPRODUCT(--ISNUMBER(SEARCH(","&amp;TRIM(TEXTSPLIT(GK223,","))&amp;",",","&amp;SUBSTITUTE(input_organizer," ","")&amp;",")))&gt;0)),IF(GM223="",TRUE,IF(input_organizer="",FALSE,SUMPRODUCT(--ISNUMBER(SEARCH(","&amp;TRIM(TEXTSPLIT(GM223,","))&amp;",",","&amp;SUBSTITUTE(input_organizer," ","")&amp;",")))=COUNTA(TEXTSPLIT(GM223,",")))),IF(GO223="",TRUE,IF(input_organizer="",TRUE,SUMPRODUCT(--ISNUMBER(SEARCH(","&amp;TRIM(TEXTSPLIT(GO223,","))&amp;",",","&amp;SUBSTITUTE(input_organizer," ","")&amp;",")))=0)),IF(GQ223="",TRUE,IF(input_organizer="",FALSE,SUMPRODUCT(--ISNUMBER(SEARCH(","&amp;TRIM(TEXTSPLIT(GQ223,","))&amp;",",","&amp;SUBSTITUTE(input_organizer," ","")&amp;",")))&gt;0)),IF(GS223="",TRUE,IF(input_organizer="",FALSE,SUMPRODUCT(--ISNUMBER(SEARCH(","&amp;TRIM(TEXTSPLIT(GS223,","))&amp;",",","&amp;SUBSTITUTE(input_organizer," ","")&amp;",")))=COUNTA(TEXTSPLIT(GS223,",")))))</f>
        <v/>
      </c>
      <c r="JM223" s="19">
        <f>AND(IF(GU223="",TRUE,IF(input_profile_type="",FALSE,SUMPRODUCT(--ISNUMBER(SEARCH(","&amp;TRIM(TEXTSPLIT(GU223,","))&amp;",",","&amp;SUBSTITUTE(input_profile_type," ","")&amp;",")))&gt;0)),IF(GW223="",TRUE,IF(input_profile_type="",FALSE,SUMPRODUCT(--ISNUMBER(SEARCH(","&amp;TRIM(TEXTSPLIT(GW223,","))&amp;",",","&amp;SUBSTITUTE(input_profile_type," ","")&amp;",")))=COUNTA(TEXTSPLIT(GW223,",")))),IF(GY223="",TRUE,IF(input_profile_type="",TRUE,SUMPRODUCT(--ISNUMBER(SEARCH(","&amp;TRIM(TEXTSPLIT(GY223,","))&amp;",",","&amp;SUBSTITUTE(input_profile_type," ","")&amp;",")))=0)),IF(HA223="",TRUE,IF(input_profile_type="",FALSE,SUMPRODUCT(--ISNUMBER(SEARCH(","&amp;TRIM(TEXTSPLIT(HA223,","))&amp;",",","&amp;SUBSTITUTE(input_profile_type," ","")&amp;",")))&gt;0)),IF(HC223="",TRUE,IF(input_profile_type="",FALSE,SUMPRODUCT(--ISNUMBER(SEARCH(","&amp;TRIM(TEXTSPLIT(HC223,","))&amp;",",","&amp;SUBSTITUTE(input_profile_type," ","")&amp;",")))=COUNTA(TEXTSPLIT(HC223,",")))))</f>
        <v/>
      </c>
      <c r="JN223" s="19">
        <f>AND(IF(HE223="",TRUE,IF(input_program="",FALSE,SUMPRODUCT(--ISNUMBER(SEARCH(","&amp;TRIM(TEXTSPLIT(HE223,","))&amp;",",","&amp;SUBSTITUTE(input_program," ","")&amp;",")))&gt;0)),IF(HG223="",TRUE,IF(input_program="",FALSE,SUMPRODUCT(--ISNUMBER(SEARCH(","&amp;TRIM(TEXTSPLIT(HG223,","))&amp;",",","&amp;SUBSTITUTE(input_program," ","")&amp;",")))=COUNTA(TEXTSPLIT(HG223,",")))),IF(HI223="",TRUE,IF(input_program="",TRUE,SUMPRODUCT(--ISNUMBER(SEARCH(","&amp;TRIM(TEXTSPLIT(HI223,","))&amp;",",","&amp;SUBSTITUTE(input_program," ","")&amp;",")))=0)),IF(HK223="",TRUE,IF(input_program="",FALSE,SUMPRODUCT(--ISNUMBER(SEARCH(","&amp;TRIM(TEXTSPLIT(HK223,","))&amp;",",","&amp;SUBSTITUTE(input_program," ","")&amp;",")))&gt;0)),IF(HM223="",TRUE,IF(input_program="",FALSE,SUMPRODUCT(--ISNUMBER(SEARCH(","&amp;TRIM(TEXTSPLIT(HM223,","))&amp;",",","&amp;SUBSTITUTE(input_program," ","")&amp;",")))=COUNTA(TEXTSPLIT(HM223,",")))))</f>
        <v/>
      </c>
      <c r="JO223" s="19">
        <f>AND(IF(HO223="",TRUE,IF(input_story_categories="",FALSE,SUMPRODUCT(--ISNUMBER(SEARCH(","&amp;TRIM(TEXTSPLIT(HO223,","))&amp;",",","&amp;SUBSTITUTE(input_story_categories," ","")&amp;",")))&gt;0)),IF(HQ223="",TRUE,IF(input_story_categories="",FALSE,SUMPRODUCT(--ISNUMBER(SEARCH(","&amp;TRIM(TEXTSPLIT(HQ223,","))&amp;",",","&amp;SUBSTITUTE(input_story_categories," ","")&amp;",")))=COUNTA(TEXTSPLIT(HQ223,",")))),IF(HS223="",TRUE,IF(input_story_categories="",TRUE,SUMPRODUCT(--ISNUMBER(SEARCH(","&amp;TRIM(TEXTSPLIT(HS223,","))&amp;",",","&amp;SUBSTITUTE(input_story_categories," ","")&amp;",")))=0)),IF(HU223="",TRUE,IF(input_story_categories="",FALSE,SUMPRODUCT(--ISNUMBER(SEARCH(","&amp;TRIM(TEXTSPLIT(HU223,","))&amp;",",","&amp;SUBSTITUTE(input_story_categories," ","")&amp;",")))&gt;0)),IF(HW223="",TRUE,IF(input_story_categories="",FALSE,SUMPRODUCT(--ISNUMBER(SEARCH(","&amp;TRIM(TEXTSPLIT(HW223,","))&amp;",",","&amp;SUBSTITUTE(input_story_categories," ","")&amp;",")))=COUNTA(TEXTSPLIT(HW223,",")))))</f>
        <v/>
      </c>
      <c r="JP223" s="19">
        <f>AND(IF(HY223="",TRUE,IF(input_story_type="",FALSE,SUMPRODUCT(--ISNUMBER(SEARCH(","&amp;TRIM(TEXTSPLIT(HY223,","))&amp;",",","&amp;SUBSTITUTE(input_story_type," ","")&amp;",")))&gt;0)),IF(IA223="",TRUE,IF(input_story_type="",FALSE,SUMPRODUCT(--ISNUMBER(SEARCH(","&amp;TRIM(TEXTSPLIT(IA223,","))&amp;",",","&amp;SUBSTITUTE(input_story_type," ","")&amp;",")))=COUNTA(TEXTSPLIT(IA223,",")))),IF(IC223="",TRUE,IF(input_story_type="",TRUE,SUMPRODUCT(--ISNUMBER(SEARCH(","&amp;TRIM(TEXTSPLIT(IC223,","))&amp;",",","&amp;SUBSTITUTE(input_story_type," ","")&amp;",")))=0)),IF(IE223="",TRUE,IF(input_story_type="",FALSE,SUMPRODUCT(--ISNUMBER(SEARCH(","&amp;TRIM(TEXTSPLIT(IE223,","))&amp;",",","&amp;SUBSTITUTE(input_story_type," ","")&amp;",")))&gt;0)),IF(IG223="",TRUE,IF(input_story_type="",FALSE,SUMPRODUCT(--ISNUMBER(SEARCH(","&amp;TRIM(TEXTSPLIT(IG223,","))&amp;",",","&amp;SUBSTITUTE(input_story_type," ","")&amp;",")))=COUNTA(TEXTSPLIT(IG223,",")))))</f>
        <v/>
      </c>
      <c r="JQ223" s="19">
        <f>AND(IF(II223="",TRUE,IF(input_topics="",FALSE,SUMPRODUCT(--ISNUMBER(SEARCH(","&amp;TRIM(TEXTSPLIT(II223,","))&amp;",",","&amp;SUBSTITUTE(input_topics," ","")&amp;",")))&gt;0)),IF(IK223="",TRUE,IF(input_topics="",FALSE,SUMPRODUCT(--ISNUMBER(SEARCH(","&amp;TRIM(TEXTSPLIT(IK223,","))&amp;",",","&amp;SUBSTITUTE(input_topics," ","")&amp;",")))=COUNTA(TEXTSPLIT(IK223,",")))),IF(IM223="",TRUE,IF(input_topics="",TRUE,SUMPRODUCT(--ISNUMBER(SEARCH(","&amp;TRIM(TEXTSPLIT(IM223,","))&amp;",",","&amp;SUBSTITUTE(input_topics," ","")&amp;",")))=0)),IF(IO223="",TRUE,IF(input_topics="",FALSE,SUMPRODUCT(--ISNUMBER(SEARCH(","&amp;TRIM(TEXTSPLIT(IO223,","))&amp;",",","&amp;SUBSTITUTE(input_topics," ","")&amp;",")))&gt;0)),IF(IQ223="",TRUE,IF(input_topics="",FALSE,SUMPRODUCT(--ISNUMBER(SEARCH(","&amp;TRIM(TEXTSPLIT(IQ223,","))&amp;",",","&amp;SUBSTITUTE(input_topics," ","")&amp;",")))=COUNTA(TEXTSPLIT(IQ223,",")))))</f>
        <v/>
      </c>
    </row>
    <row r="224">
      <c r="A224" s="24">
        <f>IF(NOT(IS224),"Excluded",IF(AND(IT224,IU224,IV224,IW224,IX224,IY224,IZ224,JA224,JB224,JC224,JD224,JE224,JF224,JG224,JH224,JI224,JJ224,JK224,JL224,JM224,JN224,JO224,JP224,JQ224),IF(I224&gt;0,"Eligible but limited","Will appear"),"Excluded"))</f>
        <v/>
      </c>
      <c r="B224" s="24" t="inlineStr">
        <is>
          <t>Related stories on story pages</t>
        </is>
      </c>
      <c r="C224" s="27" t="inlineStr">
        <is>
          <t>/story/2026/yale-som-student-team-places-first-uncs-alpha-challenge</t>
        </is>
      </c>
      <c r="D224" s="24" t="inlineStr">
        <is>
          <t>/story/2026/yale-som-student-team-places-first-uncs-alpha-challenge</t>
        </is>
      </c>
      <c r="E224" s="24" t="n">
        <v>1</v>
      </c>
      <c r="F224" s="24" t="inlineStr">
        <is>
          <t>story</t>
        </is>
      </c>
      <c r="G224" s="24" t="inlineStr">
        <is>
          <t>stories_teaser_cards</t>
        </is>
      </c>
      <c r="H224" s="24" t="inlineStr">
        <is>
          <t>embed_all</t>
        </is>
      </c>
      <c r="I224" s="24" t="n">
        <v>3</v>
      </c>
      <c r="J224" s="31" t="inlineStr">
        <is>
          <t>Template logic</t>
        </is>
      </c>
      <c r="K224" s="24" t="inlineStr">
        <is>
          <t>Grouped surface</t>
        </is>
      </c>
      <c r="L224" s="24" t="inlineStr">
        <is>
          <t>Content type: story; Context uses Courses Context: Master's Degree in Asset Management (930); Context uses Story Type: News (924); Limited to 3 item(s); Source: Template logic</t>
        </is>
      </c>
      <c r="BQ224" s="19" t="inlineStr">
        <is>
          <t>930</t>
        </is>
      </c>
      <c r="BR224" s="19" t="inlineStr">
        <is>
          <t>Master's Degree in Asset Management (930)</t>
        </is>
      </c>
      <c r="IE224" s="19" t="inlineStr">
        <is>
          <t>924</t>
        </is>
      </c>
      <c r="IF224" s="19" t="inlineStr">
        <is>
          <t>News (924)</t>
        </is>
      </c>
      <c r="IS224" s="19">
        <f>IF(input_content_type="",FALSE,ISNUMBER(SEARCH(","&amp;LOWER(input_content_type)&amp;",",","&amp;LOWER(SUBSTITUTE(F224," ",""))&amp;",")))</f>
        <v/>
      </c>
      <c r="IT224" s="19">
        <f>AND(IF(M224="",TRUE,IF(input_affiliations="",FALSE,SUMPRODUCT(--ISNUMBER(SEARCH(","&amp;TRIM(TEXTSPLIT(M224,","))&amp;",",","&amp;SUBSTITUTE(input_affiliations," ","")&amp;",")))&gt;0)),IF(O224="",TRUE,IF(input_affiliations="",FALSE,SUMPRODUCT(--ISNUMBER(SEARCH(","&amp;TRIM(TEXTSPLIT(O224,","))&amp;",",","&amp;SUBSTITUTE(input_affiliations," ","")&amp;",")))=COUNTA(TEXTSPLIT(O224,",")))),IF(Q224="",TRUE,IF(input_affiliations="",TRUE,SUMPRODUCT(--ISNUMBER(SEARCH(","&amp;TRIM(TEXTSPLIT(Q224,","))&amp;",",","&amp;SUBSTITUTE(input_affiliations," ","")&amp;",")))=0)),IF(S224="",TRUE,IF(input_affiliations="",FALSE,SUMPRODUCT(--ISNUMBER(SEARCH(","&amp;TRIM(TEXTSPLIT(S224,","))&amp;",",","&amp;SUBSTITUTE(input_affiliations," ","")&amp;",")))&gt;0)),IF(U224="",TRUE,IF(input_affiliations="",FALSE,SUMPRODUCT(--ISNUMBER(SEARCH(","&amp;TRIM(TEXTSPLIT(U224,","))&amp;",",","&amp;SUBSTITUTE(input_affiliations," ","")&amp;",")))=COUNTA(TEXTSPLIT(U224,",")))))</f>
        <v/>
      </c>
      <c r="IU224" s="19">
        <f>AND(IF(W224="",TRUE,IF(input_announcement_category="",FALSE,SUMPRODUCT(--ISNUMBER(SEARCH(","&amp;TRIM(TEXTSPLIT(W224,","))&amp;",",","&amp;SUBSTITUTE(input_announcement_category," ","")&amp;",")))&gt;0)),IF(Y224="",TRUE,IF(input_announcement_category="",FALSE,SUMPRODUCT(--ISNUMBER(SEARCH(","&amp;TRIM(TEXTSPLIT(Y224,","))&amp;",",","&amp;SUBSTITUTE(input_announcement_category," ","")&amp;",")))=COUNTA(TEXTSPLIT(Y224,",")))),IF(AA224="",TRUE,IF(input_announcement_category="",TRUE,SUMPRODUCT(--ISNUMBER(SEARCH(","&amp;TRIM(TEXTSPLIT(AA224,","))&amp;",",","&amp;SUBSTITUTE(input_announcement_category," ","")&amp;",")))=0)),IF(AC224="",TRUE,IF(input_announcement_category="",FALSE,SUMPRODUCT(--ISNUMBER(SEARCH(","&amp;TRIM(TEXTSPLIT(AC224,","))&amp;",",","&amp;SUBSTITUTE(input_announcement_category," ","")&amp;",")))&gt;0)),IF(AE224="",TRUE,IF(input_announcement_category="",FALSE,SUMPRODUCT(--ISNUMBER(SEARCH(","&amp;TRIM(TEXTSPLIT(AE224,","))&amp;",",","&amp;SUBSTITUTE(input_announcement_category," ","")&amp;",")))=COUNTA(TEXTSPLIT(AE224,",")))))</f>
        <v/>
      </c>
      <c r="IV224" s="19">
        <f>AND(IF(AG224="",TRUE,IF(input_area_of_focus="",FALSE,SUMPRODUCT(--ISNUMBER(SEARCH(","&amp;TRIM(TEXTSPLIT(AG224,","))&amp;",",","&amp;SUBSTITUTE(input_area_of_focus," ","")&amp;",")))&gt;0)),IF(AI224="",TRUE,IF(input_area_of_focus="",FALSE,SUMPRODUCT(--ISNUMBER(SEARCH(","&amp;TRIM(TEXTSPLIT(AI224,","))&amp;",",","&amp;SUBSTITUTE(input_area_of_focus," ","")&amp;",")))=COUNTA(TEXTSPLIT(AI224,",")))),IF(AK224="",TRUE,IF(input_area_of_focus="",TRUE,SUMPRODUCT(--ISNUMBER(SEARCH(","&amp;TRIM(TEXTSPLIT(AK224,","))&amp;",",","&amp;SUBSTITUTE(input_area_of_focus," ","")&amp;",")))=0)),IF(AM224="",TRUE,IF(input_area_of_focus="",FALSE,SUMPRODUCT(--ISNUMBER(SEARCH(","&amp;TRIM(TEXTSPLIT(AM224,","))&amp;",",","&amp;SUBSTITUTE(input_area_of_focus," ","")&amp;",")))&gt;0)),IF(AO224="",TRUE,IF(input_area_of_focus="",FALSE,SUMPRODUCT(--ISNUMBER(SEARCH(","&amp;TRIM(TEXTSPLIT(AO224,","))&amp;",",","&amp;SUBSTITUTE(input_area_of_focus," ","")&amp;",")))=COUNTA(TEXTSPLIT(AO224,",")))))</f>
        <v/>
      </c>
      <c r="IW224" s="19">
        <f>AND(IF(AQ224="",TRUE,IF(input_audience="",FALSE,SUMPRODUCT(--ISNUMBER(SEARCH(","&amp;TRIM(TEXTSPLIT(AQ224,","))&amp;",",","&amp;SUBSTITUTE(input_audience," ","")&amp;",")))&gt;0)),IF(AS224="",TRUE,IF(input_audience="",FALSE,SUMPRODUCT(--ISNUMBER(SEARCH(","&amp;TRIM(TEXTSPLIT(AS224,","))&amp;",",","&amp;SUBSTITUTE(input_audience," ","")&amp;",")))=COUNTA(TEXTSPLIT(AS224,",")))),IF(AU224="",TRUE,IF(input_audience="",TRUE,SUMPRODUCT(--ISNUMBER(SEARCH(","&amp;TRIM(TEXTSPLIT(AU224,","))&amp;",",","&amp;SUBSTITUTE(input_audience," ","")&amp;",")))=0)),IF(AW224="",TRUE,IF(input_audience="",FALSE,SUMPRODUCT(--ISNUMBER(SEARCH(","&amp;TRIM(TEXTSPLIT(AW224,","))&amp;",",","&amp;SUBSTITUTE(input_audience," ","")&amp;",")))&gt;0)),IF(AY224="",TRUE,IF(input_audience="",FALSE,SUMPRODUCT(--ISNUMBER(SEARCH(","&amp;TRIM(TEXTSPLIT(AY224,","))&amp;",",","&amp;SUBSTITUTE(input_audience," ","")&amp;",")))=COUNTA(TEXTSPLIT(AY224,",")))))</f>
        <v/>
      </c>
      <c r="IX224" s="19">
        <f>AND(IF(BA224="",TRUE,IF(input_challenge_opportunities="",FALSE,SUMPRODUCT(--ISNUMBER(SEARCH(","&amp;TRIM(TEXTSPLIT(BA224,","))&amp;",",","&amp;SUBSTITUTE(input_challenge_opportunities," ","")&amp;",")))&gt;0)),IF(BC224="",TRUE,IF(input_challenge_opportunities="",FALSE,SUMPRODUCT(--ISNUMBER(SEARCH(","&amp;TRIM(TEXTSPLIT(BC224,","))&amp;",",","&amp;SUBSTITUTE(input_challenge_opportunities," ","")&amp;",")))=COUNTA(TEXTSPLIT(BC224,",")))),IF(BE224="",TRUE,IF(input_challenge_opportunities="",TRUE,SUMPRODUCT(--ISNUMBER(SEARCH(","&amp;TRIM(TEXTSPLIT(BE224,","))&amp;",",","&amp;SUBSTITUTE(input_challenge_opportunities," ","")&amp;",")))=0)),IF(BG224="",TRUE,IF(input_challenge_opportunities="",FALSE,SUMPRODUCT(--ISNUMBER(SEARCH(","&amp;TRIM(TEXTSPLIT(BG224,","))&amp;",",","&amp;SUBSTITUTE(input_challenge_opportunities," ","")&amp;",")))&gt;0)),IF(BI224="",TRUE,IF(input_challenge_opportunities="",FALSE,SUMPRODUCT(--ISNUMBER(SEARCH(","&amp;TRIM(TEXTSPLIT(BI224,","))&amp;",",","&amp;SUBSTITUTE(input_challenge_opportunities," ","")&amp;",")))=COUNTA(TEXTSPLIT(BI224,",")))))</f>
        <v/>
      </c>
      <c r="IY224" s="19">
        <f>AND(IF(BK224="",TRUE,IF(input_context="",FALSE,SUMPRODUCT(--ISNUMBER(SEARCH(","&amp;TRIM(TEXTSPLIT(BK224,","))&amp;",",","&amp;SUBSTITUTE(input_context," ","")&amp;",")))&gt;0)),IF(BM224="",TRUE,IF(input_context="",FALSE,SUMPRODUCT(--ISNUMBER(SEARCH(","&amp;TRIM(TEXTSPLIT(BM224,","))&amp;",",","&amp;SUBSTITUTE(input_context," ","")&amp;",")))=COUNTA(TEXTSPLIT(BM224,",")))),IF(BO224="",TRUE,IF(input_context="",TRUE,SUMPRODUCT(--ISNUMBER(SEARCH(","&amp;TRIM(TEXTSPLIT(BO224,","))&amp;",",","&amp;SUBSTITUTE(input_context," ","")&amp;",")))=0)),IF(BQ224="",TRUE,IF(input_context="",FALSE,SUMPRODUCT(--ISNUMBER(SEARCH(","&amp;TRIM(TEXTSPLIT(BQ224,","))&amp;",",","&amp;SUBSTITUTE(input_context," ","")&amp;",")))&gt;0)),IF(BS224="",TRUE,IF(input_context="",FALSE,SUMPRODUCT(--ISNUMBER(SEARCH(","&amp;TRIM(TEXTSPLIT(BS224,","))&amp;",",","&amp;SUBSTITUTE(input_context," ","")&amp;",")))=COUNTA(TEXTSPLIT(BS224,",")))))</f>
        <v/>
      </c>
      <c r="IZ224" s="19">
        <f>AND(IF(BU224="",TRUE,IF(input_enews_announcement_type="",FALSE,SUMPRODUCT(--ISNUMBER(SEARCH(","&amp;TRIM(TEXTSPLIT(BU224,","))&amp;",",","&amp;SUBSTITUTE(input_enews_announcement_type," ","")&amp;",")))&gt;0)),IF(BW224="",TRUE,IF(input_enews_announcement_type="",FALSE,SUMPRODUCT(--ISNUMBER(SEARCH(","&amp;TRIM(TEXTSPLIT(BW224,","))&amp;",",","&amp;SUBSTITUTE(input_enews_announcement_type," ","")&amp;",")))=COUNTA(TEXTSPLIT(BW224,",")))),IF(BY224="",TRUE,IF(input_enews_announcement_type="",TRUE,SUMPRODUCT(--ISNUMBER(SEARCH(","&amp;TRIM(TEXTSPLIT(BY224,","))&amp;",",","&amp;SUBSTITUTE(input_enews_announcement_type," ","")&amp;",")))=0)),IF(CA224="",TRUE,IF(input_enews_announcement_type="",FALSE,SUMPRODUCT(--ISNUMBER(SEARCH(","&amp;TRIM(TEXTSPLIT(CA224,","))&amp;",",","&amp;SUBSTITUTE(input_enews_announcement_type," ","")&amp;",")))&gt;0)),IF(CC224="",TRUE,IF(input_enews_announcement_type="",FALSE,SUMPRODUCT(--ISNUMBER(SEARCH(","&amp;TRIM(TEXTSPLIT(CC224,","))&amp;",",","&amp;SUBSTITUTE(input_enews_announcement_type," ","")&amp;",")))=COUNTA(TEXTSPLIT(CC224,",")))))</f>
        <v/>
      </c>
      <c r="JA224" s="19">
        <f>AND(IF(CE224="",TRUE,IF(input_enews_audience="",FALSE,SUMPRODUCT(--ISNUMBER(SEARCH(","&amp;TRIM(TEXTSPLIT(CE224,","))&amp;",",","&amp;SUBSTITUTE(input_enews_audience," ","")&amp;",")))&gt;0)),IF(CG224="",TRUE,IF(input_enews_audience="",FALSE,SUMPRODUCT(--ISNUMBER(SEARCH(","&amp;TRIM(TEXTSPLIT(CG224,","))&amp;",",","&amp;SUBSTITUTE(input_enews_audience," ","")&amp;",")))=COUNTA(TEXTSPLIT(CG224,",")))),IF(CI224="",TRUE,IF(input_enews_audience="",TRUE,SUMPRODUCT(--ISNUMBER(SEARCH(","&amp;TRIM(TEXTSPLIT(CI224,","))&amp;",",","&amp;SUBSTITUTE(input_enews_audience," ","")&amp;",")))=0)),IF(CK224="",TRUE,IF(input_enews_audience="",FALSE,SUMPRODUCT(--ISNUMBER(SEARCH(","&amp;TRIM(TEXTSPLIT(CK224,","))&amp;",",","&amp;SUBSTITUTE(input_enews_audience," ","")&amp;",")))&gt;0)),IF(CM224="",TRUE,IF(input_enews_audience="",FALSE,SUMPRODUCT(--ISNUMBER(SEARCH(","&amp;TRIM(TEXTSPLIT(CM224,","))&amp;",",","&amp;SUBSTITUTE(input_enews_audience," ","")&amp;",")))=COUNTA(TEXTSPLIT(CM224,",")))))</f>
        <v/>
      </c>
      <c r="JB224" s="19">
        <f>AND(IF(CO224="",TRUE,IF(input_event_location="",FALSE,SUMPRODUCT(--ISNUMBER(SEARCH(","&amp;TRIM(TEXTSPLIT(CO224,","))&amp;",",","&amp;SUBSTITUTE(input_event_location," ","")&amp;",")))&gt;0)),IF(CQ224="",TRUE,IF(input_event_location="",FALSE,SUMPRODUCT(--ISNUMBER(SEARCH(","&amp;TRIM(TEXTSPLIT(CQ224,","))&amp;",",","&amp;SUBSTITUTE(input_event_location," ","")&amp;",")))=COUNTA(TEXTSPLIT(CQ224,",")))),IF(CS224="",TRUE,IF(input_event_location="",TRUE,SUMPRODUCT(--ISNUMBER(SEARCH(","&amp;TRIM(TEXTSPLIT(CS224,","))&amp;",",","&amp;SUBSTITUTE(input_event_location," ","")&amp;",")))=0)),IF(CU224="",TRUE,IF(input_event_location="",FALSE,SUMPRODUCT(--ISNUMBER(SEARCH(","&amp;TRIM(TEXTSPLIT(CU224,","))&amp;",",","&amp;SUBSTITUTE(input_event_location," ","")&amp;",")))&gt;0)),IF(CW224="",TRUE,IF(input_event_location="",FALSE,SUMPRODUCT(--ISNUMBER(SEARCH(","&amp;TRIM(TEXTSPLIT(CW224,","))&amp;",",","&amp;SUBSTITUTE(input_event_location," ","")&amp;",")))=COUNTA(TEXTSPLIT(CW224,",")))))</f>
        <v/>
      </c>
      <c r="JC224" s="19">
        <f>AND(IF(CY224="",TRUE,IF(input_event_type="",FALSE,SUMPRODUCT(--ISNUMBER(SEARCH(","&amp;TRIM(TEXTSPLIT(CY224,","))&amp;",",","&amp;SUBSTITUTE(input_event_type," ","")&amp;",")))&gt;0)),IF(DA224="",TRUE,IF(input_event_type="",FALSE,SUMPRODUCT(--ISNUMBER(SEARCH(","&amp;TRIM(TEXTSPLIT(DA224,","))&amp;",",","&amp;SUBSTITUTE(input_event_type," ","")&amp;",")))=COUNTA(TEXTSPLIT(DA224,",")))),IF(DC224="",TRUE,IF(input_event_type="",TRUE,SUMPRODUCT(--ISNUMBER(SEARCH(","&amp;TRIM(TEXTSPLIT(DC224,","))&amp;",",","&amp;SUBSTITUTE(input_event_type," ","")&amp;",")))=0)),IF(DE224="",TRUE,IF(input_event_type="",FALSE,SUMPRODUCT(--ISNUMBER(SEARCH(","&amp;TRIM(TEXTSPLIT(DE224,","))&amp;",",","&amp;SUBSTITUTE(input_event_type," ","")&amp;",")))&gt;0)),IF(DG224="",TRUE,IF(input_event_type="",FALSE,SUMPRODUCT(--ISNUMBER(SEARCH(","&amp;TRIM(TEXTSPLIT(DG224,","))&amp;",",","&amp;SUBSTITUTE(input_event_type," ","")&amp;",")))=COUNTA(TEXTSPLIT(DG224,",")))))</f>
        <v/>
      </c>
      <c r="JD224" s="19">
        <f>AND(IF(DI224="",TRUE,IF(input_executive_education_focus="",FALSE,SUMPRODUCT(--ISNUMBER(SEARCH(","&amp;TRIM(TEXTSPLIT(DI224,","))&amp;",",","&amp;SUBSTITUTE(input_executive_education_focus," ","")&amp;",")))&gt;0)),IF(DK224="",TRUE,IF(input_executive_education_focus="",FALSE,SUMPRODUCT(--ISNUMBER(SEARCH(","&amp;TRIM(TEXTSPLIT(DK224,","))&amp;",",","&amp;SUBSTITUTE(input_executive_education_focus," ","")&amp;",")))=COUNTA(TEXTSPLIT(DK224,",")))),IF(DM224="",TRUE,IF(input_executive_education_focus="",TRUE,SUMPRODUCT(--ISNUMBER(SEARCH(","&amp;TRIM(TEXTSPLIT(DM224,","))&amp;",",","&amp;SUBSTITUTE(input_executive_education_focus," ","")&amp;",")))=0)),IF(DO224="",TRUE,IF(input_executive_education_focus="",FALSE,SUMPRODUCT(--ISNUMBER(SEARCH(","&amp;TRIM(TEXTSPLIT(DO224,","))&amp;",",","&amp;SUBSTITUTE(input_executive_education_focus," ","")&amp;",")))&gt;0)),IF(DQ224="",TRUE,IF(input_executive_education_focus="",FALSE,SUMPRODUCT(--ISNUMBER(SEARCH(","&amp;TRIM(TEXTSPLIT(DQ224,","))&amp;",",","&amp;SUBSTITUTE(input_executive_education_focus," ","")&amp;",")))=COUNTA(TEXTSPLIT(DQ224,",")))))</f>
        <v/>
      </c>
      <c r="JE224" s="19">
        <f>AND(IF(DS224="",TRUE,IF(input_faculty_category="",FALSE,SUMPRODUCT(--ISNUMBER(SEARCH(","&amp;TRIM(TEXTSPLIT(DS224,","))&amp;",",","&amp;SUBSTITUTE(input_faculty_category," ","")&amp;",")))&gt;0)),IF(DU224="",TRUE,IF(input_faculty_category="",FALSE,SUMPRODUCT(--ISNUMBER(SEARCH(","&amp;TRIM(TEXTSPLIT(DU224,","))&amp;",",","&amp;SUBSTITUTE(input_faculty_category," ","")&amp;",")))=COUNTA(TEXTSPLIT(DU224,",")))),IF(DW224="",TRUE,IF(input_faculty_category="",TRUE,SUMPRODUCT(--ISNUMBER(SEARCH(","&amp;TRIM(TEXTSPLIT(DW224,","))&amp;",",","&amp;SUBSTITUTE(input_faculty_category," ","")&amp;",")))=0)),IF(DY224="",TRUE,IF(input_faculty_category="",FALSE,SUMPRODUCT(--ISNUMBER(SEARCH(","&amp;TRIM(TEXTSPLIT(DY224,","))&amp;",",","&amp;SUBSTITUTE(input_faculty_category," ","")&amp;",")))&gt;0)),IF(EA224="",TRUE,IF(input_faculty_category="",FALSE,SUMPRODUCT(--ISNUMBER(SEARCH(","&amp;TRIM(TEXTSPLIT(EA224,","))&amp;",",","&amp;SUBSTITUTE(input_faculty_category," ","")&amp;",")))=COUNTA(TEXTSPLIT(EA224,",")))))</f>
        <v/>
      </c>
      <c r="JF224" s="19">
        <f>AND(IF(EC224="",TRUE,IF(input_faculty_discipline="",FALSE,SUMPRODUCT(--ISNUMBER(SEARCH(","&amp;TRIM(TEXTSPLIT(EC224,","))&amp;",",","&amp;SUBSTITUTE(input_faculty_discipline," ","")&amp;",")))&gt;0)),IF(EE224="",TRUE,IF(input_faculty_discipline="",FALSE,SUMPRODUCT(--ISNUMBER(SEARCH(","&amp;TRIM(TEXTSPLIT(EE224,","))&amp;",",","&amp;SUBSTITUTE(input_faculty_discipline," ","")&amp;",")))=COUNTA(TEXTSPLIT(EE224,",")))),IF(EG224="",TRUE,IF(input_faculty_discipline="",TRUE,SUMPRODUCT(--ISNUMBER(SEARCH(","&amp;TRIM(TEXTSPLIT(EG224,","))&amp;",",","&amp;SUBSTITUTE(input_faculty_discipline," ","")&amp;",")))=0)),IF(EI224="",TRUE,IF(input_faculty_discipline="",FALSE,SUMPRODUCT(--ISNUMBER(SEARCH(","&amp;TRIM(TEXTSPLIT(EI224,","))&amp;",",","&amp;SUBSTITUTE(input_faculty_discipline," ","")&amp;",")))&gt;0)),IF(EK224="",TRUE,IF(input_faculty_discipline="",FALSE,SUMPRODUCT(--ISNUMBER(SEARCH(","&amp;TRIM(TEXTSPLIT(EK224,","))&amp;",",","&amp;SUBSTITUTE(input_faculty_discipline," ","")&amp;",")))=COUNTA(TEXTSPLIT(EK224,",")))))</f>
        <v/>
      </c>
      <c r="JG224" s="19">
        <f>AND(IF(EM224="",TRUE,IF(input_faculty_expertise="",FALSE,SUMPRODUCT(--ISNUMBER(SEARCH(","&amp;TRIM(TEXTSPLIT(EM224,","))&amp;",",","&amp;SUBSTITUTE(input_faculty_expertise," ","")&amp;",")))&gt;0)),IF(EO224="",TRUE,IF(input_faculty_expertise="",FALSE,SUMPRODUCT(--ISNUMBER(SEARCH(","&amp;TRIM(TEXTSPLIT(EO224,","))&amp;",",","&amp;SUBSTITUTE(input_faculty_expertise," ","")&amp;",")))=COUNTA(TEXTSPLIT(EO224,",")))),IF(EQ224="",TRUE,IF(input_faculty_expertise="",TRUE,SUMPRODUCT(--ISNUMBER(SEARCH(","&amp;TRIM(TEXTSPLIT(EQ224,","))&amp;",",","&amp;SUBSTITUTE(input_faculty_expertise," ","")&amp;",")))=0)),IF(ES224="",TRUE,IF(input_faculty_expertise="",FALSE,SUMPRODUCT(--ISNUMBER(SEARCH(","&amp;TRIM(TEXTSPLIT(ES224,","))&amp;",",","&amp;SUBSTITUTE(input_faculty_expertise," ","")&amp;",")))&gt;0)),IF(EU224="",TRUE,IF(input_faculty_expertise="",FALSE,SUMPRODUCT(--ISNUMBER(SEARCH(","&amp;TRIM(TEXTSPLIT(EU224,","))&amp;",",","&amp;SUBSTITUTE(input_faculty_expertise," ","")&amp;",")))=COUNTA(TEXTSPLIT(EU224,",")))))</f>
        <v/>
      </c>
      <c r="JH224" s="19">
        <f>AND(IF(EW224="",TRUE,IF(input_global_network_school="",FALSE,SUMPRODUCT(--ISNUMBER(SEARCH(","&amp;TRIM(TEXTSPLIT(EW224,","))&amp;",",","&amp;SUBSTITUTE(input_global_network_school," ","")&amp;",")))&gt;0)),IF(EY224="",TRUE,IF(input_global_network_school="",FALSE,SUMPRODUCT(--ISNUMBER(SEARCH(","&amp;TRIM(TEXTSPLIT(EY224,","))&amp;",",","&amp;SUBSTITUTE(input_global_network_school," ","")&amp;",")))=COUNTA(TEXTSPLIT(EY224,",")))),IF(FA224="",TRUE,IF(input_global_network_school="",TRUE,SUMPRODUCT(--ISNUMBER(SEARCH(","&amp;TRIM(TEXTSPLIT(FA224,","))&amp;",",","&amp;SUBSTITUTE(input_global_network_school," ","")&amp;",")))=0)),IF(FC224="",TRUE,IF(input_global_network_school="",FALSE,SUMPRODUCT(--ISNUMBER(SEARCH(","&amp;TRIM(TEXTSPLIT(FC224,","))&amp;",",","&amp;SUBSTITUTE(input_global_network_school," ","")&amp;",")))&gt;0)),IF(FE224="",TRUE,IF(input_global_network_school="",FALSE,SUMPRODUCT(--ISNUMBER(SEARCH(","&amp;TRIM(TEXTSPLIT(FE224,","))&amp;",",","&amp;SUBSTITUTE(input_global_network_school," ","")&amp;",")))=COUNTA(TEXTSPLIT(FE224,",")))))</f>
        <v/>
      </c>
      <c r="JI224" s="19">
        <f>AND(IF(FG224="",TRUE,IF(input_industry="",FALSE,SUMPRODUCT(--ISNUMBER(SEARCH(","&amp;TRIM(TEXTSPLIT(FG224,","))&amp;",",","&amp;SUBSTITUTE(input_industry," ","")&amp;",")))&gt;0)),IF(FI224="",TRUE,IF(input_industry="",FALSE,SUMPRODUCT(--ISNUMBER(SEARCH(","&amp;TRIM(TEXTSPLIT(FI224,","))&amp;",",","&amp;SUBSTITUTE(input_industry," ","")&amp;",")))=COUNTA(TEXTSPLIT(FI224,",")))),IF(FK224="",TRUE,IF(input_industry="",TRUE,SUMPRODUCT(--ISNUMBER(SEARCH(","&amp;TRIM(TEXTSPLIT(FK224,","))&amp;",",","&amp;SUBSTITUTE(input_industry," ","")&amp;",")))=0)),IF(FM224="",TRUE,IF(input_industry="",FALSE,SUMPRODUCT(--ISNUMBER(SEARCH(","&amp;TRIM(TEXTSPLIT(FM224,","))&amp;",",","&amp;SUBSTITUTE(input_industry," ","")&amp;",")))&gt;0)),IF(FO224="",TRUE,IF(input_industry="",FALSE,SUMPRODUCT(--ISNUMBER(SEARCH(","&amp;TRIM(TEXTSPLIT(FO224,","))&amp;",",","&amp;SUBSTITUTE(input_industry," ","")&amp;",")))=COUNTA(TEXTSPLIT(FO224,",")))))</f>
        <v/>
      </c>
      <c r="JJ224" s="19">
        <f>AND(IF(FQ224="",TRUE,IF(input_location="",FALSE,SUMPRODUCT(--ISNUMBER(SEARCH(","&amp;TRIM(TEXTSPLIT(FQ224,","))&amp;",",","&amp;SUBSTITUTE(input_location," ","")&amp;",")))&gt;0)),IF(FS224="",TRUE,IF(input_location="",FALSE,SUMPRODUCT(--ISNUMBER(SEARCH(","&amp;TRIM(TEXTSPLIT(FS224,","))&amp;",",","&amp;SUBSTITUTE(input_location," ","")&amp;",")))=COUNTA(TEXTSPLIT(FS224,",")))),IF(FU224="",TRUE,IF(input_location="",TRUE,SUMPRODUCT(--ISNUMBER(SEARCH(","&amp;TRIM(TEXTSPLIT(FU224,","))&amp;",",","&amp;SUBSTITUTE(input_location," ","")&amp;",")))=0)),IF(FW224="",TRUE,IF(input_location="",FALSE,SUMPRODUCT(--ISNUMBER(SEARCH(","&amp;TRIM(TEXTSPLIT(FW224,","))&amp;",",","&amp;SUBSTITUTE(input_location," ","")&amp;",")))&gt;0)),IF(FY224="",TRUE,IF(input_location="",FALSE,SUMPRODUCT(--ISNUMBER(SEARCH(","&amp;TRIM(TEXTSPLIT(FY224,","))&amp;",",","&amp;SUBSTITUTE(input_location," ","")&amp;",")))=COUNTA(TEXTSPLIT(FY224,",")))))</f>
        <v/>
      </c>
      <c r="JK224" s="19">
        <f>AND(IF(GA224="",TRUE,IF(input_modality="",FALSE,SUMPRODUCT(--ISNUMBER(SEARCH(","&amp;TRIM(TEXTSPLIT(GA224,","))&amp;",",","&amp;SUBSTITUTE(input_modality," ","")&amp;",")))&gt;0)),IF(GC224="",TRUE,IF(input_modality="",FALSE,SUMPRODUCT(--ISNUMBER(SEARCH(","&amp;TRIM(TEXTSPLIT(GC224,","))&amp;",",","&amp;SUBSTITUTE(input_modality," ","")&amp;",")))=COUNTA(TEXTSPLIT(GC224,",")))),IF(GE224="",TRUE,IF(input_modality="",TRUE,SUMPRODUCT(--ISNUMBER(SEARCH(","&amp;TRIM(TEXTSPLIT(GE224,","))&amp;",",","&amp;SUBSTITUTE(input_modality," ","")&amp;",")))=0)),IF(GG224="",TRUE,IF(input_modality="",FALSE,SUMPRODUCT(--ISNUMBER(SEARCH(","&amp;TRIM(TEXTSPLIT(GG224,","))&amp;",",","&amp;SUBSTITUTE(input_modality," ","")&amp;",")))&gt;0)),IF(GI224="",TRUE,IF(input_modality="",FALSE,SUMPRODUCT(--ISNUMBER(SEARCH(","&amp;TRIM(TEXTSPLIT(GI224,","))&amp;",",","&amp;SUBSTITUTE(input_modality," ","")&amp;",")))=COUNTA(TEXTSPLIT(GI224,",")))))</f>
        <v/>
      </c>
      <c r="JL224" s="19">
        <f>AND(IF(GK224="",TRUE,IF(input_organizer="",FALSE,SUMPRODUCT(--ISNUMBER(SEARCH(","&amp;TRIM(TEXTSPLIT(GK224,","))&amp;",",","&amp;SUBSTITUTE(input_organizer," ","")&amp;",")))&gt;0)),IF(GM224="",TRUE,IF(input_organizer="",FALSE,SUMPRODUCT(--ISNUMBER(SEARCH(","&amp;TRIM(TEXTSPLIT(GM224,","))&amp;",",","&amp;SUBSTITUTE(input_organizer," ","")&amp;",")))=COUNTA(TEXTSPLIT(GM224,",")))),IF(GO224="",TRUE,IF(input_organizer="",TRUE,SUMPRODUCT(--ISNUMBER(SEARCH(","&amp;TRIM(TEXTSPLIT(GO224,","))&amp;",",","&amp;SUBSTITUTE(input_organizer," ","")&amp;",")))=0)),IF(GQ224="",TRUE,IF(input_organizer="",FALSE,SUMPRODUCT(--ISNUMBER(SEARCH(","&amp;TRIM(TEXTSPLIT(GQ224,","))&amp;",",","&amp;SUBSTITUTE(input_organizer," ","")&amp;",")))&gt;0)),IF(GS224="",TRUE,IF(input_organizer="",FALSE,SUMPRODUCT(--ISNUMBER(SEARCH(","&amp;TRIM(TEXTSPLIT(GS224,","))&amp;",",","&amp;SUBSTITUTE(input_organizer," ","")&amp;",")))=COUNTA(TEXTSPLIT(GS224,",")))))</f>
        <v/>
      </c>
      <c r="JM224" s="19">
        <f>AND(IF(GU224="",TRUE,IF(input_profile_type="",FALSE,SUMPRODUCT(--ISNUMBER(SEARCH(","&amp;TRIM(TEXTSPLIT(GU224,","))&amp;",",","&amp;SUBSTITUTE(input_profile_type," ","")&amp;",")))&gt;0)),IF(GW224="",TRUE,IF(input_profile_type="",FALSE,SUMPRODUCT(--ISNUMBER(SEARCH(","&amp;TRIM(TEXTSPLIT(GW224,","))&amp;",",","&amp;SUBSTITUTE(input_profile_type," ","")&amp;",")))=COUNTA(TEXTSPLIT(GW224,",")))),IF(GY224="",TRUE,IF(input_profile_type="",TRUE,SUMPRODUCT(--ISNUMBER(SEARCH(","&amp;TRIM(TEXTSPLIT(GY224,","))&amp;",",","&amp;SUBSTITUTE(input_profile_type," ","")&amp;",")))=0)),IF(HA224="",TRUE,IF(input_profile_type="",FALSE,SUMPRODUCT(--ISNUMBER(SEARCH(","&amp;TRIM(TEXTSPLIT(HA224,","))&amp;",",","&amp;SUBSTITUTE(input_profile_type," ","")&amp;",")))&gt;0)),IF(HC224="",TRUE,IF(input_profile_type="",FALSE,SUMPRODUCT(--ISNUMBER(SEARCH(","&amp;TRIM(TEXTSPLIT(HC224,","))&amp;",",","&amp;SUBSTITUTE(input_profile_type," ","")&amp;",")))=COUNTA(TEXTSPLIT(HC224,",")))))</f>
        <v/>
      </c>
      <c r="JN224" s="19">
        <f>AND(IF(HE224="",TRUE,IF(input_program="",FALSE,SUMPRODUCT(--ISNUMBER(SEARCH(","&amp;TRIM(TEXTSPLIT(HE224,","))&amp;",",","&amp;SUBSTITUTE(input_program," ","")&amp;",")))&gt;0)),IF(HG224="",TRUE,IF(input_program="",FALSE,SUMPRODUCT(--ISNUMBER(SEARCH(","&amp;TRIM(TEXTSPLIT(HG224,","))&amp;",",","&amp;SUBSTITUTE(input_program," ","")&amp;",")))=COUNTA(TEXTSPLIT(HG224,",")))),IF(HI224="",TRUE,IF(input_program="",TRUE,SUMPRODUCT(--ISNUMBER(SEARCH(","&amp;TRIM(TEXTSPLIT(HI224,","))&amp;",",","&amp;SUBSTITUTE(input_program," ","")&amp;",")))=0)),IF(HK224="",TRUE,IF(input_program="",FALSE,SUMPRODUCT(--ISNUMBER(SEARCH(","&amp;TRIM(TEXTSPLIT(HK224,","))&amp;",",","&amp;SUBSTITUTE(input_program," ","")&amp;",")))&gt;0)),IF(HM224="",TRUE,IF(input_program="",FALSE,SUMPRODUCT(--ISNUMBER(SEARCH(","&amp;TRIM(TEXTSPLIT(HM224,","))&amp;",",","&amp;SUBSTITUTE(input_program," ","")&amp;",")))=COUNTA(TEXTSPLIT(HM224,",")))))</f>
        <v/>
      </c>
      <c r="JO224" s="19">
        <f>AND(IF(HO224="",TRUE,IF(input_story_categories="",FALSE,SUMPRODUCT(--ISNUMBER(SEARCH(","&amp;TRIM(TEXTSPLIT(HO224,","))&amp;",",","&amp;SUBSTITUTE(input_story_categories," ","")&amp;",")))&gt;0)),IF(HQ224="",TRUE,IF(input_story_categories="",FALSE,SUMPRODUCT(--ISNUMBER(SEARCH(","&amp;TRIM(TEXTSPLIT(HQ224,","))&amp;",",","&amp;SUBSTITUTE(input_story_categories," ","")&amp;",")))=COUNTA(TEXTSPLIT(HQ224,",")))),IF(HS224="",TRUE,IF(input_story_categories="",TRUE,SUMPRODUCT(--ISNUMBER(SEARCH(","&amp;TRIM(TEXTSPLIT(HS224,","))&amp;",",","&amp;SUBSTITUTE(input_story_categories," ","")&amp;",")))=0)),IF(HU224="",TRUE,IF(input_story_categories="",FALSE,SUMPRODUCT(--ISNUMBER(SEARCH(","&amp;TRIM(TEXTSPLIT(HU224,","))&amp;",",","&amp;SUBSTITUTE(input_story_categories," ","")&amp;",")))&gt;0)),IF(HW224="",TRUE,IF(input_story_categories="",FALSE,SUMPRODUCT(--ISNUMBER(SEARCH(","&amp;TRIM(TEXTSPLIT(HW224,","))&amp;",",","&amp;SUBSTITUTE(input_story_categories," ","")&amp;",")))=COUNTA(TEXTSPLIT(HW224,",")))))</f>
        <v/>
      </c>
      <c r="JP224" s="19">
        <f>AND(IF(HY224="",TRUE,IF(input_story_type="",FALSE,SUMPRODUCT(--ISNUMBER(SEARCH(","&amp;TRIM(TEXTSPLIT(HY224,","))&amp;",",","&amp;SUBSTITUTE(input_story_type," ","")&amp;",")))&gt;0)),IF(IA224="",TRUE,IF(input_story_type="",FALSE,SUMPRODUCT(--ISNUMBER(SEARCH(","&amp;TRIM(TEXTSPLIT(IA224,","))&amp;",",","&amp;SUBSTITUTE(input_story_type," ","")&amp;",")))=COUNTA(TEXTSPLIT(IA224,",")))),IF(IC224="",TRUE,IF(input_story_type="",TRUE,SUMPRODUCT(--ISNUMBER(SEARCH(","&amp;TRIM(TEXTSPLIT(IC224,","))&amp;",",","&amp;SUBSTITUTE(input_story_type," ","")&amp;",")))=0)),IF(IE224="",TRUE,IF(input_story_type="",FALSE,SUMPRODUCT(--ISNUMBER(SEARCH(","&amp;TRIM(TEXTSPLIT(IE224,","))&amp;",",","&amp;SUBSTITUTE(input_story_type," ","")&amp;",")))&gt;0)),IF(IG224="",TRUE,IF(input_story_type="",FALSE,SUMPRODUCT(--ISNUMBER(SEARCH(","&amp;TRIM(TEXTSPLIT(IG224,","))&amp;",",","&amp;SUBSTITUTE(input_story_type," ","")&amp;",")))=COUNTA(TEXTSPLIT(IG224,",")))))</f>
        <v/>
      </c>
      <c r="JQ224" s="19">
        <f>AND(IF(II224="",TRUE,IF(input_topics="",FALSE,SUMPRODUCT(--ISNUMBER(SEARCH(","&amp;TRIM(TEXTSPLIT(II224,","))&amp;",",","&amp;SUBSTITUTE(input_topics," ","")&amp;",")))&gt;0)),IF(IK224="",TRUE,IF(input_topics="",FALSE,SUMPRODUCT(--ISNUMBER(SEARCH(","&amp;TRIM(TEXTSPLIT(IK224,","))&amp;",",","&amp;SUBSTITUTE(input_topics," ","")&amp;",")))=COUNTA(TEXTSPLIT(IK224,",")))),IF(IM224="",TRUE,IF(input_topics="",TRUE,SUMPRODUCT(--ISNUMBER(SEARCH(","&amp;TRIM(TEXTSPLIT(IM224,","))&amp;",",","&amp;SUBSTITUTE(input_topics," ","")&amp;",")))=0)),IF(IO224="",TRUE,IF(input_topics="",FALSE,SUMPRODUCT(--ISNUMBER(SEARCH(","&amp;TRIM(TEXTSPLIT(IO224,","))&amp;",",","&amp;SUBSTITUTE(input_topics," ","")&amp;",")))&gt;0)),IF(IQ224="",TRUE,IF(input_topics="",FALSE,SUMPRODUCT(--ISNUMBER(SEARCH(","&amp;TRIM(TEXTSPLIT(IQ224,","))&amp;",",","&amp;SUBSTITUTE(input_topics," ","")&amp;",")))=COUNTA(TEXTSPLIT(IQ224,",")))))</f>
        <v/>
      </c>
    </row>
    <row r="225">
      <c r="A225" s="24">
        <f>IF(NOT(IS225),"Excluded",IF(AND(IT225,IU225,IV225,IW225,IX225,IY225,IZ225,JA225,JB225,JC225,JD225,JE225,JF225,JG225,JH225,JI225,JJ225,JK225,JL225,JM225,JN225,JO225,JP225,JQ225),IF(I225&gt;0,"Eligible but limited","Will appear"),"Excluded"))</f>
        <v/>
      </c>
      <c r="B225" s="24" t="inlineStr">
        <is>
          <t>Russia</t>
        </is>
      </c>
      <c r="C225" s="27" t="inlineStr">
        <is>
          <t>/centers/chief-executive-leadership-institute/media/russia</t>
        </is>
      </c>
      <c r="D225" s="24" t="inlineStr">
        <is>
          <t>/centers/chief-executive-leadership-institute/media/russia</t>
        </is>
      </c>
      <c r="E225" s="24" t="n">
        <v>1</v>
      </c>
      <c r="F225" s="24" t="inlineStr">
        <is>
          <t>story</t>
        </is>
      </c>
      <c r="G225" s="24" t="inlineStr">
        <is>
          <t>stories_list</t>
        </is>
      </c>
      <c r="H225" s="24" t="inlineStr">
        <is>
          <t>embed_1</t>
        </is>
      </c>
      <c r="I225" s="24" t="n">
        <v>10</v>
      </c>
      <c r="J225" s="28" t="inlineStr">
        <is>
          <t>Explicit args</t>
        </is>
      </c>
      <c r="K225" s="24" t="inlineStr">
        <is>
          <t>Page placement</t>
        </is>
      </c>
      <c r="L225" s="24" t="inlineStr">
        <is>
          <t>Content type: story; Context uses Courses Context: Russia (1358); Limited to 10 item(s); Source: Explicit args</t>
        </is>
      </c>
      <c r="BQ225" s="19" t="inlineStr">
        <is>
          <t>1358</t>
        </is>
      </c>
      <c r="BR225" s="19" t="inlineStr">
        <is>
          <t>Russia (1358)</t>
        </is>
      </c>
      <c r="IS225" s="19">
        <f>IF(input_content_type="",FALSE,ISNUMBER(SEARCH(","&amp;LOWER(input_content_type)&amp;",",","&amp;LOWER(SUBSTITUTE(F225," ",""))&amp;",")))</f>
        <v/>
      </c>
      <c r="IT225" s="19">
        <f>AND(IF(M225="",TRUE,IF(input_affiliations="",FALSE,SUMPRODUCT(--ISNUMBER(SEARCH(","&amp;TRIM(TEXTSPLIT(M225,","))&amp;",",","&amp;SUBSTITUTE(input_affiliations," ","")&amp;",")))&gt;0)),IF(O225="",TRUE,IF(input_affiliations="",FALSE,SUMPRODUCT(--ISNUMBER(SEARCH(","&amp;TRIM(TEXTSPLIT(O225,","))&amp;",",","&amp;SUBSTITUTE(input_affiliations," ","")&amp;",")))=COUNTA(TEXTSPLIT(O225,",")))),IF(Q225="",TRUE,IF(input_affiliations="",TRUE,SUMPRODUCT(--ISNUMBER(SEARCH(","&amp;TRIM(TEXTSPLIT(Q225,","))&amp;",",","&amp;SUBSTITUTE(input_affiliations," ","")&amp;",")))=0)),IF(S225="",TRUE,IF(input_affiliations="",FALSE,SUMPRODUCT(--ISNUMBER(SEARCH(","&amp;TRIM(TEXTSPLIT(S225,","))&amp;",",","&amp;SUBSTITUTE(input_affiliations," ","")&amp;",")))&gt;0)),IF(U225="",TRUE,IF(input_affiliations="",FALSE,SUMPRODUCT(--ISNUMBER(SEARCH(","&amp;TRIM(TEXTSPLIT(U225,","))&amp;",",","&amp;SUBSTITUTE(input_affiliations," ","")&amp;",")))=COUNTA(TEXTSPLIT(U225,",")))))</f>
        <v/>
      </c>
      <c r="IU225" s="19">
        <f>AND(IF(W225="",TRUE,IF(input_announcement_category="",FALSE,SUMPRODUCT(--ISNUMBER(SEARCH(","&amp;TRIM(TEXTSPLIT(W225,","))&amp;",",","&amp;SUBSTITUTE(input_announcement_category," ","")&amp;",")))&gt;0)),IF(Y225="",TRUE,IF(input_announcement_category="",FALSE,SUMPRODUCT(--ISNUMBER(SEARCH(","&amp;TRIM(TEXTSPLIT(Y225,","))&amp;",",","&amp;SUBSTITUTE(input_announcement_category," ","")&amp;",")))=COUNTA(TEXTSPLIT(Y225,",")))),IF(AA225="",TRUE,IF(input_announcement_category="",TRUE,SUMPRODUCT(--ISNUMBER(SEARCH(","&amp;TRIM(TEXTSPLIT(AA225,","))&amp;",",","&amp;SUBSTITUTE(input_announcement_category," ","")&amp;",")))=0)),IF(AC225="",TRUE,IF(input_announcement_category="",FALSE,SUMPRODUCT(--ISNUMBER(SEARCH(","&amp;TRIM(TEXTSPLIT(AC225,","))&amp;",",","&amp;SUBSTITUTE(input_announcement_category," ","")&amp;",")))&gt;0)),IF(AE225="",TRUE,IF(input_announcement_category="",FALSE,SUMPRODUCT(--ISNUMBER(SEARCH(","&amp;TRIM(TEXTSPLIT(AE225,","))&amp;",",","&amp;SUBSTITUTE(input_announcement_category," ","")&amp;",")))=COUNTA(TEXTSPLIT(AE225,",")))))</f>
        <v/>
      </c>
      <c r="IV225" s="19">
        <f>AND(IF(AG225="",TRUE,IF(input_area_of_focus="",FALSE,SUMPRODUCT(--ISNUMBER(SEARCH(","&amp;TRIM(TEXTSPLIT(AG225,","))&amp;",",","&amp;SUBSTITUTE(input_area_of_focus," ","")&amp;",")))&gt;0)),IF(AI225="",TRUE,IF(input_area_of_focus="",FALSE,SUMPRODUCT(--ISNUMBER(SEARCH(","&amp;TRIM(TEXTSPLIT(AI225,","))&amp;",",","&amp;SUBSTITUTE(input_area_of_focus," ","")&amp;",")))=COUNTA(TEXTSPLIT(AI225,",")))),IF(AK225="",TRUE,IF(input_area_of_focus="",TRUE,SUMPRODUCT(--ISNUMBER(SEARCH(","&amp;TRIM(TEXTSPLIT(AK225,","))&amp;",",","&amp;SUBSTITUTE(input_area_of_focus," ","")&amp;",")))=0)),IF(AM225="",TRUE,IF(input_area_of_focus="",FALSE,SUMPRODUCT(--ISNUMBER(SEARCH(","&amp;TRIM(TEXTSPLIT(AM225,","))&amp;",",","&amp;SUBSTITUTE(input_area_of_focus," ","")&amp;",")))&gt;0)),IF(AO225="",TRUE,IF(input_area_of_focus="",FALSE,SUMPRODUCT(--ISNUMBER(SEARCH(","&amp;TRIM(TEXTSPLIT(AO225,","))&amp;",",","&amp;SUBSTITUTE(input_area_of_focus," ","")&amp;",")))=COUNTA(TEXTSPLIT(AO225,",")))))</f>
        <v/>
      </c>
      <c r="IW225" s="19">
        <f>AND(IF(AQ225="",TRUE,IF(input_audience="",FALSE,SUMPRODUCT(--ISNUMBER(SEARCH(","&amp;TRIM(TEXTSPLIT(AQ225,","))&amp;",",","&amp;SUBSTITUTE(input_audience," ","")&amp;",")))&gt;0)),IF(AS225="",TRUE,IF(input_audience="",FALSE,SUMPRODUCT(--ISNUMBER(SEARCH(","&amp;TRIM(TEXTSPLIT(AS225,","))&amp;",",","&amp;SUBSTITUTE(input_audience," ","")&amp;",")))=COUNTA(TEXTSPLIT(AS225,",")))),IF(AU225="",TRUE,IF(input_audience="",TRUE,SUMPRODUCT(--ISNUMBER(SEARCH(","&amp;TRIM(TEXTSPLIT(AU225,","))&amp;",",","&amp;SUBSTITUTE(input_audience," ","")&amp;",")))=0)),IF(AW225="",TRUE,IF(input_audience="",FALSE,SUMPRODUCT(--ISNUMBER(SEARCH(","&amp;TRIM(TEXTSPLIT(AW225,","))&amp;",",","&amp;SUBSTITUTE(input_audience," ","")&amp;",")))&gt;0)),IF(AY225="",TRUE,IF(input_audience="",FALSE,SUMPRODUCT(--ISNUMBER(SEARCH(","&amp;TRIM(TEXTSPLIT(AY225,","))&amp;",",","&amp;SUBSTITUTE(input_audience," ","")&amp;",")))=COUNTA(TEXTSPLIT(AY225,",")))))</f>
        <v/>
      </c>
      <c r="IX225" s="19">
        <f>AND(IF(BA225="",TRUE,IF(input_challenge_opportunities="",FALSE,SUMPRODUCT(--ISNUMBER(SEARCH(","&amp;TRIM(TEXTSPLIT(BA225,","))&amp;",",","&amp;SUBSTITUTE(input_challenge_opportunities," ","")&amp;",")))&gt;0)),IF(BC225="",TRUE,IF(input_challenge_opportunities="",FALSE,SUMPRODUCT(--ISNUMBER(SEARCH(","&amp;TRIM(TEXTSPLIT(BC225,","))&amp;",",","&amp;SUBSTITUTE(input_challenge_opportunities," ","")&amp;",")))=COUNTA(TEXTSPLIT(BC225,",")))),IF(BE225="",TRUE,IF(input_challenge_opportunities="",TRUE,SUMPRODUCT(--ISNUMBER(SEARCH(","&amp;TRIM(TEXTSPLIT(BE225,","))&amp;",",","&amp;SUBSTITUTE(input_challenge_opportunities," ","")&amp;",")))=0)),IF(BG225="",TRUE,IF(input_challenge_opportunities="",FALSE,SUMPRODUCT(--ISNUMBER(SEARCH(","&amp;TRIM(TEXTSPLIT(BG225,","))&amp;",",","&amp;SUBSTITUTE(input_challenge_opportunities," ","")&amp;",")))&gt;0)),IF(BI225="",TRUE,IF(input_challenge_opportunities="",FALSE,SUMPRODUCT(--ISNUMBER(SEARCH(","&amp;TRIM(TEXTSPLIT(BI225,","))&amp;",",","&amp;SUBSTITUTE(input_challenge_opportunities," ","")&amp;",")))=COUNTA(TEXTSPLIT(BI225,",")))))</f>
        <v/>
      </c>
      <c r="IY225" s="19">
        <f>AND(IF(BK225="",TRUE,IF(input_context="",FALSE,SUMPRODUCT(--ISNUMBER(SEARCH(","&amp;TRIM(TEXTSPLIT(BK225,","))&amp;",",","&amp;SUBSTITUTE(input_context," ","")&amp;",")))&gt;0)),IF(BM225="",TRUE,IF(input_context="",FALSE,SUMPRODUCT(--ISNUMBER(SEARCH(","&amp;TRIM(TEXTSPLIT(BM225,","))&amp;",",","&amp;SUBSTITUTE(input_context," ","")&amp;",")))=COUNTA(TEXTSPLIT(BM225,",")))),IF(BO225="",TRUE,IF(input_context="",TRUE,SUMPRODUCT(--ISNUMBER(SEARCH(","&amp;TRIM(TEXTSPLIT(BO225,","))&amp;",",","&amp;SUBSTITUTE(input_context," ","")&amp;",")))=0)),IF(BQ225="",TRUE,IF(input_context="",FALSE,SUMPRODUCT(--ISNUMBER(SEARCH(","&amp;TRIM(TEXTSPLIT(BQ225,","))&amp;",",","&amp;SUBSTITUTE(input_context," ","")&amp;",")))&gt;0)),IF(BS225="",TRUE,IF(input_context="",FALSE,SUMPRODUCT(--ISNUMBER(SEARCH(","&amp;TRIM(TEXTSPLIT(BS225,","))&amp;",",","&amp;SUBSTITUTE(input_context," ","")&amp;",")))=COUNTA(TEXTSPLIT(BS225,",")))))</f>
        <v/>
      </c>
      <c r="IZ225" s="19">
        <f>AND(IF(BU225="",TRUE,IF(input_enews_announcement_type="",FALSE,SUMPRODUCT(--ISNUMBER(SEARCH(","&amp;TRIM(TEXTSPLIT(BU225,","))&amp;",",","&amp;SUBSTITUTE(input_enews_announcement_type," ","")&amp;",")))&gt;0)),IF(BW225="",TRUE,IF(input_enews_announcement_type="",FALSE,SUMPRODUCT(--ISNUMBER(SEARCH(","&amp;TRIM(TEXTSPLIT(BW225,","))&amp;",",","&amp;SUBSTITUTE(input_enews_announcement_type," ","")&amp;",")))=COUNTA(TEXTSPLIT(BW225,",")))),IF(BY225="",TRUE,IF(input_enews_announcement_type="",TRUE,SUMPRODUCT(--ISNUMBER(SEARCH(","&amp;TRIM(TEXTSPLIT(BY225,","))&amp;",",","&amp;SUBSTITUTE(input_enews_announcement_type," ","")&amp;",")))=0)),IF(CA225="",TRUE,IF(input_enews_announcement_type="",FALSE,SUMPRODUCT(--ISNUMBER(SEARCH(","&amp;TRIM(TEXTSPLIT(CA225,","))&amp;",",","&amp;SUBSTITUTE(input_enews_announcement_type," ","")&amp;",")))&gt;0)),IF(CC225="",TRUE,IF(input_enews_announcement_type="",FALSE,SUMPRODUCT(--ISNUMBER(SEARCH(","&amp;TRIM(TEXTSPLIT(CC225,","))&amp;",",","&amp;SUBSTITUTE(input_enews_announcement_type," ","")&amp;",")))=COUNTA(TEXTSPLIT(CC225,",")))))</f>
        <v/>
      </c>
      <c r="JA225" s="19">
        <f>AND(IF(CE225="",TRUE,IF(input_enews_audience="",FALSE,SUMPRODUCT(--ISNUMBER(SEARCH(","&amp;TRIM(TEXTSPLIT(CE225,","))&amp;",",","&amp;SUBSTITUTE(input_enews_audience," ","")&amp;",")))&gt;0)),IF(CG225="",TRUE,IF(input_enews_audience="",FALSE,SUMPRODUCT(--ISNUMBER(SEARCH(","&amp;TRIM(TEXTSPLIT(CG225,","))&amp;",",","&amp;SUBSTITUTE(input_enews_audience," ","")&amp;",")))=COUNTA(TEXTSPLIT(CG225,",")))),IF(CI225="",TRUE,IF(input_enews_audience="",TRUE,SUMPRODUCT(--ISNUMBER(SEARCH(","&amp;TRIM(TEXTSPLIT(CI225,","))&amp;",",","&amp;SUBSTITUTE(input_enews_audience," ","")&amp;",")))=0)),IF(CK225="",TRUE,IF(input_enews_audience="",FALSE,SUMPRODUCT(--ISNUMBER(SEARCH(","&amp;TRIM(TEXTSPLIT(CK225,","))&amp;",",","&amp;SUBSTITUTE(input_enews_audience," ","")&amp;",")))&gt;0)),IF(CM225="",TRUE,IF(input_enews_audience="",FALSE,SUMPRODUCT(--ISNUMBER(SEARCH(","&amp;TRIM(TEXTSPLIT(CM225,","))&amp;",",","&amp;SUBSTITUTE(input_enews_audience," ","")&amp;",")))=COUNTA(TEXTSPLIT(CM225,",")))))</f>
        <v/>
      </c>
      <c r="JB225" s="19">
        <f>AND(IF(CO225="",TRUE,IF(input_event_location="",FALSE,SUMPRODUCT(--ISNUMBER(SEARCH(","&amp;TRIM(TEXTSPLIT(CO225,","))&amp;",",","&amp;SUBSTITUTE(input_event_location," ","")&amp;",")))&gt;0)),IF(CQ225="",TRUE,IF(input_event_location="",FALSE,SUMPRODUCT(--ISNUMBER(SEARCH(","&amp;TRIM(TEXTSPLIT(CQ225,","))&amp;",",","&amp;SUBSTITUTE(input_event_location," ","")&amp;",")))=COUNTA(TEXTSPLIT(CQ225,",")))),IF(CS225="",TRUE,IF(input_event_location="",TRUE,SUMPRODUCT(--ISNUMBER(SEARCH(","&amp;TRIM(TEXTSPLIT(CS225,","))&amp;",",","&amp;SUBSTITUTE(input_event_location," ","")&amp;",")))=0)),IF(CU225="",TRUE,IF(input_event_location="",FALSE,SUMPRODUCT(--ISNUMBER(SEARCH(","&amp;TRIM(TEXTSPLIT(CU225,","))&amp;",",","&amp;SUBSTITUTE(input_event_location," ","")&amp;",")))&gt;0)),IF(CW225="",TRUE,IF(input_event_location="",FALSE,SUMPRODUCT(--ISNUMBER(SEARCH(","&amp;TRIM(TEXTSPLIT(CW225,","))&amp;",",","&amp;SUBSTITUTE(input_event_location," ","")&amp;",")))=COUNTA(TEXTSPLIT(CW225,",")))))</f>
        <v/>
      </c>
      <c r="JC225" s="19">
        <f>AND(IF(CY225="",TRUE,IF(input_event_type="",FALSE,SUMPRODUCT(--ISNUMBER(SEARCH(","&amp;TRIM(TEXTSPLIT(CY225,","))&amp;",",","&amp;SUBSTITUTE(input_event_type," ","")&amp;",")))&gt;0)),IF(DA225="",TRUE,IF(input_event_type="",FALSE,SUMPRODUCT(--ISNUMBER(SEARCH(","&amp;TRIM(TEXTSPLIT(DA225,","))&amp;",",","&amp;SUBSTITUTE(input_event_type," ","")&amp;",")))=COUNTA(TEXTSPLIT(DA225,",")))),IF(DC225="",TRUE,IF(input_event_type="",TRUE,SUMPRODUCT(--ISNUMBER(SEARCH(","&amp;TRIM(TEXTSPLIT(DC225,","))&amp;",",","&amp;SUBSTITUTE(input_event_type," ","")&amp;",")))=0)),IF(DE225="",TRUE,IF(input_event_type="",FALSE,SUMPRODUCT(--ISNUMBER(SEARCH(","&amp;TRIM(TEXTSPLIT(DE225,","))&amp;",",","&amp;SUBSTITUTE(input_event_type," ","")&amp;",")))&gt;0)),IF(DG225="",TRUE,IF(input_event_type="",FALSE,SUMPRODUCT(--ISNUMBER(SEARCH(","&amp;TRIM(TEXTSPLIT(DG225,","))&amp;",",","&amp;SUBSTITUTE(input_event_type," ","")&amp;",")))=COUNTA(TEXTSPLIT(DG225,",")))))</f>
        <v/>
      </c>
      <c r="JD225" s="19">
        <f>AND(IF(DI225="",TRUE,IF(input_executive_education_focus="",FALSE,SUMPRODUCT(--ISNUMBER(SEARCH(","&amp;TRIM(TEXTSPLIT(DI225,","))&amp;",",","&amp;SUBSTITUTE(input_executive_education_focus," ","")&amp;",")))&gt;0)),IF(DK225="",TRUE,IF(input_executive_education_focus="",FALSE,SUMPRODUCT(--ISNUMBER(SEARCH(","&amp;TRIM(TEXTSPLIT(DK225,","))&amp;",",","&amp;SUBSTITUTE(input_executive_education_focus," ","")&amp;",")))=COUNTA(TEXTSPLIT(DK225,",")))),IF(DM225="",TRUE,IF(input_executive_education_focus="",TRUE,SUMPRODUCT(--ISNUMBER(SEARCH(","&amp;TRIM(TEXTSPLIT(DM225,","))&amp;",",","&amp;SUBSTITUTE(input_executive_education_focus," ","")&amp;",")))=0)),IF(DO225="",TRUE,IF(input_executive_education_focus="",FALSE,SUMPRODUCT(--ISNUMBER(SEARCH(","&amp;TRIM(TEXTSPLIT(DO225,","))&amp;",",","&amp;SUBSTITUTE(input_executive_education_focus," ","")&amp;",")))&gt;0)),IF(DQ225="",TRUE,IF(input_executive_education_focus="",FALSE,SUMPRODUCT(--ISNUMBER(SEARCH(","&amp;TRIM(TEXTSPLIT(DQ225,","))&amp;",",","&amp;SUBSTITUTE(input_executive_education_focus," ","")&amp;",")))=COUNTA(TEXTSPLIT(DQ225,",")))))</f>
        <v/>
      </c>
      <c r="JE225" s="19">
        <f>AND(IF(DS225="",TRUE,IF(input_faculty_category="",FALSE,SUMPRODUCT(--ISNUMBER(SEARCH(","&amp;TRIM(TEXTSPLIT(DS225,","))&amp;",",","&amp;SUBSTITUTE(input_faculty_category," ","")&amp;",")))&gt;0)),IF(DU225="",TRUE,IF(input_faculty_category="",FALSE,SUMPRODUCT(--ISNUMBER(SEARCH(","&amp;TRIM(TEXTSPLIT(DU225,","))&amp;",",","&amp;SUBSTITUTE(input_faculty_category," ","")&amp;",")))=COUNTA(TEXTSPLIT(DU225,",")))),IF(DW225="",TRUE,IF(input_faculty_category="",TRUE,SUMPRODUCT(--ISNUMBER(SEARCH(","&amp;TRIM(TEXTSPLIT(DW225,","))&amp;",",","&amp;SUBSTITUTE(input_faculty_category," ","")&amp;",")))=0)),IF(DY225="",TRUE,IF(input_faculty_category="",FALSE,SUMPRODUCT(--ISNUMBER(SEARCH(","&amp;TRIM(TEXTSPLIT(DY225,","))&amp;",",","&amp;SUBSTITUTE(input_faculty_category," ","")&amp;",")))&gt;0)),IF(EA225="",TRUE,IF(input_faculty_category="",FALSE,SUMPRODUCT(--ISNUMBER(SEARCH(","&amp;TRIM(TEXTSPLIT(EA225,","))&amp;",",","&amp;SUBSTITUTE(input_faculty_category," ","")&amp;",")))=COUNTA(TEXTSPLIT(EA225,",")))))</f>
        <v/>
      </c>
      <c r="JF225" s="19">
        <f>AND(IF(EC225="",TRUE,IF(input_faculty_discipline="",FALSE,SUMPRODUCT(--ISNUMBER(SEARCH(","&amp;TRIM(TEXTSPLIT(EC225,","))&amp;",",","&amp;SUBSTITUTE(input_faculty_discipline," ","")&amp;",")))&gt;0)),IF(EE225="",TRUE,IF(input_faculty_discipline="",FALSE,SUMPRODUCT(--ISNUMBER(SEARCH(","&amp;TRIM(TEXTSPLIT(EE225,","))&amp;",",","&amp;SUBSTITUTE(input_faculty_discipline," ","")&amp;",")))=COUNTA(TEXTSPLIT(EE225,",")))),IF(EG225="",TRUE,IF(input_faculty_discipline="",TRUE,SUMPRODUCT(--ISNUMBER(SEARCH(","&amp;TRIM(TEXTSPLIT(EG225,","))&amp;",",","&amp;SUBSTITUTE(input_faculty_discipline," ","")&amp;",")))=0)),IF(EI225="",TRUE,IF(input_faculty_discipline="",FALSE,SUMPRODUCT(--ISNUMBER(SEARCH(","&amp;TRIM(TEXTSPLIT(EI225,","))&amp;",",","&amp;SUBSTITUTE(input_faculty_discipline," ","")&amp;",")))&gt;0)),IF(EK225="",TRUE,IF(input_faculty_discipline="",FALSE,SUMPRODUCT(--ISNUMBER(SEARCH(","&amp;TRIM(TEXTSPLIT(EK225,","))&amp;",",","&amp;SUBSTITUTE(input_faculty_discipline," ","")&amp;",")))=COUNTA(TEXTSPLIT(EK225,",")))))</f>
        <v/>
      </c>
      <c r="JG225" s="19">
        <f>AND(IF(EM225="",TRUE,IF(input_faculty_expertise="",FALSE,SUMPRODUCT(--ISNUMBER(SEARCH(","&amp;TRIM(TEXTSPLIT(EM225,","))&amp;",",","&amp;SUBSTITUTE(input_faculty_expertise," ","")&amp;",")))&gt;0)),IF(EO225="",TRUE,IF(input_faculty_expertise="",FALSE,SUMPRODUCT(--ISNUMBER(SEARCH(","&amp;TRIM(TEXTSPLIT(EO225,","))&amp;",",","&amp;SUBSTITUTE(input_faculty_expertise," ","")&amp;",")))=COUNTA(TEXTSPLIT(EO225,",")))),IF(EQ225="",TRUE,IF(input_faculty_expertise="",TRUE,SUMPRODUCT(--ISNUMBER(SEARCH(","&amp;TRIM(TEXTSPLIT(EQ225,","))&amp;",",","&amp;SUBSTITUTE(input_faculty_expertise," ","")&amp;",")))=0)),IF(ES225="",TRUE,IF(input_faculty_expertise="",FALSE,SUMPRODUCT(--ISNUMBER(SEARCH(","&amp;TRIM(TEXTSPLIT(ES225,","))&amp;",",","&amp;SUBSTITUTE(input_faculty_expertise," ","")&amp;",")))&gt;0)),IF(EU225="",TRUE,IF(input_faculty_expertise="",FALSE,SUMPRODUCT(--ISNUMBER(SEARCH(","&amp;TRIM(TEXTSPLIT(EU225,","))&amp;",",","&amp;SUBSTITUTE(input_faculty_expertise," ","")&amp;",")))=COUNTA(TEXTSPLIT(EU225,",")))))</f>
        <v/>
      </c>
      <c r="JH225" s="19">
        <f>AND(IF(EW225="",TRUE,IF(input_global_network_school="",FALSE,SUMPRODUCT(--ISNUMBER(SEARCH(","&amp;TRIM(TEXTSPLIT(EW225,","))&amp;",",","&amp;SUBSTITUTE(input_global_network_school," ","")&amp;",")))&gt;0)),IF(EY225="",TRUE,IF(input_global_network_school="",FALSE,SUMPRODUCT(--ISNUMBER(SEARCH(","&amp;TRIM(TEXTSPLIT(EY225,","))&amp;",",","&amp;SUBSTITUTE(input_global_network_school," ","")&amp;",")))=COUNTA(TEXTSPLIT(EY225,",")))),IF(FA225="",TRUE,IF(input_global_network_school="",TRUE,SUMPRODUCT(--ISNUMBER(SEARCH(","&amp;TRIM(TEXTSPLIT(FA225,","))&amp;",",","&amp;SUBSTITUTE(input_global_network_school," ","")&amp;",")))=0)),IF(FC225="",TRUE,IF(input_global_network_school="",FALSE,SUMPRODUCT(--ISNUMBER(SEARCH(","&amp;TRIM(TEXTSPLIT(FC225,","))&amp;",",","&amp;SUBSTITUTE(input_global_network_school," ","")&amp;",")))&gt;0)),IF(FE225="",TRUE,IF(input_global_network_school="",FALSE,SUMPRODUCT(--ISNUMBER(SEARCH(","&amp;TRIM(TEXTSPLIT(FE225,","))&amp;",",","&amp;SUBSTITUTE(input_global_network_school," ","")&amp;",")))=COUNTA(TEXTSPLIT(FE225,",")))))</f>
        <v/>
      </c>
      <c r="JI225" s="19">
        <f>AND(IF(FG225="",TRUE,IF(input_industry="",FALSE,SUMPRODUCT(--ISNUMBER(SEARCH(","&amp;TRIM(TEXTSPLIT(FG225,","))&amp;",",","&amp;SUBSTITUTE(input_industry," ","")&amp;",")))&gt;0)),IF(FI225="",TRUE,IF(input_industry="",FALSE,SUMPRODUCT(--ISNUMBER(SEARCH(","&amp;TRIM(TEXTSPLIT(FI225,","))&amp;",",","&amp;SUBSTITUTE(input_industry," ","")&amp;",")))=COUNTA(TEXTSPLIT(FI225,",")))),IF(FK225="",TRUE,IF(input_industry="",TRUE,SUMPRODUCT(--ISNUMBER(SEARCH(","&amp;TRIM(TEXTSPLIT(FK225,","))&amp;",",","&amp;SUBSTITUTE(input_industry," ","")&amp;",")))=0)),IF(FM225="",TRUE,IF(input_industry="",FALSE,SUMPRODUCT(--ISNUMBER(SEARCH(","&amp;TRIM(TEXTSPLIT(FM225,","))&amp;",",","&amp;SUBSTITUTE(input_industry," ","")&amp;",")))&gt;0)),IF(FO225="",TRUE,IF(input_industry="",FALSE,SUMPRODUCT(--ISNUMBER(SEARCH(","&amp;TRIM(TEXTSPLIT(FO225,","))&amp;",",","&amp;SUBSTITUTE(input_industry," ","")&amp;",")))=COUNTA(TEXTSPLIT(FO225,",")))))</f>
        <v/>
      </c>
      <c r="JJ225" s="19">
        <f>AND(IF(FQ225="",TRUE,IF(input_location="",FALSE,SUMPRODUCT(--ISNUMBER(SEARCH(","&amp;TRIM(TEXTSPLIT(FQ225,","))&amp;",",","&amp;SUBSTITUTE(input_location," ","")&amp;",")))&gt;0)),IF(FS225="",TRUE,IF(input_location="",FALSE,SUMPRODUCT(--ISNUMBER(SEARCH(","&amp;TRIM(TEXTSPLIT(FS225,","))&amp;",",","&amp;SUBSTITUTE(input_location," ","")&amp;",")))=COUNTA(TEXTSPLIT(FS225,",")))),IF(FU225="",TRUE,IF(input_location="",TRUE,SUMPRODUCT(--ISNUMBER(SEARCH(","&amp;TRIM(TEXTSPLIT(FU225,","))&amp;",",","&amp;SUBSTITUTE(input_location," ","")&amp;",")))=0)),IF(FW225="",TRUE,IF(input_location="",FALSE,SUMPRODUCT(--ISNUMBER(SEARCH(","&amp;TRIM(TEXTSPLIT(FW225,","))&amp;",",","&amp;SUBSTITUTE(input_location," ","")&amp;",")))&gt;0)),IF(FY225="",TRUE,IF(input_location="",FALSE,SUMPRODUCT(--ISNUMBER(SEARCH(","&amp;TRIM(TEXTSPLIT(FY225,","))&amp;",",","&amp;SUBSTITUTE(input_location," ","")&amp;",")))=COUNTA(TEXTSPLIT(FY225,",")))))</f>
        <v/>
      </c>
      <c r="JK225" s="19">
        <f>AND(IF(GA225="",TRUE,IF(input_modality="",FALSE,SUMPRODUCT(--ISNUMBER(SEARCH(","&amp;TRIM(TEXTSPLIT(GA225,","))&amp;",",","&amp;SUBSTITUTE(input_modality," ","")&amp;",")))&gt;0)),IF(GC225="",TRUE,IF(input_modality="",FALSE,SUMPRODUCT(--ISNUMBER(SEARCH(","&amp;TRIM(TEXTSPLIT(GC225,","))&amp;",",","&amp;SUBSTITUTE(input_modality," ","")&amp;",")))=COUNTA(TEXTSPLIT(GC225,",")))),IF(GE225="",TRUE,IF(input_modality="",TRUE,SUMPRODUCT(--ISNUMBER(SEARCH(","&amp;TRIM(TEXTSPLIT(GE225,","))&amp;",",","&amp;SUBSTITUTE(input_modality," ","")&amp;",")))=0)),IF(GG225="",TRUE,IF(input_modality="",FALSE,SUMPRODUCT(--ISNUMBER(SEARCH(","&amp;TRIM(TEXTSPLIT(GG225,","))&amp;",",","&amp;SUBSTITUTE(input_modality," ","")&amp;",")))&gt;0)),IF(GI225="",TRUE,IF(input_modality="",FALSE,SUMPRODUCT(--ISNUMBER(SEARCH(","&amp;TRIM(TEXTSPLIT(GI225,","))&amp;",",","&amp;SUBSTITUTE(input_modality," ","")&amp;",")))=COUNTA(TEXTSPLIT(GI225,",")))))</f>
        <v/>
      </c>
      <c r="JL225" s="19">
        <f>AND(IF(GK225="",TRUE,IF(input_organizer="",FALSE,SUMPRODUCT(--ISNUMBER(SEARCH(","&amp;TRIM(TEXTSPLIT(GK225,","))&amp;",",","&amp;SUBSTITUTE(input_organizer," ","")&amp;",")))&gt;0)),IF(GM225="",TRUE,IF(input_organizer="",FALSE,SUMPRODUCT(--ISNUMBER(SEARCH(","&amp;TRIM(TEXTSPLIT(GM225,","))&amp;",",","&amp;SUBSTITUTE(input_organizer," ","")&amp;",")))=COUNTA(TEXTSPLIT(GM225,",")))),IF(GO225="",TRUE,IF(input_organizer="",TRUE,SUMPRODUCT(--ISNUMBER(SEARCH(","&amp;TRIM(TEXTSPLIT(GO225,","))&amp;",",","&amp;SUBSTITUTE(input_organizer," ","")&amp;",")))=0)),IF(GQ225="",TRUE,IF(input_organizer="",FALSE,SUMPRODUCT(--ISNUMBER(SEARCH(","&amp;TRIM(TEXTSPLIT(GQ225,","))&amp;",",","&amp;SUBSTITUTE(input_organizer," ","")&amp;",")))&gt;0)),IF(GS225="",TRUE,IF(input_organizer="",FALSE,SUMPRODUCT(--ISNUMBER(SEARCH(","&amp;TRIM(TEXTSPLIT(GS225,","))&amp;",",","&amp;SUBSTITUTE(input_organizer," ","")&amp;",")))=COUNTA(TEXTSPLIT(GS225,",")))))</f>
        <v/>
      </c>
      <c r="JM225" s="19">
        <f>AND(IF(GU225="",TRUE,IF(input_profile_type="",FALSE,SUMPRODUCT(--ISNUMBER(SEARCH(","&amp;TRIM(TEXTSPLIT(GU225,","))&amp;",",","&amp;SUBSTITUTE(input_profile_type," ","")&amp;",")))&gt;0)),IF(GW225="",TRUE,IF(input_profile_type="",FALSE,SUMPRODUCT(--ISNUMBER(SEARCH(","&amp;TRIM(TEXTSPLIT(GW225,","))&amp;",",","&amp;SUBSTITUTE(input_profile_type," ","")&amp;",")))=COUNTA(TEXTSPLIT(GW225,",")))),IF(GY225="",TRUE,IF(input_profile_type="",TRUE,SUMPRODUCT(--ISNUMBER(SEARCH(","&amp;TRIM(TEXTSPLIT(GY225,","))&amp;",",","&amp;SUBSTITUTE(input_profile_type," ","")&amp;",")))=0)),IF(HA225="",TRUE,IF(input_profile_type="",FALSE,SUMPRODUCT(--ISNUMBER(SEARCH(","&amp;TRIM(TEXTSPLIT(HA225,","))&amp;",",","&amp;SUBSTITUTE(input_profile_type," ","")&amp;",")))&gt;0)),IF(HC225="",TRUE,IF(input_profile_type="",FALSE,SUMPRODUCT(--ISNUMBER(SEARCH(","&amp;TRIM(TEXTSPLIT(HC225,","))&amp;",",","&amp;SUBSTITUTE(input_profile_type," ","")&amp;",")))=COUNTA(TEXTSPLIT(HC225,",")))))</f>
        <v/>
      </c>
      <c r="JN225" s="19">
        <f>AND(IF(HE225="",TRUE,IF(input_program="",FALSE,SUMPRODUCT(--ISNUMBER(SEARCH(","&amp;TRIM(TEXTSPLIT(HE225,","))&amp;",",","&amp;SUBSTITUTE(input_program," ","")&amp;",")))&gt;0)),IF(HG225="",TRUE,IF(input_program="",FALSE,SUMPRODUCT(--ISNUMBER(SEARCH(","&amp;TRIM(TEXTSPLIT(HG225,","))&amp;",",","&amp;SUBSTITUTE(input_program," ","")&amp;",")))=COUNTA(TEXTSPLIT(HG225,",")))),IF(HI225="",TRUE,IF(input_program="",TRUE,SUMPRODUCT(--ISNUMBER(SEARCH(","&amp;TRIM(TEXTSPLIT(HI225,","))&amp;",",","&amp;SUBSTITUTE(input_program," ","")&amp;",")))=0)),IF(HK225="",TRUE,IF(input_program="",FALSE,SUMPRODUCT(--ISNUMBER(SEARCH(","&amp;TRIM(TEXTSPLIT(HK225,","))&amp;",",","&amp;SUBSTITUTE(input_program," ","")&amp;",")))&gt;0)),IF(HM225="",TRUE,IF(input_program="",FALSE,SUMPRODUCT(--ISNUMBER(SEARCH(","&amp;TRIM(TEXTSPLIT(HM225,","))&amp;",",","&amp;SUBSTITUTE(input_program," ","")&amp;",")))=COUNTA(TEXTSPLIT(HM225,",")))))</f>
        <v/>
      </c>
      <c r="JO225" s="19">
        <f>AND(IF(HO225="",TRUE,IF(input_story_categories="",FALSE,SUMPRODUCT(--ISNUMBER(SEARCH(","&amp;TRIM(TEXTSPLIT(HO225,","))&amp;",",","&amp;SUBSTITUTE(input_story_categories," ","")&amp;",")))&gt;0)),IF(HQ225="",TRUE,IF(input_story_categories="",FALSE,SUMPRODUCT(--ISNUMBER(SEARCH(","&amp;TRIM(TEXTSPLIT(HQ225,","))&amp;",",","&amp;SUBSTITUTE(input_story_categories," ","")&amp;",")))=COUNTA(TEXTSPLIT(HQ225,",")))),IF(HS225="",TRUE,IF(input_story_categories="",TRUE,SUMPRODUCT(--ISNUMBER(SEARCH(","&amp;TRIM(TEXTSPLIT(HS225,","))&amp;",",","&amp;SUBSTITUTE(input_story_categories," ","")&amp;",")))=0)),IF(HU225="",TRUE,IF(input_story_categories="",FALSE,SUMPRODUCT(--ISNUMBER(SEARCH(","&amp;TRIM(TEXTSPLIT(HU225,","))&amp;",",","&amp;SUBSTITUTE(input_story_categories," ","")&amp;",")))&gt;0)),IF(HW225="",TRUE,IF(input_story_categories="",FALSE,SUMPRODUCT(--ISNUMBER(SEARCH(","&amp;TRIM(TEXTSPLIT(HW225,","))&amp;",",","&amp;SUBSTITUTE(input_story_categories," ","")&amp;",")))=COUNTA(TEXTSPLIT(HW225,",")))))</f>
        <v/>
      </c>
      <c r="JP225" s="19">
        <f>AND(IF(HY225="",TRUE,IF(input_story_type="",FALSE,SUMPRODUCT(--ISNUMBER(SEARCH(","&amp;TRIM(TEXTSPLIT(HY225,","))&amp;",",","&amp;SUBSTITUTE(input_story_type," ","")&amp;",")))&gt;0)),IF(IA225="",TRUE,IF(input_story_type="",FALSE,SUMPRODUCT(--ISNUMBER(SEARCH(","&amp;TRIM(TEXTSPLIT(IA225,","))&amp;",",","&amp;SUBSTITUTE(input_story_type," ","")&amp;",")))=COUNTA(TEXTSPLIT(IA225,",")))),IF(IC225="",TRUE,IF(input_story_type="",TRUE,SUMPRODUCT(--ISNUMBER(SEARCH(","&amp;TRIM(TEXTSPLIT(IC225,","))&amp;",",","&amp;SUBSTITUTE(input_story_type," ","")&amp;",")))=0)),IF(IE225="",TRUE,IF(input_story_type="",FALSE,SUMPRODUCT(--ISNUMBER(SEARCH(","&amp;TRIM(TEXTSPLIT(IE225,","))&amp;",",","&amp;SUBSTITUTE(input_story_type," ","")&amp;",")))&gt;0)),IF(IG225="",TRUE,IF(input_story_type="",FALSE,SUMPRODUCT(--ISNUMBER(SEARCH(","&amp;TRIM(TEXTSPLIT(IG225,","))&amp;",",","&amp;SUBSTITUTE(input_story_type," ","")&amp;",")))=COUNTA(TEXTSPLIT(IG225,",")))))</f>
        <v/>
      </c>
      <c r="JQ225" s="19">
        <f>AND(IF(II225="",TRUE,IF(input_topics="",FALSE,SUMPRODUCT(--ISNUMBER(SEARCH(","&amp;TRIM(TEXTSPLIT(II225,","))&amp;",",","&amp;SUBSTITUTE(input_topics," ","")&amp;",")))&gt;0)),IF(IK225="",TRUE,IF(input_topics="",FALSE,SUMPRODUCT(--ISNUMBER(SEARCH(","&amp;TRIM(TEXTSPLIT(IK225,","))&amp;",",","&amp;SUBSTITUTE(input_topics," ","")&amp;",")))=COUNTA(TEXTSPLIT(IK225,",")))),IF(IM225="",TRUE,IF(input_topics="",TRUE,SUMPRODUCT(--ISNUMBER(SEARCH(","&amp;TRIM(TEXTSPLIT(IM225,","))&amp;",",","&amp;SUBSTITUTE(input_topics," ","")&amp;",")))=0)),IF(IO225="",TRUE,IF(input_topics="",FALSE,SUMPRODUCT(--ISNUMBER(SEARCH(","&amp;TRIM(TEXTSPLIT(IO225,","))&amp;",",","&amp;SUBSTITUTE(input_topics," ","")&amp;",")))&gt;0)),IF(IQ225="",TRUE,IF(input_topics="",FALSE,SUMPRODUCT(--ISNUMBER(SEARCH(","&amp;TRIM(TEXTSPLIT(IQ225,","))&amp;",",","&amp;SUBSTITUTE(input_topics," ","")&amp;",")))=COUNTA(TEXTSPLIT(IQ225,",")))))</f>
        <v/>
      </c>
    </row>
    <row r="226">
      <c r="A226" s="24">
        <f>IF(NOT(IS226),"Excluded",IF(AND(IT226,IU226,IV226,IW226,IX226,IY226,IZ226,JA226,JB226,JC226,JD226,JE226,JF226,JG226,JH226,JI226,JJ226,JK226,JL226,JM226,JN226,JO226,JP226,JQ226),IF(I226&gt;0,"Eligible but limited","Will appear"),"Excluded"))</f>
        <v/>
      </c>
      <c r="B226" s="24" t="inlineStr">
        <is>
          <t>Startup Stories</t>
        </is>
      </c>
      <c r="C226" s="27" t="inlineStr">
        <is>
          <t>/about/headlines/startup-stories</t>
        </is>
      </c>
      <c r="D226" s="24" t="inlineStr">
        <is>
          <t>/about/headlines/startup-stories</t>
        </is>
      </c>
      <c r="E226" s="24" t="n">
        <v>1</v>
      </c>
      <c r="F226" s="24" t="inlineStr">
        <is>
          <t>story</t>
        </is>
      </c>
      <c r="G226" s="24" t="inlineStr">
        <is>
          <t>stories_list</t>
        </is>
      </c>
      <c r="H226" s="24" t="inlineStr">
        <is>
          <t>embed_1</t>
        </is>
      </c>
      <c r="I226" s="24" t="n">
        <v>10</v>
      </c>
      <c r="J226" s="28" t="inlineStr">
        <is>
          <t>Explicit args</t>
        </is>
      </c>
      <c r="K226" s="24" t="inlineStr">
        <is>
          <t>Page placement</t>
        </is>
      </c>
      <c r="L226" s="24" t="inlineStr">
        <is>
          <t>Content type: story; Context uses Courses Context: Startup Stories (1166); Limited to 10 item(s); Source: Explicit args</t>
        </is>
      </c>
      <c r="BQ226" s="19" t="inlineStr">
        <is>
          <t>1166</t>
        </is>
      </c>
      <c r="BR226" s="19" t="inlineStr">
        <is>
          <t>Startup Stories (1166)</t>
        </is>
      </c>
      <c r="IS226" s="19">
        <f>IF(input_content_type="",FALSE,ISNUMBER(SEARCH(","&amp;LOWER(input_content_type)&amp;",",","&amp;LOWER(SUBSTITUTE(F226," ",""))&amp;",")))</f>
        <v/>
      </c>
      <c r="IT226" s="19">
        <f>AND(IF(M226="",TRUE,IF(input_affiliations="",FALSE,SUMPRODUCT(--ISNUMBER(SEARCH(","&amp;TRIM(TEXTSPLIT(M226,","))&amp;",",","&amp;SUBSTITUTE(input_affiliations," ","")&amp;",")))&gt;0)),IF(O226="",TRUE,IF(input_affiliations="",FALSE,SUMPRODUCT(--ISNUMBER(SEARCH(","&amp;TRIM(TEXTSPLIT(O226,","))&amp;",",","&amp;SUBSTITUTE(input_affiliations," ","")&amp;",")))=COUNTA(TEXTSPLIT(O226,",")))),IF(Q226="",TRUE,IF(input_affiliations="",TRUE,SUMPRODUCT(--ISNUMBER(SEARCH(","&amp;TRIM(TEXTSPLIT(Q226,","))&amp;",",","&amp;SUBSTITUTE(input_affiliations," ","")&amp;",")))=0)),IF(S226="",TRUE,IF(input_affiliations="",FALSE,SUMPRODUCT(--ISNUMBER(SEARCH(","&amp;TRIM(TEXTSPLIT(S226,","))&amp;",",","&amp;SUBSTITUTE(input_affiliations," ","")&amp;",")))&gt;0)),IF(U226="",TRUE,IF(input_affiliations="",FALSE,SUMPRODUCT(--ISNUMBER(SEARCH(","&amp;TRIM(TEXTSPLIT(U226,","))&amp;",",","&amp;SUBSTITUTE(input_affiliations," ","")&amp;",")))=COUNTA(TEXTSPLIT(U226,",")))))</f>
        <v/>
      </c>
      <c r="IU226" s="19">
        <f>AND(IF(W226="",TRUE,IF(input_announcement_category="",FALSE,SUMPRODUCT(--ISNUMBER(SEARCH(","&amp;TRIM(TEXTSPLIT(W226,","))&amp;",",","&amp;SUBSTITUTE(input_announcement_category," ","")&amp;",")))&gt;0)),IF(Y226="",TRUE,IF(input_announcement_category="",FALSE,SUMPRODUCT(--ISNUMBER(SEARCH(","&amp;TRIM(TEXTSPLIT(Y226,","))&amp;",",","&amp;SUBSTITUTE(input_announcement_category," ","")&amp;",")))=COUNTA(TEXTSPLIT(Y226,",")))),IF(AA226="",TRUE,IF(input_announcement_category="",TRUE,SUMPRODUCT(--ISNUMBER(SEARCH(","&amp;TRIM(TEXTSPLIT(AA226,","))&amp;",",","&amp;SUBSTITUTE(input_announcement_category," ","")&amp;",")))=0)),IF(AC226="",TRUE,IF(input_announcement_category="",FALSE,SUMPRODUCT(--ISNUMBER(SEARCH(","&amp;TRIM(TEXTSPLIT(AC226,","))&amp;",",","&amp;SUBSTITUTE(input_announcement_category," ","")&amp;",")))&gt;0)),IF(AE226="",TRUE,IF(input_announcement_category="",FALSE,SUMPRODUCT(--ISNUMBER(SEARCH(","&amp;TRIM(TEXTSPLIT(AE226,","))&amp;",",","&amp;SUBSTITUTE(input_announcement_category," ","")&amp;",")))=COUNTA(TEXTSPLIT(AE226,",")))))</f>
        <v/>
      </c>
      <c r="IV226" s="19">
        <f>AND(IF(AG226="",TRUE,IF(input_area_of_focus="",FALSE,SUMPRODUCT(--ISNUMBER(SEARCH(","&amp;TRIM(TEXTSPLIT(AG226,","))&amp;",",","&amp;SUBSTITUTE(input_area_of_focus," ","")&amp;",")))&gt;0)),IF(AI226="",TRUE,IF(input_area_of_focus="",FALSE,SUMPRODUCT(--ISNUMBER(SEARCH(","&amp;TRIM(TEXTSPLIT(AI226,","))&amp;",",","&amp;SUBSTITUTE(input_area_of_focus," ","")&amp;",")))=COUNTA(TEXTSPLIT(AI226,",")))),IF(AK226="",TRUE,IF(input_area_of_focus="",TRUE,SUMPRODUCT(--ISNUMBER(SEARCH(","&amp;TRIM(TEXTSPLIT(AK226,","))&amp;",",","&amp;SUBSTITUTE(input_area_of_focus," ","")&amp;",")))=0)),IF(AM226="",TRUE,IF(input_area_of_focus="",FALSE,SUMPRODUCT(--ISNUMBER(SEARCH(","&amp;TRIM(TEXTSPLIT(AM226,","))&amp;",",","&amp;SUBSTITUTE(input_area_of_focus," ","")&amp;",")))&gt;0)),IF(AO226="",TRUE,IF(input_area_of_focus="",FALSE,SUMPRODUCT(--ISNUMBER(SEARCH(","&amp;TRIM(TEXTSPLIT(AO226,","))&amp;",",","&amp;SUBSTITUTE(input_area_of_focus," ","")&amp;",")))=COUNTA(TEXTSPLIT(AO226,",")))))</f>
        <v/>
      </c>
      <c r="IW226" s="19">
        <f>AND(IF(AQ226="",TRUE,IF(input_audience="",FALSE,SUMPRODUCT(--ISNUMBER(SEARCH(","&amp;TRIM(TEXTSPLIT(AQ226,","))&amp;",",","&amp;SUBSTITUTE(input_audience," ","")&amp;",")))&gt;0)),IF(AS226="",TRUE,IF(input_audience="",FALSE,SUMPRODUCT(--ISNUMBER(SEARCH(","&amp;TRIM(TEXTSPLIT(AS226,","))&amp;",",","&amp;SUBSTITUTE(input_audience," ","")&amp;",")))=COUNTA(TEXTSPLIT(AS226,",")))),IF(AU226="",TRUE,IF(input_audience="",TRUE,SUMPRODUCT(--ISNUMBER(SEARCH(","&amp;TRIM(TEXTSPLIT(AU226,","))&amp;",",","&amp;SUBSTITUTE(input_audience," ","")&amp;",")))=0)),IF(AW226="",TRUE,IF(input_audience="",FALSE,SUMPRODUCT(--ISNUMBER(SEARCH(","&amp;TRIM(TEXTSPLIT(AW226,","))&amp;",",","&amp;SUBSTITUTE(input_audience," ","")&amp;",")))&gt;0)),IF(AY226="",TRUE,IF(input_audience="",FALSE,SUMPRODUCT(--ISNUMBER(SEARCH(","&amp;TRIM(TEXTSPLIT(AY226,","))&amp;",",","&amp;SUBSTITUTE(input_audience," ","")&amp;",")))=COUNTA(TEXTSPLIT(AY226,",")))))</f>
        <v/>
      </c>
      <c r="IX226" s="19">
        <f>AND(IF(BA226="",TRUE,IF(input_challenge_opportunities="",FALSE,SUMPRODUCT(--ISNUMBER(SEARCH(","&amp;TRIM(TEXTSPLIT(BA226,","))&amp;",",","&amp;SUBSTITUTE(input_challenge_opportunities," ","")&amp;",")))&gt;0)),IF(BC226="",TRUE,IF(input_challenge_opportunities="",FALSE,SUMPRODUCT(--ISNUMBER(SEARCH(","&amp;TRIM(TEXTSPLIT(BC226,","))&amp;",",","&amp;SUBSTITUTE(input_challenge_opportunities," ","")&amp;",")))=COUNTA(TEXTSPLIT(BC226,",")))),IF(BE226="",TRUE,IF(input_challenge_opportunities="",TRUE,SUMPRODUCT(--ISNUMBER(SEARCH(","&amp;TRIM(TEXTSPLIT(BE226,","))&amp;",",","&amp;SUBSTITUTE(input_challenge_opportunities," ","")&amp;",")))=0)),IF(BG226="",TRUE,IF(input_challenge_opportunities="",FALSE,SUMPRODUCT(--ISNUMBER(SEARCH(","&amp;TRIM(TEXTSPLIT(BG226,","))&amp;",",","&amp;SUBSTITUTE(input_challenge_opportunities," ","")&amp;",")))&gt;0)),IF(BI226="",TRUE,IF(input_challenge_opportunities="",FALSE,SUMPRODUCT(--ISNUMBER(SEARCH(","&amp;TRIM(TEXTSPLIT(BI226,","))&amp;",",","&amp;SUBSTITUTE(input_challenge_opportunities," ","")&amp;",")))=COUNTA(TEXTSPLIT(BI226,",")))))</f>
        <v/>
      </c>
      <c r="IY226" s="19">
        <f>AND(IF(BK226="",TRUE,IF(input_context="",FALSE,SUMPRODUCT(--ISNUMBER(SEARCH(","&amp;TRIM(TEXTSPLIT(BK226,","))&amp;",",","&amp;SUBSTITUTE(input_context," ","")&amp;",")))&gt;0)),IF(BM226="",TRUE,IF(input_context="",FALSE,SUMPRODUCT(--ISNUMBER(SEARCH(","&amp;TRIM(TEXTSPLIT(BM226,","))&amp;",",","&amp;SUBSTITUTE(input_context," ","")&amp;",")))=COUNTA(TEXTSPLIT(BM226,",")))),IF(BO226="",TRUE,IF(input_context="",TRUE,SUMPRODUCT(--ISNUMBER(SEARCH(","&amp;TRIM(TEXTSPLIT(BO226,","))&amp;",",","&amp;SUBSTITUTE(input_context," ","")&amp;",")))=0)),IF(BQ226="",TRUE,IF(input_context="",FALSE,SUMPRODUCT(--ISNUMBER(SEARCH(","&amp;TRIM(TEXTSPLIT(BQ226,","))&amp;",",","&amp;SUBSTITUTE(input_context," ","")&amp;",")))&gt;0)),IF(BS226="",TRUE,IF(input_context="",FALSE,SUMPRODUCT(--ISNUMBER(SEARCH(","&amp;TRIM(TEXTSPLIT(BS226,","))&amp;",",","&amp;SUBSTITUTE(input_context," ","")&amp;",")))=COUNTA(TEXTSPLIT(BS226,",")))))</f>
        <v/>
      </c>
      <c r="IZ226" s="19">
        <f>AND(IF(BU226="",TRUE,IF(input_enews_announcement_type="",FALSE,SUMPRODUCT(--ISNUMBER(SEARCH(","&amp;TRIM(TEXTSPLIT(BU226,","))&amp;",",","&amp;SUBSTITUTE(input_enews_announcement_type," ","")&amp;",")))&gt;0)),IF(BW226="",TRUE,IF(input_enews_announcement_type="",FALSE,SUMPRODUCT(--ISNUMBER(SEARCH(","&amp;TRIM(TEXTSPLIT(BW226,","))&amp;",",","&amp;SUBSTITUTE(input_enews_announcement_type," ","")&amp;",")))=COUNTA(TEXTSPLIT(BW226,",")))),IF(BY226="",TRUE,IF(input_enews_announcement_type="",TRUE,SUMPRODUCT(--ISNUMBER(SEARCH(","&amp;TRIM(TEXTSPLIT(BY226,","))&amp;",",","&amp;SUBSTITUTE(input_enews_announcement_type," ","")&amp;",")))=0)),IF(CA226="",TRUE,IF(input_enews_announcement_type="",FALSE,SUMPRODUCT(--ISNUMBER(SEARCH(","&amp;TRIM(TEXTSPLIT(CA226,","))&amp;",",","&amp;SUBSTITUTE(input_enews_announcement_type," ","")&amp;",")))&gt;0)),IF(CC226="",TRUE,IF(input_enews_announcement_type="",FALSE,SUMPRODUCT(--ISNUMBER(SEARCH(","&amp;TRIM(TEXTSPLIT(CC226,","))&amp;",",","&amp;SUBSTITUTE(input_enews_announcement_type," ","")&amp;",")))=COUNTA(TEXTSPLIT(CC226,",")))))</f>
        <v/>
      </c>
      <c r="JA226" s="19">
        <f>AND(IF(CE226="",TRUE,IF(input_enews_audience="",FALSE,SUMPRODUCT(--ISNUMBER(SEARCH(","&amp;TRIM(TEXTSPLIT(CE226,","))&amp;",",","&amp;SUBSTITUTE(input_enews_audience," ","")&amp;",")))&gt;0)),IF(CG226="",TRUE,IF(input_enews_audience="",FALSE,SUMPRODUCT(--ISNUMBER(SEARCH(","&amp;TRIM(TEXTSPLIT(CG226,","))&amp;",",","&amp;SUBSTITUTE(input_enews_audience," ","")&amp;",")))=COUNTA(TEXTSPLIT(CG226,",")))),IF(CI226="",TRUE,IF(input_enews_audience="",TRUE,SUMPRODUCT(--ISNUMBER(SEARCH(","&amp;TRIM(TEXTSPLIT(CI226,","))&amp;",",","&amp;SUBSTITUTE(input_enews_audience," ","")&amp;",")))=0)),IF(CK226="",TRUE,IF(input_enews_audience="",FALSE,SUMPRODUCT(--ISNUMBER(SEARCH(","&amp;TRIM(TEXTSPLIT(CK226,","))&amp;",",","&amp;SUBSTITUTE(input_enews_audience," ","")&amp;",")))&gt;0)),IF(CM226="",TRUE,IF(input_enews_audience="",FALSE,SUMPRODUCT(--ISNUMBER(SEARCH(","&amp;TRIM(TEXTSPLIT(CM226,","))&amp;",",","&amp;SUBSTITUTE(input_enews_audience," ","")&amp;",")))=COUNTA(TEXTSPLIT(CM226,",")))))</f>
        <v/>
      </c>
      <c r="JB226" s="19">
        <f>AND(IF(CO226="",TRUE,IF(input_event_location="",FALSE,SUMPRODUCT(--ISNUMBER(SEARCH(","&amp;TRIM(TEXTSPLIT(CO226,","))&amp;",",","&amp;SUBSTITUTE(input_event_location," ","")&amp;",")))&gt;0)),IF(CQ226="",TRUE,IF(input_event_location="",FALSE,SUMPRODUCT(--ISNUMBER(SEARCH(","&amp;TRIM(TEXTSPLIT(CQ226,","))&amp;",",","&amp;SUBSTITUTE(input_event_location," ","")&amp;",")))=COUNTA(TEXTSPLIT(CQ226,",")))),IF(CS226="",TRUE,IF(input_event_location="",TRUE,SUMPRODUCT(--ISNUMBER(SEARCH(","&amp;TRIM(TEXTSPLIT(CS226,","))&amp;",",","&amp;SUBSTITUTE(input_event_location," ","")&amp;",")))=0)),IF(CU226="",TRUE,IF(input_event_location="",FALSE,SUMPRODUCT(--ISNUMBER(SEARCH(","&amp;TRIM(TEXTSPLIT(CU226,","))&amp;",",","&amp;SUBSTITUTE(input_event_location," ","")&amp;",")))&gt;0)),IF(CW226="",TRUE,IF(input_event_location="",FALSE,SUMPRODUCT(--ISNUMBER(SEARCH(","&amp;TRIM(TEXTSPLIT(CW226,","))&amp;",",","&amp;SUBSTITUTE(input_event_location," ","")&amp;",")))=COUNTA(TEXTSPLIT(CW226,",")))))</f>
        <v/>
      </c>
      <c r="JC226" s="19">
        <f>AND(IF(CY226="",TRUE,IF(input_event_type="",FALSE,SUMPRODUCT(--ISNUMBER(SEARCH(","&amp;TRIM(TEXTSPLIT(CY226,","))&amp;",",","&amp;SUBSTITUTE(input_event_type," ","")&amp;",")))&gt;0)),IF(DA226="",TRUE,IF(input_event_type="",FALSE,SUMPRODUCT(--ISNUMBER(SEARCH(","&amp;TRIM(TEXTSPLIT(DA226,","))&amp;",",","&amp;SUBSTITUTE(input_event_type," ","")&amp;",")))=COUNTA(TEXTSPLIT(DA226,",")))),IF(DC226="",TRUE,IF(input_event_type="",TRUE,SUMPRODUCT(--ISNUMBER(SEARCH(","&amp;TRIM(TEXTSPLIT(DC226,","))&amp;",",","&amp;SUBSTITUTE(input_event_type," ","")&amp;",")))=0)),IF(DE226="",TRUE,IF(input_event_type="",FALSE,SUMPRODUCT(--ISNUMBER(SEARCH(","&amp;TRIM(TEXTSPLIT(DE226,","))&amp;",",","&amp;SUBSTITUTE(input_event_type," ","")&amp;",")))&gt;0)),IF(DG226="",TRUE,IF(input_event_type="",FALSE,SUMPRODUCT(--ISNUMBER(SEARCH(","&amp;TRIM(TEXTSPLIT(DG226,","))&amp;",",","&amp;SUBSTITUTE(input_event_type," ","")&amp;",")))=COUNTA(TEXTSPLIT(DG226,",")))))</f>
        <v/>
      </c>
      <c r="JD226" s="19">
        <f>AND(IF(DI226="",TRUE,IF(input_executive_education_focus="",FALSE,SUMPRODUCT(--ISNUMBER(SEARCH(","&amp;TRIM(TEXTSPLIT(DI226,","))&amp;",",","&amp;SUBSTITUTE(input_executive_education_focus," ","")&amp;",")))&gt;0)),IF(DK226="",TRUE,IF(input_executive_education_focus="",FALSE,SUMPRODUCT(--ISNUMBER(SEARCH(","&amp;TRIM(TEXTSPLIT(DK226,","))&amp;",",","&amp;SUBSTITUTE(input_executive_education_focus," ","")&amp;",")))=COUNTA(TEXTSPLIT(DK226,",")))),IF(DM226="",TRUE,IF(input_executive_education_focus="",TRUE,SUMPRODUCT(--ISNUMBER(SEARCH(","&amp;TRIM(TEXTSPLIT(DM226,","))&amp;",",","&amp;SUBSTITUTE(input_executive_education_focus," ","")&amp;",")))=0)),IF(DO226="",TRUE,IF(input_executive_education_focus="",FALSE,SUMPRODUCT(--ISNUMBER(SEARCH(","&amp;TRIM(TEXTSPLIT(DO226,","))&amp;",",","&amp;SUBSTITUTE(input_executive_education_focus," ","")&amp;",")))&gt;0)),IF(DQ226="",TRUE,IF(input_executive_education_focus="",FALSE,SUMPRODUCT(--ISNUMBER(SEARCH(","&amp;TRIM(TEXTSPLIT(DQ226,","))&amp;",",","&amp;SUBSTITUTE(input_executive_education_focus," ","")&amp;",")))=COUNTA(TEXTSPLIT(DQ226,",")))))</f>
        <v/>
      </c>
      <c r="JE226" s="19">
        <f>AND(IF(DS226="",TRUE,IF(input_faculty_category="",FALSE,SUMPRODUCT(--ISNUMBER(SEARCH(","&amp;TRIM(TEXTSPLIT(DS226,","))&amp;",",","&amp;SUBSTITUTE(input_faculty_category," ","")&amp;",")))&gt;0)),IF(DU226="",TRUE,IF(input_faculty_category="",FALSE,SUMPRODUCT(--ISNUMBER(SEARCH(","&amp;TRIM(TEXTSPLIT(DU226,","))&amp;",",","&amp;SUBSTITUTE(input_faculty_category," ","")&amp;",")))=COUNTA(TEXTSPLIT(DU226,",")))),IF(DW226="",TRUE,IF(input_faculty_category="",TRUE,SUMPRODUCT(--ISNUMBER(SEARCH(","&amp;TRIM(TEXTSPLIT(DW226,","))&amp;",",","&amp;SUBSTITUTE(input_faculty_category," ","")&amp;",")))=0)),IF(DY226="",TRUE,IF(input_faculty_category="",FALSE,SUMPRODUCT(--ISNUMBER(SEARCH(","&amp;TRIM(TEXTSPLIT(DY226,","))&amp;",",","&amp;SUBSTITUTE(input_faculty_category," ","")&amp;",")))&gt;0)),IF(EA226="",TRUE,IF(input_faculty_category="",FALSE,SUMPRODUCT(--ISNUMBER(SEARCH(","&amp;TRIM(TEXTSPLIT(EA226,","))&amp;",",","&amp;SUBSTITUTE(input_faculty_category," ","")&amp;",")))=COUNTA(TEXTSPLIT(EA226,",")))))</f>
        <v/>
      </c>
      <c r="JF226" s="19">
        <f>AND(IF(EC226="",TRUE,IF(input_faculty_discipline="",FALSE,SUMPRODUCT(--ISNUMBER(SEARCH(","&amp;TRIM(TEXTSPLIT(EC226,","))&amp;",",","&amp;SUBSTITUTE(input_faculty_discipline," ","")&amp;",")))&gt;0)),IF(EE226="",TRUE,IF(input_faculty_discipline="",FALSE,SUMPRODUCT(--ISNUMBER(SEARCH(","&amp;TRIM(TEXTSPLIT(EE226,","))&amp;",",","&amp;SUBSTITUTE(input_faculty_discipline," ","")&amp;",")))=COUNTA(TEXTSPLIT(EE226,",")))),IF(EG226="",TRUE,IF(input_faculty_discipline="",TRUE,SUMPRODUCT(--ISNUMBER(SEARCH(","&amp;TRIM(TEXTSPLIT(EG226,","))&amp;",",","&amp;SUBSTITUTE(input_faculty_discipline," ","")&amp;",")))=0)),IF(EI226="",TRUE,IF(input_faculty_discipline="",FALSE,SUMPRODUCT(--ISNUMBER(SEARCH(","&amp;TRIM(TEXTSPLIT(EI226,","))&amp;",",","&amp;SUBSTITUTE(input_faculty_discipline," ","")&amp;",")))&gt;0)),IF(EK226="",TRUE,IF(input_faculty_discipline="",FALSE,SUMPRODUCT(--ISNUMBER(SEARCH(","&amp;TRIM(TEXTSPLIT(EK226,","))&amp;",",","&amp;SUBSTITUTE(input_faculty_discipline," ","")&amp;",")))=COUNTA(TEXTSPLIT(EK226,",")))))</f>
        <v/>
      </c>
      <c r="JG226" s="19">
        <f>AND(IF(EM226="",TRUE,IF(input_faculty_expertise="",FALSE,SUMPRODUCT(--ISNUMBER(SEARCH(","&amp;TRIM(TEXTSPLIT(EM226,","))&amp;",",","&amp;SUBSTITUTE(input_faculty_expertise," ","")&amp;",")))&gt;0)),IF(EO226="",TRUE,IF(input_faculty_expertise="",FALSE,SUMPRODUCT(--ISNUMBER(SEARCH(","&amp;TRIM(TEXTSPLIT(EO226,","))&amp;",",","&amp;SUBSTITUTE(input_faculty_expertise," ","")&amp;",")))=COUNTA(TEXTSPLIT(EO226,",")))),IF(EQ226="",TRUE,IF(input_faculty_expertise="",TRUE,SUMPRODUCT(--ISNUMBER(SEARCH(","&amp;TRIM(TEXTSPLIT(EQ226,","))&amp;",",","&amp;SUBSTITUTE(input_faculty_expertise," ","")&amp;",")))=0)),IF(ES226="",TRUE,IF(input_faculty_expertise="",FALSE,SUMPRODUCT(--ISNUMBER(SEARCH(","&amp;TRIM(TEXTSPLIT(ES226,","))&amp;",",","&amp;SUBSTITUTE(input_faculty_expertise," ","")&amp;",")))&gt;0)),IF(EU226="",TRUE,IF(input_faculty_expertise="",FALSE,SUMPRODUCT(--ISNUMBER(SEARCH(","&amp;TRIM(TEXTSPLIT(EU226,","))&amp;",",","&amp;SUBSTITUTE(input_faculty_expertise," ","")&amp;",")))=COUNTA(TEXTSPLIT(EU226,",")))))</f>
        <v/>
      </c>
      <c r="JH226" s="19">
        <f>AND(IF(EW226="",TRUE,IF(input_global_network_school="",FALSE,SUMPRODUCT(--ISNUMBER(SEARCH(","&amp;TRIM(TEXTSPLIT(EW226,","))&amp;",",","&amp;SUBSTITUTE(input_global_network_school," ","")&amp;",")))&gt;0)),IF(EY226="",TRUE,IF(input_global_network_school="",FALSE,SUMPRODUCT(--ISNUMBER(SEARCH(","&amp;TRIM(TEXTSPLIT(EY226,","))&amp;",",","&amp;SUBSTITUTE(input_global_network_school," ","")&amp;",")))=COUNTA(TEXTSPLIT(EY226,",")))),IF(FA226="",TRUE,IF(input_global_network_school="",TRUE,SUMPRODUCT(--ISNUMBER(SEARCH(","&amp;TRIM(TEXTSPLIT(FA226,","))&amp;",",","&amp;SUBSTITUTE(input_global_network_school," ","")&amp;",")))=0)),IF(FC226="",TRUE,IF(input_global_network_school="",FALSE,SUMPRODUCT(--ISNUMBER(SEARCH(","&amp;TRIM(TEXTSPLIT(FC226,","))&amp;",",","&amp;SUBSTITUTE(input_global_network_school," ","")&amp;",")))&gt;0)),IF(FE226="",TRUE,IF(input_global_network_school="",FALSE,SUMPRODUCT(--ISNUMBER(SEARCH(","&amp;TRIM(TEXTSPLIT(FE226,","))&amp;",",","&amp;SUBSTITUTE(input_global_network_school," ","")&amp;",")))=COUNTA(TEXTSPLIT(FE226,",")))))</f>
        <v/>
      </c>
      <c r="JI226" s="19">
        <f>AND(IF(FG226="",TRUE,IF(input_industry="",FALSE,SUMPRODUCT(--ISNUMBER(SEARCH(","&amp;TRIM(TEXTSPLIT(FG226,","))&amp;",",","&amp;SUBSTITUTE(input_industry," ","")&amp;",")))&gt;0)),IF(FI226="",TRUE,IF(input_industry="",FALSE,SUMPRODUCT(--ISNUMBER(SEARCH(","&amp;TRIM(TEXTSPLIT(FI226,","))&amp;",",","&amp;SUBSTITUTE(input_industry," ","")&amp;",")))=COUNTA(TEXTSPLIT(FI226,",")))),IF(FK226="",TRUE,IF(input_industry="",TRUE,SUMPRODUCT(--ISNUMBER(SEARCH(","&amp;TRIM(TEXTSPLIT(FK226,","))&amp;",",","&amp;SUBSTITUTE(input_industry," ","")&amp;",")))=0)),IF(FM226="",TRUE,IF(input_industry="",FALSE,SUMPRODUCT(--ISNUMBER(SEARCH(","&amp;TRIM(TEXTSPLIT(FM226,","))&amp;",",","&amp;SUBSTITUTE(input_industry," ","")&amp;",")))&gt;0)),IF(FO226="",TRUE,IF(input_industry="",FALSE,SUMPRODUCT(--ISNUMBER(SEARCH(","&amp;TRIM(TEXTSPLIT(FO226,","))&amp;",",","&amp;SUBSTITUTE(input_industry," ","")&amp;",")))=COUNTA(TEXTSPLIT(FO226,",")))))</f>
        <v/>
      </c>
      <c r="JJ226" s="19">
        <f>AND(IF(FQ226="",TRUE,IF(input_location="",FALSE,SUMPRODUCT(--ISNUMBER(SEARCH(","&amp;TRIM(TEXTSPLIT(FQ226,","))&amp;",",","&amp;SUBSTITUTE(input_location," ","")&amp;",")))&gt;0)),IF(FS226="",TRUE,IF(input_location="",FALSE,SUMPRODUCT(--ISNUMBER(SEARCH(","&amp;TRIM(TEXTSPLIT(FS226,","))&amp;",",","&amp;SUBSTITUTE(input_location," ","")&amp;",")))=COUNTA(TEXTSPLIT(FS226,",")))),IF(FU226="",TRUE,IF(input_location="",TRUE,SUMPRODUCT(--ISNUMBER(SEARCH(","&amp;TRIM(TEXTSPLIT(FU226,","))&amp;",",","&amp;SUBSTITUTE(input_location," ","")&amp;",")))=0)),IF(FW226="",TRUE,IF(input_location="",FALSE,SUMPRODUCT(--ISNUMBER(SEARCH(","&amp;TRIM(TEXTSPLIT(FW226,","))&amp;",",","&amp;SUBSTITUTE(input_location," ","")&amp;",")))&gt;0)),IF(FY226="",TRUE,IF(input_location="",FALSE,SUMPRODUCT(--ISNUMBER(SEARCH(","&amp;TRIM(TEXTSPLIT(FY226,","))&amp;",",","&amp;SUBSTITUTE(input_location," ","")&amp;",")))=COUNTA(TEXTSPLIT(FY226,",")))))</f>
        <v/>
      </c>
      <c r="JK226" s="19">
        <f>AND(IF(GA226="",TRUE,IF(input_modality="",FALSE,SUMPRODUCT(--ISNUMBER(SEARCH(","&amp;TRIM(TEXTSPLIT(GA226,","))&amp;",",","&amp;SUBSTITUTE(input_modality," ","")&amp;",")))&gt;0)),IF(GC226="",TRUE,IF(input_modality="",FALSE,SUMPRODUCT(--ISNUMBER(SEARCH(","&amp;TRIM(TEXTSPLIT(GC226,","))&amp;",",","&amp;SUBSTITUTE(input_modality," ","")&amp;",")))=COUNTA(TEXTSPLIT(GC226,",")))),IF(GE226="",TRUE,IF(input_modality="",TRUE,SUMPRODUCT(--ISNUMBER(SEARCH(","&amp;TRIM(TEXTSPLIT(GE226,","))&amp;",",","&amp;SUBSTITUTE(input_modality," ","")&amp;",")))=0)),IF(GG226="",TRUE,IF(input_modality="",FALSE,SUMPRODUCT(--ISNUMBER(SEARCH(","&amp;TRIM(TEXTSPLIT(GG226,","))&amp;",",","&amp;SUBSTITUTE(input_modality," ","")&amp;",")))&gt;0)),IF(GI226="",TRUE,IF(input_modality="",FALSE,SUMPRODUCT(--ISNUMBER(SEARCH(","&amp;TRIM(TEXTSPLIT(GI226,","))&amp;",",","&amp;SUBSTITUTE(input_modality," ","")&amp;",")))=COUNTA(TEXTSPLIT(GI226,",")))))</f>
        <v/>
      </c>
      <c r="JL226" s="19">
        <f>AND(IF(GK226="",TRUE,IF(input_organizer="",FALSE,SUMPRODUCT(--ISNUMBER(SEARCH(","&amp;TRIM(TEXTSPLIT(GK226,","))&amp;",",","&amp;SUBSTITUTE(input_organizer," ","")&amp;",")))&gt;0)),IF(GM226="",TRUE,IF(input_organizer="",FALSE,SUMPRODUCT(--ISNUMBER(SEARCH(","&amp;TRIM(TEXTSPLIT(GM226,","))&amp;",",","&amp;SUBSTITUTE(input_organizer," ","")&amp;",")))=COUNTA(TEXTSPLIT(GM226,",")))),IF(GO226="",TRUE,IF(input_organizer="",TRUE,SUMPRODUCT(--ISNUMBER(SEARCH(","&amp;TRIM(TEXTSPLIT(GO226,","))&amp;",",","&amp;SUBSTITUTE(input_organizer," ","")&amp;",")))=0)),IF(GQ226="",TRUE,IF(input_organizer="",FALSE,SUMPRODUCT(--ISNUMBER(SEARCH(","&amp;TRIM(TEXTSPLIT(GQ226,","))&amp;",",","&amp;SUBSTITUTE(input_organizer," ","")&amp;",")))&gt;0)),IF(GS226="",TRUE,IF(input_organizer="",FALSE,SUMPRODUCT(--ISNUMBER(SEARCH(","&amp;TRIM(TEXTSPLIT(GS226,","))&amp;",",","&amp;SUBSTITUTE(input_organizer," ","")&amp;",")))=COUNTA(TEXTSPLIT(GS226,",")))))</f>
        <v/>
      </c>
      <c r="JM226" s="19">
        <f>AND(IF(GU226="",TRUE,IF(input_profile_type="",FALSE,SUMPRODUCT(--ISNUMBER(SEARCH(","&amp;TRIM(TEXTSPLIT(GU226,","))&amp;",",","&amp;SUBSTITUTE(input_profile_type," ","")&amp;",")))&gt;0)),IF(GW226="",TRUE,IF(input_profile_type="",FALSE,SUMPRODUCT(--ISNUMBER(SEARCH(","&amp;TRIM(TEXTSPLIT(GW226,","))&amp;",",","&amp;SUBSTITUTE(input_profile_type," ","")&amp;",")))=COUNTA(TEXTSPLIT(GW226,",")))),IF(GY226="",TRUE,IF(input_profile_type="",TRUE,SUMPRODUCT(--ISNUMBER(SEARCH(","&amp;TRIM(TEXTSPLIT(GY226,","))&amp;",",","&amp;SUBSTITUTE(input_profile_type," ","")&amp;",")))=0)),IF(HA226="",TRUE,IF(input_profile_type="",FALSE,SUMPRODUCT(--ISNUMBER(SEARCH(","&amp;TRIM(TEXTSPLIT(HA226,","))&amp;",",","&amp;SUBSTITUTE(input_profile_type," ","")&amp;",")))&gt;0)),IF(HC226="",TRUE,IF(input_profile_type="",FALSE,SUMPRODUCT(--ISNUMBER(SEARCH(","&amp;TRIM(TEXTSPLIT(HC226,","))&amp;",",","&amp;SUBSTITUTE(input_profile_type," ","")&amp;",")))=COUNTA(TEXTSPLIT(HC226,",")))))</f>
        <v/>
      </c>
      <c r="JN226" s="19">
        <f>AND(IF(HE226="",TRUE,IF(input_program="",FALSE,SUMPRODUCT(--ISNUMBER(SEARCH(","&amp;TRIM(TEXTSPLIT(HE226,","))&amp;",",","&amp;SUBSTITUTE(input_program," ","")&amp;",")))&gt;0)),IF(HG226="",TRUE,IF(input_program="",FALSE,SUMPRODUCT(--ISNUMBER(SEARCH(","&amp;TRIM(TEXTSPLIT(HG226,","))&amp;",",","&amp;SUBSTITUTE(input_program," ","")&amp;",")))=COUNTA(TEXTSPLIT(HG226,",")))),IF(HI226="",TRUE,IF(input_program="",TRUE,SUMPRODUCT(--ISNUMBER(SEARCH(","&amp;TRIM(TEXTSPLIT(HI226,","))&amp;",",","&amp;SUBSTITUTE(input_program," ","")&amp;",")))=0)),IF(HK226="",TRUE,IF(input_program="",FALSE,SUMPRODUCT(--ISNUMBER(SEARCH(","&amp;TRIM(TEXTSPLIT(HK226,","))&amp;",",","&amp;SUBSTITUTE(input_program," ","")&amp;",")))&gt;0)),IF(HM226="",TRUE,IF(input_program="",FALSE,SUMPRODUCT(--ISNUMBER(SEARCH(","&amp;TRIM(TEXTSPLIT(HM226,","))&amp;",",","&amp;SUBSTITUTE(input_program," ","")&amp;",")))=COUNTA(TEXTSPLIT(HM226,",")))))</f>
        <v/>
      </c>
      <c r="JO226" s="19">
        <f>AND(IF(HO226="",TRUE,IF(input_story_categories="",FALSE,SUMPRODUCT(--ISNUMBER(SEARCH(","&amp;TRIM(TEXTSPLIT(HO226,","))&amp;",",","&amp;SUBSTITUTE(input_story_categories," ","")&amp;",")))&gt;0)),IF(HQ226="",TRUE,IF(input_story_categories="",FALSE,SUMPRODUCT(--ISNUMBER(SEARCH(","&amp;TRIM(TEXTSPLIT(HQ226,","))&amp;",",","&amp;SUBSTITUTE(input_story_categories," ","")&amp;",")))=COUNTA(TEXTSPLIT(HQ226,",")))),IF(HS226="",TRUE,IF(input_story_categories="",TRUE,SUMPRODUCT(--ISNUMBER(SEARCH(","&amp;TRIM(TEXTSPLIT(HS226,","))&amp;",",","&amp;SUBSTITUTE(input_story_categories," ","")&amp;",")))=0)),IF(HU226="",TRUE,IF(input_story_categories="",FALSE,SUMPRODUCT(--ISNUMBER(SEARCH(","&amp;TRIM(TEXTSPLIT(HU226,","))&amp;",",","&amp;SUBSTITUTE(input_story_categories," ","")&amp;",")))&gt;0)),IF(HW226="",TRUE,IF(input_story_categories="",FALSE,SUMPRODUCT(--ISNUMBER(SEARCH(","&amp;TRIM(TEXTSPLIT(HW226,","))&amp;",",","&amp;SUBSTITUTE(input_story_categories," ","")&amp;",")))=COUNTA(TEXTSPLIT(HW226,",")))))</f>
        <v/>
      </c>
      <c r="JP226" s="19">
        <f>AND(IF(HY226="",TRUE,IF(input_story_type="",FALSE,SUMPRODUCT(--ISNUMBER(SEARCH(","&amp;TRIM(TEXTSPLIT(HY226,","))&amp;",",","&amp;SUBSTITUTE(input_story_type," ","")&amp;",")))&gt;0)),IF(IA226="",TRUE,IF(input_story_type="",FALSE,SUMPRODUCT(--ISNUMBER(SEARCH(","&amp;TRIM(TEXTSPLIT(IA226,","))&amp;",",","&amp;SUBSTITUTE(input_story_type," ","")&amp;",")))=COUNTA(TEXTSPLIT(IA226,",")))),IF(IC226="",TRUE,IF(input_story_type="",TRUE,SUMPRODUCT(--ISNUMBER(SEARCH(","&amp;TRIM(TEXTSPLIT(IC226,","))&amp;",",","&amp;SUBSTITUTE(input_story_type," ","")&amp;",")))=0)),IF(IE226="",TRUE,IF(input_story_type="",FALSE,SUMPRODUCT(--ISNUMBER(SEARCH(","&amp;TRIM(TEXTSPLIT(IE226,","))&amp;",",","&amp;SUBSTITUTE(input_story_type," ","")&amp;",")))&gt;0)),IF(IG226="",TRUE,IF(input_story_type="",FALSE,SUMPRODUCT(--ISNUMBER(SEARCH(","&amp;TRIM(TEXTSPLIT(IG226,","))&amp;",",","&amp;SUBSTITUTE(input_story_type," ","")&amp;",")))=COUNTA(TEXTSPLIT(IG226,",")))))</f>
        <v/>
      </c>
      <c r="JQ226" s="19">
        <f>AND(IF(II226="",TRUE,IF(input_topics="",FALSE,SUMPRODUCT(--ISNUMBER(SEARCH(","&amp;TRIM(TEXTSPLIT(II226,","))&amp;",",","&amp;SUBSTITUTE(input_topics," ","")&amp;",")))&gt;0)),IF(IK226="",TRUE,IF(input_topics="",FALSE,SUMPRODUCT(--ISNUMBER(SEARCH(","&amp;TRIM(TEXTSPLIT(IK226,","))&amp;",",","&amp;SUBSTITUTE(input_topics," ","")&amp;",")))=COUNTA(TEXTSPLIT(IK226,",")))),IF(IM226="",TRUE,IF(input_topics="",TRUE,SUMPRODUCT(--ISNUMBER(SEARCH(","&amp;TRIM(TEXTSPLIT(IM226,","))&amp;",",","&amp;SUBSTITUTE(input_topics," ","")&amp;",")))=0)),IF(IO226="",TRUE,IF(input_topics="",FALSE,SUMPRODUCT(--ISNUMBER(SEARCH(","&amp;TRIM(TEXTSPLIT(IO226,","))&amp;",",","&amp;SUBSTITUTE(input_topics," ","")&amp;",")))&gt;0)),IF(IQ226="",TRUE,IF(input_topics="",FALSE,SUMPRODUCT(--ISNUMBER(SEARCH(","&amp;TRIM(TEXTSPLIT(IQ226,","))&amp;",",","&amp;SUBSTITUTE(input_topics," ","")&amp;",")))=COUNTA(TEXTSPLIT(IQ226,",")))))</f>
        <v/>
      </c>
    </row>
    <row r="227">
      <c r="A227" s="24">
        <f>IF(NOT(IS227),"Excluded",IF(AND(IT227,IU227,IV227,IW227,IX227,IY227,IZ227,JA227,JB227,JC227,JD227,JE227,JF227,JG227,JH227,JI227,JJ227,JK227,JL227,JM227,JN227,JO227,JP227,JQ227),IF(I227&gt;0,"Eligible but limited","Will appear"),"Excluded"))</f>
        <v/>
      </c>
      <c r="B227" s="24" t="inlineStr">
        <is>
          <t>Student Ambassadors</t>
        </is>
      </c>
      <c r="C227" s="27" t="inlineStr">
        <is>
          <t>/programs/mba/admissions/student-ambassadors</t>
        </is>
      </c>
      <c r="D227" s="24" t="inlineStr">
        <is>
          <t>/programs/mba/admissions/student-ambassadors</t>
        </is>
      </c>
      <c r="E227" s="24" t="n">
        <v>1</v>
      </c>
      <c r="F227" s="24" t="inlineStr">
        <is>
          <t>profile</t>
        </is>
      </c>
      <c r="G227" s="24" t="inlineStr">
        <is>
          <t>profiles_grid</t>
        </is>
      </c>
      <c r="H227" s="24" t="inlineStr">
        <is>
          <t>embed_3</t>
        </is>
      </c>
      <c r="I227" s="24" t="n"/>
      <c r="J227" s="28" t="inlineStr">
        <is>
          <t>Explicit args</t>
        </is>
      </c>
      <c r="K227" s="24" t="inlineStr">
        <is>
          <t>Page placement</t>
        </is>
      </c>
      <c r="L227" s="24" t="inlineStr">
        <is>
          <t>Content type: profile; Needs any Profile Type: Ambassador (1552); Context uses Program: MBA (4); Source: Explicit args</t>
        </is>
      </c>
      <c r="GU227" s="19" t="inlineStr">
        <is>
          <t>1552</t>
        </is>
      </c>
      <c r="GV227" s="19" t="inlineStr">
        <is>
          <t>Ambassador (1552)</t>
        </is>
      </c>
      <c r="HK227" s="19" t="inlineStr">
        <is>
          <t>4</t>
        </is>
      </c>
      <c r="HL227" s="19" t="inlineStr">
        <is>
          <t>MBA (4)</t>
        </is>
      </c>
      <c r="IS227" s="19">
        <f>IF(input_content_type="",FALSE,ISNUMBER(SEARCH(","&amp;LOWER(input_content_type)&amp;",",","&amp;LOWER(SUBSTITUTE(F227," ",""))&amp;",")))</f>
        <v/>
      </c>
      <c r="IT227" s="19">
        <f>AND(IF(M227="",TRUE,IF(input_affiliations="",FALSE,SUMPRODUCT(--ISNUMBER(SEARCH(","&amp;TRIM(TEXTSPLIT(M227,","))&amp;",",","&amp;SUBSTITUTE(input_affiliations," ","")&amp;",")))&gt;0)),IF(O227="",TRUE,IF(input_affiliations="",FALSE,SUMPRODUCT(--ISNUMBER(SEARCH(","&amp;TRIM(TEXTSPLIT(O227,","))&amp;",",","&amp;SUBSTITUTE(input_affiliations," ","")&amp;",")))=COUNTA(TEXTSPLIT(O227,",")))),IF(Q227="",TRUE,IF(input_affiliations="",TRUE,SUMPRODUCT(--ISNUMBER(SEARCH(","&amp;TRIM(TEXTSPLIT(Q227,","))&amp;",",","&amp;SUBSTITUTE(input_affiliations," ","")&amp;",")))=0)),IF(S227="",TRUE,IF(input_affiliations="",FALSE,SUMPRODUCT(--ISNUMBER(SEARCH(","&amp;TRIM(TEXTSPLIT(S227,","))&amp;",",","&amp;SUBSTITUTE(input_affiliations," ","")&amp;",")))&gt;0)),IF(U227="",TRUE,IF(input_affiliations="",FALSE,SUMPRODUCT(--ISNUMBER(SEARCH(","&amp;TRIM(TEXTSPLIT(U227,","))&amp;",",","&amp;SUBSTITUTE(input_affiliations," ","")&amp;",")))=COUNTA(TEXTSPLIT(U227,",")))))</f>
        <v/>
      </c>
      <c r="IU227" s="19">
        <f>AND(IF(W227="",TRUE,IF(input_announcement_category="",FALSE,SUMPRODUCT(--ISNUMBER(SEARCH(","&amp;TRIM(TEXTSPLIT(W227,","))&amp;",",","&amp;SUBSTITUTE(input_announcement_category," ","")&amp;",")))&gt;0)),IF(Y227="",TRUE,IF(input_announcement_category="",FALSE,SUMPRODUCT(--ISNUMBER(SEARCH(","&amp;TRIM(TEXTSPLIT(Y227,","))&amp;",",","&amp;SUBSTITUTE(input_announcement_category," ","")&amp;",")))=COUNTA(TEXTSPLIT(Y227,",")))),IF(AA227="",TRUE,IF(input_announcement_category="",TRUE,SUMPRODUCT(--ISNUMBER(SEARCH(","&amp;TRIM(TEXTSPLIT(AA227,","))&amp;",",","&amp;SUBSTITUTE(input_announcement_category," ","")&amp;",")))=0)),IF(AC227="",TRUE,IF(input_announcement_category="",FALSE,SUMPRODUCT(--ISNUMBER(SEARCH(","&amp;TRIM(TEXTSPLIT(AC227,","))&amp;",",","&amp;SUBSTITUTE(input_announcement_category," ","")&amp;",")))&gt;0)),IF(AE227="",TRUE,IF(input_announcement_category="",FALSE,SUMPRODUCT(--ISNUMBER(SEARCH(","&amp;TRIM(TEXTSPLIT(AE227,","))&amp;",",","&amp;SUBSTITUTE(input_announcement_category," ","")&amp;",")))=COUNTA(TEXTSPLIT(AE227,",")))))</f>
        <v/>
      </c>
      <c r="IV227" s="19">
        <f>AND(IF(AG227="",TRUE,IF(input_area_of_focus="",FALSE,SUMPRODUCT(--ISNUMBER(SEARCH(","&amp;TRIM(TEXTSPLIT(AG227,","))&amp;",",","&amp;SUBSTITUTE(input_area_of_focus," ","")&amp;",")))&gt;0)),IF(AI227="",TRUE,IF(input_area_of_focus="",FALSE,SUMPRODUCT(--ISNUMBER(SEARCH(","&amp;TRIM(TEXTSPLIT(AI227,","))&amp;",",","&amp;SUBSTITUTE(input_area_of_focus," ","")&amp;",")))=COUNTA(TEXTSPLIT(AI227,",")))),IF(AK227="",TRUE,IF(input_area_of_focus="",TRUE,SUMPRODUCT(--ISNUMBER(SEARCH(","&amp;TRIM(TEXTSPLIT(AK227,","))&amp;",",","&amp;SUBSTITUTE(input_area_of_focus," ","")&amp;",")))=0)),IF(AM227="",TRUE,IF(input_area_of_focus="",FALSE,SUMPRODUCT(--ISNUMBER(SEARCH(","&amp;TRIM(TEXTSPLIT(AM227,","))&amp;",",","&amp;SUBSTITUTE(input_area_of_focus," ","")&amp;",")))&gt;0)),IF(AO227="",TRUE,IF(input_area_of_focus="",FALSE,SUMPRODUCT(--ISNUMBER(SEARCH(","&amp;TRIM(TEXTSPLIT(AO227,","))&amp;",",","&amp;SUBSTITUTE(input_area_of_focus," ","")&amp;",")))=COUNTA(TEXTSPLIT(AO227,",")))))</f>
        <v/>
      </c>
      <c r="IW227" s="19">
        <f>AND(IF(AQ227="",TRUE,IF(input_audience="",FALSE,SUMPRODUCT(--ISNUMBER(SEARCH(","&amp;TRIM(TEXTSPLIT(AQ227,","))&amp;",",","&amp;SUBSTITUTE(input_audience," ","")&amp;",")))&gt;0)),IF(AS227="",TRUE,IF(input_audience="",FALSE,SUMPRODUCT(--ISNUMBER(SEARCH(","&amp;TRIM(TEXTSPLIT(AS227,","))&amp;",",","&amp;SUBSTITUTE(input_audience," ","")&amp;",")))=COUNTA(TEXTSPLIT(AS227,",")))),IF(AU227="",TRUE,IF(input_audience="",TRUE,SUMPRODUCT(--ISNUMBER(SEARCH(","&amp;TRIM(TEXTSPLIT(AU227,","))&amp;",",","&amp;SUBSTITUTE(input_audience," ","")&amp;",")))=0)),IF(AW227="",TRUE,IF(input_audience="",FALSE,SUMPRODUCT(--ISNUMBER(SEARCH(","&amp;TRIM(TEXTSPLIT(AW227,","))&amp;",",","&amp;SUBSTITUTE(input_audience," ","")&amp;",")))&gt;0)),IF(AY227="",TRUE,IF(input_audience="",FALSE,SUMPRODUCT(--ISNUMBER(SEARCH(","&amp;TRIM(TEXTSPLIT(AY227,","))&amp;",",","&amp;SUBSTITUTE(input_audience," ","")&amp;",")))=COUNTA(TEXTSPLIT(AY227,",")))))</f>
        <v/>
      </c>
      <c r="IX227" s="19">
        <f>AND(IF(BA227="",TRUE,IF(input_challenge_opportunities="",FALSE,SUMPRODUCT(--ISNUMBER(SEARCH(","&amp;TRIM(TEXTSPLIT(BA227,","))&amp;",",","&amp;SUBSTITUTE(input_challenge_opportunities," ","")&amp;",")))&gt;0)),IF(BC227="",TRUE,IF(input_challenge_opportunities="",FALSE,SUMPRODUCT(--ISNUMBER(SEARCH(","&amp;TRIM(TEXTSPLIT(BC227,","))&amp;",",","&amp;SUBSTITUTE(input_challenge_opportunities," ","")&amp;",")))=COUNTA(TEXTSPLIT(BC227,",")))),IF(BE227="",TRUE,IF(input_challenge_opportunities="",TRUE,SUMPRODUCT(--ISNUMBER(SEARCH(","&amp;TRIM(TEXTSPLIT(BE227,","))&amp;",",","&amp;SUBSTITUTE(input_challenge_opportunities," ","")&amp;",")))=0)),IF(BG227="",TRUE,IF(input_challenge_opportunities="",FALSE,SUMPRODUCT(--ISNUMBER(SEARCH(","&amp;TRIM(TEXTSPLIT(BG227,","))&amp;",",","&amp;SUBSTITUTE(input_challenge_opportunities," ","")&amp;",")))&gt;0)),IF(BI227="",TRUE,IF(input_challenge_opportunities="",FALSE,SUMPRODUCT(--ISNUMBER(SEARCH(","&amp;TRIM(TEXTSPLIT(BI227,","))&amp;",",","&amp;SUBSTITUTE(input_challenge_opportunities," ","")&amp;",")))=COUNTA(TEXTSPLIT(BI227,",")))))</f>
        <v/>
      </c>
      <c r="IY227" s="19">
        <f>AND(IF(BK227="",TRUE,IF(input_context="",FALSE,SUMPRODUCT(--ISNUMBER(SEARCH(","&amp;TRIM(TEXTSPLIT(BK227,","))&amp;",",","&amp;SUBSTITUTE(input_context," ","")&amp;",")))&gt;0)),IF(BM227="",TRUE,IF(input_context="",FALSE,SUMPRODUCT(--ISNUMBER(SEARCH(","&amp;TRIM(TEXTSPLIT(BM227,","))&amp;",",","&amp;SUBSTITUTE(input_context," ","")&amp;",")))=COUNTA(TEXTSPLIT(BM227,",")))),IF(BO227="",TRUE,IF(input_context="",TRUE,SUMPRODUCT(--ISNUMBER(SEARCH(","&amp;TRIM(TEXTSPLIT(BO227,","))&amp;",",","&amp;SUBSTITUTE(input_context," ","")&amp;",")))=0)),IF(BQ227="",TRUE,IF(input_context="",FALSE,SUMPRODUCT(--ISNUMBER(SEARCH(","&amp;TRIM(TEXTSPLIT(BQ227,","))&amp;",",","&amp;SUBSTITUTE(input_context," ","")&amp;",")))&gt;0)),IF(BS227="",TRUE,IF(input_context="",FALSE,SUMPRODUCT(--ISNUMBER(SEARCH(","&amp;TRIM(TEXTSPLIT(BS227,","))&amp;",",","&amp;SUBSTITUTE(input_context," ","")&amp;",")))=COUNTA(TEXTSPLIT(BS227,",")))))</f>
        <v/>
      </c>
      <c r="IZ227" s="19">
        <f>AND(IF(BU227="",TRUE,IF(input_enews_announcement_type="",FALSE,SUMPRODUCT(--ISNUMBER(SEARCH(","&amp;TRIM(TEXTSPLIT(BU227,","))&amp;",",","&amp;SUBSTITUTE(input_enews_announcement_type," ","")&amp;",")))&gt;0)),IF(BW227="",TRUE,IF(input_enews_announcement_type="",FALSE,SUMPRODUCT(--ISNUMBER(SEARCH(","&amp;TRIM(TEXTSPLIT(BW227,","))&amp;",",","&amp;SUBSTITUTE(input_enews_announcement_type," ","")&amp;",")))=COUNTA(TEXTSPLIT(BW227,",")))),IF(BY227="",TRUE,IF(input_enews_announcement_type="",TRUE,SUMPRODUCT(--ISNUMBER(SEARCH(","&amp;TRIM(TEXTSPLIT(BY227,","))&amp;",",","&amp;SUBSTITUTE(input_enews_announcement_type," ","")&amp;",")))=0)),IF(CA227="",TRUE,IF(input_enews_announcement_type="",FALSE,SUMPRODUCT(--ISNUMBER(SEARCH(","&amp;TRIM(TEXTSPLIT(CA227,","))&amp;",",","&amp;SUBSTITUTE(input_enews_announcement_type," ","")&amp;",")))&gt;0)),IF(CC227="",TRUE,IF(input_enews_announcement_type="",FALSE,SUMPRODUCT(--ISNUMBER(SEARCH(","&amp;TRIM(TEXTSPLIT(CC227,","))&amp;",",","&amp;SUBSTITUTE(input_enews_announcement_type," ","")&amp;",")))=COUNTA(TEXTSPLIT(CC227,",")))))</f>
        <v/>
      </c>
      <c r="JA227" s="19">
        <f>AND(IF(CE227="",TRUE,IF(input_enews_audience="",FALSE,SUMPRODUCT(--ISNUMBER(SEARCH(","&amp;TRIM(TEXTSPLIT(CE227,","))&amp;",",","&amp;SUBSTITUTE(input_enews_audience," ","")&amp;",")))&gt;0)),IF(CG227="",TRUE,IF(input_enews_audience="",FALSE,SUMPRODUCT(--ISNUMBER(SEARCH(","&amp;TRIM(TEXTSPLIT(CG227,","))&amp;",",","&amp;SUBSTITUTE(input_enews_audience," ","")&amp;",")))=COUNTA(TEXTSPLIT(CG227,",")))),IF(CI227="",TRUE,IF(input_enews_audience="",TRUE,SUMPRODUCT(--ISNUMBER(SEARCH(","&amp;TRIM(TEXTSPLIT(CI227,","))&amp;",",","&amp;SUBSTITUTE(input_enews_audience," ","")&amp;",")))=0)),IF(CK227="",TRUE,IF(input_enews_audience="",FALSE,SUMPRODUCT(--ISNUMBER(SEARCH(","&amp;TRIM(TEXTSPLIT(CK227,","))&amp;",",","&amp;SUBSTITUTE(input_enews_audience," ","")&amp;",")))&gt;0)),IF(CM227="",TRUE,IF(input_enews_audience="",FALSE,SUMPRODUCT(--ISNUMBER(SEARCH(","&amp;TRIM(TEXTSPLIT(CM227,","))&amp;",",","&amp;SUBSTITUTE(input_enews_audience," ","")&amp;",")))=COUNTA(TEXTSPLIT(CM227,",")))))</f>
        <v/>
      </c>
      <c r="JB227" s="19">
        <f>AND(IF(CO227="",TRUE,IF(input_event_location="",FALSE,SUMPRODUCT(--ISNUMBER(SEARCH(","&amp;TRIM(TEXTSPLIT(CO227,","))&amp;",",","&amp;SUBSTITUTE(input_event_location," ","")&amp;",")))&gt;0)),IF(CQ227="",TRUE,IF(input_event_location="",FALSE,SUMPRODUCT(--ISNUMBER(SEARCH(","&amp;TRIM(TEXTSPLIT(CQ227,","))&amp;",",","&amp;SUBSTITUTE(input_event_location," ","")&amp;",")))=COUNTA(TEXTSPLIT(CQ227,",")))),IF(CS227="",TRUE,IF(input_event_location="",TRUE,SUMPRODUCT(--ISNUMBER(SEARCH(","&amp;TRIM(TEXTSPLIT(CS227,","))&amp;",",","&amp;SUBSTITUTE(input_event_location," ","")&amp;",")))=0)),IF(CU227="",TRUE,IF(input_event_location="",FALSE,SUMPRODUCT(--ISNUMBER(SEARCH(","&amp;TRIM(TEXTSPLIT(CU227,","))&amp;",",","&amp;SUBSTITUTE(input_event_location," ","")&amp;",")))&gt;0)),IF(CW227="",TRUE,IF(input_event_location="",FALSE,SUMPRODUCT(--ISNUMBER(SEARCH(","&amp;TRIM(TEXTSPLIT(CW227,","))&amp;",",","&amp;SUBSTITUTE(input_event_location," ","")&amp;",")))=COUNTA(TEXTSPLIT(CW227,",")))))</f>
        <v/>
      </c>
      <c r="JC227" s="19">
        <f>AND(IF(CY227="",TRUE,IF(input_event_type="",FALSE,SUMPRODUCT(--ISNUMBER(SEARCH(","&amp;TRIM(TEXTSPLIT(CY227,","))&amp;",",","&amp;SUBSTITUTE(input_event_type," ","")&amp;",")))&gt;0)),IF(DA227="",TRUE,IF(input_event_type="",FALSE,SUMPRODUCT(--ISNUMBER(SEARCH(","&amp;TRIM(TEXTSPLIT(DA227,","))&amp;",",","&amp;SUBSTITUTE(input_event_type," ","")&amp;",")))=COUNTA(TEXTSPLIT(DA227,",")))),IF(DC227="",TRUE,IF(input_event_type="",TRUE,SUMPRODUCT(--ISNUMBER(SEARCH(","&amp;TRIM(TEXTSPLIT(DC227,","))&amp;",",","&amp;SUBSTITUTE(input_event_type," ","")&amp;",")))=0)),IF(DE227="",TRUE,IF(input_event_type="",FALSE,SUMPRODUCT(--ISNUMBER(SEARCH(","&amp;TRIM(TEXTSPLIT(DE227,","))&amp;",",","&amp;SUBSTITUTE(input_event_type," ","")&amp;",")))&gt;0)),IF(DG227="",TRUE,IF(input_event_type="",FALSE,SUMPRODUCT(--ISNUMBER(SEARCH(","&amp;TRIM(TEXTSPLIT(DG227,","))&amp;",",","&amp;SUBSTITUTE(input_event_type," ","")&amp;",")))=COUNTA(TEXTSPLIT(DG227,",")))))</f>
        <v/>
      </c>
      <c r="JD227" s="19">
        <f>AND(IF(DI227="",TRUE,IF(input_executive_education_focus="",FALSE,SUMPRODUCT(--ISNUMBER(SEARCH(","&amp;TRIM(TEXTSPLIT(DI227,","))&amp;",",","&amp;SUBSTITUTE(input_executive_education_focus," ","")&amp;",")))&gt;0)),IF(DK227="",TRUE,IF(input_executive_education_focus="",FALSE,SUMPRODUCT(--ISNUMBER(SEARCH(","&amp;TRIM(TEXTSPLIT(DK227,","))&amp;",",","&amp;SUBSTITUTE(input_executive_education_focus," ","")&amp;",")))=COUNTA(TEXTSPLIT(DK227,",")))),IF(DM227="",TRUE,IF(input_executive_education_focus="",TRUE,SUMPRODUCT(--ISNUMBER(SEARCH(","&amp;TRIM(TEXTSPLIT(DM227,","))&amp;",",","&amp;SUBSTITUTE(input_executive_education_focus," ","")&amp;",")))=0)),IF(DO227="",TRUE,IF(input_executive_education_focus="",FALSE,SUMPRODUCT(--ISNUMBER(SEARCH(","&amp;TRIM(TEXTSPLIT(DO227,","))&amp;",",","&amp;SUBSTITUTE(input_executive_education_focus," ","")&amp;",")))&gt;0)),IF(DQ227="",TRUE,IF(input_executive_education_focus="",FALSE,SUMPRODUCT(--ISNUMBER(SEARCH(","&amp;TRIM(TEXTSPLIT(DQ227,","))&amp;",",","&amp;SUBSTITUTE(input_executive_education_focus," ","")&amp;",")))=COUNTA(TEXTSPLIT(DQ227,",")))))</f>
        <v/>
      </c>
      <c r="JE227" s="19">
        <f>AND(IF(DS227="",TRUE,IF(input_faculty_category="",FALSE,SUMPRODUCT(--ISNUMBER(SEARCH(","&amp;TRIM(TEXTSPLIT(DS227,","))&amp;",",","&amp;SUBSTITUTE(input_faculty_category," ","")&amp;",")))&gt;0)),IF(DU227="",TRUE,IF(input_faculty_category="",FALSE,SUMPRODUCT(--ISNUMBER(SEARCH(","&amp;TRIM(TEXTSPLIT(DU227,","))&amp;",",","&amp;SUBSTITUTE(input_faculty_category," ","")&amp;",")))=COUNTA(TEXTSPLIT(DU227,",")))),IF(DW227="",TRUE,IF(input_faculty_category="",TRUE,SUMPRODUCT(--ISNUMBER(SEARCH(","&amp;TRIM(TEXTSPLIT(DW227,","))&amp;",",","&amp;SUBSTITUTE(input_faculty_category," ","")&amp;",")))=0)),IF(DY227="",TRUE,IF(input_faculty_category="",FALSE,SUMPRODUCT(--ISNUMBER(SEARCH(","&amp;TRIM(TEXTSPLIT(DY227,","))&amp;",",","&amp;SUBSTITUTE(input_faculty_category," ","")&amp;",")))&gt;0)),IF(EA227="",TRUE,IF(input_faculty_category="",FALSE,SUMPRODUCT(--ISNUMBER(SEARCH(","&amp;TRIM(TEXTSPLIT(EA227,","))&amp;",",","&amp;SUBSTITUTE(input_faculty_category," ","")&amp;",")))=COUNTA(TEXTSPLIT(EA227,",")))))</f>
        <v/>
      </c>
      <c r="JF227" s="19">
        <f>AND(IF(EC227="",TRUE,IF(input_faculty_discipline="",FALSE,SUMPRODUCT(--ISNUMBER(SEARCH(","&amp;TRIM(TEXTSPLIT(EC227,","))&amp;",",","&amp;SUBSTITUTE(input_faculty_discipline," ","")&amp;",")))&gt;0)),IF(EE227="",TRUE,IF(input_faculty_discipline="",FALSE,SUMPRODUCT(--ISNUMBER(SEARCH(","&amp;TRIM(TEXTSPLIT(EE227,","))&amp;",",","&amp;SUBSTITUTE(input_faculty_discipline," ","")&amp;",")))=COUNTA(TEXTSPLIT(EE227,",")))),IF(EG227="",TRUE,IF(input_faculty_discipline="",TRUE,SUMPRODUCT(--ISNUMBER(SEARCH(","&amp;TRIM(TEXTSPLIT(EG227,","))&amp;",",","&amp;SUBSTITUTE(input_faculty_discipline," ","")&amp;",")))=0)),IF(EI227="",TRUE,IF(input_faculty_discipline="",FALSE,SUMPRODUCT(--ISNUMBER(SEARCH(","&amp;TRIM(TEXTSPLIT(EI227,","))&amp;",",","&amp;SUBSTITUTE(input_faculty_discipline," ","")&amp;",")))&gt;0)),IF(EK227="",TRUE,IF(input_faculty_discipline="",FALSE,SUMPRODUCT(--ISNUMBER(SEARCH(","&amp;TRIM(TEXTSPLIT(EK227,","))&amp;",",","&amp;SUBSTITUTE(input_faculty_discipline," ","")&amp;",")))=COUNTA(TEXTSPLIT(EK227,",")))))</f>
        <v/>
      </c>
      <c r="JG227" s="19">
        <f>AND(IF(EM227="",TRUE,IF(input_faculty_expertise="",FALSE,SUMPRODUCT(--ISNUMBER(SEARCH(","&amp;TRIM(TEXTSPLIT(EM227,","))&amp;",",","&amp;SUBSTITUTE(input_faculty_expertise," ","")&amp;",")))&gt;0)),IF(EO227="",TRUE,IF(input_faculty_expertise="",FALSE,SUMPRODUCT(--ISNUMBER(SEARCH(","&amp;TRIM(TEXTSPLIT(EO227,","))&amp;",",","&amp;SUBSTITUTE(input_faculty_expertise," ","")&amp;",")))=COUNTA(TEXTSPLIT(EO227,",")))),IF(EQ227="",TRUE,IF(input_faculty_expertise="",TRUE,SUMPRODUCT(--ISNUMBER(SEARCH(","&amp;TRIM(TEXTSPLIT(EQ227,","))&amp;",",","&amp;SUBSTITUTE(input_faculty_expertise," ","")&amp;",")))=0)),IF(ES227="",TRUE,IF(input_faculty_expertise="",FALSE,SUMPRODUCT(--ISNUMBER(SEARCH(","&amp;TRIM(TEXTSPLIT(ES227,","))&amp;",",","&amp;SUBSTITUTE(input_faculty_expertise," ","")&amp;",")))&gt;0)),IF(EU227="",TRUE,IF(input_faculty_expertise="",FALSE,SUMPRODUCT(--ISNUMBER(SEARCH(","&amp;TRIM(TEXTSPLIT(EU227,","))&amp;",",","&amp;SUBSTITUTE(input_faculty_expertise," ","")&amp;",")))=COUNTA(TEXTSPLIT(EU227,",")))))</f>
        <v/>
      </c>
      <c r="JH227" s="19">
        <f>AND(IF(EW227="",TRUE,IF(input_global_network_school="",FALSE,SUMPRODUCT(--ISNUMBER(SEARCH(","&amp;TRIM(TEXTSPLIT(EW227,","))&amp;",",","&amp;SUBSTITUTE(input_global_network_school," ","")&amp;",")))&gt;0)),IF(EY227="",TRUE,IF(input_global_network_school="",FALSE,SUMPRODUCT(--ISNUMBER(SEARCH(","&amp;TRIM(TEXTSPLIT(EY227,","))&amp;",",","&amp;SUBSTITUTE(input_global_network_school," ","")&amp;",")))=COUNTA(TEXTSPLIT(EY227,",")))),IF(FA227="",TRUE,IF(input_global_network_school="",TRUE,SUMPRODUCT(--ISNUMBER(SEARCH(","&amp;TRIM(TEXTSPLIT(FA227,","))&amp;",",","&amp;SUBSTITUTE(input_global_network_school," ","")&amp;",")))=0)),IF(FC227="",TRUE,IF(input_global_network_school="",FALSE,SUMPRODUCT(--ISNUMBER(SEARCH(","&amp;TRIM(TEXTSPLIT(FC227,","))&amp;",",","&amp;SUBSTITUTE(input_global_network_school," ","")&amp;",")))&gt;0)),IF(FE227="",TRUE,IF(input_global_network_school="",FALSE,SUMPRODUCT(--ISNUMBER(SEARCH(","&amp;TRIM(TEXTSPLIT(FE227,","))&amp;",",","&amp;SUBSTITUTE(input_global_network_school," ","")&amp;",")))=COUNTA(TEXTSPLIT(FE227,",")))))</f>
        <v/>
      </c>
      <c r="JI227" s="19">
        <f>AND(IF(FG227="",TRUE,IF(input_industry="",FALSE,SUMPRODUCT(--ISNUMBER(SEARCH(","&amp;TRIM(TEXTSPLIT(FG227,","))&amp;",",","&amp;SUBSTITUTE(input_industry," ","")&amp;",")))&gt;0)),IF(FI227="",TRUE,IF(input_industry="",FALSE,SUMPRODUCT(--ISNUMBER(SEARCH(","&amp;TRIM(TEXTSPLIT(FI227,","))&amp;",",","&amp;SUBSTITUTE(input_industry," ","")&amp;",")))=COUNTA(TEXTSPLIT(FI227,",")))),IF(FK227="",TRUE,IF(input_industry="",TRUE,SUMPRODUCT(--ISNUMBER(SEARCH(","&amp;TRIM(TEXTSPLIT(FK227,","))&amp;",",","&amp;SUBSTITUTE(input_industry," ","")&amp;",")))=0)),IF(FM227="",TRUE,IF(input_industry="",FALSE,SUMPRODUCT(--ISNUMBER(SEARCH(","&amp;TRIM(TEXTSPLIT(FM227,","))&amp;",",","&amp;SUBSTITUTE(input_industry," ","")&amp;",")))&gt;0)),IF(FO227="",TRUE,IF(input_industry="",FALSE,SUMPRODUCT(--ISNUMBER(SEARCH(","&amp;TRIM(TEXTSPLIT(FO227,","))&amp;",",","&amp;SUBSTITUTE(input_industry," ","")&amp;",")))=COUNTA(TEXTSPLIT(FO227,",")))))</f>
        <v/>
      </c>
      <c r="JJ227" s="19">
        <f>AND(IF(FQ227="",TRUE,IF(input_location="",FALSE,SUMPRODUCT(--ISNUMBER(SEARCH(","&amp;TRIM(TEXTSPLIT(FQ227,","))&amp;",",","&amp;SUBSTITUTE(input_location," ","")&amp;",")))&gt;0)),IF(FS227="",TRUE,IF(input_location="",FALSE,SUMPRODUCT(--ISNUMBER(SEARCH(","&amp;TRIM(TEXTSPLIT(FS227,","))&amp;",",","&amp;SUBSTITUTE(input_location," ","")&amp;",")))=COUNTA(TEXTSPLIT(FS227,",")))),IF(FU227="",TRUE,IF(input_location="",TRUE,SUMPRODUCT(--ISNUMBER(SEARCH(","&amp;TRIM(TEXTSPLIT(FU227,","))&amp;",",","&amp;SUBSTITUTE(input_location," ","")&amp;",")))=0)),IF(FW227="",TRUE,IF(input_location="",FALSE,SUMPRODUCT(--ISNUMBER(SEARCH(","&amp;TRIM(TEXTSPLIT(FW227,","))&amp;",",","&amp;SUBSTITUTE(input_location," ","")&amp;",")))&gt;0)),IF(FY227="",TRUE,IF(input_location="",FALSE,SUMPRODUCT(--ISNUMBER(SEARCH(","&amp;TRIM(TEXTSPLIT(FY227,","))&amp;",",","&amp;SUBSTITUTE(input_location," ","")&amp;",")))=COUNTA(TEXTSPLIT(FY227,",")))))</f>
        <v/>
      </c>
      <c r="JK227" s="19">
        <f>AND(IF(GA227="",TRUE,IF(input_modality="",FALSE,SUMPRODUCT(--ISNUMBER(SEARCH(","&amp;TRIM(TEXTSPLIT(GA227,","))&amp;",",","&amp;SUBSTITUTE(input_modality," ","")&amp;",")))&gt;0)),IF(GC227="",TRUE,IF(input_modality="",FALSE,SUMPRODUCT(--ISNUMBER(SEARCH(","&amp;TRIM(TEXTSPLIT(GC227,","))&amp;",",","&amp;SUBSTITUTE(input_modality," ","")&amp;",")))=COUNTA(TEXTSPLIT(GC227,",")))),IF(GE227="",TRUE,IF(input_modality="",TRUE,SUMPRODUCT(--ISNUMBER(SEARCH(","&amp;TRIM(TEXTSPLIT(GE227,","))&amp;",",","&amp;SUBSTITUTE(input_modality," ","")&amp;",")))=0)),IF(GG227="",TRUE,IF(input_modality="",FALSE,SUMPRODUCT(--ISNUMBER(SEARCH(","&amp;TRIM(TEXTSPLIT(GG227,","))&amp;",",","&amp;SUBSTITUTE(input_modality," ","")&amp;",")))&gt;0)),IF(GI227="",TRUE,IF(input_modality="",FALSE,SUMPRODUCT(--ISNUMBER(SEARCH(","&amp;TRIM(TEXTSPLIT(GI227,","))&amp;",",","&amp;SUBSTITUTE(input_modality," ","")&amp;",")))=COUNTA(TEXTSPLIT(GI227,",")))))</f>
        <v/>
      </c>
      <c r="JL227" s="19">
        <f>AND(IF(GK227="",TRUE,IF(input_organizer="",FALSE,SUMPRODUCT(--ISNUMBER(SEARCH(","&amp;TRIM(TEXTSPLIT(GK227,","))&amp;",",","&amp;SUBSTITUTE(input_organizer," ","")&amp;",")))&gt;0)),IF(GM227="",TRUE,IF(input_organizer="",FALSE,SUMPRODUCT(--ISNUMBER(SEARCH(","&amp;TRIM(TEXTSPLIT(GM227,","))&amp;",",","&amp;SUBSTITUTE(input_organizer," ","")&amp;",")))=COUNTA(TEXTSPLIT(GM227,",")))),IF(GO227="",TRUE,IF(input_organizer="",TRUE,SUMPRODUCT(--ISNUMBER(SEARCH(","&amp;TRIM(TEXTSPLIT(GO227,","))&amp;",",","&amp;SUBSTITUTE(input_organizer," ","")&amp;",")))=0)),IF(GQ227="",TRUE,IF(input_organizer="",FALSE,SUMPRODUCT(--ISNUMBER(SEARCH(","&amp;TRIM(TEXTSPLIT(GQ227,","))&amp;",",","&amp;SUBSTITUTE(input_organizer," ","")&amp;",")))&gt;0)),IF(GS227="",TRUE,IF(input_organizer="",FALSE,SUMPRODUCT(--ISNUMBER(SEARCH(","&amp;TRIM(TEXTSPLIT(GS227,","))&amp;",",","&amp;SUBSTITUTE(input_organizer," ","")&amp;",")))=COUNTA(TEXTSPLIT(GS227,",")))))</f>
        <v/>
      </c>
      <c r="JM227" s="19">
        <f>AND(IF(GU227="",TRUE,IF(input_profile_type="",FALSE,SUMPRODUCT(--ISNUMBER(SEARCH(","&amp;TRIM(TEXTSPLIT(GU227,","))&amp;",",","&amp;SUBSTITUTE(input_profile_type," ","")&amp;",")))&gt;0)),IF(GW227="",TRUE,IF(input_profile_type="",FALSE,SUMPRODUCT(--ISNUMBER(SEARCH(","&amp;TRIM(TEXTSPLIT(GW227,","))&amp;",",","&amp;SUBSTITUTE(input_profile_type," ","")&amp;",")))=COUNTA(TEXTSPLIT(GW227,",")))),IF(GY227="",TRUE,IF(input_profile_type="",TRUE,SUMPRODUCT(--ISNUMBER(SEARCH(","&amp;TRIM(TEXTSPLIT(GY227,","))&amp;",",","&amp;SUBSTITUTE(input_profile_type," ","")&amp;",")))=0)),IF(HA227="",TRUE,IF(input_profile_type="",FALSE,SUMPRODUCT(--ISNUMBER(SEARCH(","&amp;TRIM(TEXTSPLIT(HA227,","))&amp;",",","&amp;SUBSTITUTE(input_profile_type," ","")&amp;",")))&gt;0)),IF(HC227="",TRUE,IF(input_profile_type="",FALSE,SUMPRODUCT(--ISNUMBER(SEARCH(","&amp;TRIM(TEXTSPLIT(HC227,","))&amp;",",","&amp;SUBSTITUTE(input_profile_type," ","")&amp;",")))=COUNTA(TEXTSPLIT(HC227,",")))))</f>
        <v/>
      </c>
      <c r="JN227" s="19">
        <f>AND(IF(HE227="",TRUE,IF(input_program="",FALSE,SUMPRODUCT(--ISNUMBER(SEARCH(","&amp;TRIM(TEXTSPLIT(HE227,","))&amp;",",","&amp;SUBSTITUTE(input_program," ","")&amp;",")))&gt;0)),IF(HG227="",TRUE,IF(input_program="",FALSE,SUMPRODUCT(--ISNUMBER(SEARCH(","&amp;TRIM(TEXTSPLIT(HG227,","))&amp;",",","&amp;SUBSTITUTE(input_program," ","")&amp;",")))=COUNTA(TEXTSPLIT(HG227,",")))),IF(HI227="",TRUE,IF(input_program="",TRUE,SUMPRODUCT(--ISNUMBER(SEARCH(","&amp;TRIM(TEXTSPLIT(HI227,","))&amp;",",","&amp;SUBSTITUTE(input_program," ","")&amp;",")))=0)),IF(HK227="",TRUE,IF(input_program="",FALSE,SUMPRODUCT(--ISNUMBER(SEARCH(","&amp;TRIM(TEXTSPLIT(HK227,","))&amp;",",","&amp;SUBSTITUTE(input_program," ","")&amp;",")))&gt;0)),IF(HM227="",TRUE,IF(input_program="",FALSE,SUMPRODUCT(--ISNUMBER(SEARCH(","&amp;TRIM(TEXTSPLIT(HM227,","))&amp;",",","&amp;SUBSTITUTE(input_program," ","")&amp;",")))=COUNTA(TEXTSPLIT(HM227,",")))))</f>
        <v/>
      </c>
      <c r="JO227" s="19">
        <f>AND(IF(HO227="",TRUE,IF(input_story_categories="",FALSE,SUMPRODUCT(--ISNUMBER(SEARCH(","&amp;TRIM(TEXTSPLIT(HO227,","))&amp;",",","&amp;SUBSTITUTE(input_story_categories," ","")&amp;",")))&gt;0)),IF(HQ227="",TRUE,IF(input_story_categories="",FALSE,SUMPRODUCT(--ISNUMBER(SEARCH(","&amp;TRIM(TEXTSPLIT(HQ227,","))&amp;",",","&amp;SUBSTITUTE(input_story_categories," ","")&amp;",")))=COUNTA(TEXTSPLIT(HQ227,",")))),IF(HS227="",TRUE,IF(input_story_categories="",TRUE,SUMPRODUCT(--ISNUMBER(SEARCH(","&amp;TRIM(TEXTSPLIT(HS227,","))&amp;",",","&amp;SUBSTITUTE(input_story_categories," ","")&amp;",")))=0)),IF(HU227="",TRUE,IF(input_story_categories="",FALSE,SUMPRODUCT(--ISNUMBER(SEARCH(","&amp;TRIM(TEXTSPLIT(HU227,","))&amp;",",","&amp;SUBSTITUTE(input_story_categories," ","")&amp;",")))&gt;0)),IF(HW227="",TRUE,IF(input_story_categories="",FALSE,SUMPRODUCT(--ISNUMBER(SEARCH(","&amp;TRIM(TEXTSPLIT(HW227,","))&amp;",",","&amp;SUBSTITUTE(input_story_categories," ","")&amp;",")))=COUNTA(TEXTSPLIT(HW227,",")))))</f>
        <v/>
      </c>
      <c r="JP227" s="19">
        <f>AND(IF(HY227="",TRUE,IF(input_story_type="",FALSE,SUMPRODUCT(--ISNUMBER(SEARCH(","&amp;TRIM(TEXTSPLIT(HY227,","))&amp;",",","&amp;SUBSTITUTE(input_story_type," ","")&amp;",")))&gt;0)),IF(IA227="",TRUE,IF(input_story_type="",FALSE,SUMPRODUCT(--ISNUMBER(SEARCH(","&amp;TRIM(TEXTSPLIT(IA227,","))&amp;",",","&amp;SUBSTITUTE(input_story_type," ","")&amp;",")))=COUNTA(TEXTSPLIT(IA227,",")))),IF(IC227="",TRUE,IF(input_story_type="",TRUE,SUMPRODUCT(--ISNUMBER(SEARCH(","&amp;TRIM(TEXTSPLIT(IC227,","))&amp;",",","&amp;SUBSTITUTE(input_story_type," ","")&amp;",")))=0)),IF(IE227="",TRUE,IF(input_story_type="",FALSE,SUMPRODUCT(--ISNUMBER(SEARCH(","&amp;TRIM(TEXTSPLIT(IE227,","))&amp;",",","&amp;SUBSTITUTE(input_story_type," ","")&amp;",")))&gt;0)),IF(IG227="",TRUE,IF(input_story_type="",FALSE,SUMPRODUCT(--ISNUMBER(SEARCH(","&amp;TRIM(TEXTSPLIT(IG227,","))&amp;",",","&amp;SUBSTITUTE(input_story_type," ","")&amp;",")))=COUNTA(TEXTSPLIT(IG227,",")))))</f>
        <v/>
      </c>
      <c r="JQ227" s="19">
        <f>AND(IF(II227="",TRUE,IF(input_topics="",FALSE,SUMPRODUCT(--ISNUMBER(SEARCH(","&amp;TRIM(TEXTSPLIT(II227,","))&amp;",",","&amp;SUBSTITUTE(input_topics," ","")&amp;",")))&gt;0)),IF(IK227="",TRUE,IF(input_topics="",FALSE,SUMPRODUCT(--ISNUMBER(SEARCH(","&amp;TRIM(TEXTSPLIT(IK227,","))&amp;",",","&amp;SUBSTITUTE(input_topics," ","")&amp;",")))=COUNTA(TEXTSPLIT(IK227,",")))),IF(IM227="",TRUE,IF(input_topics="",TRUE,SUMPRODUCT(--ISNUMBER(SEARCH(","&amp;TRIM(TEXTSPLIT(IM227,","))&amp;",",","&amp;SUBSTITUTE(input_topics," ","")&amp;",")))=0)),IF(IO227="",TRUE,IF(input_topics="",FALSE,SUMPRODUCT(--ISNUMBER(SEARCH(","&amp;TRIM(TEXTSPLIT(IO227,","))&amp;",",","&amp;SUBSTITUTE(input_topics," ","")&amp;",")))&gt;0)),IF(IQ227="",TRUE,IF(input_topics="",FALSE,SUMPRODUCT(--ISNUMBER(SEARCH(","&amp;TRIM(TEXTSPLIT(IQ227,","))&amp;",",","&amp;SUBSTITUTE(input_topics," ","")&amp;",")))=COUNTA(TEXTSPLIT(IQ227,",")))))</f>
        <v/>
      </c>
    </row>
    <row r="228">
      <c r="A228" s="24">
        <f>IF(NOT(IS228),"Excluded",IF(AND(IT228,IU228,IV228,IW228,IX228,IY228,IZ228,JA228,JB228,JC228,JD228,JE228,JF228,JG228,JH228,JI228,JJ228,JK228,JL228,JM228,JN228,JO228,JP228,JQ228),IF(I228&gt;0,"Eligible but limited","Will appear"),"Excluded"))</f>
        <v/>
      </c>
      <c r="B228" s="24" t="inlineStr">
        <is>
          <t>Student and Alumni Profiles</t>
        </is>
      </c>
      <c r="C228" s="27" t="inlineStr">
        <is>
          <t>/programs/mba/student-experience/student-and-alumni-profiles</t>
        </is>
      </c>
      <c r="D228" s="24" t="inlineStr">
        <is>
          <t>/programs/mba/student-experience/student-and-alumni-profiles</t>
        </is>
      </c>
      <c r="E228" s="24" t="n">
        <v>1</v>
      </c>
      <c r="F228" s="24" t="inlineStr">
        <is>
          <t>profile</t>
        </is>
      </c>
      <c r="G228" s="24" t="inlineStr">
        <is>
          <t>profiles_grid</t>
        </is>
      </c>
      <c r="H228" s="24" t="inlineStr">
        <is>
          <t>embed_5</t>
        </is>
      </c>
      <c r="I228" s="24" t="n">
        <v>9</v>
      </c>
      <c r="J228" s="28" t="inlineStr">
        <is>
          <t>Explicit args</t>
        </is>
      </c>
      <c r="K228" s="24" t="inlineStr">
        <is>
          <t>Page placement</t>
        </is>
      </c>
      <c r="L228" s="24" t="inlineStr">
        <is>
          <t>Content type: profile; Context uses Courses Context: MBA (92), MBA (4); Excludes Profile Type: Ambassador (1552); Limited to 9 item(s); Source: Explicit args</t>
        </is>
      </c>
      <c r="BQ228" s="19" t="inlineStr">
        <is>
          <t>92, 4</t>
        </is>
      </c>
      <c r="BR228" s="19" t="inlineStr">
        <is>
          <t>MBA (92), MBA (4)</t>
        </is>
      </c>
      <c r="GY228" s="19" t="inlineStr">
        <is>
          <t>1552</t>
        </is>
      </c>
      <c r="GZ228" s="19" t="inlineStr">
        <is>
          <t>Ambassador (1552)</t>
        </is>
      </c>
      <c r="IS228" s="19">
        <f>IF(input_content_type="",FALSE,ISNUMBER(SEARCH(","&amp;LOWER(input_content_type)&amp;",",","&amp;LOWER(SUBSTITUTE(F228," ",""))&amp;",")))</f>
        <v/>
      </c>
      <c r="IT228" s="19">
        <f>AND(IF(M228="",TRUE,IF(input_affiliations="",FALSE,SUMPRODUCT(--ISNUMBER(SEARCH(","&amp;TRIM(TEXTSPLIT(M228,","))&amp;",",","&amp;SUBSTITUTE(input_affiliations," ","")&amp;",")))&gt;0)),IF(O228="",TRUE,IF(input_affiliations="",FALSE,SUMPRODUCT(--ISNUMBER(SEARCH(","&amp;TRIM(TEXTSPLIT(O228,","))&amp;",",","&amp;SUBSTITUTE(input_affiliations," ","")&amp;",")))=COUNTA(TEXTSPLIT(O228,",")))),IF(Q228="",TRUE,IF(input_affiliations="",TRUE,SUMPRODUCT(--ISNUMBER(SEARCH(","&amp;TRIM(TEXTSPLIT(Q228,","))&amp;",",","&amp;SUBSTITUTE(input_affiliations," ","")&amp;",")))=0)),IF(S228="",TRUE,IF(input_affiliations="",FALSE,SUMPRODUCT(--ISNUMBER(SEARCH(","&amp;TRIM(TEXTSPLIT(S228,","))&amp;",",","&amp;SUBSTITUTE(input_affiliations," ","")&amp;",")))&gt;0)),IF(U228="",TRUE,IF(input_affiliations="",FALSE,SUMPRODUCT(--ISNUMBER(SEARCH(","&amp;TRIM(TEXTSPLIT(U228,","))&amp;",",","&amp;SUBSTITUTE(input_affiliations," ","")&amp;",")))=COUNTA(TEXTSPLIT(U228,",")))))</f>
        <v/>
      </c>
      <c r="IU228" s="19">
        <f>AND(IF(W228="",TRUE,IF(input_announcement_category="",FALSE,SUMPRODUCT(--ISNUMBER(SEARCH(","&amp;TRIM(TEXTSPLIT(W228,","))&amp;",",","&amp;SUBSTITUTE(input_announcement_category," ","")&amp;",")))&gt;0)),IF(Y228="",TRUE,IF(input_announcement_category="",FALSE,SUMPRODUCT(--ISNUMBER(SEARCH(","&amp;TRIM(TEXTSPLIT(Y228,","))&amp;",",","&amp;SUBSTITUTE(input_announcement_category," ","")&amp;",")))=COUNTA(TEXTSPLIT(Y228,",")))),IF(AA228="",TRUE,IF(input_announcement_category="",TRUE,SUMPRODUCT(--ISNUMBER(SEARCH(","&amp;TRIM(TEXTSPLIT(AA228,","))&amp;",",","&amp;SUBSTITUTE(input_announcement_category," ","")&amp;",")))=0)),IF(AC228="",TRUE,IF(input_announcement_category="",FALSE,SUMPRODUCT(--ISNUMBER(SEARCH(","&amp;TRIM(TEXTSPLIT(AC228,","))&amp;",",","&amp;SUBSTITUTE(input_announcement_category," ","")&amp;",")))&gt;0)),IF(AE228="",TRUE,IF(input_announcement_category="",FALSE,SUMPRODUCT(--ISNUMBER(SEARCH(","&amp;TRIM(TEXTSPLIT(AE228,","))&amp;",",","&amp;SUBSTITUTE(input_announcement_category," ","")&amp;",")))=COUNTA(TEXTSPLIT(AE228,",")))))</f>
        <v/>
      </c>
      <c r="IV228" s="19">
        <f>AND(IF(AG228="",TRUE,IF(input_area_of_focus="",FALSE,SUMPRODUCT(--ISNUMBER(SEARCH(","&amp;TRIM(TEXTSPLIT(AG228,","))&amp;",",","&amp;SUBSTITUTE(input_area_of_focus," ","")&amp;",")))&gt;0)),IF(AI228="",TRUE,IF(input_area_of_focus="",FALSE,SUMPRODUCT(--ISNUMBER(SEARCH(","&amp;TRIM(TEXTSPLIT(AI228,","))&amp;",",","&amp;SUBSTITUTE(input_area_of_focus," ","")&amp;",")))=COUNTA(TEXTSPLIT(AI228,",")))),IF(AK228="",TRUE,IF(input_area_of_focus="",TRUE,SUMPRODUCT(--ISNUMBER(SEARCH(","&amp;TRIM(TEXTSPLIT(AK228,","))&amp;",",","&amp;SUBSTITUTE(input_area_of_focus," ","")&amp;",")))=0)),IF(AM228="",TRUE,IF(input_area_of_focus="",FALSE,SUMPRODUCT(--ISNUMBER(SEARCH(","&amp;TRIM(TEXTSPLIT(AM228,","))&amp;",",","&amp;SUBSTITUTE(input_area_of_focus," ","")&amp;",")))&gt;0)),IF(AO228="",TRUE,IF(input_area_of_focus="",FALSE,SUMPRODUCT(--ISNUMBER(SEARCH(","&amp;TRIM(TEXTSPLIT(AO228,","))&amp;",",","&amp;SUBSTITUTE(input_area_of_focus," ","")&amp;",")))=COUNTA(TEXTSPLIT(AO228,",")))))</f>
        <v/>
      </c>
      <c r="IW228" s="19">
        <f>AND(IF(AQ228="",TRUE,IF(input_audience="",FALSE,SUMPRODUCT(--ISNUMBER(SEARCH(","&amp;TRIM(TEXTSPLIT(AQ228,","))&amp;",",","&amp;SUBSTITUTE(input_audience," ","")&amp;",")))&gt;0)),IF(AS228="",TRUE,IF(input_audience="",FALSE,SUMPRODUCT(--ISNUMBER(SEARCH(","&amp;TRIM(TEXTSPLIT(AS228,","))&amp;",",","&amp;SUBSTITUTE(input_audience," ","")&amp;",")))=COUNTA(TEXTSPLIT(AS228,",")))),IF(AU228="",TRUE,IF(input_audience="",TRUE,SUMPRODUCT(--ISNUMBER(SEARCH(","&amp;TRIM(TEXTSPLIT(AU228,","))&amp;",",","&amp;SUBSTITUTE(input_audience," ","")&amp;",")))=0)),IF(AW228="",TRUE,IF(input_audience="",FALSE,SUMPRODUCT(--ISNUMBER(SEARCH(","&amp;TRIM(TEXTSPLIT(AW228,","))&amp;",",","&amp;SUBSTITUTE(input_audience," ","")&amp;",")))&gt;0)),IF(AY228="",TRUE,IF(input_audience="",FALSE,SUMPRODUCT(--ISNUMBER(SEARCH(","&amp;TRIM(TEXTSPLIT(AY228,","))&amp;",",","&amp;SUBSTITUTE(input_audience," ","")&amp;",")))=COUNTA(TEXTSPLIT(AY228,",")))))</f>
        <v/>
      </c>
      <c r="IX228" s="19">
        <f>AND(IF(BA228="",TRUE,IF(input_challenge_opportunities="",FALSE,SUMPRODUCT(--ISNUMBER(SEARCH(","&amp;TRIM(TEXTSPLIT(BA228,","))&amp;",",","&amp;SUBSTITUTE(input_challenge_opportunities," ","")&amp;",")))&gt;0)),IF(BC228="",TRUE,IF(input_challenge_opportunities="",FALSE,SUMPRODUCT(--ISNUMBER(SEARCH(","&amp;TRIM(TEXTSPLIT(BC228,","))&amp;",",","&amp;SUBSTITUTE(input_challenge_opportunities," ","")&amp;",")))=COUNTA(TEXTSPLIT(BC228,",")))),IF(BE228="",TRUE,IF(input_challenge_opportunities="",TRUE,SUMPRODUCT(--ISNUMBER(SEARCH(","&amp;TRIM(TEXTSPLIT(BE228,","))&amp;",",","&amp;SUBSTITUTE(input_challenge_opportunities," ","")&amp;",")))=0)),IF(BG228="",TRUE,IF(input_challenge_opportunities="",FALSE,SUMPRODUCT(--ISNUMBER(SEARCH(","&amp;TRIM(TEXTSPLIT(BG228,","))&amp;",",","&amp;SUBSTITUTE(input_challenge_opportunities," ","")&amp;",")))&gt;0)),IF(BI228="",TRUE,IF(input_challenge_opportunities="",FALSE,SUMPRODUCT(--ISNUMBER(SEARCH(","&amp;TRIM(TEXTSPLIT(BI228,","))&amp;",",","&amp;SUBSTITUTE(input_challenge_opportunities," ","")&amp;",")))=COUNTA(TEXTSPLIT(BI228,",")))))</f>
        <v/>
      </c>
      <c r="IY228" s="19">
        <f>AND(IF(BK228="",TRUE,IF(input_context="",FALSE,SUMPRODUCT(--ISNUMBER(SEARCH(","&amp;TRIM(TEXTSPLIT(BK228,","))&amp;",",","&amp;SUBSTITUTE(input_context," ","")&amp;",")))&gt;0)),IF(BM228="",TRUE,IF(input_context="",FALSE,SUMPRODUCT(--ISNUMBER(SEARCH(","&amp;TRIM(TEXTSPLIT(BM228,","))&amp;",",","&amp;SUBSTITUTE(input_context," ","")&amp;",")))=COUNTA(TEXTSPLIT(BM228,",")))),IF(BO228="",TRUE,IF(input_context="",TRUE,SUMPRODUCT(--ISNUMBER(SEARCH(","&amp;TRIM(TEXTSPLIT(BO228,","))&amp;",",","&amp;SUBSTITUTE(input_context," ","")&amp;",")))=0)),IF(BQ228="",TRUE,IF(input_context="",FALSE,SUMPRODUCT(--ISNUMBER(SEARCH(","&amp;TRIM(TEXTSPLIT(BQ228,","))&amp;",",","&amp;SUBSTITUTE(input_context," ","")&amp;",")))&gt;0)),IF(BS228="",TRUE,IF(input_context="",FALSE,SUMPRODUCT(--ISNUMBER(SEARCH(","&amp;TRIM(TEXTSPLIT(BS228,","))&amp;",",","&amp;SUBSTITUTE(input_context," ","")&amp;",")))=COUNTA(TEXTSPLIT(BS228,",")))))</f>
        <v/>
      </c>
      <c r="IZ228" s="19">
        <f>AND(IF(BU228="",TRUE,IF(input_enews_announcement_type="",FALSE,SUMPRODUCT(--ISNUMBER(SEARCH(","&amp;TRIM(TEXTSPLIT(BU228,","))&amp;",",","&amp;SUBSTITUTE(input_enews_announcement_type," ","")&amp;",")))&gt;0)),IF(BW228="",TRUE,IF(input_enews_announcement_type="",FALSE,SUMPRODUCT(--ISNUMBER(SEARCH(","&amp;TRIM(TEXTSPLIT(BW228,","))&amp;",",","&amp;SUBSTITUTE(input_enews_announcement_type," ","")&amp;",")))=COUNTA(TEXTSPLIT(BW228,",")))),IF(BY228="",TRUE,IF(input_enews_announcement_type="",TRUE,SUMPRODUCT(--ISNUMBER(SEARCH(","&amp;TRIM(TEXTSPLIT(BY228,","))&amp;",",","&amp;SUBSTITUTE(input_enews_announcement_type," ","")&amp;",")))=0)),IF(CA228="",TRUE,IF(input_enews_announcement_type="",FALSE,SUMPRODUCT(--ISNUMBER(SEARCH(","&amp;TRIM(TEXTSPLIT(CA228,","))&amp;",",","&amp;SUBSTITUTE(input_enews_announcement_type," ","")&amp;",")))&gt;0)),IF(CC228="",TRUE,IF(input_enews_announcement_type="",FALSE,SUMPRODUCT(--ISNUMBER(SEARCH(","&amp;TRIM(TEXTSPLIT(CC228,","))&amp;",",","&amp;SUBSTITUTE(input_enews_announcement_type," ","")&amp;",")))=COUNTA(TEXTSPLIT(CC228,",")))))</f>
        <v/>
      </c>
      <c r="JA228" s="19">
        <f>AND(IF(CE228="",TRUE,IF(input_enews_audience="",FALSE,SUMPRODUCT(--ISNUMBER(SEARCH(","&amp;TRIM(TEXTSPLIT(CE228,","))&amp;",",","&amp;SUBSTITUTE(input_enews_audience," ","")&amp;",")))&gt;0)),IF(CG228="",TRUE,IF(input_enews_audience="",FALSE,SUMPRODUCT(--ISNUMBER(SEARCH(","&amp;TRIM(TEXTSPLIT(CG228,","))&amp;",",","&amp;SUBSTITUTE(input_enews_audience," ","")&amp;",")))=COUNTA(TEXTSPLIT(CG228,",")))),IF(CI228="",TRUE,IF(input_enews_audience="",TRUE,SUMPRODUCT(--ISNUMBER(SEARCH(","&amp;TRIM(TEXTSPLIT(CI228,","))&amp;",",","&amp;SUBSTITUTE(input_enews_audience," ","")&amp;",")))=0)),IF(CK228="",TRUE,IF(input_enews_audience="",FALSE,SUMPRODUCT(--ISNUMBER(SEARCH(","&amp;TRIM(TEXTSPLIT(CK228,","))&amp;",",","&amp;SUBSTITUTE(input_enews_audience," ","")&amp;",")))&gt;0)),IF(CM228="",TRUE,IF(input_enews_audience="",FALSE,SUMPRODUCT(--ISNUMBER(SEARCH(","&amp;TRIM(TEXTSPLIT(CM228,","))&amp;",",","&amp;SUBSTITUTE(input_enews_audience," ","")&amp;",")))=COUNTA(TEXTSPLIT(CM228,",")))))</f>
        <v/>
      </c>
      <c r="JB228" s="19">
        <f>AND(IF(CO228="",TRUE,IF(input_event_location="",FALSE,SUMPRODUCT(--ISNUMBER(SEARCH(","&amp;TRIM(TEXTSPLIT(CO228,","))&amp;",",","&amp;SUBSTITUTE(input_event_location," ","")&amp;",")))&gt;0)),IF(CQ228="",TRUE,IF(input_event_location="",FALSE,SUMPRODUCT(--ISNUMBER(SEARCH(","&amp;TRIM(TEXTSPLIT(CQ228,","))&amp;",",","&amp;SUBSTITUTE(input_event_location," ","")&amp;",")))=COUNTA(TEXTSPLIT(CQ228,",")))),IF(CS228="",TRUE,IF(input_event_location="",TRUE,SUMPRODUCT(--ISNUMBER(SEARCH(","&amp;TRIM(TEXTSPLIT(CS228,","))&amp;",",","&amp;SUBSTITUTE(input_event_location," ","")&amp;",")))=0)),IF(CU228="",TRUE,IF(input_event_location="",FALSE,SUMPRODUCT(--ISNUMBER(SEARCH(","&amp;TRIM(TEXTSPLIT(CU228,","))&amp;",",","&amp;SUBSTITUTE(input_event_location," ","")&amp;",")))&gt;0)),IF(CW228="",TRUE,IF(input_event_location="",FALSE,SUMPRODUCT(--ISNUMBER(SEARCH(","&amp;TRIM(TEXTSPLIT(CW228,","))&amp;",",","&amp;SUBSTITUTE(input_event_location," ","")&amp;",")))=COUNTA(TEXTSPLIT(CW228,",")))))</f>
        <v/>
      </c>
      <c r="JC228" s="19">
        <f>AND(IF(CY228="",TRUE,IF(input_event_type="",FALSE,SUMPRODUCT(--ISNUMBER(SEARCH(","&amp;TRIM(TEXTSPLIT(CY228,","))&amp;",",","&amp;SUBSTITUTE(input_event_type," ","")&amp;",")))&gt;0)),IF(DA228="",TRUE,IF(input_event_type="",FALSE,SUMPRODUCT(--ISNUMBER(SEARCH(","&amp;TRIM(TEXTSPLIT(DA228,","))&amp;",",","&amp;SUBSTITUTE(input_event_type," ","")&amp;",")))=COUNTA(TEXTSPLIT(DA228,",")))),IF(DC228="",TRUE,IF(input_event_type="",TRUE,SUMPRODUCT(--ISNUMBER(SEARCH(","&amp;TRIM(TEXTSPLIT(DC228,","))&amp;",",","&amp;SUBSTITUTE(input_event_type," ","")&amp;",")))=0)),IF(DE228="",TRUE,IF(input_event_type="",FALSE,SUMPRODUCT(--ISNUMBER(SEARCH(","&amp;TRIM(TEXTSPLIT(DE228,","))&amp;",",","&amp;SUBSTITUTE(input_event_type," ","")&amp;",")))&gt;0)),IF(DG228="",TRUE,IF(input_event_type="",FALSE,SUMPRODUCT(--ISNUMBER(SEARCH(","&amp;TRIM(TEXTSPLIT(DG228,","))&amp;",",","&amp;SUBSTITUTE(input_event_type," ","")&amp;",")))=COUNTA(TEXTSPLIT(DG228,",")))))</f>
        <v/>
      </c>
      <c r="JD228" s="19">
        <f>AND(IF(DI228="",TRUE,IF(input_executive_education_focus="",FALSE,SUMPRODUCT(--ISNUMBER(SEARCH(","&amp;TRIM(TEXTSPLIT(DI228,","))&amp;",",","&amp;SUBSTITUTE(input_executive_education_focus," ","")&amp;",")))&gt;0)),IF(DK228="",TRUE,IF(input_executive_education_focus="",FALSE,SUMPRODUCT(--ISNUMBER(SEARCH(","&amp;TRIM(TEXTSPLIT(DK228,","))&amp;",",","&amp;SUBSTITUTE(input_executive_education_focus," ","")&amp;",")))=COUNTA(TEXTSPLIT(DK228,",")))),IF(DM228="",TRUE,IF(input_executive_education_focus="",TRUE,SUMPRODUCT(--ISNUMBER(SEARCH(","&amp;TRIM(TEXTSPLIT(DM228,","))&amp;",",","&amp;SUBSTITUTE(input_executive_education_focus," ","")&amp;",")))=0)),IF(DO228="",TRUE,IF(input_executive_education_focus="",FALSE,SUMPRODUCT(--ISNUMBER(SEARCH(","&amp;TRIM(TEXTSPLIT(DO228,","))&amp;",",","&amp;SUBSTITUTE(input_executive_education_focus," ","")&amp;",")))&gt;0)),IF(DQ228="",TRUE,IF(input_executive_education_focus="",FALSE,SUMPRODUCT(--ISNUMBER(SEARCH(","&amp;TRIM(TEXTSPLIT(DQ228,","))&amp;",",","&amp;SUBSTITUTE(input_executive_education_focus," ","")&amp;",")))=COUNTA(TEXTSPLIT(DQ228,",")))))</f>
        <v/>
      </c>
      <c r="JE228" s="19">
        <f>AND(IF(DS228="",TRUE,IF(input_faculty_category="",FALSE,SUMPRODUCT(--ISNUMBER(SEARCH(","&amp;TRIM(TEXTSPLIT(DS228,","))&amp;",",","&amp;SUBSTITUTE(input_faculty_category," ","")&amp;",")))&gt;0)),IF(DU228="",TRUE,IF(input_faculty_category="",FALSE,SUMPRODUCT(--ISNUMBER(SEARCH(","&amp;TRIM(TEXTSPLIT(DU228,","))&amp;",",","&amp;SUBSTITUTE(input_faculty_category," ","")&amp;",")))=COUNTA(TEXTSPLIT(DU228,",")))),IF(DW228="",TRUE,IF(input_faculty_category="",TRUE,SUMPRODUCT(--ISNUMBER(SEARCH(","&amp;TRIM(TEXTSPLIT(DW228,","))&amp;",",","&amp;SUBSTITUTE(input_faculty_category," ","")&amp;",")))=0)),IF(DY228="",TRUE,IF(input_faculty_category="",FALSE,SUMPRODUCT(--ISNUMBER(SEARCH(","&amp;TRIM(TEXTSPLIT(DY228,","))&amp;",",","&amp;SUBSTITUTE(input_faculty_category," ","")&amp;",")))&gt;0)),IF(EA228="",TRUE,IF(input_faculty_category="",FALSE,SUMPRODUCT(--ISNUMBER(SEARCH(","&amp;TRIM(TEXTSPLIT(EA228,","))&amp;",",","&amp;SUBSTITUTE(input_faculty_category," ","")&amp;",")))=COUNTA(TEXTSPLIT(EA228,",")))))</f>
        <v/>
      </c>
      <c r="JF228" s="19">
        <f>AND(IF(EC228="",TRUE,IF(input_faculty_discipline="",FALSE,SUMPRODUCT(--ISNUMBER(SEARCH(","&amp;TRIM(TEXTSPLIT(EC228,","))&amp;",",","&amp;SUBSTITUTE(input_faculty_discipline," ","")&amp;",")))&gt;0)),IF(EE228="",TRUE,IF(input_faculty_discipline="",FALSE,SUMPRODUCT(--ISNUMBER(SEARCH(","&amp;TRIM(TEXTSPLIT(EE228,","))&amp;",",","&amp;SUBSTITUTE(input_faculty_discipline," ","")&amp;",")))=COUNTA(TEXTSPLIT(EE228,",")))),IF(EG228="",TRUE,IF(input_faculty_discipline="",TRUE,SUMPRODUCT(--ISNUMBER(SEARCH(","&amp;TRIM(TEXTSPLIT(EG228,","))&amp;",",","&amp;SUBSTITUTE(input_faculty_discipline," ","")&amp;",")))=0)),IF(EI228="",TRUE,IF(input_faculty_discipline="",FALSE,SUMPRODUCT(--ISNUMBER(SEARCH(","&amp;TRIM(TEXTSPLIT(EI228,","))&amp;",",","&amp;SUBSTITUTE(input_faculty_discipline," ","")&amp;",")))&gt;0)),IF(EK228="",TRUE,IF(input_faculty_discipline="",FALSE,SUMPRODUCT(--ISNUMBER(SEARCH(","&amp;TRIM(TEXTSPLIT(EK228,","))&amp;",",","&amp;SUBSTITUTE(input_faculty_discipline," ","")&amp;",")))=COUNTA(TEXTSPLIT(EK228,",")))))</f>
        <v/>
      </c>
      <c r="JG228" s="19">
        <f>AND(IF(EM228="",TRUE,IF(input_faculty_expertise="",FALSE,SUMPRODUCT(--ISNUMBER(SEARCH(","&amp;TRIM(TEXTSPLIT(EM228,","))&amp;",",","&amp;SUBSTITUTE(input_faculty_expertise," ","")&amp;",")))&gt;0)),IF(EO228="",TRUE,IF(input_faculty_expertise="",FALSE,SUMPRODUCT(--ISNUMBER(SEARCH(","&amp;TRIM(TEXTSPLIT(EO228,","))&amp;",",","&amp;SUBSTITUTE(input_faculty_expertise," ","")&amp;",")))=COUNTA(TEXTSPLIT(EO228,",")))),IF(EQ228="",TRUE,IF(input_faculty_expertise="",TRUE,SUMPRODUCT(--ISNUMBER(SEARCH(","&amp;TRIM(TEXTSPLIT(EQ228,","))&amp;",",","&amp;SUBSTITUTE(input_faculty_expertise," ","")&amp;",")))=0)),IF(ES228="",TRUE,IF(input_faculty_expertise="",FALSE,SUMPRODUCT(--ISNUMBER(SEARCH(","&amp;TRIM(TEXTSPLIT(ES228,","))&amp;",",","&amp;SUBSTITUTE(input_faculty_expertise," ","")&amp;",")))&gt;0)),IF(EU228="",TRUE,IF(input_faculty_expertise="",FALSE,SUMPRODUCT(--ISNUMBER(SEARCH(","&amp;TRIM(TEXTSPLIT(EU228,","))&amp;",",","&amp;SUBSTITUTE(input_faculty_expertise," ","")&amp;",")))=COUNTA(TEXTSPLIT(EU228,",")))))</f>
        <v/>
      </c>
      <c r="JH228" s="19">
        <f>AND(IF(EW228="",TRUE,IF(input_global_network_school="",FALSE,SUMPRODUCT(--ISNUMBER(SEARCH(","&amp;TRIM(TEXTSPLIT(EW228,","))&amp;",",","&amp;SUBSTITUTE(input_global_network_school," ","")&amp;",")))&gt;0)),IF(EY228="",TRUE,IF(input_global_network_school="",FALSE,SUMPRODUCT(--ISNUMBER(SEARCH(","&amp;TRIM(TEXTSPLIT(EY228,","))&amp;",",","&amp;SUBSTITUTE(input_global_network_school," ","")&amp;",")))=COUNTA(TEXTSPLIT(EY228,",")))),IF(FA228="",TRUE,IF(input_global_network_school="",TRUE,SUMPRODUCT(--ISNUMBER(SEARCH(","&amp;TRIM(TEXTSPLIT(FA228,","))&amp;",",","&amp;SUBSTITUTE(input_global_network_school," ","")&amp;",")))=0)),IF(FC228="",TRUE,IF(input_global_network_school="",FALSE,SUMPRODUCT(--ISNUMBER(SEARCH(","&amp;TRIM(TEXTSPLIT(FC228,","))&amp;",",","&amp;SUBSTITUTE(input_global_network_school," ","")&amp;",")))&gt;0)),IF(FE228="",TRUE,IF(input_global_network_school="",FALSE,SUMPRODUCT(--ISNUMBER(SEARCH(","&amp;TRIM(TEXTSPLIT(FE228,","))&amp;",",","&amp;SUBSTITUTE(input_global_network_school," ","")&amp;",")))=COUNTA(TEXTSPLIT(FE228,",")))))</f>
        <v/>
      </c>
      <c r="JI228" s="19">
        <f>AND(IF(FG228="",TRUE,IF(input_industry="",FALSE,SUMPRODUCT(--ISNUMBER(SEARCH(","&amp;TRIM(TEXTSPLIT(FG228,","))&amp;",",","&amp;SUBSTITUTE(input_industry," ","")&amp;",")))&gt;0)),IF(FI228="",TRUE,IF(input_industry="",FALSE,SUMPRODUCT(--ISNUMBER(SEARCH(","&amp;TRIM(TEXTSPLIT(FI228,","))&amp;",",","&amp;SUBSTITUTE(input_industry," ","")&amp;",")))=COUNTA(TEXTSPLIT(FI228,",")))),IF(FK228="",TRUE,IF(input_industry="",TRUE,SUMPRODUCT(--ISNUMBER(SEARCH(","&amp;TRIM(TEXTSPLIT(FK228,","))&amp;",",","&amp;SUBSTITUTE(input_industry," ","")&amp;",")))=0)),IF(FM228="",TRUE,IF(input_industry="",FALSE,SUMPRODUCT(--ISNUMBER(SEARCH(","&amp;TRIM(TEXTSPLIT(FM228,","))&amp;",",","&amp;SUBSTITUTE(input_industry," ","")&amp;",")))&gt;0)),IF(FO228="",TRUE,IF(input_industry="",FALSE,SUMPRODUCT(--ISNUMBER(SEARCH(","&amp;TRIM(TEXTSPLIT(FO228,","))&amp;",",","&amp;SUBSTITUTE(input_industry," ","")&amp;",")))=COUNTA(TEXTSPLIT(FO228,",")))))</f>
        <v/>
      </c>
      <c r="JJ228" s="19">
        <f>AND(IF(FQ228="",TRUE,IF(input_location="",FALSE,SUMPRODUCT(--ISNUMBER(SEARCH(","&amp;TRIM(TEXTSPLIT(FQ228,","))&amp;",",","&amp;SUBSTITUTE(input_location," ","")&amp;",")))&gt;0)),IF(FS228="",TRUE,IF(input_location="",FALSE,SUMPRODUCT(--ISNUMBER(SEARCH(","&amp;TRIM(TEXTSPLIT(FS228,","))&amp;",",","&amp;SUBSTITUTE(input_location," ","")&amp;",")))=COUNTA(TEXTSPLIT(FS228,",")))),IF(FU228="",TRUE,IF(input_location="",TRUE,SUMPRODUCT(--ISNUMBER(SEARCH(","&amp;TRIM(TEXTSPLIT(FU228,","))&amp;",",","&amp;SUBSTITUTE(input_location," ","")&amp;",")))=0)),IF(FW228="",TRUE,IF(input_location="",FALSE,SUMPRODUCT(--ISNUMBER(SEARCH(","&amp;TRIM(TEXTSPLIT(FW228,","))&amp;",",","&amp;SUBSTITUTE(input_location," ","")&amp;",")))&gt;0)),IF(FY228="",TRUE,IF(input_location="",FALSE,SUMPRODUCT(--ISNUMBER(SEARCH(","&amp;TRIM(TEXTSPLIT(FY228,","))&amp;",",","&amp;SUBSTITUTE(input_location," ","")&amp;",")))=COUNTA(TEXTSPLIT(FY228,",")))))</f>
        <v/>
      </c>
      <c r="JK228" s="19">
        <f>AND(IF(GA228="",TRUE,IF(input_modality="",FALSE,SUMPRODUCT(--ISNUMBER(SEARCH(","&amp;TRIM(TEXTSPLIT(GA228,","))&amp;",",","&amp;SUBSTITUTE(input_modality," ","")&amp;",")))&gt;0)),IF(GC228="",TRUE,IF(input_modality="",FALSE,SUMPRODUCT(--ISNUMBER(SEARCH(","&amp;TRIM(TEXTSPLIT(GC228,","))&amp;",",","&amp;SUBSTITUTE(input_modality," ","")&amp;",")))=COUNTA(TEXTSPLIT(GC228,",")))),IF(GE228="",TRUE,IF(input_modality="",TRUE,SUMPRODUCT(--ISNUMBER(SEARCH(","&amp;TRIM(TEXTSPLIT(GE228,","))&amp;",",","&amp;SUBSTITUTE(input_modality," ","")&amp;",")))=0)),IF(GG228="",TRUE,IF(input_modality="",FALSE,SUMPRODUCT(--ISNUMBER(SEARCH(","&amp;TRIM(TEXTSPLIT(GG228,","))&amp;",",","&amp;SUBSTITUTE(input_modality," ","")&amp;",")))&gt;0)),IF(GI228="",TRUE,IF(input_modality="",FALSE,SUMPRODUCT(--ISNUMBER(SEARCH(","&amp;TRIM(TEXTSPLIT(GI228,","))&amp;",",","&amp;SUBSTITUTE(input_modality," ","")&amp;",")))=COUNTA(TEXTSPLIT(GI228,",")))))</f>
        <v/>
      </c>
      <c r="JL228" s="19">
        <f>AND(IF(GK228="",TRUE,IF(input_organizer="",FALSE,SUMPRODUCT(--ISNUMBER(SEARCH(","&amp;TRIM(TEXTSPLIT(GK228,","))&amp;",",","&amp;SUBSTITUTE(input_organizer," ","")&amp;",")))&gt;0)),IF(GM228="",TRUE,IF(input_organizer="",FALSE,SUMPRODUCT(--ISNUMBER(SEARCH(","&amp;TRIM(TEXTSPLIT(GM228,","))&amp;",",","&amp;SUBSTITUTE(input_organizer," ","")&amp;",")))=COUNTA(TEXTSPLIT(GM228,",")))),IF(GO228="",TRUE,IF(input_organizer="",TRUE,SUMPRODUCT(--ISNUMBER(SEARCH(","&amp;TRIM(TEXTSPLIT(GO228,","))&amp;",",","&amp;SUBSTITUTE(input_organizer," ","")&amp;",")))=0)),IF(GQ228="",TRUE,IF(input_organizer="",FALSE,SUMPRODUCT(--ISNUMBER(SEARCH(","&amp;TRIM(TEXTSPLIT(GQ228,","))&amp;",",","&amp;SUBSTITUTE(input_organizer," ","")&amp;",")))&gt;0)),IF(GS228="",TRUE,IF(input_organizer="",FALSE,SUMPRODUCT(--ISNUMBER(SEARCH(","&amp;TRIM(TEXTSPLIT(GS228,","))&amp;",",","&amp;SUBSTITUTE(input_organizer," ","")&amp;",")))=COUNTA(TEXTSPLIT(GS228,",")))))</f>
        <v/>
      </c>
      <c r="JM228" s="19">
        <f>AND(IF(GU228="",TRUE,IF(input_profile_type="",FALSE,SUMPRODUCT(--ISNUMBER(SEARCH(","&amp;TRIM(TEXTSPLIT(GU228,","))&amp;",",","&amp;SUBSTITUTE(input_profile_type," ","")&amp;",")))&gt;0)),IF(GW228="",TRUE,IF(input_profile_type="",FALSE,SUMPRODUCT(--ISNUMBER(SEARCH(","&amp;TRIM(TEXTSPLIT(GW228,","))&amp;",",","&amp;SUBSTITUTE(input_profile_type," ","")&amp;",")))=COUNTA(TEXTSPLIT(GW228,",")))),IF(GY228="",TRUE,IF(input_profile_type="",TRUE,SUMPRODUCT(--ISNUMBER(SEARCH(","&amp;TRIM(TEXTSPLIT(GY228,","))&amp;",",","&amp;SUBSTITUTE(input_profile_type," ","")&amp;",")))=0)),IF(HA228="",TRUE,IF(input_profile_type="",FALSE,SUMPRODUCT(--ISNUMBER(SEARCH(","&amp;TRIM(TEXTSPLIT(HA228,","))&amp;",",","&amp;SUBSTITUTE(input_profile_type," ","")&amp;",")))&gt;0)),IF(HC228="",TRUE,IF(input_profile_type="",FALSE,SUMPRODUCT(--ISNUMBER(SEARCH(","&amp;TRIM(TEXTSPLIT(HC228,","))&amp;",",","&amp;SUBSTITUTE(input_profile_type," ","")&amp;",")))=COUNTA(TEXTSPLIT(HC228,",")))))</f>
        <v/>
      </c>
      <c r="JN228" s="19">
        <f>AND(IF(HE228="",TRUE,IF(input_program="",FALSE,SUMPRODUCT(--ISNUMBER(SEARCH(","&amp;TRIM(TEXTSPLIT(HE228,","))&amp;",",","&amp;SUBSTITUTE(input_program," ","")&amp;",")))&gt;0)),IF(HG228="",TRUE,IF(input_program="",FALSE,SUMPRODUCT(--ISNUMBER(SEARCH(","&amp;TRIM(TEXTSPLIT(HG228,","))&amp;",",","&amp;SUBSTITUTE(input_program," ","")&amp;",")))=COUNTA(TEXTSPLIT(HG228,",")))),IF(HI228="",TRUE,IF(input_program="",TRUE,SUMPRODUCT(--ISNUMBER(SEARCH(","&amp;TRIM(TEXTSPLIT(HI228,","))&amp;",",","&amp;SUBSTITUTE(input_program," ","")&amp;",")))=0)),IF(HK228="",TRUE,IF(input_program="",FALSE,SUMPRODUCT(--ISNUMBER(SEARCH(","&amp;TRIM(TEXTSPLIT(HK228,","))&amp;",",","&amp;SUBSTITUTE(input_program," ","")&amp;",")))&gt;0)),IF(HM228="",TRUE,IF(input_program="",FALSE,SUMPRODUCT(--ISNUMBER(SEARCH(","&amp;TRIM(TEXTSPLIT(HM228,","))&amp;",",","&amp;SUBSTITUTE(input_program," ","")&amp;",")))=COUNTA(TEXTSPLIT(HM228,",")))))</f>
        <v/>
      </c>
      <c r="JO228" s="19">
        <f>AND(IF(HO228="",TRUE,IF(input_story_categories="",FALSE,SUMPRODUCT(--ISNUMBER(SEARCH(","&amp;TRIM(TEXTSPLIT(HO228,","))&amp;",",","&amp;SUBSTITUTE(input_story_categories," ","")&amp;",")))&gt;0)),IF(HQ228="",TRUE,IF(input_story_categories="",FALSE,SUMPRODUCT(--ISNUMBER(SEARCH(","&amp;TRIM(TEXTSPLIT(HQ228,","))&amp;",",","&amp;SUBSTITUTE(input_story_categories," ","")&amp;",")))=COUNTA(TEXTSPLIT(HQ228,",")))),IF(HS228="",TRUE,IF(input_story_categories="",TRUE,SUMPRODUCT(--ISNUMBER(SEARCH(","&amp;TRIM(TEXTSPLIT(HS228,","))&amp;",",","&amp;SUBSTITUTE(input_story_categories," ","")&amp;",")))=0)),IF(HU228="",TRUE,IF(input_story_categories="",FALSE,SUMPRODUCT(--ISNUMBER(SEARCH(","&amp;TRIM(TEXTSPLIT(HU228,","))&amp;",",","&amp;SUBSTITUTE(input_story_categories," ","")&amp;",")))&gt;0)),IF(HW228="",TRUE,IF(input_story_categories="",FALSE,SUMPRODUCT(--ISNUMBER(SEARCH(","&amp;TRIM(TEXTSPLIT(HW228,","))&amp;",",","&amp;SUBSTITUTE(input_story_categories," ","")&amp;",")))=COUNTA(TEXTSPLIT(HW228,",")))))</f>
        <v/>
      </c>
      <c r="JP228" s="19">
        <f>AND(IF(HY228="",TRUE,IF(input_story_type="",FALSE,SUMPRODUCT(--ISNUMBER(SEARCH(","&amp;TRIM(TEXTSPLIT(HY228,","))&amp;",",","&amp;SUBSTITUTE(input_story_type," ","")&amp;",")))&gt;0)),IF(IA228="",TRUE,IF(input_story_type="",FALSE,SUMPRODUCT(--ISNUMBER(SEARCH(","&amp;TRIM(TEXTSPLIT(IA228,","))&amp;",",","&amp;SUBSTITUTE(input_story_type," ","")&amp;",")))=COUNTA(TEXTSPLIT(IA228,",")))),IF(IC228="",TRUE,IF(input_story_type="",TRUE,SUMPRODUCT(--ISNUMBER(SEARCH(","&amp;TRIM(TEXTSPLIT(IC228,","))&amp;",",","&amp;SUBSTITUTE(input_story_type," ","")&amp;",")))=0)),IF(IE228="",TRUE,IF(input_story_type="",FALSE,SUMPRODUCT(--ISNUMBER(SEARCH(","&amp;TRIM(TEXTSPLIT(IE228,","))&amp;",",","&amp;SUBSTITUTE(input_story_type," ","")&amp;",")))&gt;0)),IF(IG228="",TRUE,IF(input_story_type="",FALSE,SUMPRODUCT(--ISNUMBER(SEARCH(","&amp;TRIM(TEXTSPLIT(IG228,","))&amp;",",","&amp;SUBSTITUTE(input_story_type," ","")&amp;",")))=COUNTA(TEXTSPLIT(IG228,",")))))</f>
        <v/>
      </c>
      <c r="JQ228" s="19">
        <f>AND(IF(II228="",TRUE,IF(input_topics="",FALSE,SUMPRODUCT(--ISNUMBER(SEARCH(","&amp;TRIM(TEXTSPLIT(II228,","))&amp;",",","&amp;SUBSTITUTE(input_topics," ","")&amp;",")))&gt;0)),IF(IK228="",TRUE,IF(input_topics="",FALSE,SUMPRODUCT(--ISNUMBER(SEARCH(","&amp;TRIM(TEXTSPLIT(IK228,","))&amp;",",","&amp;SUBSTITUTE(input_topics," ","")&amp;",")))=COUNTA(TEXTSPLIT(IK228,",")))),IF(IM228="",TRUE,IF(input_topics="",TRUE,SUMPRODUCT(--ISNUMBER(SEARCH(","&amp;TRIM(TEXTSPLIT(IM228,","))&amp;",",","&amp;SUBSTITUTE(input_topics," ","")&amp;",")))=0)),IF(IO228="",TRUE,IF(input_topics="",FALSE,SUMPRODUCT(--ISNUMBER(SEARCH(","&amp;TRIM(TEXTSPLIT(IO228,","))&amp;",",","&amp;SUBSTITUTE(input_topics," ","")&amp;",")))&gt;0)),IF(IQ228="",TRUE,IF(input_topics="",FALSE,SUMPRODUCT(--ISNUMBER(SEARCH(","&amp;TRIM(TEXTSPLIT(IQ228,","))&amp;",",","&amp;SUBSTITUTE(input_topics," ","")&amp;",")))=COUNTA(TEXTSPLIT(IQ228,",")))))</f>
        <v/>
      </c>
    </row>
    <row r="229">
      <c r="A229" s="24">
        <f>IF(NOT(IS229),"Excluded",IF(AND(IT229,IU229,IV229,IW229,IX229,IY229,IZ229,JA229,JB229,JC229,JD229,JE229,JF229,JG229,JH229,JI229,JJ229,JK229,JL229,JM229,JN229,JO229,JP229,JQ229),IF(I229&gt;0,"Eligible but limited","Will appear"),"Excluded"))</f>
        <v/>
      </c>
      <c r="B229" s="24" t="inlineStr">
        <is>
          <t>Student POV</t>
        </is>
      </c>
      <c r="C229" s="27" t="inlineStr">
        <is>
          <t>/about/headlines/student-pov</t>
        </is>
      </c>
      <c r="D229" s="24" t="inlineStr">
        <is>
          <t>/about/headlines/student-pov</t>
        </is>
      </c>
      <c r="E229" s="24" t="n">
        <v>1</v>
      </c>
      <c r="F229" s="24" t="inlineStr">
        <is>
          <t>story</t>
        </is>
      </c>
      <c r="G229" s="24" t="inlineStr">
        <is>
          <t>stories_list</t>
        </is>
      </c>
      <c r="H229" s="24" t="inlineStr">
        <is>
          <t>embed_1</t>
        </is>
      </c>
      <c r="I229" s="24" t="n">
        <v>10</v>
      </c>
      <c r="J229" s="28" t="inlineStr">
        <is>
          <t>Explicit args</t>
        </is>
      </c>
      <c r="K229" s="24" t="inlineStr">
        <is>
          <t>Page placement</t>
        </is>
      </c>
      <c r="L229" s="24" t="inlineStr">
        <is>
          <t>Content type: story; Context uses Courses Context: Student POV (1460); Limited to 10 item(s); Source: Explicit args</t>
        </is>
      </c>
      <c r="BQ229" s="19" t="inlineStr">
        <is>
          <t>1460</t>
        </is>
      </c>
      <c r="BR229" s="19" t="inlineStr">
        <is>
          <t>Student POV (1460)</t>
        </is>
      </c>
      <c r="IS229" s="19">
        <f>IF(input_content_type="",FALSE,ISNUMBER(SEARCH(","&amp;LOWER(input_content_type)&amp;",",","&amp;LOWER(SUBSTITUTE(F229," ",""))&amp;",")))</f>
        <v/>
      </c>
      <c r="IT229" s="19">
        <f>AND(IF(M229="",TRUE,IF(input_affiliations="",FALSE,SUMPRODUCT(--ISNUMBER(SEARCH(","&amp;TRIM(TEXTSPLIT(M229,","))&amp;",",","&amp;SUBSTITUTE(input_affiliations," ","")&amp;",")))&gt;0)),IF(O229="",TRUE,IF(input_affiliations="",FALSE,SUMPRODUCT(--ISNUMBER(SEARCH(","&amp;TRIM(TEXTSPLIT(O229,","))&amp;",",","&amp;SUBSTITUTE(input_affiliations," ","")&amp;",")))=COUNTA(TEXTSPLIT(O229,",")))),IF(Q229="",TRUE,IF(input_affiliations="",TRUE,SUMPRODUCT(--ISNUMBER(SEARCH(","&amp;TRIM(TEXTSPLIT(Q229,","))&amp;",",","&amp;SUBSTITUTE(input_affiliations," ","")&amp;",")))=0)),IF(S229="",TRUE,IF(input_affiliations="",FALSE,SUMPRODUCT(--ISNUMBER(SEARCH(","&amp;TRIM(TEXTSPLIT(S229,","))&amp;",",","&amp;SUBSTITUTE(input_affiliations," ","")&amp;",")))&gt;0)),IF(U229="",TRUE,IF(input_affiliations="",FALSE,SUMPRODUCT(--ISNUMBER(SEARCH(","&amp;TRIM(TEXTSPLIT(U229,","))&amp;",",","&amp;SUBSTITUTE(input_affiliations," ","")&amp;",")))=COUNTA(TEXTSPLIT(U229,",")))))</f>
        <v/>
      </c>
      <c r="IU229" s="19">
        <f>AND(IF(W229="",TRUE,IF(input_announcement_category="",FALSE,SUMPRODUCT(--ISNUMBER(SEARCH(","&amp;TRIM(TEXTSPLIT(W229,","))&amp;",",","&amp;SUBSTITUTE(input_announcement_category," ","")&amp;",")))&gt;0)),IF(Y229="",TRUE,IF(input_announcement_category="",FALSE,SUMPRODUCT(--ISNUMBER(SEARCH(","&amp;TRIM(TEXTSPLIT(Y229,","))&amp;",",","&amp;SUBSTITUTE(input_announcement_category," ","")&amp;",")))=COUNTA(TEXTSPLIT(Y229,",")))),IF(AA229="",TRUE,IF(input_announcement_category="",TRUE,SUMPRODUCT(--ISNUMBER(SEARCH(","&amp;TRIM(TEXTSPLIT(AA229,","))&amp;",",","&amp;SUBSTITUTE(input_announcement_category," ","")&amp;",")))=0)),IF(AC229="",TRUE,IF(input_announcement_category="",FALSE,SUMPRODUCT(--ISNUMBER(SEARCH(","&amp;TRIM(TEXTSPLIT(AC229,","))&amp;",",","&amp;SUBSTITUTE(input_announcement_category," ","")&amp;",")))&gt;0)),IF(AE229="",TRUE,IF(input_announcement_category="",FALSE,SUMPRODUCT(--ISNUMBER(SEARCH(","&amp;TRIM(TEXTSPLIT(AE229,","))&amp;",",","&amp;SUBSTITUTE(input_announcement_category," ","")&amp;",")))=COUNTA(TEXTSPLIT(AE229,",")))))</f>
        <v/>
      </c>
      <c r="IV229" s="19">
        <f>AND(IF(AG229="",TRUE,IF(input_area_of_focus="",FALSE,SUMPRODUCT(--ISNUMBER(SEARCH(","&amp;TRIM(TEXTSPLIT(AG229,","))&amp;",",","&amp;SUBSTITUTE(input_area_of_focus," ","")&amp;",")))&gt;0)),IF(AI229="",TRUE,IF(input_area_of_focus="",FALSE,SUMPRODUCT(--ISNUMBER(SEARCH(","&amp;TRIM(TEXTSPLIT(AI229,","))&amp;",",","&amp;SUBSTITUTE(input_area_of_focus," ","")&amp;",")))=COUNTA(TEXTSPLIT(AI229,",")))),IF(AK229="",TRUE,IF(input_area_of_focus="",TRUE,SUMPRODUCT(--ISNUMBER(SEARCH(","&amp;TRIM(TEXTSPLIT(AK229,","))&amp;",",","&amp;SUBSTITUTE(input_area_of_focus," ","")&amp;",")))=0)),IF(AM229="",TRUE,IF(input_area_of_focus="",FALSE,SUMPRODUCT(--ISNUMBER(SEARCH(","&amp;TRIM(TEXTSPLIT(AM229,","))&amp;",",","&amp;SUBSTITUTE(input_area_of_focus," ","")&amp;",")))&gt;0)),IF(AO229="",TRUE,IF(input_area_of_focus="",FALSE,SUMPRODUCT(--ISNUMBER(SEARCH(","&amp;TRIM(TEXTSPLIT(AO229,","))&amp;",",","&amp;SUBSTITUTE(input_area_of_focus," ","")&amp;",")))=COUNTA(TEXTSPLIT(AO229,",")))))</f>
        <v/>
      </c>
      <c r="IW229" s="19">
        <f>AND(IF(AQ229="",TRUE,IF(input_audience="",FALSE,SUMPRODUCT(--ISNUMBER(SEARCH(","&amp;TRIM(TEXTSPLIT(AQ229,","))&amp;",",","&amp;SUBSTITUTE(input_audience," ","")&amp;",")))&gt;0)),IF(AS229="",TRUE,IF(input_audience="",FALSE,SUMPRODUCT(--ISNUMBER(SEARCH(","&amp;TRIM(TEXTSPLIT(AS229,","))&amp;",",","&amp;SUBSTITUTE(input_audience," ","")&amp;",")))=COUNTA(TEXTSPLIT(AS229,",")))),IF(AU229="",TRUE,IF(input_audience="",TRUE,SUMPRODUCT(--ISNUMBER(SEARCH(","&amp;TRIM(TEXTSPLIT(AU229,","))&amp;",",","&amp;SUBSTITUTE(input_audience," ","")&amp;",")))=0)),IF(AW229="",TRUE,IF(input_audience="",FALSE,SUMPRODUCT(--ISNUMBER(SEARCH(","&amp;TRIM(TEXTSPLIT(AW229,","))&amp;",",","&amp;SUBSTITUTE(input_audience," ","")&amp;",")))&gt;0)),IF(AY229="",TRUE,IF(input_audience="",FALSE,SUMPRODUCT(--ISNUMBER(SEARCH(","&amp;TRIM(TEXTSPLIT(AY229,","))&amp;",",","&amp;SUBSTITUTE(input_audience," ","")&amp;",")))=COUNTA(TEXTSPLIT(AY229,",")))))</f>
        <v/>
      </c>
      <c r="IX229" s="19">
        <f>AND(IF(BA229="",TRUE,IF(input_challenge_opportunities="",FALSE,SUMPRODUCT(--ISNUMBER(SEARCH(","&amp;TRIM(TEXTSPLIT(BA229,","))&amp;",",","&amp;SUBSTITUTE(input_challenge_opportunities," ","")&amp;",")))&gt;0)),IF(BC229="",TRUE,IF(input_challenge_opportunities="",FALSE,SUMPRODUCT(--ISNUMBER(SEARCH(","&amp;TRIM(TEXTSPLIT(BC229,","))&amp;",",","&amp;SUBSTITUTE(input_challenge_opportunities," ","")&amp;",")))=COUNTA(TEXTSPLIT(BC229,",")))),IF(BE229="",TRUE,IF(input_challenge_opportunities="",TRUE,SUMPRODUCT(--ISNUMBER(SEARCH(","&amp;TRIM(TEXTSPLIT(BE229,","))&amp;",",","&amp;SUBSTITUTE(input_challenge_opportunities," ","")&amp;",")))=0)),IF(BG229="",TRUE,IF(input_challenge_opportunities="",FALSE,SUMPRODUCT(--ISNUMBER(SEARCH(","&amp;TRIM(TEXTSPLIT(BG229,","))&amp;",",","&amp;SUBSTITUTE(input_challenge_opportunities," ","")&amp;",")))&gt;0)),IF(BI229="",TRUE,IF(input_challenge_opportunities="",FALSE,SUMPRODUCT(--ISNUMBER(SEARCH(","&amp;TRIM(TEXTSPLIT(BI229,","))&amp;",",","&amp;SUBSTITUTE(input_challenge_opportunities," ","")&amp;",")))=COUNTA(TEXTSPLIT(BI229,",")))))</f>
        <v/>
      </c>
      <c r="IY229" s="19">
        <f>AND(IF(BK229="",TRUE,IF(input_context="",FALSE,SUMPRODUCT(--ISNUMBER(SEARCH(","&amp;TRIM(TEXTSPLIT(BK229,","))&amp;",",","&amp;SUBSTITUTE(input_context," ","")&amp;",")))&gt;0)),IF(BM229="",TRUE,IF(input_context="",FALSE,SUMPRODUCT(--ISNUMBER(SEARCH(","&amp;TRIM(TEXTSPLIT(BM229,","))&amp;",",","&amp;SUBSTITUTE(input_context," ","")&amp;",")))=COUNTA(TEXTSPLIT(BM229,",")))),IF(BO229="",TRUE,IF(input_context="",TRUE,SUMPRODUCT(--ISNUMBER(SEARCH(","&amp;TRIM(TEXTSPLIT(BO229,","))&amp;",",","&amp;SUBSTITUTE(input_context," ","")&amp;",")))=0)),IF(BQ229="",TRUE,IF(input_context="",FALSE,SUMPRODUCT(--ISNUMBER(SEARCH(","&amp;TRIM(TEXTSPLIT(BQ229,","))&amp;",",","&amp;SUBSTITUTE(input_context," ","")&amp;",")))&gt;0)),IF(BS229="",TRUE,IF(input_context="",FALSE,SUMPRODUCT(--ISNUMBER(SEARCH(","&amp;TRIM(TEXTSPLIT(BS229,","))&amp;",",","&amp;SUBSTITUTE(input_context," ","")&amp;",")))=COUNTA(TEXTSPLIT(BS229,",")))))</f>
        <v/>
      </c>
      <c r="IZ229" s="19">
        <f>AND(IF(BU229="",TRUE,IF(input_enews_announcement_type="",FALSE,SUMPRODUCT(--ISNUMBER(SEARCH(","&amp;TRIM(TEXTSPLIT(BU229,","))&amp;",",","&amp;SUBSTITUTE(input_enews_announcement_type," ","")&amp;",")))&gt;0)),IF(BW229="",TRUE,IF(input_enews_announcement_type="",FALSE,SUMPRODUCT(--ISNUMBER(SEARCH(","&amp;TRIM(TEXTSPLIT(BW229,","))&amp;",",","&amp;SUBSTITUTE(input_enews_announcement_type," ","")&amp;",")))=COUNTA(TEXTSPLIT(BW229,",")))),IF(BY229="",TRUE,IF(input_enews_announcement_type="",TRUE,SUMPRODUCT(--ISNUMBER(SEARCH(","&amp;TRIM(TEXTSPLIT(BY229,","))&amp;",",","&amp;SUBSTITUTE(input_enews_announcement_type," ","")&amp;",")))=0)),IF(CA229="",TRUE,IF(input_enews_announcement_type="",FALSE,SUMPRODUCT(--ISNUMBER(SEARCH(","&amp;TRIM(TEXTSPLIT(CA229,","))&amp;",",","&amp;SUBSTITUTE(input_enews_announcement_type," ","")&amp;",")))&gt;0)),IF(CC229="",TRUE,IF(input_enews_announcement_type="",FALSE,SUMPRODUCT(--ISNUMBER(SEARCH(","&amp;TRIM(TEXTSPLIT(CC229,","))&amp;",",","&amp;SUBSTITUTE(input_enews_announcement_type," ","")&amp;",")))=COUNTA(TEXTSPLIT(CC229,",")))))</f>
        <v/>
      </c>
      <c r="JA229" s="19">
        <f>AND(IF(CE229="",TRUE,IF(input_enews_audience="",FALSE,SUMPRODUCT(--ISNUMBER(SEARCH(","&amp;TRIM(TEXTSPLIT(CE229,","))&amp;",",","&amp;SUBSTITUTE(input_enews_audience," ","")&amp;",")))&gt;0)),IF(CG229="",TRUE,IF(input_enews_audience="",FALSE,SUMPRODUCT(--ISNUMBER(SEARCH(","&amp;TRIM(TEXTSPLIT(CG229,","))&amp;",",","&amp;SUBSTITUTE(input_enews_audience," ","")&amp;",")))=COUNTA(TEXTSPLIT(CG229,",")))),IF(CI229="",TRUE,IF(input_enews_audience="",TRUE,SUMPRODUCT(--ISNUMBER(SEARCH(","&amp;TRIM(TEXTSPLIT(CI229,","))&amp;",",","&amp;SUBSTITUTE(input_enews_audience," ","")&amp;",")))=0)),IF(CK229="",TRUE,IF(input_enews_audience="",FALSE,SUMPRODUCT(--ISNUMBER(SEARCH(","&amp;TRIM(TEXTSPLIT(CK229,","))&amp;",",","&amp;SUBSTITUTE(input_enews_audience," ","")&amp;",")))&gt;0)),IF(CM229="",TRUE,IF(input_enews_audience="",FALSE,SUMPRODUCT(--ISNUMBER(SEARCH(","&amp;TRIM(TEXTSPLIT(CM229,","))&amp;",",","&amp;SUBSTITUTE(input_enews_audience," ","")&amp;",")))=COUNTA(TEXTSPLIT(CM229,",")))))</f>
        <v/>
      </c>
      <c r="JB229" s="19">
        <f>AND(IF(CO229="",TRUE,IF(input_event_location="",FALSE,SUMPRODUCT(--ISNUMBER(SEARCH(","&amp;TRIM(TEXTSPLIT(CO229,","))&amp;",",","&amp;SUBSTITUTE(input_event_location," ","")&amp;",")))&gt;0)),IF(CQ229="",TRUE,IF(input_event_location="",FALSE,SUMPRODUCT(--ISNUMBER(SEARCH(","&amp;TRIM(TEXTSPLIT(CQ229,","))&amp;",",","&amp;SUBSTITUTE(input_event_location," ","")&amp;",")))=COUNTA(TEXTSPLIT(CQ229,",")))),IF(CS229="",TRUE,IF(input_event_location="",TRUE,SUMPRODUCT(--ISNUMBER(SEARCH(","&amp;TRIM(TEXTSPLIT(CS229,","))&amp;",",","&amp;SUBSTITUTE(input_event_location," ","")&amp;",")))=0)),IF(CU229="",TRUE,IF(input_event_location="",FALSE,SUMPRODUCT(--ISNUMBER(SEARCH(","&amp;TRIM(TEXTSPLIT(CU229,","))&amp;",",","&amp;SUBSTITUTE(input_event_location," ","")&amp;",")))&gt;0)),IF(CW229="",TRUE,IF(input_event_location="",FALSE,SUMPRODUCT(--ISNUMBER(SEARCH(","&amp;TRIM(TEXTSPLIT(CW229,","))&amp;",",","&amp;SUBSTITUTE(input_event_location," ","")&amp;",")))=COUNTA(TEXTSPLIT(CW229,",")))))</f>
        <v/>
      </c>
      <c r="JC229" s="19">
        <f>AND(IF(CY229="",TRUE,IF(input_event_type="",FALSE,SUMPRODUCT(--ISNUMBER(SEARCH(","&amp;TRIM(TEXTSPLIT(CY229,","))&amp;",",","&amp;SUBSTITUTE(input_event_type," ","")&amp;",")))&gt;0)),IF(DA229="",TRUE,IF(input_event_type="",FALSE,SUMPRODUCT(--ISNUMBER(SEARCH(","&amp;TRIM(TEXTSPLIT(DA229,","))&amp;",",","&amp;SUBSTITUTE(input_event_type," ","")&amp;",")))=COUNTA(TEXTSPLIT(DA229,",")))),IF(DC229="",TRUE,IF(input_event_type="",TRUE,SUMPRODUCT(--ISNUMBER(SEARCH(","&amp;TRIM(TEXTSPLIT(DC229,","))&amp;",",","&amp;SUBSTITUTE(input_event_type," ","")&amp;",")))=0)),IF(DE229="",TRUE,IF(input_event_type="",FALSE,SUMPRODUCT(--ISNUMBER(SEARCH(","&amp;TRIM(TEXTSPLIT(DE229,","))&amp;",",","&amp;SUBSTITUTE(input_event_type," ","")&amp;",")))&gt;0)),IF(DG229="",TRUE,IF(input_event_type="",FALSE,SUMPRODUCT(--ISNUMBER(SEARCH(","&amp;TRIM(TEXTSPLIT(DG229,","))&amp;",",","&amp;SUBSTITUTE(input_event_type," ","")&amp;",")))=COUNTA(TEXTSPLIT(DG229,",")))))</f>
        <v/>
      </c>
      <c r="JD229" s="19">
        <f>AND(IF(DI229="",TRUE,IF(input_executive_education_focus="",FALSE,SUMPRODUCT(--ISNUMBER(SEARCH(","&amp;TRIM(TEXTSPLIT(DI229,","))&amp;",",","&amp;SUBSTITUTE(input_executive_education_focus," ","")&amp;",")))&gt;0)),IF(DK229="",TRUE,IF(input_executive_education_focus="",FALSE,SUMPRODUCT(--ISNUMBER(SEARCH(","&amp;TRIM(TEXTSPLIT(DK229,","))&amp;",",","&amp;SUBSTITUTE(input_executive_education_focus," ","")&amp;",")))=COUNTA(TEXTSPLIT(DK229,",")))),IF(DM229="",TRUE,IF(input_executive_education_focus="",TRUE,SUMPRODUCT(--ISNUMBER(SEARCH(","&amp;TRIM(TEXTSPLIT(DM229,","))&amp;",",","&amp;SUBSTITUTE(input_executive_education_focus," ","")&amp;",")))=0)),IF(DO229="",TRUE,IF(input_executive_education_focus="",FALSE,SUMPRODUCT(--ISNUMBER(SEARCH(","&amp;TRIM(TEXTSPLIT(DO229,","))&amp;",",","&amp;SUBSTITUTE(input_executive_education_focus," ","")&amp;",")))&gt;0)),IF(DQ229="",TRUE,IF(input_executive_education_focus="",FALSE,SUMPRODUCT(--ISNUMBER(SEARCH(","&amp;TRIM(TEXTSPLIT(DQ229,","))&amp;",",","&amp;SUBSTITUTE(input_executive_education_focus," ","")&amp;",")))=COUNTA(TEXTSPLIT(DQ229,",")))))</f>
        <v/>
      </c>
      <c r="JE229" s="19">
        <f>AND(IF(DS229="",TRUE,IF(input_faculty_category="",FALSE,SUMPRODUCT(--ISNUMBER(SEARCH(","&amp;TRIM(TEXTSPLIT(DS229,","))&amp;",",","&amp;SUBSTITUTE(input_faculty_category," ","")&amp;",")))&gt;0)),IF(DU229="",TRUE,IF(input_faculty_category="",FALSE,SUMPRODUCT(--ISNUMBER(SEARCH(","&amp;TRIM(TEXTSPLIT(DU229,","))&amp;",",","&amp;SUBSTITUTE(input_faculty_category," ","")&amp;",")))=COUNTA(TEXTSPLIT(DU229,",")))),IF(DW229="",TRUE,IF(input_faculty_category="",TRUE,SUMPRODUCT(--ISNUMBER(SEARCH(","&amp;TRIM(TEXTSPLIT(DW229,","))&amp;",",","&amp;SUBSTITUTE(input_faculty_category," ","")&amp;",")))=0)),IF(DY229="",TRUE,IF(input_faculty_category="",FALSE,SUMPRODUCT(--ISNUMBER(SEARCH(","&amp;TRIM(TEXTSPLIT(DY229,","))&amp;",",","&amp;SUBSTITUTE(input_faculty_category," ","")&amp;",")))&gt;0)),IF(EA229="",TRUE,IF(input_faculty_category="",FALSE,SUMPRODUCT(--ISNUMBER(SEARCH(","&amp;TRIM(TEXTSPLIT(EA229,","))&amp;",",","&amp;SUBSTITUTE(input_faculty_category," ","")&amp;",")))=COUNTA(TEXTSPLIT(EA229,",")))))</f>
        <v/>
      </c>
      <c r="JF229" s="19">
        <f>AND(IF(EC229="",TRUE,IF(input_faculty_discipline="",FALSE,SUMPRODUCT(--ISNUMBER(SEARCH(","&amp;TRIM(TEXTSPLIT(EC229,","))&amp;",",","&amp;SUBSTITUTE(input_faculty_discipline," ","")&amp;",")))&gt;0)),IF(EE229="",TRUE,IF(input_faculty_discipline="",FALSE,SUMPRODUCT(--ISNUMBER(SEARCH(","&amp;TRIM(TEXTSPLIT(EE229,","))&amp;",",","&amp;SUBSTITUTE(input_faculty_discipline," ","")&amp;",")))=COUNTA(TEXTSPLIT(EE229,",")))),IF(EG229="",TRUE,IF(input_faculty_discipline="",TRUE,SUMPRODUCT(--ISNUMBER(SEARCH(","&amp;TRIM(TEXTSPLIT(EG229,","))&amp;",",","&amp;SUBSTITUTE(input_faculty_discipline," ","")&amp;",")))=0)),IF(EI229="",TRUE,IF(input_faculty_discipline="",FALSE,SUMPRODUCT(--ISNUMBER(SEARCH(","&amp;TRIM(TEXTSPLIT(EI229,","))&amp;",",","&amp;SUBSTITUTE(input_faculty_discipline," ","")&amp;",")))&gt;0)),IF(EK229="",TRUE,IF(input_faculty_discipline="",FALSE,SUMPRODUCT(--ISNUMBER(SEARCH(","&amp;TRIM(TEXTSPLIT(EK229,","))&amp;",",","&amp;SUBSTITUTE(input_faculty_discipline," ","")&amp;",")))=COUNTA(TEXTSPLIT(EK229,",")))))</f>
        <v/>
      </c>
      <c r="JG229" s="19">
        <f>AND(IF(EM229="",TRUE,IF(input_faculty_expertise="",FALSE,SUMPRODUCT(--ISNUMBER(SEARCH(","&amp;TRIM(TEXTSPLIT(EM229,","))&amp;",",","&amp;SUBSTITUTE(input_faculty_expertise," ","")&amp;",")))&gt;0)),IF(EO229="",TRUE,IF(input_faculty_expertise="",FALSE,SUMPRODUCT(--ISNUMBER(SEARCH(","&amp;TRIM(TEXTSPLIT(EO229,","))&amp;",",","&amp;SUBSTITUTE(input_faculty_expertise," ","")&amp;",")))=COUNTA(TEXTSPLIT(EO229,",")))),IF(EQ229="",TRUE,IF(input_faculty_expertise="",TRUE,SUMPRODUCT(--ISNUMBER(SEARCH(","&amp;TRIM(TEXTSPLIT(EQ229,","))&amp;",",","&amp;SUBSTITUTE(input_faculty_expertise," ","")&amp;",")))=0)),IF(ES229="",TRUE,IF(input_faculty_expertise="",FALSE,SUMPRODUCT(--ISNUMBER(SEARCH(","&amp;TRIM(TEXTSPLIT(ES229,","))&amp;",",","&amp;SUBSTITUTE(input_faculty_expertise," ","")&amp;",")))&gt;0)),IF(EU229="",TRUE,IF(input_faculty_expertise="",FALSE,SUMPRODUCT(--ISNUMBER(SEARCH(","&amp;TRIM(TEXTSPLIT(EU229,","))&amp;",",","&amp;SUBSTITUTE(input_faculty_expertise," ","")&amp;",")))=COUNTA(TEXTSPLIT(EU229,",")))))</f>
        <v/>
      </c>
      <c r="JH229" s="19">
        <f>AND(IF(EW229="",TRUE,IF(input_global_network_school="",FALSE,SUMPRODUCT(--ISNUMBER(SEARCH(","&amp;TRIM(TEXTSPLIT(EW229,","))&amp;",",","&amp;SUBSTITUTE(input_global_network_school," ","")&amp;",")))&gt;0)),IF(EY229="",TRUE,IF(input_global_network_school="",FALSE,SUMPRODUCT(--ISNUMBER(SEARCH(","&amp;TRIM(TEXTSPLIT(EY229,","))&amp;",",","&amp;SUBSTITUTE(input_global_network_school," ","")&amp;",")))=COUNTA(TEXTSPLIT(EY229,",")))),IF(FA229="",TRUE,IF(input_global_network_school="",TRUE,SUMPRODUCT(--ISNUMBER(SEARCH(","&amp;TRIM(TEXTSPLIT(FA229,","))&amp;",",","&amp;SUBSTITUTE(input_global_network_school," ","")&amp;",")))=0)),IF(FC229="",TRUE,IF(input_global_network_school="",FALSE,SUMPRODUCT(--ISNUMBER(SEARCH(","&amp;TRIM(TEXTSPLIT(FC229,","))&amp;",",","&amp;SUBSTITUTE(input_global_network_school," ","")&amp;",")))&gt;0)),IF(FE229="",TRUE,IF(input_global_network_school="",FALSE,SUMPRODUCT(--ISNUMBER(SEARCH(","&amp;TRIM(TEXTSPLIT(FE229,","))&amp;",",","&amp;SUBSTITUTE(input_global_network_school," ","")&amp;",")))=COUNTA(TEXTSPLIT(FE229,",")))))</f>
        <v/>
      </c>
      <c r="JI229" s="19">
        <f>AND(IF(FG229="",TRUE,IF(input_industry="",FALSE,SUMPRODUCT(--ISNUMBER(SEARCH(","&amp;TRIM(TEXTSPLIT(FG229,","))&amp;",",","&amp;SUBSTITUTE(input_industry," ","")&amp;",")))&gt;0)),IF(FI229="",TRUE,IF(input_industry="",FALSE,SUMPRODUCT(--ISNUMBER(SEARCH(","&amp;TRIM(TEXTSPLIT(FI229,","))&amp;",",","&amp;SUBSTITUTE(input_industry," ","")&amp;",")))=COUNTA(TEXTSPLIT(FI229,",")))),IF(FK229="",TRUE,IF(input_industry="",TRUE,SUMPRODUCT(--ISNUMBER(SEARCH(","&amp;TRIM(TEXTSPLIT(FK229,","))&amp;",",","&amp;SUBSTITUTE(input_industry," ","")&amp;",")))=0)),IF(FM229="",TRUE,IF(input_industry="",FALSE,SUMPRODUCT(--ISNUMBER(SEARCH(","&amp;TRIM(TEXTSPLIT(FM229,","))&amp;",",","&amp;SUBSTITUTE(input_industry," ","")&amp;",")))&gt;0)),IF(FO229="",TRUE,IF(input_industry="",FALSE,SUMPRODUCT(--ISNUMBER(SEARCH(","&amp;TRIM(TEXTSPLIT(FO229,","))&amp;",",","&amp;SUBSTITUTE(input_industry," ","")&amp;",")))=COUNTA(TEXTSPLIT(FO229,",")))))</f>
        <v/>
      </c>
      <c r="JJ229" s="19">
        <f>AND(IF(FQ229="",TRUE,IF(input_location="",FALSE,SUMPRODUCT(--ISNUMBER(SEARCH(","&amp;TRIM(TEXTSPLIT(FQ229,","))&amp;",",","&amp;SUBSTITUTE(input_location," ","")&amp;",")))&gt;0)),IF(FS229="",TRUE,IF(input_location="",FALSE,SUMPRODUCT(--ISNUMBER(SEARCH(","&amp;TRIM(TEXTSPLIT(FS229,","))&amp;",",","&amp;SUBSTITUTE(input_location," ","")&amp;",")))=COUNTA(TEXTSPLIT(FS229,",")))),IF(FU229="",TRUE,IF(input_location="",TRUE,SUMPRODUCT(--ISNUMBER(SEARCH(","&amp;TRIM(TEXTSPLIT(FU229,","))&amp;",",","&amp;SUBSTITUTE(input_location," ","")&amp;",")))=0)),IF(FW229="",TRUE,IF(input_location="",FALSE,SUMPRODUCT(--ISNUMBER(SEARCH(","&amp;TRIM(TEXTSPLIT(FW229,","))&amp;",",","&amp;SUBSTITUTE(input_location," ","")&amp;",")))&gt;0)),IF(FY229="",TRUE,IF(input_location="",FALSE,SUMPRODUCT(--ISNUMBER(SEARCH(","&amp;TRIM(TEXTSPLIT(FY229,","))&amp;",",","&amp;SUBSTITUTE(input_location," ","")&amp;",")))=COUNTA(TEXTSPLIT(FY229,",")))))</f>
        <v/>
      </c>
      <c r="JK229" s="19">
        <f>AND(IF(GA229="",TRUE,IF(input_modality="",FALSE,SUMPRODUCT(--ISNUMBER(SEARCH(","&amp;TRIM(TEXTSPLIT(GA229,","))&amp;",",","&amp;SUBSTITUTE(input_modality," ","")&amp;",")))&gt;0)),IF(GC229="",TRUE,IF(input_modality="",FALSE,SUMPRODUCT(--ISNUMBER(SEARCH(","&amp;TRIM(TEXTSPLIT(GC229,","))&amp;",",","&amp;SUBSTITUTE(input_modality," ","")&amp;",")))=COUNTA(TEXTSPLIT(GC229,",")))),IF(GE229="",TRUE,IF(input_modality="",TRUE,SUMPRODUCT(--ISNUMBER(SEARCH(","&amp;TRIM(TEXTSPLIT(GE229,","))&amp;",",","&amp;SUBSTITUTE(input_modality," ","")&amp;",")))=0)),IF(GG229="",TRUE,IF(input_modality="",FALSE,SUMPRODUCT(--ISNUMBER(SEARCH(","&amp;TRIM(TEXTSPLIT(GG229,","))&amp;",",","&amp;SUBSTITUTE(input_modality," ","")&amp;",")))&gt;0)),IF(GI229="",TRUE,IF(input_modality="",FALSE,SUMPRODUCT(--ISNUMBER(SEARCH(","&amp;TRIM(TEXTSPLIT(GI229,","))&amp;",",","&amp;SUBSTITUTE(input_modality," ","")&amp;",")))=COUNTA(TEXTSPLIT(GI229,",")))))</f>
        <v/>
      </c>
      <c r="JL229" s="19">
        <f>AND(IF(GK229="",TRUE,IF(input_organizer="",FALSE,SUMPRODUCT(--ISNUMBER(SEARCH(","&amp;TRIM(TEXTSPLIT(GK229,","))&amp;",",","&amp;SUBSTITUTE(input_organizer," ","")&amp;",")))&gt;0)),IF(GM229="",TRUE,IF(input_organizer="",FALSE,SUMPRODUCT(--ISNUMBER(SEARCH(","&amp;TRIM(TEXTSPLIT(GM229,","))&amp;",",","&amp;SUBSTITUTE(input_organizer," ","")&amp;",")))=COUNTA(TEXTSPLIT(GM229,",")))),IF(GO229="",TRUE,IF(input_organizer="",TRUE,SUMPRODUCT(--ISNUMBER(SEARCH(","&amp;TRIM(TEXTSPLIT(GO229,","))&amp;",",","&amp;SUBSTITUTE(input_organizer," ","")&amp;",")))=0)),IF(GQ229="",TRUE,IF(input_organizer="",FALSE,SUMPRODUCT(--ISNUMBER(SEARCH(","&amp;TRIM(TEXTSPLIT(GQ229,","))&amp;",",","&amp;SUBSTITUTE(input_organizer," ","")&amp;",")))&gt;0)),IF(GS229="",TRUE,IF(input_organizer="",FALSE,SUMPRODUCT(--ISNUMBER(SEARCH(","&amp;TRIM(TEXTSPLIT(GS229,","))&amp;",",","&amp;SUBSTITUTE(input_organizer," ","")&amp;",")))=COUNTA(TEXTSPLIT(GS229,",")))))</f>
        <v/>
      </c>
      <c r="JM229" s="19">
        <f>AND(IF(GU229="",TRUE,IF(input_profile_type="",FALSE,SUMPRODUCT(--ISNUMBER(SEARCH(","&amp;TRIM(TEXTSPLIT(GU229,","))&amp;",",","&amp;SUBSTITUTE(input_profile_type," ","")&amp;",")))&gt;0)),IF(GW229="",TRUE,IF(input_profile_type="",FALSE,SUMPRODUCT(--ISNUMBER(SEARCH(","&amp;TRIM(TEXTSPLIT(GW229,","))&amp;",",","&amp;SUBSTITUTE(input_profile_type," ","")&amp;",")))=COUNTA(TEXTSPLIT(GW229,",")))),IF(GY229="",TRUE,IF(input_profile_type="",TRUE,SUMPRODUCT(--ISNUMBER(SEARCH(","&amp;TRIM(TEXTSPLIT(GY229,","))&amp;",",","&amp;SUBSTITUTE(input_profile_type," ","")&amp;",")))=0)),IF(HA229="",TRUE,IF(input_profile_type="",FALSE,SUMPRODUCT(--ISNUMBER(SEARCH(","&amp;TRIM(TEXTSPLIT(HA229,","))&amp;",",","&amp;SUBSTITUTE(input_profile_type," ","")&amp;",")))&gt;0)),IF(HC229="",TRUE,IF(input_profile_type="",FALSE,SUMPRODUCT(--ISNUMBER(SEARCH(","&amp;TRIM(TEXTSPLIT(HC229,","))&amp;",",","&amp;SUBSTITUTE(input_profile_type," ","")&amp;",")))=COUNTA(TEXTSPLIT(HC229,",")))))</f>
        <v/>
      </c>
      <c r="JN229" s="19">
        <f>AND(IF(HE229="",TRUE,IF(input_program="",FALSE,SUMPRODUCT(--ISNUMBER(SEARCH(","&amp;TRIM(TEXTSPLIT(HE229,","))&amp;",",","&amp;SUBSTITUTE(input_program," ","")&amp;",")))&gt;0)),IF(HG229="",TRUE,IF(input_program="",FALSE,SUMPRODUCT(--ISNUMBER(SEARCH(","&amp;TRIM(TEXTSPLIT(HG229,","))&amp;",",","&amp;SUBSTITUTE(input_program," ","")&amp;",")))=COUNTA(TEXTSPLIT(HG229,",")))),IF(HI229="",TRUE,IF(input_program="",TRUE,SUMPRODUCT(--ISNUMBER(SEARCH(","&amp;TRIM(TEXTSPLIT(HI229,","))&amp;",",","&amp;SUBSTITUTE(input_program," ","")&amp;",")))=0)),IF(HK229="",TRUE,IF(input_program="",FALSE,SUMPRODUCT(--ISNUMBER(SEARCH(","&amp;TRIM(TEXTSPLIT(HK229,","))&amp;",",","&amp;SUBSTITUTE(input_program," ","")&amp;",")))&gt;0)),IF(HM229="",TRUE,IF(input_program="",FALSE,SUMPRODUCT(--ISNUMBER(SEARCH(","&amp;TRIM(TEXTSPLIT(HM229,","))&amp;",",","&amp;SUBSTITUTE(input_program," ","")&amp;",")))=COUNTA(TEXTSPLIT(HM229,",")))))</f>
        <v/>
      </c>
      <c r="JO229" s="19">
        <f>AND(IF(HO229="",TRUE,IF(input_story_categories="",FALSE,SUMPRODUCT(--ISNUMBER(SEARCH(","&amp;TRIM(TEXTSPLIT(HO229,","))&amp;",",","&amp;SUBSTITUTE(input_story_categories," ","")&amp;",")))&gt;0)),IF(HQ229="",TRUE,IF(input_story_categories="",FALSE,SUMPRODUCT(--ISNUMBER(SEARCH(","&amp;TRIM(TEXTSPLIT(HQ229,","))&amp;",",","&amp;SUBSTITUTE(input_story_categories," ","")&amp;",")))=COUNTA(TEXTSPLIT(HQ229,",")))),IF(HS229="",TRUE,IF(input_story_categories="",TRUE,SUMPRODUCT(--ISNUMBER(SEARCH(","&amp;TRIM(TEXTSPLIT(HS229,","))&amp;",",","&amp;SUBSTITUTE(input_story_categories," ","")&amp;",")))=0)),IF(HU229="",TRUE,IF(input_story_categories="",FALSE,SUMPRODUCT(--ISNUMBER(SEARCH(","&amp;TRIM(TEXTSPLIT(HU229,","))&amp;",",","&amp;SUBSTITUTE(input_story_categories," ","")&amp;",")))&gt;0)),IF(HW229="",TRUE,IF(input_story_categories="",FALSE,SUMPRODUCT(--ISNUMBER(SEARCH(","&amp;TRIM(TEXTSPLIT(HW229,","))&amp;",",","&amp;SUBSTITUTE(input_story_categories," ","")&amp;",")))=COUNTA(TEXTSPLIT(HW229,",")))))</f>
        <v/>
      </c>
      <c r="JP229" s="19">
        <f>AND(IF(HY229="",TRUE,IF(input_story_type="",FALSE,SUMPRODUCT(--ISNUMBER(SEARCH(","&amp;TRIM(TEXTSPLIT(HY229,","))&amp;",",","&amp;SUBSTITUTE(input_story_type," ","")&amp;",")))&gt;0)),IF(IA229="",TRUE,IF(input_story_type="",FALSE,SUMPRODUCT(--ISNUMBER(SEARCH(","&amp;TRIM(TEXTSPLIT(IA229,","))&amp;",",","&amp;SUBSTITUTE(input_story_type," ","")&amp;",")))=COUNTA(TEXTSPLIT(IA229,",")))),IF(IC229="",TRUE,IF(input_story_type="",TRUE,SUMPRODUCT(--ISNUMBER(SEARCH(","&amp;TRIM(TEXTSPLIT(IC229,","))&amp;",",","&amp;SUBSTITUTE(input_story_type," ","")&amp;",")))=0)),IF(IE229="",TRUE,IF(input_story_type="",FALSE,SUMPRODUCT(--ISNUMBER(SEARCH(","&amp;TRIM(TEXTSPLIT(IE229,","))&amp;",",","&amp;SUBSTITUTE(input_story_type," ","")&amp;",")))&gt;0)),IF(IG229="",TRUE,IF(input_story_type="",FALSE,SUMPRODUCT(--ISNUMBER(SEARCH(","&amp;TRIM(TEXTSPLIT(IG229,","))&amp;",",","&amp;SUBSTITUTE(input_story_type," ","")&amp;",")))=COUNTA(TEXTSPLIT(IG229,",")))))</f>
        <v/>
      </c>
      <c r="JQ229" s="19">
        <f>AND(IF(II229="",TRUE,IF(input_topics="",FALSE,SUMPRODUCT(--ISNUMBER(SEARCH(","&amp;TRIM(TEXTSPLIT(II229,","))&amp;",",","&amp;SUBSTITUTE(input_topics," ","")&amp;",")))&gt;0)),IF(IK229="",TRUE,IF(input_topics="",FALSE,SUMPRODUCT(--ISNUMBER(SEARCH(","&amp;TRIM(TEXTSPLIT(IK229,","))&amp;",",","&amp;SUBSTITUTE(input_topics," ","")&amp;",")))=COUNTA(TEXTSPLIT(IK229,",")))),IF(IM229="",TRUE,IF(input_topics="",TRUE,SUMPRODUCT(--ISNUMBER(SEARCH(","&amp;TRIM(TEXTSPLIT(IM229,","))&amp;",",","&amp;SUBSTITUTE(input_topics," ","")&amp;",")))=0)),IF(IO229="",TRUE,IF(input_topics="",FALSE,SUMPRODUCT(--ISNUMBER(SEARCH(","&amp;TRIM(TEXTSPLIT(IO229,","))&amp;",",","&amp;SUBSTITUTE(input_topics," ","")&amp;",")))&gt;0)),IF(IQ229="",TRUE,IF(input_topics="",FALSE,SUMPRODUCT(--ISNUMBER(SEARCH(","&amp;TRIM(TEXTSPLIT(IQ229,","))&amp;",",","&amp;SUBSTITUTE(input_topics," ","")&amp;",")))=COUNTA(TEXTSPLIT(IQ229,",")))))</f>
        <v/>
      </c>
    </row>
    <row r="230">
      <c r="A230" s="24">
        <f>IF(NOT(IS230),"Excluded",IF(AND(IT230,IU230,IV230,IW230,IX230,IY230,IZ230,JA230,JB230,JC230,JD230,JE230,JF230,JG230,JH230,JI230,JJ230,JK230,JL230,JM230,JN230,JO230,JP230,JQ230),IF(I230&gt;0,"Eligible but limited","Will appear"),"Excluded"))</f>
        <v/>
      </c>
      <c r="B230" s="24" t="inlineStr">
        <is>
          <t>Student Profiles</t>
        </is>
      </c>
      <c r="C230" s="27" t="inlineStr">
        <is>
          <t>/programs/mam/the-student-experience/student-profiles</t>
        </is>
      </c>
      <c r="D230" s="24" t="inlineStr">
        <is>
          <t>/programs/mam/the-student-experience/student-profiles</t>
        </is>
      </c>
      <c r="E230" s="24" t="n">
        <v>1</v>
      </c>
      <c r="F230" s="24" t="inlineStr">
        <is>
          <t>profile</t>
        </is>
      </c>
      <c r="G230" s="24" t="inlineStr">
        <is>
          <t>profiles_grid</t>
        </is>
      </c>
      <c r="H230" s="24" t="inlineStr">
        <is>
          <t>embed_5</t>
        </is>
      </c>
      <c r="I230" s="24" t="n">
        <v>9</v>
      </c>
      <c r="J230" s="28" t="inlineStr">
        <is>
          <t>Explicit args</t>
        </is>
      </c>
      <c r="K230" s="24" t="inlineStr">
        <is>
          <t>Page placement</t>
        </is>
      </c>
      <c r="L230" s="24" t="inlineStr">
        <is>
          <t>Content type: profile; Excludes Profile Type: Ambassador (1552); Context uses Program: Master of Advanced Management (81); Limited to 9 item(s); Source: Explicit args</t>
        </is>
      </c>
      <c r="GY230" s="19" t="inlineStr">
        <is>
          <t>1552</t>
        </is>
      </c>
      <c r="GZ230" s="19" t="inlineStr">
        <is>
          <t>Ambassador (1552)</t>
        </is>
      </c>
      <c r="HK230" s="19" t="inlineStr">
        <is>
          <t>81</t>
        </is>
      </c>
      <c r="HL230" s="19" t="inlineStr">
        <is>
          <t>Master of Advanced Management (81)</t>
        </is>
      </c>
      <c r="IS230" s="19">
        <f>IF(input_content_type="",FALSE,ISNUMBER(SEARCH(","&amp;LOWER(input_content_type)&amp;",",","&amp;LOWER(SUBSTITUTE(F230," ",""))&amp;",")))</f>
        <v/>
      </c>
      <c r="IT230" s="19">
        <f>AND(IF(M230="",TRUE,IF(input_affiliations="",FALSE,SUMPRODUCT(--ISNUMBER(SEARCH(","&amp;TRIM(TEXTSPLIT(M230,","))&amp;",",","&amp;SUBSTITUTE(input_affiliations," ","")&amp;",")))&gt;0)),IF(O230="",TRUE,IF(input_affiliations="",FALSE,SUMPRODUCT(--ISNUMBER(SEARCH(","&amp;TRIM(TEXTSPLIT(O230,","))&amp;",",","&amp;SUBSTITUTE(input_affiliations," ","")&amp;",")))=COUNTA(TEXTSPLIT(O230,",")))),IF(Q230="",TRUE,IF(input_affiliations="",TRUE,SUMPRODUCT(--ISNUMBER(SEARCH(","&amp;TRIM(TEXTSPLIT(Q230,","))&amp;",",","&amp;SUBSTITUTE(input_affiliations," ","")&amp;",")))=0)),IF(S230="",TRUE,IF(input_affiliations="",FALSE,SUMPRODUCT(--ISNUMBER(SEARCH(","&amp;TRIM(TEXTSPLIT(S230,","))&amp;",",","&amp;SUBSTITUTE(input_affiliations," ","")&amp;",")))&gt;0)),IF(U230="",TRUE,IF(input_affiliations="",FALSE,SUMPRODUCT(--ISNUMBER(SEARCH(","&amp;TRIM(TEXTSPLIT(U230,","))&amp;",",","&amp;SUBSTITUTE(input_affiliations," ","")&amp;",")))=COUNTA(TEXTSPLIT(U230,",")))))</f>
        <v/>
      </c>
      <c r="IU230" s="19">
        <f>AND(IF(W230="",TRUE,IF(input_announcement_category="",FALSE,SUMPRODUCT(--ISNUMBER(SEARCH(","&amp;TRIM(TEXTSPLIT(W230,","))&amp;",",","&amp;SUBSTITUTE(input_announcement_category," ","")&amp;",")))&gt;0)),IF(Y230="",TRUE,IF(input_announcement_category="",FALSE,SUMPRODUCT(--ISNUMBER(SEARCH(","&amp;TRIM(TEXTSPLIT(Y230,","))&amp;",",","&amp;SUBSTITUTE(input_announcement_category," ","")&amp;",")))=COUNTA(TEXTSPLIT(Y230,",")))),IF(AA230="",TRUE,IF(input_announcement_category="",TRUE,SUMPRODUCT(--ISNUMBER(SEARCH(","&amp;TRIM(TEXTSPLIT(AA230,","))&amp;",",","&amp;SUBSTITUTE(input_announcement_category," ","")&amp;",")))=0)),IF(AC230="",TRUE,IF(input_announcement_category="",FALSE,SUMPRODUCT(--ISNUMBER(SEARCH(","&amp;TRIM(TEXTSPLIT(AC230,","))&amp;",",","&amp;SUBSTITUTE(input_announcement_category," ","")&amp;",")))&gt;0)),IF(AE230="",TRUE,IF(input_announcement_category="",FALSE,SUMPRODUCT(--ISNUMBER(SEARCH(","&amp;TRIM(TEXTSPLIT(AE230,","))&amp;",",","&amp;SUBSTITUTE(input_announcement_category," ","")&amp;",")))=COUNTA(TEXTSPLIT(AE230,",")))))</f>
        <v/>
      </c>
      <c r="IV230" s="19">
        <f>AND(IF(AG230="",TRUE,IF(input_area_of_focus="",FALSE,SUMPRODUCT(--ISNUMBER(SEARCH(","&amp;TRIM(TEXTSPLIT(AG230,","))&amp;",",","&amp;SUBSTITUTE(input_area_of_focus," ","")&amp;",")))&gt;0)),IF(AI230="",TRUE,IF(input_area_of_focus="",FALSE,SUMPRODUCT(--ISNUMBER(SEARCH(","&amp;TRIM(TEXTSPLIT(AI230,","))&amp;",",","&amp;SUBSTITUTE(input_area_of_focus," ","")&amp;",")))=COUNTA(TEXTSPLIT(AI230,",")))),IF(AK230="",TRUE,IF(input_area_of_focus="",TRUE,SUMPRODUCT(--ISNUMBER(SEARCH(","&amp;TRIM(TEXTSPLIT(AK230,","))&amp;",",","&amp;SUBSTITUTE(input_area_of_focus," ","")&amp;",")))=0)),IF(AM230="",TRUE,IF(input_area_of_focus="",FALSE,SUMPRODUCT(--ISNUMBER(SEARCH(","&amp;TRIM(TEXTSPLIT(AM230,","))&amp;",",","&amp;SUBSTITUTE(input_area_of_focus," ","")&amp;",")))&gt;0)),IF(AO230="",TRUE,IF(input_area_of_focus="",FALSE,SUMPRODUCT(--ISNUMBER(SEARCH(","&amp;TRIM(TEXTSPLIT(AO230,","))&amp;",",","&amp;SUBSTITUTE(input_area_of_focus," ","")&amp;",")))=COUNTA(TEXTSPLIT(AO230,",")))))</f>
        <v/>
      </c>
      <c r="IW230" s="19">
        <f>AND(IF(AQ230="",TRUE,IF(input_audience="",FALSE,SUMPRODUCT(--ISNUMBER(SEARCH(","&amp;TRIM(TEXTSPLIT(AQ230,","))&amp;",",","&amp;SUBSTITUTE(input_audience," ","")&amp;",")))&gt;0)),IF(AS230="",TRUE,IF(input_audience="",FALSE,SUMPRODUCT(--ISNUMBER(SEARCH(","&amp;TRIM(TEXTSPLIT(AS230,","))&amp;",",","&amp;SUBSTITUTE(input_audience," ","")&amp;",")))=COUNTA(TEXTSPLIT(AS230,",")))),IF(AU230="",TRUE,IF(input_audience="",TRUE,SUMPRODUCT(--ISNUMBER(SEARCH(","&amp;TRIM(TEXTSPLIT(AU230,","))&amp;",",","&amp;SUBSTITUTE(input_audience," ","")&amp;",")))=0)),IF(AW230="",TRUE,IF(input_audience="",FALSE,SUMPRODUCT(--ISNUMBER(SEARCH(","&amp;TRIM(TEXTSPLIT(AW230,","))&amp;",",","&amp;SUBSTITUTE(input_audience," ","")&amp;",")))&gt;0)),IF(AY230="",TRUE,IF(input_audience="",FALSE,SUMPRODUCT(--ISNUMBER(SEARCH(","&amp;TRIM(TEXTSPLIT(AY230,","))&amp;",",","&amp;SUBSTITUTE(input_audience," ","")&amp;",")))=COUNTA(TEXTSPLIT(AY230,",")))))</f>
        <v/>
      </c>
      <c r="IX230" s="19">
        <f>AND(IF(BA230="",TRUE,IF(input_challenge_opportunities="",FALSE,SUMPRODUCT(--ISNUMBER(SEARCH(","&amp;TRIM(TEXTSPLIT(BA230,","))&amp;",",","&amp;SUBSTITUTE(input_challenge_opportunities," ","")&amp;",")))&gt;0)),IF(BC230="",TRUE,IF(input_challenge_opportunities="",FALSE,SUMPRODUCT(--ISNUMBER(SEARCH(","&amp;TRIM(TEXTSPLIT(BC230,","))&amp;",",","&amp;SUBSTITUTE(input_challenge_opportunities," ","")&amp;",")))=COUNTA(TEXTSPLIT(BC230,",")))),IF(BE230="",TRUE,IF(input_challenge_opportunities="",TRUE,SUMPRODUCT(--ISNUMBER(SEARCH(","&amp;TRIM(TEXTSPLIT(BE230,","))&amp;",",","&amp;SUBSTITUTE(input_challenge_opportunities," ","")&amp;",")))=0)),IF(BG230="",TRUE,IF(input_challenge_opportunities="",FALSE,SUMPRODUCT(--ISNUMBER(SEARCH(","&amp;TRIM(TEXTSPLIT(BG230,","))&amp;",",","&amp;SUBSTITUTE(input_challenge_opportunities," ","")&amp;",")))&gt;0)),IF(BI230="",TRUE,IF(input_challenge_opportunities="",FALSE,SUMPRODUCT(--ISNUMBER(SEARCH(","&amp;TRIM(TEXTSPLIT(BI230,","))&amp;",",","&amp;SUBSTITUTE(input_challenge_opportunities," ","")&amp;",")))=COUNTA(TEXTSPLIT(BI230,",")))))</f>
        <v/>
      </c>
      <c r="IY230" s="19">
        <f>AND(IF(BK230="",TRUE,IF(input_context="",FALSE,SUMPRODUCT(--ISNUMBER(SEARCH(","&amp;TRIM(TEXTSPLIT(BK230,","))&amp;",",","&amp;SUBSTITUTE(input_context," ","")&amp;",")))&gt;0)),IF(BM230="",TRUE,IF(input_context="",FALSE,SUMPRODUCT(--ISNUMBER(SEARCH(","&amp;TRIM(TEXTSPLIT(BM230,","))&amp;",",","&amp;SUBSTITUTE(input_context," ","")&amp;",")))=COUNTA(TEXTSPLIT(BM230,",")))),IF(BO230="",TRUE,IF(input_context="",TRUE,SUMPRODUCT(--ISNUMBER(SEARCH(","&amp;TRIM(TEXTSPLIT(BO230,","))&amp;",",","&amp;SUBSTITUTE(input_context," ","")&amp;",")))=0)),IF(BQ230="",TRUE,IF(input_context="",FALSE,SUMPRODUCT(--ISNUMBER(SEARCH(","&amp;TRIM(TEXTSPLIT(BQ230,","))&amp;",",","&amp;SUBSTITUTE(input_context," ","")&amp;",")))&gt;0)),IF(BS230="",TRUE,IF(input_context="",FALSE,SUMPRODUCT(--ISNUMBER(SEARCH(","&amp;TRIM(TEXTSPLIT(BS230,","))&amp;",",","&amp;SUBSTITUTE(input_context," ","")&amp;",")))=COUNTA(TEXTSPLIT(BS230,",")))))</f>
        <v/>
      </c>
      <c r="IZ230" s="19">
        <f>AND(IF(BU230="",TRUE,IF(input_enews_announcement_type="",FALSE,SUMPRODUCT(--ISNUMBER(SEARCH(","&amp;TRIM(TEXTSPLIT(BU230,","))&amp;",",","&amp;SUBSTITUTE(input_enews_announcement_type," ","")&amp;",")))&gt;0)),IF(BW230="",TRUE,IF(input_enews_announcement_type="",FALSE,SUMPRODUCT(--ISNUMBER(SEARCH(","&amp;TRIM(TEXTSPLIT(BW230,","))&amp;",",","&amp;SUBSTITUTE(input_enews_announcement_type," ","")&amp;",")))=COUNTA(TEXTSPLIT(BW230,",")))),IF(BY230="",TRUE,IF(input_enews_announcement_type="",TRUE,SUMPRODUCT(--ISNUMBER(SEARCH(","&amp;TRIM(TEXTSPLIT(BY230,","))&amp;",",","&amp;SUBSTITUTE(input_enews_announcement_type," ","")&amp;",")))=0)),IF(CA230="",TRUE,IF(input_enews_announcement_type="",FALSE,SUMPRODUCT(--ISNUMBER(SEARCH(","&amp;TRIM(TEXTSPLIT(CA230,","))&amp;",",","&amp;SUBSTITUTE(input_enews_announcement_type," ","")&amp;",")))&gt;0)),IF(CC230="",TRUE,IF(input_enews_announcement_type="",FALSE,SUMPRODUCT(--ISNUMBER(SEARCH(","&amp;TRIM(TEXTSPLIT(CC230,","))&amp;",",","&amp;SUBSTITUTE(input_enews_announcement_type," ","")&amp;",")))=COUNTA(TEXTSPLIT(CC230,",")))))</f>
        <v/>
      </c>
      <c r="JA230" s="19">
        <f>AND(IF(CE230="",TRUE,IF(input_enews_audience="",FALSE,SUMPRODUCT(--ISNUMBER(SEARCH(","&amp;TRIM(TEXTSPLIT(CE230,","))&amp;",",","&amp;SUBSTITUTE(input_enews_audience," ","")&amp;",")))&gt;0)),IF(CG230="",TRUE,IF(input_enews_audience="",FALSE,SUMPRODUCT(--ISNUMBER(SEARCH(","&amp;TRIM(TEXTSPLIT(CG230,","))&amp;",",","&amp;SUBSTITUTE(input_enews_audience," ","")&amp;",")))=COUNTA(TEXTSPLIT(CG230,",")))),IF(CI230="",TRUE,IF(input_enews_audience="",TRUE,SUMPRODUCT(--ISNUMBER(SEARCH(","&amp;TRIM(TEXTSPLIT(CI230,","))&amp;",",","&amp;SUBSTITUTE(input_enews_audience," ","")&amp;",")))=0)),IF(CK230="",TRUE,IF(input_enews_audience="",FALSE,SUMPRODUCT(--ISNUMBER(SEARCH(","&amp;TRIM(TEXTSPLIT(CK230,","))&amp;",",","&amp;SUBSTITUTE(input_enews_audience," ","")&amp;",")))&gt;0)),IF(CM230="",TRUE,IF(input_enews_audience="",FALSE,SUMPRODUCT(--ISNUMBER(SEARCH(","&amp;TRIM(TEXTSPLIT(CM230,","))&amp;",",","&amp;SUBSTITUTE(input_enews_audience," ","")&amp;",")))=COUNTA(TEXTSPLIT(CM230,",")))))</f>
        <v/>
      </c>
      <c r="JB230" s="19">
        <f>AND(IF(CO230="",TRUE,IF(input_event_location="",FALSE,SUMPRODUCT(--ISNUMBER(SEARCH(","&amp;TRIM(TEXTSPLIT(CO230,","))&amp;",",","&amp;SUBSTITUTE(input_event_location," ","")&amp;",")))&gt;0)),IF(CQ230="",TRUE,IF(input_event_location="",FALSE,SUMPRODUCT(--ISNUMBER(SEARCH(","&amp;TRIM(TEXTSPLIT(CQ230,","))&amp;",",","&amp;SUBSTITUTE(input_event_location," ","")&amp;",")))=COUNTA(TEXTSPLIT(CQ230,",")))),IF(CS230="",TRUE,IF(input_event_location="",TRUE,SUMPRODUCT(--ISNUMBER(SEARCH(","&amp;TRIM(TEXTSPLIT(CS230,","))&amp;",",","&amp;SUBSTITUTE(input_event_location," ","")&amp;",")))=0)),IF(CU230="",TRUE,IF(input_event_location="",FALSE,SUMPRODUCT(--ISNUMBER(SEARCH(","&amp;TRIM(TEXTSPLIT(CU230,","))&amp;",",","&amp;SUBSTITUTE(input_event_location," ","")&amp;",")))&gt;0)),IF(CW230="",TRUE,IF(input_event_location="",FALSE,SUMPRODUCT(--ISNUMBER(SEARCH(","&amp;TRIM(TEXTSPLIT(CW230,","))&amp;",",","&amp;SUBSTITUTE(input_event_location," ","")&amp;",")))=COUNTA(TEXTSPLIT(CW230,",")))))</f>
        <v/>
      </c>
      <c r="JC230" s="19">
        <f>AND(IF(CY230="",TRUE,IF(input_event_type="",FALSE,SUMPRODUCT(--ISNUMBER(SEARCH(","&amp;TRIM(TEXTSPLIT(CY230,","))&amp;",",","&amp;SUBSTITUTE(input_event_type," ","")&amp;",")))&gt;0)),IF(DA230="",TRUE,IF(input_event_type="",FALSE,SUMPRODUCT(--ISNUMBER(SEARCH(","&amp;TRIM(TEXTSPLIT(DA230,","))&amp;",",","&amp;SUBSTITUTE(input_event_type," ","")&amp;",")))=COUNTA(TEXTSPLIT(DA230,",")))),IF(DC230="",TRUE,IF(input_event_type="",TRUE,SUMPRODUCT(--ISNUMBER(SEARCH(","&amp;TRIM(TEXTSPLIT(DC230,","))&amp;",",","&amp;SUBSTITUTE(input_event_type," ","")&amp;",")))=0)),IF(DE230="",TRUE,IF(input_event_type="",FALSE,SUMPRODUCT(--ISNUMBER(SEARCH(","&amp;TRIM(TEXTSPLIT(DE230,","))&amp;",",","&amp;SUBSTITUTE(input_event_type," ","")&amp;",")))&gt;0)),IF(DG230="",TRUE,IF(input_event_type="",FALSE,SUMPRODUCT(--ISNUMBER(SEARCH(","&amp;TRIM(TEXTSPLIT(DG230,","))&amp;",",","&amp;SUBSTITUTE(input_event_type," ","")&amp;",")))=COUNTA(TEXTSPLIT(DG230,",")))))</f>
        <v/>
      </c>
      <c r="JD230" s="19">
        <f>AND(IF(DI230="",TRUE,IF(input_executive_education_focus="",FALSE,SUMPRODUCT(--ISNUMBER(SEARCH(","&amp;TRIM(TEXTSPLIT(DI230,","))&amp;",",","&amp;SUBSTITUTE(input_executive_education_focus," ","")&amp;",")))&gt;0)),IF(DK230="",TRUE,IF(input_executive_education_focus="",FALSE,SUMPRODUCT(--ISNUMBER(SEARCH(","&amp;TRIM(TEXTSPLIT(DK230,","))&amp;",",","&amp;SUBSTITUTE(input_executive_education_focus," ","")&amp;",")))=COUNTA(TEXTSPLIT(DK230,",")))),IF(DM230="",TRUE,IF(input_executive_education_focus="",TRUE,SUMPRODUCT(--ISNUMBER(SEARCH(","&amp;TRIM(TEXTSPLIT(DM230,","))&amp;",",","&amp;SUBSTITUTE(input_executive_education_focus," ","")&amp;",")))=0)),IF(DO230="",TRUE,IF(input_executive_education_focus="",FALSE,SUMPRODUCT(--ISNUMBER(SEARCH(","&amp;TRIM(TEXTSPLIT(DO230,","))&amp;",",","&amp;SUBSTITUTE(input_executive_education_focus," ","")&amp;",")))&gt;0)),IF(DQ230="",TRUE,IF(input_executive_education_focus="",FALSE,SUMPRODUCT(--ISNUMBER(SEARCH(","&amp;TRIM(TEXTSPLIT(DQ230,","))&amp;",",","&amp;SUBSTITUTE(input_executive_education_focus," ","")&amp;",")))=COUNTA(TEXTSPLIT(DQ230,",")))))</f>
        <v/>
      </c>
      <c r="JE230" s="19">
        <f>AND(IF(DS230="",TRUE,IF(input_faculty_category="",FALSE,SUMPRODUCT(--ISNUMBER(SEARCH(","&amp;TRIM(TEXTSPLIT(DS230,","))&amp;",",","&amp;SUBSTITUTE(input_faculty_category," ","")&amp;",")))&gt;0)),IF(DU230="",TRUE,IF(input_faculty_category="",FALSE,SUMPRODUCT(--ISNUMBER(SEARCH(","&amp;TRIM(TEXTSPLIT(DU230,","))&amp;",",","&amp;SUBSTITUTE(input_faculty_category," ","")&amp;",")))=COUNTA(TEXTSPLIT(DU230,",")))),IF(DW230="",TRUE,IF(input_faculty_category="",TRUE,SUMPRODUCT(--ISNUMBER(SEARCH(","&amp;TRIM(TEXTSPLIT(DW230,","))&amp;",",","&amp;SUBSTITUTE(input_faculty_category," ","")&amp;",")))=0)),IF(DY230="",TRUE,IF(input_faculty_category="",FALSE,SUMPRODUCT(--ISNUMBER(SEARCH(","&amp;TRIM(TEXTSPLIT(DY230,","))&amp;",",","&amp;SUBSTITUTE(input_faculty_category," ","")&amp;",")))&gt;0)),IF(EA230="",TRUE,IF(input_faculty_category="",FALSE,SUMPRODUCT(--ISNUMBER(SEARCH(","&amp;TRIM(TEXTSPLIT(EA230,","))&amp;",",","&amp;SUBSTITUTE(input_faculty_category," ","")&amp;",")))=COUNTA(TEXTSPLIT(EA230,",")))))</f>
        <v/>
      </c>
      <c r="JF230" s="19">
        <f>AND(IF(EC230="",TRUE,IF(input_faculty_discipline="",FALSE,SUMPRODUCT(--ISNUMBER(SEARCH(","&amp;TRIM(TEXTSPLIT(EC230,","))&amp;",",","&amp;SUBSTITUTE(input_faculty_discipline," ","")&amp;",")))&gt;0)),IF(EE230="",TRUE,IF(input_faculty_discipline="",FALSE,SUMPRODUCT(--ISNUMBER(SEARCH(","&amp;TRIM(TEXTSPLIT(EE230,","))&amp;",",","&amp;SUBSTITUTE(input_faculty_discipline," ","")&amp;",")))=COUNTA(TEXTSPLIT(EE230,",")))),IF(EG230="",TRUE,IF(input_faculty_discipline="",TRUE,SUMPRODUCT(--ISNUMBER(SEARCH(","&amp;TRIM(TEXTSPLIT(EG230,","))&amp;",",","&amp;SUBSTITUTE(input_faculty_discipline," ","")&amp;",")))=0)),IF(EI230="",TRUE,IF(input_faculty_discipline="",FALSE,SUMPRODUCT(--ISNUMBER(SEARCH(","&amp;TRIM(TEXTSPLIT(EI230,","))&amp;",",","&amp;SUBSTITUTE(input_faculty_discipline," ","")&amp;",")))&gt;0)),IF(EK230="",TRUE,IF(input_faculty_discipline="",FALSE,SUMPRODUCT(--ISNUMBER(SEARCH(","&amp;TRIM(TEXTSPLIT(EK230,","))&amp;",",","&amp;SUBSTITUTE(input_faculty_discipline," ","")&amp;",")))=COUNTA(TEXTSPLIT(EK230,",")))))</f>
        <v/>
      </c>
      <c r="JG230" s="19">
        <f>AND(IF(EM230="",TRUE,IF(input_faculty_expertise="",FALSE,SUMPRODUCT(--ISNUMBER(SEARCH(","&amp;TRIM(TEXTSPLIT(EM230,","))&amp;",",","&amp;SUBSTITUTE(input_faculty_expertise," ","")&amp;",")))&gt;0)),IF(EO230="",TRUE,IF(input_faculty_expertise="",FALSE,SUMPRODUCT(--ISNUMBER(SEARCH(","&amp;TRIM(TEXTSPLIT(EO230,","))&amp;",",","&amp;SUBSTITUTE(input_faculty_expertise," ","")&amp;",")))=COUNTA(TEXTSPLIT(EO230,",")))),IF(EQ230="",TRUE,IF(input_faculty_expertise="",TRUE,SUMPRODUCT(--ISNUMBER(SEARCH(","&amp;TRIM(TEXTSPLIT(EQ230,","))&amp;",",","&amp;SUBSTITUTE(input_faculty_expertise," ","")&amp;",")))=0)),IF(ES230="",TRUE,IF(input_faculty_expertise="",FALSE,SUMPRODUCT(--ISNUMBER(SEARCH(","&amp;TRIM(TEXTSPLIT(ES230,","))&amp;",",","&amp;SUBSTITUTE(input_faculty_expertise," ","")&amp;",")))&gt;0)),IF(EU230="",TRUE,IF(input_faculty_expertise="",FALSE,SUMPRODUCT(--ISNUMBER(SEARCH(","&amp;TRIM(TEXTSPLIT(EU230,","))&amp;",",","&amp;SUBSTITUTE(input_faculty_expertise," ","")&amp;",")))=COUNTA(TEXTSPLIT(EU230,",")))))</f>
        <v/>
      </c>
      <c r="JH230" s="19">
        <f>AND(IF(EW230="",TRUE,IF(input_global_network_school="",FALSE,SUMPRODUCT(--ISNUMBER(SEARCH(","&amp;TRIM(TEXTSPLIT(EW230,","))&amp;",",","&amp;SUBSTITUTE(input_global_network_school," ","")&amp;",")))&gt;0)),IF(EY230="",TRUE,IF(input_global_network_school="",FALSE,SUMPRODUCT(--ISNUMBER(SEARCH(","&amp;TRIM(TEXTSPLIT(EY230,","))&amp;",",","&amp;SUBSTITUTE(input_global_network_school," ","")&amp;",")))=COUNTA(TEXTSPLIT(EY230,",")))),IF(FA230="",TRUE,IF(input_global_network_school="",TRUE,SUMPRODUCT(--ISNUMBER(SEARCH(","&amp;TRIM(TEXTSPLIT(FA230,","))&amp;",",","&amp;SUBSTITUTE(input_global_network_school," ","")&amp;",")))=0)),IF(FC230="",TRUE,IF(input_global_network_school="",FALSE,SUMPRODUCT(--ISNUMBER(SEARCH(","&amp;TRIM(TEXTSPLIT(FC230,","))&amp;",",","&amp;SUBSTITUTE(input_global_network_school," ","")&amp;",")))&gt;0)),IF(FE230="",TRUE,IF(input_global_network_school="",FALSE,SUMPRODUCT(--ISNUMBER(SEARCH(","&amp;TRIM(TEXTSPLIT(FE230,","))&amp;",",","&amp;SUBSTITUTE(input_global_network_school," ","")&amp;",")))=COUNTA(TEXTSPLIT(FE230,",")))))</f>
        <v/>
      </c>
      <c r="JI230" s="19">
        <f>AND(IF(FG230="",TRUE,IF(input_industry="",FALSE,SUMPRODUCT(--ISNUMBER(SEARCH(","&amp;TRIM(TEXTSPLIT(FG230,","))&amp;",",","&amp;SUBSTITUTE(input_industry," ","")&amp;",")))&gt;0)),IF(FI230="",TRUE,IF(input_industry="",FALSE,SUMPRODUCT(--ISNUMBER(SEARCH(","&amp;TRIM(TEXTSPLIT(FI230,","))&amp;",",","&amp;SUBSTITUTE(input_industry," ","")&amp;",")))=COUNTA(TEXTSPLIT(FI230,",")))),IF(FK230="",TRUE,IF(input_industry="",TRUE,SUMPRODUCT(--ISNUMBER(SEARCH(","&amp;TRIM(TEXTSPLIT(FK230,","))&amp;",",","&amp;SUBSTITUTE(input_industry," ","")&amp;",")))=0)),IF(FM230="",TRUE,IF(input_industry="",FALSE,SUMPRODUCT(--ISNUMBER(SEARCH(","&amp;TRIM(TEXTSPLIT(FM230,","))&amp;",",","&amp;SUBSTITUTE(input_industry," ","")&amp;",")))&gt;0)),IF(FO230="",TRUE,IF(input_industry="",FALSE,SUMPRODUCT(--ISNUMBER(SEARCH(","&amp;TRIM(TEXTSPLIT(FO230,","))&amp;",",","&amp;SUBSTITUTE(input_industry," ","")&amp;",")))=COUNTA(TEXTSPLIT(FO230,",")))))</f>
        <v/>
      </c>
      <c r="JJ230" s="19">
        <f>AND(IF(FQ230="",TRUE,IF(input_location="",FALSE,SUMPRODUCT(--ISNUMBER(SEARCH(","&amp;TRIM(TEXTSPLIT(FQ230,","))&amp;",",","&amp;SUBSTITUTE(input_location," ","")&amp;",")))&gt;0)),IF(FS230="",TRUE,IF(input_location="",FALSE,SUMPRODUCT(--ISNUMBER(SEARCH(","&amp;TRIM(TEXTSPLIT(FS230,","))&amp;",",","&amp;SUBSTITUTE(input_location," ","")&amp;",")))=COUNTA(TEXTSPLIT(FS230,",")))),IF(FU230="",TRUE,IF(input_location="",TRUE,SUMPRODUCT(--ISNUMBER(SEARCH(","&amp;TRIM(TEXTSPLIT(FU230,","))&amp;",",","&amp;SUBSTITUTE(input_location," ","")&amp;",")))=0)),IF(FW230="",TRUE,IF(input_location="",FALSE,SUMPRODUCT(--ISNUMBER(SEARCH(","&amp;TRIM(TEXTSPLIT(FW230,","))&amp;",",","&amp;SUBSTITUTE(input_location," ","")&amp;",")))&gt;0)),IF(FY230="",TRUE,IF(input_location="",FALSE,SUMPRODUCT(--ISNUMBER(SEARCH(","&amp;TRIM(TEXTSPLIT(FY230,","))&amp;",",","&amp;SUBSTITUTE(input_location," ","")&amp;",")))=COUNTA(TEXTSPLIT(FY230,",")))))</f>
        <v/>
      </c>
      <c r="JK230" s="19">
        <f>AND(IF(GA230="",TRUE,IF(input_modality="",FALSE,SUMPRODUCT(--ISNUMBER(SEARCH(","&amp;TRIM(TEXTSPLIT(GA230,","))&amp;",",","&amp;SUBSTITUTE(input_modality," ","")&amp;",")))&gt;0)),IF(GC230="",TRUE,IF(input_modality="",FALSE,SUMPRODUCT(--ISNUMBER(SEARCH(","&amp;TRIM(TEXTSPLIT(GC230,","))&amp;",",","&amp;SUBSTITUTE(input_modality," ","")&amp;",")))=COUNTA(TEXTSPLIT(GC230,",")))),IF(GE230="",TRUE,IF(input_modality="",TRUE,SUMPRODUCT(--ISNUMBER(SEARCH(","&amp;TRIM(TEXTSPLIT(GE230,","))&amp;",",","&amp;SUBSTITUTE(input_modality," ","")&amp;",")))=0)),IF(GG230="",TRUE,IF(input_modality="",FALSE,SUMPRODUCT(--ISNUMBER(SEARCH(","&amp;TRIM(TEXTSPLIT(GG230,","))&amp;",",","&amp;SUBSTITUTE(input_modality," ","")&amp;",")))&gt;0)),IF(GI230="",TRUE,IF(input_modality="",FALSE,SUMPRODUCT(--ISNUMBER(SEARCH(","&amp;TRIM(TEXTSPLIT(GI230,","))&amp;",",","&amp;SUBSTITUTE(input_modality," ","")&amp;",")))=COUNTA(TEXTSPLIT(GI230,",")))))</f>
        <v/>
      </c>
      <c r="JL230" s="19">
        <f>AND(IF(GK230="",TRUE,IF(input_organizer="",FALSE,SUMPRODUCT(--ISNUMBER(SEARCH(","&amp;TRIM(TEXTSPLIT(GK230,","))&amp;",",","&amp;SUBSTITUTE(input_organizer," ","")&amp;",")))&gt;0)),IF(GM230="",TRUE,IF(input_organizer="",FALSE,SUMPRODUCT(--ISNUMBER(SEARCH(","&amp;TRIM(TEXTSPLIT(GM230,","))&amp;",",","&amp;SUBSTITUTE(input_organizer," ","")&amp;",")))=COUNTA(TEXTSPLIT(GM230,",")))),IF(GO230="",TRUE,IF(input_organizer="",TRUE,SUMPRODUCT(--ISNUMBER(SEARCH(","&amp;TRIM(TEXTSPLIT(GO230,","))&amp;",",","&amp;SUBSTITUTE(input_organizer," ","")&amp;",")))=0)),IF(GQ230="",TRUE,IF(input_organizer="",FALSE,SUMPRODUCT(--ISNUMBER(SEARCH(","&amp;TRIM(TEXTSPLIT(GQ230,","))&amp;",",","&amp;SUBSTITUTE(input_organizer," ","")&amp;",")))&gt;0)),IF(GS230="",TRUE,IF(input_organizer="",FALSE,SUMPRODUCT(--ISNUMBER(SEARCH(","&amp;TRIM(TEXTSPLIT(GS230,","))&amp;",",","&amp;SUBSTITUTE(input_organizer," ","")&amp;",")))=COUNTA(TEXTSPLIT(GS230,",")))))</f>
        <v/>
      </c>
      <c r="JM230" s="19">
        <f>AND(IF(GU230="",TRUE,IF(input_profile_type="",FALSE,SUMPRODUCT(--ISNUMBER(SEARCH(","&amp;TRIM(TEXTSPLIT(GU230,","))&amp;",",","&amp;SUBSTITUTE(input_profile_type," ","")&amp;",")))&gt;0)),IF(GW230="",TRUE,IF(input_profile_type="",FALSE,SUMPRODUCT(--ISNUMBER(SEARCH(","&amp;TRIM(TEXTSPLIT(GW230,","))&amp;",",","&amp;SUBSTITUTE(input_profile_type," ","")&amp;",")))=COUNTA(TEXTSPLIT(GW230,",")))),IF(GY230="",TRUE,IF(input_profile_type="",TRUE,SUMPRODUCT(--ISNUMBER(SEARCH(","&amp;TRIM(TEXTSPLIT(GY230,","))&amp;",",","&amp;SUBSTITUTE(input_profile_type," ","")&amp;",")))=0)),IF(HA230="",TRUE,IF(input_profile_type="",FALSE,SUMPRODUCT(--ISNUMBER(SEARCH(","&amp;TRIM(TEXTSPLIT(HA230,","))&amp;",",","&amp;SUBSTITUTE(input_profile_type," ","")&amp;",")))&gt;0)),IF(HC230="",TRUE,IF(input_profile_type="",FALSE,SUMPRODUCT(--ISNUMBER(SEARCH(","&amp;TRIM(TEXTSPLIT(HC230,","))&amp;",",","&amp;SUBSTITUTE(input_profile_type," ","")&amp;",")))=COUNTA(TEXTSPLIT(HC230,",")))))</f>
        <v/>
      </c>
      <c r="JN230" s="19">
        <f>AND(IF(HE230="",TRUE,IF(input_program="",FALSE,SUMPRODUCT(--ISNUMBER(SEARCH(","&amp;TRIM(TEXTSPLIT(HE230,","))&amp;",",","&amp;SUBSTITUTE(input_program," ","")&amp;",")))&gt;0)),IF(HG230="",TRUE,IF(input_program="",FALSE,SUMPRODUCT(--ISNUMBER(SEARCH(","&amp;TRIM(TEXTSPLIT(HG230,","))&amp;",",","&amp;SUBSTITUTE(input_program," ","")&amp;",")))=COUNTA(TEXTSPLIT(HG230,",")))),IF(HI230="",TRUE,IF(input_program="",TRUE,SUMPRODUCT(--ISNUMBER(SEARCH(","&amp;TRIM(TEXTSPLIT(HI230,","))&amp;",",","&amp;SUBSTITUTE(input_program," ","")&amp;",")))=0)),IF(HK230="",TRUE,IF(input_program="",FALSE,SUMPRODUCT(--ISNUMBER(SEARCH(","&amp;TRIM(TEXTSPLIT(HK230,","))&amp;",",","&amp;SUBSTITUTE(input_program," ","")&amp;",")))&gt;0)),IF(HM230="",TRUE,IF(input_program="",FALSE,SUMPRODUCT(--ISNUMBER(SEARCH(","&amp;TRIM(TEXTSPLIT(HM230,","))&amp;",",","&amp;SUBSTITUTE(input_program," ","")&amp;",")))=COUNTA(TEXTSPLIT(HM230,",")))))</f>
        <v/>
      </c>
      <c r="JO230" s="19">
        <f>AND(IF(HO230="",TRUE,IF(input_story_categories="",FALSE,SUMPRODUCT(--ISNUMBER(SEARCH(","&amp;TRIM(TEXTSPLIT(HO230,","))&amp;",",","&amp;SUBSTITUTE(input_story_categories," ","")&amp;",")))&gt;0)),IF(HQ230="",TRUE,IF(input_story_categories="",FALSE,SUMPRODUCT(--ISNUMBER(SEARCH(","&amp;TRIM(TEXTSPLIT(HQ230,","))&amp;",",","&amp;SUBSTITUTE(input_story_categories," ","")&amp;",")))=COUNTA(TEXTSPLIT(HQ230,",")))),IF(HS230="",TRUE,IF(input_story_categories="",TRUE,SUMPRODUCT(--ISNUMBER(SEARCH(","&amp;TRIM(TEXTSPLIT(HS230,","))&amp;",",","&amp;SUBSTITUTE(input_story_categories," ","")&amp;",")))=0)),IF(HU230="",TRUE,IF(input_story_categories="",FALSE,SUMPRODUCT(--ISNUMBER(SEARCH(","&amp;TRIM(TEXTSPLIT(HU230,","))&amp;",",","&amp;SUBSTITUTE(input_story_categories," ","")&amp;",")))&gt;0)),IF(HW230="",TRUE,IF(input_story_categories="",FALSE,SUMPRODUCT(--ISNUMBER(SEARCH(","&amp;TRIM(TEXTSPLIT(HW230,","))&amp;",",","&amp;SUBSTITUTE(input_story_categories," ","")&amp;",")))=COUNTA(TEXTSPLIT(HW230,",")))))</f>
        <v/>
      </c>
      <c r="JP230" s="19">
        <f>AND(IF(HY230="",TRUE,IF(input_story_type="",FALSE,SUMPRODUCT(--ISNUMBER(SEARCH(","&amp;TRIM(TEXTSPLIT(HY230,","))&amp;",",","&amp;SUBSTITUTE(input_story_type," ","")&amp;",")))&gt;0)),IF(IA230="",TRUE,IF(input_story_type="",FALSE,SUMPRODUCT(--ISNUMBER(SEARCH(","&amp;TRIM(TEXTSPLIT(IA230,","))&amp;",",","&amp;SUBSTITUTE(input_story_type," ","")&amp;",")))=COUNTA(TEXTSPLIT(IA230,",")))),IF(IC230="",TRUE,IF(input_story_type="",TRUE,SUMPRODUCT(--ISNUMBER(SEARCH(","&amp;TRIM(TEXTSPLIT(IC230,","))&amp;",",","&amp;SUBSTITUTE(input_story_type," ","")&amp;",")))=0)),IF(IE230="",TRUE,IF(input_story_type="",FALSE,SUMPRODUCT(--ISNUMBER(SEARCH(","&amp;TRIM(TEXTSPLIT(IE230,","))&amp;",",","&amp;SUBSTITUTE(input_story_type," ","")&amp;",")))&gt;0)),IF(IG230="",TRUE,IF(input_story_type="",FALSE,SUMPRODUCT(--ISNUMBER(SEARCH(","&amp;TRIM(TEXTSPLIT(IG230,","))&amp;",",","&amp;SUBSTITUTE(input_story_type," ","")&amp;",")))=COUNTA(TEXTSPLIT(IG230,",")))))</f>
        <v/>
      </c>
      <c r="JQ230" s="19">
        <f>AND(IF(II230="",TRUE,IF(input_topics="",FALSE,SUMPRODUCT(--ISNUMBER(SEARCH(","&amp;TRIM(TEXTSPLIT(II230,","))&amp;",",","&amp;SUBSTITUTE(input_topics," ","")&amp;",")))&gt;0)),IF(IK230="",TRUE,IF(input_topics="",FALSE,SUMPRODUCT(--ISNUMBER(SEARCH(","&amp;TRIM(TEXTSPLIT(IK230,","))&amp;",",","&amp;SUBSTITUTE(input_topics," ","")&amp;",")))=COUNTA(TEXTSPLIT(IK230,",")))),IF(IM230="",TRUE,IF(input_topics="",TRUE,SUMPRODUCT(--ISNUMBER(SEARCH(","&amp;TRIM(TEXTSPLIT(IM230,","))&amp;",",","&amp;SUBSTITUTE(input_topics," ","")&amp;",")))=0)),IF(IO230="",TRUE,IF(input_topics="",FALSE,SUMPRODUCT(--ISNUMBER(SEARCH(","&amp;TRIM(TEXTSPLIT(IO230,","))&amp;",",","&amp;SUBSTITUTE(input_topics," ","")&amp;",")))&gt;0)),IF(IQ230="",TRUE,IF(input_topics="",FALSE,SUMPRODUCT(--ISNUMBER(SEARCH(","&amp;TRIM(TEXTSPLIT(IQ230,","))&amp;",",","&amp;SUBSTITUTE(input_topics," ","")&amp;",")))=COUNTA(TEXTSPLIT(IQ230,",")))))</f>
        <v/>
      </c>
    </row>
    <row r="231">
      <c r="A231" s="24">
        <f>IF(NOT(IS231),"Excluded",IF(AND(IT231,IU231,IV231,IW231,IX231,IY231,IZ231,JA231,JB231,JC231,JD231,JE231,JF231,JG231,JH231,JI231,JJ231,JK231,JL231,JM231,JN231,JO231,JP231,JQ231),IF(I231&gt;0,"Eligible but limited","Will appear"),"Excluded"))</f>
        <v/>
      </c>
      <c r="B231" s="24" t="inlineStr">
        <is>
          <t>Student Profiles</t>
        </is>
      </c>
      <c r="C231" s="27" t="inlineStr">
        <is>
          <t>/programs/mms-global-business-and-society/community/student-profiles</t>
        </is>
      </c>
      <c r="D231" s="24" t="inlineStr">
        <is>
          <t>/programs/mms-global-business-and-society/community/student-profiles</t>
        </is>
      </c>
      <c r="E231" s="24" t="n">
        <v>1</v>
      </c>
      <c r="F231" s="24" t="inlineStr">
        <is>
          <t>profile</t>
        </is>
      </c>
      <c r="G231" s="24" t="inlineStr">
        <is>
          <t>profiles_grid</t>
        </is>
      </c>
      <c r="H231" s="24" t="inlineStr">
        <is>
          <t>embed_5</t>
        </is>
      </c>
      <c r="I231" s="24" t="n">
        <v>9</v>
      </c>
      <c r="J231" s="28" t="inlineStr">
        <is>
          <t>Explicit args</t>
        </is>
      </c>
      <c r="K231" s="24" t="inlineStr">
        <is>
          <t>Page placement</t>
        </is>
      </c>
      <c r="L231" s="24" t="inlineStr">
        <is>
          <t>Content type: profile; Excludes Profile Type: Ambassador (1552); Context uses Program: Master’s Degree in Global Business &amp; Society (84); Limited to 9 item(s); Source: Explicit args</t>
        </is>
      </c>
      <c r="GY231" s="19" t="inlineStr">
        <is>
          <t>1552</t>
        </is>
      </c>
      <c r="GZ231" s="19" t="inlineStr">
        <is>
          <t>Ambassador (1552)</t>
        </is>
      </c>
      <c r="HK231" s="19" t="inlineStr">
        <is>
          <t>84</t>
        </is>
      </c>
      <c r="HL231" s="19" t="inlineStr">
        <is>
          <t>Master’s Degree in Global Business &amp; Society (84)</t>
        </is>
      </c>
      <c r="IS231" s="19">
        <f>IF(input_content_type="",FALSE,ISNUMBER(SEARCH(","&amp;LOWER(input_content_type)&amp;",",","&amp;LOWER(SUBSTITUTE(F231," ",""))&amp;",")))</f>
        <v/>
      </c>
      <c r="IT231" s="19">
        <f>AND(IF(M231="",TRUE,IF(input_affiliations="",FALSE,SUMPRODUCT(--ISNUMBER(SEARCH(","&amp;TRIM(TEXTSPLIT(M231,","))&amp;",",","&amp;SUBSTITUTE(input_affiliations," ","")&amp;",")))&gt;0)),IF(O231="",TRUE,IF(input_affiliations="",FALSE,SUMPRODUCT(--ISNUMBER(SEARCH(","&amp;TRIM(TEXTSPLIT(O231,","))&amp;",",","&amp;SUBSTITUTE(input_affiliations," ","")&amp;",")))=COUNTA(TEXTSPLIT(O231,",")))),IF(Q231="",TRUE,IF(input_affiliations="",TRUE,SUMPRODUCT(--ISNUMBER(SEARCH(","&amp;TRIM(TEXTSPLIT(Q231,","))&amp;",",","&amp;SUBSTITUTE(input_affiliations," ","")&amp;",")))=0)),IF(S231="",TRUE,IF(input_affiliations="",FALSE,SUMPRODUCT(--ISNUMBER(SEARCH(","&amp;TRIM(TEXTSPLIT(S231,","))&amp;",",","&amp;SUBSTITUTE(input_affiliations," ","")&amp;",")))&gt;0)),IF(U231="",TRUE,IF(input_affiliations="",FALSE,SUMPRODUCT(--ISNUMBER(SEARCH(","&amp;TRIM(TEXTSPLIT(U231,","))&amp;",",","&amp;SUBSTITUTE(input_affiliations," ","")&amp;",")))=COUNTA(TEXTSPLIT(U231,",")))))</f>
        <v/>
      </c>
      <c r="IU231" s="19">
        <f>AND(IF(W231="",TRUE,IF(input_announcement_category="",FALSE,SUMPRODUCT(--ISNUMBER(SEARCH(","&amp;TRIM(TEXTSPLIT(W231,","))&amp;",",","&amp;SUBSTITUTE(input_announcement_category," ","")&amp;",")))&gt;0)),IF(Y231="",TRUE,IF(input_announcement_category="",FALSE,SUMPRODUCT(--ISNUMBER(SEARCH(","&amp;TRIM(TEXTSPLIT(Y231,","))&amp;",",","&amp;SUBSTITUTE(input_announcement_category," ","")&amp;",")))=COUNTA(TEXTSPLIT(Y231,",")))),IF(AA231="",TRUE,IF(input_announcement_category="",TRUE,SUMPRODUCT(--ISNUMBER(SEARCH(","&amp;TRIM(TEXTSPLIT(AA231,","))&amp;",",","&amp;SUBSTITUTE(input_announcement_category," ","")&amp;",")))=0)),IF(AC231="",TRUE,IF(input_announcement_category="",FALSE,SUMPRODUCT(--ISNUMBER(SEARCH(","&amp;TRIM(TEXTSPLIT(AC231,","))&amp;",",","&amp;SUBSTITUTE(input_announcement_category," ","")&amp;",")))&gt;0)),IF(AE231="",TRUE,IF(input_announcement_category="",FALSE,SUMPRODUCT(--ISNUMBER(SEARCH(","&amp;TRIM(TEXTSPLIT(AE231,","))&amp;",",","&amp;SUBSTITUTE(input_announcement_category," ","")&amp;",")))=COUNTA(TEXTSPLIT(AE231,",")))))</f>
        <v/>
      </c>
      <c r="IV231" s="19">
        <f>AND(IF(AG231="",TRUE,IF(input_area_of_focus="",FALSE,SUMPRODUCT(--ISNUMBER(SEARCH(","&amp;TRIM(TEXTSPLIT(AG231,","))&amp;",",","&amp;SUBSTITUTE(input_area_of_focus," ","")&amp;",")))&gt;0)),IF(AI231="",TRUE,IF(input_area_of_focus="",FALSE,SUMPRODUCT(--ISNUMBER(SEARCH(","&amp;TRIM(TEXTSPLIT(AI231,","))&amp;",",","&amp;SUBSTITUTE(input_area_of_focus," ","")&amp;",")))=COUNTA(TEXTSPLIT(AI231,",")))),IF(AK231="",TRUE,IF(input_area_of_focus="",TRUE,SUMPRODUCT(--ISNUMBER(SEARCH(","&amp;TRIM(TEXTSPLIT(AK231,","))&amp;",",","&amp;SUBSTITUTE(input_area_of_focus," ","")&amp;",")))=0)),IF(AM231="",TRUE,IF(input_area_of_focus="",FALSE,SUMPRODUCT(--ISNUMBER(SEARCH(","&amp;TRIM(TEXTSPLIT(AM231,","))&amp;",",","&amp;SUBSTITUTE(input_area_of_focus," ","")&amp;",")))&gt;0)),IF(AO231="",TRUE,IF(input_area_of_focus="",FALSE,SUMPRODUCT(--ISNUMBER(SEARCH(","&amp;TRIM(TEXTSPLIT(AO231,","))&amp;",",","&amp;SUBSTITUTE(input_area_of_focus," ","")&amp;",")))=COUNTA(TEXTSPLIT(AO231,",")))))</f>
        <v/>
      </c>
      <c r="IW231" s="19">
        <f>AND(IF(AQ231="",TRUE,IF(input_audience="",FALSE,SUMPRODUCT(--ISNUMBER(SEARCH(","&amp;TRIM(TEXTSPLIT(AQ231,","))&amp;",",","&amp;SUBSTITUTE(input_audience," ","")&amp;",")))&gt;0)),IF(AS231="",TRUE,IF(input_audience="",FALSE,SUMPRODUCT(--ISNUMBER(SEARCH(","&amp;TRIM(TEXTSPLIT(AS231,","))&amp;",",","&amp;SUBSTITUTE(input_audience," ","")&amp;",")))=COUNTA(TEXTSPLIT(AS231,",")))),IF(AU231="",TRUE,IF(input_audience="",TRUE,SUMPRODUCT(--ISNUMBER(SEARCH(","&amp;TRIM(TEXTSPLIT(AU231,","))&amp;",",","&amp;SUBSTITUTE(input_audience," ","")&amp;",")))=0)),IF(AW231="",TRUE,IF(input_audience="",FALSE,SUMPRODUCT(--ISNUMBER(SEARCH(","&amp;TRIM(TEXTSPLIT(AW231,","))&amp;",",","&amp;SUBSTITUTE(input_audience," ","")&amp;",")))&gt;0)),IF(AY231="",TRUE,IF(input_audience="",FALSE,SUMPRODUCT(--ISNUMBER(SEARCH(","&amp;TRIM(TEXTSPLIT(AY231,","))&amp;",",","&amp;SUBSTITUTE(input_audience," ","")&amp;",")))=COUNTA(TEXTSPLIT(AY231,",")))))</f>
        <v/>
      </c>
      <c r="IX231" s="19">
        <f>AND(IF(BA231="",TRUE,IF(input_challenge_opportunities="",FALSE,SUMPRODUCT(--ISNUMBER(SEARCH(","&amp;TRIM(TEXTSPLIT(BA231,","))&amp;",",","&amp;SUBSTITUTE(input_challenge_opportunities," ","")&amp;",")))&gt;0)),IF(BC231="",TRUE,IF(input_challenge_opportunities="",FALSE,SUMPRODUCT(--ISNUMBER(SEARCH(","&amp;TRIM(TEXTSPLIT(BC231,","))&amp;",",","&amp;SUBSTITUTE(input_challenge_opportunities," ","")&amp;",")))=COUNTA(TEXTSPLIT(BC231,",")))),IF(BE231="",TRUE,IF(input_challenge_opportunities="",TRUE,SUMPRODUCT(--ISNUMBER(SEARCH(","&amp;TRIM(TEXTSPLIT(BE231,","))&amp;",",","&amp;SUBSTITUTE(input_challenge_opportunities," ","")&amp;",")))=0)),IF(BG231="",TRUE,IF(input_challenge_opportunities="",FALSE,SUMPRODUCT(--ISNUMBER(SEARCH(","&amp;TRIM(TEXTSPLIT(BG231,","))&amp;",",","&amp;SUBSTITUTE(input_challenge_opportunities," ","")&amp;",")))&gt;0)),IF(BI231="",TRUE,IF(input_challenge_opportunities="",FALSE,SUMPRODUCT(--ISNUMBER(SEARCH(","&amp;TRIM(TEXTSPLIT(BI231,","))&amp;",",","&amp;SUBSTITUTE(input_challenge_opportunities," ","")&amp;",")))=COUNTA(TEXTSPLIT(BI231,",")))))</f>
        <v/>
      </c>
      <c r="IY231" s="19">
        <f>AND(IF(BK231="",TRUE,IF(input_context="",FALSE,SUMPRODUCT(--ISNUMBER(SEARCH(","&amp;TRIM(TEXTSPLIT(BK231,","))&amp;",",","&amp;SUBSTITUTE(input_context," ","")&amp;",")))&gt;0)),IF(BM231="",TRUE,IF(input_context="",FALSE,SUMPRODUCT(--ISNUMBER(SEARCH(","&amp;TRIM(TEXTSPLIT(BM231,","))&amp;",",","&amp;SUBSTITUTE(input_context," ","")&amp;",")))=COUNTA(TEXTSPLIT(BM231,",")))),IF(BO231="",TRUE,IF(input_context="",TRUE,SUMPRODUCT(--ISNUMBER(SEARCH(","&amp;TRIM(TEXTSPLIT(BO231,","))&amp;",",","&amp;SUBSTITUTE(input_context," ","")&amp;",")))=0)),IF(BQ231="",TRUE,IF(input_context="",FALSE,SUMPRODUCT(--ISNUMBER(SEARCH(","&amp;TRIM(TEXTSPLIT(BQ231,","))&amp;",",","&amp;SUBSTITUTE(input_context," ","")&amp;",")))&gt;0)),IF(BS231="",TRUE,IF(input_context="",FALSE,SUMPRODUCT(--ISNUMBER(SEARCH(","&amp;TRIM(TEXTSPLIT(BS231,","))&amp;",",","&amp;SUBSTITUTE(input_context," ","")&amp;",")))=COUNTA(TEXTSPLIT(BS231,",")))))</f>
        <v/>
      </c>
      <c r="IZ231" s="19">
        <f>AND(IF(BU231="",TRUE,IF(input_enews_announcement_type="",FALSE,SUMPRODUCT(--ISNUMBER(SEARCH(","&amp;TRIM(TEXTSPLIT(BU231,","))&amp;",",","&amp;SUBSTITUTE(input_enews_announcement_type," ","")&amp;",")))&gt;0)),IF(BW231="",TRUE,IF(input_enews_announcement_type="",FALSE,SUMPRODUCT(--ISNUMBER(SEARCH(","&amp;TRIM(TEXTSPLIT(BW231,","))&amp;",",","&amp;SUBSTITUTE(input_enews_announcement_type," ","")&amp;",")))=COUNTA(TEXTSPLIT(BW231,",")))),IF(BY231="",TRUE,IF(input_enews_announcement_type="",TRUE,SUMPRODUCT(--ISNUMBER(SEARCH(","&amp;TRIM(TEXTSPLIT(BY231,","))&amp;",",","&amp;SUBSTITUTE(input_enews_announcement_type," ","")&amp;",")))=0)),IF(CA231="",TRUE,IF(input_enews_announcement_type="",FALSE,SUMPRODUCT(--ISNUMBER(SEARCH(","&amp;TRIM(TEXTSPLIT(CA231,","))&amp;",",","&amp;SUBSTITUTE(input_enews_announcement_type," ","")&amp;",")))&gt;0)),IF(CC231="",TRUE,IF(input_enews_announcement_type="",FALSE,SUMPRODUCT(--ISNUMBER(SEARCH(","&amp;TRIM(TEXTSPLIT(CC231,","))&amp;",",","&amp;SUBSTITUTE(input_enews_announcement_type," ","")&amp;",")))=COUNTA(TEXTSPLIT(CC231,",")))))</f>
        <v/>
      </c>
      <c r="JA231" s="19">
        <f>AND(IF(CE231="",TRUE,IF(input_enews_audience="",FALSE,SUMPRODUCT(--ISNUMBER(SEARCH(","&amp;TRIM(TEXTSPLIT(CE231,","))&amp;",",","&amp;SUBSTITUTE(input_enews_audience," ","")&amp;",")))&gt;0)),IF(CG231="",TRUE,IF(input_enews_audience="",FALSE,SUMPRODUCT(--ISNUMBER(SEARCH(","&amp;TRIM(TEXTSPLIT(CG231,","))&amp;",",","&amp;SUBSTITUTE(input_enews_audience," ","")&amp;",")))=COUNTA(TEXTSPLIT(CG231,",")))),IF(CI231="",TRUE,IF(input_enews_audience="",TRUE,SUMPRODUCT(--ISNUMBER(SEARCH(","&amp;TRIM(TEXTSPLIT(CI231,","))&amp;",",","&amp;SUBSTITUTE(input_enews_audience," ","")&amp;",")))=0)),IF(CK231="",TRUE,IF(input_enews_audience="",FALSE,SUMPRODUCT(--ISNUMBER(SEARCH(","&amp;TRIM(TEXTSPLIT(CK231,","))&amp;",",","&amp;SUBSTITUTE(input_enews_audience," ","")&amp;",")))&gt;0)),IF(CM231="",TRUE,IF(input_enews_audience="",FALSE,SUMPRODUCT(--ISNUMBER(SEARCH(","&amp;TRIM(TEXTSPLIT(CM231,","))&amp;",",","&amp;SUBSTITUTE(input_enews_audience," ","")&amp;",")))=COUNTA(TEXTSPLIT(CM231,",")))))</f>
        <v/>
      </c>
      <c r="JB231" s="19">
        <f>AND(IF(CO231="",TRUE,IF(input_event_location="",FALSE,SUMPRODUCT(--ISNUMBER(SEARCH(","&amp;TRIM(TEXTSPLIT(CO231,","))&amp;",",","&amp;SUBSTITUTE(input_event_location," ","")&amp;",")))&gt;0)),IF(CQ231="",TRUE,IF(input_event_location="",FALSE,SUMPRODUCT(--ISNUMBER(SEARCH(","&amp;TRIM(TEXTSPLIT(CQ231,","))&amp;",",","&amp;SUBSTITUTE(input_event_location," ","")&amp;",")))=COUNTA(TEXTSPLIT(CQ231,",")))),IF(CS231="",TRUE,IF(input_event_location="",TRUE,SUMPRODUCT(--ISNUMBER(SEARCH(","&amp;TRIM(TEXTSPLIT(CS231,","))&amp;",",","&amp;SUBSTITUTE(input_event_location," ","")&amp;",")))=0)),IF(CU231="",TRUE,IF(input_event_location="",FALSE,SUMPRODUCT(--ISNUMBER(SEARCH(","&amp;TRIM(TEXTSPLIT(CU231,","))&amp;",",","&amp;SUBSTITUTE(input_event_location," ","")&amp;",")))&gt;0)),IF(CW231="",TRUE,IF(input_event_location="",FALSE,SUMPRODUCT(--ISNUMBER(SEARCH(","&amp;TRIM(TEXTSPLIT(CW231,","))&amp;",",","&amp;SUBSTITUTE(input_event_location," ","")&amp;",")))=COUNTA(TEXTSPLIT(CW231,",")))))</f>
        <v/>
      </c>
      <c r="JC231" s="19">
        <f>AND(IF(CY231="",TRUE,IF(input_event_type="",FALSE,SUMPRODUCT(--ISNUMBER(SEARCH(","&amp;TRIM(TEXTSPLIT(CY231,","))&amp;",",","&amp;SUBSTITUTE(input_event_type," ","")&amp;",")))&gt;0)),IF(DA231="",TRUE,IF(input_event_type="",FALSE,SUMPRODUCT(--ISNUMBER(SEARCH(","&amp;TRIM(TEXTSPLIT(DA231,","))&amp;",",","&amp;SUBSTITUTE(input_event_type," ","")&amp;",")))=COUNTA(TEXTSPLIT(DA231,",")))),IF(DC231="",TRUE,IF(input_event_type="",TRUE,SUMPRODUCT(--ISNUMBER(SEARCH(","&amp;TRIM(TEXTSPLIT(DC231,","))&amp;",",","&amp;SUBSTITUTE(input_event_type," ","")&amp;",")))=0)),IF(DE231="",TRUE,IF(input_event_type="",FALSE,SUMPRODUCT(--ISNUMBER(SEARCH(","&amp;TRIM(TEXTSPLIT(DE231,","))&amp;",",","&amp;SUBSTITUTE(input_event_type," ","")&amp;",")))&gt;0)),IF(DG231="",TRUE,IF(input_event_type="",FALSE,SUMPRODUCT(--ISNUMBER(SEARCH(","&amp;TRIM(TEXTSPLIT(DG231,","))&amp;",",","&amp;SUBSTITUTE(input_event_type," ","")&amp;",")))=COUNTA(TEXTSPLIT(DG231,",")))))</f>
        <v/>
      </c>
      <c r="JD231" s="19">
        <f>AND(IF(DI231="",TRUE,IF(input_executive_education_focus="",FALSE,SUMPRODUCT(--ISNUMBER(SEARCH(","&amp;TRIM(TEXTSPLIT(DI231,","))&amp;",",","&amp;SUBSTITUTE(input_executive_education_focus," ","")&amp;",")))&gt;0)),IF(DK231="",TRUE,IF(input_executive_education_focus="",FALSE,SUMPRODUCT(--ISNUMBER(SEARCH(","&amp;TRIM(TEXTSPLIT(DK231,","))&amp;",",","&amp;SUBSTITUTE(input_executive_education_focus," ","")&amp;",")))=COUNTA(TEXTSPLIT(DK231,",")))),IF(DM231="",TRUE,IF(input_executive_education_focus="",TRUE,SUMPRODUCT(--ISNUMBER(SEARCH(","&amp;TRIM(TEXTSPLIT(DM231,","))&amp;",",","&amp;SUBSTITUTE(input_executive_education_focus," ","")&amp;",")))=0)),IF(DO231="",TRUE,IF(input_executive_education_focus="",FALSE,SUMPRODUCT(--ISNUMBER(SEARCH(","&amp;TRIM(TEXTSPLIT(DO231,","))&amp;",",","&amp;SUBSTITUTE(input_executive_education_focus," ","")&amp;",")))&gt;0)),IF(DQ231="",TRUE,IF(input_executive_education_focus="",FALSE,SUMPRODUCT(--ISNUMBER(SEARCH(","&amp;TRIM(TEXTSPLIT(DQ231,","))&amp;",",","&amp;SUBSTITUTE(input_executive_education_focus," ","")&amp;",")))=COUNTA(TEXTSPLIT(DQ231,",")))))</f>
        <v/>
      </c>
      <c r="JE231" s="19">
        <f>AND(IF(DS231="",TRUE,IF(input_faculty_category="",FALSE,SUMPRODUCT(--ISNUMBER(SEARCH(","&amp;TRIM(TEXTSPLIT(DS231,","))&amp;",",","&amp;SUBSTITUTE(input_faculty_category," ","")&amp;",")))&gt;0)),IF(DU231="",TRUE,IF(input_faculty_category="",FALSE,SUMPRODUCT(--ISNUMBER(SEARCH(","&amp;TRIM(TEXTSPLIT(DU231,","))&amp;",",","&amp;SUBSTITUTE(input_faculty_category," ","")&amp;",")))=COUNTA(TEXTSPLIT(DU231,",")))),IF(DW231="",TRUE,IF(input_faculty_category="",TRUE,SUMPRODUCT(--ISNUMBER(SEARCH(","&amp;TRIM(TEXTSPLIT(DW231,","))&amp;",",","&amp;SUBSTITUTE(input_faculty_category," ","")&amp;",")))=0)),IF(DY231="",TRUE,IF(input_faculty_category="",FALSE,SUMPRODUCT(--ISNUMBER(SEARCH(","&amp;TRIM(TEXTSPLIT(DY231,","))&amp;",",","&amp;SUBSTITUTE(input_faculty_category," ","")&amp;",")))&gt;0)),IF(EA231="",TRUE,IF(input_faculty_category="",FALSE,SUMPRODUCT(--ISNUMBER(SEARCH(","&amp;TRIM(TEXTSPLIT(EA231,","))&amp;",",","&amp;SUBSTITUTE(input_faculty_category," ","")&amp;",")))=COUNTA(TEXTSPLIT(EA231,",")))))</f>
        <v/>
      </c>
      <c r="JF231" s="19">
        <f>AND(IF(EC231="",TRUE,IF(input_faculty_discipline="",FALSE,SUMPRODUCT(--ISNUMBER(SEARCH(","&amp;TRIM(TEXTSPLIT(EC231,","))&amp;",",","&amp;SUBSTITUTE(input_faculty_discipline," ","")&amp;",")))&gt;0)),IF(EE231="",TRUE,IF(input_faculty_discipline="",FALSE,SUMPRODUCT(--ISNUMBER(SEARCH(","&amp;TRIM(TEXTSPLIT(EE231,","))&amp;",",","&amp;SUBSTITUTE(input_faculty_discipline," ","")&amp;",")))=COUNTA(TEXTSPLIT(EE231,",")))),IF(EG231="",TRUE,IF(input_faculty_discipline="",TRUE,SUMPRODUCT(--ISNUMBER(SEARCH(","&amp;TRIM(TEXTSPLIT(EG231,","))&amp;",",","&amp;SUBSTITUTE(input_faculty_discipline," ","")&amp;",")))=0)),IF(EI231="",TRUE,IF(input_faculty_discipline="",FALSE,SUMPRODUCT(--ISNUMBER(SEARCH(","&amp;TRIM(TEXTSPLIT(EI231,","))&amp;",",","&amp;SUBSTITUTE(input_faculty_discipline," ","")&amp;",")))&gt;0)),IF(EK231="",TRUE,IF(input_faculty_discipline="",FALSE,SUMPRODUCT(--ISNUMBER(SEARCH(","&amp;TRIM(TEXTSPLIT(EK231,","))&amp;",",","&amp;SUBSTITUTE(input_faculty_discipline," ","")&amp;",")))=COUNTA(TEXTSPLIT(EK231,",")))))</f>
        <v/>
      </c>
      <c r="JG231" s="19">
        <f>AND(IF(EM231="",TRUE,IF(input_faculty_expertise="",FALSE,SUMPRODUCT(--ISNUMBER(SEARCH(","&amp;TRIM(TEXTSPLIT(EM231,","))&amp;",",","&amp;SUBSTITUTE(input_faculty_expertise," ","")&amp;",")))&gt;0)),IF(EO231="",TRUE,IF(input_faculty_expertise="",FALSE,SUMPRODUCT(--ISNUMBER(SEARCH(","&amp;TRIM(TEXTSPLIT(EO231,","))&amp;",",","&amp;SUBSTITUTE(input_faculty_expertise," ","")&amp;",")))=COUNTA(TEXTSPLIT(EO231,",")))),IF(EQ231="",TRUE,IF(input_faculty_expertise="",TRUE,SUMPRODUCT(--ISNUMBER(SEARCH(","&amp;TRIM(TEXTSPLIT(EQ231,","))&amp;",",","&amp;SUBSTITUTE(input_faculty_expertise," ","")&amp;",")))=0)),IF(ES231="",TRUE,IF(input_faculty_expertise="",FALSE,SUMPRODUCT(--ISNUMBER(SEARCH(","&amp;TRIM(TEXTSPLIT(ES231,","))&amp;",",","&amp;SUBSTITUTE(input_faculty_expertise," ","")&amp;",")))&gt;0)),IF(EU231="",TRUE,IF(input_faculty_expertise="",FALSE,SUMPRODUCT(--ISNUMBER(SEARCH(","&amp;TRIM(TEXTSPLIT(EU231,","))&amp;",",","&amp;SUBSTITUTE(input_faculty_expertise," ","")&amp;",")))=COUNTA(TEXTSPLIT(EU231,",")))))</f>
        <v/>
      </c>
      <c r="JH231" s="19">
        <f>AND(IF(EW231="",TRUE,IF(input_global_network_school="",FALSE,SUMPRODUCT(--ISNUMBER(SEARCH(","&amp;TRIM(TEXTSPLIT(EW231,","))&amp;",",","&amp;SUBSTITUTE(input_global_network_school," ","")&amp;",")))&gt;0)),IF(EY231="",TRUE,IF(input_global_network_school="",FALSE,SUMPRODUCT(--ISNUMBER(SEARCH(","&amp;TRIM(TEXTSPLIT(EY231,","))&amp;",",","&amp;SUBSTITUTE(input_global_network_school," ","")&amp;",")))=COUNTA(TEXTSPLIT(EY231,",")))),IF(FA231="",TRUE,IF(input_global_network_school="",TRUE,SUMPRODUCT(--ISNUMBER(SEARCH(","&amp;TRIM(TEXTSPLIT(FA231,","))&amp;",",","&amp;SUBSTITUTE(input_global_network_school," ","")&amp;",")))=0)),IF(FC231="",TRUE,IF(input_global_network_school="",FALSE,SUMPRODUCT(--ISNUMBER(SEARCH(","&amp;TRIM(TEXTSPLIT(FC231,","))&amp;",",","&amp;SUBSTITUTE(input_global_network_school," ","")&amp;",")))&gt;0)),IF(FE231="",TRUE,IF(input_global_network_school="",FALSE,SUMPRODUCT(--ISNUMBER(SEARCH(","&amp;TRIM(TEXTSPLIT(FE231,","))&amp;",",","&amp;SUBSTITUTE(input_global_network_school," ","")&amp;",")))=COUNTA(TEXTSPLIT(FE231,",")))))</f>
        <v/>
      </c>
      <c r="JI231" s="19">
        <f>AND(IF(FG231="",TRUE,IF(input_industry="",FALSE,SUMPRODUCT(--ISNUMBER(SEARCH(","&amp;TRIM(TEXTSPLIT(FG231,","))&amp;",",","&amp;SUBSTITUTE(input_industry," ","")&amp;",")))&gt;0)),IF(FI231="",TRUE,IF(input_industry="",FALSE,SUMPRODUCT(--ISNUMBER(SEARCH(","&amp;TRIM(TEXTSPLIT(FI231,","))&amp;",",","&amp;SUBSTITUTE(input_industry," ","")&amp;",")))=COUNTA(TEXTSPLIT(FI231,",")))),IF(FK231="",TRUE,IF(input_industry="",TRUE,SUMPRODUCT(--ISNUMBER(SEARCH(","&amp;TRIM(TEXTSPLIT(FK231,","))&amp;",",","&amp;SUBSTITUTE(input_industry," ","")&amp;",")))=0)),IF(FM231="",TRUE,IF(input_industry="",FALSE,SUMPRODUCT(--ISNUMBER(SEARCH(","&amp;TRIM(TEXTSPLIT(FM231,","))&amp;",",","&amp;SUBSTITUTE(input_industry," ","")&amp;",")))&gt;0)),IF(FO231="",TRUE,IF(input_industry="",FALSE,SUMPRODUCT(--ISNUMBER(SEARCH(","&amp;TRIM(TEXTSPLIT(FO231,","))&amp;",",","&amp;SUBSTITUTE(input_industry," ","")&amp;",")))=COUNTA(TEXTSPLIT(FO231,",")))))</f>
        <v/>
      </c>
      <c r="JJ231" s="19">
        <f>AND(IF(FQ231="",TRUE,IF(input_location="",FALSE,SUMPRODUCT(--ISNUMBER(SEARCH(","&amp;TRIM(TEXTSPLIT(FQ231,","))&amp;",",","&amp;SUBSTITUTE(input_location," ","")&amp;",")))&gt;0)),IF(FS231="",TRUE,IF(input_location="",FALSE,SUMPRODUCT(--ISNUMBER(SEARCH(","&amp;TRIM(TEXTSPLIT(FS231,","))&amp;",",","&amp;SUBSTITUTE(input_location," ","")&amp;",")))=COUNTA(TEXTSPLIT(FS231,",")))),IF(FU231="",TRUE,IF(input_location="",TRUE,SUMPRODUCT(--ISNUMBER(SEARCH(","&amp;TRIM(TEXTSPLIT(FU231,","))&amp;",",","&amp;SUBSTITUTE(input_location," ","")&amp;",")))=0)),IF(FW231="",TRUE,IF(input_location="",FALSE,SUMPRODUCT(--ISNUMBER(SEARCH(","&amp;TRIM(TEXTSPLIT(FW231,","))&amp;",",","&amp;SUBSTITUTE(input_location," ","")&amp;",")))&gt;0)),IF(FY231="",TRUE,IF(input_location="",FALSE,SUMPRODUCT(--ISNUMBER(SEARCH(","&amp;TRIM(TEXTSPLIT(FY231,","))&amp;",",","&amp;SUBSTITUTE(input_location," ","")&amp;",")))=COUNTA(TEXTSPLIT(FY231,",")))))</f>
        <v/>
      </c>
      <c r="JK231" s="19">
        <f>AND(IF(GA231="",TRUE,IF(input_modality="",FALSE,SUMPRODUCT(--ISNUMBER(SEARCH(","&amp;TRIM(TEXTSPLIT(GA231,","))&amp;",",","&amp;SUBSTITUTE(input_modality," ","")&amp;",")))&gt;0)),IF(GC231="",TRUE,IF(input_modality="",FALSE,SUMPRODUCT(--ISNUMBER(SEARCH(","&amp;TRIM(TEXTSPLIT(GC231,","))&amp;",",","&amp;SUBSTITUTE(input_modality," ","")&amp;",")))=COUNTA(TEXTSPLIT(GC231,",")))),IF(GE231="",TRUE,IF(input_modality="",TRUE,SUMPRODUCT(--ISNUMBER(SEARCH(","&amp;TRIM(TEXTSPLIT(GE231,","))&amp;",",","&amp;SUBSTITUTE(input_modality," ","")&amp;",")))=0)),IF(GG231="",TRUE,IF(input_modality="",FALSE,SUMPRODUCT(--ISNUMBER(SEARCH(","&amp;TRIM(TEXTSPLIT(GG231,","))&amp;",",","&amp;SUBSTITUTE(input_modality," ","")&amp;",")))&gt;0)),IF(GI231="",TRUE,IF(input_modality="",FALSE,SUMPRODUCT(--ISNUMBER(SEARCH(","&amp;TRIM(TEXTSPLIT(GI231,","))&amp;",",","&amp;SUBSTITUTE(input_modality," ","")&amp;",")))=COUNTA(TEXTSPLIT(GI231,",")))))</f>
        <v/>
      </c>
      <c r="JL231" s="19">
        <f>AND(IF(GK231="",TRUE,IF(input_organizer="",FALSE,SUMPRODUCT(--ISNUMBER(SEARCH(","&amp;TRIM(TEXTSPLIT(GK231,","))&amp;",",","&amp;SUBSTITUTE(input_organizer," ","")&amp;",")))&gt;0)),IF(GM231="",TRUE,IF(input_organizer="",FALSE,SUMPRODUCT(--ISNUMBER(SEARCH(","&amp;TRIM(TEXTSPLIT(GM231,","))&amp;",",","&amp;SUBSTITUTE(input_organizer," ","")&amp;",")))=COUNTA(TEXTSPLIT(GM231,",")))),IF(GO231="",TRUE,IF(input_organizer="",TRUE,SUMPRODUCT(--ISNUMBER(SEARCH(","&amp;TRIM(TEXTSPLIT(GO231,","))&amp;",",","&amp;SUBSTITUTE(input_organizer," ","")&amp;",")))=0)),IF(GQ231="",TRUE,IF(input_organizer="",FALSE,SUMPRODUCT(--ISNUMBER(SEARCH(","&amp;TRIM(TEXTSPLIT(GQ231,","))&amp;",",","&amp;SUBSTITUTE(input_organizer," ","")&amp;",")))&gt;0)),IF(GS231="",TRUE,IF(input_organizer="",FALSE,SUMPRODUCT(--ISNUMBER(SEARCH(","&amp;TRIM(TEXTSPLIT(GS231,","))&amp;",",","&amp;SUBSTITUTE(input_organizer," ","")&amp;",")))=COUNTA(TEXTSPLIT(GS231,",")))))</f>
        <v/>
      </c>
      <c r="JM231" s="19">
        <f>AND(IF(GU231="",TRUE,IF(input_profile_type="",FALSE,SUMPRODUCT(--ISNUMBER(SEARCH(","&amp;TRIM(TEXTSPLIT(GU231,","))&amp;",",","&amp;SUBSTITUTE(input_profile_type," ","")&amp;",")))&gt;0)),IF(GW231="",TRUE,IF(input_profile_type="",FALSE,SUMPRODUCT(--ISNUMBER(SEARCH(","&amp;TRIM(TEXTSPLIT(GW231,","))&amp;",",","&amp;SUBSTITUTE(input_profile_type," ","")&amp;",")))=COUNTA(TEXTSPLIT(GW231,",")))),IF(GY231="",TRUE,IF(input_profile_type="",TRUE,SUMPRODUCT(--ISNUMBER(SEARCH(","&amp;TRIM(TEXTSPLIT(GY231,","))&amp;",",","&amp;SUBSTITUTE(input_profile_type," ","")&amp;",")))=0)),IF(HA231="",TRUE,IF(input_profile_type="",FALSE,SUMPRODUCT(--ISNUMBER(SEARCH(","&amp;TRIM(TEXTSPLIT(HA231,","))&amp;",",","&amp;SUBSTITUTE(input_profile_type," ","")&amp;",")))&gt;0)),IF(HC231="",TRUE,IF(input_profile_type="",FALSE,SUMPRODUCT(--ISNUMBER(SEARCH(","&amp;TRIM(TEXTSPLIT(HC231,","))&amp;",",","&amp;SUBSTITUTE(input_profile_type," ","")&amp;",")))=COUNTA(TEXTSPLIT(HC231,",")))))</f>
        <v/>
      </c>
      <c r="JN231" s="19">
        <f>AND(IF(HE231="",TRUE,IF(input_program="",FALSE,SUMPRODUCT(--ISNUMBER(SEARCH(","&amp;TRIM(TEXTSPLIT(HE231,","))&amp;",",","&amp;SUBSTITUTE(input_program," ","")&amp;",")))&gt;0)),IF(HG231="",TRUE,IF(input_program="",FALSE,SUMPRODUCT(--ISNUMBER(SEARCH(","&amp;TRIM(TEXTSPLIT(HG231,","))&amp;",",","&amp;SUBSTITUTE(input_program," ","")&amp;",")))=COUNTA(TEXTSPLIT(HG231,",")))),IF(HI231="",TRUE,IF(input_program="",TRUE,SUMPRODUCT(--ISNUMBER(SEARCH(","&amp;TRIM(TEXTSPLIT(HI231,","))&amp;",",","&amp;SUBSTITUTE(input_program," ","")&amp;",")))=0)),IF(HK231="",TRUE,IF(input_program="",FALSE,SUMPRODUCT(--ISNUMBER(SEARCH(","&amp;TRIM(TEXTSPLIT(HK231,","))&amp;",",","&amp;SUBSTITUTE(input_program," ","")&amp;",")))&gt;0)),IF(HM231="",TRUE,IF(input_program="",FALSE,SUMPRODUCT(--ISNUMBER(SEARCH(","&amp;TRIM(TEXTSPLIT(HM231,","))&amp;",",","&amp;SUBSTITUTE(input_program," ","")&amp;",")))=COUNTA(TEXTSPLIT(HM231,",")))))</f>
        <v/>
      </c>
      <c r="JO231" s="19">
        <f>AND(IF(HO231="",TRUE,IF(input_story_categories="",FALSE,SUMPRODUCT(--ISNUMBER(SEARCH(","&amp;TRIM(TEXTSPLIT(HO231,","))&amp;",",","&amp;SUBSTITUTE(input_story_categories," ","")&amp;",")))&gt;0)),IF(HQ231="",TRUE,IF(input_story_categories="",FALSE,SUMPRODUCT(--ISNUMBER(SEARCH(","&amp;TRIM(TEXTSPLIT(HQ231,","))&amp;",",","&amp;SUBSTITUTE(input_story_categories," ","")&amp;",")))=COUNTA(TEXTSPLIT(HQ231,",")))),IF(HS231="",TRUE,IF(input_story_categories="",TRUE,SUMPRODUCT(--ISNUMBER(SEARCH(","&amp;TRIM(TEXTSPLIT(HS231,","))&amp;",",","&amp;SUBSTITUTE(input_story_categories," ","")&amp;",")))=0)),IF(HU231="",TRUE,IF(input_story_categories="",FALSE,SUMPRODUCT(--ISNUMBER(SEARCH(","&amp;TRIM(TEXTSPLIT(HU231,","))&amp;",",","&amp;SUBSTITUTE(input_story_categories," ","")&amp;",")))&gt;0)),IF(HW231="",TRUE,IF(input_story_categories="",FALSE,SUMPRODUCT(--ISNUMBER(SEARCH(","&amp;TRIM(TEXTSPLIT(HW231,","))&amp;",",","&amp;SUBSTITUTE(input_story_categories," ","")&amp;",")))=COUNTA(TEXTSPLIT(HW231,",")))))</f>
        <v/>
      </c>
      <c r="JP231" s="19">
        <f>AND(IF(HY231="",TRUE,IF(input_story_type="",FALSE,SUMPRODUCT(--ISNUMBER(SEARCH(","&amp;TRIM(TEXTSPLIT(HY231,","))&amp;",",","&amp;SUBSTITUTE(input_story_type," ","")&amp;",")))&gt;0)),IF(IA231="",TRUE,IF(input_story_type="",FALSE,SUMPRODUCT(--ISNUMBER(SEARCH(","&amp;TRIM(TEXTSPLIT(IA231,","))&amp;",",","&amp;SUBSTITUTE(input_story_type," ","")&amp;",")))=COUNTA(TEXTSPLIT(IA231,",")))),IF(IC231="",TRUE,IF(input_story_type="",TRUE,SUMPRODUCT(--ISNUMBER(SEARCH(","&amp;TRIM(TEXTSPLIT(IC231,","))&amp;",",","&amp;SUBSTITUTE(input_story_type," ","")&amp;",")))=0)),IF(IE231="",TRUE,IF(input_story_type="",FALSE,SUMPRODUCT(--ISNUMBER(SEARCH(","&amp;TRIM(TEXTSPLIT(IE231,","))&amp;",",","&amp;SUBSTITUTE(input_story_type," ","")&amp;",")))&gt;0)),IF(IG231="",TRUE,IF(input_story_type="",FALSE,SUMPRODUCT(--ISNUMBER(SEARCH(","&amp;TRIM(TEXTSPLIT(IG231,","))&amp;",",","&amp;SUBSTITUTE(input_story_type," ","")&amp;",")))=COUNTA(TEXTSPLIT(IG231,",")))))</f>
        <v/>
      </c>
      <c r="JQ231" s="19">
        <f>AND(IF(II231="",TRUE,IF(input_topics="",FALSE,SUMPRODUCT(--ISNUMBER(SEARCH(","&amp;TRIM(TEXTSPLIT(II231,","))&amp;",",","&amp;SUBSTITUTE(input_topics," ","")&amp;",")))&gt;0)),IF(IK231="",TRUE,IF(input_topics="",FALSE,SUMPRODUCT(--ISNUMBER(SEARCH(","&amp;TRIM(TEXTSPLIT(IK231,","))&amp;",",","&amp;SUBSTITUTE(input_topics," ","")&amp;",")))=COUNTA(TEXTSPLIT(IK231,",")))),IF(IM231="",TRUE,IF(input_topics="",TRUE,SUMPRODUCT(--ISNUMBER(SEARCH(","&amp;TRIM(TEXTSPLIT(IM231,","))&amp;",",","&amp;SUBSTITUTE(input_topics," ","")&amp;",")))=0)),IF(IO231="",TRUE,IF(input_topics="",FALSE,SUMPRODUCT(--ISNUMBER(SEARCH(","&amp;TRIM(TEXTSPLIT(IO231,","))&amp;",",","&amp;SUBSTITUTE(input_topics," ","")&amp;",")))&gt;0)),IF(IQ231="",TRUE,IF(input_topics="",FALSE,SUMPRODUCT(--ISNUMBER(SEARCH(","&amp;TRIM(TEXTSPLIT(IQ231,","))&amp;",",","&amp;SUBSTITUTE(input_topics," ","")&amp;",")))=COUNTA(TEXTSPLIT(IQ231,",")))))</f>
        <v/>
      </c>
    </row>
    <row r="232">
      <c r="A232" s="24">
        <f>IF(NOT(IS232),"Excluded",IF(AND(IT232,IU232,IV232,IW232,IX232,IY232,IZ232,JA232,JB232,JC232,JD232,JE232,JF232,JG232,JH232,JI232,JJ232,JK232,JL232,JM232,JN232,JO232,JP232,JQ232),IF(I232&gt;0,"Eligible but limited","Will appear"),"Excluded"))</f>
        <v/>
      </c>
      <c r="B232" s="24" t="inlineStr">
        <is>
          <t>The Historian’s Notebook</t>
        </is>
      </c>
      <c r="C232" s="27" t="inlineStr">
        <is>
          <t>/about/headlines/all-headlines/historians-notebook</t>
        </is>
      </c>
      <c r="D232" s="24" t="inlineStr">
        <is>
          <t>/about/headlines/all-headlines/historians-notebook</t>
        </is>
      </c>
      <c r="E232" s="24" t="n">
        <v>1</v>
      </c>
      <c r="F232" s="24" t="inlineStr">
        <is>
          <t>story</t>
        </is>
      </c>
      <c r="G232" s="24" t="inlineStr">
        <is>
          <t>stories_list</t>
        </is>
      </c>
      <c r="H232" s="24" t="inlineStr">
        <is>
          <t>embed_1</t>
        </is>
      </c>
      <c r="I232" s="24" t="n">
        <v>10</v>
      </c>
      <c r="J232" s="28" t="inlineStr">
        <is>
          <t>Explicit args</t>
        </is>
      </c>
      <c r="K232" s="24" t="inlineStr">
        <is>
          <t>Page placement</t>
        </is>
      </c>
      <c r="L232" s="24" t="inlineStr">
        <is>
          <t>Content type: story; Context uses Courses Context: Historian's Notebook (1484); Limited to 10 item(s); Source: Explicit args</t>
        </is>
      </c>
      <c r="BQ232" s="19" t="inlineStr">
        <is>
          <t>1484</t>
        </is>
      </c>
      <c r="BR232" s="19" t="inlineStr">
        <is>
          <t>Historian's Notebook (1484)</t>
        </is>
      </c>
      <c r="IS232" s="19">
        <f>IF(input_content_type="",FALSE,ISNUMBER(SEARCH(","&amp;LOWER(input_content_type)&amp;",",","&amp;LOWER(SUBSTITUTE(F232," ",""))&amp;",")))</f>
        <v/>
      </c>
      <c r="IT232" s="19">
        <f>AND(IF(M232="",TRUE,IF(input_affiliations="",FALSE,SUMPRODUCT(--ISNUMBER(SEARCH(","&amp;TRIM(TEXTSPLIT(M232,","))&amp;",",","&amp;SUBSTITUTE(input_affiliations," ","")&amp;",")))&gt;0)),IF(O232="",TRUE,IF(input_affiliations="",FALSE,SUMPRODUCT(--ISNUMBER(SEARCH(","&amp;TRIM(TEXTSPLIT(O232,","))&amp;",",","&amp;SUBSTITUTE(input_affiliations," ","")&amp;",")))=COUNTA(TEXTSPLIT(O232,",")))),IF(Q232="",TRUE,IF(input_affiliations="",TRUE,SUMPRODUCT(--ISNUMBER(SEARCH(","&amp;TRIM(TEXTSPLIT(Q232,","))&amp;",",","&amp;SUBSTITUTE(input_affiliations," ","")&amp;",")))=0)),IF(S232="",TRUE,IF(input_affiliations="",FALSE,SUMPRODUCT(--ISNUMBER(SEARCH(","&amp;TRIM(TEXTSPLIT(S232,","))&amp;",",","&amp;SUBSTITUTE(input_affiliations," ","")&amp;",")))&gt;0)),IF(U232="",TRUE,IF(input_affiliations="",FALSE,SUMPRODUCT(--ISNUMBER(SEARCH(","&amp;TRIM(TEXTSPLIT(U232,","))&amp;",",","&amp;SUBSTITUTE(input_affiliations," ","")&amp;",")))=COUNTA(TEXTSPLIT(U232,",")))))</f>
        <v/>
      </c>
      <c r="IU232" s="19">
        <f>AND(IF(W232="",TRUE,IF(input_announcement_category="",FALSE,SUMPRODUCT(--ISNUMBER(SEARCH(","&amp;TRIM(TEXTSPLIT(W232,","))&amp;",",","&amp;SUBSTITUTE(input_announcement_category," ","")&amp;",")))&gt;0)),IF(Y232="",TRUE,IF(input_announcement_category="",FALSE,SUMPRODUCT(--ISNUMBER(SEARCH(","&amp;TRIM(TEXTSPLIT(Y232,","))&amp;",",","&amp;SUBSTITUTE(input_announcement_category," ","")&amp;",")))=COUNTA(TEXTSPLIT(Y232,",")))),IF(AA232="",TRUE,IF(input_announcement_category="",TRUE,SUMPRODUCT(--ISNUMBER(SEARCH(","&amp;TRIM(TEXTSPLIT(AA232,","))&amp;",",","&amp;SUBSTITUTE(input_announcement_category," ","")&amp;",")))=0)),IF(AC232="",TRUE,IF(input_announcement_category="",FALSE,SUMPRODUCT(--ISNUMBER(SEARCH(","&amp;TRIM(TEXTSPLIT(AC232,","))&amp;",",","&amp;SUBSTITUTE(input_announcement_category," ","")&amp;",")))&gt;0)),IF(AE232="",TRUE,IF(input_announcement_category="",FALSE,SUMPRODUCT(--ISNUMBER(SEARCH(","&amp;TRIM(TEXTSPLIT(AE232,","))&amp;",",","&amp;SUBSTITUTE(input_announcement_category," ","")&amp;",")))=COUNTA(TEXTSPLIT(AE232,",")))))</f>
        <v/>
      </c>
      <c r="IV232" s="19">
        <f>AND(IF(AG232="",TRUE,IF(input_area_of_focus="",FALSE,SUMPRODUCT(--ISNUMBER(SEARCH(","&amp;TRIM(TEXTSPLIT(AG232,","))&amp;",",","&amp;SUBSTITUTE(input_area_of_focus," ","")&amp;",")))&gt;0)),IF(AI232="",TRUE,IF(input_area_of_focus="",FALSE,SUMPRODUCT(--ISNUMBER(SEARCH(","&amp;TRIM(TEXTSPLIT(AI232,","))&amp;",",","&amp;SUBSTITUTE(input_area_of_focus," ","")&amp;",")))=COUNTA(TEXTSPLIT(AI232,",")))),IF(AK232="",TRUE,IF(input_area_of_focus="",TRUE,SUMPRODUCT(--ISNUMBER(SEARCH(","&amp;TRIM(TEXTSPLIT(AK232,","))&amp;",",","&amp;SUBSTITUTE(input_area_of_focus," ","")&amp;",")))=0)),IF(AM232="",TRUE,IF(input_area_of_focus="",FALSE,SUMPRODUCT(--ISNUMBER(SEARCH(","&amp;TRIM(TEXTSPLIT(AM232,","))&amp;",",","&amp;SUBSTITUTE(input_area_of_focus," ","")&amp;",")))&gt;0)),IF(AO232="",TRUE,IF(input_area_of_focus="",FALSE,SUMPRODUCT(--ISNUMBER(SEARCH(","&amp;TRIM(TEXTSPLIT(AO232,","))&amp;",",","&amp;SUBSTITUTE(input_area_of_focus," ","")&amp;",")))=COUNTA(TEXTSPLIT(AO232,",")))))</f>
        <v/>
      </c>
      <c r="IW232" s="19">
        <f>AND(IF(AQ232="",TRUE,IF(input_audience="",FALSE,SUMPRODUCT(--ISNUMBER(SEARCH(","&amp;TRIM(TEXTSPLIT(AQ232,","))&amp;",",","&amp;SUBSTITUTE(input_audience," ","")&amp;",")))&gt;0)),IF(AS232="",TRUE,IF(input_audience="",FALSE,SUMPRODUCT(--ISNUMBER(SEARCH(","&amp;TRIM(TEXTSPLIT(AS232,","))&amp;",",","&amp;SUBSTITUTE(input_audience," ","")&amp;",")))=COUNTA(TEXTSPLIT(AS232,",")))),IF(AU232="",TRUE,IF(input_audience="",TRUE,SUMPRODUCT(--ISNUMBER(SEARCH(","&amp;TRIM(TEXTSPLIT(AU232,","))&amp;",",","&amp;SUBSTITUTE(input_audience," ","")&amp;",")))=0)),IF(AW232="",TRUE,IF(input_audience="",FALSE,SUMPRODUCT(--ISNUMBER(SEARCH(","&amp;TRIM(TEXTSPLIT(AW232,","))&amp;",",","&amp;SUBSTITUTE(input_audience," ","")&amp;",")))&gt;0)),IF(AY232="",TRUE,IF(input_audience="",FALSE,SUMPRODUCT(--ISNUMBER(SEARCH(","&amp;TRIM(TEXTSPLIT(AY232,","))&amp;",",","&amp;SUBSTITUTE(input_audience," ","")&amp;",")))=COUNTA(TEXTSPLIT(AY232,",")))))</f>
        <v/>
      </c>
      <c r="IX232" s="19">
        <f>AND(IF(BA232="",TRUE,IF(input_challenge_opportunities="",FALSE,SUMPRODUCT(--ISNUMBER(SEARCH(","&amp;TRIM(TEXTSPLIT(BA232,","))&amp;",",","&amp;SUBSTITUTE(input_challenge_opportunities," ","")&amp;",")))&gt;0)),IF(BC232="",TRUE,IF(input_challenge_opportunities="",FALSE,SUMPRODUCT(--ISNUMBER(SEARCH(","&amp;TRIM(TEXTSPLIT(BC232,","))&amp;",",","&amp;SUBSTITUTE(input_challenge_opportunities," ","")&amp;",")))=COUNTA(TEXTSPLIT(BC232,",")))),IF(BE232="",TRUE,IF(input_challenge_opportunities="",TRUE,SUMPRODUCT(--ISNUMBER(SEARCH(","&amp;TRIM(TEXTSPLIT(BE232,","))&amp;",",","&amp;SUBSTITUTE(input_challenge_opportunities," ","")&amp;",")))=0)),IF(BG232="",TRUE,IF(input_challenge_opportunities="",FALSE,SUMPRODUCT(--ISNUMBER(SEARCH(","&amp;TRIM(TEXTSPLIT(BG232,","))&amp;",",","&amp;SUBSTITUTE(input_challenge_opportunities," ","")&amp;",")))&gt;0)),IF(BI232="",TRUE,IF(input_challenge_opportunities="",FALSE,SUMPRODUCT(--ISNUMBER(SEARCH(","&amp;TRIM(TEXTSPLIT(BI232,","))&amp;",",","&amp;SUBSTITUTE(input_challenge_opportunities," ","")&amp;",")))=COUNTA(TEXTSPLIT(BI232,",")))))</f>
        <v/>
      </c>
      <c r="IY232" s="19">
        <f>AND(IF(BK232="",TRUE,IF(input_context="",FALSE,SUMPRODUCT(--ISNUMBER(SEARCH(","&amp;TRIM(TEXTSPLIT(BK232,","))&amp;",",","&amp;SUBSTITUTE(input_context," ","")&amp;",")))&gt;0)),IF(BM232="",TRUE,IF(input_context="",FALSE,SUMPRODUCT(--ISNUMBER(SEARCH(","&amp;TRIM(TEXTSPLIT(BM232,","))&amp;",",","&amp;SUBSTITUTE(input_context," ","")&amp;",")))=COUNTA(TEXTSPLIT(BM232,",")))),IF(BO232="",TRUE,IF(input_context="",TRUE,SUMPRODUCT(--ISNUMBER(SEARCH(","&amp;TRIM(TEXTSPLIT(BO232,","))&amp;",",","&amp;SUBSTITUTE(input_context," ","")&amp;",")))=0)),IF(BQ232="",TRUE,IF(input_context="",FALSE,SUMPRODUCT(--ISNUMBER(SEARCH(","&amp;TRIM(TEXTSPLIT(BQ232,","))&amp;",",","&amp;SUBSTITUTE(input_context," ","")&amp;",")))&gt;0)),IF(BS232="",TRUE,IF(input_context="",FALSE,SUMPRODUCT(--ISNUMBER(SEARCH(","&amp;TRIM(TEXTSPLIT(BS232,","))&amp;",",","&amp;SUBSTITUTE(input_context," ","")&amp;",")))=COUNTA(TEXTSPLIT(BS232,",")))))</f>
        <v/>
      </c>
      <c r="IZ232" s="19">
        <f>AND(IF(BU232="",TRUE,IF(input_enews_announcement_type="",FALSE,SUMPRODUCT(--ISNUMBER(SEARCH(","&amp;TRIM(TEXTSPLIT(BU232,","))&amp;",",","&amp;SUBSTITUTE(input_enews_announcement_type," ","")&amp;",")))&gt;0)),IF(BW232="",TRUE,IF(input_enews_announcement_type="",FALSE,SUMPRODUCT(--ISNUMBER(SEARCH(","&amp;TRIM(TEXTSPLIT(BW232,","))&amp;",",","&amp;SUBSTITUTE(input_enews_announcement_type," ","")&amp;",")))=COUNTA(TEXTSPLIT(BW232,",")))),IF(BY232="",TRUE,IF(input_enews_announcement_type="",TRUE,SUMPRODUCT(--ISNUMBER(SEARCH(","&amp;TRIM(TEXTSPLIT(BY232,","))&amp;",",","&amp;SUBSTITUTE(input_enews_announcement_type," ","")&amp;",")))=0)),IF(CA232="",TRUE,IF(input_enews_announcement_type="",FALSE,SUMPRODUCT(--ISNUMBER(SEARCH(","&amp;TRIM(TEXTSPLIT(CA232,","))&amp;",",","&amp;SUBSTITUTE(input_enews_announcement_type," ","")&amp;",")))&gt;0)),IF(CC232="",TRUE,IF(input_enews_announcement_type="",FALSE,SUMPRODUCT(--ISNUMBER(SEARCH(","&amp;TRIM(TEXTSPLIT(CC232,","))&amp;",",","&amp;SUBSTITUTE(input_enews_announcement_type," ","")&amp;",")))=COUNTA(TEXTSPLIT(CC232,",")))))</f>
        <v/>
      </c>
      <c r="JA232" s="19">
        <f>AND(IF(CE232="",TRUE,IF(input_enews_audience="",FALSE,SUMPRODUCT(--ISNUMBER(SEARCH(","&amp;TRIM(TEXTSPLIT(CE232,","))&amp;",",","&amp;SUBSTITUTE(input_enews_audience," ","")&amp;",")))&gt;0)),IF(CG232="",TRUE,IF(input_enews_audience="",FALSE,SUMPRODUCT(--ISNUMBER(SEARCH(","&amp;TRIM(TEXTSPLIT(CG232,","))&amp;",",","&amp;SUBSTITUTE(input_enews_audience," ","")&amp;",")))=COUNTA(TEXTSPLIT(CG232,",")))),IF(CI232="",TRUE,IF(input_enews_audience="",TRUE,SUMPRODUCT(--ISNUMBER(SEARCH(","&amp;TRIM(TEXTSPLIT(CI232,","))&amp;",",","&amp;SUBSTITUTE(input_enews_audience," ","")&amp;",")))=0)),IF(CK232="",TRUE,IF(input_enews_audience="",FALSE,SUMPRODUCT(--ISNUMBER(SEARCH(","&amp;TRIM(TEXTSPLIT(CK232,","))&amp;",",","&amp;SUBSTITUTE(input_enews_audience," ","")&amp;",")))&gt;0)),IF(CM232="",TRUE,IF(input_enews_audience="",FALSE,SUMPRODUCT(--ISNUMBER(SEARCH(","&amp;TRIM(TEXTSPLIT(CM232,","))&amp;",",","&amp;SUBSTITUTE(input_enews_audience," ","")&amp;",")))=COUNTA(TEXTSPLIT(CM232,",")))))</f>
        <v/>
      </c>
      <c r="JB232" s="19">
        <f>AND(IF(CO232="",TRUE,IF(input_event_location="",FALSE,SUMPRODUCT(--ISNUMBER(SEARCH(","&amp;TRIM(TEXTSPLIT(CO232,","))&amp;",",","&amp;SUBSTITUTE(input_event_location," ","")&amp;",")))&gt;0)),IF(CQ232="",TRUE,IF(input_event_location="",FALSE,SUMPRODUCT(--ISNUMBER(SEARCH(","&amp;TRIM(TEXTSPLIT(CQ232,","))&amp;",",","&amp;SUBSTITUTE(input_event_location," ","")&amp;",")))=COUNTA(TEXTSPLIT(CQ232,",")))),IF(CS232="",TRUE,IF(input_event_location="",TRUE,SUMPRODUCT(--ISNUMBER(SEARCH(","&amp;TRIM(TEXTSPLIT(CS232,","))&amp;",",","&amp;SUBSTITUTE(input_event_location," ","")&amp;",")))=0)),IF(CU232="",TRUE,IF(input_event_location="",FALSE,SUMPRODUCT(--ISNUMBER(SEARCH(","&amp;TRIM(TEXTSPLIT(CU232,","))&amp;",",","&amp;SUBSTITUTE(input_event_location," ","")&amp;",")))&gt;0)),IF(CW232="",TRUE,IF(input_event_location="",FALSE,SUMPRODUCT(--ISNUMBER(SEARCH(","&amp;TRIM(TEXTSPLIT(CW232,","))&amp;",",","&amp;SUBSTITUTE(input_event_location," ","")&amp;",")))=COUNTA(TEXTSPLIT(CW232,",")))))</f>
        <v/>
      </c>
      <c r="JC232" s="19">
        <f>AND(IF(CY232="",TRUE,IF(input_event_type="",FALSE,SUMPRODUCT(--ISNUMBER(SEARCH(","&amp;TRIM(TEXTSPLIT(CY232,","))&amp;",",","&amp;SUBSTITUTE(input_event_type," ","")&amp;",")))&gt;0)),IF(DA232="",TRUE,IF(input_event_type="",FALSE,SUMPRODUCT(--ISNUMBER(SEARCH(","&amp;TRIM(TEXTSPLIT(DA232,","))&amp;",",","&amp;SUBSTITUTE(input_event_type," ","")&amp;",")))=COUNTA(TEXTSPLIT(DA232,",")))),IF(DC232="",TRUE,IF(input_event_type="",TRUE,SUMPRODUCT(--ISNUMBER(SEARCH(","&amp;TRIM(TEXTSPLIT(DC232,","))&amp;",",","&amp;SUBSTITUTE(input_event_type," ","")&amp;",")))=0)),IF(DE232="",TRUE,IF(input_event_type="",FALSE,SUMPRODUCT(--ISNUMBER(SEARCH(","&amp;TRIM(TEXTSPLIT(DE232,","))&amp;",",","&amp;SUBSTITUTE(input_event_type," ","")&amp;",")))&gt;0)),IF(DG232="",TRUE,IF(input_event_type="",FALSE,SUMPRODUCT(--ISNUMBER(SEARCH(","&amp;TRIM(TEXTSPLIT(DG232,","))&amp;",",","&amp;SUBSTITUTE(input_event_type," ","")&amp;",")))=COUNTA(TEXTSPLIT(DG232,",")))))</f>
        <v/>
      </c>
      <c r="JD232" s="19">
        <f>AND(IF(DI232="",TRUE,IF(input_executive_education_focus="",FALSE,SUMPRODUCT(--ISNUMBER(SEARCH(","&amp;TRIM(TEXTSPLIT(DI232,","))&amp;",",","&amp;SUBSTITUTE(input_executive_education_focus," ","")&amp;",")))&gt;0)),IF(DK232="",TRUE,IF(input_executive_education_focus="",FALSE,SUMPRODUCT(--ISNUMBER(SEARCH(","&amp;TRIM(TEXTSPLIT(DK232,","))&amp;",",","&amp;SUBSTITUTE(input_executive_education_focus," ","")&amp;",")))=COUNTA(TEXTSPLIT(DK232,",")))),IF(DM232="",TRUE,IF(input_executive_education_focus="",TRUE,SUMPRODUCT(--ISNUMBER(SEARCH(","&amp;TRIM(TEXTSPLIT(DM232,","))&amp;",",","&amp;SUBSTITUTE(input_executive_education_focus," ","")&amp;",")))=0)),IF(DO232="",TRUE,IF(input_executive_education_focus="",FALSE,SUMPRODUCT(--ISNUMBER(SEARCH(","&amp;TRIM(TEXTSPLIT(DO232,","))&amp;",",","&amp;SUBSTITUTE(input_executive_education_focus," ","")&amp;",")))&gt;0)),IF(DQ232="",TRUE,IF(input_executive_education_focus="",FALSE,SUMPRODUCT(--ISNUMBER(SEARCH(","&amp;TRIM(TEXTSPLIT(DQ232,","))&amp;",",","&amp;SUBSTITUTE(input_executive_education_focus," ","")&amp;",")))=COUNTA(TEXTSPLIT(DQ232,",")))))</f>
        <v/>
      </c>
      <c r="JE232" s="19">
        <f>AND(IF(DS232="",TRUE,IF(input_faculty_category="",FALSE,SUMPRODUCT(--ISNUMBER(SEARCH(","&amp;TRIM(TEXTSPLIT(DS232,","))&amp;",",","&amp;SUBSTITUTE(input_faculty_category," ","")&amp;",")))&gt;0)),IF(DU232="",TRUE,IF(input_faculty_category="",FALSE,SUMPRODUCT(--ISNUMBER(SEARCH(","&amp;TRIM(TEXTSPLIT(DU232,","))&amp;",",","&amp;SUBSTITUTE(input_faculty_category," ","")&amp;",")))=COUNTA(TEXTSPLIT(DU232,",")))),IF(DW232="",TRUE,IF(input_faculty_category="",TRUE,SUMPRODUCT(--ISNUMBER(SEARCH(","&amp;TRIM(TEXTSPLIT(DW232,","))&amp;",",","&amp;SUBSTITUTE(input_faculty_category," ","")&amp;",")))=0)),IF(DY232="",TRUE,IF(input_faculty_category="",FALSE,SUMPRODUCT(--ISNUMBER(SEARCH(","&amp;TRIM(TEXTSPLIT(DY232,","))&amp;",",","&amp;SUBSTITUTE(input_faculty_category," ","")&amp;",")))&gt;0)),IF(EA232="",TRUE,IF(input_faculty_category="",FALSE,SUMPRODUCT(--ISNUMBER(SEARCH(","&amp;TRIM(TEXTSPLIT(EA232,","))&amp;",",","&amp;SUBSTITUTE(input_faculty_category," ","")&amp;",")))=COUNTA(TEXTSPLIT(EA232,",")))))</f>
        <v/>
      </c>
      <c r="JF232" s="19">
        <f>AND(IF(EC232="",TRUE,IF(input_faculty_discipline="",FALSE,SUMPRODUCT(--ISNUMBER(SEARCH(","&amp;TRIM(TEXTSPLIT(EC232,","))&amp;",",","&amp;SUBSTITUTE(input_faculty_discipline," ","")&amp;",")))&gt;0)),IF(EE232="",TRUE,IF(input_faculty_discipline="",FALSE,SUMPRODUCT(--ISNUMBER(SEARCH(","&amp;TRIM(TEXTSPLIT(EE232,","))&amp;",",","&amp;SUBSTITUTE(input_faculty_discipline," ","")&amp;",")))=COUNTA(TEXTSPLIT(EE232,",")))),IF(EG232="",TRUE,IF(input_faculty_discipline="",TRUE,SUMPRODUCT(--ISNUMBER(SEARCH(","&amp;TRIM(TEXTSPLIT(EG232,","))&amp;",",","&amp;SUBSTITUTE(input_faculty_discipline," ","")&amp;",")))=0)),IF(EI232="",TRUE,IF(input_faculty_discipline="",FALSE,SUMPRODUCT(--ISNUMBER(SEARCH(","&amp;TRIM(TEXTSPLIT(EI232,","))&amp;",",","&amp;SUBSTITUTE(input_faculty_discipline," ","")&amp;",")))&gt;0)),IF(EK232="",TRUE,IF(input_faculty_discipline="",FALSE,SUMPRODUCT(--ISNUMBER(SEARCH(","&amp;TRIM(TEXTSPLIT(EK232,","))&amp;",",","&amp;SUBSTITUTE(input_faculty_discipline," ","")&amp;",")))=COUNTA(TEXTSPLIT(EK232,",")))))</f>
        <v/>
      </c>
      <c r="JG232" s="19">
        <f>AND(IF(EM232="",TRUE,IF(input_faculty_expertise="",FALSE,SUMPRODUCT(--ISNUMBER(SEARCH(","&amp;TRIM(TEXTSPLIT(EM232,","))&amp;",",","&amp;SUBSTITUTE(input_faculty_expertise," ","")&amp;",")))&gt;0)),IF(EO232="",TRUE,IF(input_faculty_expertise="",FALSE,SUMPRODUCT(--ISNUMBER(SEARCH(","&amp;TRIM(TEXTSPLIT(EO232,","))&amp;",",","&amp;SUBSTITUTE(input_faculty_expertise," ","")&amp;",")))=COUNTA(TEXTSPLIT(EO232,",")))),IF(EQ232="",TRUE,IF(input_faculty_expertise="",TRUE,SUMPRODUCT(--ISNUMBER(SEARCH(","&amp;TRIM(TEXTSPLIT(EQ232,","))&amp;",",","&amp;SUBSTITUTE(input_faculty_expertise," ","")&amp;",")))=0)),IF(ES232="",TRUE,IF(input_faculty_expertise="",FALSE,SUMPRODUCT(--ISNUMBER(SEARCH(","&amp;TRIM(TEXTSPLIT(ES232,","))&amp;",",","&amp;SUBSTITUTE(input_faculty_expertise," ","")&amp;",")))&gt;0)),IF(EU232="",TRUE,IF(input_faculty_expertise="",FALSE,SUMPRODUCT(--ISNUMBER(SEARCH(","&amp;TRIM(TEXTSPLIT(EU232,","))&amp;",",","&amp;SUBSTITUTE(input_faculty_expertise," ","")&amp;",")))=COUNTA(TEXTSPLIT(EU232,",")))))</f>
        <v/>
      </c>
      <c r="JH232" s="19">
        <f>AND(IF(EW232="",TRUE,IF(input_global_network_school="",FALSE,SUMPRODUCT(--ISNUMBER(SEARCH(","&amp;TRIM(TEXTSPLIT(EW232,","))&amp;",",","&amp;SUBSTITUTE(input_global_network_school," ","")&amp;",")))&gt;0)),IF(EY232="",TRUE,IF(input_global_network_school="",FALSE,SUMPRODUCT(--ISNUMBER(SEARCH(","&amp;TRIM(TEXTSPLIT(EY232,","))&amp;",",","&amp;SUBSTITUTE(input_global_network_school," ","")&amp;",")))=COUNTA(TEXTSPLIT(EY232,",")))),IF(FA232="",TRUE,IF(input_global_network_school="",TRUE,SUMPRODUCT(--ISNUMBER(SEARCH(","&amp;TRIM(TEXTSPLIT(FA232,","))&amp;",",","&amp;SUBSTITUTE(input_global_network_school," ","")&amp;",")))=0)),IF(FC232="",TRUE,IF(input_global_network_school="",FALSE,SUMPRODUCT(--ISNUMBER(SEARCH(","&amp;TRIM(TEXTSPLIT(FC232,","))&amp;",",","&amp;SUBSTITUTE(input_global_network_school," ","")&amp;",")))&gt;0)),IF(FE232="",TRUE,IF(input_global_network_school="",FALSE,SUMPRODUCT(--ISNUMBER(SEARCH(","&amp;TRIM(TEXTSPLIT(FE232,","))&amp;",",","&amp;SUBSTITUTE(input_global_network_school," ","")&amp;",")))=COUNTA(TEXTSPLIT(FE232,",")))))</f>
        <v/>
      </c>
      <c r="JI232" s="19">
        <f>AND(IF(FG232="",TRUE,IF(input_industry="",FALSE,SUMPRODUCT(--ISNUMBER(SEARCH(","&amp;TRIM(TEXTSPLIT(FG232,","))&amp;",",","&amp;SUBSTITUTE(input_industry," ","")&amp;",")))&gt;0)),IF(FI232="",TRUE,IF(input_industry="",FALSE,SUMPRODUCT(--ISNUMBER(SEARCH(","&amp;TRIM(TEXTSPLIT(FI232,","))&amp;",",","&amp;SUBSTITUTE(input_industry," ","")&amp;",")))=COUNTA(TEXTSPLIT(FI232,",")))),IF(FK232="",TRUE,IF(input_industry="",TRUE,SUMPRODUCT(--ISNUMBER(SEARCH(","&amp;TRIM(TEXTSPLIT(FK232,","))&amp;",",","&amp;SUBSTITUTE(input_industry," ","")&amp;",")))=0)),IF(FM232="",TRUE,IF(input_industry="",FALSE,SUMPRODUCT(--ISNUMBER(SEARCH(","&amp;TRIM(TEXTSPLIT(FM232,","))&amp;",",","&amp;SUBSTITUTE(input_industry," ","")&amp;",")))&gt;0)),IF(FO232="",TRUE,IF(input_industry="",FALSE,SUMPRODUCT(--ISNUMBER(SEARCH(","&amp;TRIM(TEXTSPLIT(FO232,","))&amp;",",","&amp;SUBSTITUTE(input_industry," ","")&amp;",")))=COUNTA(TEXTSPLIT(FO232,",")))))</f>
        <v/>
      </c>
      <c r="JJ232" s="19">
        <f>AND(IF(FQ232="",TRUE,IF(input_location="",FALSE,SUMPRODUCT(--ISNUMBER(SEARCH(","&amp;TRIM(TEXTSPLIT(FQ232,","))&amp;",",","&amp;SUBSTITUTE(input_location," ","")&amp;",")))&gt;0)),IF(FS232="",TRUE,IF(input_location="",FALSE,SUMPRODUCT(--ISNUMBER(SEARCH(","&amp;TRIM(TEXTSPLIT(FS232,","))&amp;",",","&amp;SUBSTITUTE(input_location," ","")&amp;",")))=COUNTA(TEXTSPLIT(FS232,",")))),IF(FU232="",TRUE,IF(input_location="",TRUE,SUMPRODUCT(--ISNUMBER(SEARCH(","&amp;TRIM(TEXTSPLIT(FU232,","))&amp;",",","&amp;SUBSTITUTE(input_location," ","")&amp;",")))=0)),IF(FW232="",TRUE,IF(input_location="",FALSE,SUMPRODUCT(--ISNUMBER(SEARCH(","&amp;TRIM(TEXTSPLIT(FW232,","))&amp;",",","&amp;SUBSTITUTE(input_location," ","")&amp;",")))&gt;0)),IF(FY232="",TRUE,IF(input_location="",FALSE,SUMPRODUCT(--ISNUMBER(SEARCH(","&amp;TRIM(TEXTSPLIT(FY232,","))&amp;",",","&amp;SUBSTITUTE(input_location," ","")&amp;",")))=COUNTA(TEXTSPLIT(FY232,",")))))</f>
        <v/>
      </c>
      <c r="JK232" s="19">
        <f>AND(IF(GA232="",TRUE,IF(input_modality="",FALSE,SUMPRODUCT(--ISNUMBER(SEARCH(","&amp;TRIM(TEXTSPLIT(GA232,","))&amp;",",","&amp;SUBSTITUTE(input_modality," ","")&amp;",")))&gt;0)),IF(GC232="",TRUE,IF(input_modality="",FALSE,SUMPRODUCT(--ISNUMBER(SEARCH(","&amp;TRIM(TEXTSPLIT(GC232,","))&amp;",",","&amp;SUBSTITUTE(input_modality," ","")&amp;",")))=COUNTA(TEXTSPLIT(GC232,",")))),IF(GE232="",TRUE,IF(input_modality="",TRUE,SUMPRODUCT(--ISNUMBER(SEARCH(","&amp;TRIM(TEXTSPLIT(GE232,","))&amp;",",","&amp;SUBSTITUTE(input_modality," ","")&amp;",")))=0)),IF(GG232="",TRUE,IF(input_modality="",FALSE,SUMPRODUCT(--ISNUMBER(SEARCH(","&amp;TRIM(TEXTSPLIT(GG232,","))&amp;",",","&amp;SUBSTITUTE(input_modality," ","")&amp;",")))&gt;0)),IF(GI232="",TRUE,IF(input_modality="",FALSE,SUMPRODUCT(--ISNUMBER(SEARCH(","&amp;TRIM(TEXTSPLIT(GI232,","))&amp;",",","&amp;SUBSTITUTE(input_modality," ","")&amp;",")))=COUNTA(TEXTSPLIT(GI232,",")))))</f>
        <v/>
      </c>
      <c r="JL232" s="19">
        <f>AND(IF(GK232="",TRUE,IF(input_organizer="",FALSE,SUMPRODUCT(--ISNUMBER(SEARCH(","&amp;TRIM(TEXTSPLIT(GK232,","))&amp;",",","&amp;SUBSTITUTE(input_organizer," ","")&amp;",")))&gt;0)),IF(GM232="",TRUE,IF(input_organizer="",FALSE,SUMPRODUCT(--ISNUMBER(SEARCH(","&amp;TRIM(TEXTSPLIT(GM232,","))&amp;",",","&amp;SUBSTITUTE(input_organizer," ","")&amp;",")))=COUNTA(TEXTSPLIT(GM232,",")))),IF(GO232="",TRUE,IF(input_organizer="",TRUE,SUMPRODUCT(--ISNUMBER(SEARCH(","&amp;TRIM(TEXTSPLIT(GO232,","))&amp;",",","&amp;SUBSTITUTE(input_organizer," ","")&amp;",")))=0)),IF(GQ232="",TRUE,IF(input_organizer="",FALSE,SUMPRODUCT(--ISNUMBER(SEARCH(","&amp;TRIM(TEXTSPLIT(GQ232,","))&amp;",",","&amp;SUBSTITUTE(input_organizer," ","")&amp;",")))&gt;0)),IF(GS232="",TRUE,IF(input_organizer="",FALSE,SUMPRODUCT(--ISNUMBER(SEARCH(","&amp;TRIM(TEXTSPLIT(GS232,","))&amp;",",","&amp;SUBSTITUTE(input_organizer," ","")&amp;",")))=COUNTA(TEXTSPLIT(GS232,",")))))</f>
        <v/>
      </c>
      <c r="JM232" s="19">
        <f>AND(IF(GU232="",TRUE,IF(input_profile_type="",FALSE,SUMPRODUCT(--ISNUMBER(SEARCH(","&amp;TRIM(TEXTSPLIT(GU232,","))&amp;",",","&amp;SUBSTITUTE(input_profile_type," ","")&amp;",")))&gt;0)),IF(GW232="",TRUE,IF(input_profile_type="",FALSE,SUMPRODUCT(--ISNUMBER(SEARCH(","&amp;TRIM(TEXTSPLIT(GW232,","))&amp;",",","&amp;SUBSTITUTE(input_profile_type," ","")&amp;",")))=COUNTA(TEXTSPLIT(GW232,",")))),IF(GY232="",TRUE,IF(input_profile_type="",TRUE,SUMPRODUCT(--ISNUMBER(SEARCH(","&amp;TRIM(TEXTSPLIT(GY232,","))&amp;",",","&amp;SUBSTITUTE(input_profile_type," ","")&amp;",")))=0)),IF(HA232="",TRUE,IF(input_profile_type="",FALSE,SUMPRODUCT(--ISNUMBER(SEARCH(","&amp;TRIM(TEXTSPLIT(HA232,","))&amp;",",","&amp;SUBSTITUTE(input_profile_type," ","")&amp;",")))&gt;0)),IF(HC232="",TRUE,IF(input_profile_type="",FALSE,SUMPRODUCT(--ISNUMBER(SEARCH(","&amp;TRIM(TEXTSPLIT(HC232,","))&amp;",",","&amp;SUBSTITUTE(input_profile_type," ","")&amp;",")))=COUNTA(TEXTSPLIT(HC232,",")))))</f>
        <v/>
      </c>
      <c r="JN232" s="19">
        <f>AND(IF(HE232="",TRUE,IF(input_program="",FALSE,SUMPRODUCT(--ISNUMBER(SEARCH(","&amp;TRIM(TEXTSPLIT(HE232,","))&amp;",",","&amp;SUBSTITUTE(input_program," ","")&amp;",")))&gt;0)),IF(HG232="",TRUE,IF(input_program="",FALSE,SUMPRODUCT(--ISNUMBER(SEARCH(","&amp;TRIM(TEXTSPLIT(HG232,","))&amp;",",","&amp;SUBSTITUTE(input_program," ","")&amp;",")))=COUNTA(TEXTSPLIT(HG232,",")))),IF(HI232="",TRUE,IF(input_program="",TRUE,SUMPRODUCT(--ISNUMBER(SEARCH(","&amp;TRIM(TEXTSPLIT(HI232,","))&amp;",",","&amp;SUBSTITUTE(input_program," ","")&amp;",")))=0)),IF(HK232="",TRUE,IF(input_program="",FALSE,SUMPRODUCT(--ISNUMBER(SEARCH(","&amp;TRIM(TEXTSPLIT(HK232,","))&amp;",",","&amp;SUBSTITUTE(input_program," ","")&amp;",")))&gt;0)),IF(HM232="",TRUE,IF(input_program="",FALSE,SUMPRODUCT(--ISNUMBER(SEARCH(","&amp;TRIM(TEXTSPLIT(HM232,","))&amp;",",","&amp;SUBSTITUTE(input_program," ","")&amp;",")))=COUNTA(TEXTSPLIT(HM232,",")))))</f>
        <v/>
      </c>
      <c r="JO232" s="19">
        <f>AND(IF(HO232="",TRUE,IF(input_story_categories="",FALSE,SUMPRODUCT(--ISNUMBER(SEARCH(","&amp;TRIM(TEXTSPLIT(HO232,","))&amp;",",","&amp;SUBSTITUTE(input_story_categories," ","")&amp;",")))&gt;0)),IF(HQ232="",TRUE,IF(input_story_categories="",FALSE,SUMPRODUCT(--ISNUMBER(SEARCH(","&amp;TRIM(TEXTSPLIT(HQ232,","))&amp;",",","&amp;SUBSTITUTE(input_story_categories," ","")&amp;",")))=COUNTA(TEXTSPLIT(HQ232,",")))),IF(HS232="",TRUE,IF(input_story_categories="",TRUE,SUMPRODUCT(--ISNUMBER(SEARCH(","&amp;TRIM(TEXTSPLIT(HS232,","))&amp;",",","&amp;SUBSTITUTE(input_story_categories," ","")&amp;",")))=0)),IF(HU232="",TRUE,IF(input_story_categories="",FALSE,SUMPRODUCT(--ISNUMBER(SEARCH(","&amp;TRIM(TEXTSPLIT(HU232,","))&amp;",",","&amp;SUBSTITUTE(input_story_categories," ","")&amp;",")))&gt;0)),IF(HW232="",TRUE,IF(input_story_categories="",FALSE,SUMPRODUCT(--ISNUMBER(SEARCH(","&amp;TRIM(TEXTSPLIT(HW232,","))&amp;",",","&amp;SUBSTITUTE(input_story_categories," ","")&amp;",")))=COUNTA(TEXTSPLIT(HW232,",")))))</f>
        <v/>
      </c>
      <c r="JP232" s="19">
        <f>AND(IF(HY232="",TRUE,IF(input_story_type="",FALSE,SUMPRODUCT(--ISNUMBER(SEARCH(","&amp;TRIM(TEXTSPLIT(HY232,","))&amp;",",","&amp;SUBSTITUTE(input_story_type," ","")&amp;",")))&gt;0)),IF(IA232="",TRUE,IF(input_story_type="",FALSE,SUMPRODUCT(--ISNUMBER(SEARCH(","&amp;TRIM(TEXTSPLIT(IA232,","))&amp;",",","&amp;SUBSTITUTE(input_story_type," ","")&amp;",")))=COUNTA(TEXTSPLIT(IA232,",")))),IF(IC232="",TRUE,IF(input_story_type="",TRUE,SUMPRODUCT(--ISNUMBER(SEARCH(","&amp;TRIM(TEXTSPLIT(IC232,","))&amp;",",","&amp;SUBSTITUTE(input_story_type," ","")&amp;",")))=0)),IF(IE232="",TRUE,IF(input_story_type="",FALSE,SUMPRODUCT(--ISNUMBER(SEARCH(","&amp;TRIM(TEXTSPLIT(IE232,","))&amp;",",","&amp;SUBSTITUTE(input_story_type," ","")&amp;",")))&gt;0)),IF(IG232="",TRUE,IF(input_story_type="",FALSE,SUMPRODUCT(--ISNUMBER(SEARCH(","&amp;TRIM(TEXTSPLIT(IG232,","))&amp;",",","&amp;SUBSTITUTE(input_story_type," ","")&amp;",")))=COUNTA(TEXTSPLIT(IG232,",")))))</f>
        <v/>
      </c>
      <c r="JQ232" s="19">
        <f>AND(IF(II232="",TRUE,IF(input_topics="",FALSE,SUMPRODUCT(--ISNUMBER(SEARCH(","&amp;TRIM(TEXTSPLIT(II232,","))&amp;",",","&amp;SUBSTITUTE(input_topics," ","")&amp;",")))&gt;0)),IF(IK232="",TRUE,IF(input_topics="",FALSE,SUMPRODUCT(--ISNUMBER(SEARCH(","&amp;TRIM(TEXTSPLIT(IK232,","))&amp;",",","&amp;SUBSTITUTE(input_topics," ","")&amp;",")))=COUNTA(TEXTSPLIT(IK232,",")))),IF(IM232="",TRUE,IF(input_topics="",TRUE,SUMPRODUCT(--ISNUMBER(SEARCH(","&amp;TRIM(TEXTSPLIT(IM232,","))&amp;",",","&amp;SUBSTITUTE(input_topics," ","")&amp;",")))=0)),IF(IO232="",TRUE,IF(input_topics="",FALSE,SUMPRODUCT(--ISNUMBER(SEARCH(","&amp;TRIM(TEXTSPLIT(IO232,","))&amp;",",","&amp;SUBSTITUTE(input_topics," ","")&amp;",")))&gt;0)),IF(IQ232="",TRUE,IF(input_topics="",FALSE,SUMPRODUCT(--ISNUMBER(SEARCH(","&amp;TRIM(TEXTSPLIT(IQ232,","))&amp;",",","&amp;SUBSTITUTE(input_topics," ","")&amp;",")))=COUNTA(TEXTSPLIT(IQ232,",")))))</f>
        <v/>
      </c>
    </row>
    <row r="233">
      <c r="A233" s="24">
        <f>IF(NOT(IS233),"Excluded",IF(AND(IT233,IU233,IV233,IW233,IX233,IY233,IZ233,JA233,JB233,JC233,JD233,JE233,JF233,JG233,JH233,JI233,JJ233,JK233,JL233,JM233,JN233,JO233,JP233,JQ233),IF(I233&gt;0,"Eligible but limited","Will appear"),"Excluded"))</f>
        <v/>
      </c>
      <c r="B233" s="24" t="inlineStr">
        <is>
          <t>Yale SOM Podcasts</t>
        </is>
      </c>
      <c r="C233" s="27" t="inlineStr">
        <is>
          <t>/about/headlines/podcasts</t>
        </is>
      </c>
      <c r="D233" s="24" t="inlineStr">
        <is>
          <t>/about/headlines/podcasts</t>
        </is>
      </c>
      <c r="E233" s="24" t="n">
        <v>1</v>
      </c>
      <c r="F233" s="24" t="inlineStr">
        <is>
          <t>podcast_series</t>
        </is>
      </c>
      <c r="G233" s="24" t="inlineStr">
        <is>
          <t>podcast_series_list</t>
        </is>
      </c>
      <c r="H233" s="24" t="inlineStr">
        <is>
          <t>embed_list</t>
        </is>
      </c>
      <c r="I233" s="24" t="n">
        <v>20</v>
      </c>
      <c r="J233" s="24" t="inlineStr">
        <is>
          <t>View/config rules</t>
        </is>
      </c>
      <c r="K233" s="24" t="inlineStr">
        <is>
          <t>Page placement</t>
        </is>
      </c>
      <c r="L233" s="24" t="inlineStr">
        <is>
          <t>Content type: podcast_series; Limited to 20 item(s); Source: View/config rules</t>
        </is>
      </c>
      <c r="IS233" s="19">
        <f>IF(input_content_type="",FALSE,ISNUMBER(SEARCH(","&amp;LOWER(input_content_type)&amp;",",","&amp;LOWER(SUBSTITUTE(F233," ",""))&amp;",")))</f>
        <v/>
      </c>
      <c r="IT233" s="19">
        <f>AND(IF(M233="",TRUE,IF(input_affiliations="",FALSE,SUMPRODUCT(--ISNUMBER(SEARCH(","&amp;TRIM(TEXTSPLIT(M233,","))&amp;",",","&amp;SUBSTITUTE(input_affiliations," ","")&amp;",")))&gt;0)),IF(O233="",TRUE,IF(input_affiliations="",FALSE,SUMPRODUCT(--ISNUMBER(SEARCH(","&amp;TRIM(TEXTSPLIT(O233,","))&amp;",",","&amp;SUBSTITUTE(input_affiliations," ","")&amp;",")))=COUNTA(TEXTSPLIT(O233,",")))),IF(Q233="",TRUE,IF(input_affiliations="",TRUE,SUMPRODUCT(--ISNUMBER(SEARCH(","&amp;TRIM(TEXTSPLIT(Q233,","))&amp;",",","&amp;SUBSTITUTE(input_affiliations," ","")&amp;",")))=0)),IF(S233="",TRUE,IF(input_affiliations="",FALSE,SUMPRODUCT(--ISNUMBER(SEARCH(","&amp;TRIM(TEXTSPLIT(S233,","))&amp;",",","&amp;SUBSTITUTE(input_affiliations," ","")&amp;",")))&gt;0)),IF(U233="",TRUE,IF(input_affiliations="",FALSE,SUMPRODUCT(--ISNUMBER(SEARCH(","&amp;TRIM(TEXTSPLIT(U233,","))&amp;",",","&amp;SUBSTITUTE(input_affiliations," ","")&amp;",")))=COUNTA(TEXTSPLIT(U233,",")))))</f>
        <v/>
      </c>
      <c r="IU233" s="19">
        <f>AND(IF(W233="",TRUE,IF(input_announcement_category="",FALSE,SUMPRODUCT(--ISNUMBER(SEARCH(","&amp;TRIM(TEXTSPLIT(W233,","))&amp;",",","&amp;SUBSTITUTE(input_announcement_category," ","")&amp;",")))&gt;0)),IF(Y233="",TRUE,IF(input_announcement_category="",FALSE,SUMPRODUCT(--ISNUMBER(SEARCH(","&amp;TRIM(TEXTSPLIT(Y233,","))&amp;",",","&amp;SUBSTITUTE(input_announcement_category," ","")&amp;",")))=COUNTA(TEXTSPLIT(Y233,",")))),IF(AA233="",TRUE,IF(input_announcement_category="",TRUE,SUMPRODUCT(--ISNUMBER(SEARCH(","&amp;TRIM(TEXTSPLIT(AA233,","))&amp;",",","&amp;SUBSTITUTE(input_announcement_category," ","")&amp;",")))=0)),IF(AC233="",TRUE,IF(input_announcement_category="",FALSE,SUMPRODUCT(--ISNUMBER(SEARCH(","&amp;TRIM(TEXTSPLIT(AC233,","))&amp;",",","&amp;SUBSTITUTE(input_announcement_category," ","")&amp;",")))&gt;0)),IF(AE233="",TRUE,IF(input_announcement_category="",FALSE,SUMPRODUCT(--ISNUMBER(SEARCH(","&amp;TRIM(TEXTSPLIT(AE233,","))&amp;",",","&amp;SUBSTITUTE(input_announcement_category," ","")&amp;",")))=COUNTA(TEXTSPLIT(AE233,",")))))</f>
        <v/>
      </c>
      <c r="IV233" s="19">
        <f>AND(IF(AG233="",TRUE,IF(input_area_of_focus="",FALSE,SUMPRODUCT(--ISNUMBER(SEARCH(","&amp;TRIM(TEXTSPLIT(AG233,","))&amp;",",","&amp;SUBSTITUTE(input_area_of_focus," ","")&amp;",")))&gt;0)),IF(AI233="",TRUE,IF(input_area_of_focus="",FALSE,SUMPRODUCT(--ISNUMBER(SEARCH(","&amp;TRIM(TEXTSPLIT(AI233,","))&amp;",",","&amp;SUBSTITUTE(input_area_of_focus," ","")&amp;",")))=COUNTA(TEXTSPLIT(AI233,",")))),IF(AK233="",TRUE,IF(input_area_of_focus="",TRUE,SUMPRODUCT(--ISNUMBER(SEARCH(","&amp;TRIM(TEXTSPLIT(AK233,","))&amp;",",","&amp;SUBSTITUTE(input_area_of_focus," ","")&amp;",")))=0)),IF(AM233="",TRUE,IF(input_area_of_focus="",FALSE,SUMPRODUCT(--ISNUMBER(SEARCH(","&amp;TRIM(TEXTSPLIT(AM233,","))&amp;",",","&amp;SUBSTITUTE(input_area_of_focus," ","")&amp;",")))&gt;0)),IF(AO233="",TRUE,IF(input_area_of_focus="",FALSE,SUMPRODUCT(--ISNUMBER(SEARCH(","&amp;TRIM(TEXTSPLIT(AO233,","))&amp;",",","&amp;SUBSTITUTE(input_area_of_focus," ","")&amp;",")))=COUNTA(TEXTSPLIT(AO233,",")))))</f>
        <v/>
      </c>
      <c r="IW233" s="19">
        <f>AND(IF(AQ233="",TRUE,IF(input_audience="",FALSE,SUMPRODUCT(--ISNUMBER(SEARCH(","&amp;TRIM(TEXTSPLIT(AQ233,","))&amp;",",","&amp;SUBSTITUTE(input_audience," ","")&amp;",")))&gt;0)),IF(AS233="",TRUE,IF(input_audience="",FALSE,SUMPRODUCT(--ISNUMBER(SEARCH(","&amp;TRIM(TEXTSPLIT(AS233,","))&amp;",",","&amp;SUBSTITUTE(input_audience," ","")&amp;",")))=COUNTA(TEXTSPLIT(AS233,",")))),IF(AU233="",TRUE,IF(input_audience="",TRUE,SUMPRODUCT(--ISNUMBER(SEARCH(","&amp;TRIM(TEXTSPLIT(AU233,","))&amp;",",","&amp;SUBSTITUTE(input_audience," ","")&amp;",")))=0)),IF(AW233="",TRUE,IF(input_audience="",FALSE,SUMPRODUCT(--ISNUMBER(SEARCH(","&amp;TRIM(TEXTSPLIT(AW233,","))&amp;",",","&amp;SUBSTITUTE(input_audience," ","")&amp;",")))&gt;0)),IF(AY233="",TRUE,IF(input_audience="",FALSE,SUMPRODUCT(--ISNUMBER(SEARCH(","&amp;TRIM(TEXTSPLIT(AY233,","))&amp;",",","&amp;SUBSTITUTE(input_audience," ","")&amp;",")))=COUNTA(TEXTSPLIT(AY233,",")))))</f>
        <v/>
      </c>
      <c r="IX233" s="19">
        <f>AND(IF(BA233="",TRUE,IF(input_challenge_opportunities="",FALSE,SUMPRODUCT(--ISNUMBER(SEARCH(","&amp;TRIM(TEXTSPLIT(BA233,","))&amp;",",","&amp;SUBSTITUTE(input_challenge_opportunities," ","")&amp;",")))&gt;0)),IF(BC233="",TRUE,IF(input_challenge_opportunities="",FALSE,SUMPRODUCT(--ISNUMBER(SEARCH(","&amp;TRIM(TEXTSPLIT(BC233,","))&amp;",",","&amp;SUBSTITUTE(input_challenge_opportunities," ","")&amp;",")))=COUNTA(TEXTSPLIT(BC233,",")))),IF(BE233="",TRUE,IF(input_challenge_opportunities="",TRUE,SUMPRODUCT(--ISNUMBER(SEARCH(","&amp;TRIM(TEXTSPLIT(BE233,","))&amp;",",","&amp;SUBSTITUTE(input_challenge_opportunities," ","")&amp;",")))=0)),IF(BG233="",TRUE,IF(input_challenge_opportunities="",FALSE,SUMPRODUCT(--ISNUMBER(SEARCH(","&amp;TRIM(TEXTSPLIT(BG233,","))&amp;",",","&amp;SUBSTITUTE(input_challenge_opportunities," ","")&amp;",")))&gt;0)),IF(BI233="",TRUE,IF(input_challenge_opportunities="",FALSE,SUMPRODUCT(--ISNUMBER(SEARCH(","&amp;TRIM(TEXTSPLIT(BI233,","))&amp;",",","&amp;SUBSTITUTE(input_challenge_opportunities," ","")&amp;",")))=COUNTA(TEXTSPLIT(BI233,",")))))</f>
        <v/>
      </c>
      <c r="IY233" s="19">
        <f>AND(IF(BK233="",TRUE,IF(input_context="",FALSE,SUMPRODUCT(--ISNUMBER(SEARCH(","&amp;TRIM(TEXTSPLIT(BK233,","))&amp;",",","&amp;SUBSTITUTE(input_context," ","")&amp;",")))&gt;0)),IF(BM233="",TRUE,IF(input_context="",FALSE,SUMPRODUCT(--ISNUMBER(SEARCH(","&amp;TRIM(TEXTSPLIT(BM233,","))&amp;",",","&amp;SUBSTITUTE(input_context," ","")&amp;",")))=COUNTA(TEXTSPLIT(BM233,",")))),IF(BO233="",TRUE,IF(input_context="",TRUE,SUMPRODUCT(--ISNUMBER(SEARCH(","&amp;TRIM(TEXTSPLIT(BO233,","))&amp;",",","&amp;SUBSTITUTE(input_context," ","")&amp;",")))=0)),IF(BQ233="",TRUE,IF(input_context="",FALSE,SUMPRODUCT(--ISNUMBER(SEARCH(","&amp;TRIM(TEXTSPLIT(BQ233,","))&amp;",",","&amp;SUBSTITUTE(input_context," ","")&amp;",")))&gt;0)),IF(BS233="",TRUE,IF(input_context="",FALSE,SUMPRODUCT(--ISNUMBER(SEARCH(","&amp;TRIM(TEXTSPLIT(BS233,","))&amp;",",","&amp;SUBSTITUTE(input_context," ","")&amp;",")))=COUNTA(TEXTSPLIT(BS233,",")))))</f>
        <v/>
      </c>
      <c r="IZ233" s="19">
        <f>AND(IF(BU233="",TRUE,IF(input_enews_announcement_type="",FALSE,SUMPRODUCT(--ISNUMBER(SEARCH(","&amp;TRIM(TEXTSPLIT(BU233,","))&amp;",",","&amp;SUBSTITUTE(input_enews_announcement_type," ","")&amp;",")))&gt;0)),IF(BW233="",TRUE,IF(input_enews_announcement_type="",FALSE,SUMPRODUCT(--ISNUMBER(SEARCH(","&amp;TRIM(TEXTSPLIT(BW233,","))&amp;",",","&amp;SUBSTITUTE(input_enews_announcement_type," ","")&amp;",")))=COUNTA(TEXTSPLIT(BW233,",")))),IF(BY233="",TRUE,IF(input_enews_announcement_type="",TRUE,SUMPRODUCT(--ISNUMBER(SEARCH(","&amp;TRIM(TEXTSPLIT(BY233,","))&amp;",",","&amp;SUBSTITUTE(input_enews_announcement_type," ","")&amp;",")))=0)),IF(CA233="",TRUE,IF(input_enews_announcement_type="",FALSE,SUMPRODUCT(--ISNUMBER(SEARCH(","&amp;TRIM(TEXTSPLIT(CA233,","))&amp;",",","&amp;SUBSTITUTE(input_enews_announcement_type," ","")&amp;",")))&gt;0)),IF(CC233="",TRUE,IF(input_enews_announcement_type="",FALSE,SUMPRODUCT(--ISNUMBER(SEARCH(","&amp;TRIM(TEXTSPLIT(CC233,","))&amp;",",","&amp;SUBSTITUTE(input_enews_announcement_type," ","")&amp;",")))=COUNTA(TEXTSPLIT(CC233,",")))))</f>
        <v/>
      </c>
      <c r="JA233" s="19">
        <f>AND(IF(CE233="",TRUE,IF(input_enews_audience="",FALSE,SUMPRODUCT(--ISNUMBER(SEARCH(","&amp;TRIM(TEXTSPLIT(CE233,","))&amp;",",","&amp;SUBSTITUTE(input_enews_audience," ","")&amp;",")))&gt;0)),IF(CG233="",TRUE,IF(input_enews_audience="",FALSE,SUMPRODUCT(--ISNUMBER(SEARCH(","&amp;TRIM(TEXTSPLIT(CG233,","))&amp;",",","&amp;SUBSTITUTE(input_enews_audience," ","")&amp;",")))=COUNTA(TEXTSPLIT(CG233,",")))),IF(CI233="",TRUE,IF(input_enews_audience="",TRUE,SUMPRODUCT(--ISNUMBER(SEARCH(","&amp;TRIM(TEXTSPLIT(CI233,","))&amp;",",","&amp;SUBSTITUTE(input_enews_audience," ","")&amp;",")))=0)),IF(CK233="",TRUE,IF(input_enews_audience="",FALSE,SUMPRODUCT(--ISNUMBER(SEARCH(","&amp;TRIM(TEXTSPLIT(CK233,","))&amp;",",","&amp;SUBSTITUTE(input_enews_audience," ","")&amp;",")))&gt;0)),IF(CM233="",TRUE,IF(input_enews_audience="",FALSE,SUMPRODUCT(--ISNUMBER(SEARCH(","&amp;TRIM(TEXTSPLIT(CM233,","))&amp;",",","&amp;SUBSTITUTE(input_enews_audience," ","")&amp;",")))=COUNTA(TEXTSPLIT(CM233,",")))))</f>
        <v/>
      </c>
      <c r="JB233" s="19">
        <f>AND(IF(CO233="",TRUE,IF(input_event_location="",FALSE,SUMPRODUCT(--ISNUMBER(SEARCH(","&amp;TRIM(TEXTSPLIT(CO233,","))&amp;",",","&amp;SUBSTITUTE(input_event_location," ","")&amp;",")))&gt;0)),IF(CQ233="",TRUE,IF(input_event_location="",FALSE,SUMPRODUCT(--ISNUMBER(SEARCH(","&amp;TRIM(TEXTSPLIT(CQ233,","))&amp;",",","&amp;SUBSTITUTE(input_event_location," ","")&amp;",")))=COUNTA(TEXTSPLIT(CQ233,",")))),IF(CS233="",TRUE,IF(input_event_location="",TRUE,SUMPRODUCT(--ISNUMBER(SEARCH(","&amp;TRIM(TEXTSPLIT(CS233,","))&amp;",",","&amp;SUBSTITUTE(input_event_location," ","")&amp;",")))=0)),IF(CU233="",TRUE,IF(input_event_location="",FALSE,SUMPRODUCT(--ISNUMBER(SEARCH(","&amp;TRIM(TEXTSPLIT(CU233,","))&amp;",",","&amp;SUBSTITUTE(input_event_location," ","")&amp;",")))&gt;0)),IF(CW233="",TRUE,IF(input_event_location="",FALSE,SUMPRODUCT(--ISNUMBER(SEARCH(","&amp;TRIM(TEXTSPLIT(CW233,","))&amp;",",","&amp;SUBSTITUTE(input_event_location," ","")&amp;",")))=COUNTA(TEXTSPLIT(CW233,",")))))</f>
        <v/>
      </c>
      <c r="JC233" s="19">
        <f>AND(IF(CY233="",TRUE,IF(input_event_type="",FALSE,SUMPRODUCT(--ISNUMBER(SEARCH(","&amp;TRIM(TEXTSPLIT(CY233,","))&amp;",",","&amp;SUBSTITUTE(input_event_type," ","")&amp;",")))&gt;0)),IF(DA233="",TRUE,IF(input_event_type="",FALSE,SUMPRODUCT(--ISNUMBER(SEARCH(","&amp;TRIM(TEXTSPLIT(DA233,","))&amp;",",","&amp;SUBSTITUTE(input_event_type," ","")&amp;",")))=COUNTA(TEXTSPLIT(DA233,",")))),IF(DC233="",TRUE,IF(input_event_type="",TRUE,SUMPRODUCT(--ISNUMBER(SEARCH(","&amp;TRIM(TEXTSPLIT(DC233,","))&amp;",",","&amp;SUBSTITUTE(input_event_type," ","")&amp;",")))=0)),IF(DE233="",TRUE,IF(input_event_type="",FALSE,SUMPRODUCT(--ISNUMBER(SEARCH(","&amp;TRIM(TEXTSPLIT(DE233,","))&amp;",",","&amp;SUBSTITUTE(input_event_type," ","")&amp;",")))&gt;0)),IF(DG233="",TRUE,IF(input_event_type="",FALSE,SUMPRODUCT(--ISNUMBER(SEARCH(","&amp;TRIM(TEXTSPLIT(DG233,","))&amp;",",","&amp;SUBSTITUTE(input_event_type," ","")&amp;",")))=COUNTA(TEXTSPLIT(DG233,",")))))</f>
        <v/>
      </c>
      <c r="JD233" s="19">
        <f>AND(IF(DI233="",TRUE,IF(input_executive_education_focus="",FALSE,SUMPRODUCT(--ISNUMBER(SEARCH(","&amp;TRIM(TEXTSPLIT(DI233,","))&amp;",",","&amp;SUBSTITUTE(input_executive_education_focus," ","")&amp;",")))&gt;0)),IF(DK233="",TRUE,IF(input_executive_education_focus="",FALSE,SUMPRODUCT(--ISNUMBER(SEARCH(","&amp;TRIM(TEXTSPLIT(DK233,","))&amp;",",","&amp;SUBSTITUTE(input_executive_education_focus," ","")&amp;",")))=COUNTA(TEXTSPLIT(DK233,",")))),IF(DM233="",TRUE,IF(input_executive_education_focus="",TRUE,SUMPRODUCT(--ISNUMBER(SEARCH(","&amp;TRIM(TEXTSPLIT(DM233,","))&amp;",",","&amp;SUBSTITUTE(input_executive_education_focus," ","")&amp;",")))=0)),IF(DO233="",TRUE,IF(input_executive_education_focus="",FALSE,SUMPRODUCT(--ISNUMBER(SEARCH(","&amp;TRIM(TEXTSPLIT(DO233,","))&amp;",",","&amp;SUBSTITUTE(input_executive_education_focus," ","")&amp;",")))&gt;0)),IF(DQ233="",TRUE,IF(input_executive_education_focus="",FALSE,SUMPRODUCT(--ISNUMBER(SEARCH(","&amp;TRIM(TEXTSPLIT(DQ233,","))&amp;",",","&amp;SUBSTITUTE(input_executive_education_focus," ","")&amp;",")))=COUNTA(TEXTSPLIT(DQ233,",")))))</f>
        <v/>
      </c>
      <c r="JE233" s="19">
        <f>AND(IF(DS233="",TRUE,IF(input_faculty_category="",FALSE,SUMPRODUCT(--ISNUMBER(SEARCH(","&amp;TRIM(TEXTSPLIT(DS233,","))&amp;",",","&amp;SUBSTITUTE(input_faculty_category," ","")&amp;",")))&gt;0)),IF(DU233="",TRUE,IF(input_faculty_category="",FALSE,SUMPRODUCT(--ISNUMBER(SEARCH(","&amp;TRIM(TEXTSPLIT(DU233,","))&amp;",",","&amp;SUBSTITUTE(input_faculty_category," ","")&amp;",")))=COUNTA(TEXTSPLIT(DU233,",")))),IF(DW233="",TRUE,IF(input_faculty_category="",TRUE,SUMPRODUCT(--ISNUMBER(SEARCH(","&amp;TRIM(TEXTSPLIT(DW233,","))&amp;",",","&amp;SUBSTITUTE(input_faculty_category," ","")&amp;",")))=0)),IF(DY233="",TRUE,IF(input_faculty_category="",FALSE,SUMPRODUCT(--ISNUMBER(SEARCH(","&amp;TRIM(TEXTSPLIT(DY233,","))&amp;",",","&amp;SUBSTITUTE(input_faculty_category," ","")&amp;",")))&gt;0)),IF(EA233="",TRUE,IF(input_faculty_category="",FALSE,SUMPRODUCT(--ISNUMBER(SEARCH(","&amp;TRIM(TEXTSPLIT(EA233,","))&amp;",",","&amp;SUBSTITUTE(input_faculty_category," ","")&amp;",")))=COUNTA(TEXTSPLIT(EA233,",")))))</f>
        <v/>
      </c>
      <c r="JF233" s="19">
        <f>AND(IF(EC233="",TRUE,IF(input_faculty_discipline="",FALSE,SUMPRODUCT(--ISNUMBER(SEARCH(","&amp;TRIM(TEXTSPLIT(EC233,","))&amp;",",","&amp;SUBSTITUTE(input_faculty_discipline," ","")&amp;",")))&gt;0)),IF(EE233="",TRUE,IF(input_faculty_discipline="",FALSE,SUMPRODUCT(--ISNUMBER(SEARCH(","&amp;TRIM(TEXTSPLIT(EE233,","))&amp;",",","&amp;SUBSTITUTE(input_faculty_discipline," ","")&amp;",")))=COUNTA(TEXTSPLIT(EE233,",")))),IF(EG233="",TRUE,IF(input_faculty_discipline="",TRUE,SUMPRODUCT(--ISNUMBER(SEARCH(","&amp;TRIM(TEXTSPLIT(EG233,","))&amp;",",","&amp;SUBSTITUTE(input_faculty_discipline," ","")&amp;",")))=0)),IF(EI233="",TRUE,IF(input_faculty_discipline="",FALSE,SUMPRODUCT(--ISNUMBER(SEARCH(","&amp;TRIM(TEXTSPLIT(EI233,","))&amp;",",","&amp;SUBSTITUTE(input_faculty_discipline," ","")&amp;",")))&gt;0)),IF(EK233="",TRUE,IF(input_faculty_discipline="",FALSE,SUMPRODUCT(--ISNUMBER(SEARCH(","&amp;TRIM(TEXTSPLIT(EK233,","))&amp;",",","&amp;SUBSTITUTE(input_faculty_discipline," ","")&amp;",")))=COUNTA(TEXTSPLIT(EK233,",")))))</f>
        <v/>
      </c>
      <c r="JG233" s="19">
        <f>AND(IF(EM233="",TRUE,IF(input_faculty_expertise="",FALSE,SUMPRODUCT(--ISNUMBER(SEARCH(","&amp;TRIM(TEXTSPLIT(EM233,","))&amp;",",","&amp;SUBSTITUTE(input_faculty_expertise," ","")&amp;",")))&gt;0)),IF(EO233="",TRUE,IF(input_faculty_expertise="",FALSE,SUMPRODUCT(--ISNUMBER(SEARCH(","&amp;TRIM(TEXTSPLIT(EO233,","))&amp;",",","&amp;SUBSTITUTE(input_faculty_expertise," ","")&amp;",")))=COUNTA(TEXTSPLIT(EO233,",")))),IF(EQ233="",TRUE,IF(input_faculty_expertise="",TRUE,SUMPRODUCT(--ISNUMBER(SEARCH(","&amp;TRIM(TEXTSPLIT(EQ233,","))&amp;",",","&amp;SUBSTITUTE(input_faculty_expertise," ","")&amp;",")))=0)),IF(ES233="",TRUE,IF(input_faculty_expertise="",FALSE,SUMPRODUCT(--ISNUMBER(SEARCH(","&amp;TRIM(TEXTSPLIT(ES233,","))&amp;",",","&amp;SUBSTITUTE(input_faculty_expertise," ","")&amp;",")))&gt;0)),IF(EU233="",TRUE,IF(input_faculty_expertise="",FALSE,SUMPRODUCT(--ISNUMBER(SEARCH(","&amp;TRIM(TEXTSPLIT(EU233,","))&amp;",",","&amp;SUBSTITUTE(input_faculty_expertise," ","")&amp;",")))=COUNTA(TEXTSPLIT(EU233,",")))))</f>
        <v/>
      </c>
      <c r="JH233" s="19">
        <f>AND(IF(EW233="",TRUE,IF(input_global_network_school="",FALSE,SUMPRODUCT(--ISNUMBER(SEARCH(","&amp;TRIM(TEXTSPLIT(EW233,","))&amp;",",","&amp;SUBSTITUTE(input_global_network_school," ","")&amp;",")))&gt;0)),IF(EY233="",TRUE,IF(input_global_network_school="",FALSE,SUMPRODUCT(--ISNUMBER(SEARCH(","&amp;TRIM(TEXTSPLIT(EY233,","))&amp;",",","&amp;SUBSTITUTE(input_global_network_school," ","")&amp;",")))=COUNTA(TEXTSPLIT(EY233,",")))),IF(FA233="",TRUE,IF(input_global_network_school="",TRUE,SUMPRODUCT(--ISNUMBER(SEARCH(","&amp;TRIM(TEXTSPLIT(FA233,","))&amp;",",","&amp;SUBSTITUTE(input_global_network_school," ","")&amp;",")))=0)),IF(FC233="",TRUE,IF(input_global_network_school="",FALSE,SUMPRODUCT(--ISNUMBER(SEARCH(","&amp;TRIM(TEXTSPLIT(FC233,","))&amp;",",","&amp;SUBSTITUTE(input_global_network_school," ","")&amp;",")))&gt;0)),IF(FE233="",TRUE,IF(input_global_network_school="",FALSE,SUMPRODUCT(--ISNUMBER(SEARCH(","&amp;TRIM(TEXTSPLIT(FE233,","))&amp;",",","&amp;SUBSTITUTE(input_global_network_school," ","")&amp;",")))=COUNTA(TEXTSPLIT(FE233,",")))))</f>
        <v/>
      </c>
      <c r="JI233" s="19">
        <f>AND(IF(FG233="",TRUE,IF(input_industry="",FALSE,SUMPRODUCT(--ISNUMBER(SEARCH(","&amp;TRIM(TEXTSPLIT(FG233,","))&amp;",",","&amp;SUBSTITUTE(input_industry," ","")&amp;",")))&gt;0)),IF(FI233="",TRUE,IF(input_industry="",FALSE,SUMPRODUCT(--ISNUMBER(SEARCH(","&amp;TRIM(TEXTSPLIT(FI233,","))&amp;",",","&amp;SUBSTITUTE(input_industry," ","")&amp;",")))=COUNTA(TEXTSPLIT(FI233,",")))),IF(FK233="",TRUE,IF(input_industry="",TRUE,SUMPRODUCT(--ISNUMBER(SEARCH(","&amp;TRIM(TEXTSPLIT(FK233,","))&amp;",",","&amp;SUBSTITUTE(input_industry," ","")&amp;",")))=0)),IF(FM233="",TRUE,IF(input_industry="",FALSE,SUMPRODUCT(--ISNUMBER(SEARCH(","&amp;TRIM(TEXTSPLIT(FM233,","))&amp;",",","&amp;SUBSTITUTE(input_industry," ","")&amp;",")))&gt;0)),IF(FO233="",TRUE,IF(input_industry="",FALSE,SUMPRODUCT(--ISNUMBER(SEARCH(","&amp;TRIM(TEXTSPLIT(FO233,","))&amp;",",","&amp;SUBSTITUTE(input_industry," ","")&amp;",")))=COUNTA(TEXTSPLIT(FO233,",")))))</f>
        <v/>
      </c>
      <c r="JJ233" s="19">
        <f>AND(IF(FQ233="",TRUE,IF(input_location="",FALSE,SUMPRODUCT(--ISNUMBER(SEARCH(","&amp;TRIM(TEXTSPLIT(FQ233,","))&amp;",",","&amp;SUBSTITUTE(input_location," ","")&amp;",")))&gt;0)),IF(FS233="",TRUE,IF(input_location="",FALSE,SUMPRODUCT(--ISNUMBER(SEARCH(","&amp;TRIM(TEXTSPLIT(FS233,","))&amp;",",","&amp;SUBSTITUTE(input_location," ","")&amp;",")))=COUNTA(TEXTSPLIT(FS233,",")))),IF(FU233="",TRUE,IF(input_location="",TRUE,SUMPRODUCT(--ISNUMBER(SEARCH(","&amp;TRIM(TEXTSPLIT(FU233,","))&amp;",",","&amp;SUBSTITUTE(input_location," ","")&amp;",")))=0)),IF(FW233="",TRUE,IF(input_location="",FALSE,SUMPRODUCT(--ISNUMBER(SEARCH(","&amp;TRIM(TEXTSPLIT(FW233,","))&amp;",",","&amp;SUBSTITUTE(input_location," ","")&amp;",")))&gt;0)),IF(FY233="",TRUE,IF(input_location="",FALSE,SUMPRODUCT(--ISNUMBER(SEARCH(","&amp;TRIM(TEXTSPLIT(FY233,","))&amp;",",","&amp;SUBSTITUTE(input_location," ","")&amp;",")))=COUNTA(TEXTSPLIT(FY233,",")))))</f>
        <v/>
      </c>
      <c r="JK233" s="19">
        <f>AND(IF(GA233="",TRUE,IF(input_modality="",FALSE,SUMPRODUCT(--ISNUMBER(SEARCH(","&amp;TRIM(TEXTSPLIT(GA233,","))&amp;",",","&amp;SUBSTITUTE(input_modality," ","")&amp;",")))&gt;0)),IF(GC233="",TRUE,IF(input_modality="",FALSE,SUMPRODUCT(--ISNUMBER(SEARCH(","&amp;TRIM(TEXTSPLIT(GC233,","))&amp;",",","&amp;SUBSTITUTE(input_modality," ","")&amp;",")))=COUNTA(TEXTSPLIT(GC233,",")))),IF(GE233="",TRUE,IF(input_modality="",TRUE,SUMPRODUCT(--ISNUMBER(SEARCH(","&amp;TRIM(TEXTSPLIT(GE233,","))&amp;",",","&amp;SUBSTITUTE(input_modality," ","")&amp;",")))=0)),IF(GG233="",TRUE,IF(input_modality="",FALSE,SUMPRODUCT(--ISNUMBER(SEARCH(","&amp;TRIM(TEXTSPLIT(GG233,","))&amp;",",","&amp;SUBSTITUTE(input_modality," ","")&amp;",")))&gt;0)),IF(GI233="",TRUE,IF(input_modality="",FALSE,SUMPRODUCT(--ISNUMBER(SEARCH(","&amp;TRIM(TEXTSPLIT(GI233,","))&amp;",",","&amp;SUBSTITUTE(input_modality," ","")&amp;",")))=COUNTA(TEXTSPLIT(GI233,",")))))</f>
        <v/>
      </c>
      <c r="JL233" s="19">
        <f>AND(IF(GK233="",TRUE,IF(input_organizer="",FALSE,SUMPRODUCT(--ISNUMBER(SEARCH(","&amp;TRIM(TEXTSPLIT(GK233,","))&amp;",",","&amp;SUBSTITUTE(input_organizer," ","")&amp;",")))&gt;0)),IF(GM233="",TRUE,IF(input_organizer="",FALSE,SUMPRODUCT(--ISNUMBER(SEARCH(","&amp;TRIM(TEXTSPLIT(GM233,","))&amp;",",","&amp;SUBSTITUTE(input_organizer," ","")&amp;",")))=COUNTA(TEXTSPLIT(GM233,",")))),IF(GO233="",TRUE,IF(input_organizer="",TRUE,SUMPRODUCT(--ISNUMBER(SEARCH(","&amp;TRIM(TEXTSPLIT(GO233,","))&amp;",",","&amp;SUBSTITUTE(input_organizer," ","")&amp;",")))=0)),IF(GQ233="",TRUE,IF(input_organizer="",FALSE,SUMPRODUCT(--ISNUMBER(SEARCH(","&amp;TRIM(TEXTSPLIT(GQ233,","))&amp;",",","&amp;SUBSTITUTE(input_organizer," ","")&amp;",")))&gt;0)),IF(GS233="",TRUE,IF(input_organizer="",FALSE,SUMPRODUCT(--ISNUMBER(SEARCH(","&amp;TRIM(TEXTSPLIT(GS233,","))&amp;",",","&amp;SUBSTITUTE(input_organizer," ","")&amp;",")))=COUNTA(TEXTSPLIT(GS233,",")))))</f>
        <v/>
      </c>
      <c r="JM233" s="19">
        <f>AND(IF(GU233="",TRUE,IF(input_profile_type="",FALSE,SUMPRODUCT(--ISNUMBER(SEARCH(","&amp;TRIM(TEXTSPLIT(GU233,","))&amp;",",","&amp;SUBSTITUTE(input_profile_type," ","")&amp;",")))&gt;0)),IF(GW233="",TRUE,IF(input_profile_type="",FALSE,SUMPRODUCT(--ISNUMBER(SEARCH(","&amp;TRIM(TEXTSPLIT(GW233,","))&amp;",",","&amp;SUBSTITUTE(input_profile_type," ","")&amp;",")))=COUNTA(TEXTSPLIT(GW233,",")))),IF(GY233="",TRUE,IF(input_profile_type="",TRUE,SUMPRODUCT(--ISNUMBER(SEARCH(","&amp;TRIM(TEXTSPLIT(GY233,","))&amp;",",","&amp;SUBSTITUTE(input_profile_type," ","")&amp;",")))=0)),IF(HA233="",TRUE,IF(input_profile_type="",FALSE,SUMPRODUCT(--ISNUMBER(SEARCH(","&amp;TRIM(TEXTSPLIT(HA233,","))&amp;",",","&amp;SUBSTITUTE(input_profile_type," ","")&amp;",")))&gt;0)),IF(HC233="",TRUE,IF(input_profile_type="",FALSE,SUMPRODUCT(--ISNUMBER(SEARCH(","&amp;TRIM(TEXTSPLIT(HC233,","))&amp;",",","&amp;SUBSTITUTE(input_profile_type," ","")&amp;",")))=COUNTA(TEXTSPLIT(HC233,",")))))</f>
        <v/>
      </c>
      <c r="JN233" s="19">
        <f>AND(IF(HE233="",TRUE,IF(input_program="",FALSE,SUMPRODUCT(--ISNUMBER(SEARCH(","&amp;TRIM(TEXTSPLIT(HE233,","))&amp;",",","&amp;SUBSTITUTE(input_program," ","")&amp;",")))&gt;0)),IF(HG233="",TRUE,IF(input_program="",FALSE,SUMPRODUCT(--ISNUMBER(SEARCH(","&amp;TRIM(TEXTSPLIT(HG233,","))&amp;",",","&amp;SUBSTITUTE(input_program," ","")&amp;",")))=COUNTA(TEXTSPLIT(HG233,",")))),IF(HI233="",TRUE,IF(input_program="",TRUE,SUMPRODUCT(--ISNUMBER(SEARCH(","&amp;TRIM(TEXTSPLIT(HI233,","))&amp;",",","&amp;SUBSTITUTE(input_program," ","")&amp;",")))=0)),IF(HK233="",TRUE,IF(input_program="",FALSE,SUMPRODUCT(--ISNUMBER(SEARCH(","&amp;TRIM(TEXTSPLIT(HK233,","))&amp;",",","&amp;SUBSTITUTE(input_program," ","")&amp;",")))&gt;0)),IF(HM233="",TRUE,IF(input_program="",FALSE,SUMPRODUCT(--ISNUMBER(SEARCH(","&amp;TRIM(TEXTSPLIT(HM233,","))&amp;",",","&amp;SUBSTITUTE(input_program," ","")&amp;",")))=COUNTA(TEXTSPLIT(HM233,",")))))</f>
        <v/>
      </c>
      <c r="JO233" s="19">
        <f>AND(IF(HO233="",TRUE,IF(input_story_categories="",FALSE,SUMPRODUCT(--ISNUMBER(SEARCH(","&amp;TRIM(TEXTSPLIT(HO233,","))&amp;",",","&amp;SUBSTITUTE(input_story_categories," ","")&amp;",")))&gt;0)),IF(HQ233="",TRUE,IF(input_story_categories="",FALSE,SUMPRODUCT(--ISNUMBER(SEARCH(","&amp;TRIM(TEXTSPLIT(HQ233,","))&amp;",",","&amp;SUBSTITUTE(input_story_categories," ","")&amp;",")))=COUNTA(TEXTSPLIT(HQ233,",")))),IF(HS233="",TRUE,IF(input_story_categories="",TRUE,SUMPRODUCT(--ISNUMBER(SEARCH(","&amp;TRIM(TEXTSPLIT(HS233,","))&amp;",",","&amp;SUBSTITUTE(input_story_categories," ","")&amp;",")))=0)),IF(HU233="",TRUE,IF(input_story_categories="",FALSE,SUMPRODUCT(--ISNUMBER(SEARCH(","&amp;TRIM(TEXTSPLIT(HU233,","))&amp;",",","&amp;SUBSTITUTE(input_story_categories," ","")&amp;",")))&gt;0)),IF(HW233="",TRUE,IF(input_story_categories="",FALSE,SUMPRODUCT(--ISNUMBER(SEARCH(","&amp;TRIM(TEXTSPLIT(HW233,","))&amp;",",","&amp;SUBSTITUTE(input_story_categories," ","")&amp;",")))=COUNTA(TEXTSPLIT(HW233,",")))))</f>
        <v/>
      </c>
      <c r="JP233" s="19">
        <f>AND(IF(HY233="",TRUE,IF(input_story_type="",FALSE,SUMPRODUCT(--ISNUMBER(SEARCH(","&amp;TRIM(TEXTSPLIT(HY233,","))&amp;",",","&amp;SUBSTITUTE(input_story_type," ","")&amp;",")))&gt;0)),IF(IA233="",TRUE,IF(input_story_type="",FALSE,SUMPRODUCT(--ISNUMBER(SEARCH(","&amp;TRIM(TEXTSPLIT(IA233,","))&amp;",",","&amp;SUBSTITUTE(input_story_type," ","")&amp;",")))=COUNTA(TEXTSPLIT(IA233,",")))),IF(IC233="",TRUE,IF(input_story_type="",TRUE,SUMPRODUCT(--ISNUMBER(SEARCH(","&amp;TRIM(TEXTSPLIT(IC233,","))&amp;",",","&amp;SUBSTITUTE(input_story_type," ","")&amp;",")))=0)),IF(IE233="",TRUE,IF(input_story_type="",FALSE,SUMPRODUCT(--ISNUMBER(SEARCH(","&amp;TRIM(TEXTSPLIT(IE233,","))&amp;",",","&amp;SUBSTITUTE(input_story_type," ","")&amp;",")))&gt;0)),IF(IG233="",TRUE,IF(input_story_type="",FALSE,SUMPRODUCT(--ISNUMBER(SEARCH(","&amp;TRIM(TEXTSPLIT(IG233,","))&amp;",",","&amp;SUBSTITUTE(input_story_type," ","")&amp;",")))=COUNTA(TEXTSPLIT(IG233,",")))))</f>
        <v/>
      </c>
      <c r="JQ233" s="19">
        <f>AND(IF(II233="",TRUE,IF(input_topics="",FALSE,SUMPRODUCT(--ISNUMBER(SEARCH(","&amp;TRIM(TEXTSPLIT(II233,","))&amp;",",","&amp;SUBSTITUTE(input_topics," ","")&amp;",")))&gt;0)),IF(IK233="",TRUE,IF(input_topics="",FALSE,SUMPRODUCT(--ISNUMBER(SEARCH(","&amp;TRIM(TEXTSPLIT(IK233,","))&amp;",",","&amp;SUBSTITUTE(input_topics," ","")&amp;",")))=COUNTA(TEXTSPLIT(IK233,",")))),IF(IM233="",TRUE,IF(input_topics="",TRUE,SUMPRODUCT(--ISNUMBER(SEARCH(","&amp;TRIM(TEXTSPLIT(IM233,","))&amp;",",","&amp;SUBSTITUTE(input_topics," ","")&amp;",")))=0)),IF(IO233="",TRUE,IF(input_topics="",FALSE,SUMPRODUCT(--ISNUMBER(SEARCH(","&amp;TRIM(TEXTSPLIT(IO233,","))&amp;",",","&amp;SUBSTITUTE(input_topics," ","")&amp;",")))&gt;0)),IF(IQ233="",TRUE,IF(input_topics="",FALSE,SUMPRODUCT(--ISNUMBER(SEARCH(","&amp;TRIM(TEXTSPLIT(IQ233,","))&amp;",",","&amp;SUBSTITUTE(input_topics," ","")&amp;",")))=COUNTA(TEXTSPLIT(IQ233,",")))))</f>
        <v/>
      </c>
    </row>
    <row r="234">
      <c r="A234" s="24">
        <f>IF(NOT(IS234),"Excluded",IF(AND(IT234,IU234,IV234,IW234,IX234,IY234,IZ234,JA234,JB234,JC234,JD234,JE234,JF234,JG234,JH234,JI234,JJ234,JK234,JL234,JM234,JN234,JO234,JP234,JQ234),IF(I234&gt;0,"Eligible but limited","Will appear"),"Excluded"))</f>
        <v/>
      </c>
      <c r="B234" s="24" t="inlineStr">
        <is>
          <t>YPFS News</t>
        </is>
      </c>
      <c r="C234" s="27" t="inlineStr">
        <is>
          <t>/centers/program-on-financial-stability/ypfs-news</t>
        </is>
      </c>
      <c r="D234" s="24" t="inlineStr">
        <is>
          <t>/centers/program-on-financial-stability/ypfs-news</t>
        </is>
      </c>
      <c r="E234" s="24" t="n">
        <v>1</v>
      </c>
      <c r="F234" s="24" t="inlineStr">
        <is>
          <t>story</t>
        </is>
      </c>
      <c r="G234" s="24" t="inlineStr">
        <is>
          <t>stories_list</t>
        </is>
      </c>
      <c r="H234" s="24" t="inlineStr">
        <is>
          <t>embed_news</t>
        </is>
      </c>
      <c r="I234" s="24" t="n">
        <v>10</v>
      </c>
      <c r="J234" s="28" t="inlineStr">
        <is>
          <t>Explicit args</t>
        </is>
      </c>
      <c r="K234" s="24" t="inlineStr">
        <is>
          <t>Page placement</t>
        </is>
      </c>
      <c r="L234" s="24" t="inlineStr">
        <is>
          <t>Content type: story; Context uses Courses Context: Program on Financial Stability (955); Needs any Story Type: News (924); Limited to 10 item(s); Source: Explicit args</t>
        </is>
      </c>
      <c r="BQ234" s="19" t="inlineStr">
        <is>
          <t>955</t>
        </is>
      </c>
      <c r="BR234" s="19" t="inlineStr">
        <is>
          <t>Program on Financial Stability (955)</t>
        </is>
      </c>
      <c r="HY234" s="19" t="inlineStr">
        <is>
          <t>924</t>
        </is>
      </c>
      <c r="HZ234" s="19" t="inlineStr">
        <is>
          <t>News (924)</t>
        </is>
      </c>
      <c r="IS234" s="19">
        <f>IF(input_content_type="",FALSE,ISNUMBER(SEARCH(","&amp;LOWER(input_content_type)&amp;",",","&amp;LOWER(SUBSTITUTE(F234," ",""))&amp;",")))</f>
        <v/>
      </c>
      <c r="IT234" s="19">
        <f>AND(IF(M234="",TRUE,IF(input_affiliations="",FALSE,SUMPRODUCT(--ISNUMBER(SEARCH(","&amp;TRIM(TEXTSPLIT(M234,","))&amp;",",","&amp;SUBSTITUTE(input_affiliations," ","")&amp;",")))&gt;0)),IF(O234="",TRUE,IF(input_affiliations="",FALSE,SUMPRODUCT(--ISNUMBER(SEARCH(","&amp;TRIM(TEXTSPLIT(O234,","))&amp;",",","&amp;SUBSTITUTE(input_affiliations," ","")&amp;",")))=COUNTA(TEXTSPLIT(O234,",")))),IF(Q234="",TRUE,IF(input_affiliations="",TRUE,SUMPRODUCT(--ISNUMBER(SEARCH(","&amp;TRIM(TEXTSPLIT(Q234,","))&amp;",",","&amp;SUBSTITUTE(input_affiliations," ","")&amp;",")))=0)),IF(S234="",TRUE,IF(input_affiliations="",FALSE,SUMPRODUCT(--ISNUMBER(SEARCH(","&amp;TRIM(TEXTSPLIT(S234,","))&amp;",",","&amp;SUBSTITUTE(input_affiliations," ","")&amp;",")))&gt;0)),IF(U234="",TRUE,IF(input_affiliations="",FALSE,SUMPRODUCT(--ISNUMBER(SEARCH(","&amp;TRIM(TEXTSPLIT(U234,","))&amp;",",","&amp;SUBSTITUTE(input_affiliations," ","")&amp;",")))=COUNTA(TEXTSPLIT(U234,",")))))</f>
        <v/>
      </c>
      <c r="IU234" s="19">
        <f>AND(IF(W234="",TRUE,IF(input_announcement_category="",FALSE,SUMPRODUCT(--ISNUMBER(SEARCH(","&amp;TRIM(TEXTSPLIT(W234,","))&amp;",",","&amp;SUBSTITUTE(input_announcement_category," ","")&amp;",")))&gt;0)),IF(Y234="",TRUE,IF(input_announcement_category="",FALSE,SUMPRODUCT(--ISNUMBER(SEARCH(","&amp;TRIM(TEXTSPLIT(Y234,","))&amp;",",","&amp;SUBSTITUTE(input_announcement_category," ","")&amp;",")))=COUNTA(TEXTSPLIT(Y234,",")))),IF(AA234="",TRUE,IF(input_announcement_category="",TRUE,SUMPRODUCT(--ISNUMBER(SEARCH(","&amp;TRIM(TEXTSPLIT(AA234,","))&amp;",",","&amp;SUBSTITUTE(input_announcement_category," ","")&amp;",")))=0)),IF(AC234="",TRUE,IF(input_announcement_category="",FALSE,SUMPRODUCT(--ISNUMBER(SEARCH(","&amp;TRIM(TEXTSPLIT(AC234,","))&amp;",",","&amp;SUBSTITUTE(input_announcement_category," ","")&amp;",")))&gt;0)),IF(AE234="",TRUE,IF(input_announcement_category="",FALSE,SUMPRODUCT(--ISNUMBER(SEARCH(","&amp;TRIM(TEXTSPLIT(AE234,","))&amp;",",","&amp;SUBSTITUTE(input_announcement_category," ","")&amp;",")))=COUNTA(TEXTSPLIT(AE234,",")))))</f>
        <v/>
      </c>
      <c r="IV234" s="19">
        <f>AND(IF(AG234="",TRUE,IF(input_area_of_focus="",FALSE,SUMPRODUCT(--ISNUMBER(SEARCH(","&amp;TRIM(TEXTSPLIT(AG234,","))&amp;",",","&amp;SUBSTITUTE(input_area_of_focus," ","")&amp;",")))&gt;0)),IF(AI234="",TRUE,IF(input_area_of_focus="",FALSE,SUMPRODUCT(--ISNUMBER(SEARCH(","&amp;TRIM(TEXTSPLIT(AI234,","))&amp;",",","&amp;SUBSTITUTE(input_area_of_focus," ","")&amp;",")))=COUNTA(TEXTSPLIT(AI234,",")))),IF(AK234="",TRUE,IF(input_area_of_focus="",TRUE,SUMPRODUCT(--ISNUMBER(SEARCH(","&amp;TRIM(TEXTSPLIT(AK234,","))&amp;",",","&amp;SUBSTITUTE(input_area_of_focus," ","")&amp;",")))=0)),IF(AM234="",TRUE,IF(input_area_of_focus="",FALSE,SUMPRODUCT(--ISNUMBER(SEARCH(","&amp;TRIM(TEXTSPLIT(AM234,","))&amp;",",","&amp;SUBSTITUTE(input_area_of_focus," ","")&amp;",")))&gt;0)),IF(AO234="",TRUE,IF(input_area_of_focus="",FALSE,SUMPRODUCT(--ISNUMBER(SEARCH(","&amp;TRIM(TEXTSPLIT(AO234,","))&amp;",",","&amp;SUBSTITUTE(input_area_of_focus," ","")&amp;",")))=COUNTA(TEXTSPLIT(AO234,",")))))</f>
        <v/>
      </c>
      <c r="IW234" s="19">
        <f>AND(IF(AQ234="",TRUE,IF(input_audience="",FALSE,SUMPRODUCT(--ISNUMBER(SEARCH(","&amp;TRIM(TEXTSPLIT(AQ234,","))&amp;",",","&amp;SUBSTITUTE(input_audience," ","")&amp;",")))&gt;0)),IF(AS234="",TRUE,IF(input_audience="",FALSE,SUMPRODUCT(--ISNUMBER(SEARCH(","&amp;TRIM(TEXTSPLIT(AS234,","))&amp;",",","&amp;SUBSTITUTE(input_audience," ","")&amp;",")))=COUNTA(TEXTSPLIT(AS234,",")))),IF(AU234="",TRUE,IF(input_audience="",TRUE,SUMPRODUCT(--ISNUMBER(SEARCH(","&amp;TRIM(TEXTSPLIT(AU234,","))&amp;",",","&amp;SUBSTITUTE(input_audience," ","")&amp;",")))=0)),IF(AW234="",TRUE,IF(input_audience="",FALSE,SUMPRODUCT(--ISNUMBER(SEARCH(","&amp;TRIM(TEXTSPLIT(AW234,","))&amp;",",","&amp;SUBSTITUTE(input_audience," ","")&amp;",")))&gt;0)),IF(AY234="",TRUE,IF(input_audience="",FALSE,SUMPRODUCT(--ISNUMBER(SEARCH(","&amp;TRIM(TEXTSPLIT(AY234,","))&amp;",",","&amp;SUBSTITUTE(input_audience," ","")&amp;",")))=COUNTA(TEXTSPLIT(AY234,",")))))</f>
        <v/>
      </c>
      <c r="IX234" s="19">
        <f>AND(IF(BA234="",TRUE,IF(input_challenge_opportunities="",FALSE,SUMPRODUCT(--ISNUMBER(SEARCH(","&amp;TRIM(TEXTSPLIT(BA234,","))&amp;",",","&amp;SUBSTITUTE(input_challenge_opportunities," ","")&amp;",")))&gt;0)),IF(BC234="",TRUE,IF(input_challenge_opportunities="",FALSE,SUMPRODUCT(--ISNUMBER(SEARCH(","&amp;TRIM(TEXTSPLIT(BC234,","))&amp;",",","&amp;SUBSTITUTE(input_challenge_opportunities," ","")&amp;",")))=COUNTA(TEXTSPLIT(BC234,",")))),IF(BE234="",TRUE,IF(input_challenge_opportunities="",TRUE,SUMPRODUCT(--ISNUMBER(SEARCH(","&amp;TRIM(TEXTSPLIT(BE234,","))&amp;",",","&amp;SUBSTITUTE(input_challenge_opportunities," ","")&amp;",")))=0)),IF(BG234="",TRUE,IF(input_challenge_opportunities="",FALSE,SUMPRODUCT(--ISNUMBER(SEARCH(","&amp;TRIM(TEXTSPLIT(BG234,","))&amp;",",","&amp;SUBSTITUTE(input_challenge_opportunities," ","")&amp;",")))&gt;0)),IF(BI234="",TRUE,IF(input_challenge_opportunities="",FALSE,SUMPRODUCT(--ISNUMBER(SEARCH(","&amp;TRIM(TEXTSPLIT(BI234,","))&amp;",",","&amp;SUBSTITUTE(input_challenge_opportunities," ","")&amp;",")))=COUNTA(TEXTSPLIT(BI234,",")))))</f>
        <v/>
      </c>
      <c r="IY234" s="19">
        <f>AND(IF(BK234="",TRUE,IF(input_context="",FALSE,SUMPRODUCT(--ISNUMBER(SEARCH(","&amp;TRIM(TEXTSPLIT(BK234,","))&amp;",",","&amp;SUBSTITUTE(input_context," ","")&amp;",")))&gt;0)),IF(BM234="",TRUE,IF(input_context="",FALSE,SUMPRODUCT(--ISNUMBER(SEARCH(","&amp;TRIM(TEXTSPLIT(BM234,","))&amp;",",","&amp;SUBSTITUTE(input_context," ","")&amp;",")))=COUNTA(TEXTSPLIT(BM234,",")))),IF(BO234="",TRUE,IF(input_context="",TRUE,SUMPRODUCT(--ISNUMBER(SEARCH(","&amp;TRIM(TEXTSPLIT(BO234,","))&amp;",",","&amp;SUBSTITUTE(input_context," ","")&amp;",")))=0)),IF(BQ234="",TRUE,IF(input_context="",FALSE,SUMPRODUCT(--ISNUMBER(SEARCH(","&amp;TRIM(TEXTSPLIT(BQ234,","))&amp;",",","&amp;SUBSTITUTE(input_context," ","")&amp;",")))&gt;0)),IF(BS234="",TRUE,IF(input_context="",FALSE,SUMPRODUCT(--ISNUMBER(SEARCH(","&amp;TRIM(TEXTSPLIT(BS234,","))&amp;",",","&amp;SUBSTITUTE(input_context," ","")&amp;",")))=COUNTA(TEXTSPLIT(BS234,",")))))</f>
        <v/>
      </c>
      <c r="IZ234" s="19">
        <f>AND(IF(BU234="",TRUE,IF(input_enews_announcement_type="",FALSE,SUMPRODUCT(--ISNUMBER(SEARCH(","&amp;TRIM(TEXTSPLIT(BU234,","))&amp;",",","&amp;SUBSTITUTE(input_enews_announcement_type," ","")&amp;",")))&gt;0)),IF(BW234="",TRUE,IF(input_enews_announcement_type="",FALSE,SUMPRODUCT(--ISNUMBER(SEARCH(","&amp;TRIM(TEXTSPLIT(BW234,","))&amp;",",","&amp;SUBSTITUTE(input_enews_announcement_type," ","")&amp;",")))=COUNTA(TEXTSPLIT(BW234,",")))),IF(BY234="",TRUE,IF(input_enews_announcement_type="",TRUE,SUMPRODUCT(--ISNUMBER(SEARCH(","&amp;TRIM(TEXTSPLIT(BY234,","))&amp;",",","&amp;SUBSTITUTE(input_enews_announcement_type," ","")&amp;",")))=0)),IF(CA234="",TRUE,IF(input_enews_announcement_type="",FALSE,SUMPRODUCT(--ISNUMBER(SEARCH(","&amp;TRIM(TEXTSPLIT(CA234,","))&amp;",",","&amp;SUBSTITUTE(input_enews_announcement_type," ","")&amp;",")))&gt;0)),IF(CC234="",TRUE,IF(input_enews_announcement_type="",FALSE,SUMPRODUCT(--ISNUMBER(SEARCH(","&amp;TRIM(TEXTSPLIT(CC234,","))&amp;",",","&amp;SUBSTITUTE(input_enews_announcement_type," ","")&amp;",")))=COUNTA(TEXTSPLIT(CC234,",")))))</f>
        <v/>
      </c>
      <c r="JA234" s="19">
        <f>AND(IF(CE234="",TRUE,IF(input_enews_audience="",FALSE,SUMPRODUCT(--ISNUMBER(SEARCH(","&amp;TRIM(TEXTSPLIT(CE234,","))&amp;",",","&amp;SUBSTITUTE(input_enews_audience," ","")&amp;",")))&gt;0)),IF(CG234="",TRUE,IF(input_enews_audience="",FALSE,SUMPRODUCT(--ISNUMBER(SEARCH(","&amp;TRIM(TEXTSPLIT(CG234,","))&amp;",",","&amp;SUBSTITUTE(input_enews_audience," ","")&amp;",")))=COUNTA(TEXTSPLIT(CG234,",")))),IF(CI234="",TRUE,IF(input_enews_audience="",TRUE,SUMPRODUCT(--ISNUMBER(SEARCH(","&amp;TRIM(TEXTSPLIT(CI234,","))&amp;",",","&amp;SUBSTITUTE(input_enews_audience," ","")&amp;",")))=0)),IF(CK234="",TRUE,IF(input_enews_audience="",FALSE,SUMPRODUCT(--ISNUMBER(SEARCH(","&amp;TRIM(TEXTSPLIT(CK234,","))&amp;",",","&amp;SUBSTITUTE(input_enews_audience," ","")&amp;",")))&gt;0)),IF(CM234="",TRUE,IF(input_enews_audience="",FALSE,SUMPRODUCT(--ISNUMBER(SEARCH(","&amp;TRIM(TEXTSPLIT(CM234,","))&amp;",",","&amp;SUBSTITUTE(input_enews_audience," ","")&amp;",")))=COUNTA(TEXTSPLIT(CM234,",")))))</f>
        <v/>
      </c>
      <c r="JB234" s="19">
        <f>AND(IF(CO234="",TRUE,IF(input_event_location="",FALSE,SUMPRODUCT(--ISNUMBER(SEARCH(","&amp;TRIM(TEXTSPLIT(CO234,","))&amp;",",","&amp;SUBSTITUTE(input_event_location," ","")&amp;",")))&gt;0)),IF(CQ234="",TRUE,IF(input_event_location="",FALSE,SUMPRODUCT(--ISNUMBER(SEARCH(","&amp;TRIM(TEXTSPLIT(CQ234,","))&amp;",",","&amp;SUBSTITUTE(input_event_location," ","")&amp;",")))=COUNTA(TEXTSPLIT(CQ234,",")))),IF(CS234="",TRUE,IF(input_event_location="",TRUE,SUMPRODUCT(--ISNUMBER(SEARCH(","&amp;TRIM(TEXTSPLIT(CS234,","))&amp;",",","&amp;SUBSTITUTE(input_event_location," ","")&amp;",")))=0)),IF(CU234="",TRUE,IF(input_event_location="",FALSE,SUMPRODUCT(--ISNUMBER(SEARCH(","&amp;TRIM(TEXTSPLIT(CU234,","))&amp;",",","&amp;SUBSTITUTE(input_event_location," ","")&amp;",")))&gt;0)),IF(CW234="",TRUE,IF(input_event_location="",FALSE,SUMPRODUCT(--ISNUMBER(SEARCH(","&amp;TRIM(TEXTSPLIT(CW234,","))&amp;",",","&amp;SUBSTITUTE(input_event_location," ","")&amp;",")))=COUNTA(TEXTSPLIT(CW234,",")))))</f>
        <v/>
      </c>
      <c r="JC234" s="19">
        <f>AND(IF(CY234="",TRUE,IF(input_event_type="",FALSE,SUMPRODUCT(--ISNUMBER(SEARCH(","&amp;TRIM(TEXTSPLIT(CY234,","))&amp;",",","&amp;SUBSTITUTE(input_event_type," ","")&amp;",")))&gt;0)),IF(DA234="",TRUE,IF(input_event_type="",FALSE,SUMPRODUCT(--ISNUMBER(SEARCH(","&amp;TRIM(TEXTSPLIT(DA234,","))&amp;",",","&amp;SUBSTITUTE(input_event_type," ","")&amp;",")))=COUNTA(TEXTSPLIT(DA234,",")))),IF(DC234="",TRUE,IF(input_event_type="",TRUE,SUMPRODUCT(--ISNUMBER(SEARCH(","&amp;TRIM(TEXTSPLIT(DC234,","))&amp;",",","&amp;SUBSTITUTE(input_event_type," ","")&amp;",")))=0)),IF(DE234="",TRUE,IF(input_event_type="",FALSE,SUMPRODUCT(--ISNUMBER(SEARCH(","&amp;TRIM(TEXTSPLIT(DE234,","))&amp;",",","&amp;SUBSTITUTE(input_event_type," ","")&amp;",")))&gt;0)),IF(DG234="",TRUE,IF(input_event_type="",FALSE,SUMPRODUCT(--ISNUMBER(SEARCH(","&amp;TRIM(TEXTSPLIT(DG234,","))&amp;",",","&amp;SUBSTITUTE(input_event_type," ","")&amp;",")))=COUNTA(TEXTSPLIT(DG234,",")))))</f>
        <v/>
      </c>
      <c r="JD234" s="19">
        <f>AND(IF(DI234="",TRUE,IF(input_executive_education_focus="",FALSE,SUMPRODUCT(--ISNUMBER(SEARCH(","&amp;TRIM(TEXTSPLIT(DI234,","))&amp;",",","&amp;SUBSTITUTE(input_executive_education_focus," ","")&amp;",")))&gt;0)),IF(DK234="",TRUE,IF(input_executive_education_focus="",FALSE,SUMPRODUCT(--ISNUMBER(SEARCH(","&amp;TRIM(TEXTSPLIT(DK234,","))&amp;",",","&amp;SUBSTITUTE(input_executive_education_focus," ","")&amp;",")))=COUNTA(TEXTSPLIT(DK234,",")))),IF(DM234="",TRUE,IF(input_executive_education_focus="",TRUE,SUMPRODUCT(--ISNUMBER(SEARCH(","&amp;TRIM(TEXTSPLIT(DM234,","))&amp;",",","&amp;SUBSTITUTE(input_executive_education_focus," ","")&amp;",")))=0)),IF(DO234="",TRUE,IF(input_executive_education_focus="",FALSE,SUMPRODUCT(--ISNUMBER(SEARCH(","&amp;TRIM(TEXTSPLIT(DO234,","))&amp;",",","&amp;SUBSTITUTE(input_executive_education_focus," ","")&amp;",")))&gt;0)),IF(DQ234="",TRUE,IF(input_executive_education_focus="",FALSE,SUMPRODUCT(--ISNUMBER(SEARCH(","&amp;TRIM(TEXTSPLIT(DQ234,","))&amp;",",","&amp;SUBSTITUTE(input_executive_education_focus," ","")&amp;",")))=COUNTA(TEXTSPLIT(DQ234,",")))))</f>
        <v/>
      </c>
      <c r="JE234" s="19">
        <f>AND(IF(DS234="",TRUE,IF(input_faculty_category="",FALSE,SUMPRODUCT(--ISNUMBER(SEARCH(","&amp;TRIM(TEXTSPLIT(DS234,","))&amp;",",","&amp;SUBSTITUTE(input_faculty_category," ","")&amp;",")))&gt;0)),IF(DU234="",TRUE,IF(input_faculty_category="",FALSE,SUMPRODUCT(--ISNUMBER(SEARCH(","&amp;TRIM(TEXTSPLIT(DU234,","))&amp;",",","&amp;SUBSTITUTE(input_faculty_category," ","")&amp;",")))=COUNTA(TEXTSPLIT(DU234,",")))),IF(DW234="",TRUE,IF(input_faculty_category="",TRUE,SUMPRODUCT(--ISNUMBER(SEARCH(","&amp;TRIM(TEXTSPLIT(DW234,","))&amp;",",","&amp;SUBSTITUTE(input_faculty_category," ","")&amp;",")))=0)),IF(DY234="",TRUE,IF(input_faculty_category="",FALSE,SUMPRODUCT(--ISNUMBER(SEARCH(","&amp;TRIM(TEXTSPLIT(DY234,","))&amp;",",","&amp;SUBSTITUTE(input_faculty_category," ","")&amp;",")))&gt;0)),IF(EA234="",TRUE,IF(input_faculty_category="",FALSE,SUMPRODUCT(--ISNUMBER(SEARCH(","&amp;TRIM(TEXTSPLIT(EA234,","))&amp;",",","&amp;SUBSTITUTE(input_faculty_category," ","")&amp;",")))=COUNTA(TEXTSPLIT(EA234,",")))))</f>
        <v/>
      </c>
      <c r="JF234" s="19">
        <f>AND(IF(EC234="",TRUE,IF(input_faculty_discipline="",FALSE,SUMPRODUCT(--ISNUMBER(SEARCH(","&amp;TRIM(TEXTSPLIT(EC234,","))&amp;",",","&amp;SUBSTITUTE(input_faculty_discipline," ","")&amp;",")))&gt;0)),IF(EE234="",TRUE,IF(input_faculty_discipline="",FALSE,SUMPRODUCT(--ISNUMBER(SEARCH(","&amp;TRIM(TEXTSPLIT(EE234,","))&amp;",",","&amp;SUBSTITUTE(input_faculty_discipline," ","")&amp;",")))=COUNTA(TEXTSPLIT(EE234,",")))),IF(EG234="",TRUE,IF(input_faculty_discipline="",TRUE,SUMPRODUCT(--ISNUMBER(SEARCH(","&amp;TRIM(TEXTSPLIT(EG234,","))&amp;",",","&amp;SUBSTITUTE(input_faculty_discipline," ","")&amp;",")))=0)),IF(EI234="",TRUE,IF(input_faculty_discipline="",FALSE,SUMPRODUCT(--ISNUMBER(SEARCH(","&amp;TRIM(TEXTSPLIT(EI234,","))&amp;",",","&amp;SUBSTITUTE(input_faculty_discipline," ","")&amp;",")))&gt;0)),IF(EK234="",TRUE,IF(input_faculty_discipline="",FALSE,SUMPRODUCT(--ISNUMBER(SEARCH(","&amp;TRIM(TEXTSPLIT(EK234,","))&amp;",",","&amp;SUBSTITUTE(input_faculty_discipline," ","")&amp;",")))=COUNTA(TEXTSPLIT(EK234,",")))))</f>
        <v/>
      </c>
      <c r="JG234" s="19">
        <f>AND(IF(EM234="",TRUE,IF(input_faculty_expertise="",FALSE,SUMPRODUCT(--ISNUMBER(SEARCH(","&amp;TRIM(TEXTSPLIT(EM234,","))&amp;",",","&amp;SUBSTITUTE(input_faculty_expertise," ","")&amp;",")))&gt;0)),IF(EO234="",TRUE,IF(input_faculty_expertise="",FALSE,SUMPRODUCT(--ISNUMBER(SEARCH(","&amp;TRIM(TEXTSPLIT(EO234,","))&amp;",",","&amp;SUBSTITUTE(input_faculty_expertise," ","")&amp;",")))=COUNTA(TEXTSPLIT(EO234,",")))),IF(EQ234="",TRUE,IF(input_faculty_expertise="",TRUE,SUMPRODUCT(--ISNUMBER(SEARCH(","&amp;TRIM(TEXTSPLIT(EQ234,","))&amp;",",","&amp;SUBSTITUTE(input_faculty_expertise," ","")&amp;",")))=0)),IF(ES234="",TRUE,IF(input_faculty_expertise="",FALSE,SUMPRODUCT(--ISNUMBER(SEARCH(","&amp;TRIM(TEXTSPLIT(ES234,","))&amp;",",","&amp;SUBSTITUTE(input_faculty_expertise," ","")&amp;",")))&gt;0)),IF(EU234="",TRUE,IF(input_faculty_expertise="",FALSE,SUMPRODUCT(--ISNUMBER(SEARCH(","&amp;TRIM(TEXTSPLIT(EU234,","))&amp;",",","&amp;SUBSTITUTE(input_faculty_expertise," ","")&amp;",")))=COUNTA(TEXTSPLIT(EU234,",")))))</f>
        <v/>
      </c>
      <c r="JH234" s="19">
        <f>AND(IF(EW234="",TRUE,IF(input_global_network_school="",FALSE,SUMPRODUCT(--ISNUMBER(SEARCH(","&amp;TRIM(TEXTSPLIT(EW234,","))&amp;",",","&amp;SUBSTITUTE(input_global_network_school," ","")&amp;",")))&gt;0)),IF(EY234="",TRUE,IF(input_global_network_school="",FALSE,SUMPRODUCT(--ISNUMBER(SEARCH(","&amp;TRIM(TEXTSPLIT(EY234,","))&amp;",",","&amp;SUBSTITUTE(input_global_network_school," ","")&amp;",")))=COUNTA(TEXTSPLIT(EY234,",")))),IF(FA234="",TRUE,IF(input_global_network_school="",TRUE,SUMPRODUCT(--ISNUMBER(SEARCH(","&amp;TRIM(TEXTSPLIT(FA234,","))&amp;",",","&amp;SUBSTITUTE(input_global_network_school," ","")&amp;",")))=0)),IF(FC234="",TRUE,IF(input_global_network_school="",FALSE,SUMPRODUCT(--ISNUMBER(SEARCH(","&amp;TRIM(TEXTSPLIT(FC234,","))&amp;",",","&amp;SUBSTITUTE(input_global_network_school," ","")&amp;",")))&gt;0)),IF(FE234="",TRUE,IF(input_global_network_school="",FALSE,SUMPRODUCT(--ISNUMBER(SEARCH(","&amp;TRIM(TEXTSPLIT(FE234,","))&amp;",",","&amp;SUBSTITUTE(input_global_network_school," ","")&amp;",")))=COUNTA(TEXTSPLIT(FE234,",")))))</f>
        <v/>
      </c>
      <c r="JI234" s="19">
        <f>AND(IF(FG234="",TRUE,IF(input_industry="",FALSE,SUMPRODUCT(--ISNUMBER(SEARCH(","&amp;TRIM(TEXTSPLIT(FG234,","))&amp;",",","&amp;SUBSTITUTE(input_industry," ","")&amp;",")))&gt;0)),IF(FI234="",TRUE,IF(input_industry="",FALSE,SUMPRODUCT(--ISNUMBER(SEARCH(","&amp;TRIM(TEXTSPLIT(FI234,","))&amp;",",","&amp;SUBSTITUTE(input_industry," ","")&amp;",")))=COUNTA(TEXTSPLIT(FI234,",")))),IF(FK234="",TRUE,IF(input_industry="",TRUE,SUMPRODUCT(--ISNUMBER(SEARCH(","&amp;TRIM(TEXTSPLIT(FK234,","))&amp;",",","&amp;SUBSTITUTE(input_industry," ","")&amp;",")))=0)),IF(FM234="",TRUE,IF(input_industry="",FALSE,SUMPRODUCT(--ISNUMBER(SEARCH(","&amp;TRIM(TEXTSPLIT(FM234,","))&amp;",",","&amp;SUBSTITUTE(input_industry," ","")&amp;",")))&gt;0)),IF(FO234="",TRUE,IF(input_industry="",FALSE,SUMPRODUCT(--ISNUMBER(SEARCH(","&amp;TRIM(TEXTSPLIT(FO234,","))&amp;",",","&amp;SUBSTITUTE(input_industry," ","")&amp;",")))=COUNTA(TEXTSPLIT(FO234,",")))))</f>
        <v/>
      </c>
      <c r="JJ234" s="19">
        <f>AND(IF(FQ234="",TRUE,IF(input_location="",FALSE,SUMPRODUCT(--ISNUMBER(SEARCH(","&amp;TRIM(TEXTSPLIT(FQ234,","))&amp;",",","&amp;SUBSTITUTE(input_location," ","")&amp;",")))&gt;0)),IF(FS234="",TRUE,IF(input_location="",FALSE,SUMPRODUCT(--ISNUMBER(SEARCH(","&amp;TRIM(TEXTSPLIT(FS234,","))&amp;",",","&amp;SUBSTITUTE(input_location," ","")&amp;",")))=COUNTA(TEXTSPLIT(FS234,",")))),IF(FU234="",TRUE,IF(input_location="",TRUE,SUMPRODUCT(--ISNUMBER(SEARCH(","&amp;TRIM(TEXTSPLIT(FU234,","))&amp;",",","&amp;SUBSTITUTE(input_location," ","")&amp;",")))=0)),IF(FW234="",TRUE,IF(input_location="",FALSE,SUMPRODUCT(--ISNUMBER(SEARCH(","&amp;TRIM(TEXTSPLIT(FW234,","))&amp;",",","&amp;SUBSTITUTE(input_location," ","")&amp;",")))&gt;0)),IF(FY234="",TRUE,IF(input_location="",FALSE,SUMPRODUCT(--ISNUMBER(SEARCH(","&amp;TRIM(TEXTSPLIT(FY234,","))&amp;",",","&amp;SUBSTITUTE(input_location," ","")&amp;",")))=COUNTA(TEXTSPLIT(FY234,",")))))</f>
        <v/>
      </c>
      <c r="JK234" s="19">
        <f>AND(IF(GA234="",TRUE,IF(input_modality="",FALSE,SUMPRODUCT(--ISNUMBER(SEARCH(","&amp;TRIM(TEXTSPLIT(GA234,","))&amp;",",","&amp;SUBSTITUTE(input_modality," ","")&amp;",")))&gt;0)),IF(GC234="",TRUE,IF(input_modality="",FALSE,SUMPRODUCT(--ISNUMBER(SEARCH(","&amp;TRIM(TEXTSPLIT(GC234,","))&amp;",",","&amp;SUBSTITUTE(input_modality," ","")&amp;",")))=COUNTA(TEXTSPLIT(GC234,",")))),IF(GE234="",TRUE,IF(input_modality="",TRUE,SUMPRODUCT(--ISNUMBER(SEARCH(","&amp;TRIM(TEXTSPLIT(GE234,","))&amp;",",","&amp;SUBSTITUTE(input_modality," ","")&amp;",")))=0)),IF(GG234="",TRUE,IF(input_modality="",FALSE,SUMPRODUCT(--ISNUMBER(SEARCH(","&amp;TRIM(TEXTSPLIT(GG234,","))&amp;",",","&amp;SUBSTITUTE(input_modality," ","")&amp;",")))&gt;0)),IF(GI234="",TRUE,IF(input_modality="",FALSE,SUMPRODUCT(--ISNUMBER(SEARCH(","&amp;TRIM(TEXTSPLIT(GI234,","))&amp;",",","&amp;SUBSTITUTE(input_modality," ","")&amp;",")))=COUNTA(TEXTSPLIT(GI234,",")))))</f>
        <v/>
      </c>
      <c r="JL234" s="19">
        <f>AND(IF(GK234="",TRUE,IF(input_organizer="",FALSE,SUMPRODUCT(--ISNUMBER(SEARCH(","&amp;TRIM(TEXTSPLIT(GK234,","))&amp;",",","&amp;SUBSTITUTE(input_organizer," ","")&amp;",")))&gt;0)),IF(GM234="",TRUE,IF(input_organizer="",FALSE,SUMPRODUCT(--ISNUMBER(SEARCH(","&amp;TRIM(TEXTSPLIT(GM234,","))&amp;",",","&amp;SUBSTITUTE(input_organizer," ","")&amp;",")))=COUNTA(TEXTSPLIT(GM234,",")))),IF(GO234="",TRUE,IF(input_organizer="",TRUE,SUMPRODUCT(--ISNUMBER(SEARCH(","&amp;TRIM(TEXTSPLIT(GO234,","))&amp;",",","&amp;SUBSTITUTE(input_organizer," ","")&amp;",")))=0)),IF(GQ234="",TRUE,IF(input_organizer="",FALSE,SUMPRODUCT(--ISNUMBER(SEARCH(","&amp;TRIM(TEXTSPLIT(GQ234,","))&amp;",",","&amp;SUBSTITUTE(input_organizer," ","")&amp;",")))&gt;0)),IF(GS234="",TRUE,IF(input_organizer="",FALSE,SUMPRODUCT(--ISNUMBER(SEARCH(","&amp;TRIM(TEXTSPLIT(GS234,","))&amp;",",","&amp;SUBSTITUTE(input_organizer," ","")&amp;",")))=COUNTA(TEXTSPLIT(GS234,",")))))</f>
        <v/>
      </c>
      <c r="JM234" s="19">
        <f>AND(IF(GU234="",TRUE,IF(input_profile_type="",FALSE,SUMPRODUCT(--ISNUMBER(SEARCH(","&amp;TRIM(TEXTSPLIT(GU234,","))&amp;",",","&amp;SUBSTITUTE(input_profile_type," ","")&amp;",")))&gt;0)),IF(GW234="",TRUE,IF(input_profile_type="",FALSE,SUMPRODUCT(--ISNUMBER(SEARCH(","&amp;TRIM(TEXTSPLIT(GW234,","))&amp;",",","&amp;SUBSTITUTE(input_profile_type," ","")&amp;",")))=COUNTA(TEXTSPLIT(GW234,",")))),IF(GY234="",TRUE,IF(input_profile_type="",TRUE,SUMPRODUCT(--ISNUMBER(SEARCH(","&amp;TRIM(TEXTSPLIT(GY234,","))&amp;",",","&amp;SUBSTITUTE(input_profile_type," ","")&amp;",")))=0)),IF(HA234="",TRUE,IF(input_profile_type="",FALSE,SUMPRODUCT(--ISNUMBER(SEARCH(","&amp;TRIM(TEXTSPLIT(HA234,","))&amp;",",","&amp;SUBSTITUTE(input_profile_type," ","")&amp;",")))&gt;0)),IF(HC234="",TRUE,IF(input_profile_type="",FALSE,SUMPRODUCT(--ISNUMBER(SEARCH(","&amp;TRIM(TEXTSPLIT(HC234,","))&amp;",",","&amp;SUBSTITUTE(input_profile_type," ","")&amp;",")))=COUNTA(TEXTSPLIT(HC234,",")))))</f>
        <v/>
      </c>
      <c r="JN234" s="19">
        <f>AND(IF(HE234="",TRUE,IF(input_program="",FALSE,SUMPRODUCT(--ISNUMBER(SEARCH(","&amp;TRIM(TEXTSPLIT(HE234,","))&amp;",",","&amp;SUBSTITUTE(input_program," ","")&amp;",")))&gt;0)),IF(HG234="",TRUE,IF(input_program="",FALSE,SUMPRODUCT(--ISNUMBER(SEARCH(","&amp;TRIM(TEXTSPLIT(HG234,","))&amp;",",","&amp;SUBSTITUTE(input_program," ","")&amp;",")))=COUNTA(TEXTSPLIT(HG234,",")))),IF(HI234="",TRUE,IF(input_program="",TRUE,SUMPRODUCT(--ISNUMBER(SEARCH(","&amp;TRIM(TEXTSPLIT(HI234,","))&amp;",",","&amp;SUBSTITUTE(input_program," ","")&amp;",")))=0)),IF(HK234="",TRUE,IF(input_program="",FALSE,SUMPRODUCT(--ISNUMBER(SEARCH(","&amp;TRIM(TEXTSPLIT(HK234,","))&amp;",",","&amp;SUBSTITUTE(input_program," ","")&amp;",")))&gt;0)),IF(HM234="",TRUE,IF(input_program="",FALSE,SUMPRODUCT(--ISNUMBER(SEARCH(","&amp;TRIM(TEXTSPLIT(HM234,","))&amp;",",","&amp;SUBSTITUTE(input_program," ","")&amp;",")))=COUNTA(TEXTSPLIT(HM234,",")))))</f>
        <v/>
      </c>
      <c r="JO234" s="19">
        <f>AND(IF(HO234="",TRUE,IF(input_story_categories="",FALSE,SUMPRODUCT(--ISNUMBER(SEARCH(","&amp;TRIM(TEXTSPLIT(HO234,","))&amp;",",","&amp;SUBSTITUTE(input_story_categories," ","")&amp;",")))&gt;0)),IF(HQ234="",TRUE,IF(input_story_categories="",FALSE,SUMPRODUCT(--ISNUMBER(SEARCH(","&amp;TRIM(TEXTSPLIT(HQ234,","))&amp;",",","&amp;SUBSTITUTE(input_story_categories," ","")&amp;",")))=COUNTA(TEXTSPLIT(HQ234,",")))),IF(HS234="",TRUE,IF(input_story_categories="",TRUE,SUMPRODUCT(--ISNUMBER(SEARCH(","&amp;TRIM(TEXTSPLIT(HS234,","))&amp;",",","&amp;SUBSTITUTE(input_story_categories," ","")&amp;",")))=0)),IF(HU234="",TRUE,IF(input_story_categories="",FALSE,SUMPRODUCT(--ISNUMBER(SEARCH(","&amp;TRIM(TEXTSPLIT(HU234,","))&amp;",",","&amp;SUBSTITUTE(input_story_categories," ","")&amp;",")))&gt;0)),IF(HW234="",TRUE,IF(input_story_categories="",FALSE,SUMPRODUCT(--ISNUMBER(SEARCH(","&amp;TRIM(TEXTSPLIT(HW234,","))&amp;",",","&amp;SUBSTITUTE(input_story_categories," ","")&amp;",")))=COUNTA(TEXTSPLIT(HW234,",")))))</f>
        <v/>
      </c>
      <c r="JP234" s="19">
        <f>AND(IF(HY234="",TRUE,IF(input_story_type="",FALSE,SUMPRODUCT(--ISNUMBER(SEARCH(","&amp;TRIM(TEXTSPLIT(HY234,","))&amp;",",","&amp;SUBSTITUTE(input_story_type," ","")&amp;",")))&gt;0)),IF(IA234="",TRUE,IF(input_story_type="",FALSE,SUMPRODUCT(--ISNUMBER(SEARCH(","&amp;TRIM(TEXTSPLIT(IA234,","))&amp;",",","&amp;SUBSTITUTE(input_story_type," ","")&amp;",")))=COUNTA(TEXTSPLIT(IA234,",")))),IF(IC234="",TRUE,IF(input_story_type="",TRUE,SUMPRODUCT(--ISNUMBER(SEARCH(","&amp;TRIM(TEXTSPLIT(IC234,","))&amp;",",","&amp;SUBSTITUTE(input_story_type," ","")&amp;",")))=0)),IF(IE234="",TRUE,IF(input_story_type="",FALSE,SUMPRODUCT(--ISNUMBER(SEARCH(","&amp;TRIM(TEXTSPLIT(IE234,","))&amp;",",","&amp;SUBSTITUTE(input_story_type," ","")&amp;",")))&gt;0)),IF(IG234="",TRUE,IF(input_story_type="",FALSE,SUMPRODUCT(--ISNUMBER(SEARCH(","&amp;TRIM(TEXTSPLIT(IG234,","))&amp;",",","&amp;SUBSTITUTE(input_story_type," ","")&amp;",")))=COUNTA(TEXTSPLIT(IG234,",")))))</f>
        <v/>
      </c>
      <c r="JQ234" s="19">
        <f>AND(IF(II234="",TRUE,IF(input_topics="",FALSE,SUMPRODUCT(--ISNUMBER(SEARCH(","&amp;TRIM(TEXTSPLIT(II234,","))&amp;",",","&amp;SUBSTITUTE(input_topics," ","")&amp;",")))&gt;0)),IF(IK234="",TRUE,IF(input_topics="",FALSE,SUMPRODUCT(--ISNUMBER(SEARCH(","&amp;TRIM(TEXTSPLIT(IK234,","))&amp;",",","&amp;SUBSTITUTE(input_topics," ","")&amp;",")))=COUNTA(TEXTSPLIT(IK234,",")))),IF(IM234="",TRUE,IF(input_topics="",TRUE,SUMPRODUCT(--ISNUMBER(SEARCH(","&amp;TRIM(TEXTSPLIT(IM234,","))&amp;",",","&amp;SUBSTITUTE(input_topics," ","")&amp;",")))=0)),IF(IO234="",TRUE,IF(input_topics="",FALSE,SUMPRODUCT(--ISNUMBER(SEARCH(","&amp;TRIM(TEXTSPLIT(IO234,","))&amp;",",","&amp;SUBSTITUTE(input_topics," ","")&amp;",")))&gt;0)),IF(IQ234="",TRUE,IF(input_topics="",FALSE,SUMPRODUCT(--ISNUMBER(SEARCH(","&amp;TRIM(TEXTSPLIT(IQ234,","))&amp;",",","&amp;SUBSTITUTE(input_topics," ","")&amp;",")))=COUNTA(TEXTSPLIT(IQ234,",")))))</f>
        <v/>
      </c>
    </row>
  </sheetData>
  <autoFilter ref="A1:L23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57"/>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24" customWidth="1" min="3" max="3"/>
    <col width="24" customWidth="1" min="4" max="4"/>
    <col width="10" customWidth="1" min="5" max="5"/>
  </cols>
  <sheetData>
    <row r="1">
      <c r="A1" s="21" t="inlineStr">
        <is>
          <t>ID</t>
        </is>
      </c>
      <c r="B1" s="21" t="inlineStr">
        <is>
          <t>Term</t>
        </is>
      </c>
      <c r="C1" s="21" t="inlineStr">
        <is>
          <t>Vocabulary</t>
        </is>
      </c>
      <c r="D1" s="21" t="inlineStr">
        <is>
          <t>Vocabulary label</t>
        </is>
      </c>
      <c r="E1" s="21" t="inlineStr">
        <is>
          <t>Parent ID</t>
        </is>
      </c>
    </row>
    <row r="2">
      <c r="A2" s="24" t="inlineStr">
        <is>
          <t>1046</t>
        </is>
      </c>
      <c r="B2" s="24" t="inlineStr">
        <is>
          <t>Adam Smith Society</t>
        </is>
      </c>
      <c r="C2" s="24" t="inlineStr">
        <is>
          <t>affiliations</t>
        </is>
      </c>
      <c r="D2" s="24" t="inlineStr">
        <is>
          <t>Affiliations</t>
        </is>
      </c>
      <c r="E2" s="24" t="n"/>
    </row>
    <row r="3">
      <c r="A3" s="24" t="inlineStr">
        <is>
          <t>297</t>
        </is>
      </c>
      <c r="B3" s="24" t="inlineStr">
        <is>
          <t>Admissions Ambassadors</t>
        </is>
      </c>
      <c r="C3" s="24" t="inlineStr">
        <is>
          <t>affiliations</t>
        </is>
      </c>
      <c r="D3" s="24" t="inlineStr">
        <is>
          <t>Affiliations</t>
        </is>
      </c>
      <c r="E3" s="24" t="n"/>
    </row>
    <row r="4">
      <c r="A4" s="24" t="inlineStr">
        <is>
          <t>1048</t>
        </is>
      </c>
      <c r="B4" s="24" t="inlineStr">
        <is>
          <t>Africa Business and Society Club</t>
        </is>
      </c>
      <c r="C4" s="24" t="inlineStr">
        <is>
          <t>affiliations</t>
        </is>
      </c>
      <c r="D4" s="24" t="inlineStr">
        <is>
          <t>Affiliations</t>
        </is>
      </c>
      <c r="E4" s="24" t="n"/>
    </row>
    <row r="5">
      <c r="A5" s="24" t="inlineStr">
        <is>
          <t>1178</t>
        </is>
      </c>
      <c r="B5" s="24" t="inlineStr">
        <is>
          <t>American-Latine Business Association (ALBA) Group</t>
        </is>
      </c>
      <c r="C5" s="24" t="inlineStr">
        <is>
          <t>affiliations</t>
        </is>
      </c>
      <c r="D5" s="24" t="inlineStr">
        <is>
          <t>Affiliations</t>
        </is>
      </c>
      <c r="E5" s="24" t="n"/>
    </row>
    <row r="6">
      <c r="A6" s="24" t="inlineStr">
        <is>
          <t>1049</t>
        </is>
      </c>
      <c r="B6" s="24" t="inlineStr">
        <is>
          <t>Arts and Culture Club</t>
        </is>
      </c>
      <c r="C6" s="24" t="inlineStr">
        <is>
          <t>affiliations</t>
        </is>
      </c>
      <c r="D6" s="24" t="inlineStr">
        <is>
          <t>Affiliations</t>
        </is>
      </c>
      <c r="E6" s="24" t="n"/>
    </row>
    <row r="7">
      <c r="A7" s="24" t="inlineStr">
        <is>
          <t>1050</t>
        </is>
      </c>
      <c r="B7" s="24" t="inlineStr">
        <is>
          <t>Asian American and Pacific Islander Association</t>
        </is>
      </c>
      <c r="C7" s="24" t="inlineStr">
        <is>
          <t>affiliations</t>
        </is>
      </c>
      <c r="D7" s="24" t="inlineStr">
        <is>
          <t>Affiliations</t>
        </is>
      </c>
      <c r="E7" s="24" t="n"/>
    </row>
    <row r="8">
      <c r="A8" s="24" t="inlineStr">
        <is>
          <t>1051</t>
        </is>
      </c>
      <c r="B8" s="24" t="inlineStr">
        <is>
          <t>Association of Hispanic and Latin American Students</t>
        </is>
      </c>
      <c r="C8" s="24" t="inlineStr">
        <is>
          <t>affiliations</t>
        </is>
      </c>
      <c r="D8" s="24" t="inlineStr">
        <is>
          <t>Affiliations</t>
        </is>
      </c>
      <c r="E8" s="24" t="n"/>
    </row>
    <row r="9">
      <c r="A9" s="24" t="inlineStr">
        <is>
          <t>1052</t>
        </is>
      </c>
      <c r="B9" s="24" t="inlineStr">
        <is>
          <t>Black Business Alliance</t>
        </is>
      </c>
      <c r="C9" s="24" t="inlineStr">
        <is>
          <t>affiliations</t>
        </is>
      </c>
      <c r="D9" s="24" t="inlineStr">
        <is>
          <t>Affiliations</t>
        </is>
      </c>
      <c r="E9" s="24" t="n"/>
    </row>
    <row r="10">
      <c r="A10" s="24" t="inlineStr">
        <is>
          <t>1053</t>
        </is>
      </c>
      <c r="B10" s="24" t="inlineStr">
        <is>
          <t>Business and Politics</t>
        </is>
      </c>
      <c r="C10" s="24" t="inlineStr">
        <is>
          <t>affiliations</t>
        </is>
      </c>
      <c r="D10" s="24" t="inlineStr">
        <is>
          <t>Affiliations</t>
        </is>
      </c>
      <c r="E10" s="24" t="n"/>
    </row>
    <row r="11">
      <c r="A11" s="24" t="inlineStr">
        <is>
          <t>1054</t>
        </is>
      </c>
      <c r="B11" s="24" t="inlineStr">
        <is>
          <t>Business and the Environment Club</t>
        </is>
      </c>
      <c r="C11" s="24" t="inlineStr">
        <is>
          <t>affiliations</t>
        </is>
      </c>
      <c r="D11" s="24" t="inlineStr">
        <is>
          <t>Affiliations</t>
        </is>
      </c>
      <c r="E11" s="24" t="n"/>
    </row>
    <row r="12">
      <c r="A12" s="24" t="inlineStr">
        <is>
          <t>1155</t>
        </is>
      </c>
      <c r="B12" s="24" t="inlineStr">
        <is>
          <t>Business Students for Racial Equity</t>
        </is>
      </c>
      <c r="C12" s="24" t="inlineStr">
        <is>
          <t>affiliations</t>
        </is>
      </c>
      <c r="D12" s="24" t="inlineStr">
        <is>
          <t>Affiliations</t>
        </is>
      </c>
      <c r="E12" s="24" t="n"/>
    </row>
    <row r="13">
      <c r="A13" s="24" t="inlineStr">
        <is>
          <t>1055</t>
        </is>
      </c>
      <c r="B13" s="24" t="inlineStr">
        <is>
          <t>Case Competition</t>
        </is>
      </c>
      <c r="C13" s="24" t="inlineStr">
        <is>
          <t>affiliations</t>
        </is>
      </c>
      <c r="D13" s="24" t="inlineStr">
        <is>
          <t>Affiliations</t>
        </is>
      </c>
      <c r="E13" s="24" t="n"/>
    </row>
    <row r="14">
      <c r="A14" s="24" t="inlineStr">
        <is>
          <t>1056</t>
        </is>
      </c>
      <c r="B14" s="24" t="inlineStr">
        <is>
          <t>Christian Fellowship</t>
        </is>
      </c>
      <c r="C14" s="24" t="inlineStr">
        <is>
          <t>affiliations</t>
        </is>
      </c>
      <c r="D14" s="24" t="inlineStr">
        <is>
          <t>Affiliations</t>
        </is>
      </c>
      <c r="E14" s="24" t="n"/>
    </row>
    <row r="15">
      <c r="A15" s="24" t="inlineStr">
        <is>
          <t>1057</t>
        </is>
      </c>
      <c r="B15" s="24" t="inlineStr">
        <is>
          <t>Consortium for Graduate Study in Management (CGSM)</t>
        </is>
      </c>
      <c r="C15" s="24" t="inlineStr">
        <is>
          <t>affiliations</t>
        </is>
      </c>
      <c r="D15" s="24" t="inlineStr">
        <is>
          <t>Affiliations</t>
        </is>
      </c>
      <c r="E15" s="24" t="n"/>
    </row>
    <row r="16">
      <c r="A16" s="24" t="inlineStr">
        <is>
          <t>1058</t>
        </is>
      </c>
      <c r="B16" s="24" t="inlineStr">
        <is>
          <t>Consulting Club</t>
        </is>
      </c>
      <c r="C16" s="24" t="inlineStr">
        <is>
          <t>affiliations</t>
        </is>
      </c>
      <c r="D16" s="24" t="inlineStr">
        <is>
          <t>Affiliations</t>
        </is>
      </c>
      <c r="E16" s="24" t="n"/>
    </row>
    <row r="17">
      <c r="A17" s="24" t="inlineStr">
        <is>
          <t>1059</t>
        </is>
      </c>
      <c r="B17" s="24" t="inlineStr">
        <is>
          <t>Design &amp; Innovation Club</t>
        </is>
      </c>
      <c r="C17" s="24" t="inlineStr">
        <is>
          <t>affiliations</t>
        </is>
      </c>
      <c r="D17" s="24" t="inlineStr">
        <is>
          <t>Affiliations</t>
        </is>
      </c>
      <c r="E17" s="24" t="n"/>
    </row>
    <row r="18">
      <c r="A18" s="24" t="inlineStr">
        <is>
          <t>1060</t>
        </is>
      </c>
      <c r="B18" s="24" t="inlineStr">
        <is>
          <t>Education Club</t>
        </is>
      </c>
      <c r="C18" s="24" t="inlineStr">
        <is>
          <t>affiliations</t>
        </is>
      </c>
      <c r="D18" s="24" t="inlineStr">
        <is>
          <t>Affiliations</t>
        </is>
      </c>
      <c r="E18" s="24" t="n"/>
    </row>
    <row r="19">
      <c r="A19" s="24" t="inlineStr">
        <is>
          <t>1061</t>
        </is>
      </c>
      <c r="B19" s="24" t="inlineStr">
        <is>
          <t>Energy Club</t>
        </is>
      </c>
      <c r="C19" s="24" t="inlineStr">
        <is>
          <t>affiliations</t>
        </is>
      </c>
      <c r="D19" s="24" t="inlineStr">
        <is>
          <t>Affiliations</t>
        </is>
      </c>
      <c r="E19" s="24" t="n"/>
    </row>
    <row r="20">
      <c r="A20" s="24" t="inlineStr">
        <is>
          <t>1062</t>
        </is>
      </c>
      <c r="B20" s="24" t="inlineStr">
        <is>
          <t>Entrepreneurship</t>
        </is>
      </c>
      <c r="C20" s="24" t="inlineStr">
        <is>
          <t>affiliations</t>
        </is>
      </c>
      <c r="D20" s="24" t="inlineStr">
        <is>
          <t>Affiliations</t>
        </is>
      </c>
      <c r="E20" s="24" t="n"/>
    </row>
    <row r="21">
      <c r="A21" s="24" t="inlineStr">
        <is>
          <t>311</t>
        </is>
      </c>
      <c r="B21" s="24" t="inlineStr">
        <is>
          <t>Euro</t>
        </is>
      </c>
      <c r="C21" s="24" t="inlineStr">
        <is>
          <t>affiliations</t>
        </is>
      </c>
      <c r="D21" s="24" t="inlineStr">
        <is>
          <t>Affiliations</t>
        </is>
      </c>
      <c r="E21" s="24" t="n"/>
    </row>
    <row r="22">
      <c r="A22" s="24" t="inlineStr">
        <is>
          <t>1063</t>
        </is>
      </c>
      <c r="B22" s="24" t="inlineStr">
        <is>
          <t>EuroSOM</t>
        </is>
      </c>
      <c r="C22" s="24" t="inlineStr">
        <is>
          <t>affiliations</t>
        </is>
      </c>
      <c r="D22" s="24" t="inlineStr">
        <is>
          <t>Affiliations</t>
        </is>
      </c>
      <c r="E22" s="24" t="n"/>
    </row>
    <row r="23">
      <c r="A23" s="24" t="inlineStr">
        <is>
          <t>1184</t>
        </is>
      </c>
      <c r="B23" s="24" t="inlineStr">
        <is>
          <t>Fellowship</t>
        </is>
      </c>
      <c r="C23" s="24" t="inlineStr">
        <is>
          <t>affiliations</t>
        </is>
      </c>
      <c r="D23" s="24" t="inlineStr">
        <is>
          <t>Affiliations</t>
        </is>
      </c>
      <c r="E23" s="24" t="n"/>
    </row>
    <row r="24">
      <c r="A24" s="24" t="inlineStr">
        <is>
          <t>1064</t>
        </is>
      </c>
      <c r="B24" s="24" t="inlineStr">
        <is>
          <t>Finance Club</t>
        </is>
      </c>
      <c r="C24" s="24" t="inlineStr">
        <is>
          <t>affiliations</t>
        </is>
      </c>
      <c r="D24" s="24" t="inlineStr">
        <is>
          <t>Affiliations</t>
        </is>
      </c>
      <c r="E24" s="24" t="n"/>
    </row>
    <row r="25">
      <c r="A25" s="24" t="inlineStr">
        <is>
          <t>1186</t>
        </is>
      </c>
      <c r="B25" s="24" t="inlineStr">
        <is>
          <t>First-Generation</t>
        </is>
      </c>
      <c r="C25" s="24" t="inlineStr">
        <is>
          <t>affiliations</t>
        </is>
      </c>
      <c r="D25" s="24" t="inlineStr">
        <is>
          <t>Affiliations</t>
        </is>
      </c>
      <c r="E25" s="24" t="n"/>
    </row>
    <row r="26">
      <c r="A26" s="24" t="inlineStr">
        <is>
          <t>1065</t>
        </is>
      </c>
      <c r="B26" s="24" t="inlineStr">
        <is>
          <t>Food and Agriculture</t>
        </is>
      </c>
      <c r="C26" s="24" t="inlineStr">
        <is>
          <t>affiliations</t>
        </is>
      </c>
      <c r="D26" s="24" t="inlineStr">
        <is>
          <t>Affiliations</t>
        </is>
      </c>
      <c r="E26" s="24" t="n"/>
    </row>
    <row r="27">
      <c r="A27" s="24" t="inlineStr">
        <is>
          <t>1066</t>
        </is>
      </c>
      <c r="B27" s="24" t="inlineStr">
        <is>
          <t>Food and Wine Club</t>
        </is>
      </c>
      <c r="C27" s="24" t="inlineStr">
        <is>
          <t>affiliations</t>
        </is>
      </c>
      <c r="D27" s="24" t="inlineStr">
        <is>
          <t>Affiliations</t>
        </is>
      </c>
      <c r="E27" s="24" t="n"/>
    </row>
    <row r="28">
      <c r="A28" s="24" t="inlineStr">
        <is>
          <t>1067</t>
        </is>
      </c>
      <c r="B28" s="24" t="inlineStr">
        <is>
          <t>Forté</t>
        </is>
      </c>
      <c r="C28" s="24" t="inlineStr">
        <is>
          <t>affiliations</t>
        </is>
      </c>
      <c r="D28" s="24" t="inlineStr">
        <is>
          <t>Affiliations</t>
        </is>
      </c>
      <c r="E28" s="24" t="n"/>
    </row>
    <row r="29">
      <c r="A29" s="24" t="inlineStr">
        <is>
          <t>260</t>
        </is>
      </c>
      <c r="B29" s="24" t="inlineStr">
        <is>
          <t>GBS Admissions Ambassadors</t>
        </is>
      </c>
      <c r="C29" s="24" t="inlineStr">
        <is>
          <t>affiliations</t>
        </is>
      </c>
      <c r="D29" s="24" t="inlineStr">
        <is>
          <t>Affiliations</t>
        </is>
      </c>
      <c r="E29" s="24" t="n"/>
    </row>
    <row r="30">
      <c r="A30" s="24" t="inlineStr">
        <is>
          <t>1068</t>
        </is>
      </c>
      <c r="B30" s="24" t="inlineStr">
        <is>
          <t>General Management and Operations</t>
        </is>
      </c>
      <c r="C30" s="24" t="inlineStr">
        <is>
          <t>affiliations</t>
        </is>
      </c>
      <c r="D30" s="24" t="inlineStr">
        <is>
          <t>Affiliations</t>
        </is>
      </c>
      <c r="E30" s="24" t="n"/>
    </row>
    <row r="31">
      <c r="A31" s="24" t="inlineStr">
        <is>
          <t>1071</t>
        </is>
      </c>
      <c r="B31" s="24" t="inlineStr">
        <is>
          <t>Greater China Club</t>
        </is>
      </c>
      <c r="C31" s="24" t="inlineStr">
        <is>
          <t>affiliations</t>
        </is>
      </c>
      <c r="D31" s="24" t="inlineStr">
        <is>
          <t>Affiliations</t>
        </is>
      </c>
      <c r="E31" s="24" t="n"/>
    </row>
    <row r="32">
      <c r="A32" s="24" t="inlineStr">
        <is>
          <t>1072</t>
        </is>
      </c>
      <c r="B32" s="24" t="inlineStr">
        <is>
          <t>Healthcare and Life Sciences Club</t>
        </is>
      </c>
      <c r="C32" s="24" t="inlineStr">
        <is>
          <t>affiliations</t>
        </is>
      </c>
      <c r="D32" s="24" t="inlineStr">
        <is>
          <t>Affiliations</t>
        </is>
      </c>
      <c r="E32" s="24" t="n"/>
    </row>
    <row r="33">
      <c r="A33" s="24" t="inlineStr">
        <is>
          <t>1073</t>
        </is>
      </c>
      <c r="B33" s="24" t="inlineStr">
        <is>
          <t>Hockey Cub</t>
        </is>
      </c>
      <c r="C33" s="24" t="inlineStr">
        <is>
          <t>affiliations</t>
        </is>
      </c>
      <c r="D33" s="24" t="inlineStr">
        <is>
          <t>Affiliations</t>
        </is>
      </c>
      <c r="E33" s="24" t="n"/>
    </row>
    <row r="34">
      <c r="A34" s="24" t="inlineStr">
        <is>
          <t>1074</t>
        </is>
      </c>
      <c r="B34" s="24" t="inlineStr">
        <is>
          <t>Investment Management Club</t>
        </is>
      </c>
      <c r="C34" s="24" t="inlineStr">
        <is>
          <t>affiliations</t>
        </is>
      </c>
      <c r="D34" s="24" t="inlineStr">
        <is>
          <t>Affiliations</t>
        </is>
      </c>
      <c r="E34" s="24" t="n"/>
    </row>
    <row r="35">
      <c r="A35" s="24" t="inlineStr">
        <is>
          <t>1075</t>
        </is>
      </c>
      <c r="B35" s="24" t="inlineStr">
        <is>
          <t>Japan Club</t>
        </is>
      </c>
      <c r="C35" s="24" t="inlineStr">
        <is>
          <t>affiliations</t>
        </is>
      </c>
      <c r="D35" s="24" t="inlineStr">
        <is>
          <t>Affiliations</t>
        </is>
      </c>
      <c r="E35" s="24" t="n"/>
    </row>
    <row r="36">
      <c r="A36" s="24" t="inlineStr">
        <is>
          <t>1076</t>
        </is>
      </c>
      <c r="B36" s="24" t="inlineStr">
        <is>
          <t>Jewish Students Association</t>
        </is>
      </c>
      <c r="C36" s="24" t="inlineStr">
        <is>
          <t>affiliations</t>
        </is>
      </c>
      <c r="D36" s="24" t="inlineStr">
        <is>
          <t>Affiliations</t>
        </is>
      </c>
      <c r="E36" s="24" t="n"/>
    </row>
    <row r="37">
      <c r="A37" s="24" t="inlineStr">
        <is>
          <t>312</t>
        </is>
      </c>
      <c r="B37" s="24" t="inlineStr">
        <is>
          <t>Joint-Degree Program</t>
        </is>
      </c>
      <c r="C37" s="24" t="inlineStr">
        <is>
          <t>affiliations</t>
        </is>
      </c>
      <c r="D37" s="24" t="inlineStr">
        <is>
          <t>Affiliations</t>
        </is>
      </c>
      <c r="E37" s="24" t="n"/>
    </row>
    <row r="38">
      <c r="A38" s="24" t="inlineStr">
        <is>
          <t>1077</t>
        </is>
      </c>
      <c r="B38" s="24" t="inlineStr">
        <is>
          <t>Korea Club</t>
        </is>
      </c>
      <c r="C38" s="24" t="inlineStr">
        <is>
          <t>affiliations</t>
        </is>
      </c>
      <c r="D38" s="24" t="inlineStr">
        <is>
          <t>Affiliations</t>
        </is>
      </c>
      <c r="E38" s="24" t="n"/>
    </row>
    <row r="39">
      <c r="A39" s="24" t="inlineStr">
        <is>
          <t>1078</t>
        </is>
      </c>
      <c r="B39" s="24" t="inlineStr">
        <is>
          <t>Korean American Business Association</t>
        </is>
      </c>
      <c r="C39" s="24" t="inlineStr">
        <is>
          <t>affiliations</t>
        </is>
      </c>
      <c r="D39" s="24" t="inlineStr">
        <is>
          <t>Affiliations</t>
        </is>
      </c>
      <c r="E39" s="24" t="n"/>
    </row>
    <row r="40">
      <c r="A40" s="24" t="inlineStr">
        <is>
          <t>1079</t>
        </is>
      </c>
      <c r="B40" s="24" t="inlineStr">
        <is>
          <t>Latin Leadership Association</t>
        </is>
      </c>
      <c r="C40" s="24" t="inlineStr">
        <is>
          <t>affiliations</t>
        </is>
      </c>
      <c r="D40" s="24" t="inlineStr">
        <is>
          <t>Affiliations</t>
        </is>
      </c>
      <c r="E40" s="24" t="n"/>
    </row>
    <row r="41">
      <c r="A41" s="24" t="inlineStr">
        <is>
          <t>257</t>
        </is>
      </c>
      <c r="B41" s="24" t="inlineStr">
        <is>
          <t>MAM Admissions Ambassador</t>
        </is>
      </c>
      <c r="C41" s="24" t="inlineStr">
        <is>
          <t>affiliations</t>
        </is>
      </c>
      <c r="D41" s="24" t="inlineStr">
        <is>
          <t>Affiliations</t>
        </is>
      </c>
      <c r="E41" s="24" t="n"/>
    </row>
    <row r="42">
      <c r="A42" s="24" t="inlineStr">
        <is>
          <t>1156</t>
        </is>
      </c>
      <c r="B42" s="24" t="inlineStr">
        <is>
          <t>Management Science Major</t>
        </is>
      </c>
      <c r="C42" s="24" t="inlineStr">
        <is>
          <t>affiliations</t>
        </is>
      </c>
      <c r="D42" s="24" t="inlineStr">
        <is>
          <t>Affiliations</t>
        </is>
      </c>
      <c r="E42" s="24" t="n"/>
    </row>
    <row r="43">
      <c r="A43" s="24" t="inlineStr">
        <is>
          <t>1080</t>
        </is>
      </c>
      <c r="B43" s="24" t="inlineStr">
        <is>
          <t>Marketing Club</t>
        </is>
      </c>
      <c r="C43" s="24" t="inlineStr">
        <is>
          <t>affiliations</t>
        </is>
      </c>
      <c r="D43" s="24" t="inlineStr">
        <is>
          <t>Affiliations</t>
        </is>
      </c>
      <c r="E43" s="24" t="n"/>
    </row>
    <row r="44">
      <c r="A44" s="24" t="inlineStr">
        <is>
          <t>1081</t>
        </is>
      </c>
      <c r="B44" s="24" t="inlineStr">
        <is>
          <t>Media and Entertainment</t>
        </is>
      </c>
      <c r="C44" s="24" t="inlineStr">
        <is>
          <t>affiliations</t>
        </is>
      </c>
      <c r="D44" s="24" t="inlineStr">
        <is>
          <t>Affiliations</t>
        </is>
      </c>
      <c r="E44" s="24" t="n"/>
    </row>
    <row r="45">
      <c r="A45" s="24" t="inlineStr">
        <is>
          <t>1083</t>
        </is>
      </c>
      <c r="B45" s="24" t="inlineStr">
        <is>
          <t>Net Impact</t>
        </is>
      </c>
      <c r="C45" s="24" t="inlineStr">
        <is>
          <t>affiliations</t>
        </is>
      </c>
      <c r="D45" s="24" t="inlineStr">
        <is>
          <t>Affiliations</t>
        </is>
      </c>
      <c r="E45" s="24" t="n"/>
    </row>
    <row r="46">
      <c r="A46" s="24" t="inlineStr">
        <is>
          <t>1084</t>
        </is>
      </c>
      <c r="B46" s="24" t="inlineStr">
        <is>
          <t>Nonprofit Board Fellows</t>
        </is>
      </c>
      <c r="C46" s="24" t="inlineStr">
        <is>
          <t>affiliations</t>
        </is>
      </c>
      <c r="D46" s="24" t="inlineStr">
        <is>
          <t>Affiliations</t>
        </is>
      </c>
      <c r="E46" s="24" t="n"/>
    </row>
    <row r="47">
      <c r="A47" s="24" t="inlineStr">
        <is>
          <t>1086</t>
        </is>
      </c>
      <c r="B47" s="24" t="inlineStr">
        <is>
          <t>Out of Office (LGBTQ+ affinity network)</t>
        </is>
      </c>
      <c r="C47" s="24" t="inlineStr">
        <is>
          <t>affiliations</t>
        </is>
      </c>
      <c r="D47" s="24" t="inlineStr">
        <is>
          <t>Affiliations</t>
        </is>
      </c>
      <c r="E47" s="24" t="n"/>
    </row>
    <row r="48">
      <c r="A48" s="24" t="inlineStr">
        <is>
          <t>1087</t>
        </is>
      </c>
      <c r="B48" s="24" t="inlineStr">
        <is>
          <t>Outreach Nonprofit Consulting</t>
        </is>
      </c>
      <c r="C48" s="24" t="inlineStr">
        <is>
          <t>affiliations</t>
        </is>
      </c>
      <c r="D48" s="24" t="inlineStr">
        <is>
          <t>Affiliations</t>
        </is>
      </c>
      <c r="E48" s="24" t="n"/>
    </row>
    <row r="49">
      <c r="A49" s="24" t="inlineStr">
        <is>
          <t>1088</t>
        </is>
      </c>
      <c r="B49" s="24" t="inlineStr">
        <is>
          <t>Partners Club</t>
        </is>
      </c>
      <c r="C49" s="24" t="inlineStr">
        <is>
          <t>affiliations</t>
        </is>
      </c>
      <c r="D49" s="24" t="inlineStr">
        <is>
          <t>Affiliations</t>
        </is>
      </c>
      <c r="E49" s="24" t="n"/>
    </row>
    <row r="50">
      <c r="A50" s="24" t="inlineStr">
        <is>
          <t>1089</t>
        </is>
      </c>
      <c r="B50" s="24" t="inlineStr">
        <is>
          <t>Private Equity &amp; Venture Capital Club</t>
        </is>
      </c>
      <c r="C50" s="24" t="inlineStr">
        <is>
          <t>affiliations</t>
        </is>
      </c>
      <c r="D50" s="24" t="inlineStr">
        <is>
          <t>Affiliations</t>
        </is>
      </c>
      <c r="E50" s="24" t="n"/>
    </row>
    <row r="51">
      <c r="A51" s="24" t="inlineStr">
        <is>
          <t>1090</t>
        </is>
      </c>
      <c r="B51" s="24" t="inlineStr">
        <is>
          <t>Public Speaking</t>
        </is>
      </c>
      <c r="C51" s="24" t="inlineStr">
        <is>
          <t>affiliations</t>
        </is>
      </c>
      <c r="D51" s="24" t="inlineStr">
        <is>
          <t>Affiliations</t>
        </is>
      </c>
      <c r="E51" s="24" t="n"/>
    </row>
    <row r="52">
      <c r="A52" s="24" t="inlineStr">
        <is>
          <t>1091</t>
        </is>
      </c>
      <c r="B52" s="24" t="inlineStr">
        <is>
          <t>Real Estate</t>
        </is>
      </c>
      <c r="C52" s="24" t="inlineStr">
        <is>
          <t>affiliations</t>
        </is>
      </c>
      <c r="D52" s="24" t="inlineStr">
        <is>
          <t>Affiliations</t>
        </is>
      </c>
      <c r="E52" s="24" t="n"/>
    </row>
    <row r="53">
      <c r="A53" s="24" t="inlineStr">
        <is>
          <t>1565</t>
        </is>
      </c>
      <c r="B53" s="24" t="inlineStr">
        <is>
          <t>Recruiting Journeys</t>
        </is>
      </c>
      <c r="C53" s="24" t="inlineStr">
        <is>
          <t>affiliations</t>
        </is>
      </c>
      <c r="D53" s="24" t="inlineStr">
        <is>
          <t>Affiliations</t>
        </is>
      </c>
      <c r="E53" s="24" t="n"/>
    </row>
    <row r="54">
      <c r="A54" s="24" t="inlineStr">
        <is>
          <t>1092</t>
        </is>
      </c>
      <c r="B54" s="24" t="inlineStr">
        <is>
          <t>Responsible Investing Group</t>
        </is>
      </c>
      <c r="C54" s="24" t="inlineStr">
        <is>
          <t>affiliations</t>
        </is>
      </c>
      <c r="D54" s="24" t="inlineStr">
        <is>
          <t>Affiliations</t>
        </is>
      </c>
      <c r="E54" s="24" t="n"/>
    </row>
    <row r="55">
      <c r="A55" s="24" t="inlineStr">
        <is>
          <t>1093</t>
        </is>
      </c>
      <c r="B55" s="24" t="inlineStr">
        <is>
          <t>Retail Club</t>
        </is>
      </c>
      <c r="C55" s="24" t="inlineStr">
        <is>
          <t>affiliations</t>
        </is>
      </c>
      <c r="D55" s="24" t="inlineStr">
        <is>
          <t>Affiliations</t>
        </is>
      </c>
      <c r="E55" s="24" t="n"/>
    </row>
    <row r="56">
      <c r="A56" s="24" t="inlineStr">
        <is>
          <t>313</t>
        </is>
      </c>
      <c r="B56" s="24" t="inlineStr">
        <is>
          <t>Silver Scholars Program</t>
        </is>
      </c>
      <c r="C56" s="24" t="inlineStr">
        <is>
          <t>affiliations</t>
        </is>
      </c>
      <c r="D56" s="24" t="inlineStr">
        <is>
          <t>Affiliations</t>
        </is>
      </c>
      <c r="E56" s="24" t="n"/>
    </row>
    <row r="57">
      <c r="A57" s="24" t="inlineStr">
        <is>
          <t>1154</t>
        </is>
      </c>
      <c r="B57" s="24" t="inlineStr">
        <is>
          <t>Social Impact Consulting Club</t>
        </is>
      </c>
      <c r="C57" s="24" t="inlineStr">
        <is>
          <t>affiliations</t>
        </is>
      </c>
      <c r="D57" s="24" t="inlineStr">
        <is>
          <t>Affiliations</t>
        </is>
      </c>
      <c r="E57" s="24" t="n"/>
    </row>
    <row r="58">
      <c r="A58" s="24" t="inlineStr">
        <is>
          <t>1097</t>
        </is>
      </c>
      <c r="B58" s="24" t="inlineStr">
        <is>
          <t>South Asia Club</t>
        </is>
      </c>
      <c r="C58" s="24" t="inlineStr">
        <is>
          <t>affiliations</t>
        </is>
      </c>
      <c r="D58" s="24" t="inlineStr">
        <is>
          <t>Affiliations</t>
        </is>
      </c>
      <c r="E58" s="24" t="n"/>
    </row>
    <row r="59">
      <c r="A59" s="24" t="inlineStr">
        <is>
          <t>1098</t>
        </is>
      </c>
      <c r="B59" s="24" t="inlineStr">
        <is>
          <t>South Asian Business Forum</t>
        </is>
      </c>
      <c r="C59" s="24" t="inlineStr">
        <is>
          <t>affiliations</t>
        </is>
      </c>
      <c r="D59" s="24" t="inlineStr">
        <is>
          <t>Affiliations</t>
        </is>
      </c>
      <c r="E59" s="24" t="n"/>
    </row>
    <row r="60">
      <c r="A60" s="24" t="inlineStr">
        <is>
          <t>1099</t>
        </is>
      </c>
      <c r="B60" s="24" t="inlineStr">
        <is>
          <t>Southeast Asia Club</t>
        </is>
      </c>
      <c r="C60" s="24" t="inlineStr">
        <is>
          <t>affiliations</t>
        </is>
      </c>
      <c r="D60" s="24" t="inlineStr">
        <is>
          <t>Affiliations</t>
        </is>
      </c>
      <c r="E60" s="24" t="n"/>
    </row>
    <row r="61">
      <c r="A61" s="24" t="inlineStr">
        <is>
          <t>1047</t>
        </is>
      </c>
      <c r="B61" s="24" t="inlineStr">
        <is>
          <t>Study in Management (CGSM)</t>
        </is>
      </c>
      <c r="C61" s="24" t="inlineStr">
        <is>
          <t>affiliations</t>
        </is>
      </c>
      <c r="D61" s="24" t="inlineStr">
        <is>
          <t>Affiliations</t>
        </is>
      </c>
      <c r="E61" s="24" t="n"/>
    </row>
    <row r="62">
      <c r="A62" s="24" t="inlineStr">
        <is>
          <t>1100</t>
        </is>
      </c>
      <c r="B62" s="24" t="inlineStr">
        <is>
          <t>Technology</t>
        </is>
      </c>
      <c r="C62" s="24" t="inlineStr">
        <is>
          <t>affiliations</t>
        </is>
      </c>
      <c r="D62" s="24" t="inlineStr">
        <is>
          <t>Affiliations</t>
        </is>
      </c>
      <c r="E62" s="24" t="n"/>
    </row>
    <row r="63">
      <c r="A63" s="24" t="inlineStr">
        <is>
          <t>1101</t>
        </is>
      </c>
      <c r="B63" s="24" t="inlineStr">
        <is>
          <t>The Consortium</t>
        </is>
      </c>
      <c r="C63" s="24" t="inlineStr">
        <is>
          <t>affiliations</t>
        </is>
      </c>
      <c r="D63" s="24" t="inlineStr">
        <is>
          <t>Affiliations</t>
        </is>
      </c>
      <c r="E63" s="24" t="n"/>
    </row>
    <row r="64">
      <c r="A64" s="24" t="inlineStr">
        <is>
          <t>1102</t>
        </is>
      </c>
      <c r="B64" s="24" t="inlineStr">
        <is>
          <t>Toigo Fellowship</t>
        </is>
      </c>
      <c r="C64" s="24" t="inlineStr">
        <is>
          <t>affiliations</t>
        </is>
      </c>
      <c r="D64" s="24" t="inlineStr">
        <is>
          <t>Affiliations</t>
        </is>
      </c>
      <c r="E64" s="24" t="inlineStr">
        <is>
          <t>1184</t>
        </is>
      </c>
    </row>
    <row r="65">
      <c r="A65" s="24" t="inlineStr">
        <is>
          <t>1103</t>
        </is>
      </c>
      <c r="B65" s="24" t="inlineStr">
        <is>
          <t>Veterans Club</t>
        </is>
      </c>
      <c r="C65" s="24" t="inlineStr">
        <is>
          <t>affiliations</t>
        </is>
      </c>
      <c r="D65" s="24" t="inlineStr">
        <is>
          <t>Affiliations</t>
        </is>
      </c>
      <c r="E65" s="24" t="n"/>
    </row>
    <row r="66">
      <c r="A66" s="24" t="inlineStr">
        <is>
          <t>1104</t>
        </is>
      </c>
      <c r="B66" s="24" t="inlineStr">
        <is>
          <t>Women In Management</t>
        </is>
      </c>
      <c r="C66" s="24" t="inlineStr">
        <is>
          <t>affiliations</t>
        </is>
      </c>
      <c r="D66" s="24" t="inlineStr">
        <is>
          <t>Affiliations</t>
        </is>
      </c>
      <c r="E66" s="24" t="n"/>
    </row>
    <row r="67">
      <c r="A67" s="24" t="inlineStr">
        <is>
          <t>1105</t>
        </is>
      </c>
      <c r="B67" s="24" t="inlineStr">
        <is>
          <t>Yale Jackson Institute for Global Affairs</t>
        </is>
      </c>
      <c r="C67" s="24" t="inlineStr">
        <is>
          <t>affiliations</t>
        </is>
      </c>
      <c r="D67" s="24" t="inlineStr">
        <is>
          <t>Affiliations</t>
        </is>
      </c>
      <c r="E67" s="24" t="n"/>
    </row>
    <row r="68">
      <c r="A68" s="24" t="inlineStr">
        <is>
          <t>1106</t>
        </is>
      </c>
      <c r="B68" s="24" t="inlineStr">
        <is>
          <t>Yale Law School</t>
        </is>
      </c>
      <c r="C68" s="24" t="inlineStr">
        <is>
          <t>affiliations</t>
        </is>
      </c>
      <c r="D68" s="24" t="inlineStr">
        <is>
          <t>Affiliations</t>
        </is>
      </c>
      <c r="E68" s="24" t="n"/>
    </row>
    <row r="69">
      <c r="A69" s="24" t="inlineStr">
        <is>
          <t>1107</t>
        </is>
      </c>
      <c r="B69" s="24" t="inlineStr">
        <is>
          <t>Yale School of Architecture</t>
        </is>
      </c>
      <c r="C69" s="24" t="inlineStr">
        <is>
          <t>affiliations</t>
        </is>
      </c>
      <c r="D69" s="24" t="inlineStr">
        <is>
          <t>Affiliations</t>
        </is>
      </c>
      <c r="E69" s="24" t="n"/>
    </row>
    <row r="70">
      <c r="A70" s="24" t="inlineStr">
        <is>
          <t>1108</t>
        </is>
      </c>
      <c r="B70" s="24" t="inlineStr">
        <is>
          <t>Yale School of Drama</t>
        </is>
      </c>
      <c r="C70" s="24" t="inlineStr">
        <is>
          <t>affiliations</t>
        </is>
      </c>
      <c r="D70" s="24" t="inlineStr">
        <is>
          <t>Affiliations</t>
        </is>
      </c>
      <c r="E70" s="24" t="n"/>
    </row>
    <row r="71">
      <c r="A71" s="24" t="inlineStr">
        <is>
          <t>1109</t>
        </is>
      </c>
      <c r="B71" s="24" t="inlineStr">
        <is>
          <t>Yale School of Forestry &amp; Environmental Studies</t>
        </is>
      </c>
      <c r="C71" s="24" t="inlineStr">
        <is>
          <t>affiliations</t>
        </is>
      </c>
      <c r="D71" s="24" t="inlineStr">
        <is>
          <t>Affiliations</t>
        </is>
      </c>
      <c r="E71" s="24" t="n"/>
    </row>
    <row r="72">
      <c r="A72" s="24" t="inlineStr">
        <is>
          <t>1110</t>
        </is>
      </c>
      <c r="B72" s="24" t="inlineStr">
        <is>
          <t>Yale School of Medicine</t>
        </is>
      </c>
      <c r="C72" s="24" t="inlineStr">
        <is>
          <t>affiliations</t>
        </is>
      </c>
      <c r="D72" s="24" t="inlineStr">
        <is>
          <t>Affiliations</t>
        </is>
      </c>
      <c r="E72" s="24" t="n"/>
    </row>
    <row r="73">
      <c r="A73" s="24" t="inlineStr">
        <is>
          <t>1111</t>
        </is>
      </c>
      <c r="B73" s="24" t="inlineStr">
        <is>
          <t>Yale School of Public Health</t>
        </is>
      </c>
      <c r="C73" s="24" t="inlineStr">
        <is>
          <t>affiliations</t>
        </is>
      </c>
      <c r="D73" s="24" t="inlineStr">
        <is>
          <t>Affiliations</t>
        </is>
      </c>
      <c r="E73" s="24" t="n"/>
    </row>
    <row r="74">
      <c r="A74" s="24" t="inlineStr">
        <is>
          <t>1555</t>
        </is>
      </c>
      <c r="B74" s="24" t="inlineStr">
        <is>
          <t>CDO Event</t>
        </is>
      </c>
      <c r="C74" s="24" t="inlineStr">
        <is>
          <t>announcement_category</t>
        </is>
      </c>
      <c r="D74" s="24" t="inlineStr">
        <is>
          <t>Announcement category</t>
        </is>
      </c>
      <c r="E74" s="24" t="n"/>
    </row>
    <row r="75">
      <c r="A75" s="24" t="inlineStr">
        <is>
          <t>1501</t>
        </is>
      </c>
      <c r="B75" s="24" t="inlineStr">
        <is>
          <t>Club Event</t>
        </is>
      </c>
      <c r="C75" s="24" t="inlineStr">
        <is>
          <t>announcement_category</t>
        </is>
      </c>
      <c r="D75" s="24" t="inlineStr">
        <is>
          <t>Announcement category</t>
        </is>
      </c>
      <c r="E75" s="24" t="n"/>
    </row>
    <row r="76">
      <c r="A76" s="24" t="inlineStr">
        <is>
          <t>1507</t>
        </is>
      </c>
      <c r="B76" s="24" t="inlineStr">
        <is>
          <t>Club Meeting</t>
        </is>
      </c>
      <c r="C76" s="24" t="inlineStr">
        <is>
          <t>announcement_category</t>
        </is>
      </c>
      <c r="D76" s="24" t="inlineStr">
        <is>
          <t>Announcement category</t>
        </is>
      </c>
      <c r="E76" s="24" t="n"/>
    </row>
    <row r="77">
      <c r="A77" s="24" t="inlineStr">
        <is>
          <t>1568</t>
        </is>
      </c>
      <c r="B77" s="24" t="inlineStr">
        <is>
          <t>Conference</t>
        </is>
      </c>
      <c r="C77" s="24" t="inlineStr">
        <is>
          <t>announcement_category</t>
        </is>
      </c>
      <c r="D77" s="24" t="inlineStr">
        <is>
          <t>Announcement category</t>
        </is>
      </c>
      <c r="E77" s="24" t="n"/>
    </row>
    <row r="78">
      <c r="A78" s="24" t="inlineStr">
        <is>
          <t>1545</t>
        </is>
      </c>
      <c r="B78" s="24" t="inlineStr">
        <is>
          <t>Dean's Office Event</t>
        </is>
      </c>
      <c r="C78" s="24" t="inlineStr">
        <is>
          <t>announcement_category</t>
        </is>
      </c>
      <c r="D78" s="24" t="inlineStr">
        <is>
          <t>Announcement category</t>
        </is>
      </c>
      <c r="E78" s="24" t="n"/>
    </row>
    <row r="79">
      <c r="A79" s="24" t="inlineStr">
        <is>
          <t>1577</t>
        </is>
      </c>
      <c r="B79" s="24" t="inlineStr">
        <is>
          <t>Office Hours</t>
        </is>
      </c>
      <c r="C79" s="24" t="inlineStr">
        <is>
          <t>announcement_category</t>
        </is>
      </c>
      <c r="D79" s="24" t="inlineStr">
        <is>
          <t>Announcement category</t>
        </is>
      </c>
      <c r="E79" s="24" t="n"/>
    </row>
    <row r="80">
      <c r="A80" s="24" t="inlineStr">
        <is>
          <t>1502</t>
        </is>
      </c>
      <c r="B80" s="24" t="inlineStr">
        <is>
          <t>School Event</t>
        </is>
      </c>
      <c r="C80" s="24" t="inlineStr">
        <is>
          <t>announcement_category</t>
        </is>
      </c>
      <c r="D80" s="24" t="inlineStr">
        <is>
          <t>Announcement category</t>
        </is>
      </c>
      <c r="E80" s="24" t="n"/>
    </row>
    <row r="81">
      <c r="A81" s="24" t="inlineStr">
        <is>
          <t>1503</t>
        </is>
      </c>
      <c r="B81" s="24" t="inlineStr">
        <is>
          <t>Speaker Event</t>
        </is>
      </c>
      <c r="C81" s="24" t="inlineStr">
        <is>
          <t>announcement_category</t>
        </is>
      </c>
      <c r="D81" s="24" t="inlineStr">
        <is>
          <t>Announcement category</t>
        </is>
      </c>
      <c r="E81" s="24" t="n"/>
    </row>
    <row r="82">
      <c r="A82" s="24" t="inlineStr">
        <is>
          <t>1506</t>
        </is>
      </c>
      <c r="B82" s="24" t="inlineStr">
        <is>
          <t>Student Government Event</t>
        </is>
      </c>
      <c r="C82" s="24" t="inlineStr">
        <is>
          <t>announcement_category</t>
        </is>
      </c>
      <c r="D82" s="24" t="inlineStr">
        <is>
          <t>Announcement category</t>
        </is>
      </c>
      <c r="E82" s="24" t="n"/>
    </row>
    <row r="83">
      <c r="A83" s="24" t="inlineStr">
        <is>
          <t>1504</t>
        </is>
      </c>
      <c r="B83" s="24" t="inlineStr">
        <is>
          <t>Student Life Event</t>
        </is>
      </c>
      <c r="C83" s="24" t="inlineStr">
        <is>
          <t>announcement_category</t>
        </is>
      </c>
      <c r="D83" s="24" t="inlineStr">
        <is>
          <t>Announcement category</t>
        </is>
      </c>
      <c r="E83" s="24" t="n"/>
    </row>
    <row r="84">
      <c r="A84" s="24" t="inlineStr">
        <is>
          <t>1505</t>
        </is>
      </c>
      <c r="B84" s="24" t="inlineStr">
        <is>
          <t>Study Break</t>
        </is>
      </c>
      <c r="C84" s="24" t="inlineStr">
        <is>
          <t>announcement_category</t>
        </is>
      </c>
      <c r="D84" s="24" t="inlineStr">
        <is>
          <t>Announcement category</t>
        </is>
      </c>
      <c r="E84" s="24" t="n"/>
    </row>
    <row r="85">
      <c r="A85" s="24" t="inlineStr">
        <is>
          <t>287</t>
        </is>
      </c>
      <c r="B85" s="24" t="inlineStr">
        <is>
          <t>Asset Management</t>
        </is>
      </c>
      <c r="C85" s="24" t="inlineStr">
        <is>
          <t>area_of_focus</t>
        </is>
      </c>
      <c r="D85" s="24" t="inlineStr">
        <is>
          <t>Area of Focus</t>
        </is>
      </c>
      <c r="E85" s="24" t="n"/>
    </row>
    <row r="86">
      <c r="A86" s="24" t="inlineStr">
        <is>
          <t>289</t>
        </is>
      </c>
      <c r="B86" s="24" t="inlineStr">
        <is>
          <t>Healthcare</t>
        </is>
      </c>
      <c r="C86" s="24" t="inlineStr">
        <is>
          <t>area_of_focus</t>
        </is>
      </c>
      <c r="D86" s="24" t="inlineStr">
        <is>
          <t>Area of Focus</t>
        </is>
      </c>
      <c r="E86" s="24" t="n"/>
    </row>
    <row r="87">
      <c r="A87" s="24" t="inlineStr">
        <is>
          <t>288</t>
        </is>
      </c>
      <c r="B87" s="24" t="inlineStr">
        <is>
          <t>Sustainability</t>
        </is>
      </c>
      <c r="C87" s="24" t="inlineStr">
        <is>
          <t>area_of_focus</t>
        </is>
      </c>
      <c r="D87" s="24" t="inlineStr">
        <is>
          <t>Area of Focus</t>
        </is>
      </c>
      <c r="E87" s="24" t="n"/>
    </row>
    <row r="88">
      <c r="A88" s="24" t="inlineStr">
        <is>
          <t>15</t>
        </is>
      </c>
      <c r="B88" s="24" t="inlineStr">
        <is>
          <t>Alumni</t>
        </is>
      </c>
      <c r="C88" s="24" t="inlineStr">
        <is>
          <t>audience</t>
        </is>
      </c>
      <c r="D88" s="24" t="inlineStr">
        <is>
          <t>Audience</t>
        </is>
      </c>
      <c r="E88" s="24" t="n"/>
    </row>
    <row r="89">
      <c r="A89" s="24" t="inlineStr">
        <is>
          <t>16</t>
        </is>
      </c>
      <c r="B89" s="24" t="inlineStr">
        <is>
          <t>Executive Education</t>
        </is>
      </c>
      <c r="C89" s="24" t="inlineStr">
        <is>
          <t>audience</t>
        </is>
      </c>
      <c r="D89" s="24" t="inlineStr">
        <is>
          <t>Audience</t>
        </is>
      </c>
      <c r="E89" s="24" t="n"/>
    </row>
    <row r="90">
      <c r="A90" s="24" t="inlineStr">
        <is>
          <t>17</t>
        </is>
      </c>
      <c r="B90" s="24" t="inlineStr">
        <is>
          <t>Prospective Students</t>
        </is>
      </c>
      <c r="C90" s="24" t="inlineStr">
        <is>
          <t>audience</t>
        </is>
      </c>
      <c r="D90" s="24" t="inlineStr">
        <is>
          <t>Audience</t>
        </is>
      </c>
      <c r="E90" s="24" t="n"/>
    </row>
    <row r="91">
      <c r="A91" s="24" t="inlineStr">
        <is>
          <t>14</t>
        </is>
      </c>
      <c r="B91" s="24" t="inlineStr">
        <is>
          <t>Students</t>
        </is>
      </c>
      <c r="C91" s="24" t="inlineStr">
        <is>
          <t>audience</t>
        </is>
      </c>
      <c r="D91" s="24" t="inlineStr">
        <is>
          <t>Audience</t>
        </is>
      </c>
      <c r="E91" s="24" t="n"/>
    </row>
    <row r="92">
      <c r="A92" s="24" t="inlineStr">
        <is>
          <t>315</t>
        </is>
      </c>
      <c r="B92" s="24" t="inlineStr">
        <is>
          <t>Case Study Research &amp; Development Team (CRDT)</t>
        </is>
      </c>
      <c r="C92" s="24" t="inlineStr">
        <is>
          <t>center</t>
        </is>
      </c>
      <c r="D92" s="24" t="inlineStr">
        <is>
          <t>Center</t>
        </is>
      </c>
      <c r="E92" s="24" t="n"/>
    </row>
    <row r="93">
      <c r="A93" s="24" t="inlineStr">
        <is>
          <t>107</t>
        </is>
      </c>
      <c r="B93" s="24" t="inlineStr">
        <is>
          <t>Chief Executive Leadership Institute</t>
        </is>
      </c>
      <c r="C93" s="24" t="inlineStr">
        <is>
          <t>center</t>
        </is>
      </c>
      <c r="D93" s="24" t="inlineStr">
        <is>
          <t>Center</t>
        </is>
      </c>
      <c r="E93" s="24" t="n"/>
    </row>
    <row r="94">
      <c r="A94" s="24" t="inlineStr">
        <is>
          <t>99</t>
        </is>
      </c>
      <c r="B94" s="24" t="inlineStr">
        <is>
          <t>China India Insights Program</t>
        </is>
      </c>
      <c r="C94" s="24" t="inlineStr">
        <is>
          <t>center</t>
        </is>
      </c>
      <c r="D94" s="24" t="inlineStr">
        <is>
          <t>Center</t>
        </is>
      </c>
      <c r="E94" s="24" t="n"/>
    </row>
    <row r="95">
      <c r="A95" s="24" t="inlineStr">
        <is>
          <t>83</t>
        </is>
      </c>
      <c r="B95" s="24" t="inlineStr">
        <is>
          <t>International Center for Finance</t>
        </is>
      </c>
      <c r="C95" s="24" t="inlineStr">
        <is>
          <t>center</t>
        </is>
      </c>
      <c r="D95" s="24" t="inlineStr">
        <is>
          <t>Center</t>
        </is>
      </c>
      <c r="E95" s="24" t="n"/>
    </row>
    <row r="96">
      <c r="A96" s="24" t="inlineStr">
        <is>
          <t>1176</t>
        </is>
      </c>
      <c r="B96" s="24" t="inlineStr">
        <is>
          <t>Meng Impact Investment Fund</t>
        </is>
      </c>
      <c r="C96" s="24" t="inlineStr">
        <is>
          <t>center</t>
        </is>
      </c>
      <c r="D96" s="24" t="inlineStr">
        <is>
          <t>Center</t>
        </is>
      </c>
      <c r="E96" s="24" t="n"/>
    </row>
    <row r="97">
      <c r="A97" s="24" t="inlineStr">
        <is>
          <t>1648</t>
        </is>
      </c>
      <c r="B97" s="24" t="inlineStr">
        <is>
          <t>Program for the Practice of Everyday Leadership</t>
        </is>
      </c>
      <c r="C97" s="24" t="inlineStr">
        <is>
          <t>center</t>
        </is>
      </c>
      <c r="D97" s="24" t="inlineStr">
        <is>
          <t>Center</t>
        </is>
      </c>
      <c r="E97" s="24" t="n"/>
    </row>
    <row r="98">
      <c r="A98" s="24" t="inlineStr">
        <is>
          <t>105</t>
        </is>
      </c>
      <c r="B98" s="24" t="inlineStr">
        <is>
          <t>Program on Entrepreneurship</t>
        </is>
      </c>
      <c r="C98" s="24" t="inlineStr">
        <is>
          <t>center</t>
        </is>
      </c>
      <c r="D98" s="24" t="inlineStr">
        <is>
          <t>Center</t>
        </is>
      </c>
      <c r="E98" s="24" t="n"/>
    </row>
    <row r="99">
      <c r="A99" s="24" t="inlineStr">
        <is>
          <t>106</t>
        </is>
      </c>
      <c r="B99" s="24" t="inlineStr">
        <is>
          <t>Program on Financial Stability</t>
        </is>
      </c>
      <c r="C99" s="24" t="inlineStr">
        <is>
          <t>center</t>
        </is>
      </c>
      <c r="D99" s="24" t="inlineStr">
        <is>
          <t>Center</t>
        </is>
      </c>
      <c r="E99" s="24" t="n"/>
    </row>
    <row r="100">
      <c r="A100" s="24" t="inlineStr">
        <is>
          <t>100</t>
        </is>
      </c>
      <c r="B100" s="24" t="inlineStr">
        <is>
          <t>Program on Social Enterprise, Innovation, and Impact</t>
        </is>
      </c>
      <c r="C100" s="24" t="inlineStr">
        <is>
          <t>center</t>
        </is>
      </c>
      <c r="D100" s="24" t="inlineStr">
        <is>
          <t>Center</t>
        </is>
      </c>
      <c r="E100" s="24" t="n"/>
    </row>
    <row r="101">
      <c r="A101" s="24" t="inlineStr">
        <is>
          <t>1144</t>
        </is>
      </c>
      <c r="B101" s="24" t="inlineStr">
        <is>
          <t>Program on Stakeholder Innovation &amp; Management</t>
        </is>
      </c>
      <c r="C101" s="24" t="inlineStr">
        <is>
          <t>center</t>
        </is>
      </c>
      <c r="D101" s="24" t="inlineStr">
        <is>
          <t>Center</t>
        </is>
      </c>
      <c r="E101" s="24" t="n"/>
    </row>
    <row r="102">
      <c r="A102" s="24" t="inlineStr">
        <is>
          <t>1160</t>
        </is>
      </c>
      <c r="B102" s="24" t="inlineStr">
        <is>
          <t>Program on Stakeholder Innovation and Management</t>
        </is>
      </c>
      <c r="C102" s="24" t="inlineStr">
        <is>
          <t>center</t>
        </is>
      </c>
      <c r="D102" s="24" t="inlineStr">
        <is>
          <t>Center</t>
        </is>
      </c>
      <c r="E102" s="24" t="n"/>
    </row>
    <row r="103">
      <c r="A103" s="24" t="inlineStr">
        <is>
          <t>98</t>
        </is>
      </c>
      <c r="B103" s="24" t="inlineStr">
        <is>
          <t>SOM Lab</t>
        </is>
      </c>
      <c r="C103" s="24" t="inlineStr">
        <is>
          <t>center</t>
        </is>
      </c>
      <c r="D103" s="24" t="inlineStr">
        <is>
          <t>Center</t>
        </is>
      </c>
      <c r="E103" s="24" t="n"/>
    </row>
    <row r="104">
      <c r="A104" s="24" t="inlineStr">
        <is>
          <t>1173</t>
        </is>
      </c>
      <c r="B104" s="24" t="inlineStr">
        <is>
          <t>Swensen Asset Management Institute</t>
        </is>
      </c>
      <c r="C104" s="24" t="inlineStr">
        <is>
          <t>center</t>
        </is>
      </c>
      <c r="D104" s="24" t="inlineStr">
        <is>
          <t>Center</t>
        </is>
      </c>
      <c r="E104" s="24" t="n"/>
    </row>
    <row r="105">
      <c r="A105" s="24" t="inlineStr">
        <is>
          <t>1750</t>
        </is>
      </c>
      <c r="B105" s="24" t="inlineStr">
        <is>
          <t>Swensen Asset Management Institute</t>
        </is>
      </c>
      <c r="C105" s="24" t="inlineStr">
        <is>
          <t>center</t>
        </is>
      </c>
      <c r="D105" s="24" t="inlineStr">
        <is>
          <t>Center</t>
        </is>
      </c>
      <c r="E105" s="24" t="n"/>
    </row>
    <row r="106">
      <c r="A106" s="24" t="inlineStr">
        <is>
          <t>5</t>
        </is>
      </c>
      <c r="B106" s="24" t="inlineStr">
        <is>
          <t>The Broad Center</t>
        </is>
      </c>
      <c r="C106" s="24" t="inlineStr">
        <is>
          <t>center</t>
        </is>
      </c>
      <c r="D106" s="24" t="inlineStr">
        <is>
          <t>Center</t>
        </is>
      </c>
      <c r="E106" s="24" t="n"/>
    </row>
    <row r="107">
      <c r="A107" s="24" t="inlineStr">
        <is>
          <t>96</t>
        </is>
      </c>
      <c r="B107" s="24" t="inlineStr">
        <is>
          <t>Thurman Arnold Project at Yale</t>
        </is>
      </c>
      <c r="C107" s="24" t="inlineStr">
        <is>
          <t>center</t>
        </is>
      </c>
      <c r="D107" s="24" t="inlineStr">
        <is>
          <t>Center</t>
        </is>
      </c>
      <c r="E107" s="24" t="n"/>
    </row>
    <row r="108">
      <c r="A108" s="24" t="inlineStr">
        <is>
          <t>134</t>
        </is>
      </c>
      <c r="B108" s="24" t="inlineStr">
        <is>
          <t>Yale Center for Customer Insights</t>
        </is>
      </c>
      <c r="C108" s="24" t="inlineStr">
        <is>
          <t>center</t>
        </is>
      </c>
      <c r="D108" s="24" t="inlineStr">
        <is>
          <t>Center</t>
        </is>
      </c>
      <c r="E108" s="24" t="n"/>
    </row>
    <row r="109">
      <c r="A109" s="24" t="inlineStr">
        <is>
          <t>1646</t>
        </is>
      </c>
      <c r="B109" s="24" t="inlineStr">
        <is>
          <t>Building wealth</t>
        </is>
      </c>
      <c r="C109" s="24" t="inlineStr">
        <is>
          <t>challenge_opportunities</t>
        </is>
      </c>
      <c r="D109" s="24" t="inlineStr">
        <is>
          <t>Challenge &amp; Opportunities</t>
        </is>
      </c>
      <c r="E109" s="24" t="n"/>
    </row>
    <row r="110">
      <c r="A110" s="24" t="inlineStr">
        <is>
          <t>1641</t>
        </is>
      </c>
      <c r="B110" s="24" t="inlineStr">
        <is>
          <t>Culture &amp; creativity</t>
        </is>
      </c>
      <c r="C110" s="24" t="inlineStr">
        <is>
          <t>challenge_opportunities</t>
        </is>
      </c>
      <c r="D110" s="24" t="inlineStr">
        <is>
          <t>Challenge &amp; Opportunities</t>
        </is>
      </c>
      <c r="E110" s="24" t="n"/>
    </row>
    <row r="111">
      <c r="A111" s="24" t="inlineStr">
        <is>
          <t>1637</t>
        </is>
      </c>
      <c r="B111" s="24" t="inlineStr">
        <is>
          <t>Economic opportunity</t>
        </is>
      </c>
      <c r="C111" s="24" t="inlineStr">
        <is>
          <t>challenge_opportunities</t>
        </is>
      </c>
      <c r="D111" s="24" t="inlineStr">
        <is>
          <t>Challenge &amp; Opportunities</t>
        </is>
      </c>
      <c r="E111" s="24" t="n"/>
    </row>
    <row r="112">
      <c r="A112" s="24" t="inlineStr">
        <is>
          <t>1638</t>
        </is>
      </c>
      <c r="B112" s="24" t="inlineStr">
        <is>
          <t>Education</t>
        </is>
      </c>
      <c r="C112" s="24" t="inlineStr">
        <is>
          <t>challenge_opportunities</t>
        </is>
      </c>
      <c r="D112" s="24" t="inlineStr">
        <is>
          <t>Challenge &amp; Opportunities</t>
        </is>
      </c>
      <c r="E112" s="24" t="n"/>
    </row>
    <row r="113">
      <c r="A113" s="24" t="inlineStr">
        <is>
          <t>1644</t>
        </is>
      </c>
      <c r="B113" s="24" t="inlineStr">
        <is>
          <t>Entrepreneurship</t>
        </is>
      </c>
      <c r="C113" s="24" t="inlineStr">
        <is>
          <t>challenge_opportunities</t>
        </is>
      </c>
      <c r="D113" s="24" t="inlineStr">
        <is>
          <t>Challenge &amp; Opportunities</t>
        </is>
      </c>
      <c r="E113" s="24" t="n"/>
    </row>
    <row r="114">
      <c r="A114" s="24" t="inlineStr">
        <is>
          <t>1640</t>
        </is>
      </c>
      <c r="B114" s="24" t="inlineStr">
        <is>
          <t>Improving health</t>
        </is>
      </c>
      <c r="C114" s="24" t="inlineStr">
        <is>
          <t>challenge_opportunities</t>
        </is>
      </c>
      <c r="D114" s="24" t="inlineStr">
        <is>
          <t>Challenge &amp; Opportunities</t>
        </is>
      </c>
      <c r="E114" s="24" t="n"/>
    </row>
    <row r="115">
      <c r="A115" s="24" t="inlineStr">
        <is>
          <t>1639</t>
        </is>
      </c>
      <c r="B115" s="24" t="inlineStr">
        <is>
          <t>Investing in society</t>
        </is>
      </c>
      <c r="C115" s="24" t="inlineStr">
        <is>
          <t>challenge_opportunities</t>
        </is>
      </c>
      <c r="D115" s="24" t="inlineStr">
        <is>
          <t>Challenge &amp; Opportunities</t>
        </is>
      </c>
      <c r="E115" s="24" t="n"/>
    </row>
    <row r="116">
      <c r="A116" s="24" t="inlineStr">
        <is>
          <t>1647</t>
        </is>
      </c>
      <c r="B116" s="24" t="inlineStr">
        <is>
          <t>Mission-driven leadership</t>
        </is>
      </c>
      <c r="C116" s="24" t="inlineStr">
        <is>
          <t>challenge_opportunities</t>
        </is>
      </c>
      <c r="D116" s="24" t="inlineStr">
        <is>
          <t>Challenge &amp; Opportunities</t>
        </is>
      </c>
      <c r="E116" s="24" t="n"/>
    </row>
    <row r="117">
      <c r="A117" s="24" t="inlineStr">
        <is>
          <t>1645</t>
        </is>
      </c>
      <c r="B117" s="24" t="inlineStr">
        <is>
          <t>Responsible consumption &amp; production</t>
        </is>
      </c>
      <c r="C117" s="24" t="inlineStr">
        <is>
          <t>challenge_opportunities</t>
        </is>
      </c>
      <c r="D117" s="24" t="inlineStr">
        <is>
          <t>Challenge &amp; Opportunities</t>
        </is>
      </c>
      <c r="E117" s="24" t="n"/>
    </row>
    <row r="118">
      <c r="A118" s="24" t="inlineStr">
        <is>
          <t>1642</t>
        </is>
      </c>
      <c r="B118" s="24" t="inlineStr">
        <is>
          <t>Strengthening communities</t>
        </is>
      </c>
      <c r="C118" s="24" t="inlineStr">
        <is>
          <t>challenge_opportunities</t>
        </is>
      </c>
      <c r="D118" s="24" t="inlineStr">
        <is>
          <t>Challenge &amp; Opportunities</t>
        </is>
      </c>
      <c r="E118" s="24" t="n"/>
    </row>
    <row r="119">
      <c r="A119" s="24" t="inlineStr">
        <is>
          <t>1636</t>
        </is>
      </c>
      <c r="B119" s="24" t="inlineStr">
        <is>
          <t>Sustainability</t>
        </is>
      </c>
      <c r="C119" s="24" t="inlineStr">
        <is>
          <t>challenge_opportunities</t>
        </is>
      </c>
      <c r="D119" s="24" t="inlineStr">
        <is>
          <t>Challenge &amp; Opportunities</t>
        </is>
      </c>
      <c r="E119" s="24" t="n"/>
    </row>
    <row r="120">
      <c r="A120" s="24" t="inlineStr">
        <is>
          <t>1643</t>
        </is>
      </c>
      <c r="B120" s="24" t="inlineStr">
        <is>
          <t>Technology &amp; innovation</t>
        </is>
      </c>
      <c r="C120" s="24" t="inlineStr">
        <is>
          <t>challenge_opportunities</t>
        </is>
      </c>
      <c r="D120" s="24" t="inlineStr">
        <is>
          <t>Challenge &amp; Opportunities</t>
        </is>
      </c>
      <c r="E120" s="24" t="n"/>
    </row>
    <row r="121">
      <c r="A121" s="24" t="inlineStr">
        <is>
          <t>1213</t>
        </is>
      </c>
      <c r="B121" s="24" t="inlineStr">
        <is>
          <t>Advisory Board Member Highlights</t>
        </is>
      </c>
      <c r="C121" s="24" t="inlineStr">
        <is>
          <t>context</t>
        </is>
      </c>
      <c r="D121" s="24" t="inlineStr">
        <is>
          <t>Context</t>
        </is>
      </c>
      <c r="E121" s="24" t="inlineStr">
        <is>
          <t>1497</t>
        </is>
      </c>
    </row>
    <row r="122">
      <c r="A122" s="24" t="inlineStr">
        <is>
          <t>77</t>
        </is>
      </c>
      <c r="B122" s="24" t="inlineStr">
        <is>
          <t>All SOM</t>
        </is>
      </c>
      <c r="C122" s="24" t="inlineStr">
        <is>
          <t>context</t>
        </is>
      </c>
      <c r="D122" s="24" t="inlineStr">
        <is>
          <t>Context</t>
        </is>
      </c>
      <c r="E122" s="24" t="n"/>
    </row>
    <row r="123">
      <c r="A123" s="24" t="inlineStr">
        <is>
          <t>1142</t>
        </is>
      </c>
      <c r="B123" s="24" t="inlineStr">
        <is>
          <t>Alumni</t>
        </is>
      </c>
      <c r="C123" s="24" t="inlineStr">
        <is>
          <t>context</t>
        </is>
      </c>
      <c r="D123" s="24" t="inlineStr">
        <is>
          <t>Context</t>
        </is>
      </c>
      <c r="E123" s="24" t="n"/>
    </row>
    <row r="124">
      <c r="A124" s="24" t="inlineStr">
        <is>
          <t>975</t>
        </is>
      </c>
      <c r="B124" s="24" t="inlineStr">
        <is>
          <t>Career Development Office</t>
        </is>
      </c>
      <c r="C124" s="24" t="inlineStr">
        <is>
          <t>context</t>
        </is>
      </c>
      <c r="D124" s="24" t="inlineStr">
        <is>
          <t>Context</t>
        </is>
      </c>
      <c r="E124" s="24" t="inlineStr">
        <is>
          <t>1497</t>
        </is>
      </c>
    </row>
    <row r="125">
      <c r="A125" s="24" t="inlineStr">
        <is>
          <t>110</t>
        </is>
      </c>
      <c r="B125" s="24" t="inlineStr">
        <is>
          <t>Careers</t>
        </is>
      </c>
      <c r="C125" s="24" t="inlineStr">
        <is>
          <t>context</t>
        </is>
      </c>
      <c r="D125" s="24" t="inlineStr">
        <is>
          <t>Context</t>
        </is>
      </c>
      <c r="E125" s="24" t="inlineStr">
        <is>
          <t>1497</t>
        </is>
      </c>
    </row>
    <row r="126">
      <c r="A126" s="24" t="inlineStr">
        <is>
          <t>116</t>
        </is>
      </c>
      <c r="B126" s="24" t="inlineStr">
        <is>
          <t>Case Studies</t>
        </is>
      </c>
      <c r="C126" s="24" t="inlineStr">
        <is>
          <t>context</t>
        </is>
      </c>
      <c r="D126" s="24" t="inlineStr">
        <is>
          <t>Context</t>
        </is>
      </c>
      <c r="E126" s="24" t="inlineStr">
        <is>
          <t>1497</t>
        </is>
      </c>
    </row>
    <row r="127">
      <c r="A127" s="24" t="inlineStr">
        <is>
          <t>942</t>
        </is>
      </c>
      <c r="B127" s="24" t="inlineStr">
        <is>
          <t>Case Study Research and Development</t>
        </is>
      </c>
      <c r="C127" s="24" t="inlineStr">
        <is>
          <t>context</t>
        </is>
      </c>
      <c r="D127" s="24" t="inlineStr">
        <is>
          <t>Context</t>
        </is>
      </c>
      <c r="E127" s="24" t="inlineStr">
        <is>
          <t>95</t>
        </is>
      </c>
    </row>
    <row r="128">
      <c r="A128" s="24" t="inlineStr">
        <is>
          <t>941</t>
        </is>
      </c>
      <c r="B128" s="24" t="inlineStr">
        <is>
          <t>Cases</t>
        </is>
      </c>
      <c r="C128" s="24" t="inlineStr">
        <is>
          <t>context</t>
        </is>
      </c>
      <c r="D128" s="24" t="inlineStr">
        <is>
          <t>Context</t>
        </is>
      </c>
      <c r="E128" s="24" t="inlineStr">
        <is>
          <t>1497</t>
        </is>
      </c>
    </row>
    <row r="129">
      <c r="A129" s="24" t="inlineStr">
        <is>
          <t>936</t>
        </is>
      </c>
      <c r="B129" s="24" t="inlineStr">
        <is>
          <t>Center for Business and the Environment</t>
        </is>
      </c>
      <c r="C129" s="24" t="inlineStr">
        <is>
          <t>context</t>
        </is>
      </c>
      <c r="D129" s="24" t="inlineStr">
        <is>
          <t>Context</t>
        </is>
      </c>
      <c r="E129" s="24" t="inlineStr">
        <is>
          <t>95</t>
        </is>
      </c>
    </row>
    <row r="130">
      <c r="A130" s="24" t="inlineStr">
        <is>
          <t>944</t>
        </is>
      </c>
      <c r="B130" s="24" t="inlineStr">
        <is>
          <t>Center for Customer Insights</t>
        </is>
      </c>
      <c r="C130" s="24" t="inlineStr">
        <is>
          <t>context</t>
        </is>
      </c>
      <c r="D130" s="24" t="inlineStr">
        <is>
          <t>Context</t>
        </is>
      </c>
      <c r="E130" s="24" t="inlineStr">
        <is>
          <t>95</t>
        </is>
      </c>
    </row>
    <row r="131">
      <c r="A131" s="24" t="inlineStr">
        <is>
          <t>95</t>
        </is>
      </c>
      <c r="B131" s="24" t="inlineStr">
        <is>
          <t>Centers</t>
        </is>
      </c>
      <c r="C131" s="24" t="inlineStr">
        <is>
          <t>context</t>
        </is>
      </c>
      <c r="D131" s="24" t="inlineStr">
        <is>
          <t>Context</t>
        </is>
      </c>
      <c r="E131" s="24" t="n"/>
    </row>
    <row r="132">
      <c r="A132" s="24" t="inlineStr">
        <is>
          <t>925</t>
        </is>
      </c>
      <c r="B132" s="24" t="inlineStr">
        <is>
          <t>Chief Executive Leadership Institute</t>
        </is>
      </c>
      <c r="C132" s="24" t="inlineStr">
        <is>
          <t>context</t>
        </is>
      </c>
      <c r="D132" s="24" t="inlineStr">
        <is>
          <t>Context</t>
        </is>
      </c>
      <c r="E132" s="24" t="inlineStr">
        <is>
          <t>95</t>
        </is>
      </c>
    </row>
    <row r="133">
      <c r="A133" s="24" t="inlineStr">
        <is>
          <t>988</t>
        </is>
      </c>
      <c r="B133" s="24" t="inlineStr">
        <is>
          <t>China India Insights Program</t>
        </is>
      </c>
      <c r="C133" s="24" t="inlineStr">
        <is>
          <t>context</t>
        </is>
      </c>
      <c r="D133" s="24" t="inlineStr">
        <is>
          <t>Context</t>
        </is>
      </c>
      <c r="E133" s="24" t="inlineStr">
        <is>
          <t>95</t>
        </is>
      </c>
    </row>
    <row r="134">
      <c r="A134" s="24" t="inlineStr">
        <is>
          <t>1619</t>
        </is>
      </c>
      <c r="B134" s="24" t="inlineStr">
        <is>
          <t>Clubs</t>
        </is>
      </c>
      <c r="C134" s="24" t="inlineStr">
        <is>
          <t>context</t>
        </is>
      </c>
      <c r="D134" s="24" t="inlineStr">
        <is>
          <t>Context</t>
        </is>
      </c>
      <c r="E134" s="24" t="inlineStr">
        <is>
          <t>1497</t>
        </is>
      </c>
    </row>
    <row r="135">
      <c r="A135" s="24" t="inlineStr">
        <is>
          <t>1771</t>
        </is>
      </c>
      <c r="B135" s="24" t="inlineStr">
        <is>
          <t>Crafting a Curriculum</t>
        </is>
      </c>
      <c r="C135" s="24" t="inlineStr">
        <is>
          <t>context</t>
        </is>
      </c>
      <c r="D135" s="24" t="inlineStr">
        <is>
          <t>Context</t>
        </is>
      </c>
      <c r="E135" s="24" t="n"/>
    </row>
    <row r="136">
      <c r="A136" s="24" t="inlineStr">
        <is>
          <t>1485</t>
        </is>
      </c>
      <c r="B136" s="24" t="inlineStr">
        <is>
          <t>Day in the Life</t>
        </is>
      </c>
      <c r="C136" s="24" t="inlineStr">
        <is>
          <t>context</t>
        </is>
      </c>
      <c r="D136" s="24" t="inlineStr">
        <is>
          <t>Context</t>
        </is>
      </c>
      <c r="E136" s="24" t="inlineStr">
        <is>
          <t>1497</t>
        </is>
      </c>
    </row>
    <row r="137">
      <c r="A137" s="24" t="inlineStr">
        <is>
          <t>1205</t>
        </is>
      </c>
      <c r="B137" s="24" t="inlineStr">
        <is>
          <t>Discovery Project</t>
        </is>
      </c>
      <c r="C137" s="24" t="inlineStr">
        <is>
          <t>context</t>
        </is>
      </c>
      <c r="D137" s="24" t="inlineStr">
        <is>
          <t>Context</t>
        </is>
      </c>
      <c r="E137" s="24" t="inlineStr">
        <is>
          <t>1497</t>
        </is>
      </c>
    </row>
    <row r="138">
      <c r="A138" s="24" t="inlineStr">
        <is>
          <t>962</t>
        </is>
      </c>
      <c r="B138" s="24" t="inlineStr">
        <is>
          <t>Doctoral Programs</t>
        </is>
      </c>
      <c r="C138" s="24" t="inlineStr">
        <is>
          <t>context</t>
        </is>
      </c>
      <c r="D138" s="24" t="inlineStr">
        <is>
          <t>Context</t>
        </is>
      </c>
      <c r="E138" s="24" t="inlineStr">
        <is>
          <t>94</t>
        </is>
      </c>
    </row>
    <row r="139">
      <c r="A139" s="24" t="inlineStr">
        <is>
          <t>1202</t>
        </is>
      </c>
      <c r="B139" s="24" t="inlineStr">
        <is>
          <t>EMBA GNW</t>
        </is>
      </c>
      <c r="C139" s="24" t="inlineStr">
        <is>
          <t>context</t>
        </is>
      </c>
      <c r="D139" s="24" t="inlineStr">
        <is>
          <t>Context</t>
        </is>
      </c>
      <c r="E139" s="24" t="inlineStr">
        <is>
          <t>1497</t>
        </is>
      </c>
    </row>
    <row r="140">
      <c r="A140" s="24" t="inlineStr">
        <is>
          <t>992</t>
        </is>
      </c>
      <c r="B140" s="24" t="inlineStr">
        <is>
          <t>Event</t>
        </is>
      </c>
      <c r="C140" s="24" t="inlineStr">
        <is>
          <t>context</t>
        </is>
      </c>
      <c r="D140" s="24" t="inlineStr">
        <is>
          <t>Context</t>
        </is>
      </c>
      <c r="E140" s="24" t="n"/>
    </row>
    <row r="141">
      <c r="A141" s="24" t="inlineStr">
        <is>
          <t>1772</t>
        </is>
      </c>
      <c r="B141" s="24" t="inlineStr">
        <is>
          <t>Event Dispatch</t>
        </is>
      </c>
      <c r="C141" s="24" t="inlineStr">
        <is>
          <t>context</t>
        </is>
      </c>
      <c r="D141" s="24" t="inlineStr">
        <is>
          <t>Context</t>
        </is>
      </c>
      <c r="E141" s="24" t="n"/>
    </row>
    <row r="142">
      <c r="A142" s="24" t="inlineStr">
        <is>
          <t>1182</t>
        </is>
      </c>
      <c r="B142" s="24" t="inlineStr">
        <is>
          <t>Exec Ed Participant Spotlights</t>
        </is>
      </c>
      <c r="C142" s="24" t="inlineStr">
        <is>
          <t>context</t>
        </is>
      </c>
      <c r="D142" s="24" t="inlineStr">
        <is>
          <t>Context</t>
        </is>
      </c>
      <c r="E142" s="24" t="inlineStr">
        <is>
          <t>1497</t>
        </is>
      </c>
    </row>
    <row r="143">
      <c r="A143" s="24" t="inlineStr">
        <is>
          <t>967</t>
        </is>
      </c>
      <c r="B143" s="24" t="inlineStr">
        <is>
          <t>Executive Education</t>
        </is>
      </c>
      <c r="C143" s="24" t="inlineStr">
        <is>
          <t>context</t>
        </is>
      </c>
      <c r="D143" s="24" t="inlineStr">
        <is>
          <t>Context</t>
        </is>
      </c>
      <c r="E143" s="24" t="inlineStr">
        <is>
          <t>94</t>
        </is>
      </c>
    </row>
    <row r="144">
      <c r="A144" s="24" t="inlineStr">
        <is>
          <t>1592</t>
        </is>
      </c>
      <c r="B144" s="24" t="inlineStr">
        <is>
          <t>Faculty</t>
        </is>
      </c>
      <c r="C144" s="24" t="inlineStr">
        <is>
          <t>context</t>
        </is>
      </c>
      <c r="D144" s="24" t="inlineStr">
        <is>
          <t>Context</t>
        </is>
      </c>
      <c r="E144" s="24" t="n"/>
    </row>
    <row r="145">
      <c r="A145" s="24" t="inlineStr">
        <is>
          <t>976</t>
        </is>
      </c>
      <c r="B145" s="24" t="inlineStr">
        <is>
          <t>Faculty Viewpoints</t>
        </is>
      </c>
      <c r="C145" s="24" t="inlineStr">
        <is>
          <t>context</t>
        </is>
      </c>
      <c r="D145" s="24" t="inlineStr">
        <is>
          <t>Context</t>
        </is>
      </c>
      <c r="E145" s="24" t="inlineStr">
        <is>
          <t>1497</t>
        </is>
      </c>
    </row>
    <row r="146">
      <c r="A146" s="24" t="inlineStr">
        <is>
          <t>1175</t>
        </is>
      </c>
      <c r="B146" s="24" t="inlineStr">
        <is>
          <t>Following Up</t>
        </is>
      </c>
      <c r="C146" s="24" t="inlineStr">
        <is>
          <t>context</t>
        </is>
      </c>
      <c r="D146" s="24" t="inlineStr">
        <is>
          <t>Context</t>
        </is>
      </c>
      <c r="E146" s="24" t="inlineStr">
        <is>
          <t>1497</t>
        </is>
      </c>
    </row>
    <row r="147">
      <c r="A147" s="24" t="inlineStr">
        <is>
          <t>985</t>
        </is>
      </c>
      <c r="B147" s="24" t="inlineStr">
        <is>
          <t>Future of Global Finance</t>
        </is>
      </c>
      <c r="C147" s="24" t="inlineStr">
        <is>
          <t>context</t>
        </is>
      </c>
      <c r="D147" s="24" t="inlineStr">
        <is>
          <t>Context</t>
        </is>
      </c>
      <c r="E147" s="24" t="inlineStr">
        <is>
          <t>95</t>
        </is>
      </c>
    </row>
    <row r="148">
      <c r="A148" s="24" t="inlineStr">
        <is>
          <t>987</t>
        </is>
      </c>
      <c r="B148" s="24" t="inlineStr">
        <is>
          <t>Global Pre-MBA Leadership Program</t>
        </is>
      </c>
      <c r="C148" s="24" t="inlineStr">
        <is>
          <t>context</t>
        </is>
      </c>
      <c r="D148" s="24" t="inlineStr">
        <is>
          <t>Context</t>
        </is>
      </c>
      <c r="E148" s="24" t="inlineStr">
        <is>
          <t>94</t>
        </is>
      </c>
    </row>
    <row r="149">
      <c r="A149" s="24" t="inlineStr">
        <is>
          <t>1390</t>
        </is>
      </c>
      <c r="B149" s="24" t="inlineStr">
        <is>
          <t>Headlines</t>
        </is>
      </c>
      <c r="C149" s="24" t="inlineStr">
        <is>
          <t>context</t>
        </is>
      </c>
      <c r="D149" s="24" t="inlineStr">
        <is>
          <t>Context</t>
        </is>
      </c>
      <c r="E149" s="24" t="n"/>
    </row>
    <row r="150">
      <c r="A150" s="24" t="inlineStr">
        <is>
          <t>1484</t>
        </is>
      </c>
      <c r="B150" s="24" t="inlineStr">
        <is>
          <t>Historian's Notebook</t>
        </is>
      </c>
      <c r="C150" s="24" t="inlineStr">
        <is>
          <t>context</t>
        </is>
      </c>
      <c r="D150" s="24" t="inlineStr">
        <is>
          <t>Context</t>
        </is>
      </c>
      <c r="E150" s="24" t="inlineStr">
        <is>
          <t>1497</t>
        </is>
      </c>
    </row>
    <row r="151">
      <c r="A151" s="24" t="inlineStr">
        <is>
          <t>1498</t>
        </is>
      </c>
      <c r="B151" s="24" t="inlineStr">
        <is>
          <t>Homepage Mosaic</t>
        </is>
      </c>
      <c r="C151" s="24" t="inlineStr">
        <is>
          <t>context</t>
        </is>
      </c>
      <c r="D151" s="24" t="inlineStr">
        <is>
          <t>Context</t>
        </is>
      </c>
      <c r="E151" s="24" t="inlineStr">
        <is>
          <t>1497</t>
        </is>
      </c>
    </row>
    <row r="152">
      <c r="A152" s="24" t="inlineStr">
        <is>
          <t>1518</t>
        </is>
      </c>
      <c r="B152" s="24" t="inlineStr">
        <is>
          <t>Inclusive Growth Fellowship</t>
        </is>
      </c>
      <c r="C152" s="24" t="inlineStr">
        <is>
          <t>context</t>
        </is>
      </c>
      <c r="D152" s="24" t="inlineStr">
        <is>
          <t>Context</t>
        </is>
      </c>
      <c r="E152" s="24" t="n"/>
    </row>
    <row r="153">
      <c r="A153" s="24" t="inlineStr">
        <is>
          <t>1512</t>
        </is>
      </c>
      <c r="B153" s="24" t="inlineStr">
        <is>
          <t>Initiative on Leadership and Organization</t>
        </is>
      </c>
      <c r="C153" s="24" t="inlineStr">
        <is>
          <t>context</t>
        </is>
      </c>
      <c r="D153" s="24" t="inlineStr">
        <is>
          <t>Context</t>
        </is>
      </c>
      <c r="E153" s="24" t="inlineStr">
        <is>
          <t>95</t>
        </is>
      </c>
    </row>
    <row r="154">
      <c r="A154" s="24" t="inlineStr">
        <is>
          <t>931</t>
        </is>
      </c>
      <c r="B154" s="24" t="inlineStr">
        <is>
          <t>International Center for Finance</t>
        </is>
      </c>
      <c r="C154" s="24" t="inlineStr">
        <is>
          <t>context</t>
        </is>
      </c>
      <c r="D154" s="24" t="inlineStr">
        <is>
          <t>Context</t>
        </is>
      </c>
      <c r="E154" s="24" t="inlineStr">
        <is>
          <t>95</t>
        </is>
      </c>
    </row>
    <row r="155">
      <c r="A155" s="24" t="inlineStr">
        <is>
          <t>1185</t>
        </is>
      </c>
      <c r="B155" s="24" t="inlineStr">
        <is>
          <t>Internship Spotlight</t>
        </is>
      </c>
      <c r="C155" s="24" t="inlineStr">
        <is>
          <t>context</t>
        </is>
      </c>
      <c r="D155" s="24" t="inlineStr">
        <is>
          <t>Context</t>
        </is>
      </c>
      <c r="E155" s="24" t="inlineStr">
        <is>
          <t>1497</t>
        </is>
      </c>
    </row>
    <row r="156">
      <c r="A156" s="24" t="inlineStr">
        <is>
          <t>973</t>
        </is>
      </c>
      <c r="B156" s="24" t="inlineStr">
        <is>
          <t>Joint Degrees</t>
        </is>
      </c>
      <c r="C156" s="24" t="inlineStr">
        <is>
          <t>context</t>
        </is>
      </c>
      <c r="D156" s="24" t="inlineStr">
        <is>
          <t>Context</t>
        </is>
      </c>
      <c r="E156" s="24" t="inlineStr">
        <is>
          <t>94</t>
        </is>
      </c>
    </row>
    <row r="157">
      <c r="A157" s="24" t="inlineStr">
        <is>
          <t>1593</t>
        </is>
      </c>
      <c r="B157" s="24" t="inlineStr">
        <is>
          <t>Leaders for All Sectors</t>
        </is>
      </c>
      <c r="C157" s="24" t="inlineStr">
        <is>
          <t>context</t>
        </is>
      </c>
      <c r="D157" s="24" t="inlineStr">
        <is>
          <t>Context</t>
        </is>
      </c>
      <c r="E157" s="24" t="n"/>
    </row>
    <row r="158">
      <c r="A158" s="24" t="inlineStr">
        <is>
          <t>1167</t>
        </is>
      </c>
      <c r="B158" s="24" t="inlineStr">
        <is>
          <t>Making a Difference</t>
        </is>
      </c>
      <c r="C158" s="24" t="inlineStr">
        <is>
          <t>context</t>
        </is>
      </c>
      <c r="D158" s="24" t="inlineStr">
        <is>
          <t>Context</t>
        </is>
      </c>
      <c r="E158" s="24" t="inlineStr">
        <is>
          <t>1497</t>
        </is>
      </c>
    </row>
    <row r="159">
      <c r="A159" s="24" t="inlineStr">
        <is>
          <t>932</t>
        </is>
      </c>
      <c r="B159" s="24" t="inlineStr">
        <is>
          <t>Master of Advanced Management</t>
        </is>
      </c>
      <c r="C159" s="24" t="inlineStr">
        <is>
          <t>context</t>
        </is>
      </c>
      <c r="D159" s="24" t="inlineStr">
        <is>
          <t>Context</t>
        </is>
      </c>
      <c r="E159" s="24" t="inlineStr">
        <is>
          <t>1571</t>
        </is>
      </c>
    </row>
    <row r="160">
      <c r="A160" s="24" t="inlineStr">
        <is>
          <t>930</t>
        </is>
      </c>
      <c r="B160" s="24" t="inlineStr">
        <is>
          <t>Master's Degree in Asset Management</t>
        </is>
      </c>
      <c r="C160" s="24" t="inlineStr">
        <is>
          <t>context</t>
        </is>
      </c>
      <c r="D160" s="24" t="inlineStr">
        <is>
          <t>Context</t>
        </is>
      </c>
      <c r="E160" s="24" t="inlineStr">
        <is>
          <t>1571</t>
        </is>
      </c>
    </row>
    <row r="161">
      <c r="A161" s="24" t="inlineStr">
        <is>
          <t>950</t>
        </is>
      </c>
      <c r="B161" s="24" t="inlineStr">
        <is>
          <t>Master's Degree in Global Business and Society</t>
        </is>
      </c>
      <c r="C161" s="24" t="inlineStr">
        <is>
          <t>context</t>
        </is>
      </c>
      <c r="D161" s="24" t="inlineStr">
        <is>
          <t>Context</t>
        </is>
      </c>
      <c r="E161" s="24" t="inlineStr">
        <is>
          <t>1571</t>
        </is>
      </c>
    </row>
    <row r="162">
      <c r="A162" s="24" t="inlineStr">
        <is>
          <t>1011</t>
        </is>
      </c>
      <c r="B162" s="24" t="inlineStr">
        <is>
          <t>Master's Degree in Public Education Management</t>
        </is>
      </c>
      <c r="C162" s="24" t="inlineStr">
        <is>
          <t>context</t>
        </is>
      </c>
      <c r="D162" s="24" t="inlineStr">
        <is>
          <t>Context</t>
        </is>
      </c>
      <c r="E162" s="24" t="inlineStr">
        <is>
          <t>94</t>
        </is>
      </c>
    </row>
    <row r="163">
      <c r="A163" s="24" t="inlineStr">
        <is>
          <t>949</t>
        </is>
      </c>
      <c r="B163" s="24" t="inlineStr">
        <is>
          <t>Master's Degree in Systemic Risk</t>
        </is>
      </c>
      <c r="C163" s="24" t="inlineStr">
        <is>
          <t>context</t>
        </is>
      </c>
      <c r="D163" s="24" t="inlineStr">
        <is>
          <t>Context</t>
        </is>
      </c>
      <c r="E163" s="24" t="inlineStr">
        <is>
          <t>1571</t>
        </is>
      </c>
    </row>
    <row r="164">
      <c r="A164" s="24" t="inlineStr">
        <is>
          <t>1201</t>
        </is>
      </c>
      <c r="B164" s="24" t="inlineStr">
        <is>
          <t>Master's in Technology Management</t>
        </is>
      </c>
      <c r="C164" s="24" t="inlineStr">
        <is>
          <t>context</t>
        </is>
      </c>
      <c r="D164" s="24" t="inlineStr">
        <is>
          <t>Context</t>
        </is>
      </c>
      <c r="E164" s="24" t="inlineStr">
        <is>
          <t>1571</t>
        </is>
      </c>
    </row>
    <row r="165">
      <c r="A165" s="24" t="inlineStr">
        <is>
          <t>92</t>
        </is>
      </c>
      <c r="B165" s="24" t="inlineStr">
        <is>
          <t>MBA</t>
        </is>
      </c>
      <c r="C165" s="24" t="inlineStr">
        <is>
          <t>context</t>
        </is>
      </c>
      <c r="D165" s="24" t="inlineStr">
        <is>
          <t>Context</t>
        </is>
      </c>
      <c r="E165" s="24" t="inlineStr">
        <is>
          <t>1571</t>
        </is>
      </c>
    </row>
    <row r="166">
      <c r="A166" s="24" t="inlineStr">
        <is>
          <t>928</t>
        </is>
      </c>
      <c r="B166" s="24" t="inlineStr">
        <is>
          <t>MBA For Executives</t>
        </is>
      </c>
      <c r="C166" s="24" t="inlineStr">
        <is>
          <t>context</t>
        </is>
      </c>
      <c r="D166" s="24" t="inlineStr">
        <is>
          <t>Context</t>
        </is>
      </c>
      <c r="E166" s="24" t="inlineStr">
        <is>
          <t>94</t>
        </is>
      </c>
    </row>
    <row r="167">
      <c r="A167" s="24" t="inlineStr">
        <is>
          <t>1189</t>
        </is>
      </c>
      <c r="B167" s="24" t="inlineStr">
        <is>
          <t>Media Appearance</t>
        </is>
      </c>
      <c r="C167" s="24" t="inlineStr">
        <is>
          <t>context</t>
        </is>
      </c>
      <c r="D167" s="24" t="inlineStr">
        <is>
          <t>Context</t>
        </is>
      </c>
      <c r="E167" s="24" t="inlineStr">
        <is>
          <t>1497</t>
        </is>
      </c>
    </row>
    <row r="168">
      <c r="A168" s="24" t="inlineStr">
        <is>
          <t>1177</t>
        </is>
      </c>
      <c r="B168" s="24" t="inlineStr">
        <is>
          <t>Meng Impact Investment Fund</t>
        </is>
      </c>
      <c r="C168" s="24" t="inlineStr">
        <is>
          <t>context</t>
        </is>
      </c>
      <c r="D168" s="24" t="inlineStr">
        <is>
          <t>Context</t>
        </is>
      </c>
      <c r="E168" s="24" t="inlineStr">
        <is>
          <t>95</t>
        </is>
      </c>
    </row>
    <row r="169">
      <c r="A169" s="24" t="inlineStr">
        <is>
          <t>1359</t>
        </is>
      </c>
      <c r="B169" s="24" t="inlineStr">
        <is>
          <t>Middle East</t>
        </is>
      </c>
      <c r="C169" s="24" t="inlineStr">
        <is>
          <t>context</t>
        </is>
      </c>
      <c r="D169" s="24" t="inlineStr">
        <is>
          <t>Context</t>
        </is>
      </c>
      <c r="E169" s="24" t="inlineStr">
        <is>
          <t>1497</t>
        </is>
      </c>
    </row>
    <row r="170">
      <c r="A170" s="24" t="inlineStr">
        <is>
          <t>1158</t>
        </is>
      </c>
      <c r="B170" s="24" t="inlineStr">
        <is>
          <t>MyPortal</t>
        </is>
      </c>
      <c r="C170" s="24" t="inlineStr">
        <is>
          <t>context</t>
        </is>
      </c>
      <c r="D170" s="24" t="inlineStr">
        <is>
          <t>Context</t>
        </is>
      </c>
      <c r="E170" s="24" t="n"/>
    </row>
    <row r="171">
      <c r="A171" s="24" t="inlineStr">
        <is>
          <t>1146</t>
        </is>
      </c>
      <c r="B171" s="24" t="inlineStr">
        <is>
          <t>New Haven</t>
        </is>
      </c>
      <c r="C171" s="24" t="inlineStr">
        <is>
          <t>context</t>
        </is>
      </c>
      <c r="D171" s="24" t="inlineStr">
        <is>
          <t>Context</t>
        </is>
      </c>
      <c r="E171" s="24" t="inlineStr">
        <is>
          <t>1497</t>
        </is>
      </c>
    </row>
    <row r="172">
      <c r="A172" s="24" t="inlineStr">
        <is>
          <t>1168</t>
        </is>
      </c>
      <c r="B172" s="24" t="inlineStr">
        <is>
          <t>One Minute with...</t>
        </is>
      </c>
      <c r="C172" s="24" t="inlineStr">
        <is>
          <t>context</t>
        </is>
      </c>
      <c r="D172" s="24" t="inlineStr">
        <is>
          <t>Context</t>
        </is>
      </c>
      <c r="E172" s="24" t="inlineStr">
        <is>
          <t>1497</t>
        </is>
      </c>
    </row>
    <row r="173">
      <c r="A173" s="24" t="inlineStr">
        <is>
          <t>953</t>
        </is>
      </c>
      <c r="B173" s="24" t="inlineStr">
        <is>
          <t>Orientation</t>
        </is>
      </c>
      <c r="C173" s="24" t="inlineStr">
        <is>
          <t>context</t>
        </is>
      </c>
      <c r="D173" s="24" t="inlineStr">
        <is>
          <t>Context</t>
        </is>
      </c>
      <c r="E173" s="24" t="inlineStr">
        <is>
          <t>1497</t>
        </is>
      </c>
    </row>
    <row r="174">
      <c r="A174" s="24" t="inlineStr">
        <is>
          <t>971</t>
        </is>
      </c>
      <c r="B174" s="24" t="inlineStr">
        <is>
          <t>Our Program Landing Page</t>
        </is>
      </c>
      <c r="C174" s="24" t="inlineStr">
        <is>
          <t>context</t>
        </is>
      </c>
      <c r="D174" s="24" t="inlineStr">
        <is>
          <t>Context</t>
        </is>
      </c>
      <c r="E174" s="24" t="inlineStr">
        <is>
          <t>94</t>
        </is>
      </c>
    </row>
    <row r="175">
      <c r="A175" s="24" t="inlineStr">
        <is>
          <t>934</t>
        </is>
      </c>
      <c r="B175" s="24" t="inlineStr">
        <is>
          <t>Program on Entrepreneurship</t>
        </is>
      </c>
      <c r="C175" s="24" t="inlineStr">
        <is>
          <t>context</t>
        </is>
      </c>
      <c r="D175" s="24" t="inlineStr">
        <is>
          <t>Context</t>
        </is>
      </c>
      <c r="E175" s="24" t="inlineStr">
        <is>
          <t>95</t>
        </is>
      </c>
    </row>
    <row r="176">
      <c r="A176" s="24" t="inlineStr">
        <is>
          <t>955</t>
        </is>
      </c>
      <c r="B176" s="24" t="inlineStr">
        <is>
          <t>Program on Financial Stability</t>
        </is>
      </c>
      <c r="C176" s="24" t="inlineStr">
        <is>
          <t>context</t>
        </is>
      </c>
      <c r="D176" s="24" t="inlineStr">
        <is>
          <t>Context</t>
        </is>
      </c>
      <c r="E176" s="24" t="inlineStr">
        <is>
          <t>95</t>
        </is>
      </c>
    </row>
    <row r="177">
      <c r="A177" s="24" t="inlineStr">
        <is>
          <t>933</t>
        </is>
      </c>
      <c r="B177" s="24" t="inlineStr">
        <is>
          <t>Program on Social Enterprise, Innovation, and Impact</t>
        </is>
      </c>
      <c r="C177" s="24" t="inlineStr">
        <is>
          <t>context</t>
        </is>
      </c>
      <c r="D177" s="24" t="inlineStr">
        <is>
          <t>Context</t>
        </is>
      </c>
      <c r="E177" s="24" t="inlineStr">
        <is>
          <t>95</t>
        </is>
      </c>
    </row>
    <row r="178">
      <c r="A178" s="24" t="inlineStr">
        <is>
          <t>1161</t>
        </is>
      </c>
      <c r="B178" s="24" t="inlineStr">
        <is>
          <t>Program on Stakeholder Innovation and Management</t>
        </is>
      </c>
      <c r="C178" s="24" t="inlineStr">
        <is>
          <t>context</t>
        </is>
      </c>
      <c r="D178" s="24" t="inlineStr">
        <is>
          <t>Context</t>
        </is>
      </c>
      <c r="E178" s="24" t="inlineStr">
        <is>
          <t>95</t>
        </is>
      </c>
    </row>
    <row r="179">
      <c r="A179" s="24" t="inlineStr">
        <is>
          <t>94</t>
        </is>
      </c>
      <c r="B179" s="24" t="inlineStr">
        <is>
          <t>Programs</t>
        </is>
      </c>
      <c r="C179" s="24" t="inlineStr">
        <is>
          <t>context</t>
        </is>
      </c>
      <c r="D179" s="24" t="inlineStr">
        <is>
          <t>Context</t>
        </is>
      </c>
      <c r="E179" s="24" t="n"/>
    </row>
    <row r="180">
      <c r="A180" s="24" t="inlineStr">
        <is>
          <t>1566</t>
        </is>
      </c>
      <c r="B180" s="24" t="inlineStr">
        <is>
          <t>Recruiting Journeys</t>
        </is>
      </c>
      <c r="C180" s="24" t="inlineStr">
        <is>
          <t>context</t>
        </is>
      </c>
      <c r="D180" s="24" t="inlineStr">
        <is>
          <t>Context</t>
        </is>
      </c>
      <c r="E180" s="24" t="n"/>
    </row>
    <row r="181">
      <c r="A181" s="24" t="inlineStr">
        <is>
          <t>1571</t>
        </is>
      </c>
      <c r="B181" s="24" t="inlineStr">
        <is>
          <t>Residential master's programs</t>
        </is>
      </c>
      <c r="C181" s="24" t="inlineStr">
        <is>
          <t>context</t>
        </is>
      </c>
      <c r="D181" s="24" t="inlineStr">
        <is>
          <t>Context</t>
        </is>
      </c>
      <c r="E181" s="24" t="inlineStr">
        <is>
          <t>94</t>
        </is>
      </c>
    </row>
    <row r="182">
      <c r="A182" s="24" t="inlineStr">
        <is>
          <t>1358</t>
        </is>
      </c>
      <c r="B182" s="24" t="inlineStr">
        <is>
          <t>Russia</t>
        </is>
      </c>
      <c r="C182" s="24" t="inlineStr">
        <is>
          <t>context</t>
        </is>
      </c>
      <c r="D182" s="24" t="inlineStr">
        <is>
          <t>Context</t>
        </is>
      </c>
      <c r="E182" s="24" t="inlineStr">
        <is>
          <t>1497</t>
        </is>
      </c>
    </row>
    <row r="183">
      <c r="A183" s="24" t="inlineStr">
        <is>
          <t>1497</t>
        </is>
      </c>
      <c r="B183" s="24" t="inlineStr">
        <is>
          <t>Series</t>
        </is>
      </c>
      <c r="C183" s="24" t="inlineStr">
        <is>
          <t>context</t>
        </is>
      </c>
      <c r="D183" s="24" t="inlineStr">
        <is>
          <t>Context</t>
        </is>
      </c>
      <c r="E183" s="24" t="n"/>
    </row>
    <row r="184">
      <c r="A184" s="24" t="inlineStr">
        <is>
          <t>1499</t>
        </is>
      </c>
      <c r="B184" s="24" t="inlineStr">
        <is>
          <t>Speakers</t>
        </is>
      </c>
      <c r="C184" s="24" t="inlineStr">
        <is>
          <t>context</t>
        </is>
      </c>
      <c r="D184" s="24" t="inlineStr">
        <is>
          <t>Context</t>
        </is>
      </c>
      <c r="E184" s="24" t="inlineStr">
        <is>
          <t>1497</t>
        </is>
      </c>
    </row>
    <row r="185">
      <c r="A185" s="24" t="inlineStr">
        <is>
          <t>1166</t>
        </is>
      </c>
      <c r="B185" s="24" t="inlineStr">
        <is>
          <t>Startup Stories</t>
        </is>
      </c>
      <c r="C185" s="24" t="inlineStr">
        <is>
          <t>context</t>
        </is>
      </c>
      <c r="D185" s="24" t="inlineStr">
        <is>
          <t>Context</t>
        </is>
      </c>
      <c r="E185" s="24" t="inlineStr">
        <is>
          <t>1497</t>
        </is>
      </c>
    </row>
    <row r="186">
      <c r="A186" s="24" t="inlineStr">
        <is>
          <t>125</t>
        </is>
      </c>
      <c r="B186" s="24" t="inlineStr">
        <is>
          <t>Student Life</t>
        </is>
      </c>
      <c r="C186" s="24" t="inlineStr">
        <is>
          <t>context</t>
        </is>
      </c>
      <c r="D186" s="24" t="inlineStr">
        <is>
          <t>Context</t>
        </is>
      </c>
      <c r="E186" s="24" t="inlineStr">
        <is>
          <t>1497</t>
        </is>
      </c>
    </row>
    <row r="187">
      <c r="A187" s="24" t="inlineStr">
        <is>
          <t>1460</t>
        </is>
      </c>
      <c r="B187" s="24" t="inlineStr">
        <is>
          <t>Student POV</t>
        </is>
      </c>
      <c r="C187" s="24" t="inlineStr">
        <is>
          <t>context</t>
        </is>
      </c>
      <c r="D187" s="24" t="inlineStr">
        <is>
          <t>Context</t>
        </is>
      </c>
      <c r="E187" s="24" t="inlineStr">
        <is>
          <t>1497</t>
        </is>
      </c>
    </row>
    <row r="188">
      <c r="A188" s="24" t="inlineStr">
        <is>
          <t>1174</t>
        </is>
      </c>
      <c r="B188" s="24" t="inlineStr">
        <is>
          <t>Swensen Asset Management Institute</t>
        </is>
      </c>
      <c r="C188" s="24" t="inlineStr">
        <is>
          <t>context</t>
        </is>
      </c>
      <c r="D188" s="24" t="inlineStr">
        <is>
          <t>Context</t>
        </is>
      </c>
      <c r="E188" s="24" t="inlineStr">
        <is>
          <t>95</t>
        </is>
      </c>
    </row>
    <row r="189">
      <c r="A189" s="24" t="inlineStr">
        <is>
          <t>926</t>
        </is>
      </c>
      <c r="B189" s="24" t="inlineStr">
        <is>
          <t>The Broad Center</t>
        </is>
      </c>
      <c r="C189" s="24" t="inlineStr">
        <is>
          <t>context</t>
        </is>
      </c>
      <c r="D189" s="24" t="inlineStr">
        <is>
          <t>Context</t>
        </is>
      </c>
      <c r="E189" s="24" t="inlineStr">
        <is>
          <t>95</t>
        </is>
      </c>
    </row>
    <row r="190">
      <c r="A190" s="24" t="inlineStr">
        <is>
          <t>1738</t>
        </is>
      </c>
      <c r="B190" s="24" t="inlineStr">
        <is>
          <t>Y-SIM Community Insights</t>
        </is>
      </c>
      <c r="C190" s="24" t="inlineStr">
        <is>
          <t>context</t>
        </is>
      </c>
      <c r="D190" s="24" t="inlineStr">
        <is>
          <t>Context</t>
        </is>
      </c>
      <c r="E190" s="24" t="n"/>
    </row>
    <row r="191">
      <c r="A191" s="24" t="inlineStr">
        <is>
          <t>1766</t>
        </is>
      </c>
      <c r="B191" s="24" t="inlineStr">
        <is>
          <t>Y-SIM Media</t>
        </is>
      </c>
      <c r="C191" s="24" t="inlineStr">
        <is>
          <t>context</t>
        </is>
      </c>
      <c r="D191" s="24" t="inlineStr">
        <is>
          <t>Context</t>
        </is>
      </c>
      <c r="E191" s="24" t="n"/>
    </row>
    <row r="192">
      <c r="A192" s="24" t="inlineStr">
        <is>
          <t>968</t>
        </is>
      </c>
      <c r="B192" s="24" t="inlineStr">
        <is>
          <t>Yale Global Executive Leadership Program</t>
        </is>
      </c>
      <c r="C192" s="24" t="inlineStr">
        <is>
          <t>context</t>
        </is>
      </c>
      <c r="D192" s="24" t="inlineStr">
        <is>
          <t>Context</t>
        </is>
      </c>
      <c r="E192" s="24" t="inlineStr">
        <is>
          <t>94</t>
        </is>
      </c>
    </row>
    <row r="193">
      <c r="A193" s="24" t="inlineStr">
        <is>
          <t>972</t>
        </is>
      </c>
      <c r="B193" s="24" t="inlineStr">
        <is>
          <t>Yale SOM Healthcare Initiative</t>
        </is>
      </c>
      <c r="C193" s="24" t="inlineStr">
        <is>
          <t>context</t>
        </is>
      </c>
      <c r="D193" s="24" t="inlineStr">
        <is>
          <t>Context</t>
        </is>
      </c>
      <c r="E193" s="24" t="inlineStr">
        <is>
          <t>94</t>
        </is>
      </c>
    </row>
    <row r="194">
      <c r="A194" s="24" t="inlineStr">
        <is>
          <t>927</t>
        </is>
      </c>
      <c r="B194" s="24" t="inlineStr">
        <is>
          <t>Yale Women</t>
        </is>
      </c>
      <c r="C194" s="24" t="inlineStr">
        <is>
          <t>context</t>
        </is>
      </c>
      <c r="D194" s="24" t="inlineStr">
        <is>
          <t>Context</t>
        </is>
      </c>
      <c r="E194" s="24" t="inlineStr">
        <is>
          <t>1497</t>
        </is>
      </c>
    </row>
    <row r="195">
      <c r="A195" s="24" t="inlineStr">
        <is>
          <t>1159</t>
        </is>
      </c>
      <c r="B195" s="24" t="inlineStr">
        <is>
          <t>YCCI Learning from Leaders</t>
        </is>
      </c>
      <c r="C195" s="24" t="inlineStr">
        <is>
          <t>context</t>
        </is>
      </c>
      <c r="D195" s="24" t="inlineStr">
        <is>
          <t>Context</t>
        </is>
      </c>
      <c r="E195" s="24" t="inlineStr">
        <is>
          <t>1497</t>
        </is>
      </c>
    </row>
    <row r="196">
      <c r="A196" s="24" t="inlineStr">
        <is>
          <t>1199</t>
        </is>
      </c>
      <c r="B196" s="24" t="inlineStr">
        <is>
          <t>Announcements</t>
        </is>
      </c>
      <c r="C196" s="24" t="inlineStr">
        <is>
          <t>enews_announcement_type</t>
        </is>
      </c>
      <c r="D196" s="24" t="inlineStr">
        <is>
          <t>eNews Announcement Type</t>
        </is>
      </c>
      <c r="E196" s="24" t="n"/>
    </row>
    <row r="197">
      <c r="A197" s="24" t="inlineStr">
        <is>
          <t>1204</t>
        </is>
      </c>
      <c r="B197" s="24" t="inlineStr">
        <is>
          <t>Events around Yale</t>
        </is>
      </c>
      <c r="C197" s="24" t="inlineStr">
        <is>
          <t>enews_announcement_type</t>
        </is>
      </c>
      <c r="D197" s="24" t="inlineStr">
        <is>
          <t>eNews Announcement Type</t>
        </is>
      </c>
      <c r="E197" s="24" t="n"/>
    </row>
    <row r="198">
      <c r="A198" s="24" t="inlineStr">
        <is>
          <t>1198</t>
        </is>
      </c>
      <c r="B198" s="24" t="inlineStr">
        <is>
          <t>Events at SOM</t>
        </is>
      </c>
      <c r="C198" s="24" t="inlineStr">
        <is>
          <t>enews_announcement_type</t>
        </is>
      </c>
      <c r="D198" s="24" t="inlineStr">
        <is>
          <t>eNews Announcement Type</t>
        </is>
      </c>
      <c r="E198" s="24" t="n"/>
    </row>
    <row r="199">
      <c r="A199" s="24" t="inlineStr">
        <is>
          <t>1195</t>
        </is>
      </c>
      <c r="B199" s="24" t="inlineStr">
        <is>
          <t>Doctoral</t>
        </is>
      </c>
      <c r="C199" s="24" t="inlineStr">
        <is>
          <t>enews_audience</t>
        </is>
      </c>
      <c r="D199" s="24" t="inlineStr">
        <is>
          <t>eNews Audience</t>
        </is>
      </c>
      <c r="E199" s="24" t="n"/>
    </row>
    <row r="200">
      <c r="A200" s="24" t="inlineStr">
        <is>
          <t>1196</t>
        </is>
      </c>
      <c r="B200" s="24" t="inlineStr">
        <is>
          <t>EMBA</t>
        </is>
      </c>
      <c r="C200" s="24" t="inlineStr">
        <is>
          <t>enews_audience</t>
        </is>
      </c>
      <c r="D200" s="24" t="inlineStr">
        <is>
          <t>eNews Audience</t>
        </is>
      </c>
      <c r="E200" s="24" t="n"/>
    </row>
    <row r="201">
      <c r="A201" s="24" t="inlineStr">
        <is>
          <t>1197</t>
        </is>
      </c>
      <c r="B201" s="24" t="inlineStr">
        <is>
          <t>Faculty &amp; Staff</t>
        </is>
      </c>
      <c r="C201" s="24" t="inlineStr">
        <is>
          <t>enews_audience</t>
        </is>
      </c>
      <c r="D201" s="24" t="inlineStr">
        <is>
          <t>eNews Audience</t>
        </is>
      </c>
      <c r="E201" s="24" t="n"/>
    </row>
    <row r="202">
      <c r="A202" s="24" t="inlineStr">
        <is>
          <t>1192</t>
        </is>
      </c>
      <c r="B202" s="24" t="inlineStr">
        <is>
          <t>MAM / MMS-AM / MMS-GBS / MMS-SR / MMS-TM</t>
        </is>
      </c>
      <c r="C202" s="24" t="inlineStr">
        <is>
          <t>enews_audience</t>
        </is>
      </c>
      <c r="D202" s="24" t="inlineStr">
        <is>
          <t>eNews Audience</t>
        </is>
      </c>
      <c r="E202" s="24" t="n"/>
    </row>
    <row r="203">
      <c r="A203" s="24" t="inlineStr">
        <is>
          <t>1190</t>
        </is>
      </c>
      <c r="B203" s="24" t="inlineStr">
        <is>
          <t>MBA 1st yr / PH-HCMP 1st yr</t>
        </is>
      </c>
      <c r="C203" s="24" t="inlineStr">
        <is>
          <t>enews_audience</t>
        </is>
      </c>
      <c r="D203" s="24" t="inlineStr">
        <is>
          <t>eNews Audience</t>
        </is>
      </c>
      <c r="E203" s="24" t="n"/>
    </row>
    <row r="204">
      <c r="A204" s="24" t="inlineStr">
        <is>
          <t>1191</t>
        </is>
      </c>
      <c r="B204" s="24" t="inlineStr">
        <is>
          <t>MBA 2nd yr / PH-HCMP 2nd yr</t>
        </is>
      </c>
      <c r="C204" s="24" t="inlineStr">
        <is>
          <t>enews_audience</t>
        </is>
      </c>
      <c r="D204" s="24" t="inlineStr">
        <is>
          <t>eNews Audience</t>
        </is>
      </c>
      <c r="E204" s="24" t="n"/>
    </row>
    <row r="205">
      <c r="A205" s="24" t="inlineStr">
        <is>
          <t>990</t>
        </is>
      </c>
      <c r="B205" s="24" t="inlineStr">
        <is>
          <t>All</t>
        </is>
      </c>
      <c r="C205" s="24" t="inlineStr">
        <is>
          <t>event_context</t>
        </is>
      </c>
      <c r="D205" s="24" t="inlineStr">
        <is>
          <t>Event Context</t>
        </is>
      </c>
      <c r="E205" s="24" t="n"/>
    </row>
    <row r="206">
      <c r="A206" s="24" t="inlineStr">
        <is>
          <t>991</t>
        </is>
      </c>
      <c r="B206" s="24" t="inlineStr">
        <is>
          <t>MBA</t>
        </is>
      </c>
      <c r="C206" s="24" t="inlineStr">
        <is>
          <t>event_context</t>
        </is>
      </c>
      <c r="D206" s="24" t="inlineStr">
        <is>
          <t>Event Context</t>
        </is>
      </c>
      <c r="E206" s="24" t="inlineStr">
        <is>
          <t>989</t>
        </is>
      </c>
    </row>
    <row r="207">
      <c r="A207" s="24" t="inlineStr">
        <is>
          <t>989</t>
        </is>
      </c>
      <c r="B207" s="24" t="inlineStr">
        <is>
          <t>Program</t>
        </is>
      </c>
      <c r="C207" s="24" t="inlineStr">
        <is>
          <t>event_context</t>
        </is>
      </c>
      <c r="D207" s="24" t="inlineStr">
        <is>
          <t>Event Context</t>
        </is>
      </c>
      <c r="E207" s="24" t="inlineStr">
        <is>
          <t>990</t>
        </is>
      </c>
    </row>
    <row r="208">
      <c r="A208" s="24" t="inlineStr">
        <is>
          <t>1032</t>
        </is>
      </c>
      <c r="B208" s="24" t="inlineStr">
        <is>
          <t>Africa</t>
        </is>
      </c>
      <c r="C208" s="24" t="inlineStr">
        <is>
          <t>event_location</t>
        </is>
      </c>
      <c r="D208" s="24" t="inlineStr">
        <is>
          <t>Event Location</t>
        </is>
      </c>
      <c r="E208" s="24" t="n"/>
    </row>
    <row r="209">
      <c r="A209" s="24" t="inlineStr">
        <is>
          <t>1033</t>
        </is>
      </c>
      <c r="B209" s="24" t="inlineStr">
        <is>
          <t>Asia Pacific</t>
        </is>
      </c>
      <c r="C209" s="24" t="inlineStr">
        <is>
          <t>event_location</t>
        </is>
      </c>
      <c r="D209" s="24" t="inlineStr">
        <is>
          <t>Event Location</t>
        </is>
      </c>
      <c r="E209" s="24" t="n"/>
    </row>
    <row r="210">
      <c r="A210" s="24" t="inlineStr">
        <is>
          <t>1034</t>
        </is>
      </c>
      <c r="B210" s="24" t="inlineStr">
        <is>
          <t>Australia</t>
        </is>
      </c>
      <c r="C210" s="24" t="inlineStr">
        <is>
          <t>event_location</t>
        </is>
      </c>
      <c r="D210" s="24" t="inlineStr">
        <is>
          <t>Event Location</t>
        </is>
      </c>
      <c r="E210" s="24" t="n"/>
    </row>
    <row r="211">
      <c r="A211" s="24" t="inlineStr">
        <is>
          <t>1039</t>
        </is>
      </c>
      <c r="B211" s="24" t="inlineStr">
        <is>
          <t>Canada</t>
        </is>
      </c>
      <c r="C211" s="24" t="inlineStr">
        <is>
          <t>event_location</t>
        </is>
      </c>
      <c r="D211" s="24" t="inlineStr">
        <is>
          <t>Event Location</t>
        </is>
      </c>
      <c r="E211" s="24" t="inlineStr">
        <is>
          <t>1038</t>
        </is>
      </c>
    </row>
    <row r="212">
      <c r="A212" s="24" t="inlineStr">
        <is>
          <t>1036</t>
        </is>
      </c>
      <c r="B212" s="24" t="inlineStr">
        <is>
          <t>Central America &amp; The Caribbean</t>
        </is>
      </c>
      <c r="C212" s="24" t="inlineStr">
        <is>
          <t>event_location</t>
        </is>
      </c>
      <c r="D212" s="24" t="inlineStr">
        <is>
          <t>Event Location</t>
        </is>
      </c>
      <c r="E212" s="24" t="n"/>
    </row>
    <row r="213">
      <c r="A213" s="24" t="inlineStr">
        <is>
          <t>390</t>
        </is>
      </c>
      <c r="B213" s="24" t="inlineStr">
        <is>
          <t>Edward P. Evans Hall</t>
        </is>
      </c>
      <c r="C213" s="24" t="inlineStr">
        <is>
          <t>event_location</t>
        </is>
      </c>
      <c r="D213" s="24" t="inlineStr">
        <is>
          <t>Event Location</t>
        </is>
      </c>
      <c r="E213" s="24" t="inlineStr">
        <is>
          <t>1040</t>
        </is>
      </c>
    </row>
    <row r="214">
      <c r="A214" s="24" t="inlineStr">
        <is>
          <t>1035</t>
        </is>
      </c>
      <c r="B214" s="24" t="inlineStr">
        <is>
          <t>Europe</t>
        </is>
      </c>
      <c r="C214" s="24" t="inlineStr">
        <is>
          <t>event_location</t>
        </is>
      </c>
      <c r="D214" s="24" t="inlineStr">
        <is>
          <t>Event Location</t>
        </is>
      </c>
      <c r="E214" s="24" t="n"/>
    </row>
    <row r="215">
      <c r="A215" s="24" t="inlineStr">
        <is>
          <t>1124</t>
        </is>
      </c>
      <c r="B215" s="24" t="inlineStr">
        <is>
          <t>Indonesia</t>
        </is>
      </c>
      <c r="C215" s="24" t="inlineStr">
        <is>
          <t>event_location</t>
        </is>
      </c>
      <c r="D215" s="24" t="inlineStr">
        <is>
          <t>Event Location</t>
        </is>
      </c>
      <c r="E215" s="24" t="n"/>
    </row>
    <row r="216">
      <c r="A216" s="24" t="inlineStr">
        <is>
          <t>1043</t>
        </is>
      </c>
      <c r="B216" s="24" t="inlineStr">
        <is>
          <t>Mexico</t>
        </is>
      </c>
      <c r="C216" s="24" t="inlineStr">
        <is>
          <t>event_location</t>
        </is>
      </c>
      <c r="D216" s="24" t="inlineStr">
        <is>
          <t>Event Location</t>
        </is>
      </c>
      <c r="E216" s="24" t="inlineStr">
        <is>
          <t>1038</t>
        </is>
      </c>
    </row>
    <row r="217">
      <c r="A217" s="24" t="inlineStr">
        <is>
          <t>1037</t>
        </is>
      </c>
      <c r="B217" s="24" t="inlineStr">
        <is>
          <t>Middle East</t>
        </is>
      </c>
      <c r="C217" s="24" t="inlineStr">
        <is>
          <t>event_location</t>
        </is>
      </c>
      <c r="D217" s="24" t="inlineStr">
        <is>
          <t>Event Location</t>
        </is>
      </c>
      <c r="E217" s="24" t="n"/>
    </row>
    <row r="218">
      <c r="A218" s="24" t="inlineStr">
        <is>
          <t>1042</t>
        </is>
      </c>
      <c r="B218" s="24" t="inlineStr">
        <is>
          <t>Midwest</t>
        </is>
      </c>
      <c r="C218" s="24" t="inlineStr">
        <is>
          <t>event_location</t>
        </is>
      </c>
      <c r="D218" s="24" t="inlineStr">
        <is>
          <t>Event Location</t>
        </is>
      </c>
      <c r="E218" s="24" t="inlineStr">
        <is>
          <t>1038</t>
        </is>
      </c>
    </row>
    <row r="219">
      <c r="A219" s="24" t="inlineStr">
        <is>
          <t>1038</t>
        </is>
      </c>
      <c r="B219" s="24" t="inlineStr">
        <is>
          <t>North America</t>
        </is>
      </c>
      <c r="C219" s="24" t="inlineStr">
        <is>
          <t>event_location</t>
        </is>
      </c>
      <c r="D219" s="24" t="inlineStr">
        <is>
          <t>Event Location</t>
        </is>
      </c>
      <c r="E219" s="24" t="n"/>
    </row>
    <row r="220">
      <c r="A220" s="24" t="inlineStr">
        <is>
          <t>1040</t>
        </is>
      </c>
      <c r="B220" s="24" t="inlineStr">
        <is>
          <t>Northeast</t>
        </is>
      </c>
      <c r="C220" s="24" t="inlineStr">
        <is>
          <t>event_location</t>
        </is>
      </c>
      <c r="D220" s="24" t="inlineStr">
        <is>
          <t>Event Location</t>
        </is>
      </c>
      <c r="E220" s="24" t="inlineStr">
        <is>
          <t>1038</t>
        </is>
      </c>
    </row>
    <row r="221">
      <c r="A221" s="24" t="inlineStr">
        <is>
          <t>1041</t>
        </is>
      </c>
      <c r="B221" s="24" t="inlineStr">
        <is>
          <t>South</t>
        </is>
      </c>
      <c r="C221" s="24" t="inlineStr">
        <is>
          <t>event_location</t>
        </is>
      </c>
      <c r="D221" s="24" t="inlineStr">
        <is>
          <t>Event Location</t>
        </is>
      </c>
      <c r="E221" s="24" t="inlineStr">
        <is>
          <t>1038</t>
        </is>
      </c>
    </row>
    <row r="222">
      <c r="A222" s="24" t="inlineStr">
        <is>
          <t>1045</t>
        </is>
      </c>
      <c r="B222" s="24" t="inlineStr">
        <is>
          <t>South America</t>
        </is>
      </c>
      <c r="C222" s="24" t="inlineStr">
        <is>
          <t>event_location</t>
        </is>
      </c>
      <c r="D222" s="24" t="inlineStr">
        <is>
          <t>Event Location</t>
        </is>
      </c>
      <c r="E222" s="24" t="n"/>
    </row>
    <row r="223">
      <c r="A223" s="24" t="inlineStr">
        <is>
          <t>1044</t>
        </is>
      </c>
      <c r="B223" s="24" t="inlineStr">
        <is>
          <t>West</t>
        </is>
      </c>
      <c r="C223" s="24" t="inlineStr">
        <is>
          <t>event_location</t>
        </is>
      </c>
      <c r="D223" s="24" t="inlineStr">
        <is>
          <t>Event Location</t>
        </is>
      </c>
      <c r="E223" s="24" t="inlineStr">
        <is>
          <t>1038</t>
        </is>
      </c>
    </row>
    <row r="224">
      <c r="A224" s="24" t="inlineStr">
        <is>
          <t>345</t>
        </is>
      </c>
      <c r="B224" s="24" t="inlineStr">
        <is>
          <t>Yale School of Management</t>
        </is>
      </c>
      <c r="C224" s="24" t="inlineStr">
        <is>
          <t>event_location</t>
        </is>
      </c>
      <c r="D224" s="24" t="inlineStr">
        <is>
          <t>Event Location</t>
        </is>
      </c>
      <c r="E224" s="24" t="inlineStr">
        <is>
          <t>1040</t>
        </is>
      </c>
    </row>
    <row r="225">
      <c r="A225" s="24" t="inlineStr">
        <is>
          <t>994</t>
        </is>
      </c>
      <c r="B225" s="24" t="inlineStr">
        <is>
          <t>Admissions Events</t>
        </is>
      </c>
      <c r="C225" s="24" t="inlineStr">
        <is>
          <t>event_type</t>
        </is>
      </c>
      <c r="D225" s="24" t="inlineStr">
        <is>
          <t>Event Type</t>
        </is>
      </c>
      <c r="E225" s="24" t="n"/>
    </row>
    <row r="226">
      <c r="A226" s="24" t="inlineStr">
        <is>
          <t>1206</t>
        </is>
      </c>
      <c r="B226" s="24" t="inlineStr">
        <is>
          <t>Admissions Officer-hosted Event</t>
        </is>
      </c>
      <c r="C226" s="24" t="inlineStr">
        <is>
          <t>event_type</t>
        </is>
      </c>
      <c r="D226" s="24" t="inlineStr">
        <is>
          <t>Event Type</t>
        </is>
      </c>
      <c r="E226" s="24" t="inlineStr">
        <is>
          <t>994</t>
        </is>
      </c>
    </row>
    <row r="227">
      <c r="A227" s="24" t="inlineStr">
        <is>
          <t>997</t>
        </is>
      </c>
      <c r="B227" s="24" t="inlineStr">
        <is>
          <t>Admissions Panels</t>
        </is>
      </c>
      <c r="C227" s="24" t="inlineStr">
        <is>
          <t>event_type</t>
        </is>
      </c>
      <c r="D227" s="24" t="inlineStr">
        <is>
          <t>Event Type</t>
        </is>
      </c>
      <c r="E227" s="24" t="inlineStr">
        <is>
          <t>994</t>
        </is>
      </c>
    </row>
    <row r="228">
      <c r="A228" s="24" t="inlineStr">
        <is>
          <t>995</t>
        </is>
      </c>
      <c r="B228" s="24" t="inlineStr">
        <is>
          <t>Admissions Q&amp;A</t>
        </is>
      </c>
      <c r="C228" s="24" t="inlineStr">
        <is>
          <t>event_type</t>
        </is>
      </c>
      <c r="D228" s="24" t="inlineStr">
        <is>
          <t>Event Type</t>
        </is>
      </c>
      <c r="E228" s="24" t="inlineStr">
        <is>
          <t>994</t>
        </is>
      </c>
    </row>
    <row r="229">
      <c r="A229" s="24" t="inlineStr">
        <is>
          <t>1020</t>
        </is>
      </c>
      <c r="B229" s="24" t="inlineStr">
        <is>
          <t>Africa</t>
        </is>
      </c>
      <c r="C229" s="24" t="inlineStr">
        <is>
          <t>event_type</t>
        </is>
      </c>
      <c r="D229" s="24" t="inlineStr">
        <is>
          <t>Event Type</t>
        </is>
      </c>
      <c r="E229" s="24" t="inlineStr">
        <is>
          <t>994</t>
        </is>
      </c>
    </row>
    <row r="230">
      <c r="A230" s="24" t="inlineStr">
        <is>
          <t>318</t>
        </is>
      </c>
      <c r="B230" s="24" t="inlineStr">
        <is>
          <t>Alumni</t>
        </is>
      </c>
      <c r="C230" s="24" t="inlineStr">
        <is>
          <t>event_type</t>
        </is>
      </c>
      <c r="D230" s="24" t="inlineStr">
        <is>
          <t>Event Type</t>
        </is>
      </c>
      <c r="E230" s="24" t="inlineStr">
        <is>
          <t>994</t>
        </is>
      </c>
    </row>
    <row r="231">
      <c r="A231" s="24" t="inlineStr">
        <is>
          <t>996</t>
        </is>
      </c>
      <c r="B231" s="24" t="inlineStr">
        <is>
          <t>Asia Pacific</t>
        </is>
      </c>
      <c r="C231" s="24" t="inlineStr">
        <is>
          <t>event_type</t>
        </is>
      </c>
      <c r="D231" s="24" t="inlineStr">
        <is>
          <t>Event Type</t>
        </is>
      </c>
      <c r="E231" s="24" t="inlineStr">
        <is>
          <t>994</t>
        </is>
      </c>
    </row>
    <row r="232">
      <c r="A232" s="24" t="inlineStr">
        <is>
          <t>1021</t>
        </is>
      </c>
      <c r="B232" s="24" t="inlineStr">
        <is>
          <t>Australia</t>
        </is>
      </c>
      <c r="C232" s="24" t="inlineStr">
        <is>
          <t>event_type</t>
        </is>
      </c>
      <c r="D232" s="24" t="inlineStr">
        <is>
          <t>Event Type</t>
        </is>
      </c>
      <c r="E232" s="24" t="inlineStr">
        <is>
          <t>994</t>
        </is>
      </c>
    </row>
    <row r="233">
      <c r="A233" s="24" t="inlineStr">
        <is>
          <t>1149</t>
        </is>
      </c>
      <c r="B233" s="24" t="inlineStr">
        <is>
          <t>Campus Visit</t>
        </is>
      </c>
      <c r="C233" s="24" t="inlineStr">
        <is>
          <t>event_type</t>
        </is>
      </c>
      <c r="D233" s="24" t="inlineStr">
        <is>
          <t>Event Type</t>
        </is>
      </c>
      <c r="E233" s="24" t="inlineStr">
        <is>
          <t>994</t>
        </is>
      </c>
    </row>
    <row r="234">
      <c r="A234" s="24" t="inlineStr">
        <is>
          <t>1010</t>
        </is>
      </c>
      <c r="B234" s="24" t="inlineStr">
        <is>
          <t>Canada</t>
        </is>
      </c>
      <c r="C234" s="24" t="inlineStr">
        <is>
          <t>event_type</t>
        </is>
      </c>
      <c r="D234" s="24" t="inlineStr">
        <is>
          <t>Event Type</t>
        </is>
      </c>
      <c r="E234" s="24" t="inlineStr">
        <is>
          <t>994</t>
        </is>
      </c>
    </row>
    <row r="235">
      <c r="A235" s="24" t="inlineStr">
        <is>
          <t>1013</t>
        </is>
      </c>
      <c r="B235" s="24" t="inlineStr">
        <is>
          <t>Central America &amp; The Caribbean</t>
        </is>
      </c>
      <c r="C235" s="24" t="inlineStr">
        <is>
          <t>event_type</t>
        </is>
      </c>
      <c r="D235" s="24" t="inlineStr">
        <is>
          <t>Event Type</t>
        </is>
      </c>
      <c r="E235" s="24" t="inlineStr">
        <is>
          <t>994</t>
        </is>
      </c>
    </row>
    <row r="236">
      <c r="A236" s="24" t="inlineStr">
        <is>
          <t>341</t>
        </is>
      </c>
      <c r="B236" s="24" t="inlineStr">
        <is>
          <t>Colloquia</t>
        </is>
      </c>
      <c r="C236" s="24" t="inlineStr">
        <is>
          <t>event_type</t>
        </is>
      </c>
      <c r="D236" s="24" t="inlineStr">
        <is>
          <t>Event Type</t>
        </is>
      </c>
      <c r="E236" s="24" t="inlineStr">
        <is>
          <t>994</t>
        </is>
      </c>
    </row>
    <row r="237">
      <c r="A237" s="24" t="inlineStr">
        <is>
          <t>330</t>
        </is>
      </c>
      <c r="B237" s="24" t="inlineStr">
        <is>
          <t>Conferences</t>
        </is>
      </c>
      <c r="C237" s="24" t="inlineStr">
        <is>
          <t>event_type</t>
        </is>
      </c>
      <c r="D237" s="24" t="inlineStr">
        <is>
          <t>Event Type</t>
        </is>
      </c>
      <c r="E237" s="24" t="inlineStr">
        <is>
          <t>994</t>
        </is>
      </c>
    </row>
    <row r="238">
      <c r="A238" s="24" t="inlineStr">
        <is>
          <t>366</t>
        </is>
      </c>
      <c r="B238" s="24" t="inlineStr">
        <is>
          <t>Convening Yale</t>
        </is>
      </c>
      <c r="C238" s="24" t="inlineStr">
        <is>
          <t>event_type</t>
        </is>
      </c>
      <c r="D238" s="24" t="inlineStr">
        <is>
          <t>Event Type</t>
        </is>
      </c>
      <c r="E238" s="24" t="inlineStr">
        <is>
          <t>994</t>
        </is>
      </c>
    </row>
    <row r="239">
      <c r="A239" s="24" t="inlineStr">
        <is>
          <t>1208</t>
        </is>
      </c>
      <c r="B239" s="24" t="inlineStr">
        <is>
          <t>Current College Seniors</t>
        </is>
      </c>
      <c r="C239" s="24" t="inlineStr">
        <is>
          <t>event_type</t>
        </is>
      </c>
      <c r="D239" s="24" t="inlineStr">
        <is>
          <t>Event Type</t>
        </is>
      </c>
      <c r="E239" s="24" t="inlineStr">
        <is>
          <t>994</t>
        </is>
      </c>
    </row>
    <row r="240">
      <c r="A240" s="24" t="inlineStr">
        <is>
          <t>998</t>
        </is>
      </c>
      <c r="B240" s="24" t="inlineStr">
        <is>
          <t>Current College Students</t>
        </is>
      </c>
      <c r="C240" s="24" t="inlineStr">
        <is>
          <t>event_type</t>
        </is>
      </c>
      <c r="D240" s="24" t="inlineStr">
        <is>
          <t>Event Type</t>
        </is>
      </c>
      <c r="E240" s="24" t="inlineStr">
        <is>
          <t>994</t>
        </is>
      </c>
    </row>
    <row r="241">
      <c r="A241" s="24" t="inlineStr">
        <is>
          <t>889</t>
        </is>
      </c>
      <c r="B241" s="24" t="inlineStr">
        <is>
          <t>Diversity</t>
        </is>
      </c>
      <c r="C241" s="24" t="inlineStr">
        <is>
          <t>event_type</t>
        </is>
      </c>
      <c r="D241" s="24" t="inlineStr">
        <is>
          <t>Event Type</t>
        </is>
      </c>
      <c r="E241" s="24" t="inlineStr">
        <is>
          <t>994</t>
        </is>
      </c>
    </row>
    <row r="242">
      <c r="A242" s="24" t="inlineStr">
        <is>
          <t>999</t>
        </is>
      </c>
      <c r="B242" s="24" t="inlineStr">
        <is>
          <t>Diversity Events</t>
        </is>
      </c>
      <c r="C242" s="24" t="inlineStr">
        <is>
          <t>event_type</t>
        </is>
      </c>
      <c r="D242" s="24" t="inlineStr">
        <is>
          <t>Event Type</t>
        </is>
      </c>
      <c r="E242" s="24" t="inlineStr">
        <is>
          <t>994</t>
        </is>
      </c>
    </row>
    <row r="243">
      <c r="A243" s="24" t="inlineStr">
        <is>
          <t>362</t>
        </is>
      </c>
      <c r="B243" s="24" t="inlineStr">
        <is>
          <t>Economics</t>
        </is>
      </c>
      <c r="C243" s="24" t="inlineStr">
        <is>
          <t>event_type</t>
        </is>
      </c>
      <c r="D243" s="24" t="inlineStr">
        <is>
          <t>Event Type</t>
        </is>
      </c>
      <c r="E243" s="24" t="inlineStr">
        <is>
          <t>994</t>
        </is>
      </c>
    </row>
    <row r="244">
      <c r="A244" s="24" t="inlineStr">
        <is>
          <t>365</t>
        </is>
      </c>
      <c r="B244" s="24" t="inlineStr">
        <is>
          <t>Education</t>
        </is>
      </c>
      <c r="C244" s="24" t="inlineStr">
        <is>
          <t>event_type</t>
        </is>
      </c>
      <c r="D244" s="24" t="inlineStr">
        <is>
          <t>Event Type</t>
        </is>
      </c>
      <c r="E244" s="24" t="inlineStr">
        <is>
          <t>994</t>
        </is>
      </c>
    </row>
    <row r="245">
      <c r="A245" s="24" t="inlineStr">
        <is>
          <t>1003</t>
        </is>
      </c>
      <c r="B245" s="24" t="inlineStr">
        <is>
          <t>Europe</t>
        </is>
      </c>
      <c r="C245" s="24" t="inlineStr">
        <is>
          <t>event_type</t>
        </is>
      </c>
      <c r="D245" s="24" t="inlineStr">
        <is>
          <t>Event Type</t>
        </is>
      </c>
      <c r="E245" s="24" t="inlineStr">
        <is>
          <t>994</t>
        </is>
      </c>
    </row>
    <row r="246">
      <c r="A246" s="24" t="inlineStr">
        <is>
          <t>354</t>
        </is>
      </c>
      <c r="B246" s="24" t="inlineStr">
        <is>
          <t>Executive Education</t>
        </is>
      </c>
      <c r="C246" s="24" t="inlineStr">
        <is>
          <t>event_type</t>
        </is>
      </c>
      <c r="D246" s="24" t="inlineStr">
        <is>
          <t>Event Type</t>
        </is>
      </c>
      <c r="E246" s="24" t="inlineStr">
        <is>
          <t>994</t>
        </is>
      </c>
    </row>
    <row r="247">
      <c r="A247" s="24" t="inlineStr">
        <is>
          <t>1018</t>
        </is>
      </c>
      <c r="B247" s="24" t="inlineStr">
        <is>
          <t>Faculty</t>
        </is>
      </c>
      <c r="C247" s="24" t="inlineStr">
        <is>
          <t>event_type</t>
        </is>
      </c>
      <c r="D247" s="24" t="inlineStr">
        <is>
          <t>Event Type</t>
        </is>
      </c>
      <c r="E247" s="24" t="inlineStr">
        <is>
          <t>994</t>
        </is>
      </c>
    </row>
    <row r="248">
      <c r="A248" s="24" t="inlineStr">
        <is>
          <t>1004</t>
        </is>
      </c>
      <c r="B248" s="24" t="inlineStr">
        <is>
          <t>Faculty Events</t>
        </is>
      </c>
      <c r="C248" s="24" t="inlineStr">
        <is>
          <t>event_type</t>
        </is>
      </c>
      <c r="D248" s="24" t="inlineStr">
        <is>
          <t>Event Type</t>
        </is>
      </c>
      <c r="E248" s="24" t="inlineStr">
        <is>
          <t>994</t>
        </is>
      </c>
    </row>
    <row r="249">
      <c r="A249" s="24" t="inlineStr">
        <is>
          <t>593</t>
        </is>
      </c>
      <c r="B249" s="24" t="inlineStr">
        <is>
          <t>Finance</t>
        </is>
      </c>
      <c r="C249" s="24" t="inlineStr">
        <is>
          <t>event_type</t>
        </is>
      </c>
      <c r="D249" s="24" t="inlineStr">
        <is>
          <t>Event Type</t>
        </is>
      </c>
      <c r="E249" s="24" t="inlineStr">
        <is>
          <t>994</t>
        </is>
      </c>
    </row>
    <row r="250">
      <c r="A250" s="24" t="inlineStr">
        <is>
          <t>816</t>
        </is>
      </c>
      <c r="B250" s="24" t="inlineStr">
        <is>
          <t>Global Network</t>
        </is>
      </c>
      <c r="C250" s="24" t="inlineStr">
        <is>
          <t>event_type</t>
        </is>
      </c>
      <c r="D250" s="24" t="inlineStr">
        <is>
          <t>Event Type</t>
        </is>
      </c>
      <c r="E250" s="24" t="inlineStr">
        <is>
          <t>994</t>
        </is>
      </c>
    </row>
    <row r="251">
      <c r="A251" s="24" t="inlineStr">
        <is>
          <t>370</t>
        </is>
      </c>
      <c r="B251" s="24" t="inlineStr">
        <is>
          <t>Healthcare</t>
        </is>
      </c>
      <c r="C251" s="24" t="inlineStr">
        <is>
          <t>event_type</t>
        </is>
      </c>
      <c r="D251" s="24" t="inlineStr">
        <is>
          <t>Event Type</t>
        </is>
      </c>
      <c r="E251" s="24" t="inlineStr">
        <is>
          <t>994</t>
        </is>
      </c>
    </row>
    <row r="252">
      <c r="A252" s="24" t="inlineStr">
        <is>
          <t>1211</t>
        </is>
      </c>
      <c r="B252" s="24" t="inlineStr">
        <is>
          <t>Joint Degree</t>
        </is>
      </c>
      <c r="C252" s="24" t="inlineStr">
        <is>
          <t>event_type</t>
        </is>
      </c>
      <c r="D252" s="24" t="inlineStr">
        <is>
          <t>Event Type</t>
        </is>
      </c>
      <c r="E252" s="24" t="inlineStr">
        <is>
          <t>994</t>
        </is>
      </c>
    </row>
    <row r="253">
      <c r="A253" s="24" t="inlineStr">
        <is>
          <t>335</t>
        </is>
      </c>
      <c r="B253" s="24" t="inlineStr">
        <is>
          <t>Leaders Forum</t>
        </is>
      </c>
      <c r="C253" s="24" t="inlineStr">
        <is>
          <t>event_type</t>
        </is>
      </c>
      <c r="D253" s="24" t="inlineStr">
        <is>
          <t>Event Type</t>
        </is>
      </c>
      <c r="E253" s="24" t="inlineStr">
        <is>
          <t>994</t>
        </is>
      </c>
    </row>
    <row r="254">
      <c r="A254" s="24" t="inlineStr">
        <is>
          <t>369</t>
        </is>
      </c>
      <c r="B254" s="24" t="inlineStr">
        <is>
          <t>Leadership</t>
        </is>
      </c>
      <c r="C254" s="24" t="inlineStr">
        <is>
          <t>event_type</t>
        </is>
      </c>
      <c r="D254" s="24" t="inlineStr">
        <is>
          <t>Event Type</t>
        </is>
      </c>
      <c r="E254" s="24" t="inlineStr">
        <is>
          <t>994</t>
        </is>
      </c>
    </row>
    <row r="255">
      <c r="A255" s="24" t="inlineStr">
        <is>
          <t>882</t>
        </is>
      </c>
      <c r="B255" s="24" t="inlineStr">
        <is>
          <t>LGBTQ+</t>
        </is>
      </c>
      <c r="C255" s="24" t="inlineStr">
        <is>
          <t>event_type</t>
        </is>
      </c>
      <c r="D255" s="24" t="inlineStr">
        <is>
          <t>Event Type</t>
        </is>
      </c>
      <c r="E255" s="24" t="inlineStr">
        <is>
          <t>994</t>
        </is>
      </c>
    </row>
    <row r="256">
      <c r="A256" s="24" t="inlineStr">
        <is>
          <t>319</t>
        </is>
      </c>
      <c r="B256" s="24" t="inlineStr">
        <is>
          <t>Live Video</t>
        </is>
      </c>
      <c r="C256" s="24" t="inlineStr">
        <is>
          <t>event_type</t>
        </is>
      </c>
      <c r="D256" s="24" t="inlineStr">
        <is>
          <t>Event Type</t>
        </is>
      </c>
      <c r="E256" s="24" t="inlineStr">
        <is>
          <t>994</t>
        </is>
      </c>
    </row>
    <row r="257">
      <c r="A257" s="24" t="inlineStr">
        <is>
          <t>483</t>
        </is>
      </c>
      <c r="B257" s="24" t="inlineStr">
        <is>
          <t>Marketing (Executive Education)</t>
        </is>
      </c>
      <c r="C257" s="24" t="inlineStr">
        <is>
          <t>event_type</t>
        </is>
      </c>
      <c r="D257" s="24" t="inlineStr">
        <is>
          <t>Event Type</t>
        </is>
      </c>
      <c r="E257" s="24" t="inlineStr">
        <is>
          <t>994</t>
        </is>
      </c>
    </row>
    <row r="258">
      <c r="A258" s="24" t="inlineStr">
        <is>
          <t>1012</t>
        </is>
      </c>
      <c r="B258" s="24" t="inlineStr">
        <is>
          <t>Mexico</t>
        </is>
      </c>
      <c r="C258" s="24" t="inlineStr">
        <is>
          <t>event_type</t>
        </is>
      </c>
      <c r="D258" s="24" t="inlineStr">
        <is>
          <t>Event Type</t>
        </is>
      </c>
      <c r="E258" s="24" t="inlineStr">
        <is>
          <t>994</t>
        </is>
      </c>
    </row>
    <row r="259">
      <c r="A259" s="24" t="inlineStr">
        <is>
          <t>1017</t>
        </is>
      </c>
      <c r="B259" s="24" t="inlineStr">
        <is>
          <t>Middle East</t>
        </is>
      </c>
      <c r="C259" s="24" t="inlineStr">
        <is>
          <t>event_type</t>
        </is>
      </c>
      <c r="D259" s="24" t="inlineStr">
        <is>
          <t>Event Type</t>
        </is>
      </c>
      <c r="E259" s="24" t="inlineStr">
        <is>
          <t>994</t>
        </is>
      </c>
    </row>
    <row r="260">
      <c r="A260" s="24" t="inlineStr">
        <is>
          <t>1007</t>
        </is>
      </c>
      <c r="B260" s="24" t="inlineStr">
        <is>
          <t>Midwest</t>
        </is>
      </c>
      <c r="C260" s="24" t="inlineStr">
        <is>
          <t>event_type</t>
        </is>
      </c>
      <c r="D260" s="24" t="inlineStr">
        <is>
          <t>Event Type</t>
        </is>
      </c>
      <c r="E260" s="24" t="inlineStr">
        <is>
          <t>994</t>
        </is>
      </c>
    </row>
    <row r="261">
      <c r="A261" s="24" t="inlineStr">
        <is>
          <t>1000</t>
        </is>
      </c>
      <c r="B261" s="24" t="inlineStr">
        <is>
          <t>Multi-School Events</t>
        </is>
      </c>
      <c r="C261" s="24" t="inlineStr">
        <is>
          <t>event_type</t>
        </is>
      </c>
      <c r="D261" s="24" t="inlineStr">
        <is>
          <t>Event Type</t>
        </is>
      </c>
      <c r="E261" s="24" t="inlineStr">
        <is>
          <t>994</t>
        </is>
      </c>
    </row>
    <row r="262">
      <c r="A262" s="24" t="inlineStr">
        <is>
          <t>1005</t>
        </is>
      </c>
      <c r="B262" s="24" t="inlineStr">
        <is>
          <t>North America</t>
        </is>
      </c>
      <c r="C262" s="24" t="inlineStr">
        <is>
          <t>event_type</t>
        </is>
      </c>
      <c r="D262" s="24" t="inlineStr">
        <is>
          <t>Event Type</t>
        </is>
      </c>
      <c r="E262" s="24" t="inlineStr">
        <is>
          <t>994</t>
        </is>
      </c>
    </row>
    <row r="263">
      <c r="A263" s="24" t="inlineStr">
        <is>
          <t>1006</t>
        </is>
      </c>
      <c r="B263" s="24" t="inlineStr">
        <is>
          <t>Northeast</t>
        </is>
      </c>
      <c r="C263" s="24" t="inlineStr">
        <is>
          <t>event_type</t>
        </is>
      </c>
      <c r="D263" s="24" t="inlineStr">
        <is>
          <t>Event Type</t>
        </is>
      </c>
      <c r="E263" s="24" t="inlineStr">
        <is>
          <t>994</t>
        </is>
      </c>
    </row>
    <row r="264">
      <c r="A264" s="24" t="inlineStr">
        <is>
          <t>1210</t>
        </is>
      </c>
      <c r="B264" s="24" t="inlineStr">
        <is>
          <t>Off-campus Events</t>
        </is>
      </c>
      <c r="C264" s="24" t="inlineStr">
        <is>
          <t>event_type</t>
        </is>
      </c>
      <c r="D264" s="24" t="inlineStr">
        <is>
          <t>Event Type</t>
        </is>
      </c>
      <c r="E264" s="24" t="inlineStr">
        <is>
          <t>994</t>
        </is>
      </c>
    </row>
    <row r="265">
      <c r="A265" s="24" t="inlineStr">
        <is>
          <t>1015</t>
        </is>
      </c>
      <c r="B265" s="24" t="inlineStr">
        <is>
          <t>On campus</t>
        </is>
      </c>
      <c r="C265" s="24" t="inlineStr">
        <is>
          <t>event_type</t>
        </is>
      </c>
      <c r="D265" s="24" t="inlineStr">
        <is>
          <t>Event Type</t>
        </is>
      </c>
      <c r="E265" s="24" t="inlineStr">
        <is>
          <t>994</t>
        </is>
      </c>
    </row>
    <row r="266">
      <c r="A266" s="24" t="inlineStr">
        <is>
          <t>380</t>
        </is>
      </c>
      <c r="B266" s="24" t="inlineStr">
        <is>
          <t>Online</t>
        </is>
      </c>
      <c r="C266" s="24" t="inlineStr">
        <is>
          <t>event_type</t>
        </is>
      </c>
      <c r="D266" s="24" t="inlineStr">
        <is>
          <t>Event Type</t>
        </is>
      </c>
      <c r="E266" s="24" t="inlineStr">
        <is>
          <t>994</t>
        </is>
      </c>
    </row>
    <row r="267">
      <c r="A267" s="24" t="inlineStr">
        <is>
          <t>630</t>
        </is>
      </c>
      <c r="B267" s="24" t="inlineStr">
        <is>
          <t>Other Events</t>
        </is>
      </c>
      <c r="C267" s="24" t="inlineStr">
        <is>
          <t>event_type</t>
        </is>
      </c>
      <c r="D267" s="24" t="inlineStr">
        <is>
          <t>Event Type</t>
        </is>
      </c>
      <c r="E267" s="24" t="inlineStr">
        <is>
          <t>994</t>
        </is>
      </c>
    </row>
    <row r="268">
      <c r="A268" s="24" t="inlineStr">
        <is>
          <t>685</t>
        </is>
      </c>
      <c r="B268" s="24" t="inlineStr">
        <is>
          <t>Reunions</t>
        </is>
      </c>
      <c r="C268" s="24" t="inlineStr">
        <is>
          <t>event_type</t>
        </is>
      </c>
      <c r="D268" s="24" t="inlineStr">
        <is>
          <t>Event Type</t>
        </is>
      </c>
      <c r="E268" s="24" t="inlineStr">
        <is>
          <t>994</t>
        </is>
      </c>
    </row>
    <row r="269">
      <c r="A269" s="24" t="inlineStr">
        <is>
          <t>1008</t>
        </is>
      </c>
      <c r="B269" s="24" t="inlineStr">
        <is>
          <t>South</t>
        </is>
      </c>
      <c r="C269" s="24" t="inlineStr">
        <is>
          <t>event_type</t>
        </is>
      </c>
      <c r="D269" s="24" t="inlineStr">
        <is>
          <t>Event Type</t>
        </is>
      </c>
      <c r="E269" s="24" t="inlineStr">
        <is>
          <t>994</t>
        </is>
      </c>
    </row>
    <row r="270">
      <c r="A270" s="24" t="inlineStr">
        <is>
          <t>1014</t>
        </is>
      </c>
      <c r="B270" s="24" t="inlineStr">
        <is>
          <t>South America</t>
        </is>
      </c>
      <c r="C270" s="24" t="inlineStr">
        <is>
          <t>event_type</t>
        </is>
      </c>
      <c r="D270" s="24" t="inlineStr">
        <is>
          <t>Event Type</t>
        </is>
      </c>
      <c r="E270" s="24" t="inlineStr">
        <is>
          <t>994</t>
        </is>
      </c>
    </row>
    <row r="271">
      <c r="A271" s="24" t="inlineStr">
        <is>
          <t>331</t>
        </is>
      </c>
      <c r="B271" s="24" t="inlineStr">
        <is>
          <t>Speaker Event</t>
        </is>
      </c>
      <c r="C271" s="24" t="inlineStr">
        <is>
          <t>event_type</t>
        </is>
      </c>
      <c r="D271" s="24" t="inlineStr">
        <is>
          <t>Event Type</t>
        </is>
      </c>
      <c r="E271" s="24" t="inlineStr">
        <is>
          <t>994</t>
        </is>
      </c>
    </row>
    <row r="272">
      <c r="A272" s="24" t="inlineStr">
        <is>
          <t>321</t>
        </is>
      </c>
      <c r="B272" s="24" t="inlineStr">
        <is>
          <t>Speakers &amp; Conferences</t>
        </is>
      </c>
      <c r="C272" s="24" t="inlineStr">
        <is>
          <t>event_type</t>
        </is>
      </c>
      <c r="D272" s="24" t="inlineStr">
        <is>
          <t>Event Type</t>
        </is>
      </c>
      <c r="E272" s="24" t="inlineStr">
        <is>
          <t>994</t>
        </is>
      </c>
    </row>
    <row r="273">
      <c r="A273" s="24" t="inlineStr">
        <is>
          <t>1001</t>
        </is>
      </c>
      <c r="B273" s="24" t="inlineStr">
        <is>
          <t>Student Panels</t>
        </is>
      </c>
      <c r="C273" s="24" t="inlineStr">
        <is>
          <t>event_type</t>
        </is>
      </c>
      <c r="D273" s="24" t="inlineStr">
        <is>
          <t>Event Type</t>
        </is>
      </c>
      <c r="E273" s="24" t="inlineStr">
        <is>
          <t>994</t>
        </is>
      </c>
    </row>
    <row r="274">
      <c r="A274" s="24" t="inlineStr">
        <is>
          <t>1207</t>
        </is>
      </c>
      <c r="B274" s="24" t="inlineStr">
        <is>
          <t>Student-hosted Events</t>
        </is>
      </c>
      <c r="C274" s="24" t="inlineStr">
        <is>
          <t>event_type</t>
        </is>
      </c>
      <c r="D274" s="24" t="inlineStr">
        <is>
          <t>Event Type</t>
        </is>
      </c>
      <c r="E274" s="24" t="inlineStr">
        <is>
          <t>994</t>
        </is>
      </c>
    </row>
    <row r="275">
      <c r="A275" s="24" t="inlineStr">
        <is>
          <t>1019</t>
        </is>
      </c>
      <c r="B275" s="24" t="inlineStr">
        <is>
          <t>Sustainability</t>
        </is>
      </c>
      <c r="C275" s="24" t="inlineStr">
        <is>
          <t>event_type</t>
        </is>
      </c>
      <c r="D275" s="24" t="inlineStr">
        <is>
          <t>Event Type</t>
        </is>
      </c>
      <c r="E275" s="24" t="inlineStr">
        <is>
          <t>994</t>
        </is>
      </c>
    </row>
    <row r="276">
      <c r="A276" s="24" t="inlineStr">
        <is>
          <t>1002</t>
        </is>
      </c>
      <c r="B276" s="24" t="inlineStr">
        <is>
          <t>Veteran</t>
        </is>
      </c>
      <c r="C276" s="24" t="inlineStr">
        <is>
          <t>event_type</t>
        </is>
      </c>
      <c r="D276" s="24" t="inlineStr">
        <is>
          <t>Event Type</t>
        </is>
      </c>
      <c r="E276" s="24" t="inlineStr">
        <is>
          <t>994</t>
        </is>
      </c>
    </row>
    <row r="277">
      <c r="A277" s="24" t="inlineStr">
        <is>
          <t>1016</t>
        </is>
      </c>
      <c r="B277" s="24" t="inlineStr">
        <is>
          <t>Virtual Information Session</t>
        </is>
      </c>
      <c r="C277" s="24" t="inlineStr">
        <is>
          <t>event_type</t>
        </is>
      </c>
      <c r="D277" s="24" t="inlineStr">
        <is>
          <t>Event Type</t>
        </is>
      </c>
      <c r="E277" s="24" t="inlineStr">
        <is>
          <t>994</t>
        </is>
      </c>
    </row>
    <row r="278">
      <c r="A278" s="24" t="inlineStr">
        <is>
          <t>625</t>
        </is>
      </c>
      <c r="B278" s="24" t="inlineStr">
        <is>
          <t>Webinars</t>
        </is>
      </c>
      <c r="C278" s="24" t="inlineStr">
        <is>
          <t>event_type</t>
        </is>
      </c>
      <c r="D278" s="24" t="inlineStr">
        <is>
          <t>Event Type</t>
        </is>
      </c>
      <c r="E278" s="24" t="inlineStr">
        <is>
          <t>994</t>
        </is>
      </c>
    </row>
    <row r="279">
      <c r="A279" s="24" t="inlineStr">
        <is>
          <t>1009</t>
        </is>
      </c>
      <c r="B279" s="24" t="inlineStr">
        <is>
          <t>West</t>
        </is>
      </c>
      <c r="C279" s="24" t="inlineStr">
        <is>
          <t>event_type</t>
        </is>
      </c>
      <c r="D279" s="24" t="inlineStr">
        <is>
          <t>Event Type</t>
        </is>
      </c>
      <c r="E279" s="24" t="inlineStr">
        <is>
          <t>994</t>
        </is>
      </c>
    </row>
    <row r="280">
      <c r="A280" s="24" t="inlineStr">
        <is>
          <t>892</t>
        </is>
      </c>
      <c r="B280" s="24" t="inlineStr">
        <is>
          <t>Women</t>
        </is>
      </c>
      <c r="C280" s="24" t="inlineStr">
        <is>
          <t>event_type</t>
        </is>
      </c>
      <c r="D280" s="24" t="inlineStr">
        <is>
          <t>Event Type</t>
        </is>
      </c>
      <c r="E280" s="24" t="inlineStr">
        <is>
          <t>994</t>
        </is>
      </c>
    </row>
    <row r="281">
      <c r="A281" s="24" t="inlineStr">
        <is>
          <t>1022</t>
        </is>
      </c>
      <c r="B281" s="24" t="inlineStr">
        <is>
          <t>Education</t>
        </is>
      </c>
      <c r="C281" s="24" t="inlineStr">
        <is>
          <t>executive_education_focus</t>
        </is>
      </c>
      <c r="D281" s="24" t="inlineStr">
        <is>
          <t>Executive Education Focus</t>
        </is>
      </c>
      <c r="E281" s="24" t="n"/>
    </row>
    <row r="282">
      <c r="A282" s="24" t="inlineStr">
        <is>
          <t>1023</t>
        </is>
      </c>
      <c r="B282" s="24" t="inlineStr">
        <is>
          <t>Finance</t>
        </is>
      </c>
      <c r="C282" s="24" t="inlineStr">
        <is>
          <t>executive_education_focus</t>
        </is>
      </c>
      <c r="D282" s="24" t="inlineStr">
        <is>
          <t>Executive Education Focus</t>
        </is>
      </c>
      <c r="E282" s="24" t="n"/>
    </row>
    <row r="283">
      <c r="A283" s="24" t="inlineStr">
        <is>
          <t>1024</t>
        </is>
      </c>
      <c r="B283" s="24" t="inlineStr">
        <is>
          <t>Global Business</t>
        </is>
      </c>
      <c r="C283" s="24" t="inlineStr">
        <is>
          <t>executive_education_focus</t>
        </is>
      </c>
      <c r="D283" s="24" t="inlineStr">
        <is>
          <t>Executive Education Focus</t>
        </is>
      </c>
      <c r="E283" s="24" t="n"/>
    </row>
    <row r="284">
      <c r="A284" s="24" t="inlineStr">
        <is>
          <t>1025</t>
        </is>
      </c>
      <c r="B284" s="24" t="inlineStr">
        <is>
          <t>Healthcare</t>
        </is>
      </c>
      <c r="C284" s="24" t="inlineStr">
        <is>
          <t>executive_education_focus</t>
        </is>
      </c>
      <c r="D284" s="24" t="inlineStr">
        <is>
          <t>Executive Education Focus</t>
        </is>
      </c>
      <c r="E284" s="24" t="n"/>
    </row>
    <row r="285">
      <c r="A285" s="24" t="inlineStr">
        <is>
          <t>1026</t>
        </is>
      </c>
      <c r="B285" s="24" t="inlineStr">
        <is>
          <t>Innovation</t>
        </is>
      </c>
      <c r="C285" s="24" t="inlineStr">
        <is>
          <t>executive_education_focus</t>
        </is>
      </c>
      <c r="D285" s="24" t="inlineStr">
        <is>
          <t>Executive Education Focus</t>
        </is>
      </c>
      <c r="E285" s="24" t="n"/>
    </row>
    <row r="286">
      <c r="A286" s="24" t="inlineStr">
        <is>
          <t>1027</t>
        </is>
      </c>
      <c r="B286" s="24" t="inlineStr">
        <is>
          <t>Leadership</t>
        </is>
      </c>
      <c r="C286" s="24" t="inlineStr">
        <is>
          <t>executive_education_focus</t>
        </is>
      </c>
      <c r="D286" s="24" t="inlineStr">
        <is>
          <t>Executive Education Focus</t>
        </is>
      </c>
      <c r="E286" s="24" t="n"/>
    </row>
    <row r="287">
      <c r="A287" s="24" t="inlineStr">
        <is>
          <t>1028</t>
        </is>
      </c>
      <c r="B287" s="24" t="inlineStr">
        <is>
          <t>Management</t>
        </is>
      </c>
      <c r="C287" s="24" t="inlineStr">
        <is>
          <t>executive_education_focus</t>
        </is>
      </c>
      <c r="D287" s="24" t="inlineStr">
        <is>
          <t>Executive Education Focus</t>
        </is>
      </c>
      <c r="E287" s="24" t="n"/>
    </row>
    <row r="288">
      <c r="A288" s="24" t="inlineStr">
        <is>
          <t>1029</t>
        </is>
      </c>
      <c r="B288" s="24" t="inlineStr">
        <is>
          <t>Marketing</t>
        </is>
      </c>
      <c r="C288" s="24" t="inlineStr">
        <is>
          <t>executive_education_focus</t>
        </is>
      </c>
      <c r="D288" s="24" t="inlineStr">
        <is>
          <t>Executive Education Focus</t>
        </is>
      </c>
      <c r="E288" s="24" t="n"/>
    </row>
    <row r="289">
      <c r="A289" s="24" t="inlineStr">
        <is>
          <t>1030</t>
        </is>
      </c>
      <c r="B289" s="24" t="inlineStr">
        <is>
          <t>Sustainability</t>
        </is>
      </c>
      <c r="C289" s="24" t="inlineStr">
        <is>
          <t>executive_education_focus</t>
        </is>
      </c>
      <c r="D289" s="24" t="inlineStr">
        <is>
          <t>Executive Education Focus</t>
        </is>
      </c>
      <c r="E289" s="24" t="n"/>
    </row>
    <row r="290">
      <c r="A290" s="24" t="inlineStr">
        <is>
          <t>1031</t>
        </is>
      </c>
      <c r="B290" s="24" t="inlineStr">
        <is>
          <t>Women’s Leadership</t>
        </is>
      </c>
      <c r="C290" s="24" t="inlineStr">
        <is>
          <t>executive_education_focus</t>
        </is>
      </c>
      <c r="D290" s="24" t="inlineStr">
        <is>
          <t>Executive Education Focus</t>
        </is>
      </c>
      <c r="E290" s="24" t="n"/>
    </row>
    <row r="291">
      <c r="A291" s="24" t="inlineStr">
        <is>
          <t>224</t>
        </is>
      </c>
      <c r="B291" s="24" t="inlineStr">
        <is>
          <t>Affiliated Faculty</t>
        </is>
      </c>
      <c r="C291" s="24" t="inlineStr">
        <is>
          <t>faculty_category</t>
        </is>
      </c>
      <c r="D291" s="24" t="inlineStr">
        <is>
          <t>Faculty Category</t>
        </is>
      </c>
      <c r="E291" s="24" t="n"/>
    </row>
    <row r="292">
      <c r="A292" s="24" t="inlineStr">
        <is>
          <t>192</t>
        </is>
      </c>
      <c r="B292" s="24" t="inlineStr">
        <is>
          <t>Emeriti Faculty</t>
        </is>
      </c>
      <c r="C292" s="24" t="inlineStr">
        <is>
          <t>faculty_category</t>
        </is>
      </c>
      <c r="D292" s="24" t="inlineStr">
        <is>
          <t>Faculty Category</t>
        </is>
      </c>
      <c r="E292" s="24" t="n"/>
    </row>
    <row r="293">
      <c r="A293" s="24" t="inlineStr">
        <is>
          <t>225</t>
        </is>
      </c>
      <c r="B293" s="24" t="inlineStr">
        <is>
          <t>Visiting Instructors &amp; Scholars</t>
        </is>
      </c>
      <c r="C293" s="24" t="inlineStr">
        <is>
          <t>faculty_category</t>
        </is>
      </c>
      <c r="D293" s="24" t="inlineStr">
        <is>
          <t>Faculty Category</t>
        </is>
      </c>
      <c r="E293" s="24" t="n"/>
    </row>
    <row r="294">
      <c r="A294" s="24" t="inlineStr">
        <is>
          <t>141</t>
        </is>
      </c>
      <c r="B294" s="24" t="inlineStr">
        <is>
          <t>Yale SOM Faculty</t>
        </is>
      </c>
      <c r="C294" s="24" t="inlineStr">
        <is>
          <t>faculty_category</t>
        </is>
      </c>
      <c r="D294" s="24" t="inlineStr">
        <is>
          <t>Faculty Category</t>
        </is>
      </c>
      <c r="E294" s="24" t="n"/>
    </row>
    <row r="295">
      <c r="A295" s="24" t="inlineStr">
        <is>
          <t>136</t>
        </is>
      </c>
      <c r="B295" s="24" t="inlineStr">
        <is>
          <t>Accounting</t>
        </is>
      </c>
      <c r="C295" s="24" t="inlineStr">
        <is>
          <t>faculty_discipline</t>
        </is>
      </c>
      <c r="D295" s="24" t="inlineStr">
        <is>
          <t>Faculty Discipline</t>
        </is>
      </c>
      <c r="E295" s="24" t="n"/>
    </row>
    <row r="296">
      <c r="A296" s="24" t="inlineStr">
        <is>
          <t>157</t>
        </is>
      </c>
      <c r="B296" s="24" t="inlineStr">
        <is>
          <t>Economics</t>
        </is>
      </c>
      <c r="C296" s="24" t="inlineStr">
        <is>
          <t>faculty_discipline</t>
        </is>
      </c>
      <c r="D296" s="24" t="inlineStr">
        <is>
          <t>Faculty Discipline</t>
        </is>
      </c>
      <c r="E296" s="24" t="n"/>
    </row>
    <row r="297">
      <c r="A297" s="24" t="inlineStr">
        <is>
          <t>142</t>
        </is>
      </c>
      <c r="B297" s="24" t="inlineStr">
        <is>
          <t>Finance</t>
        </is>
      </c>
      <c r="C297" s="24" t="inlineStr">
        <is>
          <t>faculty_discipline</t>
        </is>
      </c>
      <c r="D297" s="24" t="inlineStr">
        <is>
          <t>Faculty Discipline</t>
        </is>
      </c>
      <c r="E297" s="24" t="n"/>
    </row>
    <row r="298">
      <c r="A298" s="24" t="inlineStr">
        <is>
          <t>228</t>
        </is>
      </c>
      <c r="B298" s="24" t="inlineStr">
        <is>
          <t>Management</t>
        </is>
      </c>
      <c r="C298" s="24" t="inlineStr">
        <is>
          <t>faculty_discipline</t>
        </is>
      </c>
      <c r="D298" s="24" t="inlineStr">
        <is>
          <t>Faculty Discipline</t>
        </is>
      </c>
      <c r="E298" s="24" t="n"/>
    </row>
    <row r="299">
      <c r="A299" s="24" t="inlineStr">
        <is>
          <t>155</t>
        </is>
      </c>
      <c r="B299" s="24" t="inlineStr">
        <is>
          <t>Marketing</t>
        </is>
      </c>
      <c r="C299" s="24" t="inlineStr">
        <is>
          <t>faculty_discipline</t>
        </is>
      </c>
      <c r="D299" s="24" t="inlineStr">
        <is>
          <t>Faculty Discipline</t>
        </is>
      </c>
      <c r="E299" s="24" t="n"/>
    </row>
    <row r="300">
      <c r="A300" s="24" t="inlineStr">
        <is>
          <t>165</t>
        </is>
      </c>
      <c r="B300" s="24" t="inlineStr">
        <is>
          <t>Operations</t>
        </is>
      </c>
      <c r="C300" s="24" t="inlineStr">
        <is>
          <t>faculty_discipline</t>
        </is>
      </c>
      <c r="D300" s="24" t="inlineStr">
        <is>
          <t>Faculty Discipline</t>
        </is>
      </c>
      <c r="E300" s="24" t="n"/>
    </row>
    <row r="301">
      <c r="A301" s="24" t="inlineStr">
        <is>
          <t>174</t>
        </is>
      </c>
      <c r="B301" s="24" t="inlineStr">
        <is>
          <t>Organizational Behavior</t>
        </is>
      </c>
      <c r="C301" s="24" t="inlineStr">
        <is>
          <t>faculty_discipline</t>
        </is>
      </c>
      <c r="D301" s="24" t="inlineStr">
        <is>
          <t>Faculty Discipline</t>
        </is>
      </c>
      <c r="E301" s="24" t="n"/>
    </row>
    <row r="302">
      <c r="A302" s="24" t="inlineStr">
        <is>
          <t>211</t>
        </is>
      </c>
      <c r="B302" s="24" t="inlineStr">
        <is>
          <t>Politics</t>
        </is>
      </c>
      <c r="C302" s="24" t="inlineStr">
        <is>
          <t>faculty_discipline</t>
        </is>
      </c>
      <c r="D302" s="24" t="inlineStr">
        <is>
          <t>Faculty Discipline</t>
        </is>
      </c>
      <c r="E302" s="24" t="n"/>
    </row>
    <row r="303">
      <c r="A303" s="24" t="inlineStr">
        <is>
          <t>137</t>
        </is>
      </c>
      <c r="B303" s="24" t="inlineStr">
        <is>
          <t>Accounting</t>
        </is>
      </c>
      <c r="C303" s="24" t="inlineStr">
        <is>
          <t>faculty_expertise</t>
        </is>
      </c>
      <c r="D303" s="24" t="inlineStr">
        <is>
          <t>Faculty Expertise</t>
        </is>
      </c>
      <c r="E303" s="24" t="n"/>
    </row>
    <row r="304">
      <c r="A304" s="24" t="inlineStr">
        <is>
          <t>248</t>
        </is>
      </c>
      <c r="B304" s="24" t="inlineStr">
        <is>
          <t>Activist Investors</t>
        </is>
      </c>
      <c r="C304" s="24" t="inlineStr">
        <is>
          <t>faculty_expertise</t>
        </is>
      </c>
      <c r="D304" s="24" t="inlineStr">
        <is>
          <t>Faculty Expertise</t>
        </is>
      </c>
      <c r="E304" s="24" t="n"/>
    </row>
    <row r="305">
      <c r="A305" s="24" t="inlineStr">
        <is>
          <t>231</t>
        </is>
      </c>
      <c r="B305" s="24" t="inlineStr">
        <is>
          <t>Advertising</t>
        </is>
      </c>
      <c r="C305" s="24" t="inlineStr">
        <is>
          <t>faculty_expertise</t>
        </is>
      </c>
      <c r="D305" s="24" t="inlineStr">
        <is>
          <t>Faculty Expertise</t>
        </is>
      </c>
      <c r="E305" s="24" t="n"/>
    </row>
    <row r="306">
      <c r="A306" s="24" t="inlineStr">
        <is>
          <t>1706</t>
        </is>
      </c>
      <c r="B306" s="24" t="inlineStr">
        <is>
          <t>AI</t>
        </is>
      </c>
      <c r="C306" s="24" t="inlineStr">
        <is>
          <t>faculty_expertise</t>
        </is>
      </c>
      <c r="D306" s="24" t="inlineStr">
        <is>
          <t>Faculty Expertise</t>
        </is>
      </c>
      <c r="E306" s="24" t="n"/>
    </row>
    <row r="307">
      <c r="A307" s="24" t="inlineStr">
        <is>
          <t>166</t>
        </is>
      </c>
      <c r="B307" s="24" t="inlineStr">
        <is>
          <t>Analytics</t>
        </is>
      </c>
      <c r="C307" s="24" t="inlineStr">
        <is>
          <t>faculty_expertise</t>
        </is>
      </c>
      <c r="D307" s="24" t="inlineStr">
        <is>
          <t>Faculty Expertise</t>
        </is>
      </c>
      <c r="E307" s="24" t="n"/>
    </row>
    <row r="308">
      <c r="A308" s="24" t="inlineStr">
        <is>
          <t>158</t>
        </is>
      </c>
      <c r="B308" s="24" t="inlineStr">
        <is>
          <t>Antitrust &amp; Competition Policy</t>
        </is>
      </c>
      <c r="C308" s="24" t="inlineStr">
        <is>
          <t>faculty_expertise</t>
        </is>
      </c>
      <c r="D308" s="24" t="inlineStr">
        <is>
          <t>Faculty Expertise</t>
        </is>
      </c>
      <c r="E308" s="24" t="n"/>
    </row>
    <row r="309">
      <c r="A309" s="24" t="inlineStr">
        <is>
          <t>1130</t>
        </is>
      </c>
      <c r="B309" s="24" t="inlineStr">
        <is>
          <t>Asset Pricing</t>
        </is>
      </c>
      <c r="C309" s="24" t="inlineStr">
        <is>
          <t>faculty_expertise</t>
        </is>
      </c>
      <c r="D309" s="24" t="inlineStr">
        <is>
          <t>Faculty Expertise</t>
        </is>
      </c>
      <c r="E309" s="24" t="n"/>
    </row>
    <row r="310">
      <c r="A310" s="24" t="inlineStr">
        <is>
          <t>1137</t>
        </is>
      </c>
      <c r="B310" s="24" t="inlineStr">
        <is>
          <t>Attention</t>
        </is>
      </c>
      <c r="C310" s="24" t="inlineStr">
        <is>
          <t>faculty_expertise</t>
        </is>
      </c>
      <c r="D310" s="24" t="inlineStr">
        <is>
          <t>Faculty Expertise</t>
        </is>
      </c>
      <c r="E310" s="24" t="n"/>
    </row>
    <row r="311">
      <c r="A311" s="24" t="inlineStr">
        <is>
          <t>138</t>
        </is>
      </c>
      <c r="B311" s="24" t="inlineStr">
        <is>
          <t>Auditing</t>
        </is>
      </c>
      <c r="C311" s="24" t="inlineStr">
        <is>
          <t>faculty_expertise</t>
        </is>
      </c>
      <c r="D311" s="24" t="inlineStr">
        <is>
          <t>Faculty Expertise</t>
        </is>
      </c>
      <c r="E311" s="24" t="n"/>
    </row>
    <row r="312">
      <c r="A312" s="24" t="inlineStr">
        <is>
          <t>246</t>
        </is>
      </c>
      <c r="B312" s="24" t="inlineStr">
        <is>
          <t>Banking</t>
        </is>
      </c>
      <c r="C312" s="24" t="inlineStr">
        <is>
          <t>faculty_expertise</t>
        </is>
      </c>
      <c r="D312" s="24" t="inlineStr">
        <is>
          <t>Faculty Expertise</t>
        </is>
      </c>
      <c r="E312" s="24" t="n"/>
    </row>
    <row r="313">
      <c r="A313" s="24" t="inlineStr">
        <is>
          <t>200</t>
        </is>
      </c>
      <c r="B313" s="24" t="inlineStr">
        <is>
          <t>Bankruptcy</t>
        </is>
      </c>
      <c r="C313" s="24" t="inlineStr">
        <is>
          <t>faculty_expertise</t>
        </is>
      </c>
      <c r="D313" s="24" t="inlineStr">
        <is>
          <t>Faculty Expertise</t>
        </is>
      </c>
      <c r="E313" s="24" t="n"/>
    </row>
    <row r="314">
      <c r="A314" s="24" t="inlineStr">
        <is>
          <t>159</t>
        </is>
      </c>
      <c r="B314" s="24" t="inlineStr">
        <is>
          <t>Behavioral Economics</t>
        </is>
      </c>
      <c r="C314" s="24" t="inlineStr">
        <is>
          <t>faculty_expertise</t>
        </is>
      </c>
      <c r="D314" s="24" t="inlineStr">
        <is>
          <t>Faculty Expertise</t>
        </is>
      </c>
      <c r="E314" s="24" t="n"/>
    </row>
    <row r="315">
      <c r="A315" s="24" t="inlineStr">
        <is>
          <t>146</t>
        </is>
      </c>
      <c r="B315" s="24" t="inlineStr">
        <is>
          <t>Behavioral Finance</t>
        </is>
      </c>
      <c r="C315" s="24" t="inlineStr">
        <is>
          <t>faculty_expertise</t>
        </is>
      </c>
      <c r="D315" s="24" t="inlineStr">
        <is>
          <t>Faculty Expertise</t>
        </is>
      </c>
      <c r="E315" s="24" t="n"/>
    </row>
    <row r="316">
      <c r="A316" s="24" t="inlineStr">
        <is>
          <t>190</t>
        </is>
      </c>
      <c r="B316" s="24" t="inlineStr">
        <is>
          <t>Behavioral Science</t>
        </is>
      </c>
      <c r="C316" s="24" t="inlineStr">
        <is>
          <t>faculty_expertise</t>
        </is>
      </c>
      <c r="D316" s="24" t="inlineStr">
        <is>
          <t>Faculty Expertise</t>
        </is>
      </c>
      <c r="E316" s="24" t="n"/>
    </row>
    <row r="317">
      <c r="A317" s="24" t="inlineStr">
        <is>
          <t>194</t>
        </is>
      </c>
      <c r="B317" s="24" t="inlineStr">
        <is>
          <t>Big Data</t>
        </is>
      </c>
      <c r="C317" s="24" t="inlineStr">
        <is>
          <t>faculty_expertise</t>
        </is>
      </c>
      <c r="D317" s="24" t="inlineStr">
        <is>
          <t>Faculty Expertise</t>
        </is>
      </c>
      <c r="E317" s="24" t="n"/>
    </row>
    <row r="318">
      <c r="A318" s="24" t="inlineStr">
        <is>
          <t>195</t>
        </is>
      </c>
      <c r="B318" s="24" t="inlineStr">
        <is>
          <t>Brand Management</t>
        </is>
      </c>
      <c r="C318" s="24" t="inlineStr">
        <is>
          <t>faculty_expertise</t>
        </is>
      </c>
      <c r="D318" s="24" t="inlineStr">
        <is>
          <t>Faculty Expertise</t>
        </is>
      </c>
      <c r="E318" s="24" t="n"/>
    </row>
    <row r="319">
      <c r="A319" s="24" t="inlineStr">
        <is>
          <t>1521</t>
        </is>
      </c>
      <c r="B319" s="24" t="inlineStr">
        <is>
          <t>Branding</t>
        </is>
      </c>
      <c r="C319" s="24" t="inlineStr">
        <is>
          <t>faculty_expertise</t>
        </is>
      </c>
      <c r="D319" s="24" t="inlineStr">
        <is>
          <t>Faculty Expertise</t>
        </is>
      </c>
      <c r="E319" s="24" t="n"/>
    </row>
    <row r="320">
      <c r="A320" s="24" t="inlineStr">
        <is>
          <t>175</t>
        </is>
      </c>
      <c r="B320" s="24" t="inlineStr">
        <is>
          <t>Business Strategy</t>
        </is>
      </c>
      <c r="C320" s="24" t="inlineStr">
        <is>
          <t>faculty_expertise</t>
        </is>
      </c>
      <c r="D320" s="24" t="inlineStr">
        <is>
          <t>Faculty Expertise</t>
        </is>
      </c>
      <c r="E320" s="24" t="n"/>
    </row>
    <row r="321">
      <c r="A321" s="24" t="inlineStr">
        <is>
          <t>212</t>
        </is>
      </c>
      <c r="B321" s="24" t="inlineStr">
        <is>
          <t>Business War Gaming</t>
        </is>
      </c>
      <c r="C321" s="24" t="inlineStr">
        <is>
          <t>faculty_expertise</t>
        </is>
      </c>
      <c r="D321" s="24" t="inlineStr">
        <is>
          <t>Faculty Expertise</t>
        </is>
      </c>
      <c r="E321" s="24" t="n"/>
    </row>
    <row r="322">
      <c r="A322" s="24" t="inlineStr">
        <is>
          <t>208</t>
        </is>
      </c>
      <c r="B322" s="24" t="inlineStr">
        <is>
          <t>Business-Government Relations</t>
        </is>
      </c>
      <c r="C322" s="24" t="inlineStr">
        <is>
          <t>faculty_expertise</t>
        </is>
      </c>
      <c r="D322" s="24" t="inlineStr">
        <is>
          <t>Faculty Expertise</t>
        </is>
      </c>
      <c r="E322" s="24" t="n"/>
    </row>
    <row r="323">
      <c r="A323" s="24" t="inlineStr">
        <is>
          <t>177</t>
        </is>
      </c>
      <c r="B323" s="24" t="inlineStr">
        <is>
          <t>Careers</t>
        </is>
      </c>
      <c r="C323" s="24" t="inlineStr">
        <is>
          <t>faculty_expertise</t>
        </is>
      </c>
      <c r="D323" s="24" t="inlineStr">
        <is>
          <t>Faculty Expertise</t>
        </is>
      </c>
      <c r="E323" s="24" t="n"/>
    </row>
    <row r="324">
      <c r="A324" s="24" t="inlineStr">
        <is>
          <t>220</t>
        </is>
      </c>
      <c r="B324" s="24" t="inlineStr">
        <is>
          <t>CEOs</t>
        </is>
      </c>
      <c r="C324" s="24" t="inlineStr">
        <is>
          <t>faculty_expertise</t>
        </is>
      </c>
      <c r="D324" s="24" t="inlineStr">
        <is>
          <t>Faculty Expertise</t>
        </is>
      </c>
      <c r="E324" s="24" t="n"/>
    </row>
    <row r="325">
      <c r="A325" s="24" t="inlineStr">
        <is>
          <t>236</t>
        </is>
      </c>
      <c r="B325" s="24" t="inlineStr">
        <is>
          <t>Cities and Regional Planning</t>
        </is>
      </c>
      <c r="C325" s="24" t="inlineStr">
        <is>
          <t>faculty_expertise</t>
        </is>
      </c>
      <c r="D325" s="24" t="inlineStr">
        <is>
          <t>Faculty Expertise</t>
        </is>
      </c>
      <c r="E325" s="24" t="n"/>
    </row>
    <row r="326">
      <c r="A326" s="24" t="inlineStr">
        <is>
          <t>243</t>
        </is>
      </c>
      <c r="B326" s="24" t="inlineStr">
        <is>
          <t>Collaboration</t>
        </is>
      </c>
      <c r="C326" s="24" t="inlineStr">
        <is>
          <t>faculty_expertise</t>
        </is>
      </c>
      <c r="D326" s="24" t="inlineStr">
        <is>
          <t>Faculty Expertise</t>
        </is>
      </c>
      <c r="E326" s="24" t="n"/>
    </row>
    <row r="327">
      <c r="A327" s="24" t="inlineStr">
        <is>
          <t>222</t>
        </is>
      </c>
      <c r="B327" s="24" t="inlineStr">
        <is>
          <t>Commodity Markets</t>
        </is>
      </c>
      <c r="C327" s="24" t="inlineStr">
        <is>
          <t>faculty_expertise</t>
        </is>
      </c>
      <c r="D327" s="24" t="inlineStr">
        <is>
          <t>Faculty Expertise</t>
        </is>
      </c>
      <c r="E327" s="24" t="n"/>
    </row>
    <row r="328">
      <c r="A328" s="24" t="inlineStr">
        <is>
          <t>160</t>
        </is>
      </c>
      <c r="B328" s="24" t="inlineStr">
        <is>
          <t>Competitive Strategy</t>
        </is>
      </c>
      <c r="C328" s="24" t="inlineStr">
        <is>
          <t>faculty_expertise</t>
        </is>
      </c>
      <c r="D328" s="24" t="inlineStr">
        <is>
          <t>Faculty Expertise</t>
        </is>
      </c>
      <c r="E328" s="24" t="n"/>
    </row>
    <row r="329">
      <c r="A329" s="24" t="inlineStr">
        <is>
          <t>232</t>
        </is>
      </c>
      <c r="B329" s="24" t="inlineStr">
        <is>
          <t>Conflicts of Interest</t>
        </is>
      </c>
      <c r="C329" s="24" t="inlineStr">
        <is>
          <t>faculty_expertise</t>
        </is>
      </c>
      <c r="D329" s="24" t="inlineStr">
        <is>
          <t>Faculty Expertise</t>
        </is>
      </c>
      <c r="E329" s="24" t="n"/>
    </row>
    <row r="330">
      <c r="A330" s="24" t="inlineStr">
        <is>
          <t>191</t>
        </is>
      </c>
      <c r="B330" s="24" t="inlineStr">
        <is>
          <t>Consumer Behavior</t>
        </is>
      </c>
      <c r="C330" s="24" t="inlineStr">
        <is>
          <t>faculty_expertise</t>
        </is>
      </c>
      <c r="D330" s="24" t="inlineStr">
        <is>
          <t>Faculty Expertise</t>
        </is>
      </c>
      <c r="E330" s="24" t="n"/>
    </row>
    <row r="331">
      <c r="A331" s="24" t="inlineStr">
        <is>
          <t>147</t>
        </is>
      </c>
      <c r="B331" s="24" t="inlineStr">
        <is>
          <t>Corporate Finance</t>
        </is>
      </c>
      <c r="C331" s="24" t="inlineStr">
        <is>
          <t>faculty_expertise</t>
        </is>
      </c>
      <c r="D331" s="24" t="inlineStr">
        <is>
          <t>Faculty Expertise</t>
        </is>
      </c>
      <c r="E331" s="24" t="n"/>
    </row>
    <row r="332">
      <c r="A332" s="24" t="inlineStr">
        <is>
          <t>139</t>
        </is>
      </c>
      <c r="B332" s="24" t="inlineStr">
        <is>
          <t>Corporate Governance</t>
        </is>
      </c>
      <c r="C332" s="24" t="inlineStr">
        <is>
          <t>faculty_expertise</t>
        </is>
      </c>
      <c r="D332" s="24" t="inlineStr">
        <is>
          <t>Faculty Expertise</t>
        </is>
      </c>
      <c r="E332" s="24" t="n"/>
    </row>
    <row r="333">
      <c r="A333" s="24" t="inlineStr">
        <is>
          <t>167</t>
        </is>
      </c>
      <c r="B333" s="24" t="inlineStr">
        <is>
          <t>Counter-terrorism</t>
        </is>
      </c>
      <c r="C333" s="24" t="inlineStr">
        <is>
          <t>faculty_expertise</t>
        </is>
      </c>
      <c r="D333" s="24" t="inlineStr">
        <is>
          <t>Faculty Expertise</t>
        </is>
      </c>
      <c r="E333" s="24" t="n"/>
    </row>
    <row r="334">
      <c r="A334" s="24" t="inlineStr">
        <is>
          <t>161</t>
        </is>
      </c>
      <c r="B334" s="24" t="inlineStr">
        <is>
          <t>Creativity</t>
        </is>
      </c>
      <c r="C334" s="24" t="inlineStr">
        <is>
          <t>faculty_expertise</t>
        </is>
      </c>
      <c r="D334" s="24" t="inlineStr">
        <is>
          <t>Faculty Expertise</t>
        </is>
      </c>
      <c r="E334" s="24" t="n"/>
    </row>
    <row r="335">
      <c r="A335" s="24" t="inlineStr">
        <is>
          <t>168</t>
        </is>
      </c>
      <c r="B335" s="24" t="inlineStr">
        <is>
          <t>Decision-making</t>
        </is>
      </c>
      <c r="C335" s="24" t="inlineStr">
        <is>
          <t>faculty_expertise</t>
        </is>
      </c>
      <c r="D335" s="24" t="inlineStr">
        <is>
          <t>Faculty Expertise</t>
        </is>
      </c>
      <c r="E335" s="24" t="n"/>
    </row>
    <row r="336">
      <c r="A336" s="24" t="inlineStr">
        <is>
          <t>216</t>
        </is>
      </c>
      <c r="B336" s="24" t="inlineStr">
        <is>
          <t>Digital Marketing</t>
        </is>
      </c>
      <c r="C336" s="24" t="inlineStr">
        <is>
          <t>faculty_expertise</t>
        </is>
      </c>
      <c r="D336" s="24" t="inlineStr">
        <is>
          <t>Faculty Expertise</t>
        </is>
      </c>
      <c r="E336" s="24" t="n"/>
    </row>
    <row r="337">
      <c r="A337" s="24" t="inlineStr">
        <is>
          <t>240</t>
        </is>
      </c>
      <c r="B337" s="24" t="inlineStr">
        <is>
          <t>Digital Strategy</t>
        </is>
      </c>
      <c r="C337" s="24" t="inlineStr">
        <is>
          <t>faculty_expertise</t>
        </is>
      </c>
      <c r="D337" s="24" t="inlineStr">
        <is>
          <t>Faculty Expertise</t>
        </is>
      </c>
      <c r="E337" s="24" t="n"/>
    </row>
    <row r="338">
      <c r="A338" s="24" t="inlineStr">
        <is>
          <t>201</t>
        </is>
      </c>
      <c r="B338" s="24" t="inlineStr">
        <is>
          <t>Distress Investing</t>
        </is>
      </c>
      <c r="C338" s="24" t="inlineStr">
        <is>
          <t>faculty_expertise</t>
        </is>
      </c>
      <c r="D338" s="24" t="inlineStr">
        <is>
          <t>Faculty Expertise</t>
        </is>
      </c>
      <c r="E338" s="24" t="n"/>
    </row>
    <row r="339">
      <c r="A339" s="24" t="inlineStr">
        <is>
          <t>229</t>
        </is>
      </c>
      <c r="B339" s="24" t="inlineStr">
        <is>
          <t>Diversity and Inclusion</t>
        </is>
      </c>
      <c r="C339" s="24" t="inlineStr">
        <is>
          <t>faculty_expertise</t>
        </is>
      </c>
      <c r="D339" s="24" t="inlineStr">
        <is>
          <t>Faculty Expertise</t>
        </is>
      </c>
      <c r="E339" s="24" t="n"/>
    </row>
    <row r="340">
      <c r="A340" s="24" t="inlineStr">
        <is>
          <t>1132</t>
        </is>
      </c>
      <c r="B340" s="24" t="inlineStr">
        <is>
          <t>Econometrics</t>
        </is>
      </c>
      <c r="C340" s="24" t="inlineStr">
        <is>
          <t>faculty_expertise</t>
        </is>
      </c>
      <c r="D340" s="24" t="inlineStr">
        <is>
          <t>Faculty Expertise</t>
        </is>
      </c>
      <c r="E340" s="24" t="n"/>
    </row>
    <row r="341">
      <c r="A341" s="24" t="inlineStr">
        <is>
          <t>187</t>
        </is>
      </c>
      <c r="B341" s="24" t="inlineStr">
        <is>
          <t>Economic Development</t>
        </is>
      </c>
      <c r="C341" s="24" t="inlineStr">
        <is>
          <t>faculty_expertise</t>
        </is>
      </c>
      <c r="D341" s="24" t="inlineStr">
        <is>
          <t>Faculty Expertise</t>
        </is>
      </c>
      <c r="E341" s="24" t="n"/>
    </row>
    <row r="342">
      <c r="A342" s="24" t="inlineStr">
        <is>
          <t>148</t>
        </is>
      </c>
      <c r="B342" s="24" t="inlineStr">
        <is>
          <t>Economics</t>
        </is>
      </c>
      <c r="C342" s="24" t="inlineStr">
        <is>
          <t>faculty_expertise</t>
        </is>
      </c>
      <c r="D342" s="24" t="inlineStr">
        <is>
          <t>Faculty Expertise</t>
        </is>
      </c>
      <c r="E342" s="24" t="n"/>
    </row>
    <row r="343">
      <c r="A343" s="24" t="inlineStr">
        <is>
          <t>1374</t>
        </is>
      </c>
      <c r="B343" s="24" t="inlineStr">
        <is>
          <t>Education</t>
        </is>
      </c>
      <c r="C343" s="24" t="inlineStr">
        <is>
          <t>faculty_expertise</t>
        </is>
      </c>
      <c r="D343" s="24" t="inlineStr">
        <is>
          <t>Faculty Expertise</t>
        </is>
      </c>
      <c r="E343" s="24" t="n"/>
    </row>
    <row r="344">
      <c r="A344" s="24" t="inlineStr">
        <is>
          <t>235</t>
        </is>
      </c>
      <c r="B344" s="24" t="inlineStr">
        <is>
          <t>Elections</t>
        </is>
      </c>
      <c r="C344" s="24" t="inlineStr">
        <is>
          <t>faculty_expertise</t>
        </is>
      </c>
      <c r="D344" s="24" t="inlineStr">
        <is>
          <t>Faculty Expertise</t>
        </is>
      </c>
      <c r="E344" s="24" t="n"/>
    </row>
    <row r="345">
      <c r="A345" s="24" t="inlineStr">
        <is>
          <t>188</t>
        </is>
      </c>
      <c r="B345" s="24" t="inlineStr">
        <is>
          <t>Emerging Markets</t>
        </is>
      </c>
      <c r="C345" s="24" t="inlineStr">
        <is>
          <t>faculty_expertise</t>
        </is>
      </c>
      <c r="D345" s="24" t="inlineStr">
        <is>
          <t>Faculty Expertise</t>
        </is>
      </c>
      <c r="E345" s="24" t="n"/>
    </row>
    <row r="346">
      <c r="A346" s="24" t="inlineStr">
        <is>
          <t>149</t>
        </is>
      </c>
      <c r="B346" s="24" t="inlineStr">
        <is>
          <t>Entrepreneurship</t>
        </is>
      </c>
      <c r="C346" s="24" t="inlineStr">
        <is>
          <t>faculty_expertise</t>
        </is>
      </c>
      <c r="D346" s="24" t="inlineStr">
        <is>
          <t>Faculty Expertise</t>
        </is>
      </c>
      <c r="E346" s="24" t="n"/>
    </row>
    <row r="347">
      <c r="A347" s="24" t="inlineStr">
        <is>
          <t>210</t>
        </is>
      </c>
      <c r="B347" s="24" t="inlineStr">
        <is>
          <t>Environment</t>
        </is>
      </c>
      <c r="C347" s="24" t="inlineStr">
        <is>
          <t>faculty_expertise</t>
        </is>
      </c>
      <c r="D347" s="24" t="inlineStr">
        <is>
          <t>Faculty Expertise</t>
        </is>
      </c>
      <c r="E347" s="24" t="n"/>
    </row>
    <row r="348">
      <c r="A348" s="24" t="inlineStr">
        <is>
          <t>1203</t>
        </is>
      </c>
      <c r="B348" s="24" t="inlineStr">
        <is>
          <t>Environmental, Social, and Governance (ESG)</t>
        </is>
      </c>
      <c r="C348" s="24" t="inlineStr">
        <is>
          <t>faculty_expertise</t>
        </is>
      </c>
      <c r="D348" s="24" t="inlineStr">
        <is>
          <t>Faculty Expertise</t>
        </is>
      </c>
      <c r="E348" s="24" t="n"/>
    </row>
    <row r="349">
      <c r="A349" s="24" t="inlineStr">
        <is>
          <t>1375</t>
        </is>
      </c>
      <c r="B349" s="24" t="inlineStr">
        <is>
          <t>Equity and Fairness</t>
        </is>
      </c>
      <c r="C349" s="24" t="inlineStr">
        <is>
          <t>faculty_expertise</t>
        </is>
      </c>
      <c r="D349" s="24" t="inlineStr">
        <is>
          <t>Faculty Expertise</t>
        </is>
      </c>
      <c r="E349" s="24" t="n"/>
    </row>
    <row r="350">
      <c r="A350" s="24" t="inlineStr">
        <is>
          <t>209</t>
        </is>
      </c>
      <c r="B350" s="24" t="inlineStr">
        <is>
          <t>Ethics</t>
        </is>
      </c>
      <c r="C350" s="24" t="inlineStr">
        <is>
          <t>faculty_expertise</t>
        </is>
      </c>
      <c r="D350" s="24" t="inlineStr">
        <is>
          <t>Faculty Expertise</t>
        </is>
      </c>
      <c r="E350" s="24" t="n"/>
    </row>
    <row r="351">
      <c r="A351" s="24" t="inlineStr">
        <is>
          <t>143</t>
        </is>
      </c>
      <c r="B351" s="24" t="inlineStr">
        <is>
          <t>Financial Crises</t>
        </is>
      </c>
      <c r="C351" s="24" t="inlineStr">
        <is>
          <t>faculty_expertise</t>
        </is>
      </c>
      <c r="D351" s="24" t="inlineStr">
        <is>
          <t>Faculty Expertise</t>
        </is>
      </c>
      <c r="E351" s="24" t="n"/>
    </row>
    <row r="352">
      <c r="A352" s="24" t="inlineStr">
        <is>
          <t>144</t>
        </is>
      </c>
      <c r="B352" s="24" t="inlineStr">
        <is>
          <t>Financial Markets</t>
        </is>
      </c>
      <c r="C352" s="24" t="inlineStr">
        <is>
          <t>faculty_expertise</t>
        </is>
      </c>
      <c r="D352" s="24" t="inlineStr">
        <is>
          <t>Faculty Expertise</t>
        </is>
      </c>
      <c r="E352" s="24" t="n"/>
    </row>
    <row r="353">
      <c r="A353" s="24" t="inlineStr">
        <is>
          <t>145</t>
        </is>
      </c>
      <c r="B353" s="24" t="inlineStr">
        <is>
          <t>Financial Regulation</t>
        </is>
      </c>
      <c r="C353" s="24" t="inlineStr">
        <is>
          <t>faculty_expertise</t>
        </is>
      </c>
      <c r="D353" s="24" t="inlineStr">
        <is>
          <t>Faculty Expertise</t>
        </is>
      </c>
      <c r="E353" s="24" t="n"/>
    </row>
    <row r="354">
      <c r="A354" s="24" t="inlineStr">
        <is>
          <t>140</t>
        </is>
      </c>
      <c r="B354" s="24" t="inlineStr">
        <is>
          <t>Financial Reporting</t>
        </is>
      </c>
      <c r="C354" s="24" t="inlineStr">
        <is>
          <t>faculty_expertise</t>
        </is>
      </c>
      <c r="D354" s="24" t="inlineStr">
        <is>
          <t>Faculty Expertise</t>
        </is>
      </c>
      <c r="E354" s="24" t="n"/>
    </row>
    <row r="355">
      <c r="A355" s="24" t="inlineStr">
        <is>
          <t>217</t>
        </is>
      </c>
      <c r="B355" s="24" t="inlineStr">
        <is>
          <t>Game Theory</t>
        </is>
      </c>
      <c r="C355" s="24" t="inlineStr">
        <is>
          <t>faculty_expertise</t>
        </is>
      </c>
      <c r="D355" s="24" t="inlineStr">
        <is>
          <t>Faculty Expertise</t>
        </is>
      </c>
      <c r="E355" s="24" t="n"/>
    </row>
    <row r="356">
      <c r="A356" s="24" t="inlineStr">
        <is>
          <t>1520</t>
        </is>
      </c>
      <c r="B356" s="24" t="inlineStr">
        <is>
          <t>Gender</t>
        </is>
      </c>
      <c r="C356" s="24" t="inlineStr">
        <is>
          <t>faculty_expertise</t>
        </is>
      </c>
      <c r="D356" s="24" t="inlineStr">
        <is>
          <t>Faculty Expertise</t>
        </is>
      </c>
      <c r="E356" s="24" t="n"/>
    </row>
    <row r="357">
      <c r="A357" s="24" t="inlineStr">
        <is>
          <t>213</t>
        </is>
      </c>
      <c r="B357" s="24" t="inlineStr">
        <is>
          <t>Global Corporate Strategy</t>
        </is>
      </c>
      <c r="C357" s="24" t="inlineStr">
        <is>
          <t>faculty_expertise</t>
        </is>
      </c>
      <c r="D357" s="24" t="inlineStr">
        <is>
          <t>Faculty Expertise</t>
        </is>
      </c>
      <c r="E357" s="24" t="n"/>
    </row>
    <row r="358">
      <c r="A358" s="24" t="inlineStr">
        <is>
          <t>189</t>
        </is>
      </c>
      <c r="B358" s="24" t="inlineStr">
        <is>
          <t>Globalization</t>
        </is>
      </c>
      <c r="C358" s="24" t="inlineStr">
        <is>
          <t>faculty_expertise</t>
        </is>
      </c>
      <c r="D358" s="24" t="inlineStr">
        <is>
          <t>Faculty Expertise</t>
        </is>
      </c>
      <c r="E358" s="24" t="n"/>
    </row>
    <row r="359">
      <c r="A359" s="24" t="inlineStr">
        <is>
          <t>196</t>
        </is>
      </c>
      <c r="B359" s="24" t="inlineStr">
        <is>
          <t>Health Care</t>
        </is>
      </c>
      <c r="C359" s="24" t="inlineStr">
        <is>
          <t>faculty_expertise</t>
        </is>
      </c>
      <c r="D359" s="24" t="inlineStr">
        <is>
          <t>Faculty Expertise</t>
        </is>
      </c>
      <c r="E359" s="24" t="n"/>
    </row>
    <row r="360">
      <c r="A360" s="24" t="inlineStr">
        <is>
          <t>193</t>
        </is>
      </c>
      <c r="B360" s="24" t="inlineStr">
        <is>
          <t>Hedge Funds</t>
        </is>
      </c>
      <c r="C360" s="24" t="inlineStr">
        <is>
          <t>faculty_expertise</t>
        </is>
      </c>
      <c r="D360" s="24" t="inlineStr">
        <is>
          <t>Faculty Expertise</t>
        </is>
      </c>
      <c r="E360" s="24" t="n"/>
    </row>
    <row r="361">
      <c r="A361" s="24" t="inlineStr">
        <is>
          <t>178</t>
        </is>
      </c>
      <c r="B361" s="24" t="inlineStr">
        <is>
          <t>Human Resources</t>
        </is>
      </c>
      <c r="C361" s="24" t="inlineStr">
        <is>
          <t>faculty_expertise</t>
        </is>
      </c>
      <c r="D361" s="24" t="inlineStr">
        <is>
          <t>Faculty Expertise</t>
        </is>
      </c>
      <c r="E361" s="24" t="n"/>
    </row>
    <row r="362">
      <c r="A362" s="24" t="inlineStr">
        <is>
          <t>162</t>
        </is>
      </c>
      <c r="B362" s="24" t="inlineStr">
        <is>
          <t>Innovation</t>
        </is>
      </c>
      <c r="C362" s="24" t="inlineStr">
        <is>
          <t>faculty_expertise</t>
        </is>
      </c>
      <c r="D362" s="24" t="inlineStr">
        <is>
          <t>Faculty Expertise</t>
        </is>
      </c>
      <c r="E362" s="24" t="n"/>
    </row>
    <row r="363">
      <c r="A363" s="24" t="inlineStr">
        <is>
          <t>223</t>
        </is>
      </c>
      <c r="B363" s="24" t="inlineStr">
        <is>
          <t>International Finance</t>
        </is>
      </c>
      <c r="C363" s="24" t="inlineStr">
        <is>
          <t>faculty_expertise</t>
        </is>
      </c>
      <c r="D363" s="24" t="inlineStr">
        <is>
          <t>Faculty Expertise</t>
        </is>
      </c>
      <c r="E363" s="24" t="n"/>
    </row>
    <row r="364">
      <c r="A364" s="24" t="inlineStr">
        <is>
          <t>1707</t>
        </is>
      </c>
      <c r="B364" s="24" t="inlineStr">
        <is>
          <t>International Macroeconomics</t>
        </is>
      </c>
      <c r="C364" s="24" t="inlineStr">
        <is>
          <t>faculty_expertise</t>
        </is>
      </c>
      <c r="D364" s="24" t="inlineStr">
        <is>
          <t>Faculty Expertise</t>
        </is>
      </c>
      <c r="E364" s="24" t="n"/>
    </row>
    <row r="365">
      <c r="A365" s="24" t="inlineStr">
        <is>
          <t>198</t>
        </is>
      </c>
      <c r="B365" s="24" t="inlineStr">
        <is>
          <t>International Trade</t>
        </is>
      </c>
      <c r="C365" s="24" t="inlineStr">
        <is>
          <t>faculty_expertise</t>
        </is>
      </c>
      <c r="D365" s="24" t="inlineStr">
        <is>
          <t>Faculty Expertise</t>
        </is>
      </c>
      <c r="E365" s="24" t="n"/>
    </row>
    <row r="366">
      <c r="A366" s="24" t="inlineStr">
        <is>
          <t>179</t>
        </is>
      </c>
      <c r="B366" s="24" t="inlineStr">
        <is>
          <t>Labor Issues</t>
        </is>
      </c>
      <c r="C366" s="24" t="inlineStr">
        <is>
          <t>faculty_expertise</t>
        </is>
      </c>
      <c r="D366" s="24" t="inlineStr">
        <is>
          <t>Faculty Expertise</t>
        </is>
      </c>
      <c r="E366" s="24" t="n"/>
    </row>
    <row r="367">
      <c r="A367" s="24" t="inlineStr">
        <is>
          <t>180</t>
        </is>
      </c>
      <c r="B367" s="24" t="inlineStr">
        <is>
          <t>Leadership</t>
        </is>
      </c>
      <c r="C367" s="24" t="inlineStr">
        <is>
          <t>faculty_expertise</t>
        </is>
      </c>
      <c r="D367" s="24" t="inlineStr">
        <is>
          <t>Faculty Expertise</t>
        </is>
      </c>
      <c r="E367" s="24" t="n"/>
    </row>
    <row r="368">
      <c r="A368" s="24" t="inlineStr">
        <is>
          <t>1131</t>
        </is>
      </c>
      <c r="B368" s="24" t="inlineStr">
        <is>
          <t>Machine Learning</t>
        </is>
      </c>
      <c r="C368" s="24" t="inlineStr">
        <is>
          <t>faculty_expertise</t>
        </is>
      </c>
      <c r="D368" s="24" t="inlineStr">
        <is>
          <t>Faculty Expertise</t>
        </is>
      </c>
      <c r="E368" s="24" t="n"/>
    </row>
    <row r="369">
      <c r="A369" s="24" t="inlineStr">
        <is>
          <t>1708</t>
        </is>
      </c>
      <c r="B369" s="24" t="inlineStr">
        <is>
          <t>Macroeconomics</t>
        </is>
      </c>
      <c r="C369" s="24" t="inlineStr">
        <is>
          <t>faculty_expertise</t>
        </is>
      </c>
      <c r="D369" s="24" t="inlineStr">
        <is>
          <t>Faculty Expertise</t>
        </is>
      </c>
      <c r="E369" s="24" t="n"/>
    </row>
    <row r="370">
      <c r="A370" s="24" t="inlineStr">
        <is>
          <t>199</t>
        </is>
      </c>
      <c r="B370" s="24" t="inlineStr">
        <is>
          <t>Manufacturing</t>
        </is>
      </c>
      <c r="C370" s="24" t="inlineStr">
        <is>
          <t>faculty_expertise</t>
        </is>
      </c>
      <c r="D370" s="24" t="inlineStr">
        <is>
          <t>Faculty Expertise</t>
        </is>
      </c>
      <c r="E370" s="24" t="n"/>
    </row>
    <row r="371">
      <c r="A371" s="24" t="inlineStr">
        <is>
          <t>1372</t>
        </is>
      </c>
      <c r="B371" s="24" t="inlineStr">
        <is>
          <t>Market Design</t>
        </is>
      </c>
      <c r="C371" s="24" t="inlineStr">
        <is>
          <t>faculty_expertise</t>
        </is>
      </c>
      <c r="D371" s="24" t="inlineStr">
        <is>
          <t>Faculty Expertise</t>
        </is>
      </c>
      <c r="E371" s="24" t="n"/>
    </row>
    <row r="372">
      <c r="A372" s="24" t="inlineStr">
        <is>
          <t>156</t>
        </is>
      </c>
      <c r="B372" s="24" t="inlineStr">
        <is>
          <t>Marketing</t>
        </is>
      </c>
      <c r="C372" s="24" t="inlineStr">
        <is>
          <t>faculty_expertise</t>
        </is>
      </c>
      <c r="D372" s="24" t="inlineStr">
        <is>
          <t>Faculty Expertise</t>
        </is>
      </c>
      <c r="E372" s="24" t="n"/>
    </row>
    <row r="373">
      <c r="A373" s="24" t="inlineStr">
        <is>
          <t>218</t>
        </is>
      </c>
      <c r="B373" s="24" t="inlineStr">
        <is>
          <t>Marketing Strategy</t>
        </is>
      </c>
      <c r="C373" s="24" t="inlineStr">
        <is>
          <t>faculty_expertise</t>
        </is>
      </c>
      <c r="D373" s="24" t="inlineStr">
        <is>
          <t>Faculty Expertise</t>
        </is>
      </c>
      <c r="E373" s="24" t="n"/>
    </row>
    <row r="374">
      <c r="A374" s="24" t="inlineStr">
        <is>
          <t>241</t>
        </is>
      </c>
      <c r="B374" s="24" t="inlineStr">
        <is>
          <t>Matching Markets</t>
        </is>
      </c>
      <c r="C374" s="24" t="inlineStr">
        <is>
          <t>faculty_expertise</t>
        </is>
      </c>
      <c r="D374" s="24" t="inlineStr">
        <is>
          <t>Faculty Expertise</t>
        </is>
      </c>
      <c r="E374" s="24" t="n"/>
    </row>
    <row r="375">
      <c r="A375" s="24" t="inlineStr">
        <is>
          <t>1135</t>
        </is>
      </c>
      <c r="B375" s="24" t="inlineStr">
        <is>
          <t>Mechanism Design</t>
        </is>
      </c>
      <c r="C375" s="24" t="inlineStr">
        <is>
          <t>faculty_expertise</t>
        </is>
      </c>
      <c r="D375" s="24" t="inlineStr">
        <is>
          <t>Faculty Expertise</t>
        </is>
      </c>
      <c r="E375" s="24" t="n"/>
    </row>
    <row r="376">
      <c r="A376" s="24" t="inlineStr">
        <is>
          <t>150</t>
        </is>
      </c>
      <c r="B376" s="24" t="inlineStr">
        <is>
          <t>Mergers &amp; Acquisitions</t>
        </is>
      </c>
      <c r="C376" s="24" t="inlineStr">
        <is>
          <t>faculty_expertise</t>
        </is>
      </c>
      <c r="D376" s="24" t="inlineStr">
        <is>
          <t>Faculty Expertise</t>
        </is>
      </c>
      <c r="E376" s="24" t="n"/>
    </row>
    <row r="377">
      <c r="A377" s="24" t="inlineStr">
        <is>
          <t>242</t>
        </is>
      </c>
      <c r="B377" s="24" t="inlineStr">
        <is>
          <t>Methodology</t>
        </is>
      </c>
      <c r="C377" s="24" t="inlineStr">
        <is>
          <t>faculty_expertise</t>
        </is>
      </c>
      <c r="D377" s="24" t="inlineStr">
        <is>
          <t>Faculty Expertise</t>
        </is>
      </c>
      <c r="E377" s="24" t="n"/>
    </row>
    <row r="378">
      <c r="A378" s="24" t="inlineStr">
        <is>
          <t>247</t>
        </is>
      </c>
      <c r="B378" s="24" t="inlineStr">
        <is>
          <t>Monetary Policy</t>
        </is>
      </c>
      <c r="C378" s="24" t="inlineStr">
        <is>
          <t>faculty_expertise</t>
        </is>
      </c>
      <c r="D378" s="24" t="inlineStr">
        <is>
          <t>Faculty Expertise</t>
        </is>
      </c>
      <c r="E378" s="24" t="n"/>
    </row>
    <row r="379">
      <c r="A379" s="24" t="inlineStr">
        <is>
          <t>249</t>
        </is>
      </c>
      <c r="B379" s="24" t="inlineStr">
        <is>
          <t>Municipalities</t>
        </is>
      </c>
      <c r="C379" s="24" t="inlineStr">
        <is>
          <t>faculty_expertise</t>
        </is>
      </c>
      <c r="D379" s="24" t="inlineStr">
        <is>
          <t>Faculty Expertise</t>
        </is>
      </c>
      <c r="E379" s="24" t="n"/>
    </row>
    <row r="380">
      <c r="A380" s="24" t="inlineStr">
        <is>
          <t>151</t>
        </is>
      </c>
      <c r="B380" s="24" t="inlineStr">
        <is>
          <t>Mutual Funds</t>
        </is>
      </c>
      <c r="C380" s="24" t="inlineStr">
        <is>
          <t>faculty_expertise</t>
        </is>
      </c>
      <c r="D380" s="24" t="inlineStr">
        <is>
          <t>Faculty Expertise</t>
        </is>
      </c>
      <c r="E380" s="24" t="n"/>
    </row>
    <row r="381">
      <c r="A381" s="24" t="inlineStr">
        <is>
          <t>214</t>
        </is>
      </c>
      <c r="B381" s="24" t="inlineStr">
        <is>
          <t>National Security &amp; International Order</t>
        </is>
      </c>
      <c r="C381" s="24" t="inlineStr">
        <is>
          <t>faculty_expertise</t>
        </is>
      </c>
      <c r="D381" s="24" t="inlineStr">
        <is>
          <t>Faculty Expertise</t>
        </is>
      </c>
      <c r="E381" s="24" t="n"/>
    </row>
    <row r="382">
      <c r="A382" s="24" t="inlineStr">
        <is>
          <t>226</t>
        </is>
      </c>
      <c r="B382" s="24" t="inlineStr">
        <is>
          <t>Negotiations</t>
        </is>
      </c>
      <c r="C382" s="24" t="inlineStr">
        <is>
          <t>faculty_expertise</t>
        </is>
      </c>
      <c r="D382" s="24" t="inlineStr">
        <is>
          <t>Faculty Expertise</t>
        </is>
      </c>
      <c r="E382" s="24" t="n"/>
    </row>
    <row r="383">
      <c r="A383" s="24" t="inlineStr">
        <is>
          <t>202</t>
        </is>
      </c>
      <c r="B383" s="24" t="inlineStr">
        <is>
          <t>Nonprofit Accounting</t>
        </is>
      </c>
      <c r="C383" s="24" t="inlineStr">
        <is>
          <t>faculty_expertise</t>
        </is>
      </c>
      <c r="D383" s="24" t="inlineStr">
        <is>
          <t>Faculty Expertise</t>
        </is>
      </c>
      <c r="E383" s="24" t="n"/>
    </row>
    <row r="384">
      <c r="A384" s="24" t="inlineStr">
        <is>
          <t>181</t>
        </is>
      </c>
      <c r="B384" s="24" t="inlineStr">
        <is>
          <t>Nonprofit Management</t>
        </is>
      </c>
      <c r="C384" s="24" t="inlineStr">
        <is>
          <t>faculty_expertise</t>
        </is>
      </c>
      <c r="D384" s="24" t="inlineStr">
        <is>
          <t>Faculty Expertise</t>
        </is>
      </c>
      <c r="E384" s="24" t="n"/>
    </row>
    <row r="385">
      <c r="A385" s="24" t="inlineStr">
        <is>
          <t>205</t>
        </is>
      </c>
      <c r="B385" s="24" t="inlineStr">
        <is>
          <t>Nonprofit Operations</t>
        </is>
      </c>
      <c r="C385" s="24" t="inlineStr">
        <is>
          <t>faculty_expertise</t>
        </is>
      </c>
      <c r="D385" s="24" t="inlineStr">
        <is>
          <t>Faculty Expertise</t>
        </is>
      </c>
      <c r="E385" s="24" t="n"/>
    </row>
    <row r="386">
      <c r="A386" s="24" t="inlineStr">
        <is>
          <t>237</t>
        </is>
      </c>
      <c r="B386" s="24" t="inlineStr">
        <is>
          <t>Online Marketing</t>
        </is>
      </c>
      <c r="C386" s="24" t="inlineStr">
        <is>
          <t>faculty_expertise</t>
        </is>
      </c>
      <c r="D386" s="24" t="inlineStr">
        <is>
          <t>Faculty Expertise</t>
        </is>
      </c>
      <c r="E386" s="24" t="n"/>
    </row>
    <row r="387">
      <c r="A387" s="24" t="inlineStr">
        <is>
          <t>169</t>
        </is>
      </c>
      <c r="B387" s="24" t="inlineStr">
        <is>
          <t>Operations</t>
        </is>
      </c>
      <c r="C387" s="24" t="inlineStr">
        <is>
          <t>faculty_expertise</t>
        </is>
      </c>
      <c r="D387" s="24" t="inlineStr">
        <is>
          <t>Faculty Expertise</t>
        </is>
      </c>
      <c r="E387" s="24" t="n"/>
    </row>
    <row r="388">
      <c r="A388" s="24" t="inlineStr">
        <is>
          <t>170</t>
        </is>
      </c>
      <c r="B388" s="24" t="inlineStr">
        <is>
          <t>Operations Research</t>
        </is>
      </c>
      <c r="C388" s="24" t="inlineStr">
        <is>
          <t>faculty_expertise</t>
        </is>
      </c>
      <c r="D388" s="24" t="inlineStr">
        <is>
          <t>Faculty Expertise</t>
        </is>
      </c>
      <c r="E388" s="24" t="n"/>
    </row>
    <row r="389">
      <c r="A389" s="24" t="inlineStr">
        <is>
          <t>176</t>
        </is>
      </c>
      <c r="B389" s="24" t="inlineStr">
        <is>
          <t>Organizational Behavior</t>
        </is>
      </c>
      <c r="C389" s="24" t="inlineStr">
        <is>
          <t>faculty_expertise</t>
        </is>
      </c>
      <c r="D389" s="24" t="inlineStr">
        <is>
          <t>Faculty Expertise</t>
        </is>
      </c>
      <c r="E389" s="24" t="n"/>
    </row>
    <row r="390">
      <c r="A390" s="24" t="inlineStr">
        <is>
          <t>182</t>
        </is>
      </c>
      <c r="B390" s="24" t="inlineStr">
        <is>
          <t>Organizational Design</t>
        </is>
      </c>
      <c r="C390" s="24" t="inlineStr">
        <is>
          <t>faculty_expertise</t>
        </is>
      </c>
      <c r="D390" s="24" t="inlineStr">
        <is>
          <t>Faculty Expertise</t>
        </is>
      </c>
      <c r="E390" s="24" t="n"/>
    </row>
    <row r="391">
      <c r="A391" s="24" t="inlineStr">
        <is>
          <t>244</t>
        </is>
      </c>
      <c r="B391" s="24" t="inlineStr">
        <is>
          <t>Organizational Ethnography</t>
        </is>
      </c>
      <c r="C391" s="24" t="inlineStr">
        <is>
          <t>faculty_expertise</t>
        </is>
      </c>
      <c r="D391" s="24" t="inlineStr">
        <is>
          <t>Faculty Expertise</t>
        </is>
      </c>
      <c r="E391" s="24" t="n"/>
    </row>
    <row r="392">
      <c r="A392" s="24" t="inlineStr">
        <is>
          <t>1134</t>
        </is>
      </c>
      <c r="B392" s="24" t="inlineStr">
        <is>
          <t>Platform Design</t>
        </is>
      </c>
      <c r="C392" s="24" t="inlineStr">
        <is>
          <t>faculty_expertise</t>
        </is>
      </c>
      <c r="D392" s="24" t="inlineStr">
        <is>
          <t>Faculty Expertise</t>
        </is>
      </c>
      <c r="E392" s="24" t="n"/>
    </row>
    <row r="393">
      <c r="A393" s="24" t="inlineStr">
        <is>
          <t>171</t>
        </is>
      </c>
      <c r="B393" s="24" t="inlineStr">
        <is>
          <t>Policy Modeling</t>
        </is>
      </c>
      <c r="C393" s="24" t="inlineStr">
        <is>
          <t>faculty_expertise</t>
        </is>
      </c>
      <c r="D393" s="24" t="inlineStr">
        <is>
          <t>Faculty Expertise</t>
        </is>
      </c>
      <c r="E393" s="24" t="n"/>
    </row>
    <row r="394">
      <c r="A394" s="24" t="inlineStr">
        <is>
          <t>1519</t>
        </is>
      </c>
      <c r="B394" s="24" t="inlineStr">
        <is>
          <t>Political Economy</t>
        </is>
      </c>
      <c r="C394" s="24" t="inlineStr">
        <is>
          <t>faculty_expertise</t>
        </is>
      </c>
      <c r="D394" s="24" t="inlineStr">
        <is>
          <t>Faculty Expertise</t>
        </is>
      </c>
      <c r="E394" s="24" t="n"/>
    </row>
    <row r="395">
      <c r="A395" s="24" t="inlineStr">
        <is>
          <t>1133</t>
        </is>
      </c>
      <c r="B395" s="24" t="inlineStr">
        <is>
          <t>Pricing</t>
        </is>
      </c>
      <c r="C395" s="24" t="inlineStr">
        <is>
          <t>faculty_expertise</t>
        </is>
      </c>
      <c r="D395" s="24" t="inlineStr">
        <is>
          <t>Faculty Expertise</t>
        </is>
      </c>
      <c r="E395" s="24" t="n"/>
    </row>
    <row r="396">
      <c r="A396" s="24" t="inlineStr">
        <is>
          <t>204</t>
        </is>
      </c>
      <c r="B396" s="24" t="inlineStr">
        <is>
          <t>Private Equity</t>
        </is>
      </c>
      <c r="C396" s="24" t="inlineStr">
        <is>
          <t>faculty_expertise</t>
        </is>
      </c>
      <c r="D396" s="24" t="inlineStr">
        <is>
          <t>Faculty Expertise</t>
        </is>
      </c>
      <c r="E396" s="24" t="n"/>
    </row>
    <row r="397">
      <c r="A397" s="24" t="inlineStr">
        <is>
          <t>227</t>
        </is>
      </c>
      <c r="B397" s="24" t="inlineStr">
        <is>
          <t>Product Design</t>
        </is>
      </c>
      <c r="C397" s="24" t="inlineStr">
        <is>
          <t>faculty_expertise</t>
        </is>
      </c>
      <c r="D397" s="24" t="inlineStr">
        <is>
          <t>Faculty Expertise</t>
        </is>
      </c>
      <c r="E397" s="24" t="n"/>
    </row>
    <row r="398">
      <c r="A398" s="24" t="inlineStr">
        <is>
          <t>238</t>
        </is>
      </c>
      <c r="B398" s="24" t="inlineStr">
        <is>
          <t>Product Management</t>
        </is>
      </c>
      <c r="C398" s="24" t="inlineStr">
        <is>
          <t>faculty_expertise</t>
        </is>
      </c>
      <c r="D398" s="24" t="inlineStr">
        <is>
          <t>Faculty Expertise</t>
        </is>
      </c>
      <c r="E398" s="24" t="n"/>
    </row>
    <row r="399">
      <c r="A399" s="24" t="inlineStr">
        <is>
          <t>1373</t>
        </is>
      </c>
      <c r="B399" s="24" t="inlineStr">
        <is>
          <t>Public and Social Operations</t>
        </is>
      </c>
      <c r="C399" s="24" t="inlineStr">
        <is>
          <t>faculty_expertise</t>
        </is>
      </c>
      <c r="D399" s="24" t="inlineStr">
        <is>
          <t>Faculty Expertise</t>
        </is>
      </c>
      <c r="E399" s="24" t="n"/>
    </row>
    <row r="400">
      <c r="A400" s="24" t="inlineStr">
        <is>
          <t>250</t>
        </is>
      </c>
      <c r="B400" s="24" t="inlineStr">
        <is>
          <t>Public Finance</t>
        </is>
      </c>
      <c r="C400" s="24" t="inlineStr">
        <is>
          <t>faculty_expertise</t>
        </is>
      </c>
      <c r="D400" s="24" t="inlineStr">
        <is>
          <t>Faculty Expertise</t>
        </is>
      </c>
      <c r="E400" s="24" t="n"/>
    </row>
    <row r="401">
      <c r="A401" s="24" t="inlineStr">
        <is>
          <t>172</t>
        </is>
      </c>
      <c r="B401" s="24" t="inlineStr">
        <is>
          <t>Public Health</t>
        </is>
      </c>
      <c r="C401" s="24" t="inlineStr">
        <is>
          <t>faculty_expertise</t>
        </is>
      </c>
      <c r="D401" s="24" t="inlineStr">
        <is>
          <t>Faculty Expertise</t>
        </is>
      </c>
      <c r="E401" s="24" t="n"/>
    </row>
    <row r="402">
      <c r="A402" s="24" t="inlineStr">
        <is>
          <t>251</t>
        </is>
      </c>
      <c r="B402" s="24" t="inlineStr">
        <is>
          <t>Public Procurement</t>
        </is>
      </c>
      <c r="C402" s="24" t="inlineStr">
        <is>
          <t>faculty_expertise</t>
        </is>
      </c>
      <c r="D402" s="24" t="inlineStr">
        <is>
          <t>Faculty Expertise</t>
        </is>
      </c>
      <c r="E402" s="24" t="n"/>
    </row>
    <row r="403">
      <c r="A403" s="24" t="inlineStr">
        <is>
          <t>1136</t>
        </is>
      </c>
      <c r="B403" s="24" t="inlineStr">
        <is>
          <t>Quality Management</t>
        </is>
      </c>
      <c r="C403" s="24" t="inlineStr">
        <is>
          <t>faculty_expertise</t>
        </is>
      </c>
      <c r="D403" s="24" t="inlineStr">
        <is>
          <t>Faculty Expertise</t>
        </is>
      </c>
      <c r="E403" s="24" t="n"/>
    </row>
    <row r="404">
      <c r="A404" s="24" t="inlineStr">
        <is>
          <t>152</t>
        </is>
      </c>
      <c r="B404" s="24" t="inlineStr">
        <is>
          <t>Real Estate/Housing Markets</t>
        </is>
      </c>
      <c r="C404" s="24" t="inlineStr">
        <is>
          <t>faculty_expertise</t>
        </is>
      </c>
      <c r="D404" s="24" t="inlineStr">
        <is>
          <t>Faculty Expertise</t>
        </is>
      </c>
      <c r="E404" s="24" t="n"/>
    </row>
    <row r="405">
      <c r="A405" s="24" t="inlineStr">
        <is>
          <t>221</t>
        </is>
      </c>
      <c r="B405" s="24" t="inlineStr">
        <is>
          <t>Regulation</t>
        </is>
      </c>
      <c r="C405" s="24" t="inlineStr">
        <is>
          <t>faculty_expertise</t>
        </is>
      </c>
      <c r="D405" s="24" t="inlineStr">
        <is>
          <t>Faculty Expertise</t>
        </is>
      </c>
      <c r="E405" s="24" t="n"/>
    </row>
    <row r="406">
      <c r="A406" s="24" t="inlineStr">
        <is>
          <t>203</t>
        </is>
      </c>
      <c r="B406" s="24" t="inlineStr">
        <is>
          <t>Restructuring</t>
        </is>
      </c>
      <c r="C406" s="24" t="inlineStr">
        <is>
          <t>faculty_expertise</t>
        </is>
      </c>
      <c r="D406" s="24" t="inlineStr">
        <is>
          <t>Faculty Expertise</t>
        </is>
      </c>
      <c r="E406" s="24" t="n"/>
    </row>
    <row r="407">
      <c r="A407" s="24" t="inlineStr">
        <is>
          <t>206</t>
        </is>
      </c>
      <c r="B407" s="24" t="inlineStr">
        <is>
          <t>Service Operations</t>
        </is>
      </c>
      <c r="C407" s="24" t="inlineStr">
        <is>
          <t>faculty_expertise</t>
        </is>
      </c>
      <c r="D407" s="24" t="inlineStr">
        <is>
          <t>Faculty Expertise</t>
        </is>
      </c>
      <c r="E407" s="24" t="n"/>
    </row>
    <row r="408">
      <c r="A408" s="24" t="inlineStr">
        <is>
          <t>183</t>
        </is>
      </c>
      <c r="B408" s="24" t="inlineStr">
        <is>
          <t>Social Enterprise</t>
        </is>
      </c>
      <c r="C408" s="24" t="inlineStr">
        <is>
          <t>faculty_expertise</t>
        </is>
      </c>
      <c r="D408" s="24" t="inlineStr">
        <is>
          <t>Faculty Expertise</t>
        </is>
      </c>
      <c r="E408" s="24" t="n"/>
    </row>
    <row r="409">
      <c r="A409" s="24" t="inlineStr">
        <is>
          <t>1212</t>
        </is>
      </c>
      <c r="B409" s="24" t="inlineStr">
        <is>
          <t>Social Impact</t>
        </is>
      </c>
      <c r="C409" s="24" t="inlineStr">
        <is>
          <t>faculty_expertise</t>
        </is>
      </c>
      <c r="D409" s="24" t="inlineStr">
        <is>
          <t>Faculty Expertise</t>
        </is>
      </c>
      <c r="E409" s="24" t="n"/>
    </row>
    <row r="410">
      <c r="A410" s="24" t="inlineStr">
        <is>
          <t>233</t>
        </is>
      </c>
      <c r="B410" s="24" t="inlineStr">
        <is>
          <t>Social Impact Measurement</t>
        </is>
      </c>
      <c r="C410" s="24" t="inlineStr">
        <is>
          <t>faculty_expertise</t>
        </is>
      </c>
      <c r="D410" s="24" t="inlineStr">
        <is>
          <t>Faculty Expertise</t>
        </is>
      </c>
      <c r="E410" s="24" t="n"/>
    </row>
    <row r="411">
      <c r="A411" s="24" t="inlineStr">
        <is>
          <t>197</t>
        </is>
      </c>
      <c r="B411" s="24" t="inlineStr">
        <is>
          <t>Social Media</t>
        </is>
      </c>
      <c r="C411" s="24" t="inlineStr">
        <is>
          <t>faculty_expertise</t>
        </is>
      </c>
      <c r="D411" s="24" t="inlineStr">
        <is>
          <t>Faculty Expertise</t>
        </is>
      </c>
      <c r="E411" s="24" t="n"/>
    </row>
    <row r="412">
      <c r="A412" s="24" t="inlineStr">
        <is>
          <t>154</t>
        </is>
      </c>
      <c r="B412" s="24" t="inlineStr">
        <is>
          <t>Social Networks</t>
        </is>
      </c>
      <c r="C412" s="24" t="inlineStr">
        <is>
          <t>faculty_expertise</t>
        </is>
      </c>
      <c r="D412" s="24" t="inlineStr">
        <is>
          <t>Faculty Expertise</t>
        </is>
      </c>
      <c r="E412" s="24" t="n"/>
    </row>
    <row r="413">
      <c r="A413" s="24" t="inlineStr">
        <is>
          <t>173</t>
        </is>
      </c>
      <c r="B413" s="24" t="inlineStr">
        <is>
          <t>Sports Analytics</t>
        </is>
      </c>
      <c r="C413" s="24" t="inlineStr">
        <is>
          <t>faculty_expertise</t>
        </is>
      </c>
      <c r="D413" s="24" t="inlineStr">
        <is>
          <t>Faculty Expertise</t>
        </is>
      </c>
      <c r="E413" s="24" t="n"/>
    </row>
    <row r="414">
      <c r="A414" s="24" t="inlineStr">
        <is>
          <t>184</t>
        </is>
      </c>
      <c r="B414" s="24" t="inlineStr">
        <is>
          <t>Startups</t>
        </is>
      </c>
      <c r="C414" s="24" t="inlineStr">
        <is>
          <t>faculty_expertise</t>
        </is>
      </c>
      <c r="D414" s="24" t="inlineStr">
        <is>
          <t>Faculty Expertise</t>
        </is>
      </c>
      <c r="E414" s="24" t="n"/>
    </row>
    <row r="415">
      <c r="A415" s="24" t="inlineStr">
        <is>
          <t>163</t>
        </is>
      </c>
      <c r="B415" s="24" t="inlineStr">
        <is>
          <t>Strategy</t>
        </is>
      </c>
      <c r="C415" s="24" t="inlineStr">
        <is>
          <t>faculty_expertise</t>
        </is>
      </c>
      <c r="D415" s="24" t="inlineStr">
        <is>
          <t>Faculty Expertise</t>
        </is>
      </c>
      <c r="E415" s="24" t="n"/>
    </row>
    <row r="416">
      <c r="A416" s="24" t="inlineStr">
        <is>
          <t>207</t>
        </is>
      </c>
      <c r="B416" s="24" t="inlineStr">
        <is>
          <t>Supply Chain</t>
        </is>
      </c>
      <c r="C416" s="24" t="inlineStr">
        <is>
          <t>faculty_expertise</t>
        </is>
      </c>
      <c r="D416" s="24" t="inlineStr">
        <is>
          <t>Faculty Expertise</t>
        </is>
      </c>
      <c r="E416" s="24" t="n"/>
    </row>
    <row r="417">
      <c r="A417" s="24" t="inlineStr">
        <is>
          <t>230</t>
        </is>
      </c>
      <c r="B417" s="24" t="inlineStr">
        <is>
          <t>Sustainability</t>
        </is>
      </c>
      <c r="C417" s="24" t="inlineStr">
        <is>
          <t>faculty_expertise</t>
        </is>
      </c>
      <c r="D417" s="24" t="inlineStr">
        <is>
          <t>Faculty Expertise</t>
        </is>
      </c>
      <c r="E417" s="24" t="n"/>
    </row>
    <row r="418">
      <c r="A418" s="24" t="inlineStr">
        <is>
          <t>164</t>
        </is>
      </c>
      <c r="B418" s="24" t="inlineStr">
        <is>
          <t>Technological Innovation</t>
        </is>
      </c>
      <c r="C418" s="24" t="inlineStr">
        <is>
          <t>faculty_expertise</t>
        </is>
      </c>
      <c r="D418" s="24" t="inlineStr">
        <is>
          <t>Faculty Expertise</t>
        </is>
      </c>
      <c r="E418" s="24" t="n"/>
    </row>
    <row r="419">
      <c r="A419" s="24" t="inlineStr">
        <is>
          <t>215</t>
        </is>
      </c>
      <c r="B419" s="24" t="inlineStr">
        <is>
          <t>Technology Strategy</t>
        </is>
      </c>
      <c r="C419" s="24" t="inlineStr">
        <is>
          <t>faculty_expertise</t>
        </is>
      </c>
      <c r="D419" s="24" t="inlineStr">
        <is>
          <t>Faculty Expertise</t>
        </is>
      </c>
      <c r="E419" s="24" t="n"/>
    </row>
    <row r="420">
      <c r="A420" s="24" t="inlineStr">
        <is>
          <t>234</t>
        </is>
      </c>
      <c r="B420" s="24" t="inlineStr">
        <is>
          <t>Urban Economic Development</t>
        </is>
      </c>
      <c r="C420" s="24" t="inlineStr">
        <is>
          <t>faculty_expertise</t>
        </is>
      </c>
      <c r="D420" s="24" t="inlineStr">
        <is>
          <t>Faculty Expertise</t>
        </is>
      </c>
      <c r="E420" s="24" t="n"/>
    </row>
    <row r="421">
      <c r="A421" s="24" t="inlineStr">
        <is>
          <t>153</t>
        </is>
      </c>
      <c r="B421" s="24" t="inlineStr">
        <is>
          <t>Valuation</t>
        </is>
      </c>
      <c r="C421" s="24" t="inlineStr">
        <is>
          <t>faculty_expertise</t>
        </is>
      </c>
      <c r="D421" s="24" t="inlineStr">
        <is>
          <t>Faculty Expertise</t>
        </is>
      </c>
      <c r="E421" s="24" t="n"/>
    </row>
    <row r="422">
      <c r="A422" s="24" t="inlineStr">
        <is>
          <t>239</t>
        </is>
      </c>
      <c r="B422" s="24" t="inlineStr">
        <is>
          <t>Venture Capital</t>
        </is>
      </c>
      <c r="C422" s="24" t="inlineStr">
        <is>
          <t>faculty_expertise</t>
        </is>
      </c>
      <c r="D422" s="24" t="inlineStr">
        <is>
          <t>Faculty Expertise</t>
        </is>
      </c>
      <c r="E422" s="24" t="n"/>
    </row>
    <row r="423">
      <c r="A423" s="24" t="inlineStr">
        <is>
          <t>185</t>
        </is>
      </c>
      <c r="B423" s="24" t="inlineStr">
        <is>
          <t>Women in Leadership</t>
        </is>
      </c>
      <c r="C423" s="24" t="inlineStr">
        <is>
          <t>faculty_expertise</t>
        </is>
      </c>
      <c r="D423" s="24" t="inlineStr">
        <is>
          <t>Faculty Expertise</t>
        </is>
      </c>
      <c r="E423" s="24" t="n"/>
    </row>
    <row r="424">
      <c r="A424" s="24" t="inlineStr">
        <is>
          <t>219</t>
        </is>
      </c>
      <c r="B424" s="24" t="inlineStr">
        <is>
          <t>Word-of-Mouth</t>
        </is>
      </c>
      <c r="C424" s="24" t="inlineStr">
        <is>
          <t>faculty_expertise</t>
        </is>
      </c>
      <c r="D424" s="24" t="inlineStr">
        <is>
          <t>Faculty Expertise</t>
        </is>
      </c>
      <c r="E424" s="24" t="n"/>
    </row>
    <row r="425">
      <c r="A425" s="24" t="inlineStr">
        <is>
          <t>245</t>
        </is>
      </c>
      <c r="B425" s="24" t="inlineStr">
        <is>
          <t>Work and Occupations</t>
        </is>
      </c>
      <c r="C425" s="24" t="inlineStr">
        <is>
          <t>faculty_expertise</t>
        </is>
      </c>
      <c r="D425" s="24" t="inlineStr">
        <is>
          <t>Faculty Expertise</t>
        </is>
      </c>
      <c r="E425" s="24" t="n"/>
    </row>
    <row r="426">
      <c r="A426" s="24" t="inlineStr">
        <is>
          <t>186</t>
        </is>
      </c>
      <c r="B426" s="24" t="inlineStr">
        <is>
          <t>Workplace Issues</t>
        </is>
      </c>
      <c r="C426" s="24" t="inlineStr">
        <is>
          <t>faculty_expertise</t>
        </is>
      </c>
      <c r="D426" s="24" t="inlineStr">
        <is>
          <t>Faculty Expertise</t>
        </is>
      </c>
      <c r="E426" s="24" t="n"/>
    </row>
    <row r="427">
      <c r="A427" s="24" t="inlineStr">
        <is>
          <t>270</t>
        </is>
      </c>
      <c r="B427" s="24" t="inlineStr">
        <is>
          <t>Asian Institute of Management</t>
        </is>
      </c>
      <c r="C427" s="24" t="inlineStr">
        <is>
          <t>global_network_school</t>
        </is>
      </c>
      <c r="D427" s="24" t="inlineStr">
        <is>
          <t>Global Network School</t>
        </is>
      </c>
      <c r="E427" s="24" t="n"/>
    </row>
    <row r="428">
      <c r="A428" s="24" t="inlineStr">
        <is>
          <t>1162</t>
        </is>
      </c>
      <c r="B428" s="24" t="inlineStr">
        <is>
          <t>Business School, Renmin University of China</t>
        </is>
      </c>
      <c r="C428" s="24" t="inlineStr">
        <is>
          <t>global_network_school</t>
        </is>
      </c>
      <c r="D428" s="24" t="inlineStr">
        <is>
          <t>Global Network School</t>
        </is>
      </c>
      <c r="E428" s="24" t="n"/>
    </row>
    <row r="429">
      <c r="A429" s="24" t="inlineStr">
        <is>
          <t>1163</t>
        </is>
      </c>
      <c r="B429" s="24" t="inlineStr">
        <is>
          <t>Cambridge Judge Business School</t>
        </is>
      </c>
      <c r="C429" s="24" t="inlineStr">
        <is>
          <t>global_network_school</t>
        </is>
      </c>
      <c r="D429" s="24" t="inlineStr">
        <is>
          <t>Global Network School</t>
        </is>
      </c>
      <c r="E429" s="24" t="n"/>
    </row>
    <row r="430">
      <c r="A430" s="24" t="inlineStr">
        <is>
          <t>273</t>
        </is>
      </c>
      <c r="B430" s="24" t="inlineStr">
        <is>
          <t>EGADE Business School, Tecnológico de Monterrey</t>
        </is>
      </c>
      <c r="C430" s="24" t="inlineStr">
        <is>
          <t>global_network_school</t>
        </is>
      </c>
      <c r="D430" s="24" t="inlineStr">
        <is>
          <t>Global Network School</t>
        </is>
      </c>
      <c r="E430" s="24" t="n"/>
    </row>
    <row r="431">
      <c r="A431" s="24" t="inlineStr">
        <is>
          <t>262</t>
        </is>
      </c>
      <c r="B431" s="24" t="inlineStr">
        <is>
          <t>ESMT Berlin</t>
        </is>
      </c>
      <c r="C431" s="24" t="inlineStr">
        <is>
          <t>global_network_school</t>
        </is>
      </c>
      <c r="D431" s="24" t="inlineStr">
        <is>
          <t>Global Network School</t>
        </is>
      </c>
      <c r="E431" s="24" t="n"/>
    </row>
    <row r="432">
      <c r="A432" s="24" t="inlineStr">
        <is>
          <t>272</t>
        </is>
      </c>
      <c r="B432" s="24" t="inlineStr">
        <is>
          <t>FGV Escola de Administração de Empresas de São Paulo</t>
        </is>
      </c>
      <c r="C432" s="24" t="inlineStr">
        <is>
          <t>global_network_school</t>
        </is>
      </c>
      <c r="D432" s="24" t="inlineStr">
        <is>
          <t>Global Network School</t>
        </is>
      </c>
      <c r="E432" s="24" t="n"/>
    </row>
    <row r="433">
      <c r="A433" s="24" t="inlineStr">
        <is>
          <t>264</t>
        </is>
      </c>
      <c r="B433" s="24" t="inlineStr">
        <is>
          <t>Fudan University School of Management</t>
        </is>
      </c>
      <c r="C433" s="24" t="inlineStr">
        <is>
          <t>global_network_school</t>
        </is>
      </c>
      <c r="D433" s="24" t="inlineStr">
        <is>
          <t>Global Network School</t>
        </is>
      </c>
      <c r="E433" s="24" t="n"/>
    </row>
    <row r="434">
      <c r="A434" s="24" t="inlineStr">
        <is>
          <t>259</t>
        </is>
      </c>
      <c r="B434" s="24" t="inlineStr">
        <is>
          <t>HEC Paris</t>
        </is>
      </c>
      <c r="C434" s="24" t="inlineStr">
        <is>
          <t>global_network_school</t>
        </is>
      </c>
      <c r="D434" s="24" t="inlineStr">
        <is>
          <t>Global Network School</t>
        </is>
      </c>
      <c r="E434" s="24" t="n"/>
    </row>
    <row r="435">
      <c r="A435" s="24" t="inlineStr">
        <is>
          <t>279</t>
        </is>
      </c>
      <c r="B435" s="24" t="inlineStr">
        <is>
          <t>Hitotsubashi University, Graduate School of International Corporate Strategy</t>
        </is>
      </c>
      <c r="C435" s="24" t="inlineStr">
        <is>
          <t>global_network_school</t>
        </is>
      </c>
      <c r="D435" s="24" t="inlineStr">
        <is>
          <t>Global Network School</t>
        </is>
      </c>
      <c r="E435" s="24" t="n"/>
    </row>
    <row r="436">
      <c r="A436" s="24" t="inlineStr">
        <is>
          <t>266</t>
        </is>
      </c>
      <c r="B436" s="24" t="inlineStr">
        <is>
          <t>Hong Kong University of Science and Technology Business School</t>
        </is>
      </c>
      <c r="C436" s="24" t="inlineStr">
        <is>
          <t>global_network_school</t>
        </is>
      </c>
      <c r="D436" s="24" t="inlineStr">
        <is>
          <t>Global Network School</t>
        </is>
      </c>
      <c r="E436" s="24" t="n"/>
    </row>
    <row r="437">
      <c r="A437" s="24" t="inlineStr">
        <is>
          <t>267</t>
        </is>
      </c>
      <c r="B437" s="24" t="inlineStr">
        <is>
          <t>IE Business School</t>
        </is>
      </c>
      <c r="C437" s="24" t="inlineStr">
        <is>
          <t>global_network_school</t>
        </is>
      </c>
      <c r="D437" s="24" t="inlineStr">
        <is>
          <t>Global Network School</t>
        </is>
      </c>
      <c r="E437" s="24" t="n"/>
    </row>
    <row r="438">
      <c r="A438" s="24" t="inlineStr">
        <is>
          <t>256</t>
        </is>
      </c>
      <c r="B438" s="24" t="inlineStr">
        <is>
          <t>Indian Institute of Management Bangalore</t>
        </is>
      </c>
      <c r="C438" s="24" t="inlineStr">
        <is>
          <t>global_network_school</t>
        </is>
      </c>
      <c r="D438" s="24" t="inlineStr">
        <is>
          <t>Global Network School</t>
        </is>
      </c>
      <c r="E438" s="24" t="n"/>
    </row>
    <row r="439">
      <c r="A439" s="24" t="inlineStr">
        <is>
          <t>1164</t>
        </is>
      </c>
      <c r="B439" s="24" t="inlineStr">
        <is>
          <t>Indian Institute of Management, Indore</t>
        </is>
      </c>
      <c r="C439" s="24" t="inlineStr">
        <is>
          <t>global_network_school</t>
        </is>
      </c>
      <c r="D439" s="24" t="inlineStr">
        <is>
          <t>Global Network School</t>
        </is>
      </c>
      <c r="E439" s="24" t="n"/>
    </row>
    <row r="440">
      <c r="A440" s="24" t="inlineStr">
        <is>
          <t>1165</t>
        </is>
      </c>
      <c r="B440" s="24" t="inlineStr">
        <is>
          <t>Ko√ß University Graduate School of Business</t>
        </is>
      </c>
      <c r="C440" s="24" t="inlineStr">
        <is>
          <t>global_network_school</t>
        </is>
      </c>
      <c r="D440" s="24" t="inlineStr">
        <is>
          <t>Global Network School</t>
        </is>
      </c>
      <c r="E440" s="24" t="n"/>
    </row>
    <row r="441">
      <c r="A441" s="24" t="inlineStr">
        <is>
          <t>269</t>
        </is>
      </c>
      <c r="B441" s="24" t="inlineStr">
        <is>
          <t>Lagos Business School, Pan-Atlantic University</t>
        </is>
      </c>
      <c r="C441" s="24" t="inlineStr">
        <is>
          <t>global_network_school</t>
        </is>
      </c>
      <c r="D441" s="24" t="inlineStr">
        <is>
          <t>Global Network School</t>
        </is>
      </c>
      <c r="E441" s="24" t="n"/>
    </row>
    <row r="442">
      <c r="A442" s="24" t="inlineStr">
        <is>
          <t>284</t>
        </is>
      </c>
      <c r="B442" s="24" t="inlineStr">
        <is>
          <t>National University of Singapore Business School</t>
        </is>
      </c>
      <c r="C442" s="24" t="inlineStr">
        <is>
          <t>global_network_school</t>
        </is>
      </c>
      <c r="D442" s="24" t="inlineStr">
        <is>
          <t>Global Network School</t>
        </is>
      </c>
      <c r="E442" s="24" t="n"/>
    </row>
    <row r="443">
      <c r="A443" s="24" t="inlineStr">
        <is>
          <t>283</t>
        </is>
      </c>
      <c r="B443" s="24" t="inlineStr">
        <is>
          <t>Pontificia Universidad Católica de Chile School of Business</t>
        </is>
      </c>
      <c r="C443" s="24" t="inlineStr">
        <is>
          <t>global_network_school</t>
        </is>
      </c>
      <c r="D443" s="24" t="inlineStr">
        <is>
          <t>Global Network School</t>
        </is>
      </c>
      <c r="E443" s="24" t="n"/>
    </row>
    <row r="444">
      <c r="A444" s="24" t="inlineStr">
        <is>
          <t>275</t>
        </is>
      </c>
      <c r="B444" s="24" t="inlineStr">
        <is>
          <t>Sa√Ød Business School, University of Oxford</t>
        </is>
      </c>
      <c r="C444" s="24" t="inlineStr">
        <is>
          <t>global_network_school</t>
        </is>
      </c>
      <c r="D444" s="24" t="inlineStr">
        <is>
          <t>Global Network School</t>
        </is>
      </c>
      <c r="E444" s="24" t="n"/>
    </row>
    <row r="445">
      <c r="A445" s="24" t="inlineStr">
        <is>
          <t>294</t>
        </is>
      </c>
      <c r="B445" s="24" t="inlineStr">
        <is>
          <t>Sauder School of Business, University of British Columbia</t>
        </is>
      </c>
      <c r="C445" s="24" t="inlineStr">
        <is>
          <t>global_network_school</t>
        </is>
      </c>
      <c r="D445" s="24" t="inlineStr">
        <is>
          <t>Global Network School</t>
        </is>
      </c>
      <c r="E445" s="24" t="n"/>
    </row>
    <row r="446">
      <c r="A446" s="24" t="inlineStr">
        <is>
          <t>295</t>
        </is>
      </c>
      <c r="B446" s="24" t="inlineStr">
        <is>
          <t>SDA Bocconi School of Management, Bocconi University</t>
        </is>
      </c>
      <c r="C446" s="24" t="inlineStr">
        <is>
          <t>global_network_school</t>
        </is>
      </c>
      <c r="D446" s="24" t="inlineStr">
        <is>
          <t>Global Network School</t>
        </is>
      </c>
      <c r="E446" s="24" t="n"/>
    </row>
    <row r="447">
      <c r="A447" s="24" t="inlineStr">
        <is>
          <t>274</t>
        </is>
      </c>
      <c r="B447" s="24" t="inlineStr">
        <is>
          <t>Seoul National University Business School</t>
        </is>
      </c>
      <c r="C447" s="24" t="inlineStr">
        <is>
          <t>global_network_school</t>
        </is>
      </c>
      <c r="D447" s="24" t="inlineStr">
        <is>
          <t>Global Network School</t>
        </is>
      </c>
      <c r="E447" s="24" t="n"/>
    </row>
    <row r="448">
      <c r="A448" s="24" t="inlineStr">
        <is>
          <t>277</t>
        </is>
      </c>
      <c r="B448" s="24" t="inlineStr">
        <is>
          <t>Strathmore Business School</t>
        </is>
      </c>
      <c r="C448" s="24" t="inlineStr">
        <is>
          <t>global_network_school</t>
        </is>
      </c>
      <c r="D448" s="24" t="inlineStr">
        <is>
          <t>Global Network School</t>
        </is>
      </c>
      <c r="E448" s="24" t="n"/>
    </row>
    <row r="449">
      <c r="A449" s="24" t="inlineStr">
        <is>
          <t>301</t>
        </is>
      </c>
      <c r="B449" s="24" t="inlineStr">
        <is>
          <t>University of Cape Town Graduate School of Business</t>
        </is>
      </c>
      <c r="C449" s="24" t="inlineStr">
        <is>
          <t>global_network_school</t>
        </is>
      </c>
      <c r="D449" s="24" t="inlineStr">
        <is>
          <t>Global Network School</t>
        </is>
      </c>
      <c r="E449" s="24" t="n"/>
    </row>
    <row r="450">
      <c r="A450" s="24" t="inlineStr">
        <is>
          <t>292</t>
        </is>
      </c>
      <c r="B450" s="24" t="inlineStr">
        <is>
          <t>University of Indonesia Faculty of Economics</t>
        </is>
      </c>
      <c r="C450" s="24" t="inlineStr">
        <is>
          <t>global_network_school</t>
        </is>
      </c>
      <c r="D450" s="24" t="inlineStr">
        <is>
          <t>Global Network School</t>
        </is>
      </c>
      <c r="E450" s="24" t="n"/>
    </row>
    <row r="451">
      <c r="A451" s="24" t="inlineStr">
        <is>
          <t>293</t>
        </is>
      </c>
      <c r="B451" s="24" t="inlineStr">
        <is>
          <t>UNSW Business School</t>
        </is>
      </c>
      <c r="C451" s="24" t="inlineStr">
        <is>
          <t>global_network_school</t>
        </is>
      </c>
      <c r="D451" s="24" t="inlineStr">
        <is>
          <t>Global Network School</t>
        </is>
      </c>
      <c r="E451" s="24" t="n"/>
    </row>
    <row r="452">
      <c r="A452" s="24" t="inlineStr">
        <is>
          <t>306</t>
        </is>
      </c>
      <c r="B452" s="24" t="inlineStr">
        <is>
          <t>Arts Management</t>
        </is>
      </c>
      <c r="C452" s="24" t="inlineStr">
        <is>
          <t>industry</t>
        </is>
      </c>
      <c r="D452" s="24" t="inlineStr">
        <is>
          <t>Industry</t>
        </is>
      </c>
      <c r="E452" s="24" t="n"/>
    </row>
    <row r="453">
      <c r="A453" s="24" t="inlineStr">
        <is>
          <t>282</t>
        </is>
      </c>
      <c r="B453" s="24" t="inlineStr">
        <is>
          <t>Automotive</t>
        </is>
      </c>
      <c r="C453" s="24" t="inlineStr">
        <is>
          <t>industry</t>
        </is>
      </c>
      <c r="D453" s="24" t="inlineStr">
        <is>
          <t>Industry</t>
        </is>
      </c>
      <c r="E453" s="24" t="n"/>
    </row>
    <row r="454">
      <c r="A454" s="24" t="inlineStr">
        <is>
          <t>276</t>
        </is>
      </c>
      <c r="B454" s="24" t="inlineStr">
        <is>
          <t>Construction</t>
        </is>
      </c>
      <c r="C454" s="24" t="inlineStr">
        <is>
          <t>industry</t>
        </is>
      </c>
      <c r="D454" s="24" t="inlineStr">
        <is>
          <t>Industry</t>
        </is>
      </c>
      <c r="E454" s="24" t="n"/>
    </row>
    <row r="455">
      <c r="A455" s="24" t="inlineStr">
        <is>
          <t>265</t>
        </is>
      </c>
      <c r="B455" s="24" t="inlineStr">
        <is>
          <t>Consulting</t>
        </is>
      </c>
      <c r="C455" s="24" t="inlineStr">
        <is>
          <t>industry</t>
        </is>
      </c>
      <c r="D455" s="24" t="inlineStr">
        <is>
          <t>Industry</t>
        </is>
      </c>
      <c r="E455" s="24" t="n"/>
    </row>
    <row r="456">
      <c r="A456" s="24" t="inlineStr">
        <is>
          <t>254</t>
        </is>
      </c>
      <c r="B456" s="24" t="inlineStr">
        <is>
          <t>Consumer Products</t>
        </is>
      </c>
      <c r="C456" s="24" t="inlineStr">
        <is>
          <t>industry</t>
        </is>
      </c>
      <c r="D456" s="24" t="inlineStr">
        <is>
          <t>Industry</t>
        </is>
      </c>
      <c r="E456" s="24" t="n"/>
    </row>
    <row r="457">
      <c r="A457" s="24" t="inlineStr">
        <is>
          <t>1179</t>
        </is>
      </c>
      <c r="B457" s="24" t="inlineStr">
        <is>
          <t>Data Analytics</t>
        </is>
      </c>
      <c r="C457" s="24" t="inlineStr">
        <is>
          <t>industry</t>
        </is>
      </c>
      <c r="D457" s="24" t="inlineStr">
        <is>
          <t>Industry</t>
        </is>
      </c>
      <c r="E457" s="24" t="n"/>
    </row>
    <row r="458">
      <c r="A458" s="24" t="inlineStr">
        <is>
          <t>1152</t>
        </is>
      </c>
      <c r="B458" s="24" t="inlineStr">
        <is>
          <t>Economic Development</t>
        </is>
      </c>
      <c r="C458" s="24" t="inlineStr">
        <is>
          <t>industry</t>
        </is>
      </c>
      <c r="D458" s="24" t="inlineStr">
        <is>
          <t>Industry</t>
        </is>
      </c>
      <c r="E458" s="24" t="n"/>
    </row>
    <row r="459">
      <c r="A459" s="24" t="inlineStr">
        <is>
          <t>285</t>
        </is>
      </c>
      <c r="B459" s="24" t="inlineStr">
        <is>
          <t>Education</t>
        </is>
      </c>
      <c r="C459" s="24" t="inlineStr">
        <is>
          <t>industry</t>
        </is>
      </c>
      <c r="D459" s="24" t="inlineStr">
        <is>
          <t>Industry</t>
        </is>
      </c>
      <c r="E459" s="24" t="n"/>
    </row>
    <row r="460">
      <c r="A460" s="24" t="inlineStr">
        <is>
          <t>296</t>
        </is>
      </c>
      <c r="B460" s="24" t="inlineStr">
        <is>
          <t>Energy</t>
        </is>
      </c>
      <c r="C460" s="24" t="inlineStr">
        <is>
          <t>industry</t>
        </is>
      </c>
      <c r="D460" s="24" t="inlineStr">
        <is>
          <t>Industry</t>
        </is>
      </c>
      <c r="E460" s="24" t="n"/>
    </row>
    <row r="461">
      <c r="A461" s="24" t="inlineStr">
        <is>
          <t>268</t>
        </is>
      </c>
      <c r="B461" s="24" t="inlineStr">
        <is>
          <t>Entrepreneurship</t>
        </is>
      </c>
      <c r="C461" s="24" t="inlineStr">
        <is>
          <t>industry</t>
        </is>
      </c>
      <c r="D461" s="24" t="inlineStr">
        <is>
          <t>Industry</t>
        </is>
      </c>
      <c r="E461" s="24" t="n"/>
    </row>
    <row r="462">
      <c r="A462" s="24" t="inlineStr">
        <is>
          <t>252</t>
        </is>
      </c>
      <c r="B462" s="24" t="inlineStr">
        <is>
          <t>Finance</t>
        </is>
      </c>
      <c r="C462" s="24" t="inlineStr">
        <is>
          <t>industry</t>
        </is>
      </c>
      <c r="D462" s="24" t="inlineStr">
        <is>
          <t>Industry</t>
        </is>
      </c>
      <c r="E462" s="24" t="n"/>
    </row>
    <row r="463">
      <c r="A463" s="24" t="inlineStr">
        <is>
          <t>305</t>
        </is>
      </c>
      <c r="B463" s="24" t="inlineStr">
        <is>
          <t>FinTech</t>
        </is>
      </c>
      <c r="C463" s="24" t="inlineStr">
        <is>
          <t>industry</t>
        </is>
      </c>
      <c r="D463" s="24" t="inlineStr">
        <is>
          <t>Industry</t>
        </is>
      </c>
      <c r="E463" s="24" t="n"/>
    </row>
    <row r="464">
      <c r="A464" s="24" t="inlineStr">
        <is>
          <t>278</t>
        </is>
      </c>
      <c r="B464" s="24" t="inlineStr">
        <is>
          <t>Government</t>
        </is>
      </c>
      <c r="C464" s="24" t="inlineStr">
        <is>
          <t>industry</t>
        </is>
      </c>
      <c r="D464" s="24" t="inlineStr">
        <is>
          <t>Industry</t>
        </is>
      </c>
      <c r="E464" s="24" t="n"/>
    </row>
    <row r="465">
      <c r="A465" s="24" t="inlineStr">
        <is>
          <t>263</t>
        </is>
      </c>
      <c r="B465" s="24" t="inlineStr">
        <is>
          <t>Healthcare, Pharmaceuticals, Biotech</t>
        </is>
      </c>
      <c r="C465" s="24" t="inlineStr">
        <is>
          <t>industry</t>
        </is>
      </c>
      <c r="D465" s="24" t="inlineStr">
        <is>
          <t>Industry</t>
        </is>
      </c>
      <c r="E465" s="24" t="n"/>
    </row>
    <row r="466">
      <c r="A466" s="24" t="inlineStr">
        <is>
          <t>291</t>
        </is>
      </c>
      <c r="B466" s="24" t="inlineStr">
        <is>
          <t>Human Capital</t>
        </is>
      </c>
      <c r="C466" s="24" t="inlineStr">
        <is>
          <t>industry</t>
        </is>
      </c>
      <c r="D466" s="24" t="inlineStr">
        <is>
          <t>Industry</t>
        </is>
      </c>
      <c r="E466" s="24" t="n"/>
    </row>
    <row r="467">
      <c r="A467" s="24" t="inlineStr">
        <is>
          <t>300</t>
        </is>
      </c>
      <c r="B467" s="24" t="inlineStr">
        <is>
          <t>Impact Investing</t>
        </is>
      </c>
      <c r="C467" s="24" t="inlineStr">
        <is>
          <t>industry</t>
        </is>
      </c>
      <c r="D467" s="24" t="inlineStr">
        <is>
          <t>Industry</t>
        </is>
      </c>
      <c r="E467" s="24" t="n"/>
    </row>
    <row r="468">
      <c r="A468" s="24" t="inlineStr">
        <is>
          <t>261</t>
        </is>
      </c>
      <c r="B468" s="24" t="inlineStr">
        <is>
          <t>Manufacturing</t>
        </is>
      </c>
      <c r="C468" s="24" t="inlineStr">
        <is>
          <t>industry</t>
        </is>
      </c>
      <c r="D468" s="24" t="inlineStr">
        <is>
          <t>Industry</t>
        </is>
      </c>
      <c r="E468" s="24" t="n"/>
    </row>
    <row r="469">
      <c r="A469" s="24" t="inlineStr">
        <is>
          <t>1187</t>
        </is>
      </c>
      <c r="B469" s="24" t="inlineStr">
        <is>
          <t>Marketing</t>
        </is>
      </c>
      <c r="C469" s="24" t="inlineStr">
        <is>
          <t>industry</t>
        </is>
      </c>
      <c r="D469" s="24" t="inlineStr">
        <is>
          <t>Industry</t>
        </is>
      </c>
      <c r="E469" s="24" t="n"/>
    </row>
    <row r="470">
      <c r="A470" s="24" t="inlineStr">
        <is>
          <t>280</t>
        </is>
      </c>
      <c r="B470" s="24" t="inlineStr">
        <is>
          <t>Media/Entertainment</t>
        </is>
      </c>
      <c r="C470" s="24" t="inlineStr">
        <is>
          <t>industry</t>
        </is>
      </c>
      <c r="D470" s="24" t="inlineStr">
        <is>
          <t>Industry</t>
        </is>
      </c>
      <c r="E470" s="24" t="n"/>
    </row>
    <row r="471">
      <c r="A471" s="24" t="inlineStr">
        <is>
          <t>281</t>
        </is>
      </c>
      <c r="B471" s="24" t="inlineStr">
        <is>
          <t>Nonprofit</t>
        </is>
      </c>
      <c r="C471" s="24" t="inlineStr">
        <is>
          <t>industry</t>
        </is>
      </c>
      <c r="D471" s="24" t="inlineStr">
        <is>
          <t>Industry</t>
        </is>
      </c>
      <c r="E471" s="24" t="n"/>
    </row>
    <row r="472">
      <c r="A472" s="24" t="inlineStr">
        <is>
          <t>271</t>
        </is>
      </c>
      <c r="B472" s="24" t="inlineStr">
        <is>
          <t>Other</t>
        </is>
      </c>
      <c r="C472" s="24" t="inlineStr">
        <is>
          <t>industry</t>
        </is>
      </c>
      <c r="D472" s="24" t="inlineStr">
        <is>
          <t>Industry</t>
        </is>
      </c>
      <c r="E472" s="24" t="n"/>
    </row>
    <row r="473">
      <c r="A473" s="24" t="inlineStr">
        <is>
          <t>1188</t>
        </is>
      </c>
      <c r="B473" s="24" t="inlineStr">
        <is>
          <t>Private Equity / Venture Capital</t>
        </is>
      </c>
      <c r="C473" s="24" t="inlineStr">
        <is>
          <t>industry</t>
        </is>
      </c>
      <c r="D473" s="24" t="inlineStr">
        <is>
          <t>Industry</t>
        </is>
      </c>
      <c r="E473" s="24" t="n"/>
    </row>
    <row r="474">
      <c r="A474" s="24" t="inlineStr">
        <is>
          <t>286</t>
        </is>
      </c>
      <c r="B474" s="24" t="inlineStr">
        <is>
          <t>Real Estate</t>
        </is>
      </c>
      <c r="C474" s="24" t="inlineStr">
        <is>
          <t>industry</t>
        </is>
      </c>
      <c r="D474" s="24" t="inlineStr">
        <is>
          <t>Industry</t>
        </is>
      </c>
      <c r="E474" s="24" t="n"/>
    </row>
    <row r="475">
      <c r="A475" s="24" t="inlineStr">
        <is>
          <t>1153</t>
        </is>
      </c>
      <c r="B475" s="24" t="inlineStr">
        <is>
          <t>Sustainability</t>
        </is>
      </c>
      <c r="C475" s="24" t="inlineStr">
        <is>
          <t>industry</t>
        </is>
      </c>
      <c r="D475" s="24" t="inlineStr">
        <is>
          <t>Industry</t>
        </is>
      </c>
      <c r="E475" s="24" t="n"/>
    </row>
    <row r="476">
      <c r="A476" s="24" t="inlineStr">
        <is>
          <t>255</t>
        </is>
      </c>
      <c r="B476" s="24" t="inlineStr">
        <is>
          <t>Technology</t>
        </is>
      </c>
      <c r="C476" s="24" t="inlineStr">
        <is>
          <t>industry</t>
        </is>
      </c>
      <c r="D476" s="24" t="inlineStr">
        <is>
          <t>Industry</t>
        </is>
      </c>
      <c r="E476" s="24" t="n"/>
    </row>
    <row r="477">
      <c r="A477" s="24" t="inlineStr">
        <is>
          <t>304</t>
        </is>
      </c>
      <c r="B477" s="24" t="inlineStr">
        <is>
          <t>Transportation</t>
        </is>
      </c>
      <c r="C477" s="24" t="inlineStr">
        <is>
          <t>industry</t>
        </is>
      </c>
      <c r="D477" s="24" t="inlineStr">
        <is>
          <t>Industry</t>
        </is>
      </c>
      <c r="E477" s="24" t="n"/>
    </row>
    <row r="478">
      <c r="A478" s="24" t="inlineStr">
        <is>
          <t>1659</t>
        </is>
      </c>
      <c r="B478" s="24" t="inlineStr">
        <is>
          <t>1st Year MBA students</t>
        </is>
      </c>
      <c r="C478" s="24" t="inlineStr">
        <is>
          <t>localist_audience</t>
        </is>
      </c>
      <c r="D478" s="24" t="inlineStr">
        <is>
          <t>Localist Audience</t>
        </is>
      </c>
      <c r="E478" s="24" t="n"/>
    </row>
    <row r="479">
      <c r="A479" s="24" t="inlineStr">
        <is>
          <t>1673</t>
        </is>
      </c>
      <c r="B479" s="24" t="inlineStr">
        <is>
          <t>2nd Year MBA Students</t>
        </is>
      </c>
      <c r="C479" s="24" t="inlineStr">
        <is>
          <t>localist_audience</t>
        </is>
      </c>
      <c r="D479" s="24" t="inlineStr">
        <is>
          <t>Localist Audience</t>
        </is>
      </c>
      <c r="E479" s="24" t="n"/>
    </row>
    <row r="480">
      <c r="A480" s="24" t="inlineStr">
        <is>
          <t>1662</t>
        </is>
      </c>
      <c r="B480" s="24" t="inlineStr">
        <is>
          <t>Doctoral Students</t>
        </is>
      </c>
      <c r="C480" s="24" t="inlineStr">
        <is>
          <t>localist_audience</t>
        </is>
      </c>
      <c r="D480" s="24" t="inlineStr">
        <is>
          <t>Localist Audience</t>
        </is>
      </c>
      <c r="E480" s="24" t="n"/>
    </row>
    <row r="481">
      <c r="A481" s="24" t="inlineStr">
        <is>
          <t>1661</t>
        </is>
      </c>
      <c r="B481" s="24" t="inlineStr">
        <is>
          <t>EMBA students</t>
        </is>
      </c>
      <c r="C481" s="24" t="inlineStr">
        <is>
          <t>localist_audience</t>
        </is>
      </c>
      <c r="D481" s="24" t="inlineStr">
        <is>
          <t>Localist Audience</t>
        </is>
      </c>
      <c r="E481" s="24" t="n"/>
    </row>
    <row r="482">
      <c r="A482" s="24" t="inlineStr">
        <is>
          <t>1664</t>
        </is>
      </c>
      <c r="B482" s="24" t="inlineStr">
        <is>
          <t>GNAM students</t>
        </is>
      </c>
      <c r="C482" s="24" t="inlineStr">
        <is>
          <t>localist_audience</t>
        </is>
      </c>
      <c r="D482" s="24" t="inlineStr">
        <is>
          <t>Localist Audience</t>
        </is>
      </c>
      <c r="E482" s="24" t="n"/>
    </row>
    <row r="483">
      <c r="A483" s="24" t="inlineStr">
        <is>
          <t>1660</t>
        </is>
      </c>
      <c r="B483" s="24" t="inlineStr">
        <is>
          <t>MAM &amp; MMS students</t>
        </is>
      </c>
      <c r="C483" s="24" t="inlineStr">
        <is>
          <t>localist_audience</t>
        </is>
      </c>
      <c r="D483" s="24" t="inlineStr">
        <is>
          <t>Localist Audience</t>
        </is>
      </c>
      <c r="E483" s="24" t="n"/>
    </row>
    <row r="484">
      <c r="A484" s="24" t="inlineStr">
        <is>
          <t>1671</t>
        </is>
      </c>
      <c r="B484" s="24" t="inlineStr">
        <is>
          <t>Partners, Spouses &amp; Family</t>
        </is>
      </c>
      <c r="C484" s="24" t="inlineStr">
        <is>
          <t>localist_audience</t>
        </is>
      </c>
      <c r="D484" s="24" t="inlineStr">
        <is>
          <t>Localist Audience</t>
        </is>
      </c>
      <c r="E484" s="24" t="n"/>
    </row>
    <row r="485">
      <c r="A485" s="24" t="inlineStr">
        <is>
          <t>1663</t>
        </is>
      </c>
      <c r="B485" s="24" t="inlineStr">
        <is>
          <t>PEM students</t>
        </is>
      </c>
      <c r="C485" s="24" t="inlineStr">
        <is>
          <t>localist_audience</t>
        </is>
      </c>
      <c r="D485" s="24" t="inlineStr">
        <is>
          <t>Localist Audience</t>
        </is>
      </c>
      <c r="E485" s="24" t="n"/>
    </row>
    <row r="486">
      <c r="A486" s="24" t="inlineStr">
        <is>
          <t>1672</t>
        </is>
      </c>
      <c r="B486" s="24" t="inlineStr">
        <is>
          <t>Yale Community</t>
        </is>
      </c>
      <c r="C486" s="24" t="inlineStr">
        <is>
          <t>localist_audience</t>
        </is>
      </c>
      <c r="D486" s="24" t="inlineStr">
        <is>
          <t>Localist Audience</t>
        </is>
      </c>
      <c r="E486" s="24" t="n"/>
    </row>
    <row r="487">
      <c r="A487" s="24" t="inlineStr">
        <is>
          <t>1666</t>
        </is>
      </c>
      <c r="B487" s="24" t="inlineStr">
        <is>
          <t>Yale Graduate &amp; Professional students</t>
        </is>
      </c>
      <c r="C487" s="24" t="inlineStr">
        <is>
          <t>localist_audience</t>
        </is>
      </c>
      <c r="D487" s="24" t="inlineStr">
        <is>
          <t>Localist Audience</t>
        </is>
      </c>
      <c r="E487" s="24" t="n"/>
    </row>
    <row r="488">
      <c r="A488" s="24" t="inlineStr">
        <is>
          <t>1670</t>
        </is>
      </c>
      <c r="B488" s="24" t="inlineStr">
        <is>
          <t>Yale SOM Alumni</t>
        </is>
      </c>
      <c r="C488" s="24" t="inlineStr">
        <is>
          <t>localist_audience</t>
        </is>
      </c>
      <c r="D488" s="24" t="inlineStr">
        <is>
          <t>Localist Audience</t>
        </is>
      </c>
      <c r="E488" s="24" t="n"/>
    </row>
    <row r="489">
      <c r="A489" s="24" t="inlineStr">
        <is>
          <t>1669</t>
        </is>
      </c>
      <c r="B489" s="24" t="inlineStr">
        <is>
          <t>Yale SOM community</t>
        </is>
      </c>
      <c r="C489" s="24" t="inlineStr">
        <is>
          <t>localist_audience</t>
        </is>
      </c>
      <c r="D489" s="24" t="inlineStr">
        <is>
          <t>Localist Audience</t>
        </is>
      </c>
      <c r="E489" s="24" t="n"/>
    </row>
    <row r="490">
      <c r="A490" s="24" t="inlineStr">
        <is>
          <t>1667</t>
        </is>
      </c>
      <c r="B490" s="24" t="inlineStr">
        <is>
          <t>Yale SOM faculty</t>
        </is>
      </c>
      <c r="C490" s="24" t="inlineStr">
        <is>
          <t>localist_audience</t>
        </is>
      </c>
      <c r="D490" s="24" t="inlineStr">
        <is>
          <t>Localist Audience</t>
        </is>
      </c>
      <c r="E490" s="24" t="n"/>
    </row>
    <row r="491">
      <c r="A491" s="24" t="inlineStr">
        <is>
          <t>1668</t>
        </is>
      </c>
      <c r="B491" s="24" t="inlineStr">
        <is>
          <t>Yale SOM staff</t>
        </is>
      </c>
      <c r="C491" s="24" t="inlineStr">
        <is>
          <t>localist_audience</t>
        </is>
      </c>
      <c r="D491" s="24" t="inlineStr">
        <is>
          <t>Localist Audience</t>
        </is>
      </c>
      <c r="E491" s="24" t="n"/>
    </row>
    <row r="492">
      <c r="A492" s="24" t="inlineStr">
        <is>
          <t>1665</t>
        </is>
      </c>
      <c r="B492" s="24" t="inlineStr">
        <is>
          <t>Yale Undergraduate students</t>
        </is>
      </c>
      <c r="C492" s="24" t="inlineStr">
        <is>
          <t>localist_audience</t>
        </is>
      </c>
      <c r="D492" s="24" t="inlineStr">
        <is>
          <t>Localist Audience</t>
        </is>
      </c>
      <c r="E492" s="24" t="n"/>
    </row>
    <row r="493">
      <c r="A493" s="24" t="inlineStr">
        <is>
          <t>1713</t>
        </is>
      </c>
      <c r="B493" s="24" t="inlineStr">
        <is>
          <t>All Staff Meeting</t>
        </is>
      </c>
      <c r="C493" s="24" t="inlineStr">
        <is>
          <t>localist_event_type</t>
        </is>
      </c>
      <c r="D493" s="24" t="inlineStr">
        <is>
          <t>Localist Event Type</t>
        </is>
      </c>
      <c r="E493" s="24" t="n"/>
    </row>
    <row r="494">
      <c r="A494" s="24" t="inlineStr">
        <is>
          <t>1678</t>
        </is>
      </c>
      <c r="B494" s="24" t="inlineStr">
        <is>
          <t>Art Exhibition</t>
        </is>
      </c>
      <c r="C494" s="24" t="inlineStr">
        <is>
          <t>localist_event_type</t>
        </is>
      </c>
      <c r="D494" s="24" t="inlineStr">
        <is>
          <t>Localist Event Type</t>
        </is>
      </c>
      <c r="E494" s="24" t="n"/>
    </row>
    <row r="495">
      <c r="A495" s="24" t="inlineStr">
        <is>
          <t>1685</t>
        </is>
      </c>
      <c r="B495" s="24" t="inlineStr">
        <is>
          <t>Book Talk</t>
        </is>
      </c>
      <c r="C495" s="24" t="inlineStr">
        <is>
          <t>localist_event_type</t>
        </is>
      </c>
      <c r="D495" s="24" t="inlineStr">
        <is>
          <t>Localist Event Type</t>
        </is>
      </c>
      <c r="E495" s="24" t="n"/>
    </row>
    <row r="496">
      <c r="A496" s="24" t="inlineStr">
        <is>
          <t>1677</t>
        </is>
      </c>
      <c r="B496" s="24" t="inlineStr">
        <is>
          <t>Case Competition</t>
        </is>
      </c>
      <c r="C496" s="24" t="inlineStr">
        <is>
          <t>localist_event_type</t>
        </is>
      </c>
      <c r="D496" s="24" t="inlineStr">
        <is>
          <t>Localist Event Type</t>
        </is>
      </c>
      <c r="E496" s="24" t="n"/>
    </row>
    <row r="497">
      <c r="A497" s="24" t="inlineStr">
        <is>
          <t>1675</t>
        </is>
      </c>
      <c r="B497" s="24" t="inlineStr">
        <is>
          <t>Colloquia &amp; Symposia</t>
        </is>
      </c>
      <c r="C497" s="24" t="inlineStr">
        <is>
          <t>localist_event_type</t>
        </is>
      </c>
      <c r="D497" s="24" t="inlineStr">
        <is>
          <t>Localist Event Type</t>
        </is>
      </c>
      <c r="E497" s="24" t="n"/>
    </row>
    <row r="498">
      <c r="A498" s="24" t="inlineStr">
        <is>
          <t>1715</t>
        </is>
      </c>
      <c r="B498" s="24" t="inlineStr">
        <is>
          <t>Community Engagement</t>
        </is>
      </c>
      <c r="C498" s="24" t="inlineStr">
        <is>
          <t>localist_event_type</t>
        </is>
      </c>
      <c r="D498" s="24" t="inlineStr">
        <is>
          <t>Localist Event Type</t>
        </is>
      </c>
      <c r="E498" s="24" t="n"/>
    </row>
    <row r="499">
      <c r="A499" s="24" t="inlineStr">
        <is>
          <t>1676</t>
        </is>
      </c>
      <c r="B499" s="24" t="inlineStr">
        <is>
          <t>Conferences</t>
        </is>
      </c>
      <c r="C499" s="24" t="inlineStr">
        <is>
          <t>localist_event_type</t>
        </is>
      </c>
      <c r="D499" s="24" t="inlineStr">
        <is>
          <t>Localist Event Type</t>
        </is>
      </c>
      <c r="E499" s="24" t="n"/>
    </row>
    <row r="500">
      <c r="A500" s="24" t="inlineStr">
        <is>
          <t>1687</t>
        </is>
      </c>
      <c r="B500" s="24" t="inlineStr">
        <is>
          <t>Dates &amp; Deadlines</t>
        </is>
      </c>
      <c r="C500" s="24" t="inlineStr">
        <is>
          <t>localist_event_type</t>
        </is>
      </c>
      <c r="D500" s="24" t="inlineStr">
        <is>
          <t>Localist Event Type</t>
        </is>
      </c>
      <c r="E500" s="24" t="n"/>
    </row>
    <row r="501">
      <c r="A501" s="24" t="inlineStr">
        <is>
          <t>1688</t>
        </is>
      </c>
      <c r="B501" s="24" t="inlineStr">
        <is>
          <t>Faculty Seminar Series</t>
        </is>
      </c>
      <c r="C501" s="24" t="inlineStr">
        <is>
          <t>localist_event_type</t>
        </is>
      </c>
      <c r="D501" s="24" t="inlineStr">
        <is>
          <t>Localist Event Type</t>
        </is>
      </c>
      <c r="E501" s="24" t="n"/>
    </row>
    <row r="502">
      <c r="A502" s="24" t="inlineStr">
        <is>
          <t>1679</t>
        </is>
      </c>
      <c r="B502" s="24" t="inlineStr">
        <is>
          <t>Film &amp; Media Screening</t>
        </is>
      </c>
      <c r="C502" s="24" t="inlineStr">
        <is>
          <t>localist_event_type</t>
        </is>
      </c>
      <c r="D502" s="24" t="inlineStr">
        <is>
          <t>Localist Event Type</t>
        </is>
      </c>
      <c r="E502" s="24" t="n"/>
    </row>
    <row r="503">
      <c r="A503" s="24" t="inlineStr">
        <is>
          <t>1681</t>
        </is>
      </c>
      <c r="B503" s="24" t="inlineStr">
        <is>
          <t>Info Session</t>
        </is>
      </c>
      <c r="C503" s="24" t="inlineStr">
        <is>
          <t>localist_event_type</t>
        </is>
      </c>
      <c r="D503" s="24" t="inlineStr">
        <is>
          <t>Localist Event Type</t>
        </is>
      </c>
      <c r="E503" s="24" t="n"/>
    </row>
    <row r="504">
      <c r="A504" s="24" t="inlineStr">
        <is>
          <t>1674</t>
        </is>
      </c>
      <c r="B504" s="24" t="inlineStr">
        <is>
          <t>Lectures &amp; Talks</t>
        </is>
      </c>
      <c r="C504" s="24" t="inlineStr">
        <is>
          <t>localist_event_type</t>
        </is>
      </c>
      <c r="D504" s="24" t="inlineStr">
        <is>
          <t>Localist Event Type</t>
        </is>
      </c>
      <c r="E504" s="24" t="n"/>
    </row>
    <row r="505">
      <c r="A505" s="24" t="inlineStr">
        <is>
          <t>1683</t>
        </is>
      </c>
      <c r="B505" s="24" t="inlineStr">
        <is>
          <t>Livestreams &amp; Webinars</t>
        </is>
      </c>
      <c r="C505" s="24" t="inlineStr">
        <is>
          <t>localist_event_type</t>
        </is>
      </c>
      <c r="D505" s="24" t="inlineStr">
        <is>
          <t>Localist Event Type</t>
        </is>
      </c>
      <c r="E505" s="24" t="n"/>
    </row>
    <row r="506">
      <c r="A506" s="24" t="inlineStr">
        <is>
          <t>1714</t>
        </is>
      </c>
      <c r="B506" s="24" t="inlineStr">
        <is>
          <t>Networking</t>
        </is>
      </c>
      <c r="C506" s="24" t="inlineStr">
        <is>
          <t>localist_event_type</t>
        </is>
      </c>
      <c r="D506" s="24" t="inlineStr">
        <is>
          <t>Localist Event Type</t>
        </is>
      </c>
      <c r="E506" s="24" t="n"/>
    </row>
    <row r="507">
      <c r="A507" s="24" t="inlineStr">
        <is>
          <t>1684</t>
        </is>
      </c>
      <c r="B507" s="24" t="inlineStr">
        <is>
          <t>Office Hours</t>
        </is>
      </c>
      <c r="C507" s="24" t="inlineStr">
        <is>
          <t>localist_event_type</t>
        </is>
      </c>
      <c r="D507" s="24" t="inlineStr">
        <is>
          <t>Localist Event Type</t>
        </is>
      </c>
      <c r="E507" s="24" t="n"/>
    </row>
    <row r="508">
      <c r="A508" s="24" t="inlineStr">
        <is>
          <t>1680</t>
        </is>
      </c>
      <c r="B508" s="24" t="inlineStr">
        <is>
          <t>Panel Discussions &amp; Roundtables</t>
        </is>
      </c>
      <c r="C508" s="24" t="inlineStr">
        <is>
          <t>localist_event_type</t>
        </is>
      </c>
      <c r="D508" s="24" t="inlineStr">
        <is>
          <t>Localist Event Type</t>
        </is>
      </c>
      <c r="E508" s="24" t="n"/>
    </row>
    <row r="509">
      <c r="A509" s="24" t="inlineStr">
        <is>
          <t>1686</t>
        </is>
      </c>
      <c r="B509" s="24" t="inlineStr">
        <is>
          <t>Podcast</t>
        </is>
      </c>
      <c r="C509" s="24" t="inlineStr">
        <is>
          <t>localist_event_type</t>
        </is>
      </c>
      <c r="D509" s="24" t="inlineStr">
        <is>
          <t>Localist Event Type</t>
        </is>
      </c>
      <c r="E509" s="24" t="n"/>
    </row>
    <row r="510">
      <c r="A510" s="24" t="inlineStr">
        <is>
          <t>1682</t>
        </is>
      </c>
      <c r="B510" s="24" t="inlineStr">
        <is>
          <t>Research Study</t>
        </is>
      </c>
      <c r="C510" s="24" t="inlineStr">
        <is>
          <t>localist_event_type</t>
        </is>
      </c>
      <c r="D510" s="24" t="inlineStr">
        <is>
          <t>Localist Event Type</t>
        </is>
      </c>
      <c r="E510" s="24" t="n"/>
    </row>
    <row r="511">
      <c r="A511" s="24" t="inlineStr">
        <is>
          <t>1689</t>
        </is>
      </c>
      <c r="B511" s="24" t="inlineStr">
        <is>
          <t>Workshops</t>
        </is>
      </c>
      <c r="C511" s="24" t="inlineStr">
        <is>
          <t>localist_event_type</t>
        </is>
      </c>
      <c r="D511" s="24" t="inlineStr">
        <is>
          <t>Localist Event Type</t>
        </is>
      </c>
      <c r="E511" s="24" t="n"/>
    </row>
    <row r="512">
      <c r="A512" s="24" t="inlineStr">
        <is>
          <t>1690</t>
        </is>
      </c>
      <c r="B512" s="24" t="inlineStr">
        <is>
          <t>Academic Affairs and Student Life (AASL)</t>
        </is>
      </c>
      <c r="C512" s="24" t="inlineStr">
        <is>
          <t>localist_groups</t>
        </is>
      </c>
      <c r="D512" s="24" t="inlineStr">
        <is>
          <t>Localist Groups</t>
        </is>
      </c>
      <c r="E512" s="24" t="n"/>
    </row>
    <row r="513">
      <c r="A513" s="24" t="inlineStr">
        <is>
          <t>1691</t>
        </is>
      </c>
      <c r="B513" s="24" t="inlineStr">
        <is>
          <t>Admissions</t>
        </is>
      </c>
      <c r="C513" s="24" t="inlineStr">
        <is>
          <t>localist_groups</t>
        </is>
      </c>
      <c r="D513" s="24" t="inlineStr">
        <is>
          <t>Localist Groups</t>
        </is>
      </c>
      <c r="E513" s="24" t="n"/>
    </row>
    <row r="514">
      <c r="A514" s="24" t="inlineStr">
        <is>
          <t>1692</t>
        </is>
      </c>
      <c r="B514" s="24" t="inlineStr">
        <is>
          <t>Business Operations</t>
        </is>
      </c>
      <c r="C514" s="24" t="inlineStr">
        <is>
          <t>localist_groups</t>
        </is>
      </c>
      <c r="D514" s="24" t="inlineStr">
        <is>
          <t>Localist Groups</t>
        </is>
      </c>
      <c r="E514" s="24" t="n"/>
    </row>
    <row r="515">
      <c r="A515" s="24" t="inlineStr">
        <is>
          <t>1693</t>
        </is>
      </c>
      <c r="B515" s="24" t="inlineStr">
        <is>
          <t>Career Development Office</t>
        </is>
      </c>
      <c r="C515" s="24" t="inlineStr">
        <is>
          <t>localist_groups</t>
        </is>
      </c>
      <c r="D515" s="24" t="inlineStr">
        <is>
          <t>Localist Groups</t>
        </is>
      </c>
      <c r="E515" s="24" t="n"/>
    </row>
    <row r="516">
      <c r="A516" s="24" t="inlineStr">
        <is>
          <t>1694</t>
        </is>
      </c>
      <c r="B516" s="24" t="inlineStr">
        <is>
          <t>Chief Executive Leadership Institute</t>
        </is>
      </c>
      <c r="C516" s="24" t="inlineStr">
        <is>
          <t>localist_groups</t>
        </is>
      </c>
      <c r="D516" s="24" t="inlineStr">
        <is>
          <t>Localist Groups</t>
        </is>
      </c>
      <c r="E516" s="24" t="n"/>
    </row>
    <row r="517">
      <c r="A517" s="24" t="inlineStr">
        <is>
          <t>1695</t>
        </is>
      </c>
      <c r="B517" s="24" t="inlineStr">
        <is>
          <t>Dean's Office</t>
        </is>
      </c>
      <c r="C517" s="24" t="inlineStr">
        <is>
          <t>localist_groups</t>
        </is>
      </c>
      <c r="D517" s="24" t="inlineStr">
        <is>
          <t>Localist Groups</t>
        </is>
      </c>
      <c r="E517" s="24" t="n"/>
    </row>
    <row r="518">
      <c r="A518" s="24" t="inlineStr">
        <is>
          <t>1696</t>
        </is>
      </c>
      <c r="B518" s="24" t="inlineStr">
        <is>
          <t>Human Resources</t>
        </is>
      </c>
      <c r="C518" s="24" t="inlineStr">
        <is>
          <t>localist_groups</t>
        </is>
      </c>
      <c r="D518" s="24" t="inlineStr">
        <is>
          <t>Localist Groups</t>
        </is>
      </c>
      <c r="E518" s="24" t="n"/>
    </row>
    <row r="519">
      <c r="A519" s="24" t="inlineStr">
        <is>
          <t>1697</t>
        </is>
      </c>
      <c r="B519" s="24" t="inlineStr">
        <is>
          <t>International Center for Finance</t>
        </is>
      </c>
      <c r="C519" s="24" t="inlineStr">
        <is>
          <t>localist_groups</t>
        </is>
      </c>
      <c r="D519" s="24" t="inlineStr">
        <is>
          <t>Localist Groups</t>
        </is>
      </c>
      <c r="E519" s="24" t="n"/>
    </row>
    <row r="520">
      <c r="A520" s="24" t="inlineStr">
        <is>
          <t>1698</t>
        </is>
      </c>
      <c r="B520" s="24" t="inlineStr">
        <is>
          <t>Jackson School of Global Affairs</t>
        </is>
      </c>
      <c r="C520" s="24" t="inlineStr">
        <is>
          <t>localist_groups</t>
        </is>
      </c>
      <c r="D520" s="24" t="inlineStr">
        <is>
          <t>Localist Groups</t>
        </is>
      </c>
      <c r="E520" s="24" t="n"/>
    </row>
    <row r="521">
      <c r="A521" s="24" t="inlineStr">
        <is>
          <t>1699</t>
        </is>
      </c>
      <c r="B521" s="24" t="inlineStr">
        <is>
          <t>Office of Community Engagement and Dialogue (OCED)</t>
        </is>
      </c>
      <c r="C521" s="24" t="inlineStr">
        <is>
          <t>localist_groups</t>
        </is>
      </c>
      <c r="D521" s="24" t="inlineStr">
        <is>
          <t>Localist Groups</t>
        </is>
      </c>
      <c r="E521" s="24" t="n"/>
    </row>
    <row r="522">
      <c r="A522" s="24" t="inlineStr">
        <is>
          <t>1112</t>
        </is>
      </c>
      <c r="B522" s="24" t="inlineStr">
        <is>
          <t>Africa</t>
        </is>
      </c>
      <c r="C522" s="24" t="inlineStr">
        <is>
          <t>location</t>
        </is>
      </c>
      <c r="D522" s="24" t="inlineStr">
        <is>
          <t>Location</t>
        </is>
      </c>
      <c r="E522" s="24" t="n"/>
    </row>
    <row r="523">
      <c r="A523" s="24" t="inlineStr">
        <is>
          <t>1113</t>
        </is>
      </c>
      <c r="B523" s="24" t="inlineStr">
        <is>
          <t>Asia</t>
        </is>
      </c>
      <c r="C523" s="24" t="inlineStr">
        <is>
          <t>location</t>
        </is>
      </c>
      <c r="D523" s="24" t="inlineStr">
        <is>
          <t>Location</t>
        </is>
      </c>
      <c r="E523" s="24" t="n"/>
    </row>
    <row r="524">
      <c r="A524" s="24" t="inlineStr">
        <is>
          <t>1114</t>
        </is>
      </c>
      <c r="B524" s="24" t="inlineStr">
        <is>
          <t>Australia</t>
        </is>
      </c>
      <c r="C524" s="24" t="inlineStr">
        <is>
          <t>location</t>
        </is>
      </c>
      <c r="D524" s="24" t="inlineStr">
        <is>
          <t>Location</t>
        </is>
      </c>
      <c r="E524" s="24" t="n"/>
    </row>
    <row r="525">
      <c r="A525" s="24" t="inlineStr">
        <is>
          <t>1120</t>
        </is>
      </c>
      <c r="B525" s="24" t="inlineStr">
        <is>
          <t>Canada</t>
        </is>
      </c>
      <c r="C525" s="24" t="inlineStr">
        <is>
          <t>location</t>
        </is>
      </c>
      <c r="D525" s="24" t="inlineStr">
        <is>
          <t>Location</t>
        </is>
      </c>
      <c r="E525" s="24" t="inlineStr">
        <is>
          <t>1119</t>
        </is>
      </c>
    </row>
    <row r="526">
      <c r="A526" s="24" t="inlineStr">
        <is>
          <t>1115</t>
        </is>
      </c>
      <c r="B526" s="24" t="inlineStr">
        <is>
          <t>Central/South America</t>
        </is>
      </c>
      <c r="C526" s="24" t="inlineStr">
        <is>
          <t>location</t>
        </is>
      </c>
      <c r="D526" s="24" t="inlineStr">
        <is>
          <t>Location</t>
        </is>
      </c>
      <c r="E526" s="24" t="n"/>
    </row>
    <row r="527">
      <c r="A527" s="24" t="inlineStr">
        <is>
          <t>1116</t>
        </is>
      </c>
      <c r="B527" s="24" t="inlineStr">
        <is>
          <t>Europe</t>
        </is>
      </c>
      <c r="C527" s="24" t="inlineStr">
        <is>
          <t>location</t>
        </is>
      </c>
      <c r="D527" s="24" t="inlineStr">
        <is>
          <t>Location</t>
        </is>
      </c>
      <c r="E527" s="24" t="n"/>
    </row>
    <row r="528">
      <c r="A528" s="24" t="inlineStr">
        <is>
          <t>1117</t>
        </is>
      </c>
      <c r="B528" s="24" t="inlineStr">
        <is>
          <t>Middle East</t>
        </is>
      </c>
      <c r="C528" s="24" t="inlineStr">
        <is>
          <t>location</t>
        </is>
      </c>
      <c r="D528" s="24" t="inlineStr">
        <is>
          <t>Location</t>
        </is>
      </c>
      <c r="E528" s="24" t="n"/>
    </row>
    <row r="529">
      <c r="A529" s="24" t="inlineStr">
        <is>
          <t>1119</t>
        </is>
      </c>
      <c r="B529" s="24" t="inlineStr">
        <is>
          <t>North America</t>
        </is>
      </c>
      <c r="C529" s="24" t="inlineStr">
        <is>
          <t>location</t>
        </is>
      </c>
      <c r="D529" s="24" t="inlineStr">
        <is>
          <t>Location</t>
        </is>
      </c>
      <c r="E529" s="24" t="n"/>
    </row>
    <row r="530">
      <c r="A530" s="24" t="inlineStr">
        <is>
          <t>1118</t>
        </is>
      </c>
      <c r="B530" s="24" t="inlineStr">
        <is>
          <t>Oceania</t>
        </is>
      </c>
      <c r="C530" s="24" t="inlineStr">
        <is>
          <t>location</t>
        </is>
      </c>
      <c r="D530" s="24" t="inlineStr">
        <is>
          <t>Location</t>
        </is>
      </c>
      <c r="E530" s="24" t="n"/>
    </row>
    <row r="531">
      <c r="A531" s="24" t="inlineStr">
        <is>
          <t>1122</t>
        </is>
      </c>
      <c r="B531" s="24" t="inlineStr">
        <is>
          <t>United States</t>
        </is>
      </c>
      <c r="C531" s="24" t="inlineStr">
        <is>
          <t>location</t>
        </is>
      </c>
      <c r="D531" s="24" t="inlineStr">
        <is>
          <t>Location</t>
        </is>
      </c>
      <c r="E531" s="24" t="inlineStr">
        <is>
          <t>1119</t>
        </is>
      </c>
    </row>
    <row r="532">
      <c r="A532" s="24" t="inlineStr">
        <is>
          <t>1138</t>
        </is>
      </c>
      <c r="B532" s="24" t="inlineStr">
        <is>
          <t>Evans Hall</t>
        </is>
      </c>
      <c r="C532" s="24" t="inlineStr">
        <is>
          <t>media_tags</t>
        </is>
      </c>
      <c r="D532" s="24" t="inlineStr">
        <is>
          <t>Media Tags</t>
        </is>
      </c>
      <c r="E532" s="24" t="n"/>
    </row>
    <row r="533">
      <c r="A533" s="24" t="inlineStr">
        <is>
          <t>1143</t>
        </is>
      </c>
      <c r="B533" s="24" t="inlineStr">
        <is>
          <t>Executive Education</t>
        </is>
      </c>
      <c r="C533" s="24" t="inlineStr">
        <is>
          <t>media_tags</t>
        </is>
      </c>
      <c r="D533" s="24" t="inlineStr">
        <is>
          <t>Media Tags</t>
        </is>
      </c>
      <c r="E533" s="24" t="n"/>
    </row>
    <row r="534">
      <c r="A534" s="24" t="inlineStr">
        <is>
          <t>1139</t>
        </is>
      </c>
      <c r="B534" s="24" t="inlineStr">
        <is>
          <t>Faculty</t>
        </is>
      </c>
      <c r="C534" s="24" t="inlineStr">
        <is>
          <t>media_tags</t>
        </is>
      </c>
      <c r="D534" s="24" t="inlineStr">
        <is>
          <t>Media Tags</t>
        </is>
      </c>
      <c r="E534" s="24" t="n"/>
    </row>
    <row r="535">
      <c r="A535" s="24" t="inlineStr">
        <is>
          <t>1141</t>
        </is>
      </c>
      <c r="B535" s="24" t="inlineStr">
        <is>
          <t>Global</t>
        </is>
      </c>
      <c r="C535" s="24" t="inlineStr">
        <is>
          <t>media_tags</t>
        </is>
      </c>
      <c r="D535" s="24" t="inlineStr">
        <is>
          <t>Media Tags</t>
        </is>
      </c>
      <c r="E535" s="24" t="n"/>
    </row>
    <row r="536">
      <c r="A536" s="24" t="inlineStr">
        <is>
          <t>1169</t>
        </is>
      </c>
      <c r="B536" s="24" t="inlineStr">
        <is>
          <t>myPortal</t>
        </is>
      </c>
      <c r="C536" s="24" t="inlineStr">
        <is>
          <t>media_tags</t>
        </is>
      </c>
      <c r="D536" s="24" t="inlineStr">
        <is>
          <t>Media Tags</t>
        </is>
      </c>
      <c r="E536" s="24" t="n"/>
    </row>
    <row r="537">
      <c r="A537" s="24" t="inlineStr">
        <is>
          <t>1181</t>
        </is>
      </c>
      <c r="B537" s="24" t="inlineStr">
        <is>
          <t>Podcast Image</t>
        </is>
      </c>
      <c r="C537" s="24" t="inlineStr">
        <is>
          <t>media_tags</t>
        </is>
      </c>
      <c r="D537" s="24" t="inlineStr">
        <is>
          <t>Media Tags</t>
        </is>
      </c>
      <c r="E537" s="24" t="n"/>
    </row>
    <row r="538">
      <c r="A538" s="24" t="inlineStr">
        <is>
          <t>1140</t>
        </is>
      </c>
      <c r="B538" s="24" t="inlineStr">
        <is>
          <t>Programs</t>
        </is>
      </c>
      <c r="C538" s="24" t="inlineStr">
        <is>
          <t>media_tags</t>
        </is>
      </c>
      <c r="D538" s="24" t="inlineStr">
        <is>
          <t>Media Tags</t>
        </is>
      </c>
      <c r="E538" s="24" t="n"/>
    </row>
    <row r="539">
      <c r="A539" s="24" t="inlineStr">
        <is>
          <t>1292</t>
        </is>
      </c>
      <c r="B539" s="24" t="inlineStr">
        <is>
          <t>Blended</t>
        </is>
      </c>
      <c r="C539" s="24" t="inlineStr">
        <is>
          <t>modality</t>
        </is>
      </c>
      <c r="D539" s="24" t="inlineStr">
        <is>
          <t>Modality</t>
        </is>
      </c>
      <c r="E539" s="24" t="n"/>
    </row>
    <row r="540">
      <c r="A540" s="24" t="inlineStr">
        <is>
          <t>1293</t>
        </is>
      </c>
      <c r="B540" s="24" t="inlineStr">
        <is>
          <t>In-Person</t>
        </is>
      </c>
      <c r="C540" s="24" t="inlineStr">
        <is>
          <t>modality</t>
        </is>
      </c>
      <c r="D540" s="24" t="inlineStr">
        <is>
          <t>Modality</t>
        </is>
      </c>
      <c r="E540" s="24" t="n"/>
    </row>
    <row r="541">
      <c r="A541" s="24" t="inlineStr">
        <is>
          <t>1294</t>
        </is>
      </c>
      <c r="B541" s="24" t="inlineStr">
        <is>
          <t>Live Online</t>
        </is>
      </c>
      <c r="C541" s="24" t="inlineStr">
        <is>
          <t>modality</t>
        </is>
      </c>
      <c r="D541" s="24" t="inlineStr">
        <is>
          <t>Modality</t>
        </is>
      </c>
      <c r="E541" s="24" t="n"/>
    </row>
    <row r="542">
      <c r="A542" s="24" t="inlineStr">
        <is>
          <t>1295</t>
        </is>
      </c>
      <c r="B542" s="24" t="inlineStr">
        <is>
          <t>Online</t>
        </is>
      </c>
      <c r="C542" s="24" t="inlineStr">
        <is>
          <t>modality</t>
        </is>
      </c>
      <c r="D542" s="24" t="inlineStr">
        <is>
          <t>Modality</t>
        </is>
      </c>
      <c r="E542" s="24" t="n"/>
    </row>
    <row r="543">
      <c r="A543" s="24" t="inlineStr">
        <is>
          <t>1379</t>
        </is>
      </c>
      <c r="B543" s="24" t="inlineStr">
        <is>
          <t>1stGenYale</t>
        </is>
      </c>
      <c r="C543" s="24" t="inlineStr">
        <is>
          <t>organizer</t>
        </is>
      </c>
      <c r="D543" s="24" t="inlineStr">
        <is>
          <t>Organizer</t>
        </is>
      </c>
      <c r="E543" s="24" t="n"/>
    </row>
    <row r="544">
      <c r="A544" s="24" t="inlineStr">
        <is>
          <t>1221</t>
        </is>
      </c>
      <c r="B544" s="24" t="inlineStr">
        <is>
          <t>Academic Affairs &amp; Student Life</t>
        </is>
      </c>
      <c r="C544" s="24" t="inlineStr">
        <is>
          <t>organizer</t>
        </is>
      </c>
      <c r="D544" s="24" t="inlineStr">
        <is>
          <t>Organizer</t>
        </is>
      </c>
      <c r="E544" s="24" t="n"/>
    </row>
    <row r="545">
      <c r="A545" s="24" t="inlineStr">
        <is>
          <t>1297</t>
        </is>
      </c>
      <c r="B545" s="24" t="inlineStr">
        <is>
          <t>Academic Affairs and Student Life</t>
        </is>
      </c>
      <c r="C545" s="24" t="inlineStr">
        <is>
          <t>organizer</t>
        </is>
      </c>
      <c r="D545" s="24" t="inlineStr">
        <is>
          <t>Organizer</t>
        </is>
      </c>
      <c r="E545" s="24" t="n"/>
    </row>
    <row r="546">
      <c r="A546" s="24" t="inlineStr">
        <is>
          <t>1307</t>
        </is>
      </c>
      <c r="B546" s="24" t="inlineStr">
        <is>
          <t>Academics</t>
        </is>
      </c>
      <c r="C546" s="24" t="inlineStr">
        <is>
          <t>organizer</t>
        </is>
      </c>
      <c r="D546" s="24" t="inlineStr">
        <is>
          <t>Organizer</t>
        </is>
      </c>
      <c r="E546" s="24" t="n"/>
    </row>
    <row r="547">
      <c r="A547" s="24" t="inlineStr">
        <is>
          <t>1370</t>
        </is>
      </c>
      <c r="B547" s="24" t="inlineStr">
        <is>
          <t>Adam Smith Society</t>
        </is>
      </c>
      <c r="C547" s="24" t="inlineStr">
        <is>
          <t>organizer</t>
        </is>
      </c>
      <c r="D547" s="24" t="inlineStr">
        <is>
          <t>Organizer</t>
        </is>
      </c>
      <c r="E547" s="24" t="n"/>
    </row>
    <row r="548">
      <c r="A548" s="24" t="inlineStr">
        <is>
          <t>1363</t>
        </is>
      </c>
      <c r="B548" s="24" t="inlineStr">
        <is>
          <t>Admissions</t>
        </is>
      </c>
      <c r="C548" s="24" t="inlineStr">
        <is>
          <t>organizer</t>
        </is>
      </c>
      <c r="D548" s="24" t="inlineStr">
        <is>
          <t>Organizer</t>
        </is>
      </c>
      <c r="E548" s="24" t="n"/>
    </row>
    <row r="549">
      <c r="A549" s="24" t="inlineStr">
        <is>
          <t>1539</t>
        </is>
      </c>
      <c r="B549" s="24" t="inlineStr">
        <is>
          <t>Aerospace &amp; Defense Club</t>
        </is>
      </c>
      <c r="C549" s="24" t="inlineStr">
        <is>
          <t>organizer</t>
        </is>
      </c>
      <c r="D549" s="24" t="inlineStr">
        <is>
          <t>Organizer</t>
        </is>
      </c>
      <c r="E549" s="24" t="n"/>
    </row>
    <row r="550">
      <c r="A550" s="24" t="inlineStr">
        <is>
          <t>1584</t>
        </is>
      </c>
      <c r="B550" s="24" t="inlineStr">
        <is>
          <t>Africa Business &amp;  Society Club</t>
        </is>
      </c>
      <c r="C550" s="24" t="inlineStr">
        <is>
          <t>organizer</t>
        </is>
      </c>
      <c r="D550" s="24" t="inlineStr">
        <is>
          <t>Organizer</t>
        </is>
      </c>
      <c r="E550" s="24" t="n"/>
    </row>
    <row r="551">
      <c r="A551" s="24" t="inlineStr">
        <is>
          <t>1259</t>
        </is>
      </c>
      <c r="B551" s="24" t="inlineStr">
        <is>
          <t>Africa Business &amp; Society</t>
        </is>
      </c>
      <c r="C551" s="24" t="inlineStr">
        <is>
          <t>organizer</t>
        </is>
      </c>
      <c r="D551" s="24" t="inlineStr">
        <is>
          <t>Organizer</t>
        </is>
      </c>
      <c r="E551" s="24" t="n"/>
    </row>
    <row r="552">
      <c r="A552" s="24" t="inlineStr">
        <is>
          <t>1765</t>
        </is>
      </c>
      <c r="B552" s="24" t="inlineStr">
        <is>
          <t>African Business &amp; Society Club</t>
        </is>
      </c>
      <c r="C552" s="24" t="inlineStr">
        <is>
          <t>organizer</t>
        </is>
      </c>
      <c r="D552" s="24" t="inlineStr">
        <is>
          <t>Organizer</t>
        </is>
      </c>
      <c r="E552" s="24" t="n"/>
    </row>
    <row r="553">
      <c r="A553" s="24" t="inlineStr">
        <is>
          <t>1754</t>
        </is>
      </c>
      <c r="B553" s="24" t="inlineStr">
        <is>
          <t>AI at Yale</t>
        </is>
      </c>
      <c r="C553" s="24" t="inlineStr">
        <is>
          <t>organizer</t>
        </is>
      </c>
      <c r="D553" s="24" t="inlineStr">
        <is>
          <t>Organizer</t>
        </is>
      </c>
      <c r="E553" s="24" t="n"/>
    </row>
    <row r="554">
      <c r="A554" s="24" t="inlineStr">
        <is>
          <t>1728</t>
        </is>
      </c>
      <c r="B554" s="24" t="inlineStr">
        <is>
          <t>AI at Yale &amp; Yale Library</t>
        </is>
      </c>
      <c r="C554" s="24" t="inlineStr">
        <is>
          <t>organizer</t>
        </is>
      </c>
      <c r="D554" s="24" t="inlineStr">
        <is>
          <t>Organizer</t>
        </is>
      </c>
      <c r="E554" s="24" t="n"/>
    </row>
    <row r="555">
      <c r="A555" s="24" t="inlineStr">
        <is>
          <t>1223</t>
        </is>
      </c>
      <c r="B555" s="24" t="inlineStr">
        <is>
          <t>Alumni Relations</t>
        </is>
      </c>
      <c r="C555" s="24" t="inlineStr">
        <is>
          <t>organizer</t>
        </is>
      </c>
      <c r="D555" s="24" t="inlineStr">
        <is>
          <t>Organizer</t>
        </is>
      </c>
      <c r="E555" s="24" t="n"/>
    </row>
    <row r="556">
      <c r="A556" s="24" t="inlineStr">
        <is>
          <t>1275</t>
        </is>
      </c>
      <c r="B556" s="24" t="inlineStr">
        <is>
          <t>American-Latine Business Association</t>
        </is>
      </c>
      <c r="C556" s="24" t="inlineStr">
        <is>
          <t>organizer</t>
        </is>
      </c>
      <c r="D556" s="24" t="inlineStr">
        <is>
          <t>Organizer</t>
        </is>
      </c>
      <c r="E556" s="24" t="n"/>
    </row>
    <row r="557">
      <c r="A557" s="24" t="inlineStr">
        <is>
          <t>1469</t>
        </is>
      </c>
      <c r="B557" s="24" t="inlineStr">
        <is>
          <t>Artificial Intelligence Association</t>
        </is>
      </c>
      <c r="C557" s="24" t="inlineStr">
        <is>
          <t>organizer</t>
        </is>
      </c>
      <c r="D557" s="24" t="inlineStr">
        <is>
          <t>Organizer</t>
        </is>
      </c>
      <c r="E557" s="24" t="n"/>
    </row>
    <row r="558">
      <c r="A558" s="24" t="inlineStr">
        <is>
          <t>1270</t>
        </is>
      </c>
      <c r="B558" s="24" t="inlineStr">
        <is>
          <t>Artificial Intelligence Group</t>
        </is>
      </c>
      <c r="C558" s="24" t="inlineStr">
        <is>
          <t>organizer</t>
        </is>
      </c>
      <c r="D558" s="24" t="inlineStr">
        <is>
          <t>Organizer</t>
        </is>
      </c>
      <c r="E558" s="24" t="n"/>
    </row>
    <row r="559">
      <c r="A559" s="24" t="inlineStr">
        <is>
          <t>1274</t>
        </is>
      </c>
      <c r="B559" s="24" t="inlineStr">
        <is>
          <t>Arts and Culture Club</t>
        </is>
      </c>
      <c r="C559" s="24" t="inlineStr">
        <is>
          <t>organizer</t>
        </is>
      </c>
      <c r="D559" s="24" t="inlineStr">
        <is>
          <t>Organizer</t>
        </is>
      </c>
      <c r="E559" s="24" t="n"/>
    </row>
    <row r="560">
      <c r="A560" s="24" t="inlineStr">
        <is>
          <t>1411</t>
        </is>
      </c>
      <c r="B560" s="24" t="inlineStr">
        <is>
          <t>Arts Council of Greater New Haven &amp; Yale SOM</t>
        </is>
      </c>
      <c r="C560" s="24" t="inlineStr">
        <is>
          <t>organizer</t>
        </is>
      </c>
      <c r="D560" s="24" t="inlineStr">
        <is>
          <t>Organizer</t>
        </is>
      </c>
      <c r="E560" s="24" t="n"/>
    </row>
    <row r="561">
      <c r="A561" s="24" t="inlineStr">
        <is>
          <t>1327</t>
        </is>
      </c>
      <c r="B561" s="24" t="inlineStr">
        <is>
          <t>Asian, Asian-American and Pacific Islander Association</t>
        </is>
      </c>
      <c r="C561" s="24" t="inlineStr">
        <is>
          <t>organizer</t>
        </is>
      </c>
      <c r="D561" s="24" t="inlineStr">
        <is>
          <t>Organizer</t>
        </is>
      </c>
      <c r="E561" s="24" t="n"/>
    </row>
    <row r="562">
      <c r="A562" s="24" t="inlineStr">
        <is>
          <t>1302</t>
        </is>
      </c>
      <c r="B562" s="24" t="inlineStr">
        <is>
          <t>Ask Me Anything (AMA)</t>
        </is>
      </c>
      <c r="C562" s="24" t="inlineStr">
        <is>
          <t>organizer</t>
        </is>
      </c>
      <c r="D562" s="24" t="inlineStr">
        <is>
          <t>Organizer</t>
        </is>
      </c>
      <c r="E562" s="24" t="n"/>
    </row>
    <row r="563">
      <c r="A563" s="24" t="inlineStr">
        <is>
          <t>1600</t>
        </is>
      </c>
      <c r="B563" s="24" t="inlineStr">
        <is>
          <t>Aspire Fellow's Program</t>
        </is>
      </c>
      <c r="C563" s="24" t="inlineStr">
        <is>
          <t>organizer</t>
        </is>
      </c>
      <c r="D563" s="24" t="inlineStr">
        <is>
          <t>Organizer</t>
        </is>
      </c>
      <c r="E563" s="24" t="n"/>
    </row>
    <row r="564">
      <c r="A564" s="24" t="inlineStr">
        <is>
          <t>1252</t>
        </is>
      </c>
      <c r="B564" s="24" t="inlineStr">
        <is>
          <t>Association of Hispanic and Latin American Students</t>
        </is>
      </c>
      <c r="C564" s="24" t="inlineStr">
        <is>
          <t>organizer</t>
        </is>
      </c>
      <c r="D564" s="24" t="inlineStr">
        <is>
          <t>Organizer</t>
        </is>
      </c>
      <c r="E564" s="24" t="n"/>
    </row>
    <row r="565">
      <c r="A565" s="24" t="inlineStr">
        <is>
          <t>1322</t>
        </is>
      </c>
      <c r="B565" s="24" t="inlineStr">
        <is>
          <t>Behavioral Lab</t>
        </is>
      </c>
      <c r="C565" s="24" t="inlineStr">
        <is>
          <t>organizer</t>
        </is>
      </c>
      <c r="D565" s="24" t="inlineStr">
        <is>
          <t>Organizer</t>
        </is>
      </c>
      <c r="E565" s="24" t="n"/>
    </row>
    <row r="566">
      <c r="A566" s="24" t="inlineStr">
        <is>
          <t>1630</t>
        </is>
      </c>
      <c r="B566" s="24" t="inlineStr">
        <is>
          <t>Being Well at Yale</t>
        </is>
      </c>
      <c r="C566" s="24" t="inlineStr">
        <is>
          <t>organizer</t>
        </is>
      </c>
      <c r="D566" s="24" t="inlineStr">
        <is>
          <t>Organizer</t>
        </is>
      </c>
      <c r="E566" s="24" t="n"/>
    </row>
    <row r="567">
      <c r="A567" s="24" t="inlineStr">
        <is>
          <t>1448</t>
        </is>
      </c>
      <c r="B567" s="24" t="inlineStr">
        <is>
          <t>Belonging at Yale</t>
        </is>
      </c>
      <c r="C567" s="24" t="inlineStr">
        <is>
          <t>organizer</t>
        </is>
      </c>
      <c r="D567" s="24" t="inlineStr">
        <is>
          <t>Organizer</t>
        </is>
      </c>
      <c r="E567" s="24" t="n"/>
    </row>
    <row r="568">
      <c r="A568" s="24" t="inlineStr">
        <is>
          <t>1450</t>
        </is>
      </c>
      <c r="B568" s="24" t="inlineStr">
        <is>
          <t>Belonging at Yale &amp; Yale Schwarzman Center</t>
        </is>
      </c>
      <c r="C568" s="24" t="inlineStr">
        <is>
          <t>organizer</t>
        </is>
      </c>
      <c r="D568" s="24" t="inlineStr">
        <is>
          <t>Organizer</t>
        </is>
      </c>
      <c r="E568" s="24" t="n"/>
    </row>
    <row r="569">
      <c r="A569" s="24" t="inlineStr">
        <is>
          <t>1725</t>
        </is>
      </c>
      <c r="B569" s="24" t="inlineStr">
        <is>
          <t>Belonging at Yale: Cultivating Conversation</t>
        </is>
      </c>
      <c r="C569" s="24" t="inlineStr">
        <is>
          <t>organizer</t>
        </is>
      </c>
      <c r="D569" s="24" t="inlineStr">
        <is>
          <t>Organizer</t>
        </is>
      </c>
      <c r="E569" s="24" t="n"/>
    </row>
    <row r="570">
      <c r="A570" s="24" t="inlineStr">
        <is>
          <t>1235</t>
        </is>
      </c>
      <c r="B570" s="24" t="inlineStr">
        <is>
          <t>Black Business Alliance</t>
        </is>
      </c>
      <c r="C570" s="24" t="inlineStr">
        <is>
          <t>organizer</t>
        </is>
      </c>
      <c r="D570" s="24" t="inlineStr">
        <is>
          <t>Organizer</t>
        </is>
      </c>
      <c r="E570" s="24" t="n"/>
    </row>
    <row r="571">
      <c r="A571" s="24" t="inlineStr">
        <is>
          <t>1473</t>
        </is>
      </c>
      <c r="B571" s="24" t="inlineStr">
        <is>
          <t>Black Business Alliance</t>
        </is>
      </c>
      <c r="C571" s="24" t="inlineStr">
        <is>
          <t>organizer</t>
        </is>
      </c>
      <c r="D571" s="24" t="inlineStr">
        <is>
          <t>Organizer</t>
        </is>
      </c>
      <c r="E571" s="24" t="n"/>
    </row>
    <row r="572">
      <c r="A572" s="24" t="inlineStr">
        <is>
          <t>1388</t>
        </is>
      </c>
      <c r="B572" s="24" t="inlineStr">
        <is>
          <t>Blockchain Club</t>
        </is>
      </c>
      <c r="C572" s="24" t="inlineStr">
        <is>
          <t>organizer</t>
        </is>
      </c>
      <c r="D572" s="24" t="inlineStr">
        <is>
          <t>Organizer</t>
        </is>
      </c>
      <c r="E572" s="24" t="n"/>
    </row>
    <row r="573">
      <c r="A573" s="24" t="inlineStr">
        <is>
          <t>1609</t>
        </is>
      </c>
      <c r="B573" s="24" t="inlineStr">
        <is>
          <t>Blue Center for Global Strategic Assessment</t>
        </is>
      </c>
      <c r="C573" s="24" t="inlineStr">
        <is>
          <t>organizer</t>
        </is>
      </c>
      <c r="D573" s="24" t="inlineStr">
        <is>
          <t>Organizer</t>
        </is>
      </c>
      <c r="E573" s="24" t="n"/>
    </row>
    <row r="574">
      <c r="A574" s="24" t="inlineStr">
        <is>
          <t>1279</t>
        </is>
      </c>
      <c r="B574" s="24" t="inlineStr">
        <is>
          <t>Board Game Group</t>
        </is>
      </c>
      <c r="C574" s="24" t="inlineStr">
        <is>
          <t>organizer</t>
        </is>
      </c>
      <c r="D574" s="24" t="inlineStr">
        <is>
          <t>Organizer</t>
        </is>
      </c>
      <c r="E574" s="24" t="n"/>
    </row>
    <row r="575">
      <c r="A575" s="24" t="inlineStr">
        <is>
          <t>1300</t>
        </is>
      </c>
      <c r="B575" s="24" t="inlineStr">
        <is>
          <t>Board Game Group</t>
        </is>
      </c>
      <c r="C575" s="24" t="inlineStr">
        <is>
          <t>organizer</t>
        </is>
      </c>
      <c r="D575" s="24" t="inlineStr">
        <is>
          <t>Organizer</t>
        </is>
      </c>
      <c r="E575" s="24" t="n"/>
    </row>
    <row r="576">
      <c r="A576" s="24" t="inlineStr">
        <is>
          <t>1303</t>
        </is>
      </c>
      <c r="B576" s="24" t="inlineStr">
        <is>
          <t>Business and Politics Club</t>
        </is>
      </c>
      <c r="C576" s="24" t="inlineStr">
        <is>
          <t>organizer</t>
        </is>
      </c>
      <c r="D576" s="24" t="inlineStr">
        <is>
          <t>Organizer</t>
        </is>
      </c>
      <c r="E576" s="24" t="n"/>
    </row>
    <row r="577">
      <c r="A577" s="24" t="inlineStr">
        <is>
          <t>1321</t>
        </is>
      </c>
      <c r="B577" s="24" t="inlineStr">
        <is>
          <t>Business and the Environment Club</t>
        </is>
      </c>
      <c r="C577" s="24" t="inlineStr">
        <is>
          <t>organizer</t>
        </is>
      </c>
      <c r="D577" s="24" t="inlineStr">
        <is>
          <t>Organizer</t>
        </is>
      </c>
      <c r="E577" s="24" t="n"/>
    </row>
    <row r="578">
      <c r="A578" s="24" t="inlineStr">
        <is>
          <t>1445</t>
        </is>
      </c>
      <c r="B578" s="24" t="inlineStr">
        <is>
          <t>Business Operations</t>
        </is>
      </c>
      <c r="C578" s="24" t="inlineStr">
        <is>
          <t>organizer</t>
        </is>
      </c>
      <c r="D578" s="24" t="inlineStr">
        <is>
          <t>Organizer</t>
        </is>
      </c>
      <c r="E578" s="24" t="n"/>
    </row>
    <row r="579">
      <c r="A579" s="24" t="inlineStr">
        <is>
          <t>1625</t>
        </is>
      </c>
      <c r="B579" s="24" t="inlineStr">
        <is>
          <t>CARE &amp; Office of Inclusion and  Diversity</t>
        </is>
      </c>
      <c r="C579" s="24" t="inlineStr">
        <is>
          <t>organizer</t>
        </is>
      </c>
      <c r="D579" s="24" t="inlineStr">
        <is>
          <t>Organizer</t>
        </is>
      </c>
      <c r="E579" s="24" t="n"/>
    </row>
    <row r="580">
      <c r="A580" s="24" t="inlineStr">
        <is>
          <t>1419</t>
        </is>
      </c>
      <c r="B580" s="24" t="inlineStr">
        <is>
          <t>Career Development Office</t>
        </is>
      </c>
      <c r="C580" s="24" t="inlineStr">
        <is>
          <t>organizer</t>
        </is>
      </c>
      <c r="D580" s="24" t="inlineStr">
        <is>
          <t>Organizer</t>
        </is>
      </c>
      <c r="E580" s="24" t="n"/>
    </row>
    <row r="581">
      <c r="A581" s="24" t="inlineStr">
        <is>
          <t>1578</t>
        </is>
      </c>
      <c r="B581" s="24" t="inlineStr">
        <is>
          <t>Case Study Research &amp; Development Team</t>
        </is>
      </c>
      <c r="C581" s="24" t="inlineStr">
        <is>
          <t>organizer</t>
        </is>
      </c>
      <c r="D581" s="24" t="inlineStr">
        <is>
          <t>Organizer</t>
        </is>
      </c>
      <c r="E581" s="24" t="n"/>
    </row>
    <row r="582">
      <c r="A582" s="24" t="inlineStr">
        <is>
          <t>1291</t>
        </is>
      </c>
      <c r="B582" s="24" t="inlineStr">
        <is>
          <t>CBEY</t>
        </is>
      </c>
      <c r="C582" s="24" t="inlineStr">
        <is>
          <t>organizer</t>
        </is>
      </c>
      <c r="D582" s="24" t="inlineStr">
        <is>
          <t>Organizer</t>
        </is>
      </c>
      <c r="E582" s="24" t="n"/>
    </row>
    <row r="583">
      <c r="A583" s="24" t="inlineStr">
        <is>
          <t>1470</t>
        </is>
      </c>
      <c r="B583" s="24" t="inlineStr">
        <is>
          <t>CBEY &amp; SOM Business &amp; Environment Club</t>
        </is>
      </c>
      <c r="C583" s="24" t="inlineStr">
        <is>
          <t>organizer</t>
        </is>
      </c>
      <c r="D583" s="24" t="inlineStr">
        <is>
          <t>Organizer</t>
        </is>
      </c>
      <c r="E583" s="24" t="n"/>
    </row>
    <row r="584">
      <c r="A584" s="24" t="inlineStr">
        <is>
          <t>1376</t>
        </is>
      </c>
      <c r="B584" s="24" t="inlineStr">
        <is>
          <t>CBEY &amp; The Conservation Network</t>
        </is>
      </c>
      <c r="C584" s="24" t="inlineStr">
        <is>
          <t>organizer</t>
        </is>
      </c>
      <c r="D584" s="24" t="inlineStr">
        <is>
          <t>Organizer</t>
        </is>
      </c>
      <c r="E584" s="24" t="n"/>
    </row>
    <row r="585">
      <c r="A585" s="24" t="inlineStr">
        <is>
          <t>1352</t>
        </is>
      </c>
      <c r="B585" s="24" t="inlineStr">
        <is>
          <t>CBEY Office of Career &amp; Professional Development</t>
        </is>
      </c>
      <c r="C585" s="24" t="inlineStr">
        <is>
          <t>organizer</t>
        </is>
      </c>
      <c r="D585" s="24" t="inlineStr">
        <is>
          <t>Organizer</t>
        </is>
      </c>
      <c r="E585" s="24" t="n"/>
    </row>
    <row r="586">
      <c r="A586" s="24" t="inlineStr">
        <is>
          <t>1500</t>
        </is>
      </c>
      <c r="B586" s="24" t="inlineStr">
        <is>
          <t>Center for Algorithms, Data, and Market Design at Yale</t>
        </is>
      </c>
      <c r="C586" s="24" t="inlineStr">
        <is>
          <t>organizer</t>
        </is>
      </c>
      <c r="D586" s="24" t="inlineStr">
        <is>
          <t>Organizer</t>
        </is>
      </c>
      <c r="E586" s="24" t="n"/>
    </row>
    <row r="587">
      <c r="A587" s="24" t="inlineStr">
        <is>
          <t>1225</t>
        </is>
      </c>
      <c r="B587" s="24" t="inlineStr">
        <is>
          <t>Center for Customer Insights</t>
        </is>
      </c>
      <c r="C587" s="24" t="inlineStr">
        <is>
          <t>organizer</t>
        </is>
      </c>
      <c r="D587" s="24" t="inlineStr">
        <is>
          <t>Organizer</t>
        </is>
      </c>
      <c r="E587" s="24" t="n"/>
    </row>
    <row r="588">
      <c r="A588" s="24" t="inlineStr">
        <is>
          <t>1560</t>
        </is>
      </c>
      <c r="B588" s="24" t="inlineStr">
        <is>
          <t>Center for the Study of American Politics</t>
        </is>
      </c>
      <c r="C588" s="24" t="inlineStr">
        <is>
          <t>organizer</t>
        </is>
      </c>
      <c r="D588" s="24" t="inlineStr">
        <is>
          <t>Organizer</t>
        </is>
      </c>
      <c r="E588" s="24" t="n"/>
    </row>
    <row r="589">
      <c r="A589" s="24" t="inlineStr">
        <is>
          <t>1389</t>
        </is>
      </c>
      <c r="B589" s="24" t="inlineStr">
        <is>
          <t>Chief Executive Leadership Institute</t>
        </is>
      </c>
      <c r="C589" s="24" t="inlineStr">
        <is>
          <t>organizer</t>
        </is>
      </c>
      <c r="D589" s="24" t="inlineStr">
        <is>
          <t>Organizer</t>
        </is>
      </c>
      <c r="E589" s="24" t="n"/>
    </row>
    <row r="590">
      <c r="A590" s="24" t="inlineStr">
        <is>
          <t>1265</t>
        </is>
      </c>
      <c r="B590" s="24" t="inlineStr">
        <is>
          <t>Christian Fellowship</t>
        </is>
      </c>
      <c r="C590" s="24" t="inlineStr">
        <is>
          <t>organizer</t>
        </is>
      </c>
      <c r="D590" s="24" t="inlineStr">
        <is>
          <t>Organizer</t>
        </is>
      </c>
      <c r="E590" s="24" t="n"/>
    </row>
    <row r="591">
      <c r="A591" s="24" t="inlineStr">
        <is>
          <t>1333</t>
        </is>
      </c>
      <c r="B591" s="24" t="inlineStr">
        <is>
          <t>City of New Haven</t>
        </is>
      </c>
      <c r="C591" s="24" t="inlineStr">
        <is>
          <t>organizer</t>
        </is>
      </c>
      <c r="D591" s="24" t="inlineStr">
        <is>
          <t>Organizer</t>
        </is>
      </c>
      <c r="E591" s="24" t="n"/>
    </row>
    <row r="592">
      <c r="A592" s="24" t="inlineStr">
        <is>
          <t>1334</t>
        </is>
      </c>
      <c r="B592" s="24" t="inlineStr">
        <is>
          <t>Cohort: Blue</t>
        </is>
      </c>
      <c r="C592" s="24" t="inlineStr">
        <is>
          <t>organizer</t>
        </is>
      </c>
      <c r="D592" s="24" t="inlineStr">
        <is>
          <t>Organizer</t>
        </is>
      </c>
      <c r="E592" s="24" t="n"/>
    </row>
    <row r="593">
      <c r="A593" s="24" t="inlineStr">
        <is>
          <t>1319</t>
        </is>
      </c>
      <c r="B593" s="24" t="inlineStr">
        <is>
          <t>Cohort: Gold</t>
        </is>
      </c>
      <c r="C593" s="24" t="inlineStr">
        <is>
          <t>organizer</t>
        </is>
      </c>
      <c r="D593" s="24" t="inlineStr">
        <is>
          <t>Organizer</t>
        </is>
      </c>
      <c r="E593" s="24" t="n"/>
    </row>
    <row r="594">
      <c r="A594" s="24" t="inlineStr">
        <is>
          <t>1277</t>
        </is>
      </c>
      <c r="B594" s="24" t="inlineStr">
        <is>
          <t>Cohort: Green</t>
        </is>
      </c>
      <c r="C594" s="24" t="inlineStr">
        <is>
          <t>organizer</t>
        </is>
      </c>
      <c r="D594" s="24" t="inlineStr">
        <is>
          <t>Organizer</t>
        </is>
      </c>
      <c r="E594" s="24" t="n"/>
    </row>
    <row r="595">
      <c r="A595" s="24" t="inlineStr">
        <is>
          <t>1474</t>
        </is>
      </c>
      <c r="B595" s="24" t="inlineStr">
        <is>
          <t>Cohort: Orange</t>
        </is>
      </c>
      <c r="C595" s="24" t="inlineStr">
        <is>
          <t>organizer</t>
        </is>
      </c>
      <c r="D595" s="24" t="inlineStr">
        <is>
          <t>Organizer</t>
        </is>
      </c>
      <c r="E595" s="24" t="n"/>
    </row>
    <row r="596">
      <c r="A596" s="24" t="inlineStr">
        <is>
          <t>1400</t>
        </is>
      </c>
      <c r="B596" s="24" t="inlineStr">
        <is>
          <t>Cohort: Purple</t>
        </is>
      </c>
      <c r="C596" s="24" t="inlineStr">
        <is>
          <t>organizer</t>
        </is>
      </c>
      <c r="D596" s="24" t="inlineStr">
        <is>
          <t>Organizer</t>
        </is>
      </c>
      <c r="E596" s="24" t="n"/>
    </row>
    <row r="597">
      <c r="A597" s="24" t="inlineStr">
        <is>
          <t>1392</t>
        </is>
      </c>
      <c r="B597" s="24" t="inlineStr">
        <is>
          <t>Cohort: Red</t>
        </is>
      </c>
      <c r="C597" s="24" t="inlineStr">
        <is>
          <t>organizer</t>
        </is>
      </c>
      <c r="D597" s="24" t="inlineStr">
        <is>
          <t>Organizer</t>
        </is>
      </c>
      <c r="E597" s="24" t="n"/>
    </row>
    <row r="598">
      <c r="A598" s="24" t="inlineStr">
        <is>
          <t>1325</t>
        </is>
      </c>
      <c r="B598" s="24" t="inlineStr">
        <is>
          <t>Cohort: Silver</t>
        </is>
      </c>
      <c r="C598" s="24" t="inlineStr">
        <is>
          <t>organizer</t>
        </is>
      </c>
      <c r="D598" s="24" t="inlineStr">
        <is>
          <t>Organizer</t>
        </is>
      </c>
      <c r="E598" s="24" t="n"/>
    </row>
    <row r="599">
      <c r="A599" s="24" t="inlineStr">
        <is>
          <t>1409</t>
        </is>
      </c>
      <c r="B599" s="24" t="inlineStr">
        <is>
          <t>Communications</t>
        </is>
      </c>
      <c r="C599" s="24" t="inlineStr">
        <is>
          <t>organizer</t>
        </is>
      </c>
      <c r="D599" s="24" t="inlineStr">
        <is>
          <t>Organizer</t>
        </is>
      </c>
      <c r="E599" s="24" t="n"/>
    </row>
    <row r="600">
      <c r="A600" s="24" t="inlineStr">
        <is>
          <t>1435</t>
        </is>
      </c>
      <c r="B600" s="24" t="inlineStr">
        <is>
          <t>Communications Team</t>
        </is>
      </c>
      <c r="C600" s="24" t="inlineStr">
        <is>
          <t>organizer</t>
        </is>
      </c>
      <c r="D600" s="24" t="inlineStr">
        <is>
          <t>Organizer</t>
        </is>
      </c>
      <c r="E600" s="24" t="n"/>
    </row>
    <row r="601">
      <c r="A601" s="24" t="inlineStr">
        <is>
          <t>1628</t>
        </is>
      </c>
      <c r="B601" s="24" t="inlineStr">
        <is>
          <t>Communications Video Team</t>
        </is>
      </c>
      <c r="C601" s="24" t="inlineStr">
        <is>
          <t>organizer</t>
        </is>
      </c>
      <c r="D601" s="24" t="inlineStr">
        <is>
          <t>Organizer</t>
        </is>
      </c>
      <c r="E601" s="24" t="n"/>
    </row>
    <row r="602">
      <c r="A602" s="24" t="inlineStr">
        <is>
          <t>1531</t>
        </is>
      </c>
      <c r="B602" s="24" t="inlineStr">
        <is>
          <t>Computational Social Science Workshop Series</t>
        </is>
      </c>
      <c r="C602" s="24" t="inlineStr">
        <is>
          <t>organizer</t>
        </is>
      </c>
      <c r="D602" s="24" t="inlineStr">
        <is>
          <t>Organizer</t>
        </is>
      </c>
      <c r="E602" s="24" t="n"/>
    </row>
    <row r="603">
      <c r="A603" s="24" t="inlineStr">
        <is>
          <t>1262</t>
        </is>
      </c>
      <c r="B603" s="24" t="inlineStr">
        <is>
          <t>Consortium - Yale Chapter</t>
        </is>
      </c>
      <c r="C603" s="24" t="inlineStr">
        <is>
          <t>organizer</t>
        </is>
      </c>
      <c r="D603" s="24" t="inlineStr">
        <is>
          <t>Organizer</t>
        </is>
      </c>
      <c r="E603" s="24" t="n"/>
    </row>
    <row r="604">
      <c r="A604" s="24" t="inlineStr">
        <is>
          <t>1220</t>
        </is>
      </c>
      <c r="B604" s="24" t="inlineStr">
        <is>
          <t>Consulting Club</t>
        </is>
      </c>
      <c r="C604" s="24" t="inlineStr">
        <is>
          <t>organizer</t>
        </is>
      </c>
      <c r="D604" s="24" t="inlineStr">
        <is>
          <t>Organizer</t>
        </is>
      </c>
      <c r="E604" s="24" t="n"/>
    </row>
    <row r="605">
      <c r="A605" s="24" t="inlineStr">
        <is>
          <t>1730</t>
        </is>
      </c>
      <c r="B605" s="24" t="inlineStr">
        <is>
          <t>Council on East Asian Studies</t>
        </is>
      </c>
      <c r="C605" s="24" t="inlineStr">
        <is>
          <t>organizer</t>
        </is>
      </c>
      <c r="D605" s="24" t="inlineStr">
        <is>
          <t>Organizer</t>
        </is>
      </c>
      <c r="E605" s="24" t="n"/>
    </row>
    <row r="606">
      <c r="A606" s="24" t="inlineStr">
        <is>
          <t>1268</t>
        </is>
      </c>
      <c r="B606" s="24" t="inlineStr">
        <is>
          <t>Data Analytics Club</t>
        </is>
      </c>
      <c r="C606" s="24" t="inlineStr">
        <is>
          <t>organizer</t>
        </is>
      </c>
      <c r="D606" s="24" t="inlineStr">
        <is>
          <t>Organizer</t>
        </is>
      </c>
      <c r="E606" s="24" t="n"/>
    </row>
    <row r="607">
      <c r="A607" s="24" t="inlineStr">
        <is>
          <t>1299</t>
        </is>
      </c>
      <c r="B607" s="24" t="inlineStr">
        <is>
          <t>Data Analytics Club</t>
        </is>
      </c>
      <c r="C607" s="24" t="inlineStr">
        <is>
          <t>organizer</t>
        </is>
      </c>
      <c r="D607" s="24" t="inlineStr">
        <is>
          <t>Organizer</t>
        </is>
      </c>
      <c r="E607" s="24" t="n"/>
    </row>
    <row r="608">
      <c r="A608" s="24" t="inlineStr">
        <is>
          <t>1579</t>
        </is>
      </c>
      <c r="B608" s="24" t="inlineStr">
        <is>
          <t>Data-Intensive Social Science Center</t>
        </is>
      </c>
      <c r="C608" s="24" t="inlineStr">
        <is>
          <t>organizer</t>
        </is>
      </c>
      <c r="D608" s="24" t="inlineStr">
        <is>
          <t>Organizer</t>
        </is>
      </c>
      <c r="E608" s="24" t="n"/>
    </row>
    <row r="609">
      <c r="A609" s="24" t="inlineStr">
        <is>
          <t>1575</t>
        </is>
      </c>
      <c r="B609" s="24" t="inlineStr">
        <is>
          <t>David Geffen School of Drama at Yale</t>
        </is>
      </c>
      <c r="C609" s="24" t="inlineStr">
        <is>
          <t>organizer</t>
        </is>
      </c>
      <c r="D609" s="24" t="inlineStr">
        <is>
          <t>Organizer</t>
        </is>
      </c>
      <c r="E609" s="24" t="n"/>
    </row>
    <row r="610">
      <c r="A610" s="24" t="inlineStr">
        <is>
          <t>1329</t>
        </is>
      </c>
      <c r="B610" s="24" t="inlineStr">
        <is>
          <t>Dean‚Äôs Office Events</t>
        </is>
      </c>
      <c r="C610" s="24" t="inlineStr">
        <is>
          <t>organizer</t>
        </is>
      </c>
      <c r="D610" s="24" t="inlineStr">
        <is>
          <t>Organizer</t>
        </is>
      </c>
      <c r="E610" s="24" t="n"/>
    </row>
    <row r="611">
      <c r="A611" s="24" t="inlineStr">
        <is>
          <t>1605</t>
        </is>
      </c>
      <c r="B611" s="24" t="inlineStr">
        <is>
          <t>Dean's Distinguished Lecture Series</t>
        </is>
      </c>
      <c r="C611" s="24" t="inlineStr">
        <is>
          <t>organizer</t>
        </is>
      </c>
      <c r="D611" s="24" t="inlineStr">
        <is>
          <t>Organizer</t>
        </is>
      </c>
      <c r="E611" s="24" t="n"/>
    </row>
    <row r="612">
      <c r="A612" s="24" t="inlineStr">
        <is>
          <t>1396</t>
        </is>
      </c>
      <c r="B612" s="24" t="inlineStr">
        <is>
          <t>Dean's Office</t>
        </is>
      </c>
      <c r="C612" s="24" t="inlineStr">
        <is>
          <t>organizer</t>
        </is>
      </c>
      <c r="D612" s="24" t="inlineStr">
        <is>
          <t>Organizer</t>
        </is>
      </c>
      <c r="E612" s="24" t="n"/>
    </row>
    <row r="613">
      <c r="A613" s="24" t="inlineStr">
        <is>
          <t>1456</t>
        </is>
      </c>
      <c r="B613" s="24" t="inlineStr">
        <is>
          <t>Dean's Office</t>
        </is>
      </c>
      <c r="C613" s="24" t="inlineStr">
        <is>
          <t>organizer</t>
        </is>
      </c>
      <c r="D613" s="24" t="inlineStr">
        <is>
          <t>Organizer</t>
        </is>
      </c>
      <c r="E613" s="24" t="n"/>
    </row>
    <row r="614">
      <c r="A614" s="24" t="inlineStr">
        <is>
          <t>1510</t>
        </is>
      </c>
      <c r="B614" s="24" t="inlineStr">
        <is>
          <t>Dean's Office &amp; HR</t>
        </is>
      </c>
      <c r="C614" s="24" t="inlineStr">
        <is>
          <t>organizer</t>
        </is>
      </c>
      <c r="D614" s="24" t="inlineStr">
        <is>
          <t>Organizer</t>
        </is>
      </c>
      <c r="E614" s="24" t="n"/>
    </row>
    <row r="615">
      <c r="A615" s="24" t="inlineStr">
        <is>
          <t>1335</t>
        </is>
      </c>
      <c r="B615" s="24" t="inlineStr">
        <is>
          <t>Dean's Office &amp; The City of New Haven</t>
        </is>
      </c>
      <c r="C615" s="24" t="inlineStr">
        <is>
          <t>organizer</t>
        </is>
      </c>
      <c r="D615" s="24" t="inlineStr">
        <is>
          <t>Organizer</t>
        </is>
      </c>
      <c r="E615" s="24" t="n"/>
    </row>
    <row r="616">
      <c r="A616" s="24" t="inlineStr">
        <is>
          <t>1764</t>
        </is>
      </c>
      <c r="B616" s="24" t="inlineStr">
        <is>
          <t>Dean's Office &amp; Title IX Working Group</t>
        </is>
      </c>
      <c r="C616" s="24" t="inlineStr">
        <is>
          <t>organizer</t>
        </is>
      </c>
      <c r="D616" s="24" t="inlineStr">
        <is>
          <t>Organizer</t>
        </is>
      </c>
      <c r="E616" s="24" t="n"/>
    </row>
    <row r="617">
      <c r="A617" s="24" t="inlineStr">
        <is>
          <t>1397</t>
        </is>
      </c>
      <c r="B617" s="24" t="inlineStr">
        <is>
          <t>Dean's Office Events</t>
        </is>
      </c>
      <c r="C617" s="24" t="inlineStr">
        <is>
          <t>organizer</t>
        </is>
      </c>
      <c r="D617" s="24" t="inlineStr">
        <is>
          <t>Organizer</t>
        </is>
      </c>
      <c r="E617" s="24" t="n"/>
    </row>
    <row r="618">
      <c r="A618" s="24" t="inlineStr">
        <is>
          <t>1432</t>
        </is>
      </c>
      <c r="B618" s="24" t="inlineStr">
        <is>
          <t>Dean's Office Speaker Series</t>
        </is>
      </c>
      <c r="C618" s="24" t="inlineStr">
        <is>
          <t>organizer</t>
        </is>
      </c>
      <c r="D618" s="24" t="inlineStr">
        <is>
          <t>Organizer</t>
        </is>
      </c>
      <c r="E618" s="24" t="n"/>
    </row>
    <row r="619">
      <c r="A619" s="24" t="inlineStr">
        <is>
          <t>1241</t>
        </is>
      </c>
      <c r="B619" s="24" t="inlineStr">
        <is>
          <t>Dean's Office Speaker Series &amp; Events</t>
        </is>
      </c>
      <c r="C619" s="24" t="inlineStr">
        <is>
          <t>organizer</t>
        </is>
      </c>
      <c r="D619" s="24" t="inlineStr">
        <is>
          <t>Organizer</t>
        </is>
      </c>
      <c r="E619" s="24" t="n"/>
    </row>
    <row r="620">
      <c r="A620" s="24" t="inlineStr">
        <is>
          <t>1649</t>
        </is>
      </c>
      <c r="B620" s="24" t="inlineStr">
        <is>
          <t>Deputy Dean's Office</t>
        </is>
      </c>
      <c r="C620" s="24" t="inlineStr">
        <is>
          <t>organizer</t>
        </is>
      </c>
      <c r="D620" s="24" t="inlineStr">
        <is>
          <t>Organizer</t>
        </is>
      </c>
      <c r="E620" s="24" t="n"/>
    </row>
    <row r="621">
      <c r="A621" s="24" t="inlineStr">
        <is>
          <t>1773</t>
        </is>
      </c>
      <c r="B621" s="24" t="inlineStr">
        <is>
          <t>Deputy Dean's Office</t>
        </is>
      </c>
      <c r="C621" s="24" t="inlineStr">
        <is>
          <t>organizer</t>
        </is>
      </c>
      <c r="D621" s="24" t="inlineStr">
        <is>
          <t>Organizer</t>
        </is>
      </c>
      <c r="E621" s="24" t="n"/>
    </row>
    <row r="622">
      <c r="A622" s="24" t="inlineStr">
        <is>
          <t>1328</t>
        </is>
      </c>
      <c r="B622" s="24" t="inlineStr">
        <is>
          <t>Design and Innovation Club</t>
        </is>
      </c>
      <c r="C622" s="24" t="inlineStr">
        <is>
          <t>organizer</t>
        </is>
      </c>
      <c r="D622" s="24" t="inlineStr">
        <is>
          <t>Organizer</t>
        </is>
      </c>
      <c r="E622" s="24" t="n"/>
    </row>
    <row r="623">
      <c r="A623" s="24" t="inlineStr">
        <is>
          <t>1407</t>
        </is>
      </c>
      <c r="B623" s="24" t="inlineStr">
        <is>
          <t>Development &amp; Alumni Relations</t>
        </is>
      </c>
      <c r="C623" s="24" t="inlineStr">
        <is>
          <t>organizer</t>
        </is>
      </c>
      <c r="D623" s="24" t="inlineStr">
        <is>
          <t>Organizer</t>
        </is>
      </c>
      <c r="E623" s="24" t="n"/>
    </row>
    <row r="624">
      <c r="A624" s="24" t="inlineStr">
        <is>
          <t>1463</t>
        </is>
      </c>
      <c r="B624" s="24" t="inlineStr">
        <is>
          <t>Development and Alumni Relations</t>
        </is>
      </c>
      <c r="C624" s="24" t="inlineStr">
        <is>
          <t>organizer</t>
        </is>
      </c>
      <c r="D624" s="24" t="inlineStr">
        <is>
          <t>Organizer</t>
        </is>
      </c>
      <c r="E624" s="24" t="n"/>
    </row>
    <row r="625">
      <c r="A625" s="24" t="inlineStr">
        <is>
          <t>1743</t>
        </is>
      </c>
      <c r="B625" s="24" t="inlineStr">
        <is>
          <t>Downtown</t>
        </is>
      </c>
      <c r="C625" s="24" t="inlineStr">
        <is>
          <t>organizer</t>
        </is>
      </c>
      <c r="D625" s="24" t="inlineStr">
        <is>
          <t>Organizer</t>
        </is>
      </c>
      <c r="E625" s="24" t="n"/>
    </row>
    <row r="626">
      <c r="A626" s="24" t="inlineStr">
        <is>
          <t>1421</t>
        </is>
      </c>
      <c r="B626" s="24" t="inlineStr">
        <is>
          <t>Economic Development and Arts &amp; Culture Clubs</t>
        </is>
      </c>
      <c r="C626" s="24" t="inlineStr">
        <is>
          <t>organizer</t>
        </is>
      </c>
      <c r="D626" s="24" t="inlineStr">
        <is>
          <t>Organizer</t>
        </is>
      </c>
      <c r="E626" s="24" t="n"/>
    </row>
    <row r="627">
      <c r="A627" s="24" t="inlineStr">
        <is>
          <t>1287</t>
        </is>
      </c>
      <c r="B627" s="24" t="inlineStr">
        <is>
          <t>Economic Development Club</t>
        </is>
      </c>
      <c r="C627" s="24" t="inlineStr">
        <is>
          <t>organizer</t>
        </is>
      </c>
      <c r="D627" s="24" t="inlineStr">
        <is>
          <t>Organizer</t>
        </is>
      </c>
      <c r="E627" s="24" t="n"/>
    </row>
    <row r="628">
      <c r="A628" s="24" t="inlineStr">
        <is>
          <t>1761</t>
        </is>
      </c>
      <c r="B628" s="24" t="inlineStr">
        <is>
          <t>Editing Press</t>
        </is>
      </c>
      <c r="C628" s="24" t="inlineStr">
        <is>
          <t>organizer</t>
        </is>
      </c>
      <c r="D628" s="24" t="inlineStr">
        <is>
          <t>Organizer</t>
        </is>
      </c>
      <c r="E628" s="24" t="n"/>
    </row>
    <row r="629">
      <c r="A629" s="24" t="inlineStr">
        <is>
          <t>1226</t>
        </is>
      </c>
      <c r="B629" s="24" t="inlineStr">
        <is>
          <t>Education Club</t>
        </is>
      </c>
      <c r="C629" s="24" t="inlineStr">
        <is>
          <t>organizer</t>
        </is>
      </c>
      <c r="D629" s="24" t="inlineStr">
        <is>
          <t>Organizer</t>
        </is>
      </c>
      <c r="E629" s="24" t="n"/>
    </row>
    <row r="630">
      <c r="A630" s="24" t="inlineStr">
        <is>
          <t>1515</t>
        </is>
      </c>
      <c r="B630" s="24" t="inlineStr">
        <is>
          <t>Elm Shakespeare &amp; Whitney Center</t>
        </is>
      </c>
      <c r="C630" s="24" t="inlineStr">
        <is>
          <t>organizer</t>
        </is>
      </c>
      <c r="D630" s="24" t="inlineStr">
        <is>
          <t>Organizer</t>
        </is>
      </c>
      <c r="E630" s="24" t="n"/>
    </row>
    <row r="631">
      <c r="A631" s="24" t="inlineStr">
        <is>
          <t>1269</t>
        </is>
      </c>
      <c r="B631" s="24" t="inlineStr">
        <is>
          <t>Energy Club</t>
        </is>
      </c>
      <c r="C631" s="24" t="inlineStr">
        <is>
          <t>organizer</t>
        </is>
      </c>
      <c r="D631" s="24" t="inlineStr">
        <is>
          <t>Organizer</t>
        </is>
      </c>
      <c r="E631" s="24" t="n"/>
    </row>
    <row r="632">
      <c r="A632" s="24" t="inlineStr">
        <is>
          <t>1462</t>
        </is>
      </c>
      <c r="B632" s="24" t="inlineStr">
        <is>
          <t>Entrepreneurship Through Acquisition Club</t>
        </is>
      </c>
      <c r="C632" s="24" t="inlineStr">
        <is>
          <t>organizer</t>
        </is>
      </c>
      <c r="D632" s="24" t="inlineStr">
        <is>
          <t>Organizer</t>
        </is>
      </c>
      <c r="E632" s="24" t="n"/>
    </row>
    <row r="633">
      <c r="A633" s="24" t="inlineStr">
        <is>
          <t>1576</t>
        </is>
      </c>
      <c r="B633" s="24" t="inlineStr">
        <is>
          <t>ESMT Berlin</t>
        </is>
      </c>
      <c r="C633" s="24" t="inlineStr">
        <is>
          <t>organizer</t>
        </is>
      </c>
      <c r="D633" s="24" t="inlineStr">
        <is>
          <t>Organizer</t>
        </is>
      </c>
      <c r="E633" s="24" t="n"/>
    </row>
    <row r="634">
      <c r="A634" s="24" t="inlineStr">
        <is>
          <t>1324</t>
        </is>
      </c>
      <c r="B634" s="24" t="inlineStr">
        <is>
          <t>EuroSOM</t>
        </is>
      </c>
      <c r="C634" s="24" t="inlineStr">
        <is>
          <t>organizer</t>
        </is>
      </c>
      <c r="D634" s="24" t="inlineStr">
        <is>
          <t>Organizer</t>
        </is>
      </c>
      <c r="E634" s="24" t="n"/>
    </row>
    <row r="635">
      <c r="A635" s="24" t="inlineStr">
        <is>
          <t>1553</t>
        </is>
      </c>
      <c r="B635" s="24" t="inlineStr">
        <is>
          <t>Events Management Team</t>
        </is>
      </c>
      <c r="C635" s="24" t="inlineStr">
        <is>
          <t>organizer</t>
        </is>
      </c>
      <c r="D635" s="24" t="inlineStr">
        <is>
          <t>Organizer</t>
        </is>
      </c>
      <c r="E635" s="24" t="n"/>
    </row>
    <row r="636">
      <c r="A636" s="24" t="inlineStr">
        <is>
          <t>1378</t>
        </is>
      </c>
      <c r="B636" s="24" t="inlineStr">
        <is>
          <t>Executive Education</t>
        </is>
      </c>
      <c r="C636" s="24" t="inlineStr">
        <is>
          <t>organizer</t>
        </is>
      </c>
      <c r="D636" s="24" t="inlineStr">
        <is>
          <t>Organizer</t>
        </is>
      </c>
      <c r="E636" s="24" t="n"/>
    </row>
    <row r="637">
      <c r="A637" s="24" t="inlineStr">
        <is>
          <t>1229</t>
        </is>
      </c>
      <c r="B637" s="24" t="inlineStr">
        <is>
          <t>Facilities</t>
        </is>
      </c>
      <c r="C637" s="24" t="inlineStr">
        <is>
          <t>organizer</t>
        </is>
      </c>
      <c r="D637" s="24" t="inlineStr">
        <is>
          <t>Organizer</t>
        </is>
      </c>
      <c r="E637" s="24" t="n"/>
    </row>
    <row r="638">
      <c r="A638" s="24" t="inlineStr">
        <is>
          <t>1316</t>
        </is>
      </c>
      <c r="B638" s="24" t="inlineStr">
        <is>
          <t>Facilities &amp; Operations</t>
        </is>
      </c>
      <c r="C638" s="24" t="inlineStr">
        <is>
          <t>organizer</t>
        </is>
      </c>
      <c r="D638" s="24" t="inlineStr">
        <is>
          <t>Organizer</t>
        </is>
      </c>
      <c r="E638" s="24" t="n"/>
    </row>
    <row r="639">
      <c r="A639" s="24" t="inlineStr">
        <is>
          <t>1653</t>
        </is>
      </c>
      <c r="B639" s="24" t="inlineStr">
        <is>
          <t>Facilities &amp; Operations + HR</t>
        </is>
      </c>
      <c r="C639" s="24" t="inlineStr">
        <is>
          <t>organizer</t>
        </is>
      </c>
      <c r="D639" s="24" t="inlineStr">
        <is>
          <t>Organizer</t>
        </is>
      </c>
      <c r="E639" s="24" t="n"/>
    </row>
    <row r="640">
      <c r="A640" s="24" t="inlineStr">
        <is>
          <t>1517</t>
        </is>
      </c>
      <c r="B640" s="24" t="inlineStr">
        <is>
          <t>Faculty Seminar Series</t>
        </is>
      </c>
      <c r="C640" s="24" t="inlineStr">
        <is>
          <t>organizer</t>
        </is>
      </c>
      <c r="D640" s="24" t="inlineStr">
        <is>
          <t>Organizer</t>
        </is>
      </c>
      <c r="E640" s="24" t="n"/>
    </row>
    <row r="641">
      <c r="A641" s="24" t="inlineStr">
        <is>
          <t>1365</t>
        </is>
      </c>
      <c r="B641" s="24" t="inlineStr">
        <is>
          <t>FASPE</t>
        </is>
      </c>
      <c r="C641" s="24" t="inlineStr">
        <is>
          <t>organizer</t>
        </is>
      </c>
      <c r="D641" s="24" t="inlineStr">
        <is>
          <t>Organizer</t>
        </is>
      </c>
      <c r="E641" s="24" t="n"/>
    </row>
    <row r="642">
      <c r="A642" s="24" t="inlineStr">
        <is>
          <t>1573</t>
        </is>
      </c>
      <c r="B642" s="24" t="inlineStr">
        <is>
          <t>Fellowships at Auschwitz for the Study of Professional Ethics</t>
        </is>
      </c>
      <c r="C642" s="24" t="inlineStr">
        <is>
          <t>organizer</t>
        </is>
      </c>
      <c r="D642" s="24" t="inlineStr">
        <is>
          <t>Organizer</t>
        </is>
      </c>
      <c r="E642" s="24" t="n"/>
    </row>
    <row r="643">
      <c r="A643" s="24" t="inlineStr">
        <is>
          <t>1243</t>
        </is>
      </c>
      <c r="B643" s="24" t="inlineStr">
        <is>
          <t>Finance Club</t>
        </is>
      </c>
      <c r="C643" s="24" t="inlineStr">
        <is>
          <t>organizer</t>
        </is>
      </c>
      <c r="D643" s="24" t="inlineStr">
        <is>
          <t>Organizer</t>
        </is>
      </c>
      <c r="E643" s="24" t="n"/>
    </row>
    <row r="644">
      <c r="A644" s="24" t="inlineStr">
        <is>
          <t>1216</t>
        </is>
      </c>
      <c r="B644" s="24" t="inlineStr">
        <is>
          <t>Financial Aid</t>
        </is>
      </c>
      <c r="C644" s="24" t="inlineStr">
        <is>
          <t>organizer</t>
        </is>
      </c>
      <c r="D644" s="24" t="inlineStr">
        <is>
          <t>Organizer</t>
        </is>
      </c>
      <c r="E644" s="24" t="n"/>
    </row>
    <row r="645">
      <c r="A645" s="24" t="inlineStr">
        <is>
          <t>1436</t>
        </is>
      </c>
      <c r="B645" s="24" t="inlineStr">
        <is>
          <t>Financial Aid</t>
        </is>
      </c>
      <c r="C645" s="24" t="inlineStr">
        <is>
          <t>organizer</t>
        </is>
      </c>
      <c r="D645" s="24" t="inlineStr">
        <is>
          <t>Organizer</t>
        </is>
      </c>
      <c r="E645" s="24" t="n"/>
    </row>
    <row r="646">
      <c r="A646" s="24" t="inlineStr">
        <is>
          <t>1618</t>
        </is>
      </c>
      <c r="B646" s="24" t="inlineStr">
        <is>
          <t>Financial Aid Office</t>
        </is>
      </c>
      <c r="C646" s="24" t="inlineStr">
        <is>
          <t>organizer</t>
        </is>
      </c>
      <c r="D646" s="24" t="inlineStr">
        <is>
          <t>Organizer</t>
        </is>
      </c>
      <c r="E646" s="24" t="n"/>
    </row>
    <row r="647">
      <c r="A647" s="24" t="inlineStr">
        <is>
          <t>1569</t>
        </is>
      </c>
      <c r="B647" s="24" t="inlineStr">
        <is>
          <t>Financial Aid Office</t>
        </is>
      </c>
      <c r="C647" s="24" t="inlineStr">
        <is>
          <t>organizer</t>
        </is>
      </c>
      <c r="D647" s="24" t="inlineStr">
        <is>
          <t>Organizer</t>
        </is>
      </c>
      <c r="E647" s="24" t="n"/>
    </row>
    <row r="648">
      <c r="A648" s="24" t="inlineStr">
        <is>
          <t>1464</t>
        </is>
      </c>
      <c r="B648" s="24" t="inlineStr">
        <is>
          <t>First-Generation, Low-Income Club</t>
        </is>
      </c>
      <c r="C648" s="24" t="inlineStr">
        <is>
          <t>organizer</t>
        </is>
      </c>
      <c r="D648" s="24" t="inlineStr">
        <is>
          <t>Organizer</t>
        </is>
      </c>
      <c r="E648" s="24" t="n"/>
    </row>
    <row r="649">
      <c r="A649" s="24" t="inlineStr">
        <is>
          <t>1286</t>
        </is>
      </c>
      <c r="B649" s="24" t="inlineStr">
        <is>
          <t>Fit for Thought</t>
        </is>
      </c>
      <c r="C649" s="24" t="inlineStr">
        <is>
          <t>organizer</t>
        </is>
      </c>
      <c r="D649" s="24" t="inlineStr">
        <is>
          <t>Organizer</t>
        </is>
      </c>
      <c r="E649" s="24" t="n"/>
    </row>
    <row r="650">
      <c r="A650" s="24" t="inlineStr">
        <is>
          <t>1236</t>
        </is>
      </c>
      <c r="B650" s="24" t="inlineStr">
        <is>
          <t>Food, Agribusiness, and Beverage Club</t>
        </is>
      </c>
      <c r="C650" s="24" t="inlineStr">
        <is>
          <t>organizer</t>
        </is>
      </c>
      <c r="D650" s="24" t="inlineStr">
        <is>
          <t>Organizer</t>
        </is>
      </c>
      <c r="E650" s="24" t="n"/>
    </row>
    <row r="651">
      <c r="A651" s="24" t="inlineStr">
        <is>
          <t>1339</t>
        </is>
      </c>
      <c r="B651" s="24" t="inlineStr">
        <is>
          <t>Future Leaders of Yale and Office of Diversity &amp; Inclusion</t>
        </is>
      </c>
      <c r="C651" s="24" t="inlineStr">
        <is>
          <t>organizer</t>
        </is>
      </c>
      <c r="D651" s="24" t="inlineStr">
        <is>
          <t>Organizer</t>
        </is>
      </c>
      <c r="E651" s="24" t="n"/>
    </row>
    <row r="652">
      <c r="A652" s="24" t="inlineStr">
        <is>
          <t>1256</t>
        </is>
      </c>
      <c r="B652" s="24" t="inlineStr">
        <is>
          <t>General Management Club</t>
        </is>
      </c>
      <c r="C652" s="24" t="inlineStr">
        <is>
          <t>organizer</t>
        </is>
      </c>
      <c r="D652" s="24" t="inlineStr">
        <is>
          <t>Organizer</t>
        </is>
      </c>
      <c r="E652" s="24" t="n"/>
    </row>
    <row r="653">
      <c r="A653" s="24" t="inlineStr">
        <is>
          <t>1621</t>
        </is>
      </c>
      <c r="B653" s="24" t="inlineStr">
        <is>
          <t>George Herbert Walker Lecture Fund</t>
        </is>
      </c>
      <c r="C653" s="24" t="inlineStr">
        <is>
          <t>organizer</t>
        </is>
      </c>
      <c r="D653" s="24" t="inlineStr">
        <is>
          <t>Organizer</t>
        </is>
      </c>
      <c r="E653" s="24" t="n"/>
    </row>
    <row r="654">
      <c r="A654" s="24" t="inlineStr">
        <is>
          <t>1457</t>
        </is>
      </c>
      <c r="B654" s="24" t="inlineStr">
        <is>
          <t>Global Health Justice Partnership &amp; Yale LGBTQ Mental Health Initiative</t>
        </is>
      </c>
      <c r="C654" s="24" t="inlineStr">
        <is>
          <t>organizer</t>
        </is>
      </c>
      <c r="D654" s="24" t="inlineStr">
        <is>
          <t>Organizer</t>
        </is>
      </c>
      <c r="E654" s="24" t="n"/>
    </row>
    <row r="655">
      <c r="A655" s="24" t="inlineStr">
        <is>
          <t>1422</t>
        </is>
      </c>
      <c r="B655" s="24" t="inlineStr">
        <is>
          <t>Global Initiatives Team</t>
        </is>
      </c>
      <c r="C655" s="24" t="inlineStr">
        <is>
          <t>organizer</t>
        </is>
      </c>
      <c r="D655" s="24" t="inlineStr">
        <is>
          <t>Organizer</t>
        </is>
      </c>
      <c r="E655" s="24" t="n"/>
    </row>
    <row r="656">
      <c r="A656" s="24" t="inlineStr">
        <is>
          <t>1415</t>
        </is>
      </c>
      <c r="B656" s="24" t="inlineStr">
        <is>
          <t>Global Initiatives Team</t>
        </is>
      </c>
      <c r="C656" s="24" t="inlineStr">
        <is>
          <t>organizer</t>
        </is>
      </c>
      <c r="D656" s="24" t="inlineStr">
        <is>
          <t>Organizer</t>
        </is>
      </c>
      <c r="E656" s="24" t="n"/>
    </row>
    <row r="657">
      <c r="A657" s="24" t="inlineStr">
        <is>
          <t>1386</t>
        </is>
      </c>
      <c r="B657" s="24" t="inlineStr">
        <is>
          <t>Global Network &amp; Y-SIM</t>
        </is>
      </c>
      <c r="C657" s="24" t="inlineStr">
        <is>
          <t>organizer</t>
        </is>
      </c>
      <c r="D657" s="24" t="inlineStr">
        <is>
          <t>Organizer</t>
        </is>
      </c>
      <c r="E657" s="24" t="n"/>
    </row>
    <row r="658">
      <c r="A658" s="24" t="inlineStr">
        <is>
          <t>1413</t>
        </is>
      </c>
      <c r="B658" s="24" t="inlineStr">
        <is>
          <t>Global Network for Advanced Management</t>
        </is>
      </c>
      <c r="C658" s="24" t="inlineStr">
        <is>
          <t>organizer</t>
        </is>
      </c>
      <c r="D658" s="24" t="inlineStr">
        <is>
          <t>Organizer</t>
        </is>
      </c>
      <c r="E658" s="24" t="n"/>
    </row>
    <row r="659">
      <c r="A659" s="24" t="inlineStr">
        <is>
          <t>1589</t>
        </is>
      </c>
      <c r="B659" s="24" t="inlineStr">
        <is>
          <t>Global Table at the Schwarzman Center</t>
        </is>
      </c>
      <c r="C659" s="24" t="inlineStr">
        <is>
          <t>organizer</t>
        </is>
      </c>
      <c r="D659" s="24" t="inlineStr">
        <is>
          <t>Organizer</t>
        </is>
      </c>
      <c r="E659" s="24" t="n"/>
    </row>
    <row r="660">
      <c r="A660" s="24" t="inlineStr">
        <is>
          <t>1588</t>
        </is>
      </c>
      <c r="B660" s="24" t="inlineStr">
        <is>
          <t>GNAM Speaker Series</t>
        </is>
      </c>
      <c r="C660" s="24" t="inlineStr">
        <is>
          <t>organizer</t>
        </is>
      </c>
      <c r="D660" s="24" t="inlineStr">
        <is>
          <t>Organizer</t>
        </is>
      </c>
      <c r="E660" s="24" t="n"/>
    </row>
    <row r="661">
      <c r="A661" s="24" t="inlineStr">
        <is>
          <t>1281</t>
        </is>
      </c>
      <c r="B661" s="24" t="inlineStr">
        <is>
          <t>Golf Club</t>
        </is>
      </c>
      <c r="C661" s="24" t="inlineStr">
        <is>
          <t>organizer</t>
        </is>
      </c>
      <c r="D661" s="24" t="inlineStr">
        <is>
          <t>Organizer</t>
        </is>
      </c>
      <c r="E661" s="24" t="n"/>
    </row>
    <row r="662">
      <c r="A662" s="24" t="inlineStr">
        <is>
          <t>1245</t>
        </is>
      </c>
      <c r="B662" s="24" t="inlineStr">
        <is>
          <t>Greater China Club</t>
        </is>
      </c>
      <c r="C662" s="24" t="inlineStr">
        <is>
          <t>organizer</t>
        </is>
      </c>
      <c r="D662" s="24" t="inlineStr">
        <is>
          <t>Organizer</t>
        </is>
      </c>
      <c r="E662" s="24" t="n"/>
    </row>
    <row r="663">
      <c r="A663" s="24" t="inlineStr">
        <is>
          <t>1610</t>
        </is>
      </c>
      <c r="B663" s="24" t="inlineStr">
        <is>
          <t>HAVEN Free Clinic &amp; Yale Medicine</t>
        </is>
      </c>
      <c r="C663" s="24" t="inlineStr">
        <is>
          <t>organizer</t>
        </is>
      </c>
      <c r="D663" s="24" t="inlineStr">
        <is>
          <t>Organizer</t>
        </is>
      </c>
      <c r="E663" s="24" t="n"/>
    </row>
    <row r="664">
      <c r="A664" s="24" t="inlineStr">
        <is>
          <t>1271</t>
        </is>
      </c>
      <c r="B664" s="24" t="inlineStr">
        <is>
          <t>Healthcare and Life Sciences Club</t>
        </is>
      </c>
      <c r="C664" s="24" t="inlineStr">
        <is>
          <t>organizer</t>
        </is>
      </c>
      <c r="D664" s="24" t="inlineStr">
        <is>
          <t>Organizer</t>
        </is>
      </c>
      <c r="E664" s="24" t="n"/>
    </row>
    <row r="665">
      <c r="A665" s="24" t="inlineStr">
        <is>
          <t>1420</t>
        </is>
      </c>
      <c r="B665" s="24" t="inlineStr">
        <is>
          <t>Healthcare Conference</t>
        </is>
      </c>
      <c r="C665" s="24" t="inlineStr">
        <is>
          <t>organizer</t>
        </is>
      </c>
      <c r="D665" s="24" t="inlineStr">
        <is>
          <t>Organizer</t>
        </is>
      </c>
      <c r="E665" s="24" t="n"/>
    </row>
    <row r="666">
      <c r="A666" s="24" t="inlineStr">
        <is>
          <t>1289</t>
        </is>
      </c>
      <c r="B666" s="24" t="inlineStr">
        <is>
          <t>Hockey Club</t>
        </is>
      </c>
      <c r="C666" s="24" t="inlineStr">
        <is>
          <t>organizer</t>
        </is>
      </c>
      <c r="D666" s="24" t="inlineStr">
        <is>
          <t>Organizer</t>
        </is>
      </c>
      <c r="E666" s="24" t="n"/>
    </row>
    <row r="667">
      <c r="A667" s="24" t="inlineStr">
        <is>
          <t>1230</t>
        </is>
      </c>
      <c r="B667" s="24" t="inlineStr">
        <is>
          <t>HR</t>
        </is>
      </c>
      <c r="C667" s="24" t="inlineStr">
        <is>
          <t>organizer</t>
        </is>
      </c>
      <c r="D667" s="24" t="inlineStr">
        <is>
          <t>Organizer</t>
        </is>
      </c>
      <c r="E667" s="24" t="n"/>
    </row>
    <row r="668">
      <c r="A668" s="24" t="inlineStr">
        <is>
          <t>1632</t>
        </is>
      </c>
      <c r="B668" s="24" t="inlineStr">
        <is>
          <t>HR &amp; OID</t>
        </is>
      </c>
      <c r="C668" s="24" t="inlineStr">
        <is>
          <t>organizer</t>
        </is>
      </c>
      <c r="D668" s="24" t="inlineStr">
        <is>
          <t>Organizer</t>
        </is>
      </c>
      <c r="E668" s="24" t="n"/>
    </row>
    <row r="669">
      <c r="A669" s="24" t="inlineStr">
        <is>
          <t>1326</t>
        </is>
      </c>
      <c r="B669" s="24" t="inlineStr">
        <is>
          <t>HR &amp; YPFS</t>
        </is>
      </c>
      <c r="C669" s="24" t="inlineStr">
        <is>
          <t>organizer</t>
        </is>
      </c>
      <c r="D669" s="24" t="inlineStr">
        <is>
          <t>Organizer</t>
        </is>
      </c>
      <c r="E669" s="24" t="n"/>
    </row>
    <row r="670">
      <c r="A670" s="24" t="inlineStr">
        <is>
          <t>1273</t>
        </is>
      </c>
      <c r="B670" s="24" t="inlineStr">
        <is>
          <t>Impact Investing Club</t>
        </is>
      </c>
      <c r="C670" s="24" t="inlineStr">
        <is>
          <t>organizer</t>
        </is>
      </c>
      <c r="D670" s="24" t="inlineStr">
        <is>
          <t>Organizer</t>
        </is>
      </c>
      <c r="E670" s="24" t="n"/>
    </row>
    <row r="671">
      <c r="A671" s="24" t="inlineStr">
        <is>
          <t>1285</t>
        </is>
      </c>
      <c r="B671" s="24" t="inlineStr">
        <is>
          <t>Inclusive Economic Development Lab</t>
        </is>
      </c>
      <c r="C671" s="24" t="inlineStr">
        <is>
          <t>organizer</t>
        </is>
      </c>
      <c r="D671" s="24" t="inlineStr">
        <is>
          <t>Organizer</t>
        </is>
      </c>
      <c r="E671" s="24" t="n"/>
    </row>
    <row r="672">
      <c r="A672" s="24" t="inlineStr">
        <is>
          <t>1441</t>
        </is>
      </c>
      <c r="B672" s="24" t="inlineStr">
        <is>
          <t>Inclusive Economic Development Lab  &amp; PSEII</t>
        </is>
      </c>
      <c r="C672" s="24" t="inlineStr">
        <is>
          <t>organizer</t>
        </is>
      </c>
      <c r="D672" s="24" t="inlineStr">
        <is>
          <t>Organizer</t>
        </is>
      </c>
      <c r="E672" s="24" t="n"/>
    </row>
    <row r="673">
      <c r="A673" s="24" t="inlineStr">
        <is>
          <t>1622</t>
        </is>
      </c>
      <c r="B673" s="24" t="inlineStr">
        <is>
          <t>Innovation &amp; Entrepreneurship Seminar Series</t>
        </is>
      </c>
      <c r="C673" s="24" t="inlineStr">
        <is>
          <t>organizer</t>
        </is>
      </c>
      <c r="D673" s="24" t="inlineStr">
        <is>
          <t>Organizer</t>
        </is>
      </c>
      <c r="E673" s="24" t="n"/>
    </row>
    <row r="674">
      <c r="A674" s="24" t="inlineStr">
        <is>
          <t>1371</t>
        </is>
      </c>
      <c r="B674" s="24" t="inlineStr">
        <is>
          <t>Institution for Social and Policy Studies</t>
        </is>
      </c>
      <c r="C674" s="24" t="inlineStr">
        <is>
          <t>organizer</t>
        </is>
      </c>
      <c r="D674" s="24" t="inlineStr">
        <is>
          <t>Organizer</t>
        </is>
      </c>
      <c r="E674" s="24" t="n"/>
    </row>
    <row r="675">
      <c r="A675" s="24" t="inlineStr">
        <is>
          <t>1368</t>
        </is>
      </c>
      <c r="B675" s="24" t="inlineStr">
        <is>
          <t>Internal Communications</t>
        </is>
      </c>
      <c r="C675" s="24" t="inlineStr">
        <is>
          <t>organizer</t>
        </is>
      </c>
      <c r="D675" s="24" t="inlineStr">
        <is>
          <t>Organizer</t>
        </is>
      </c>
      <c r="E675" s="24" t="n"/>
    </row>
    <row r="676">
      <c r="A676" s="24" t="inlineStr">
        <is>
          <t>1775</t>
        </is>
      </c>
      <c r="B676" s="24" t="inlineStr">
        <is>
          <t>Internal Communications</t>
        </is>
      </c>
      <c r="C676" s="24" t="inlineStr">
        <is>
          <t>organizer</t>
        </is>
      </c>
      <c r="D676" s="24" t="inlineStr">
        <is>
          <t>Organizer</t>
        </is>
      </c>
      <c r="E676" s="24" t="n"/>
    </row>
    <row r="677">
      <c r="A677" s="24" t="inlineStr">
        <is>
          <t>1367</t>
        </is>
      </c>
      <c r="B677" s="24" t="inlineStr">
        <is>
          <t>Internal Communications Team</t>
        </is>
      </c>
      <c r="C677" s="24" t="inlineStr">
        <is>
          <t>organizer</t>
        </is>
      </c>
      <c r="D677" s="24" t="inlineStr">
        <is>
          <t>Organizer</t>
        </is>
      </c>
      <c r="E677" s="24" t="n"/>
    </row>
    <row r="678">
      <c r="A678" s="24" t="inlineStr">
        <is>
          <t>1244</t>
        </is>
      </c>
      <c r="B678" s="24" t="inlineStr">
        <is>
          <t>International Center for Finance</t>
        </is>
      </c>
      <c r="C678" s="24" t="inlineStr">
        <is>
          <t>organizer</t>
        </is>
      </c>
      <c r="D678" s="24" t="inlineStr">
        <is>
          <t>Organizer</t>
        </is>
      </c>
      <c r="E678" s="24" t="n"/>
    </row>
    <row r="679">
      <c r="A679" s="24" t="inlineStr">
        <is>
          <t>1438</t>
        </is>
      </c>
      <c r="B679" s="24" t="inlineStr">
        <is>
          <t>International Center for Finance &amp; CBEY</t>
        </is>
      </c>
      <c r="C679" s="24" t="inlineStr">
        <is>
          <t>organizer</t>
        </is>
      </c>
      <c r="D679" s="24" t="inlineStr">
        <is>
          <t>Organizer</t>
        </is>
      </c>
      <c r="E679" s="24" t="n"/>
    </row>
    <row r="680">
      <c r="A680" s="24" t="inlineStr">
        <is>
          <t>1489</t>
        </is>
      </c>
      <c r="B680" s="24" t="inlineStr">
        <is>
          <t>International Festival of Arts and Ideas</t>
        </is>
      </c>
      <c r="C680" s="24" t="inlineStr">
        <is>
          <t>organizer</t>
        </is>
      </c>
      <c r="D680" s="24" t="inlineStr">
        <is>
          <t>Organizer</t>
        </is>
      </c>
      <c r="E680" s="24" t="n"/>
    </row>
    <row r="681">
      <c r="A681" s="24" t="inlineStr">
        <is>
          <t>1246</t>
        </is>
      </c>
      <c r="B681" s="24" t="inlineStr">
        <is>
          <t>Internship Fund</t>
        </is>
      </c>
      <c r="C681" s="24" t="inlineStr">
        <is>
          <t>organizer</t>
        </is>
      </c>
      <c r="D681" s="24" t="inlineStr">
        <is>
          <t>Organizer</t>
        </is>
      </c>
      <c r="E681" s="24" t="n"/>
    </row>
    <row r="682">
      <c r="A682" s="24" t="inlineStr">
        <is>
          <t>1263</t>
        </is>
      </c>
      <c r="B682" s="24" t="inlineStr">
        <is>
          <t>Investment Management Club</t>
        </is>
      </c>
      <c r="C682" s="24" t="inlineStr">
        <is>
          <t>organizer</t>
        </is>
      </c>
      <c r="D682" s="24" t="inlineStr">
        <is>
          <t>Organizer</t>
        </is>
      </c>
      <c r="E682" s="24" t="n"/>
    </row>
    <row r="683">
      <c r="A683" s="24" t="inlineStr">
        <is>
          <t>1233</t>
        </is>
      </c>
      <c r="B683" s="24" t="inlineStr">
        <is>
          <t>It's Your Yale</t>
        </is>
      </c>
      <c r="C683" s="24" t="inlineStr">
        <is>
          <t>organizer</t>
        </is>
      </c>
      <c r="D683" s="24" t="inlineStr">
        <is>
          <t>Organizer</t>
        </is>
      </c>
      <c r="E683" s="24" t="n"/>
    </row>
    <row r="684">
      <c r="A684" s="24" t="inlineStr">
        <is>
          <t>1255</t>
        </is>
      </c>
      <c r="B684" s="24" t="inlineStr">
        <is>
          <t>Jackson School of Global Affairs</t>
        </is>
      </c>
      <c r="C684" s="24" t="inlineStr">
        <is>
          <t>organizer</t>
        </is>
      </c>
      <c r="D684" s="24" t="inlineStr">
        <is>
          <t>Organizer</t>
        </is>
      </c>
      <c r="E684" s="24" t="n"/>
    </row>
    <row r="685">
      <c r="A685" s="24" t="inlineStr">
        <is>
          <t>1454</t>
        </is>
      </c>
      <c r="B685" s="24" t="inlineStr">
        <is>
          <t>Jackson School of Global Affairs &amp; MacMillan Center</t>
        </is>
      </c>
      <c r="C685" s="24" t="inlineStr">
        <is>
          <t>organizer</t>
        </is>
      </c>
      <c r="D685" s="24" t="inlineStr">
        <is>
          <t>Organizer</t>
        </is>
      </c>
      <c r="E685" s="24" t="n"/>
    </row>
    <row r="686">
      <c r="A686" s="24" t="inlineStr">
        <is>
          <t>1541</t>
        </is>
      </c>
      <c r="B686" s="24" t="inlineStr">
        <is>
          <t>Japan Club</t>
        </is>
      </c>
      <c r="C686" s="24" t="inlineStr">
        <is>
          <t>organizer</t>
        </is>
      </c>
      <c r="D686" s="24" t="inlineStr">
        <is>
          <t>Organizer</t>
        </is>
      </c>
      <c r="E686" s="24" t="n"/>
    </row>
    <row r="687">
      <c r="A687" s="24" t="inlineStr">
        <is>
          <t>1276</t>
        </is>
      </c>
      <c r="B687" s="24" t="inlineStr">
        <is>
          <t>Jewish Students Association</t>
        </is>
      </c>
      <c r="C687" s="24" t="inlineStr">
        <is>
          <t>organizer</t>
        </is>
      </c>
      <c r="D687" s="24" t="inlineStr">
        <is>
          <t>Organizer</t>
        </is>
      </c>
      <c r="E687" s="24" t="n"/>
    </row>
    <row r="688">
      <c r="A688" s="24" t="inlineStr">
        <is>
          <t>1267</t>
        </is>
      </c>
      <c r="B688" s="24" t="inlineStr">
        <is>
          <t>Korea Club</t>
        </is>
      </c>
      <c r="C688" s="24" t="inlineStr">
        <is>
          <t>organizer</t>
        </is>
      </c>
      <c r="D688" s="24" t="inlineStr">
        <is>
          <t>Organizer</t>
        </is>
      </c>
      <c r="E688" s="24" t="n"/>
    </row>
    <row r="689">
      <c r="A689" s="24" t="inlineStr">
        <is>
          <t>1332</t>
        </is>
      </c>
      <c r="B689" s="24" t="inlineStr">
        <is>
          <t>Librarian Services</t>
        </is>
      </c>
      <c r="C689" s="24" t="inlineStr">
        <is>
          <t>organizer</t>
        </is>
      </c>
      <c r="D689" s="24" t="inlineStr">
        <is>
          <t>Organizer</t>
        </is>
      </c>
      <c r="E689" s="24" t="n"/>
    </row>
    <row r="690">
      <c r="A690" s="24" t="inlineStr">
        <is>
          <t>1355</t>
        </is>
      </c>
      <c r="B690" s="24" t="inlineStr">
        <is>
          <t>Library Services</t>
        </is>
      </c>
      <c r="C690" s="24" t="inlineStr">
        <is>
          <t>organizer</t>
        </is>
      </c>
      <c r="D690" s="24" t="inlineStr">
        <is>
          <t>Organizer</t>
        </is>
      </c>
      <c r="E690" s="24" t="n"/>
    </row>
    <row r="691">
      <c r="A691" s="24" t="inlineStr">
        <is>
          <t>1231</t>
        </is>
      </c>
      <c r="B691" s="24" t="inlineStr">
        <is>
          <t>Marketing Club</t>
        </is>
      </c>
      <c r="C691" s="24" t="inlineStr">
        <is>
          <t>organizer</t>
        </is>
      </c>
      <c r="D691" s="24" t="inlineStr">
        <is>
          <t>Organizer</t>
        </is>
      </c>
      <c r="E691" s="24" t="n"/>
    </row>
    <row r="692">
      <c r="A692" s="24" t="inlineStr">
        <is>
          <t>1744</t>
        </is>
      </c>
      <c r="B692" s="24" t="inlineStr">
        <is>
          <t>Master Management Studies</t>
        </is>
      </c>
      <c r="C692" s="24" t="inlineStr">
        <is>
          <t>organizer</t>
        </is>
      </c>
      <c r="D692" s="24" t="inlineStr">
        <is>
          <t>Organizer</t>
        </is>
      </c>
      <c r="E692" s="24" t="n"/>
    </row>
    <row r="693">
      <c r="A693" s="24" t="inlineStr">
        <is>
          <t>1461</t>
        </is>
      </c>
      <c r="B693" s="24" t="inlineStr">
        <is>
          <t>MBA Admissions</t>
        </is>
      </c>
      <c r="C693" s="24" t="inlineStr">
        <is>
          <t>organizer</t>
        </is>
      </c>
      <c r="D693" s="24" t="inlineStr">
        <is>
          <t>Organizer</t>
        </is>
      </c>
      <c r="E693" s="24" t="n"/>
    </row>
    <row r="694">
      <c r="A694" s="24" t="inlineStr">
        <is>
          <t>1570</t>
        </is>
      </c>
      <c r="B694" s="24" t="inlineStr">
        <is>
          <t>MBA Admissions &amp; Poorvu Center for Teaching and Learning</t>
        </is>
      </c>
      <c r="C694" s="24" t="inlineStr">
        <is>
          <t>organizer</t>
        </is>
      </c>
      <c r="D694" s="24" t="inlineStr">
        <is>
          <t>Organizer</t>
        </is>
      </c>
      <c r="E694" s="24" t="n"/>
    </row>
    <row r="695">
      <c r="A695" s="24" t="inlineStr">
        <is>
          <t>1219</t>
        </is>
      </c>
      <c r="B695" s="24" t="inlineStr">
        <is>
          <t>MBA Core Tutoring</t>
        </is>
      </c>
      <c r="C695" s="24" t="inlineStr">
        <is>
          <t>organizer</t>
        </is>
      </c>
      <c r="D695" s="24" t="inlineStr">
        <is>
          <t>Organizer</t>
        </is>
      </c>
      <c r="E695" s="24" t="n"/>
    </row>
    <row r="696">
      <c r="A696" s="24" t="inlineStr">
        <is>
          <t>1215</t>
        </is>
      </c>
      <c r="B696" s="24" t="inlineStr">
        <is>
          <t>MBA for Executives Event Registration</t>
        </is>
      </c>
      <c r="C696" s="24" t="inlineStr">
        <is>
          <t>organizer</t>
        </is>
      </c>
      <c r="D696" s="24" t="inlineStr">
        <is>
          <t>Organizer</t>
        </is>
      </c>
      <c r="E696" s="24" t="n"/>
    </row>
    <row r="697">
      <c r="A697" s="24" t="inlineStr">
        <is>
          <t>1433</t>
        </is>
      </c>
      <c r="B697" s="24" t="inlineStr">
        <is>
          <t>MBA for Executives Program</t>
        </is>
      </c>
      <c r="C697" s="24" t="inlineStr">
        <is>
          <t>organizer</t>
        </is>
      </c>
      <c r="D697" s="24" t="inlineStr">
        <is>
          <t>Organizer</t>
        </is>
      </c>
      <c r="E697" s="24" t="n"/>
    </row>
    <row r="698">
      <c r="A698" s="24" t="inlineStr">
        <is>
          <t>1218</t>
        </is>
      </c>
      <c r="B698" s="24" t="inlineStr">
        <is>
          <t>MBA For Executives: Extended Classroom</t>
        </is>
      </c>
      <c r="C698" s="24" t="inlineStr">
        <is>
          <t>organizer</t>
        </is>
      </c>
      <c r="D698" s="24" t="inlineStr">
        <is>
          <t>Organizer</t>
        </is>
      </c>
      <c r="E698" s="24" t="n"/>
    </row>
    <row r="699">
      <c r="A699" s="24" t="inlineStr">
        <is>
          <t>1249</t>
        </is>
      </c>
      <c r="B699" s="24" t="inlineStr">
        <is>
          <t>Media, Entertainment &amp; Sports Association</t>
        </is>
      </c>
      <c r="C699" s="24" t="inlineStr">
        <is>
          <t>organizer</t>
        </is>
      </c>
      <c r="D699" s="24" t="inlineStr">
        <is>
          <t>Organizer</t>
        </is>
      </c>
      <c r="E699" s="24" t="n"/>
    </row>
    <row r="700">
      <c r="A700" s="24" t="inlineStr">
        <is>
          <t>1404</t>
        </is>
      </c>
      <c r="B700" s="24" t="inlineStr">
        <is>
          <t>Middle East and North Africa Club</t>
        </is>
      </c>
      <c r="C700" s="24" t="inlineStr">
        <is>
          <t>organizer</t>
        </is>
      </c>
      <c r="D700" s="24" t="inlineStr">
        <is>
          <t>Organizer</t>
        </is>
      </c>
      <c r="E700" s="24" t="n"/>
    </row>
    <row r="701">
      <c r="A701" s="24" t="inlineStr">
        <is>
          <t>1331</t>
        </is>
      </c>
      <c r="B701" s="24" t="inlineStr">
        <is>
          <t>MIINT</t>
        </is>
      </c>
      <c r="C701" s="24" t="inlineStr">
        <is>
          <t>organizer</t>
        </is>
      </c>
      <c r="D701" s="24" t="inlineStr">
        <is>
          <t>Organizer</t>
        </is>
      </c>
      <c r="E701" s="24" t="n"/>
    </row>
    <row r="702">
      <c r="A702" s="24" t="inlineStr">
        <is>
          <t>1595</t>
        </is>
      </c>
      <c r="B702" s="24" t="inlineStr">
        <is>
          <t>MIINT Program</t>
        </is>
      </c>
      <c r="C702" s="24" t="inlineStr">
        <is>
          <t>organizer</t>
        </is>
      </c>
      <c r="D702" s="24" t="inlineStr">
        <is>
          <t>Organizer</t>
        </is>
      </c>
      <c r="E702" s="24" t="n"/>
    </row>
    <row r="703">
      <c r="A703" s="24" t="inlineStr">
        <is>
          <t>1748</t>
        </is>
      </c>
      <c r="B703" s="24" t="inlineStr">
        <is>
          <t>MMS-AM Admissions</t>
        </is>
      </c>
      <c r="C703" s="24" t="inlineStr">
        <is>
          <t>organizer</t>
        </is>
      </c>
      <c r="D703" s="24" t="inlineStr">
        <is>
          <t>Organizer</t>
        </is>
      </c>
      <c r="E703" s="24" t="n"/>
    </row>
    <row r="704">
      <c r="A704" s="24" t="inlineStr">
        <is>
          <t>1769</t>
        </is>
      </c>
      <c r="B704" s="24" t="inlineStr">
        <is>
          <t>Muslim Students Association &amp; OCED</t>
        </is>
      </c>
      <c r="C704" s="24" t="inlineStr">
        <is>
          <t>organizer</t>
        </is>
      </c>
      <c r="D704" s="24" t="inlineStr">
        <is>
          <t>Organizer</t>
        </is>
      </c>
      <c r="E704" s="24" t="n"/>
    </row>
    <row r="705">
      <c r="A705" s="24" t="inlineStr">
        <is>
          <t>1228</t>
        </is>
      </c>
      <c r="B705" s="24" t="inlineStr">
        <is>
          <t>Net Impact</t>
        </is>
      </c>
      <c r="C705" s="24" t="inlineStr">
        <is>
          <t>organizer</t>
        </is>
      </c>
      <c r="D705" s="24" t="inlineStr">
        <is>
          <t>Organizer</t>
        </is>
      </c>
      <c r="E705" s="24" t="n"/>
    </row>
    <row r="706">
      <c r="A706" s="24" t="inlineStr">
        <is>
          <t>1425</t>
        </is>
      </c>
      <c r="B706" s="24" t="inlineStr">
        <is>
          <t>Net Impact Club</t>
        </is>
      </c>
      <c r="C706" s="24" t="inlineStr">
        <is>
          <t>organizer</t>
        </is>
      </c>
      <c r="D706" s="24" t="inlineStr">
        <is>
          <t>Organizer</t>
        </is>
      </c>
      <c r="E706" s="24" t="n"/>
    </row>
    <row r="707">
      <c r="A707" s="24" t="inlineStr">
        <is>
          <t>1530</t>
        </is>
      </c>
      <c r="B707" s="24" t="inlineStr">
        <is>
          <t>New Haven Chamber Orchestra</t>
        </is>
      </c>
      <c r="C707" s="24" t="inlineStr">
        <is>
          <t>organizer</t>
        </is>
      </c>
      <c r="D707" s="24" t="inlineStr">
        <is>
          <t>Organizer</t>
        </is>
      </c>
      <c r="E707" s="24" t="n"/>
    </row>
    <row r="708">
      <c r="A708" s="24" t="inlineStr">
        <is>
          <t>1731</t>
        </is>
      </c>
      <c r="B708" s="24" t="inlineStr">
        <is>
          <t>New Haven PAUSE Project</t>
        </is>
      </c>
      <c r="C708" s="24" t="inlineStr">
        <is>
          <t>organizer</t>
        </is>
      </c>
      <c r="D708" s="24" t="inlineStr">
        <is>
          <t>Organizer</t>
        </is>
      </c>
      <c r="E708" s="24" t="n"/>
    </row>
    <row r="709">
      <c r="A709" s="24" t="inlineStr">
        <is>
          <t>1548</t>
        </is>
      </c>
      <c r="B709" s="24" t="inlineStr">
        <is>
          <t>New Haven Reads</t>
        </is>
      </c>
      <c r="C709" s="24" t="inlineStr">
        <is>
          <t>organizer</t>
        </is>
      </c>
      <c r="D709" s="24" t="inlineStr">
        <is>
          <t>Organizer</t>
        </is>
      </c>
      <c r="E709" s="24" t="n"/>
    </row>
    <row r="710">
      <c r="A710" s="24" t="inlineStr">
        <is>
          <t>1257</t>
        </is>
      </c>
      <c r="B710" s="24" t="inlineStr">
        <is>
          <t>Nonprofit Board Fellows</t>
        </is>
      </c>
      <c r="C710" s="24" t="inlineStr">
        <is>
          <t>organizer</t>
        </is>
      </c>
      <c r="D710" s="24" t="inlineStr">
        <is>
          <t>Organizer</t>
        </is>
      </c>
      <c r="E710" s="24" t="n"/>
    </row>
    <row r="711">
      <c r="A711" s="24" t="inlineStr">
        <is>
          <t>1387</t>
        </is>
      </c>
      <c r="B711" s="24" t="inlineStr">
        <is>
          <t>Not Important</t>
        </is>
      </c>
      <c r="C711" s="24" t="inlineStr">
        <is>
          <t>organizer</t>
        </is>
      </c>
      <c r="D711" s="24" t="inlineStr">
        <is>
          <t>Organizer</t>
        </is>
      </c>
      <c r="E711" s="24" t="n"/>
    </row>
    <row r="712">
      <c r="A712" s="24" t="inlineStr">
        <is>
          <t>1654</t>
        </is>
      </c>
      <c r="B712" s="24" t="inlineStr">
        <is>
          <t>Office of Community Engagement and Dialogue</t>
        </is>
      </c>
      <c r="C712" s="24" t="inlineStr">
        <is>
          <t>organizer</t>
        </is>
      </c>
      <c r="D712" s="24" t="inlineStr">
        <is>
          <t>Organizer</t>
        </is>
      </c>
      <c r="E712" s="24" t="n"/>
    </row>
    <row r="713">
      <c r="A713" s="24" t="inlineStr">
        <is>
          <t>1752</t>
        </is>
      </c>
      <c r="B713" s="24" t="inlineStr">
        <is>
          <t>Office of Community Engagement and Dialogue &amp; Women in Management</t>
        </is>
      </c>
      <c r="C713" s="24" t="inlineStr">
        <is>
          <t>organizer</t>
        </is>
      </c>
      <c r="D713" s="24" t="inlineStr">
        <is>
          <t>Organizer</t>
        </is>
      </c>
      <c r="E713" s="24" t="n"/>
    </row>
    <row r="714">
      <c r="A714" s="24" t="inlineStr">
        <is>
          <t>1282</t>
        </is>
      </c>
      <c r="B714" s="24" t="inlineStr">
        <is>
          <t>Office of Community Liaison</t>
        </is>
      </c>
      <c r="C714" s="24" t="inlineStr">
        <is>
          <t>organizer</t>
        </is>
      </c>
      <c r="D714" s="24" t="inlineStr">
        <is>
          <t>Organizer</t>
        </is>
      </c>
      <c r="E714" s="24" t="n"/>
    </row>
    <row r="715">
      <c r="A715" s="24" t="inlineStr">
        <is>
          <t>1237</t>
        </is>
      </c>
      <c r="B715" s="24" t="inlineStr">
        <is>
          <t>Office of Community Liasion</t>
        </is>
      </c>
      <c r="C715" s="24" t="inlineStr">
        <is>
          <t>organizer</t>
        </is>
      </c>
      <c r="D715" s="24" t="inlineStr">
        <is>
          <t>Organizer</t>
        </is>
      </c>
      <c r="E715" s="24" t="n"/>
    </row>
    <row r="716">
      <c r="A716" s="24" t="inlineStr">
        <is>
          <t>1224</t>
        </is>
      </c>
      <c r="B716" s="24" t="inlineStr">
        <is>
          <t>Office of Inclusion &amp; Diversity</t>
        </is>
      </c>
      <c r="C716" s="24" t="inlineStr">
        <is>
          <t>organizer</t>
        </is>
      </c>
      <c r="D716" s="24" t="inlineStr">
        <is>
          <t>Organizer</t>
        </is>
      </c>
      <c r="E716" s="24" t="n"/>
    </row>
    <row r="717">
      <c r="A717" s="24" t="inlineStr">
        <is>
          <t>1296</t>
        </is>
      </c>
      <c r="B717" s="24" t="inlineStr">
        <is>
          <t>Office of Inclusion and Diversity</t>
        </is>
      </c>
      <c r="C717" s="24" t="inlineStr">
        <is>
          <t>organizer</t>
        </is>
      </c>
      <c r="D717" s="24" t="inlineStr">
        <is>
          <t>Organizer</t>
        </is>
      </c>
      <c r="E717" s="24" t="n"/>
    </row>
    <row r="718">
      <c r="A718" s="24" t="inlineStr">
        <is>
          <t>1406</t>
        </is>
      </c>
      <c r="B718" s="24" t="inlineStr">
        <is>
          <t>Office of International Affairs, Yale University</t>
        </is>
      </c>
      <c r="C718" s="24" t="inlineStr">
        <is>
          <t>organizer</t>
        </is>
      </c>
      <c r="D718" s="24" t="inlineStr">
        <is>
          <t>Organizer</t>
        </is>
      </c>
      <c r="E718" s="24" t="n"/>
    </row>
    <row r="719">
      <c r="A719" s="24" t="inlineStr">
        <is>
          <t>1356</t>
        </is>
      </c>
      <c r="B719" s="24" t="inlineStr">
        <is>
          <t>Office of International Students &amp; Scholars</t>
        </is>
      </c>
      <c r="C719" s="24" t="inlineStr">
        <is>
          <t>organizer</t>
        </is>
      </c>
      <c r="D719" s="24" t="inlineStr">
        <is>
          <t>Organizer</t>
        </is>
      </c>
      <c r="E719" s="24" t="n"/>
    </row>
    <row r="720">
      <c r="A720" s="24" t="inlineStr">
        <is>
          <t>1604</t>
        </is>
      </c>
      <c r="B720" s="24" t="inlineStr">
        <is>
          <t>Office of the Provost</t>
        </is>
      </c>
      <c r="C720" s="24" t="inlineStr">
        <is>
          <t>organizer</t>
        </is>
      </c>
      <c r="D720" s="24" t="inlineStr">
        <is>
          <t>Organizer</t>
        </is>
      </c>
      <c r="E720" s="24" t="n"/>
    </row>
    <row r="721">
      <c r="A721" s="24" t="inlineStr">
        <is>
          <t>1704</t>
        </is>
      </c>
      <c r="B721" s="24" t="inlineStr">
        <is>
          <t>Office of the Secretary and Vice President for University Life</t>
        </is>
      </c>
      <c r="C721" s="24" t="inlineStr">
        <is>
          <t>organizer</t>
        </is>
      </c>
      <c r="D721" s="24" t="inlineStr">
        <is>
          <t>Organizer</t>
        </is>
      </c>
      <c r="E721" s="24" t="n"/>
    </row>
    <row r="722">
      <c r="A722" s="24" t="inlineStr">
        <is>
          <t>1377</t>
        </is>
      </c>
      <c r="B722" s="24" t="inlineStr">
        <is>
          <t>Office of the Secretary, Yale University</t>
        </is>
      </c>
      <c r="C722" s="24" t="inlineStr">
        <is>
          <t>organizer</t>
        </is>
      </c>
      <c r="D722" s="24" t="inlineStr">
        <is>
          <t>Organizer</t>
        </is>
      </c>
      <c r="E722" s="24" t="n"/>
    </row>
    <row r="723">
      <c r="A723" s="24" t="inlineStr">
        <is>
          <t>1434</t>
        </is>
      </c>
      <c r="B723" s="24" t="inlineStr">
        <is>
          <t>OID &amp; SOM Hospitality</t>
        </is>
      </c>
      <c r="C723" s="24" t="inlineStr">
        <is>
          <t>organizer</t>
        </is>
      </c>
      <c r="D723" s="24" t="inlineStr">
        <is>
          <t>Organizer</t>
        </is>
      </c>
      <c r="E723" s="24" t="n"/>
    </row>
    <row r="724">
      <c r="A724" s="24" t="inlineStr">
        <is>
          <t>1308</t>
        </is>
      </c>
      <c r="B724" s="24" t="inlineStr">
        <is>
          <t>Organizational Behavior Faculty Seminar Series</t>
        </is>
      </c>
      <c r="C724" s="24" t="inlineStr">
        <is>
          <t>organizer</t>
        </is>
      </c>
      <c r="D724" s="24" t="inlineStr">
        <is>
          <t>Organizer</t>
        </is>
      </c>
      <c r="E724" s="24" t="n"/>
    </row>
    <row r="725">
      <c r="A725" s="24" t="inlineStr">
        <is>
          <t>1266</t>
        </is>
      </c>
      <c r="B725" s="24" t="inlineStr">
        <is>
          <t>Out Of Office</t>
        </is>
      </c>
      <c r="C725" s="24" t="inlineStr">
        <is>
          <t>organizer</t>
        </is>
      </c>
      <c r="D725" s="24" t="inlineStr">
        <is>
          <t>Organizer</t>
        </is>
      </c>
      <c r="E725" s="24" t="n"/>
    </row>
    <row r="726">
      <c r="A726" s="24" t="inlineStr">
        <is>
          <t>1217</t>
        </is>
      </c>
      <c r="B726" s="24" t="inlineStr">
        <is>
          <t>Partners Club</t>
        </is>
      </c>
      <c r="C726" s="24" t="inlineStr">
        <is>
          <t>organizer</t>
        </is>
      </c>
      <c r="D726" s="24" t="inlineStr">
        <is>
          <t>Organizer</t>
        </is>
      </c>
      <c r="E726" s="24" t="n"/>
    </row>
    <row r="727">
      <c r="A727" s="24" t="inlineStr">
        <is>
          <t>1631</t>
        </is>
      </c>
      <c r="B727" s="24" t="inlineStr">
        <is>
          <t>PhD Social Committee</t>
        </is>
      </c>
      <c r="C727" s="24" t="inlineStr">
        <is>
          <t>organizer</t>
        </is>
      </c>
      <c r="D727" s="24" t="inlineStr">
        <is>
          <t>Organizer</t>
        </is>
      </c>
      <c r="E727" s="24" t="n"/>
    </row>
    <row r="728">
      <c r="A728" s="24" t="inlineStr">
        <is>
          <t>1369</t>
        </is>
      </c>
      <c r="B728" s="24" t="inlineStr">
        <is>
          <t>Philanthropy Conference</t>
        </is>
      </c>
      <c r="C728" s="24" t="inlineStr">
        <is>
          <t>organizer</t>
        </is>
      </c>
      <c r="D728" s="24" t="inlineStr">
        <is>
          <t>Organizer</t>
        </is>
      </c>
      <c r="E728" s="24" t="n"/>
    </row>
    <row r="729">
      <c r="A729" s="24" t="inlineStr">
        <is>
          <t>1540</t>
        </is>
      </c>
      <c r="B729" s="24" t="inlineStr">
        <is>
          <t>Poynter Fellowship in Journalism</t>
        </is>
      </c>
      <c r="C729" s="24" t="inlineStr">
        <is>
          <t>organizer</t>
        </is>
      </c>
      <c r="D729" s="24" t="inlineStr">
        <is>
          <t>Organizer</t>
        </is>
      </c>
      <c r="E729" s="24" t="n"/>
    </row>
    <row r="730">
      <c r="A730" s="24" t="inlineStr">
        <is>
          <t>1709</t>
        </is>
      </c>
      <c r="B730" s="24" t="inlineStr">
        <is>
          <t>Poynter Fellowship in Journalism &amp; Cultivating Conversation</t>
        </is>
      </c>
      <c r="C730" s="24" t="inlineStr">
        <is>
          <t>organizer</t>
        </is>
      </c>
      <c r="D730" s="24" t="inlineStr">
        <is>
          <t>Organizer</t>
        </is>
      </c>
      <c r="E730" s="24" t="n"/>
    </row>
    <row r="731">
      <c r="A731" s="24" t="inlineStr">
        <is>
          <t>1702</t>
        </is>
      </c>
      <c r="B731" s="24" t="inlineStr">
        <is>
          <t>Poynter Fellowship in Journalism &amp; Cultivating Conversations</t>
        </is>
      </c>
      <c r="C731" s="24" t="inlineStr">
        <is>
          <t>organizer</t>
        </is>
      </c>
      <c r="D731" s="24" t="inlineStr">
        <is>
          <t>Organizer</t>
        </is>
      </c>
      <c r="E731" s="24" t="n"/>
    </row>
    <row r="732">
      <c r="A732" s="24" t="inlineStr">
        <is>
          <t>1737</t>
        </is>
      </c>
      <c r="B732" s="24" t="inlineStr">
        <is>
          <t>President's Office</t>
        </is>
      </c>
      <c r="C732" s="24" t="inlineStr">
        <is>
          <t>organizer</t>
        </is>
      </c>
      <c r="D732" s="24" t="inlineStr">
        <is>
          <t>Organizer</t>
        </is>
      </c>
      <c r="E732" s="24" t="n"/>
    </row>
    <row r="733">
      <c r="A733" s="24" t="inlineStr">
        <is>
          <t>1247</t>
        </is>
      </c>
      <c r="B733" s="24" t="inlineStr">
        <is>
          <t>Private Equity &amp; Venture Capital Club</t>
        </is>
      </c>
      <c r="C733" s="24" t="inlineStr">
        <is>
          <t>organizer</t>
        </is>
      </c>
      <c r="D733" s="24" t="inlineStr">
        <is>
          <t>Organizer</t>
        </is>
      </c>
      <c r="E733" s="24" t="n"/>
    </row>
    <row r="734">
      <c r="A734" s="24" t="inlineStr">
        <is>
          <t>1232</t>
        </is>
      </c>
      <c r="B734" s="24" t="inlineStr">
        <is>
          <t>Professional Communication Center</t>
        </is>
      </c>
      <c r="C734" s="24" t="inlineStr">
        <is>
          <t>organizer</t>
        </is>
      </c>
      <c r="D734" s="24" t="inlineStr">
        <is>
          <t>Organizer</t>
        </is>
      </c>
      <c r="E734" s="24" t="n"/>
    </row>
    <row r="735">
      <c r="A735" s="24" t="inlineStr">
        <is>
          <t>1360</t>
        </is>
      </c>
      <c r="B735" s="24" t="inlineStr">
        <is>
          <t>Profs. Ed Kaplan, Toby Moskowitz, Barry Nalebuff, Edieal Pinker, Jeff Sonnenfeld, and Gal Zauberman.</t>
        </is>
      </c>
      <c r="C735" s="24" t="inlineStr">
        <is>
          <t>organizer</t>
        </is>
      </c>
      <c r="D735" s="24" t="inlineStr">
        <is>
          <t>Organizer</t>
        </is>
      </c>
      <c r="E735" s="24" t="n"/>
    </row>
    <row r="736">
      <c r="A736" s="24" t="inlineStr">
        <is>
          <t>1478</t>
        </is>
      </c>
      <c r="B736" s="24" t="inlineStr">
        <is>
          <t>Program on Entrepreneurship</t>
        </is>
      </c>
      <c r="C736" s="24" t="inlineStr">
        <is>
          <t>organizer</t>
        </is>
      </c>
      <c r="D736" s="24" t="inlineStr">
        <is>
          <t>Organizer</t>
        </is>
      </c>
      <c r="E736" s="24" t="n"/>
    </row>
    <row r="737">
      <c r="A737" s="24" t="inlineStr">
        <is>
          <t>1399</t>
        </is>
      </c>
      <c r="B737" s="24" t="inlineStr">
        <is>
          <t>Program on Entrepreneurship</t>
        </is>
      </c>
      <c r="C737" s="24" t="inlineStr">
        <is>
          <t>organizer</t>
        </is>
      </c>
      <c r="D737" s="24" t="inlineStr">
        <is>
          <t>Organizer</t>
        </is>
      </c>
      <c r="E737" s="24" t="n"/>
    </row>
    <row r="738">
      <c r="A738" s="24" t="inlineStr">
        <is>
          <t>1606</t>
        </is>
      </c>
      <c r="B738" s="24" t="inlineStr">
        <is>
          <t>Program on Ethics, Politics and Economics</t>
        </is>
      </c>
      <c r="C738" s="24" t="inlineStr">
        <is>
          <t>organizer</t>
        </is>
      </c>
      <c r="D738" s="24" t="inlineStr">
        <is>
          <t>Organizer</t>
        </is>
      </c>
      <c r="E738" s="24" t="n"/>
    </row>
    <row r="739">
      <c r="A739" s="24" t="inlineStr">
        <is>
          <t>1283</t>
        </is>
      </c>
      <c r="B739" s="24" t="inlineStr">
        <is>
          <t>Program on Refugees, Forced Displacement &amp; Humanitarian Responses</t>
        </is>
      </c>
      <c r="C739" s="24" t="inlineStr">
        <is>
          <t>organizer</t>
        </is>
      </c>
      <c r="D739" s="24" t="inlineStr">
        <is>
          <t>Organizer</t>
        </is>
      </c>
      <c r="E739" s="24" t="n"/>
    </row>
    <row r="740">
      <c r="A740" s="24" t="inlineStr">
        <is>
          <t>1402</t>
        </is>
      </c>
      <c r="B740" s="24" t="inlineStr">
        <is>
          <t>Program on Refugees, Forced Displacement, and Humanitarian Responses</t>
        </is>
      </c>
      <c r="C740" s="24" t="inlineStr">
        <is>
          <t>organizer</t>
        </is>
      </c>
      <c r="D740" s="24" t="inlineStr">
        <is>
          <t>Organizer</t>
        </is>
      </c>
      <c r="E740" s="24" t="n"/>
    </row>
    <row r="741">
      <c r="A741" s="24" t="inlineStr">
        <is>
          <t>1239</t>
        </is>
      </c>
      <c r="B741" s="24" t="inlineStr">
        <is>
          <t>Program on Social Enterprise</t>
        </is>
      </c>
      <c r="C741" s="24" t="inlineStr">
        <is>
          <t>organizer</t>
        </is>
      </c>
      <c r="D741" s="24" t="inlineStr">
        <is>
          <t>Organizer</t>
        </is>
      </c>
      <c r="E741" s="24" t="n"/>
    </row>
    <row r="742">
      <c r="A742" s="24" t="inlineStr">
        <is>
          <t>1310</t>
        </is>
      </c>
      <c r="B742" s="24" t="inlineStr">
        <is>
          <t>Program on Social Enterprise &amp; WIM</t>
        </is>
      </c>
      <c r="C742" s="24" t="inlineStr">
        <is>
          <t>organizer</t>
        </is>
      </c>
      <c r="D742" s="24" t="inlineStr">
        <is>
          <t>Organizer</t>
        </is>
      </c>
      <c r="E742" s="24" t="n"/>
    </row>
    <row r="743">
      <c r="A743" s="24" t="inlineStr">
        <is>
          <t>1533</t>
        </is>
      </c>
      <c r="B743" s="24" t="inlineStr">
        <is>
          <t>Program on Social Enterprise, Innovation, and Impact</t>
        </is>
      </c>
      <c r="C743" s="24" t="inlineStr">
        <is>
          <t>organizer</t>
        </is>
      </c>
      <c r="D743" s="24" t="inlineStr">
        <is>
          <t>Organizer</t>
        </is>
      </c>
      <c r="E743" s="24" t="n"/>
    </row>
    <row r="744">
      <c r="A744" s="24" t="inlineStr">
        <is>
          <t>1320</t>
        </is>
      </c>
      <c r="B744" s="24" t="inlineStr">
        <is>
          <t>Program on Stakeholder Innovation and Management</t>
        </is>
      </c>
      <c r="C744" s="24" t="inlineStr">
        <is>
          <t>organizer</t>
        </is>
      </c>
      <c r="D744" s="24" t="inlineStr">
        <is>
          <t>Organizer</t>
        </is>
      </c>
      <c r="E744" s="24" t="n"/>
    </row>
    <row r="745">
      <c r="A745" s="24" t="inlineStr">
        <is>
          <t>1298</t>
        </is>
      </c>
      <c r="B745" s="24" t="inlineStr">
        <is>
          <t>Real Estate Club</t>
        </is>
      </c>
      <c r="C745" s="24" t="inlineStr">
        <is>
          <t>organizer</t>
        </is>
      </c>
      <c r="D745" s="24" t="inlineStr">
        <is>
          <t>Organizer</t>
        </is>
      </c>
      <c r="E745" s="24" t="n"/>
    </row>
    <row r="746">
      <c r="A746" s="24" t="inlineStr">
        <is>
          <t>1393</t>
        </is>
      </c>
      <c r="B746" s="24" t="inlineStr">
        <is>
          <t>Register for Zoom link</t>
        </is>
      </c>
      <c r="C746" s="24" t="inlineStr">
        <is>
          <t>organizer</t>
        </is>
      </c>
      <c r="D746" s="24" t="inlineStr">
        <is>
          <t>Organizer</t>
        </is>
      </c>
      <c r="E746" s="24" t="n"/>
    </row>
    <row r="747">
      <c r="A747" s="24" t="inlineStr">
        <is>
          <t>1306</t>
        </is>
      </c>
      <c r="B747" s="24" t="inlineStr">
        <is>
          <t>Registrar</t>
        </is>
      </c>
      <c r="C747" s="24" t="inlineStr">
        <is>
          <t>organizer</t>
        </is>
      </c>
      <c r="D747" s="24" t="inlineStr">
        <is>
          <t>Organizer</t>
        </is>
      </c>
      <c r="E747" s="24" t="n"/>
    </row>
    <row r="748">
      <c r="A748" s="24" t="inlineStr">
        <is>
          <t>1278</t>
        </is>
      </c>
      <c r="B748" s="24" t="inlineStr">
        <is>
          <t>Retail Club</t>
        </is>
      </c>
      <c r="C748" s="24" t="inlineStr">
        <is>
          <t>organizer</t>
        </is>
      </c>
      <c r="D748" s="24" t="inlineStr">
        <is>
          <t>Organizer</t>
        </is>
      </c>
      <c r="E748" s="24" t="n"/>
    </row>
    <row r="749">
      <c r="A749" s="24" t="inlineStr">
        <is>
          <t>1337</t>
        </is>
      </c>
      <c r="B749" s="24" t="inlineStr">
        <is>
          <t>SH</t>
        </is>
      </c>
      <c r="C749" s="24" t="inlineStr">
        <is>
          <t>organizer</t>
        </is>
      </c>
      <c r="D749" s="24" t="inlineStr">
        <is>
          <t>Organizer</t>
        </is>
      </c>
      <c r="E749" s="24" t="n"/>
    </row>
    <row r="750">
      <c r="A750" s="24" t="inlineStr">
        <is>
          <t>1538</t>
        </is>
      </c>
      <c r="B750" s="24" t="inlineStr">
        <is>
          <t>SHARE Center</t>
        </is>
      </c>
      <c r="C750" s="24" t="inlineStr">
        <is>
          <t>organizer</t>
        </is>
      </c>
      <c r="D750" s="24" t="inlineStr">
        <is>
          <t>Organizer</t>
        </is>
      </c>
      <c r="E750" s="24" t="n"/>
    </row>
    <row r="751">
      <c r="A751" s="24" t="inlineStr">
        <is>
          <t>1477</t>
        </is>
      </c>
      <c r="B751" s="24" t="inlineStr">
        <is>
          <t>SI Lab</t>
        </is>
      </c>
      <c r="C751" s="24" t="inlineStr">
        <is>
          <t>organizer</t>
        </is>
      </c>
      <c r="D751" s="24" t="inlineStr">
        <is>
          <t>Organizer</t>
        </is>
      </c>
      <c r="E751" s="24" t="n"/>
    </row>
    <row r="752">
      <c r="A752" s="24" t="inlineStr">
        <is>
          <t>1418</t>
        </is>
      </c>
      <c r="B752" s="24" t="inlineStr">
        <is>
          <t>Ski &amp; Snowboard Club</t>
        </is>
      </c>
      <c r="C752" s="24" t="inlineStr">
        <is>
          <t>organizer</t>
        </is>
      </c>
      <c r="D752" s="24" t="inlineStr">
        <is>
          <t>Organizer</t>
        </is>
      </c>
      <c r="E752" s="24" t="n"/>
    </row>
    <row r="753">
      <c r="A753" s="24" t="inlineStr">
        <is>
          <t>1250</t>
        </is>
      </c>
      <c r="B753" s="24" t="inlineStr">
        <is>
          <t>Social Impact Consulting Club</t>
        </is>
      </c>
      <c r="C753" s="24" t="inlineStr">
        <is>
          <t>organizer</t>
        </is>
      </c>
      <c r="D753" s="24" t="inlineStr">
        <is>
          <t>Organizer</t>
        </is>
      </c>
      <c r="E753" s="24" t="n"/>
    </row>
    <row r="754">
      <c r="A754" s="24" t="inlineStr">
        <is>
          <t>1272</t>
        </is>
      </c>
      <c r="B754" s="24" t="inlineStr">
        <is>
          <t>Social Impact Lab</t>
        </is>
      </c>
      <c r="C754" s="24" t="inlineStr">
        <is>
          <t>organizer</t>
        </is>
      </c>
      <c r="D754" s="24" t="inlineStr">
        <is>
          <t>Organizer</t>
        </is>
      </c>
      <c r="E754" s="24" t="n"/>
    </row>
    <row r="755">
      <c r="A755" s="24" t="inlineStr">
        <is>
          <t>1384</t>
        </is>
      </c>
      <c r="B755" s="24" t="inlineStr">
        <is>
          <t>Social Impact Lab</t>
        </is>
      </c>
      <c r="C755" s="24" t="inlineStr">
        <is>
          <t>organizer</t>
        </is>
      </c>
      <c r="D755" s="24" t="inlineStr">
        <is>
          <t>Organizer</t>
        </is>
      </c>
      <c r="E755" s="24" t="n"/>
    </row>
    <row r="756">
      <c r="A756" s="24" t="inlineStr">
        <is>
          <t>1616</t>
        </is>
      </c>
      <c r="B756" s="24" t="inlineStr">
        <is>
          <t>Social Impact Lab &amp; Out of Office</t>
        </is>
      </c>
      <c r="C756" s="24" t="inlineStr">
        <is>
          <t>organizer</t>
        </is>
      </c>
      <c r="D756" s="24" t="inlineStr">
        <is>
          <t>Organizer</t>
        </is>
      </c>
      <c r="E756" s="24" t="n"/>
    </row>
    <row r="757">
      <c r="A757" s="24" t="inlineStr">
        <is>
          <t>1443</t>
        </is>
      </c>
      <c r="B757" s="24" t="inlineStr">
        <is>
          <t>Social Media Team</t>
        </is>
      </c>
      <c r="C757" s="24" t="inlineStr">
        <is>
          <t>organizer</t>
        </is>
      </c>
      <c r="D757" s="24" t="inlineStr">
        <is>
          <t>Organizer</t>
        </is>
      </c>
      <c r="E757" s="24" t="n"/>
    </row>
    <row r="758">
      <c r="A758" s="24" t="inlineStr">
        <is>
          <t>1403</t>
        </is>
      </c>
      <c r="B758" s="24" t="inlineStr">
        <is>
          <t>Social Sector Club Council &amp; Net Impact</t>
        </is>
      </c>
      <c r="C758" s="24" t="inlineStr">
        <is>
          <t>organizer</t>
        </is>
      </c>
      <c r="D758" s="24" t="inlineStr">
        <is>
          <t>Organizer</t>
        </is>
      </c>
      <c r="E758" s="24" t="n"/>
    </row>
    <row r="759">
      <c r="A759" s="24" t="inlineStr">
        <is>
          <t>1475</t>
        </is>
      </c>
      <c r="B759" s="24" t="inlineStr">
        <is>
          <t>SOM Communications: Video Team</t>
        </is>
      </c>
      <c r="C759" s="24" t="inlineStr">
        <is>
          <t>organizer</t>
        </is>
      </c>
      <c r="D759" s="24" t="inlineStr">
        <is>
          <t>Organizer</t>
        </is>
      </c>
      <c r="E759" s="24" t="n"/>
    </row>
    <row r="760">
      <c r="A760" s="24" t="inlineStr">
        <is>
          <t>1494</t>
        </is>
      </c>
      <c r="B760" s="24" t="inlineStr">
        <is>
          <t>SOM Digital Media Team</t>
        </is>
      </c>
      <c r="C760" s="24" t="inlineStr">
        <is>
          <t>organizer</t>
        </is>
      </c>
      <c r="D760" s="24" t="inlineStr">
        <is>
          <t>Organizer</t>
        </is>
      </c>
      <c r="E760" s="24" t="n"/>
    </row>
    <row r="761">
      <c r="A761" s="24" t="inlineStr">
        <is>
          <t>1745</t>
        </is>
      </c>
      <c r="B761" s="24" t="inlineStr">
        <is>
          <t>SOM Facilities</t>
        </is>
      </c>
      <c r="C761" s="24" t="inlineStr">
        <is>
          <t>organizer</t>
        </is>
      </c>
      <c r="D761" s="24" t="inlineStr">
        <is>
          <t>Organizer</t>
        </is>
      </c>
      <c r="E761" s="24" t="n"/>
    </row>
    <row r="762">
      <c r="A762" s="24" t="inlineStr">
        <is>
          <t>1723</t>
        </is>
      </c>
      <c r="B762" s="24" t="inlineStr">
        <is>
          <t>SOM Facilities &amp; SOM HR</t>
        </is>
      </c>
      <c r="C762" s="24" t="inlineStr">
        <is>
          <t>organizer</t>
        </is>
      </c>
      <c r="D762" s="24" t="inlineStr">
        <is>
          <t>Organizer</t>
        </is>
      </c>
      <c r="E762" s="24" t="n"/>
    </row>
    <row r="763">
      <c r="A763" s="24" t="inlineStr">
        <is>
          <t>1362</t>
        </is>
      </c>
      <c r="B763" s="24" t="inlineStr">
        <is>
          <t>SOM faculty including Profs. Ed Kaplan, Toby Moskowitz, Barry Nalebuff, Edieal Pinker, Jeff Sonnenfeld, and Gal Zauberman.</t>
        </is>
      </c>
      <c r="C763" s="24" t="inlineStr">
        <is>
          <t>organizer</t>
        </is>
      </c>
      <c r="D763" s="24" t="inlineStr">
        <is>
          <t>Organizer</t>
        </is>
      </c>
      <c r="E763" s="24" t="n"/>
    </row>
    <row r="764">
      <c r="A764" s="24" t="inlineStr">
        <is>
          <t>1491</t>
        </is>
      </c>
      <c r="B764" s="24" t="inlineStr">
        <is>
          <t>SOM Historian</t>
        </is>
      </c>
      <c r="C764" s="24" t="inlineStr">
        <is>
          <t>organizer</t>
        </is>
      </c>
      <c r="D764" s="24" t="inlineStr">
        <is>
          <t>Organizer</t>
        </is>
      </c>
      <c r="E764" s="24" t="n"/>
    </row>
    <row r="765">
      <c r="A765" s="24" t="inlineStr">
        <is>
          <t>1309</t>
        </is>
      </c>
      <c r="B765" s="24" t="inlineStr">
        <is>
          <t>SOM Hospitality</t>
        </is>
      </c>
      <c r="C765" s="24" t="inlineStr">
        <is>
          <t>organizer</t>
        </is>
      </c>
      <c r="D765" s="24" t="inlineStr">
        <is>
          <t>Organizer</t>
        </is>
      </c>
      <c r="E765" s="24" t="n"/>
    </row>
    <row r="766">
      <c r="A766" s="24" t="inlineStr">
        <is>
          <t>1330</t>
        </is>
      </c>
      <c r="B766" s="24" t="inlineStr">
        <is>
          <t>SOM Hospitality</t>
        </is>
      </c>
      <c r="C766" s="24" t="inlineStr">
        <is>
          <t>organizer</t>
        </is>
      </c>
      <c r="D766" s="24" t="inlineStr">
        <is>
          <t>Organizer</t>
        </is>
      </c>
      <c r="E766" s="24" t="n"/>
    </row>
    <row r="767">
      <c r="A767" s="24" t="inlineStr">
        <is>
          <t>1724</t>
        </is>
      </c>
      <c r="B767" s="24" t="inlineStr">
        <is>
          <t>SOM Hospitality &amp; OCED</t>
        </is>
      </c>
      <c r="C767" s="24" t="inlineStr">
        <is>
          <t>organizer</t>
        </is>
      </c>
      <c r="D767" s="24" t="inlineStr">
        <is>
          <t>Organizer</t>
        </is>
      </c>
      <c r="E767" s="24" t="n"/>
    </row>
    <row r="768">
      <c r="A768" s="24" t="inlineStr">
        <is>
          <t>1528</t>
        </is>
      </c>
      <c r="B768" s="24" t="inlineStr">
        <is>
          <t>SOM Hospitality &amp; Office of Inclusion &amp; Diversity</t>
        </is>
      </c>
      <c r="C768" s="24" t="inlineStr">
        <is>
          <t>organizer</t>
        </is>
      </c>
      <c r="D768" s="24" t="inlineStr">
        <is>
          <t>Organizer</t>
        </is>
      </c>
      <c r="E768" s="24" t="n"/>
    </row>
    <row r="769">
      <c r="A769" s="24" t="inlineStr">
        <is>
          <t>1354</t>
        </is>
      </c>
      <c r="B769" s="24" t="inlineStr">
        <is>
          <t>SOM IT</t>
        </is>
      </c>
      <c r="C769" s="24" t="inlineStr">
        <is>
          <t>organizer</t>
        </is>
      </c>
      <c r="D769" s="24" t="inlineStr">
        <is>
          <t>Organizer</t>
        </is>
      </c>
      <c r="E769" s="24" t="n"/>
    </row>
    <row r="770">
      <c r="A770" s="24" t="inlineStr">
        <is>
          <t>1214</t>
        </is>
      </c>
      <c r="B770" s="24" t="inlineStr">
        <is>
          <t>SOM Orientation 2023</t>
        </is>
      </c>
      <c r="C770" s="24" t="inlineStr">
        <is>
          <t>organizer</t>
        </is>
      </c>
      <c r="D770" s="24" t="inlineStr">
        <is>
          <t>Organizer</t>
        </is>
      </c>
      <c r="E770" s="24" t="n"/>
    </row>
    <row r="771">
      <c r="A771" s="24" t="inlineStr">
        <is>
          <t>1496</t>
        </is>
      </c>
      <c r="B771" s="24" t="inlineStr">
        <is>
          <t>SOM Orientation 2024</t>
        </is>
      </c>
      <c r="C771" s="24" t="inlineStr">
        <is>
          <t>organizer</t>
        </is>
      </c>
      <c r="D771" s="24" t="inlineStr">
        <is>
          <t>Organizer</t>
        </is>
      </c>
      <c r="E771" s="24" t="n"/>
    </row>
    <row r="772">
      <c r="A772" s="24" t="inlineStr">
        <is>
          <t>1634</t>
        </is>
      </c>
      <c r="B772" s="24" t="inlineStr">
        <is>
          <t>SOM Orientation 2025</t>
        </is>
      </c>
      <c r="C772" s="24" t="inlineStr">
        <is>
          <t>organizer</t>
        </is>
      </c>
      <c r="D772" s="24" t="inlineStr">
        <is>
          <t>Organizer</t>
        </is>
      </c>
      <c r="E772" s="24" t="n"/>
    </row>
    <row r="773">
      <c r="A773" s="24" t="inlineStr">
        <is>
          <t>1655</t>
        </is>
      </c>
      <c r="B773" s="24" t="inlineStr">
        <is>
          <t>SOM Podcasts</t>
        </is>
      </c>
      <c r="C773" s="24" t="inlineStr">
        <is>
          <t>organizer</t>
        </is>
      </c>
      <c r="D773" s="24" t="inlineStr">
        <is>
          <t>Organizer</t>
        </is>
      </c>
      <c r="E773" s="24" t="n"/>
    </row>
    <row r="774">
      <c r="A774" s="24" t="inlineStr">
        <is>
          <t>1284</t>
        </is>
      </c>
      <c r="B774" s="24" t="inlineStr">
        <is>
          <t>SOM Run</t>
        </is>
      </c>
      <c r="C774" s="24" t="inlineStr">
        <is>
          <t>organizer</t>
        </is>
      </c>
      <c r="D774" s="24" t="inlineStr">
        <is>
          <t>Organizer</t>
        </is>
      </c>
      <c r="E774" s="24" t="n"/>
    </row>
    <row r="775">
      <c r="A775" s="24" t="inlineStr">
        <is>
          <t>1301</t>
        </is>
      </c>
      <c r="B775" s="24" t="inlineStr">
        <is>
          <t>SOM Run</t>
        </is>
      </c>
      <c r="C775" s="24" t="inlineStr">
        <is>
          <t>organizer</t>
        </is>
      </c>
      <c r="D775" s="24" t="inlineStr">
        <is>
          <t>Organizer</t>
        </is>
      </c>
      <c r="E775" s="24" t="n"/>
    </row>
    <row r="776">
      <c r="A776" s="24" t="inlineStr">
        <is>
          <t>1546</t>
        </is>
      </c>
      <c r="B776" s="24" t="inlineStr">
        <is>
          <t>SOM Staff Sustainability Committee</t>
        </is>
      </c>
      <c r="C776" s="24" t="inlineStr">
        <is>
          <t>organizer</t>
        </is>
      </c>
      <c r="D776" s="24" t="inlineStr">
        <is>
          <t>Organizer</t>
        </is>
      </c>
      <c r="E776" s="24" t="n"/>
    </row>
    <row r="777">
      <c r="A777" s="24" t="inlineStr">
        <is>
          <t>1729</t>
        </is>
      </c>
      <c r="B777" s="24" t="inlineStr">
        <is>
          <t>SOM Student &amp; SOM Staff Sustainable Committees + Facilities &amp; Operations</t>
        </is>
      </c>
      <c r="C777" s="24" t="inlineStr">
        <is>
          <t>organizer</t>
        </is>
      </c>
      <c r="D777" s="24" t="inlineStr">
        <is>
          <t>Organizer</t>
        </is>
      </c>
      <c r="E777" s="24" t="n"/>
    </row>
    <row r="778">
      <c r="A778" s="24" t="inlineStr">
        <is>
          <t>1315</t>
        </is>
      </c>
      <c r="B778" s="24" t="inlineStr">
        <is>
          <t>SOM Sustainability Committee &amp; CBEY</t>
        </is>
      </c>
      <c r="C778" s="24" t="inlineStr">
        <is>
          <t>organizer</t>
        </is>
      </c>
      <c r="D778" s="24" t="inlineStr">
        <is>
          <t>Organizer</t>
        </is>
      </c>
      <c r="E778" s="24" t="n"/>
    </row>
    <row r="779">
      <c r="A779" s="24" t="inlineStr">
        <is>
          <t>1264</t>
        </is>
      </c>
      <c r="B779" s="24" t="inlineStr">
        <is>
          <t>SOM United Soccer Club</t>
        </is>
      </c>
      <c r="C779" s="24" t="inlineStr">
        <is>
          <t>organizer</t>
        </is>
      </c>
      <c r="D779" s="24" t="inlineStr">
        <is>
          <t>Organizer</t>
        </is>
      </c>
      <c r="E779" s="24" t="n"/>
    </row>
    <row r="780">
      <c r="A780" s="24" t="inlineStr">
        <is>
          <t>1705</t>
        </is>
      </c>
      <c r="B780" s="24" t="inlineStr">
        <is>
          <t>SOMIT</t>
        </is>
      </c>
      <c r="C780" s="24" t="inlineStr">
        <is>
          <t>organizer</t>
        </is>
      </c>
      <c r="D780" s="24" t="inlineStr">
        <is>
          <t>Organizer</t>
        </is>
      </c>
      <c r="E780" s="24" t="n"/>
    </row>
    <row r="781">
      <c r="A781" s="24" t="inlineStr">
        <is>
          <t>1260</t>
        </is>
      </c>
      <c r="B781" s="24" t="inlineStr">
        <is>
          <t>South Asia Club</t>
        </is>
      </c>
      <c r="C781" s="24" t="inlineStr">
        <is>
          <t>organizer</t>
        </is>
      </c>
      <c r="D781" s="24" t="inlineStr">
        <is>
          <t>Organizer</t>
        </is>
      </c>
      <c r="E781" s="24" t="n"/>
    </row>
    <row r="782">
      <c r="A782" s="24" t="inlineStr">
        <is>
          <t>1734</t>
        </is>
      </c>
      <c r="B782" s="24" t="inlineStr">
        <is>
          <t>South Asia Club</t>
        </is>
      </c>
      <c r="C782" s="24" t="inlineStr">
        <is>
          <t>organizer</t>
        </is>
      </c>
      <c r="D782" s="24" t="inlineStr">
        <is>
          <t>Organizer</t>
        </is>
      </c>
      <c r="E782" s="24" t="n"/>
    </row>
    <row r="783">
      <c r="A783" s="24" t="inlineStr">
        <is>
          <t>1261</t>
        </is>
      </c>
      <c r="B783" s="24" t="inlineStr">
        <is>
          <t>Southeast Asia Club</t>
        </is>
      </c>
      <c r="C783" s="24" t="inlineStr">
        <is>
          <t>organizer</t>
        </is>
      </c>
      <c r="D783" s="24" t="inlineStr">
        <is>
          <t>Organizer</t>
        </is>
      </c>
      <c r="E783" s="24" t="n"/>
    </row>
    <row r="784">
      <c r="A784" s="24" t="inlineStr">
        <is>
          <t>1254</t>
        </is>
      </c>
      <c r="B784" s="24" t="inlineStr">
        <is>
          <t>Startup &amp; Entrepreneurship Club</t>
        </is>
      </c>
      <c r="C784" s="24" t="inlineStr">
        <is>
          <t>organizer</t>
        </is>
      </c>
      <c r="D784" s="24" t="inlineStr">
        <is>
          <t>Organizer</t>
        </is>
      </c>
      <c r="E784" s="24" t="n"/>
    </row>
    <row r="785">
      <c r="A785" s="24" t="inlineStr">
        <is>
          <t>1567</t>
        </is>
      </c>
      <c r="B785" s="24" t="inlineStr">
        <is>
          <t>Student Accessibility Services</t>
        </is>
      </c>
      <c r="C785" s="24" t="inlineStr">
        <is>
          <t>organizer</t>
        </is>
      </c>
      <c r="D785" s="24" t="inlineStr">
        <is>
          <t>Organizer</t>
        </is>
      </c>
      <c r="E785" s="24" t="n"/>
    </row>
    <row r="786">
      <c r="A786" s="24" t="inlineStr">
        <is>
          <t>1526</t>
        </is>
      </c>
      <c r="B786" s="24" t="inlineStr">
        <is>
          <t>Student Clubs</t>
        </is>
      </c>
      <c r="C786" s="24" t="inlineStr">
        <is>
          <t>organizer</t>
        </is>
      </c>
      <c r="D786" s="24" t="inlineStr">
        <is>
          <t>Organizer</t>
        </is>
      </c>
      <c r="E786" s="24" t="n"/>
    </row>
    <row r="787">
      <c r="A787" s="24" t="inlineStr">
        <is>
          <t>1572</t>
        </is>
      </c>
      <c r="B787" s="24" t="inlineStr">
        <is>
          <t>Student Conferences</t>
        </is>
      </c>
      <c r="C787" s="24" t="inlineStr">
        <is>
          <t>organizer</t>
        </is>
      </c>
      <c r="D787" s="24" t="inlineStr">
        <is>
          <t>Organizer</t>
        </is>
      </c>
      <c r="E787" s="24" t="n"/>
    </row>
    <row r="788">
      <c r="A788" s="24" t="inlineStr">
        <is>
          <t>1607</t>
        </is>
      </c>
      <c r="B788" s="24" t="inlineStr">
        <is>
          <t>Student Conferences Committee</t>
        </is>
      </c>
      <c r="C788" s="24" t="inlineStr">
        <is>
          <t>organizer</t>
        </is>
      </c>
      <c r="D788" s="24" t="inlineStr">
        <is>
          <t>Organizer</t>
        </is>
      </c>
      <c r="E788" s="24" t="n"/>
    </row>
    <row r="789">
      <c r="A789" s="24" t="inlineStr">
        <is>
          <t>1222</t>
        </is>
      </c>
      <c r="B789" s="24" t="inlineStr">
        <is>
          <t>Student Government</t>
        </is>
      </c>
      <c r="C789" s="24" t="inlineStr">
        <is>
          <t>organizer</t>
        </is>
      </c>
      <c r="D789" s="24" t="inlineStr">
        <is>
          <t>Organizer</t>
        </is>
      </c>
      <c r="E789" s="24" t="n"/>
    </row>
    <row r="790">
      <c r="A790" s="24" t="inlineStr">
        <is>
          <t>1558</t>
        </is>
      </c>
      <c r="B790" s="24" t="inlineStr">
        <is>
          <t>Student Government  Health &amp; Wellness Committee</t>
        </is>
      </c>
      <c r="C790" s="24" t="inlineStr">
        <is>
          <t>organizer</t>
        </is>
      </c>
      <c r="D790" s="24" t="inlineStr">
        <is>
          <t>Organizer</t>
        </is>
      </c>
      <c r="E790" s="24" t="n"/>
    </row>
    <row r="791">
      <c r="A791" s="24" t="inlineStr">
        <is>
          <t>1585</t>
        </is>
      </c>
      <c r="B791" s="24" t="inlineStr">
        <is>
          <t>Student Government &amp; Internal Communications Team</t>
        </is>
      </c>
      <c r="C791" s="24" t="inlineStr">
        <is>
          <t>organizer</t>
        </is>
      </c>
      <c r="D791" s="24" t="inlineStr">
        <is>
          <t>Organizer</t>
        </is>
      </c>
      <c r="E791" s="24" t="n"/>
    </row>
    <row r="792">
      <c r="A792" s="24" t="inlineStr">
        <is>
          <t>1459</t>
        </is>
      </c>
      <c r="B792" s="24" t="inlineStr">
        <is>
          <t>Student Government Sustainability</t>
        </is>
      </c>
      <c r="C792" s="24" t="inlineStr">
        <is>
          <t>organizer</t>
        </is>
      </c>
      <c r="D792" s="24" t="inlineStr">
        <is>
          <t>Organizer</t>
        </is>
      </c>
      <c r="E792" s="24" t="n"/>
    </row>
    <row r="793">
      <c r="A793" s="24" t="inlineStr">
        <is>
          <t>1547</t>
        </is>
      </c>
      <c r="B793" s="24" t="inlineStr">
        <is>
          <t>Student Health &amp; Wellness Committee</t>
        </is>
      </c>
      <c r="C793" s="24" t="inlineStr">
        <is>
          <t>organizer</t>
        </is>
      </c>
      <c r="D793" s="24" t="inlineStr">
        <is>
          <t>Organizer</t>
        </is>
      </c>
      <c r="E793" s="24" t="n"/>
    </row>
    <row r="794">
      <c r="A794" s="24" t="inlineStr">
        <is>
          <t>1382</t>
        </is>
      </c>
      <c r="B794" s="24" t="inlineStr">
        <is>
          <t>Student Life</t>
        </is>
      </c>
      <c r="C794" s="24" t="inlineStr">
        <is>
          <t>organizer</t>
        </is>
      </c>
      <c r="D794" s="24" t="inlineStr">
        <is>
          <t>Organizer</t>
        </is>
      </c>
      <c r="E794" s="24" t="n"/>
    </row>
    <row r="795">
      <c r="A795" s="24" t="inlineStr">
        <is>
          <t>1251</t>
        </is>
      </c>
      <c r="B795" s="24" t="inlineStr">
        <is>
          <t>Student Life Committee</t>
        </is>
      </c>
      <c r="C795" s="24" t="inlineStr">
        <is>
          <t>organizer</t>
        </is>
      </c>
      <c r="D795" s="24" t="inlineStr">
        <is>
          <t>Organizer</t>
        </is>
      </c>
      <c r="E795" s="24" t="n"/>
    </row>
    <row r="796">
      <c r="A796" s="24" t="inlineStr">
        <is>
          <t>1280</t>
        </is>
      </c>
      <c r="B796" s="24" t="inlineStr">
        <is>
          <t>Students for Racial Equity</t>
        </is>
      </c>
      <c r="C796" s="24" t="inlineStr">
        <is>
          <t>organizer</t>
        </is>
      </c>
      <c r="D796" s="24" t="inlineStr">
        <is>
          <t>Organizer</t>
        </is>
      </c>
      <c r="E796" s="24" t="n"/>
    </row>
    <row r="797">
      <c r="A797" s="24" t="inlineStr">
        <is>
          <t>1756</t>
        </is>
      </c>
      <c r="B797" s="24" t="inlineStr">
        <is>
          <t>Swensen Asset Management Institute</t>
        </is>
      </c>
      <c r="C797" s="24" t="inlineStr">
        <is>
          <t>organizer</t>
        </is>
      </c>
      <c r="D797" s="24" t="inlineStr">
        <is>
          <t>Organizer</t>
        </is>
      </c>
      <c r="E797" s="24" t="n"/>
    </row>
    <row r="798">
      <c r="A798" s="24" t="inlineStr">
        <is>
          <t>1658</t>
        </is>
      </c>
      <c r="B798" s="24" t="inlineStr">
        <is>
          <t>Swensen Institute of Asset Management</t>
        </is>
      </c>
      <c r="C798" s="24" t="inlineStr">
        <is>
          <t>organizer</t>
        </is>
      </c>
      <c r="D798" s="24" t="inlineStr">
        <is>
          <t>Organizer</t>
        </is>
      </c>
      <c r="E798" s="24" t="n"/>
    </row>
    <row r="799">
      <c r="A799" s="24" t="inlineStr">
        <is>
          <t>1465</t>
        </is>
      </c>
      <c r="B799" s="24" t="inlineStr">
        <is>
          <t>Tech &amp; Society Club</t>
        </is>
      </c>
      <c r="C799" s="24" t="inlineStr">
        <is>
          <t>organizer</t>
        </is>
      </c>
      <c r="D799" s="24" t="inlineStr">
        <is>
          <t>Organizer</t>
        </is>
      </c>
      <c r="E799" s="24" t="n"/>
    </row>
    <row r="800">
      <c r="A800" s="24" t="inlineStr">
        <is>
          <t>1467</t>
        </is>
      </c>
      <c r="B800" s="24" t="inlineStr">
        <is>
          <t>Tech Club, AI Club  &amp;Program on Entrepreneurship</t>
        </is>
      </c>
      <c r="C800" s="24" t="inlineStr">
        <is>
          <t>organizer</t>
        </is>
      </c>
      <c r="D800" s="24" t="inlineStr">
        <is>
          <t>Organizer</t>
        </is>
      </c>
      <c r="E800" s="24" t="n"/>
    </row>
    <row r="801">
      <c r="A801" s="24" t="inlineStr">
        <is>
          <t>1258</t>
        </is>
      </c>
      <c r="B801" s="24" t="inlineStr">
        <is>
          <t>Technology Club</t>
        </is>
      </c>
      <c r="C801" s="24" t="inlineStr">
        <is>
          <t>organizer</t>
        </is>
      </c>
      <c r="D801" s="24" t="inlineStr">
        <is>
          <t>Organizer</t>
        </is>
      </c>
      <c r="E801" s="24" t="n"/>
    </row>
    <row r="802">
      <c r="A802" s="24" t="inlineStr">
        <is>
          <t>1305</t>
        </is>
      </c>
      <c r="B802" s="24" t="inlineStr">
        <is>
          <t>The Artsy Fund</t>
        </is>
      </c>
      <c r="C802" s="24" t="inlineStr">
        <is>
          <t>organizer</t>
        </is>
      </c>
      <c r="D802" s="24" t="inlineStr">
        <is>
          <t>Organizer</t>
        </is>
      </c>
      <c r="E802" s="24" t="n"/>
    </row>
    <row r="803">
      <c r="A803" s="24" t="inlineStr">
        <is>
          <t>1736</t>
        </is>
      </c>
      <c r="B803" s="24" t="inlineStr">
        <is>
          <t>The Artsy Fund</t>
        </is>
      </c>
      <c r="C803" s="24" t="inlineStr">
        <is>
          <t>organizer</t>
        </is>
      </c>
      <c r="D803" s="24" t="inlineStr">
        <is>
          <t>Organizer</t>
        </is>
      </c>
      <c r="E803" s="24" t="n"/>
    </row>
    <row r="804">
      <c r="A804" s="24" t="inlineStr">
        <is>
          <t>1493</t>
        </is>
      </c>
      <c r="B804" s="24" t="inlineStr">
        <is>
          <t>The Broad Center</t>
        </is>
      </c>
      <c r="C804" s="24" t="inlineStr">
        <is>
          <t>organizer</t>
        </is>
      </c>
      <c r="D804" s="24" t="inlineStr">
        <is>
          <t>Organizer</t>
        </is>
      </c>
      <c r="E804" s="24" t="n"/>
    </row>
    <row r="805">
      <c r="A805" s="24" t="inlineStr">
        <is>
          <t>1582</t>
        </is>
      </c>
      <c r="B805" s="24" t="inlineStr">
        <is>
          <t>The Broad Center &amp; Education Club</t>
        </is>
      </c>
      <c r="C805" s="24" t="inlineStr">
        <is>
          <t>organizer</t>
        </is>
      </c>
      <c r="D805" s="24" t="inlineStr">
        <is>
          <t>Organizer</t>
        </is>
      </c>
      <c r="E805" s="24" t="n"/>
    </row>
    <row r="806">
      <c r="A806" s="24" t="inlineStr">
        <is>
          <t>1466</t>
        </is>
      </c>
      <c r="B806" s="24" t="inlineStr">
        <is>
          <t>The Council on Anti-Racism</t>
        </is>
      </c>
      <c r="C806" s="24" t="inlineStr">
        <is>
          <t>organizer</t>
        </is>
      </c>
      <c r="D806" s="24" t="inlineStr">
        <is>
          <t>Organizer</t>
        </is>
      </c>
      <c r="E806" s="24" t="n"/>
    </row>
    <row r="807">
      <c r="A807" s="24" t="inlineStr">
        <is>
          <t>1594</t>
        </is>
      </c>
      <c r="B807" s="24" t="inlineStr">
        <is>
          <t>The Gordon Grand Lecture Fellowship</t>
        </is>
      </c>
      <c r="C807" s="24" t="inlineStr">
        <is>
          <t>organizer</t>
        </is>
      </c>
      <c r="D807" s="24" t="inlineStr">
        <is>
          <t>Organizer</t>
        </is>
      </c>
      <c r="E807" s="24" t="n"/>
    </row>
    <row r="808">
      <c r="A808" s="24" t="inlineStr">
        <is>
          <t>1405</t>
        </is>
      </c>
      <c r="B808" s="24" t="inlineStr">
        <is>
          <t>The Institution for Social and Policy Studies</t>
        </is>
      </c>
      <c r="C808" s="24" t="inlineStr">
        <is>
          <t>organizer</t>
        </is>
      </c>
      <c r="D808" s="24" t="inlineStr">
        <is>
          <t>Organizer</t>
        </is>
      </c>
      <c r="E808" s="24" t="n"/>
    </row>
    <row r="809">
      <c r="A809" s="24" t="inlineStr">
        <is>
          <t>1234</t>
        </is>
      </c>
      <c r="B809" s="24" t="inlineStr">
        <is>
          <t>The International Center for Finance</t>
        </is>
      </c>
      <c r="C809" s="24" t="inlineStr">
        <is>
          <t>organizer</t>
        </is>
      </c>
      <c r="D809" s="24" t="inlineStr">
        <is>
          <t>Organizer</t>
        </is>
      </c>
      <c r="E809" s="24" t="n"/>
    </row>
    <row r="810">
      <c r="A810" s="24" t="inlineStr">
        <is>
          <t>1597</t>
        </is>
      </c>
      <c r="B810" s="24" t="inlineStr">
        <is>
          <t>The Program on Social Enterprise Innovation and Impact</t>
        </is>
      </c>
      <c r="C810" s="24" t="inlineStr">
        <is>
          <t>organizer</t>
        </is>
      </c>
      <c r="D810" s="24" t="inlineStr">
        <is>
          <t>Organizer</t>
        </is>
      </c>
      <c r="E810" s="24" t="n"/>
    </row>
    <row r="811">
      <c r="A811" s="24" t="inlineStr">
        <is>
          <t>1710</t>
        </is>
      </c>
      <c r="B811" s="24" t="inlineStr">
        <is>
          <t>The Shops at Yale</t>
        </is>
      </c>
      <c r="C811" s="24" t="inlineStr">
        <is>
          <t>organizer</t>
        </is>
      </c>
      <c r="D811" s="24" t="inlineStr">
        <is>
          <t>Organizer</t>
        </is>
      </c>
      <c r="E811" s="24" t="n"/>
    </row>
    <row r="812">
      <c r="A812" s="24" t="inlineStr">
        <is>
          <t>1755</t>
        </is>
      </c>
      <c r="B812" s="24" t="inlineStr">
        <is>
          <t>The Swensen Institute</t>
        </is>
      </c>
      <c r="C812" s="24" t="inlineStr">
        <is>
          <t>organizer</t>
        </is>
      </c>
      <c r="D812" s="24" t="inlineStr">
        <is>
          <t>Organizer</t>
        </is>
      </c>
      <c r="E812" s="24" t="n"/>
    </row>
    <row r="813">
      <c r="A813" s="24" t="inlineStr">
        <is>
          <t>1554</t>
        </is>
      </c>
      <c r="B813" s="24" t="inlineStr">
        <is>
          <t>The Tsai Leadership Program</t>
        </is>
      </c>
      <c r="C813" s="24" t="inlineStr">
        <is>
          <t>organizer</t>
        </is>
      </c>
      <c r="D813" s="24" t="inlineStr">
        <is>
          <t>Organizer</t>
        </is>
      </c>
      <c r="E813" s="24" t="n"/>
    </row>
    <row r="814">
      <c r="A814" s="24" t="inlineStr">
        <is>
          <t>1583</t>
        </is>
      </c>
      <c r="B814" s="24" t="inlineStr">
        <is>
          <t>The Yale Law School Center for the Study of Corporate Law</t>
        </is>
      </c>
      <c r="C814" s="24" t="inlineStr">
        <is>
          <t>organizer</t>
        </is>
      </c>
      <c r="D814" s="24" t="inlineStr">
        <is>
          <t>Organizer</t>
        </is>
      </c>
      <c r="E814" s="24" t="n"/>
    </row>
    <row r="815">
      <c r="A815" s="24" t="inlineStr">
        <is>
          <t>1513</t>
        </is>
      </c>
      <c r="B815" s="24" t="inlineStr">
        <is>
          <t>The Yale SOM Operations Eli Seminar Series</t>
        </is>
      </c>
      <c r="C815" s="24" t="inlineStr">
        <is>
          <t>organizer</t>
        </is>
      </c>
      <c r="D815" s="24" t="inlineStr">
        <is>
          <t>Organizer</t>
        </is>
      </c>
      <c r="E815" s="24" t="n"/>
    </row>
    <row r="816">
      <c r="A816" s="24" t="inlineStr">
        <is>
          <t>1522</t>
        </is>
      </c>
      <c r="B816" s="24" t="inlineStr">
        <is>
          <t>The Yale SOM Operations Seminar Series</t>
        </is>
      </c>
      <c r="C816" s="24" t="inlineStr">
        <is>
          <t>organizer</t>
        </is>
      </c>
      <c r="D816" s="24" t="inlineStr">
        <is>
          <t>Organizer</t>
        </is>
      </c>
      <c r="E816" s="24" t="n"/>
    </row>
    <row r="817">
      <c r="A817" s="24" t="inlineStr">
        <is>
          <t>1364</t>
        </is>
      </c>
      <c r="B817" s="24" t="inlineStr">
        <is>
          <t>The Yale SOM Operations Seminar Series</t>
        </is>
      </c>
      <c r="C817" s="24" t="inlineStr">
        <is>
          <t>organizer</t>
        </is>
      </c>
      <c r="D817" s="24" t="inlineStr">
        <is>
          <t>Organizer</t>
        </is>
      </c>
      <c r="E817" s="24" t="n"/>
    </row>
    <row r="818">
      <c r="A818" s="24" t="inlineStr">
        <is>
          <t>1361</t>
        </is>
      </c>
      <c r="B818" s="24" t="inlineStr">
        <is>
          <t>This talk is sponsored by a group of SOM faculty including Profs. Ed Kaplan, Toby Moskowitz, Barry Nalebuff, Edieal Pinker, Jeff Sonnenfeld, and Gal Zauberman.</t>
        </is>
      </c>
      <c r="C818" s="24" t="inlineStr">
        <is>
          <t>organizer</t>
        </is>
      </c>
      <c r="D818" s="24" t="inlineStr">
        <is>
          <t>Organizer</t>
        </is>
      </c>
      <c r="E818" s="24" t="n"/>
    </row>
    <row r="819">
      <c r="A819" s="24" t="inlineStr">
        <is>
          <t>1746</t>
        </is>
      </c>
      <c r="B819" s="24" t="inlineStr">
        <is>
          <t>Tim Shea</t>
        </is>
      </c>
      <c r="C819" s="24" t="inlineStr">
        <is>
          <t>organizer</t>
        </is>
      </c>
      <c r="D819" s="24" t="inlineStr">
        <is>
          <t>Organizer</t>
        </is>
      </c>
      <c r="E819" s="24" t="n"/>
    </row>
    <row r="820">
      <c r="A820" s="24" t="inlineStr">
        <is>
          <t>1763</t>
        </is>
      </c>
      <c r="B820" s="24" t="inlineStr">
        <is>
          <t>Title IX at Yale SOM</t>
        </is>
      </c>
      <c r="C820" s="24" t="inlineStr">
        <is>
          <t>organizer</t>
        </is>
      </c>
      <c r="D820" s="24" t="inlineStr">
        <is>
          <t>Organizer</t>
        </is>
      </c>
      <c r="E820" s="24" t="n"/>
    </row>
    <row r="821">
      <c r="A821" s="24" t="inlineStr">
        <is>
          <t>1338</t>
        </is>
      </c>
      <c r="B821" s="24" t="inlineStr">
        <is>
          <t>Title IX Working Group</t>
        </is>
      </c>
      <c r="C821" s="24" t="inlineStr">
        <is>
          <t>organizer</t>
        </is>
      </c>
      <c r="D821" s="24" t="inlineStr">
        <is>
          <t>Organizer</t>
        </is>
      </c>
      <c r="E821" s="24" t="n"/>
    </row>
    <row r="822">
      <c r="A822" s="24" t="inlineStr">
        <is>
          <t>1767</t>
        </is>
      </c>
      <c r="B822" s="24" t="inlineStr">
        <is>
          <t>Title IX Working Group, Social Impact Lab, Media, Entertainment &amp; Sports Association</t>
        </is>
      </c>
      <c r="C822" s="24" t="inlineStr">
        <is>
          <t>organizer</t>
        </is>
      </c>
      <c r="D822" s="24" t="inlineStr">
        <is>
          <t>Organizer</t>
        </is>
      </c>
      <c r="E822" s="24" t="n"/>
    </row>
    <row r="823">
      <c r="A823" s="24" t="inlineStr">
        <is>
          <t>1656</t>
        </is>
      </c>
      <c r="B823" s="24" t="inlineStr">
        <is>
          <t>Town Green District</t>
        </is>
      </c>
      <c r="C823" s="24" t="inlineStr">
        <is>
          <t>organizer</t>
        </is>
      </c>
      <c r="D823" s="24" t="inlineStr">
        <is>
          <t>Organizer</t>
        </is>
      </c>
      <c r="E823" s="24" t="n"/>
    </row>
    <row r="824">
      <c r="A824" s="24" t="inlineStr">
        <is>
          <t>1762</t>
        </is>
      </c>
      <c r="B824" s="24" t="inlineStr">
        <is>
          <t>Trumbull College</t>
        </is>
      </c>
      <c r="C824" s="24" t="inlineStr">
        <is>
          <t>organizer</t>
        </is>
      </c>
      <c r="D824" s="24" t="inlineStr">
        <is>
          <t>Organizer</t>
        </is>
      </c>
      <c r="E824" s="24" t="n"/>
    </row>
    <row r="825">
      <c r="A825" s="24" t="inlineStr">
        <is>
          <t>1317</t>
        </is>
      </c>
      <c r="B825" s="24" t="inlineStr">
        <is>
          <t>Tsai Center for Innovative Thinking</t>
        </is>
      </c>
      <c r="C825" s="24" t="inlineStr">
        <is>
          <t>organizer</t>
        </is>
      </c>
      <c r="D825" s="24" t="inlineStr">
        <is>
          <t>Organizer</t>
        </is>
      </c>
      <c r="E825" s="24" t="n"/>
    </row>
    <row r="826">
      <c r="A826" s="24" t="inlineStr">
        <is>
          <t>1652</t>
        </is>
      </c>
      <c r="B826" s="24" t="inlineStr">
        <is>
          <t>Tsai City</t>
        </is>
      </c>
      <c r="C826" s="24" t="inlineStr">
        <is>
          <t>organizer</t>
        </is>
      </c>
      <c r="D826" s="24" t="inlineStr">
        <is>
          <t>Organizer</t>
        </is>
      </c>
      <c r="E826" s="24" t="n"/>
    </row>
    <row r="827">
      <c r="A827" s="24" t="inlineStr">
        <is>
          <t>1424</t>
        </is>
      </c>
      <c r="B827" s="24" t="inlineStr">
        <is>
          <t>Tsai CITY &amp; CBEY</t>
        </is>
      </c>
      <c r="C827" s="24" t="inlineStr">
        <is>
          <t>organizer</t>
        </is>
      </c>
      <c r="D827" s="24" t="inlineStr">
        <is>
          <t>Organizer</t>
        </is>
      </c>
      <c r="E827" s="24" t="n"/>
    </row>
    <row r="828">
      <c r="A828" s="24" t="inlineStr">
        <is>
          <t>1423</t>
        </is>
      </c>
      <c r="B828" s="24" t="inlineStr">
        <is>
          <t>Tsai CITY + CBEY Planetory Innovator Series</t>
        </is>
      </c>
      <c r="C828" s="24" t="inlineStr">
        <is>
          <t>organizer</t>
        </is>
      </c>
      <c r="D828" s="24" t="inlineStr">
        <is>
          <t>Organizer</t>
        </is>
      </c>
      <c r="E828" s="24" t="n"/>
    </row>
    <row r="829">
      <c r="A829" s="24" t="inlineStr">
        <is>
          <t>1719</t>
        </is>
      </c>
      <c r="B829" s="24" t="inlineStr">
        <is>
          <t>United Way Greater New Haven</t>
        </is>
      </c>
      <c r="C829" s="24" t="inlineStr">
        <is>
          <t>organizer</t>
        </is>
      </c>
      <c r="D829" s="24" t="inlineStr">
        <is>
          <t>Organizer</t>
        </is>
      </c>
      <c r="E829" s="24" t="n"/>
    </row>
    <row r="830">
      <c r="A830" s="24" t="inlineStr">
        <is>
          <t>1242</t>
        </is>
      </c>
      <c r="B830" s="24" t="inlineStr">
        <is>
          <t>Veterans Club</t>
        </is>
      </c>
      <c r="C830" s="24" t="inlineStr">
        <is>
          <t>organizer</t>
        </is>
      </c>
      <c r="D830" s="24" t="inlineStr">
        <is>
          <t>Organizer</t>
        </is>
      </c>
      <c r="E830" s="24" t="n"/>
    </row>
    <row r="831">
      <c r="A831" s="24" t="inlineStr">
        <is>
          <t>1227</t>
        </is>
      </c>
      <c r="B831" s="24" t="inlineStr">
        <is>
          <t>Voices</t>
        </is>
      </c>
      <c r="C831" s="24" t="inlineStr">
        <is>
          <t>organizer</t>
        </is>
      </c>
      <c r="D831" s="24" t="inlineStr">
        <is>
          <t>Organizer</t>
        </is>
      </c>
      <c r="E831" s="24" t="n"/>
    </row>
    <row r="832">
      <c r="A832" s="24" t="inlineStr">
        <is>
          <t>1240</t>
        </is>
      </c>
      <c r="B832" s="24" t="inlineStr">
        <is>
          <t>Wilderness Leadership Development</t>
        </is>
      </c>
      <c r="C832" s="24" t="inlineStr">
        <is>
          <t>organizer</t>
        </is>
      </c>
      <c r="D832" s="24" t="inlineStr">
        <is>
          <t>Organizer</t>
        </is>
      </c>
      <c r="E832" s="24" t="n"/>
    </row>
    <row r="833">
      <c r="A833" s="24" t="inlineStr">
        <is>
          <t>1238</t>
        </is>
      </c>
      <c r="B833" s="24" t="inlineStr">
        <is>
          <t>Wine Society</t>
        </is>
      </c>
      <c r="C833" s="24" t="inlineStr">
        <is>
          <t>organizer</t>
        </is>
      </c>
      <c r="D833" s="24" t="inlineStr">
        <is>
          <t>Organizer</t>
        </is>
      </c>
      <c r="E833" s="24" t="n"/>
    </row>
    <row r="834">
      <c r="A834" s="24" t="inlineStr">
        <is>
          <t>1248</t>
        </is>
      </c>
      <c r="B834" s="24" t="inlineStr">
        <is>
          <t>Women In Management</t>
        </is>
      </c>
      <c r="C834" s="24" t="inlineStr">
        <is>
          <t>organizer</t>
        </is>
      </c>
      <c r="D834" s="24" t="inlineStr">
        <is>
          <t>Organizer</t>
        </is>
      </c>
      <c r="E834" s="24" t="n"/>
    </row>
    <row r="835">
      <c r="A835" s="24" t="inlineStr">
        <is>
          <t>1442</t>
        </is>
      </c>
      <c r="B835" s="24" t="inlineStr">
        <is>
          <t>Women In Management Club</t>
        </is>
      </c>
      <c r="C835" s="24" t="inlineStr">
        <is>
          <t>organizer</t>
        </is>
      </c>
      <c r="D835" s="24" t="inlineStr">
        <is>
          <t>Organizer</t>
        </is>
      </c>
      <c r="E835" s="24" t="n"/>
    </row>
    <row r="836">
      <c r="A836" s="24" t="inlineStr">
        <is>
          <t>1770</t>
        </is>
      </c>
      <c r="B836" s="24" t="inlineStr">
        <is>
          <t>Women's Faculty Forum</t>
        </is>
      </c>
      <c r="C836" s="24" t="inlineStr">
        <is>
          <t>organizer</t>
        </is>
      </c>
      <c r="D836" s="24" t="inlineStr">
        <is>
          <t>Organizer</t>
        </is>
      </c>
      <c r="E836" s="24" t="n"/>
    </row>
    <row r="837">
      <c r="A837" s="24" t="inlineStr">
        <is>
          <t>1479</t>
        </is>
      </c>
      <c r="B837" s="24" t="inlineStr">
        <is>
          <t>Women's Mental Health Conference</t>
        </is>
      </c>
      <c r="C837" s="24" t="inlineStr">
        <is>
          <t>organizer</t>
        </is>
      </c>
      <c r="D837" s="24" t="inlineStr">
        <is>
          <t>Organizer</t>
        </is>
      </c>
      <c r="E837" s="24" t="n"/>
    </row>
    <row r="838">
      <c r="A838" s="24" t="inlineStr">
        <is>
          <t>1398</t>
        </is>
      </c>
      <c r="B838" s="24" t="inlineStr">
        <is>
          <t>Working Women's Network</t>
        </is>
      </c>
      <c r="C838" s="24" t="inlineStr">
        <is>
          <t>organizer</t>
        </is>
      </c>
      <c r="D838" s="24" t="inlineStr">
        <is>
          <t>Organizer</t>
        </is>
      </c>
      <c r="E838" s="24" t="n"/>
    </row>
    <row r="839">
      <c r="A839" s="24" t="inlineStr">
        <is>
          <t>1735</t>
        </is>
      </c>
      <c r="B839" s="24" t="inlineStr">
        <is>
          <t>Wu Tsai Institute &amp; Yale Peabody Museum</t>
        </is>
      </c>
      <c r="C839" s="24" t="inlineStr">
        <is>
          <t>organizer</t>
        </is>
      </c>
      <c r="D839" s="24" t="inlineStr">
        <is>
          <t>Organizer</t>
        </is>
      </c>
      <c r="E839" s="24" t="n"/>
    </row>
    <row r="840">
      <c r="A840" s="24" t="inlineStr">
        <is>
          <t>1439</t>
        </is>
      </c>
      <c r="B840" s="24" t="inlineStr">
        <is>
          <t>Wu Tsai Institute at Yale</t>
        </is>
      </c>
      <c r="C840" s="24" t="inlineStr">
        <is>
          <t>organizer</t>
        </is>
      </c>
      <c r="D840" s="24" t="inlineStr">
        <is>
          <t>Organizer</t>
        </is>
      </c>
      <c r="E840" s="24" t="n"/>
    </row>
    <row r="841">
      <c r="A841" s="24" t="inlineStr">
        <is>
          <t>1739</t>
        </is>
      </c>
      <c r="B841" s="24" t="inlineStr">
        <is>
          <t>Yale</t>
        </is>
      </c>
      <c r="C841" s="24" t="inlineStr">
        <is>
          <t>organizer</t>
        </is>
      </c>
      <c r="D841" s="24" t="inlineStr">
        <is>
          <t>Organizer</t>
        </is>
      </c>
      <c r="E841" s="24" t="n"/>
    </row>
    <row r="842">
      <c r="A842" s="24" t="inlineStr">
        <is>
          <t>1524</t>
        </is>
      </c>
      <c r="B842" s="24" t="inlineStr">
        <is>
          <t>Yale  Poorvu Center for Teaching and Learning</t>
        </is>
      </c>
      <c r="C842" s="24" t="inlineStr">
        <is>
          <t>organizer</t>
        </is>
      </c>
      <c r="D842" s="24" t="inlineStr">
        <is>
          <t>Organizer</t>
        </is>
      </c>
      <c r="E842" s="24" t="n"/>
    </row>
    <row r="843">
      <c r="A843" s="24" t="inlineStr">
        <is>
          <t>1557</t>
        </is>
      </c>
      <c r="B843" s="24" t="inlineStr">
        <is>
          <t>Yale  SOM Arts &amp; Culture Club + Yale Blockchain Club</t>
        </is>
      </c>
      <c r="C843" s="24" t="inlineStr">
        <is>
          <t>organizer</t>
        </is>
      </c>
      <c r="D843" s="24" t="inlineStr">
        <is>
          <t>Organizer</t>
        </is>
      </c>
      <c r="E843" s="24" t="n"/>
    </row>
    <row r="844">
      <c r="A844" s="24" t="inlineStr">
        <is>
          <t>1488</t>
        </is>
      </c>
      <c r="B844" s="24" t="inlineStr">
        <is>
          <t>Yale Affinity Groups</t>
        </is>
      </c>
      <c r="C844" s="24" t="inlineStr">
        <is>
          <t>organizer</t>
        </is>
      </c>
      <c r="D844" s="24" t="inlineStr">
        <is>
          <t>Organizer</t>
        </is>
      </c>
      <c r="E844" s="24" t="n"/>
    </row>
    <row r="845">
      <c r="A845" s="24" t="inlineStr">
        <is>
          <t>1426</t>
        </is>
      </c>
      <c r="B845" s="24" t="inlineStr">
        <is>
          <t>Yale Africa Innovation Symposium II</t>
        </is>
      </c>
      <c r="C845" s="24" t="inlineStr">
        <is>
          <t>organizer</t>
        </is>
      </c>
      <c r="D845" s="24" t="inlineStr">
        <is>
          <t>Organizer</t>
        </is>
      </c>
      <c r="E845" s="24" t="n"/>
    </row>
    <row r="846">
      <c r="A846" s="24" t="inlineStr">
        <is>
          <t>1591</t>
        </is>
      </c>
      <c r="B846" s="24" t="inlineStr">
        <is>
          <t>Yale Artificial Intelligence Association &amp; Y-SIM</t>
        </is>
      </c>
      <c r="C846" s="24" t="inlineStr">
        <is>
          <t>organizer</t>
        </is>
      </c>
      <c r="D846" s="24" t="inlineStr">
        <is>
          <t>Organizer</t>
        </is>
      </c>
      <c r="E846" s="24" t="n"/>
    </row>
    <row r="847">
      <c r="A847" s="24" t="inlineStr">
        <is>
          <t>1733</t>
        </is>
      </c>
      <c r="B847" s="24" t="inlineStr">
        <is>
          <t>Yale Athletics</t>
        </is>
      </c>
      <c r="C847" s="24" t="inlineStr">
        <is>
          <t>organizer</t>
        </is>
      </c>
      <c r="D847" s="24" t="inlineStr">
        <is>
          <t>Organizer</t>
        </is>
      </c>
      <c r="E847" s="24" t="n"/>
    </row>
    <row r="848">
      <c r="A848" s="24" t="inlineStr">
        <is>
          <t>1615</t>
        </is>
      </c>
      <c r="B848" s="24" t="inlineStr">
        <is>
          <t>Yale Athletics</t>
        </is>
      </c>
      <c r="C848" s="24" t="inlineStr">
        <is>
          <t>organizer</t>
        </is>
      </c>
      <c r="D848" s="24" t="inlineStr">
        <is>
          <t>Organizer</t>
        </is>
      </c>
      <c r="E848" s="24" t="n"/>
    </row>
    <row r="849">
      <c r="A849" s="24" t="inlineStr">
        <is>
          <t>1751</t>
        </is>
      </c>
      <c r="B849" s="24" t="inlineStr">
        <is>
          <t>Yale Biotech Club</t>
        </is>
      </c>
      <c r="C849" s="24" t="inlineStr">
        <is>
          <t>organizer</t>
        </is>
      </c>
      <c r="D849" s="24" t="inlineStr">
        <is>
          <t>Organizer</t>
        </is>
      </c>
      <c r="E849" s="24" t="n"/>
    </row>
    <row r="850">
      <c r="A850" s="24" t="inlineStr">
        <is>
          <t>1614</t>
        </is>
      </c>
      <c r="B850" s="24" t="inlineStr">
        <is>
          <t>Yale Black Business Alliance</t>
        </is>
      </c>
      <c r="C850" s="24" t="inlineStr">
        <is>
          <t>organizer</t>
        </is>
      </c>
      <c r="D850" s="24" t="inlineStr">
        <is>
          <t>Organizer</t>
        </is>
      </c>
      <c r="E850" s="24" t="n"/>
    </row>
    <row r="851">
      <c r="A851" s="24" t="inlineStr">
        <is>
          <t>1727</t>
        </is>
      </c>
      <c r="B851" s="24" t="inlineStr">
        <is>
          <t>Yale Black Studies Department</t>
        </is>
      </c>
      <c r="C851" s="24" t="inlineStr">
        <is>
          <t>organizer</t>
        </is>
      </c>
      <c r="D851" s="24" t="inlineStr">
        <is>
          <t>Organizer</t>
        </is>
      </c>
      <c r="E851" s="24" t="n"/>
    </row>
    <row r="852">
      <c r="A852" s="24" t="inlineStr">
        <is>
          <t>1596</t>
        </is>
      </c>
      <c r="B852" s="24" t="inlineStr">
        <is>
          <t>Yale Blockchain Club</t>
        </is>
      </c>
      <c r="C852" s="24" t="inlineStr">
        <is>
          <t>organizer</t>
        </is>
      </c>
      <c r="D852" s="24" t="inlineStr">
        <is>
          <t>Organizer</t>
        </is>
      </c>
      <c r="E852" s="24" t="n"/>
    </row>
    <row r="853">
      <c r="A853" s="24" t="inlineStr">
        <is>
          <t>1516</t>
        </is>
      </c>
      <c r="B853" s="24" t="inlineStr">
        <is>
          <t>Yale Campus Health</t>
        </is>
      </c>
      <c r="C853" s="24" t="inlineStr">
        <is>
          <t>organizer</t>
        </is>
      </c>
      <c r="D853" s="24" t="inlineStr">
        <is>
          <t>Organizer</t>
        </is>
      </c>
      <c r="E853" s="24" t="n"/>
    </row>
    <row r="854">
      <c r="A854" s="24" t="inlineStr">
        <is>
          <t>1758</t>
        </is>
      </c>
      <c r="B854" s="24" t="inlineStr">
        <is>
          <t>Yale Campus Health</t>
        </is>
      </c>
      <c r="C854" s="24" t="inlineStr">
        <is>
          <t>organizer</t>
        </is>
      </c>
      <c r="D854" s="24" t="inlineStr">
        <is>
          <t>Organizer</t>
        </is>
      </c>
      <c r="E854" s="24" t="n"/>
    </row>
    <row r="855">
      <c r="A855" s="24" t="inlineStr">
        <is>
          <t>1336</t>
        </is>
      </c>
      <c r="B855" s="24" t="inlineStr">
        <is>
          <t>Yale Campus Security</t>
        </is>
      </c>
      <c r="C855" s="24" t="inlineStr">
        <is>
          <t>organizer</t>
        </is>
      </c>
      <c r="D855" s="24" t="inlineStr">
        <is>
          <t>Organizer</t>
        </is>
      </c>
      <c r="E855" s="24" t="n"/>
    </row>
    <row r="856">
      <c r="A856" s="24" t="inlineStr">
        <is>
          <t>1620</t>
        </is>
      </c>
      <c r="B856" s="24" t="inlineStr">
        <is>
          <t>Yale Center Beijing</t>
        </is>
      </c>
      <c r="C856" s="24" t="inlineStr">
        <is>
          <t>organizer</t>
        </is>
      </c>
      <c r="D856" s="24" t="inlineStr">
        <is>
          <t>Organizer</t>
        </is>
      </c>
      <c r="E856" s="24" t="n"/>
    </row>
    <row r="857">
      <c r="A857" s="24" t="inlineStr">
        <is>
          <t>1703</t>
        </is>
      </c>
      <c r="B857" s="24" t="inlineStr">
        <is>
          <t>Yale Center Beijing &amp; Yale SOM</t>
        </is>
      </c>
      <c r="C857" s="24" t="inlineStr">
        <is>
          <t>organizer</t>
        </is>
      </c>
      <c r="D857" s="24" t="inlineStr">
        <is>
          <t>Organizer</t>
        </is>
      </c>
      <c r="E857" s="24" t="n"/>
    </row>
    <row r="858">
      <c r="A858" s="24" t="inlineStr">
        <is>
          <t>1601</t>
        </is>
      </c>
      <c r="B858" s="24" t="inlineStr">
        <is>
          <t>Yale Center for British Art</t>
        </is>
      </c>
      <c r="C858" s="24" t="inlineStr">
        <is>
          <t>organizer</t>
        </is>
      </c>
      <c r="D858" s="24" t="inlineStr">
        <is>
          <t>Organizer</t>
        </is>
      </c>
      <c r="E858" s="24" t="n"/>
    </row>
    <row r="859">
      <c r="A859" s="24" t="inlineStr">
        <is>
          <t>1490</t>
        </is>
      </c>
      <c r="B859" s="24" t="inlineStr">
        <is>
          <t>Yale Center for British Arts</t>
        </is>
      </c>
      <c r="C859" s="24" t="inlineStr">
        <is>
          <t>organizer</t>
        </is>
      </c>
      <c r="D859" s="24" t="inlineStr">
        <is>
          <t>Organizer</t>
        </is>
      </c>
      <c r="E859" s="24" t="n"/>
    </row>
    <row r="860">
      <c r="A860" s="24" t="inlineStr">
        <is>
          <t>1304</t>
        </is>
      </c>
      <c r="B860" s="24" t="inlineStr">
        <is>
          <t>Yale Center for Business &amp; the Environment</t>
        </is>
      </c>
      <c r="C860" s="24" t="inlineStr">
        <is>
          <t>organizer</t>
        </is>
      </c>
      <c r="D860" s="24" t="inlineStr">
        <is>
          <t>Organizer</t>
        </is>
      </c>
      <c r="E860" s="24" t="n"/>
    </row>
    <row r="861">
      <c r="A861" s="24" t="inlineStr">
        <is>
          <t>1253</t>
        </is>
      </c>
      <c r="B861" s="24" t="inlineStr">
        <is>
          <t>Yale Center for Customer Insights</t>
        </is>
      </c>
      <c r="C861" s="24" t="inlineStr">
        <is>
          <t>organizer</t>
        </is>
      </c>
      <c r="D861" s="24" t="inlineStr">
        <is>
          <t>Organizer</t>
        </is>
      </c>
      <c r="E861" s="24" t="n"/>
    </row>
    <row r="862">
      <c r="A862" s="24" t="inlineStr">
        <is>
          <t>1740</t>
        </is>
      </c>
      <c r="B862" s="24" t="inlineStr">
        <is>
          <t>Yale Center for Environmental Justice</t>
        </is>
      </c>
      <c r="C862" s="24" t="inlineStr">
        <is>
          <t>organizer</t>
        </is>
      </c>
      <c r="D862" s="24" t="inlineStr">
        <is>
          <t>Organizer</t>
        </is>
      </c>
      <c r="E862" s="24" t="n"/>
    </row>
    <row r="863">
      <c r="A863" s="24" t="inlineStr">
        <is>
          <t>1617</t>
        </is>
      </c>
      <c r="B863" s="24" t="inlineStr">
        <is>
          <t>Yale Center for Environmental Law and Policy</t>
        </is>
      </c>
      <c r="C863" s="24" t="inlineStr">
        <is>
          <t>organizer</t>
        </is>
      </c>
      <c r="D863" s="24" t="inlineStr">
        <is>
          <t>Organizer</t>
        </is>
      </c>
      <c r="E863" s="24" t="n"/>
    </row>
    <row r="864">
      <c r="A864" s="24" t="inlineStr">
        <is>
          <t>1612</t>
        </is>
      </c>
      <c r="B864" s="24" t="inlineStr">
        <is>
          <t>Yale Center for International Finance</t>
        </is>
      </c>
      <c r="C864" s="24" t="inlineStr">
        <is>
          <t>organizer</t>
        </is>
      </c>
      <c r="D864" s="24" t="inlineStr">
        <is>
          <t>Organizer</t>
        </is>
      </c>
      <c r="E864" s="24" t="n"/>
    </row>
    <row r="865">
      <c r="A865" s="24" t="inlineStr">
        <is>
          <t>1721</t>
        </is>
      </c>
      <c r="B865" s="24" t="inlineStr">
        <is>
          <t>Yale Center for International Finance &amp; Yale Alumni Real Estate Association</t>
        </is>
      </c>
      <c r="C865" s="24" t="inlineStr">
        <is>
          <t>organizer</t>
        </is>
      </c>
      <c r="D865" s="24" t="inlineStr">
        <is>
          <t>Organizer</t>
        </is>
      </c>
      <c r="E865" s="24" t="n"/>
    </row>
    <row r="866">
      <c r="A866" s="24" t="inlineStr">
        <is>
          <t>1437</t>
        </is>
      </c>
      <c r="B866" s="24" t="inlineStr">
        <is>
          <t>Yale Center for International Finance and Yale SOM AI Group</t>
        </is>
      </c>
      <c r="C866" s="24" t="inlineStr">
        <is>
          <t>organizer</t>
        </is>
      </c>
      <c r="D866" s="24" t="inlineStr">
        <is>
          <t>Organizer</t>
        </is>
      </c>
      <c r="E866" s="24" t="n"/>
    </row>
    <row r="867">
      <c r="A867" s="24" t="inlineStr">
        <is>
          <t>1760</t>
        </is>
      </c>
      <c r="B867" s="24" t="inlineStr">
        <is>
          <t>Yale Center for the Study of Corporate Law</t>
        </is>
      </c>
      <c r="C867" s="24" t="inlineStr">
        <is>
          <t>organizer</t>
        </is>
      </c>
      <c r="D867" s="24" t="inlineStr">
        <is>
          <t>Organizer</t>
        </is>
      </c>
      <c r="E867" s="24" t="n"/>
    </row>
    <row r="868">
      <c r="A868" s="24" t="inlineStr">
        <is>
          <t>1726</t>
        </is>
      </c>
      <c r="B868" s="24" t="inlineStr">
        <is>
          <t>Yale Clean Energy Conference &amp; Dean's Office</t>
        </is>
      </c>
      <c r="C868" s="24" t="inlineStr">
        <is>
          <t>organizer</t>
        </is>
      </c>
      <c r="D868" s="24" t="inlineStr">
        <is>
          <t>Organizer</t>
        </is>
      </c>
      <c r="E868" s="24" t="n"/>
    </row>
    <row r="869">
      <c r="A869" s="24" t="inlineStr">
        <is>
          <t>1495</t>
        </is>
      </c>
      <c r="B869" s="24" t="inlineStr">
        <is>
          <t>Yale College</t>
        </is>
      </c>
      <c r="C869" s="24" t="inlineStr">
        <is>
          <t>organizer</t>
        </is>
      </c>
      <c r="D869" s="24" t="inlineStr">
        <is>
          <t>Organizer</t>
        </is>
      </c>
      <c r="E869" s="24" t="n"/>
    </row>
    <row r="870">
      <c r="A870" s="24" t="inlineStr">
        <is>
          <t>1711</t>
        </is>
      </c>
      <c r="B870" s="24" t="inlineStr">
        <is>
          <t>Yale College</t>
        </is>
      </c>
      <c r="C870" s="24" t="inlineStr">
        <is>
          <t>organizer</t>
        </is>
      </c>
      <c r="D870" s="24" t="inlineStr">
        <is>
          <t>Organizer</t>
        </is>
      </c>
      <c r="E870" s="24" t="n"/>
    </row>
    <row r="871">
      <c r="A871" s="24" t="inlineStr">
        <is>
          <t>1747</t>
        </is>
      </c>
      <c r="B871" s="24" t="inlineStr">
        <is>
          <t>Yale Committee on Trust in Higher Education</t>
        </is>
      </c>
      <c r="C871" s="24" t="inlineStr">
        <is>
          <t>organizer</t>
        </is>
      </c>
      <c r="D871" s="24" t="inlineStr">
        <is>
          <t>Organizer</t>
        </is>
      </c>
      <c r="E871" s="24" t="n"/>
    </row>
    <row r="872">
      <c r="A872" s="24" t="inlineStr">
        <is>
          <t>1624</t>
        </is>
      </c>
      <c r="B872" s="24" t="inlineStr">
        <is>
          <t>Yale Department of Psychiatry.</t>
        </is>
      </c>
      <c r="C872" s="24" t="inlineStr">
        <is>
          <t>organizer</t>
        </is>
      </c>
      <c r="D872" s="24" t="inlineStr">
        <is>
          <t>Organizer</t>
        </is>
      </c>
      <c r="E872" s="24" t="n"/>
    </row>
    <row r="873">
      <c r="A873" s="24" t="inlineStr">
        <is>
          <t>1366</t>
        </is>
      </c>
      <c r="B873" s="24" t="inlineStr">
        <is>
          <t>Yale Digital Ethics Center</t>
        </is>
      </c>
      <c r="C873" s="24" t="inlineStr">
        <is>
          <t>organizer</t>
        </is>
      </c>
      <c r="D873" s="24" t="inlineStr">
        <is>
          <t>Organizer</t>
        </is>
      </c>
      <c r="E873" s="24" t="n"/>
    </row>
    <row r="874">
      <c r="A874" s="24" t="inlineStr">
        <is>
          <t>1458</t>
        </is>
      </c>
      <c r="B874" s="24" t="inlineStr">
        <is>
          <t>Yale Economic Growth Center</t>
        </is>
      </c>
      <c r="C874" s="24" t="inlineStr">
        <is>
          <t>organizer</t>
        </is>
      </c>
      <c r="D874" s="24" t="inlineStr">
        <is>
          <t>Organizer</t>
        </is>
      </c>
      <c r="E874" s="24" t="n"/>
    </row>
    <row r="875">
      <c r="A875" s="24" t="inlineStr">
        <is>
          <t>1732</t>
        </is>
      </c>
      <c r="B875" s="24" t="inlineStr">
        <is>
          <t>Yale Economics Department &amp; Sky Campus Wellness</t>
        </is>
      </c>
      <c r="C875" s="24" t="inlineStr">
        <is>
          <t>organizer</t>
        </is>
      </c>
      <c r="D875" s="24" t="inlineStr">
        <is>
          <t>Organizer</t>
        </is>
      </c>
      <c r="E875" s="24" t="n"/>
    </row>
    <row r="876">
      <c r="A876" s="24" t="inlineStr">
        <is>
          <t>1602</t>
        </is>
      </c>
      <c r="B876" s="24" t="inlineStr">
        <is>
          <t>Yale Engineering</t>
        </is>
      </c>
      <c r="C876" s="24" t="inlineStr">
        <is>
          <t>organizer</t>
        </is>
      </c>
      <c r="D876" s="24" t="inlineStr">
        <is>
          <t>Organizer</t>
        </is>
      </c>
      <c r="E876" s="24" t="n"/>
    </row>
    <row r="877">
      <c r="A877" s="24" t="inlineStr">
        <is>
          <t>1741</t>
        </is>
      </c>
      <c r="B877" s="24" t="inlineStr">
        <is>
          <t>Yale Entrepreneurial Society &amp; The Yale Table</t>
        </is>
      </c>
      <c r="C877" s="24" t="inlineStr">
        <is>
          <t>organizer</t>
        </is>
      </c>
      <c r="D877" s="24" t="inlineStr">
        <is>
          <t>Organizer</t>
        </is>
      </c>
      <c r="E877" s="24" t="n"/>
    </row>
    <row r="878">
      <c r="A878" s="24" t="inlineStr">
        <is>
          <t>1529</t>
        </is>
      </c>
      <c r="B878" s="24" t="inlineStr">
        <is>
          <t>Yale Faculty Seminar Series</t>
        </is>
      </c>
      <c r="C878" s="24" t="inlineStr">
        <is>
          <t>organizer</t>
        </is>
      </c>
      <c r="D878" s="24" t="inlineStr">
        <is>
          <t>Organizer</t>
        </is>
      </c>
      <c r="E878" s="24" t="n"/>
    </row>
    <row r="879">
      <c r="A879" s="24" t="inlineStr">
        <is>
          <t>1288</t>
        </is>
      </c>
      <c r="B879" s="24" t="inlineStr">
        <is>
          <t>Yale Grad Crew</t>
        </is>
      </c>
      <c r="C879" s="24" t="inlineStr">
        <is>
          <t>organizer</t>
        </is>
      </c>
      <c r="D879" s="24" t="inlineStr">
        <is>
          <t>Organizer</t>
        </is>
      </c>
      <c r="E879" s="24" t="n"/>
    </row>
    <row r="880">
      <c r="A880" s="24" t="inlineStr">
        <is>
          <t>1380</t>
        </is>
      </c>
      <c r="B880" s="24" t="inlineStr">
        <is>
          <t>Yale Grad Rugby Football Club</t>
        </is>
      </c>
      <c r="C880" s="24" t="inlineStr">
        <is>
          <t>organizer</t>
        </is>
      </c>
      <c r="D880" s="24" t="inlineStr">
        <is>
          <t>Organizer</t>
        </is>
      </c>
      <c r="E880" s="24" t="n"/>
    </row>
    <row r="881">
      <c r="A881" s="24" t="inlineStr">
        <is>
          <t>1525</t>
        </is>
      </c>
      <c r="B881" s="24" t="inlineStr">
        <is>
          <t>Yale Health</t>
        </is>
      </c>
      <c r="C881" s="24" t="inlineStr">
        <is>
          <t>organizer</t>
        </is>
      </c>
      <c r="D881" s="24" t="inlineStr">
        <is>
          <t>Organizer</t>
        </is>
      </c>
      <c r="E881" s="24" t="n"/>
    </row>
    <row r="882">
      <c r="A882" s="24" t="inlineStr">
        <is>
          <t>1718</t>
        </is>
      </c>
      <c r="B882" s="24" t="inlineStr">
        <is>
          <t>Yale Health</t>
        </is>
      </c>
      <c r="C882" s="24" t="inlineStr">
        <is>
          <t>organizer</t>
        </is>
      </c>
      <c r="D882" s="24" t="inlineStr">
        <is>
          <t>Organizer</t>
        </is>
      </c>
      <c r="E882" s="24" t="n"/>
    </row>
    <row r="883">
      <c r="A883" s="24" t="inlineStr">
        <is>
          <t>1410</t>
        </is>
      </c>
      <c r="B883" s="24" t="inlineStr">
        <is>
          <t>Yale Health Plan</t>
        </is>
      </c>
      <c r="C883" s="24" t="inlineStr">
        <is>
          <t>organizer</t>
        </is>
      </c>
      <c r="D883" s="24" t="inlineStr">
        <is>
          <t>Organizer</t>
        </is>
      </c>
      <c r="E883" s="24" t="n"/>
    </row>
    <row r="884">
      <c r="A884" s="24" t="inlineStr">
        <is>
          <t>1537</t>
        </is>
      </c>
      <c r="B884" s="24" t="inlineStr">
        <is>
          <t>Yale HR-United Way</t>
        </is>
      </c>
      <c r="C884" s="24" t="inlineStr">
        <is>
          <t>organizer</t>
        </is>
      </c>
      <c r="D884" s="24" t="inlineStr">
        <is>
          <t>Organizer</t>
        </is>
      </c>
      <c r="E884" s="24" t="n"/>
    </row>
    <row r="885">
      <c r="A885" s="24" t="inlineStr">
        <is>
          <t>1563</t>
        </is>
      </c>
      <c r="B885" s="24" t="inlineStr">
        <is>
          <t>Yale Hunger and Homelessness Action Project</t>
        </is>
      </c>
      <c r="C885" s="24" t="inlineStr">
        <is>
          <t>organizer</t>
        </is>
      </c>
      <c r="D885" s="24" t="inlineStr">
        <is>
          <t>Organizer</t>
        </is>
      </c>
      <c r="E885" s="24" t="n"/>
    </row>
    <row r="886">
      <c r="A886" s="24" t="inlineStr">
        <is>
          <t>1613</t>
        </is>
      </c>
      <c r="B886" s="24" t="inlineStr">
        <is>
          <t>Yale Hunger and Homelessness Action Project</t>
        </is>
      </c>
      <c r="C886" s="24" t="inlineStr">
        <is>
          <t>organizer</t>
        </is>
      </c>
      <c r="D886" s="24" t="inlineStr">
        <is>
          <t>Organizer</t>
        </is>
      </c>
      <c r="E886" s="24" t="n"/>
    </row>
    <row r="887">
      <c r="A887" s="24" t="inlineStr">
        <is>
          <t>1427</t>
        </is>
      </c>
      <c r="B887" s="24" t="inlineStr">
        <is>
          <t>Yale Informational Technology Services</t>
        </is>
      </c>
      <c r="C887" s="24" t="inlineStr">
        <is>
          <t>organizer</t>
        </is>
      </c>
      <c r="D887" s="24" t="inlineStr">
        <is>
          <t>Organizer</t>
        </is>
      </c>
      <c r="E887" s="24" t="n"/>
    </row>
    <row r="888">
      <c r="A888" s="24" t="inlineStr">
        <is>
          <t>1312</t>
        </is>
      </c>
      <c r="B888" s="24" t="inlineStr">
        <is>
          <t>Yale Insights</t>
        </is>
      </c>
      <c r="C888" s="24" t="inlineStr">
        <is>
          <t>organizer</t>
        </is>
      </c>
      <c r="D888" s="24" t="inlineStr">
        <is>
          <t>Organizer</t>
        </is>
      </c>
      <c r="E888" s="24" t="n"/>
    </row>
    <row r="889">
      <c r="A889" s="24" t="inlineStr">
        <is>
          <t>1480</t>
        </is>
      </c>
      <c r="B889" s="24" t="inlineStr">
        <is>
          <t>Yale Institute for Biospheric Studies</t>
        </is>
      </c>
      <c r="C889" s="24" t="inlineStr">
        <is>
          <t>organizer</t>
        </is>
      </c>
      <c r="D889" s="24" t="inlineStr">
        <is>
          <t>Organizer</t>
        </is>
      </c>
      <c r="E889" s="24" t="n"/>
    </row>
    <row r="890">
      <c r="A890" s="24" t="inlineStr">
        <is>
          <t>1712</t>
        </is>
      </c>
      <c r="B890" s="24" t="inlineStr">
        <is>
          <t>Yale Institute for Global Health</t>
        </is>
      </c>
      <c r="C890" s="24" t="inlineStr">
        <is>
          <t>organizer</t>
        </is>
      </c>
      <c r="D890" s="24" t="inlineStr">
        <is>
          <t>Organizer</t>
        </is>
      </c>
      <c r="E890" s="24" t="n"/>
    </row>
    <row r="891">
      <c r="A891" s="24" t="inlineStr">
        <is>
          <t>1385</t>
        </is>
      </c>
      <c r="B891" s="24" t="inlineStr">
        <is>
          <t>Yale Institution for Social and Policy Studies</t>
        </is>
      </c>
      <c r="C891" s="24" t="inlineStr">
        <is>
          <t>organizer</t>
        </is>
      </c>
      <c r="D891" s="24" t="inlineStr">
        <is>
          <t>Organizer</t>
        </is>
      </c>
      <c r="E891" s="24" t="n"/>
    </row>
    <row r="892">
      <c r="A892" s="24" t="inlineStr">
        <is>
          <t>1564</t>
        </is>
      </c>
      <c r="B892" s="24" t="inlineStr">
        <is>
          <t>Yale Jackson School of Global Affairs</t>
        </is>
      </c>
      <c r="C892" s="24" t="inlineStr">
        <is>
          <t>organizer</t>
        </is>
      </c>
      <c r="D892" s="24" t="inlineStr">
        <is>
          <t>Organizer</t>
        </is>
      </c>
      <c r="E892" s="24" t="n"/>
    </row>
    <row r="893">
      <c r="A893" s="24" t="inlineStr">
        <is>
          <t>1453</t>
        </is>
      </c>
      <c r="B893" s="24" t="inlineStr">
        <is>
          <t>Yale Law &amp; Business Society &amp; The Chae Initiative in Private Sector Leadership</t>
        </is>
      </c>
      <c r="C893" s="24" t="inlineStr">
        <is>
          <t>organizer</t>
        </is>
      </c>
      <c r="D893" s="24" t="inlineStr">
        <is>
          <t>Organizer</t>
        </is>
      </c>
      <c r="E893" s="24" t="n"/>
    </row>
    <row r="894">
      <c r="A894" s="24" t="inlineStr">
        <is>
          <t>1381</t>
        </is>
      </c>
      <c r="B894" s="24" t="inlineStr">
        <is>
          <t>Yale Law Center for the Study of Corporate Law</t>
        </is>
      </c>
      <c r="C894" s="24" t="inlineStr">
        <is>
          <t>organizer</t>
        </is>
      </c>
      <c r="D894" s="24" t="inlineStr">
        <is>
          <t>Organizer</t>
        </is>
      </c>
      <c r="E894" s="24" t="n"/>
    </row>
    <row r="895">
      <c r="A895" s="24" t="inlineStr">
        <is>
          <t>1313</t>
        </is>
      </c>
      <c r="B895" s="24" t="inlineStr">
        <is>
          <t>Yale Law School</t>
        </is>
      </c>
      <c r="C895" s="24" t="inlineStr">
        <is>
          <t>organizer</t>
        </is>
      </c>
      <c r="D895" s="24" t="inlineStr">
        <is>
          <t>Organizer</t>
        </is>
      </c>
      <c r="E895" s="24" t="n"/>
    </row>
    <row r="896">
      <c r="A896" s="24" t="inlineStr">
        <is>
          <t>1449</t>
        </is>
      </c>
      <c r="B896" s="24" t="inlineStr">
        <is>
          <t>Yale Law School &amp; Thurman Arnold Project at Yale</t>
        </is>
      </c>
      <c r="C896" s="24" t="inlineStr">
        <is>
          <t>organizer</t>
        </is>
      </c>
      <c r="D896" s="24" t="inlineStr">
        <is>
          <t>Organizer</t>
        </is>
      </c>
      <c r="E896" s="24" t="n"/>
    </row>
    <row r="897">
      <c r="A897" s="24" t="inlineStr">
        <is>
          <t>1716</t>
        </is>
      </c>
      <c r="B897" s="24" t="inlineStr">
        <is>
          <t>Yale Law School &amp; Yale School of Public Health</t>
        </is>
      </c>
      <c r="C897" s="24" t="inlineStr">
        <is>
          <t>organizer</t>
        </is>
      </c>
      <c r="D897" s="24" t="inlineStr">
        <is>
          <t>Organizer</t>
        </is>
      </c>
      <c r="E897" s="24" t="n"/>
    </row>
    <row r="898">
      <c r="A898" s="24" t="inlineStr">
        <is>
          <t>1651</t>
        </is>
      </c>
      <c r="B898" s="24" t="inlineStr">
        <is>
          <t>Yale Law School &amp; Yale School of the Environment</t>
        </is>
      </c>
      <c r="C898" s="24" t="inlineStr">
        <is>
          <t>organizer</t>
        </is>
      </c>
      <c r="D898" s="24" t="inlineStr">
        <is>
          <t>Organizer</t>
        </is>
      </c>
      <c r="E898" s="24" t="n"/>
    </row>
    <row r="899">
      <c r="A899" s="24" t="inlineStr">
        <is>
          <t>1523</t>
        </is>
      </c>
      <c r="B899" s="24" t="inlineStr">
        <is>
          <t>Yale Law School Center for the Study of Corporate Law</t>
        </is>
      </c>
      <c r="C899" s="24" t="inlineStr">
        <is>
          <t>organizer</t>
        </is>
      </c>
      <c r="D899" s="24" t="inlineStr">
        <is>
          <t>Organizer</t>
        </is>
      </c>
      <c r="E899" s="24" t="n"/>
    </row>
    <row r="900">
      <c r="A900" s="24" t="inlineStr">
        <is>
          <t>1447</t>
        </is>
      </c>
      <c r="B900" s="24" t="inlineStr">
        <is>
          <t>Yale Law School Ludwig Program in Public Sector Leadership</t>
        </is>
      </c>
      <c r="C900" s="24" t="inlineStr">
        <is>
          <t>organizer</t>
        </is>
      </c>
      <c r="D900" s="24" t="inlineStr">
        <is>
          <t>Organizer</t>
        </is>
      </c>
      <c r="E900" s="24" t="n"/>
    </row>
    <row r="901">
      <c r="A901" s="24" t="inlineStr">
        <is>
          <t>1657</t>
        </is>
      </c>
      <c r="B901" s="24" t="inlineStr">
        <is>
          <t>Yale Learn and Grow</t>
        </is>
      </c>
      <c r="C901" s="24" t="inlineStr">
        <is>
          <t>organizer</t>
        </is>
      </c>
      <c r="D901" s="24" t="inlineStr">
        <is>
          <t>Organizer</t>
        </is>
      </c>
      <c r="E901" s="24" t="n"/>
    </row>
    <row r="902">
      <c r="A902" s="24" t="inlineStr">
        <is>
          <t>1483</t>
        </is>
      </c>
      <c r="B902" s="24" t="inlineStr">
        <is>
          <t>Yale LGBTQ</t>
        </is>
      </c>
      <c r="C902" s="24" t="inlineStr">
        <is>
          <t>organizer</t>
        </is>
      </c>
      <c r="D902" s="24" t="inlineStr">
        <is>
          <t>Organizer</t>
        </is>
      </c>
      <c r="E902" s="24" t="n"/>
    </row>
    <row r="903">
      <c r="A903" s="24" t="inlineStr">
        <is>
          <t>1650</t>
        </is>
      </c>
      <c r="B903" s="24" t="inlineStr">
        <is>
          <t>Yale LGBTQ Center</t>
        </is>
      </c>
      <c r="C903" s="24" t="inlineStr">
        <is>
          <t>organizer</t>
        </is>
      </c>
      <c r="D903" s="24" t="inlineStr">
        <is>
          <t>Organizer</t>
        </is>
      </c>
      <c r="E903" s="24" t="n"/>
    </row>
    <row r="904">
      <c r="A904" s="24" t="inlineStr">
        <is>
          <t>1508</t>
        </is>
      </c>
      <c r="B904" s="24" t="inlineStr">
        <is>
          <t>Yale Library</t>
        </is>
      </c>
      <c r="C904" s="24" t="inlineStr">
        <is>
          <t>organizer</t>
        </is>
      </c>
      <c r="D904" s="24" t="inlineStr">
        <is>
          <t>Organizer</t>
        </is>
      </c>
      <c r="E904" s="24" t="n"/>
    </row>
    <row r="905">
      <c r="A905" s="24" t="inlineStr">
        <is>
          <t>1428</t>
        </is>
      </c>
      <c r="B905" s="24" t="inlineStr">
        <is>
          <t>Yale MacMillan Center</t>
        </is>
      </c>
      <c r="C905" s="24" t="inlineStr">
        <is>
          <t>organizer</t>
        </is>
      </c>
      <c r="D905" s="24" t="inlineStr">
        <is>
          <t>Organizer</t>
        </is>
      </c>
      <c r="E905" s="24" t="n"/>
    </row>
    <row r="906">
      <c r="A906" s="24" t="inlineStr">
        <is>
          <t>1511</t>
        </is>
      </c>
      <c r="B906" s="24" t="inlineStr">
        <is>
          <t>Yale Marketing Seminar</t>
        </is>
      </c>
      <c r="C906" s="24" t="inlineStr">
        <is>
          <t>organizer</t>
        </is>
      </c>
      <c r="D906" s="24" t="inlineStr">
        <is>
          <t>Organizer</t>
        </is>
      </c>
      <c r="E906" s="24" t="n"/>
    </row>
    <row r="907">
      <c r="A907" s="24" t="inlineStr">
        <is>
          <t>1429</t>
        </is>
      </c>
      <c r="B907" s="24" t="inlineStr">
        <is>
          <t>Yale Marketing Seminar Series</t>
        </is>
      </c>
      <c r="C907" s="24" t="inlineStr">
        <is>
          <t>organizer</t>
        </is>
      </c>
      <c r="D907" s="24" t="inlineStr">
        <is>
          <t>Organizer</t>
        </is>
      </c>
      <c r="E907" s="24" t="n"/>
    </row>
    <row r="908">
      <c r="A908" s="24" t="inlineStr">
        <is>
          <t>1468</t>
        </is>
      </c>
      <c r="B908" s="24" t="inlineStr">
        <is>
          <t>Yale Marketing Seminar Series</t>
        </is>
      </c>
      <c r="C908" s="24" t="inlineStr">
        <is>
          <t>organizer</t>
        </is>
      </c>
      <c r="D908" s="24" t="inlineStr">
        <is>
          <t>Organizer</t>
        </is>
      </c>
      <c r="E908" s="24" t="n"/>
    </row>
    <row r="909">
      <c r="A909" s="24" t="inlineStr">
        <is>
          <t>1536</t>
        </is>
      </c>
      <c r="B909" s="24" t="inlineStr">
        <is>
          <t>Yale Marketing Seminar Series</t>
        </is>
      </c>
      <c r="C909" s="24" t="inlineStr">
        <is>
          <t>organizer</t>
        </is>
      </c>
      <c r="D909" s="24" t="inlineStr">
        <is>
          <t>Organizer</t>
        </is>
      </c>
      <c r="E909" s="24" t="n"/>
    </row>
    <row r="910">
      <c r="A910" s="24" t="inlineStr">
        <is>
          <t>1440</t>
        </is>
      </c>
      <c r="B910" s="24" t="inlineStr">
        <is>
          <t>Yale News</t>
        </is>
      </c>
      <c r="C910" s="24" t="inlineStr">
        <is>
          <t>organizer</t>
        </is>
      </c>
      <c r="D910" s="24" t="inlineStr">
        <is>
          <t>Organizer</t>
        </is>
      </c>
      <c r="E910" s="24" t="n"/>
    </row>
    <row r="911">
      <c r="A911" s="24" t="inlineStr">
        <is>
          <t>1722</t>
        </is>
      </c>
      <c r="B911" s="24" t="inlineStr">
        <is>
          <t>Yale Office of Employee Engagement &amp; Workplace Culture</t>
        </is>
      </c>
      <c r="C911" s="24" t="inlineStr">
        <is>
          <t>organizer</t>
        </is>
      </c>
      <c r="D911" s="24" t="inlineStr">
        <is>
          <t>Organizer</t>
        </is>
      </c>
      <c r="E911" s="24" t="n"/>
    </row>
    <row r="912">
      <c r="A912" s="24" t="inlineStr">
        <is>
          <t>1598</t>
        </is>
      </c>
      <c r="B912" s="24" t="inlineStr">
        <is>
          <t>Yale Office of Inclusion &amp; Diversity &amp; Yale Working Women's Network</t>
        </is>
      </c>
      <c r="C912" s="24" t="inlineStr">
        <is>
          <t>organizer</t>
        </is>
      </c>
      <c r="D912" s="24" t="inlineStr">
        <is>
          <t>Organizer</t>
        </is>
      </c>
      <c r="E912" s="24" t="n"/>
    </row>
    <row r="913">
      <c r="A913" s="24" t="inlineStr">
        <is>
          <t>1482</t>
        </is>
      </c>
      <c r="B913" s="24" t="inlineStr">
        <is>
          <t>Yale Office of International Affairs</t>
        </is>
      </c>
      <c r="C913" s="24" t="inlineStr">
        <is>
          <t>organizer</t>
        </is>
      </c>
      <c r="D913" s="24" t="inlineStr">
        <is>
          <t>Organizer</t>
        </is>
      </c>
      <c r="E913" s="24" t="n"/>
    </row>
    <row r="914">
      <c r="A914" s="24" t="inlineStr">
        <is>
          <t>1394</t>
        </is>
      </c>
      <c r="B914" s="24" t="inlineStr">
        <is>
          <t>Yale Office of LGBTQ Resources</t>
        </is>
      </c>
      <c r="C914" s="24" t="inlineStr">
        <is>
          <t>organizer</t>
        </is>
      </c>
      <c r="D914" s="24" t="inlineStr">
        <is>
          <t>Organizer</t>
        </is>
      </c>
      <c r="E914" s="24" t="n"/>
    </row>
    <row r="915">
      <c r="A915" s="24" t="inlineStr">
        <is>
          <t>1514</t>
        </is>
      </c>
      <c r="B915" s="24" t="inlineStr">
        <is>
          <t>Yale Office of Strategic Analysis</t>
        </is>
      </c>
      <c r="C915" s="24" t="inlineStr">
        <is>
          <t>organizer</t>
        </is>
      </c>
      <c r="D915" s="24" t="inlineStr">
        <is>
          <t>Organizer</t>
        </is>
      </c>
      <c r="E915" s="24" t="n"/>
    </row>
    <row r="916">
      <c r="A916" s="24" t="inlineStr">
        <is>
          <t>1472</t>
        </is>
      </c>
      <c r="B916" s="24" t="inlineStr">
        <is>
          <t>Yale Office of Sustainability</t>
        </is>
      </c>
      <c r="C916" s="24" t="inlineStr">
        <is>
          <t>organizer</t>
        </is>
      </c>
      <c r="D916" s="24" t="inlineStr">
        <is>
          <t>Organizer</t>
        </is>
      </c>
      <c r="E916" s="24" t="n"/>
    </row>
    <row r="917">
      <c r="A917" s="24" t="inlineStr">
        <is>
          <t>1701</t>
        </is>
      </c>
      <c r="B917" s="24" t="inlineStr">
        <is>
          <t>Yale Office of the President</t>
        </is>
      </c>
      <c r="C917" s="24" t="inlineStr">
        <is>
          <t>organizer</t>
        </is>
      </c>
      <c r="D917" s="24" t="inlineStr">
        <is>
          <t>Organizer</t>
        </is>
      </c>
      <c r="E917" s="24" t="n"/>
    </row>
    <row r="918">
      <c r="A918" s="24" t="inlineStr">
        <is>
          <t>1556</t>
        </is>
      </c>
      <c r="B918" s="24" t="inlineStr">
        <is>
          <t>Yale Office of the Secretary &amp; Vice President for Student Life</t>
        </is>
      </c>
      <c r="C918" s="24" t="inlineStr">
        <is>
          <t>organizer</t>
        </is>
      </c>
      <c r="D918" s="24" t="inlineStr">
        <is>
          <t>Organizer</t>
        </is>
      </c>
      <c r="E918" s="24" t="n"/>
    </row>
    <row r="919">
      <c r="A919" s="24" t="inlineStr">
        <is>
          <t>1753</t>
        </is>
      </c>
      <c r="B919" s="24" t="inlineStr">
        <is>
          <t>Yale Peabody Museum</t>
        </is>
      </c>
      <c r="C919" s="24" t="inlineStr">
        <is>
          <t>organizer</t>
        </is>
      </c>
      <c r="D919" s="24" t="inlineStr">
        <is>
          <t>Organizer</t>
        </is>
      </c>
      <c r="E919" s="24" t="n"/>
    </row>
    <row r="920">
      <c r="A920" s="24" t="inlineStr">
        <is>
          <t>1417</t>
        </is>
      </c>
      <c r="B920" s="24" t="inlineStr">
        <is>
          <t>Yale Philanthrophy</t>
        </is>
      </c>
      <c r="C920" s="24" t="inlineStr">
        <is>
          <t>organizer</t>
        </is>
      </c>
      <c r="D920" s="24" t="inlineStr">
        <is>
          <t>Organizer</t>
        </is>
      </c>
      <c r="E920" s="24" t="n"/>
    </row>
    <row r="921">
      <c r="A921" s="24" t="inlineStr">
        <is>
          <t>1757</t>
        </is>
      </c>
      <c r="B921" s="24" t="inlineStr">
        <is>
          <t>Yale Philanthropy Conference</t>
        </is>
      </c>
      <c r="C921" s="24" t="inlineStr">
        <is>
          <t>organizer</t>
        </is>
      </c>
      <c r="D921" s="24" t="inlineStr">
        <is>
          <t>Organizer</t>
        </is>
      </c>
      <c r="E921" s="24" t="n"/>
    </row>
    <row r="922">
      <c r="A922" s="24" t="inlineStr">
        <is>
          <t>1603</t>
        </is>
      </c>
      <c r="B922" s="24" t="inlineStr">
        <is>
          <t>Yale Planetary Solutions</t>
        </is>
      </c>
      <c r="C922" s="24" t="inlineStr">
        <is>
          <t>organizer</t>
        </is>
      </c>
      <c r="D922" s="24" t="inlineStr">
        <is>
          <t>Organizer</t>
        </is>
      </c>
      <c r="E922" s="24" t="n"/>
    </row>
    <row r="923">
      <c r="A923" s="24" t="inlineStr">
        <is>
          <t>1446</t>
        </is>
      </c>
      <c r="B923" s="24" t="inlineStr">
        <is>
          <t>Yale Planetary Solutions &amp; Yale MacMillan International Center</t>
        </is>
      </c>
      <c r="C923" s="24" t="inlineStr">
        <is>
          <t>organizer</t>
        </is>
      </c>
      <c r="D923" s="24" t="inlineStr">
        <is>
          <t>Organizer</t>
        </is>
      </c>
      <c r="E923" s="24" t="n"/>
    </row>
    <row r="924">
      <c r="A924" s="24" t="inlineStr">
        <is>
          <t>1587</t>
        </is>
      </c>
      <c r="B924" s="24" t="inlineStr">
        <is>
          <t>Yale Politics Initiative</t>
        </is>
      </c>
      <c r="C924" s="24" t="inlineStr">
        <is>
          <t>organizer</t>
        </is>
      </c>
      <c r="D924" s="24" t="inlineStr">
        <is>
          <t>Organizer</t>
        </is>
      </c>
      <c r="E924" s="24" t="n"/>
    </row>
    <row r="925">
      <c r="A925" s="24" t="inlineStr">
        <is>
          <t>1700</t>
        </is>
      </c>
      <c r="B925" s="24" t="inlineStr">
        <is>
          <t>Yale Postdoctoral Association</t>
        </is>
      </c>
      <c r="C925" s="24" t="inlineStr">
        <is>
          <t>organizer</t>
        </is>
      </c>
      <c r="D925" s="24" t="inlineStr">
        <is>
          <t>Organizer</t>
        </is>
      </c>
      <c r="E925" s="24" t="n"/>
    </row>
    <row r="926">
      <c r="A926" s="24" t="inlineStr">
        <is>
          <t>1581</t>
        </is>
      </c>
      <c r="B926" s="24" t="inlineStr">
        <is>
          <t>Yale Program on Entrepreneurship</t>
        </is>
      </c>
      <c r="C926" s="24" t="inlineStr">
        <is>
          <t>organizer</t>
        </is>
      </c>
      <c r="D926" s="24" t="inlineStr">
        <is>
          <t>Organizer</t>
        </is>
      </c>
      <c r="E926" s="24" t="n"/>
    </row>
    <row r="927">
      <c r="A927" s="24" t="inlineStr">
        <is>
          <t>1430</t>
        </is>
      </c>
      <c r="B927" s="24" t="inlineStr">
        <is>
          <t>Yale Program on Financial Security</t>
        </is>
      </c>
      <c r="C927" s="24" t="inlineStr">
        <is>
          <t>organizer</t>
        </is>
      </c>
      <c r="D927" s="24" t="inlineStr">
        <is>
          <t>Organizer</t>
        </is>
      </c>
      <c r="E927" s="24" t="n"/>
    </row>
    <row r="928">
      <c r="A928" s="24" t="inlineStr">
        <is>
          <t>1590</t>
        </is>
      </c>
      <c r="B928" s="24" t="inlineStr">
        <is>
          <t>Yale Program on Financial Stability</t>
        </is>
      </c>
      <c r="C928" s="24" t="inlineStr">
        <is>
          <t>organizer</t>
        </is>
      </c>
      <c r="D928" s="24" t="inlineStr">
        <is>
          <t>Organizer</t>
        </is>
      </c>
      <c r="E928" s="24" t="n"/>
    </row>
    <row r="929">
      <c r="A929" s="24" t="inlineStr">
        <is>
          <t>1323</t>
        </is>
      </c>
      <c r="B929" s="24" t="inlineStr">
        <is>
          <t>Yale Program on Stakeholder Innovation and Management</t>
        </is>
      </c>
      <c r="C929" s="24" t="inlineStr">
        <is>
          <t>organizer</t>
        </is>
      </c>
      <c r="D929" s="24" t="inlineStr">
        <is>
          <t>Organizer</t>
        </is>
      </c>
      <c r="E929" s="24" t="n"/>
    </row>
    <row r="930">
      <c r="A930" s="24" t="inlineStr">
        <is>
          <t>1717</t>
        </is>
      </c>
      <c r="B930" s="24" t="inlineStr">
        <is>
          <t>Yale School of Arr</t>
        </is>
      </c>
      <c r="C930" s="24" t="inlineStr">
        <is>
          <t>organizer</t>
        </is>
      </c>
      <c r="D930" s="24" t="inlineStr">
        <is>
          <t>Organizer</t>
        </is>
      </c>
      <c r="E930" s="24" t="n"/>
    </row>
    <row r="931">
      <c r="A931" s="24" t="inlineStr">
        <is>
          <t>1720</t>
        </is>
      </c>
      <c r="B931" s="24" t="inlineStr">
        <is>
          <t>Yale School of Art</t>
        </is>
      </c>
      <c r="C931" s="24" t="inlineStr">
        <is>
          <t>organizer</t>
        </is>
      </c>
      <c r="D931" s="24" t="inlineStr">
        <is>
          <t>Organizer</t>
        </is>
      </c>
      <c r="E931" s="24" t="n"/>
    </row>
    <row r="932">
      <c r="A932" s="24" t="inlineStr">
        <is>
          <t>1318</t>
        </is>
      </c>
      <c r="B932" s="24" t="inlineStr">
        <is>
          <t>Yale School of Engineering and Applied Science</t>
        </is>
      </c>
      <c r="C932" s="24" t="inlineStr">
        <is>
          <t>organizer</t>
        </is>
      </c>
      <c r="D932" s="24" t="inlineStr">
        <is>
          <t>Organizer</t>
        </is>
      </c>
      <c r="E932" s="24" t="n"/>
    </row>
    <row r="933">
      <c r="A933" s="24" t="inlineStr">
        <is>
          <t>1455</t>
        </is>
      </c>
      <c r="B933" s="24" t="inlineStr">
        <is>
          <t>Yale School of Management Education Club</t>
        </is>
      </c>
      <c r="C933" s="24" t="inlineStr">
        <is>
          <t>organizer</t>
        </is>
      </c>
      <c r="D933" s="24" t="inlineStr">
        <is>
          <t>Organizer</t>
        </is>
      </c>
      <c r="E933" s="24" t="n"/>
    </row>
    <row r="934">
      <c r="A934" s="24" t="inlineStr">
        <is>
          <t>1314</t>
        </is>
      </c>
      <c r="B934" s="24" t="inlineStr">
        <is>
          <t>Yale School of Public Health</t>
        </is>
      </c>
      <c r="C934" s="24" t="inlineStr">
        <is>
          <t>organizer</t>
        </is>
      </c>
      <c r="D934" s="24" t="inlineStr">
        <is>
          <t>Organizer</t>
        </is>
      </c>
      <c r="E934" s="24" t="n"/>
    </row>
    <row r="935">
      <c r="A935" s="24" t="inlineStr">
        <is>
          <t>1561</t>
        </is>
      </c>
      <c r="B935" s="24" t="inlineStr">
        <is>
          <t>Yale School of Public Health</t>
        </is>
      </c>
      <c r="C935" s="24" t="inlineStr">
        <is>
          <t>organizer</t>
        </is>
      </c>
      <c r="D935" s="24" t="inlineStr">
        <is>
          <t>Organizer</t>
        </is>
      </c>
      <c r="E935" s="24" t="n"/>
    </row>
    <row r="936">
      <c r="A936" s="24" t="inlineStr">
        <is>
          <t>1452</t>
        </is>
      </c>
      <c r="B936" s="24" t="inlineStr">
        <is>
          <t>Yale School of Public Health &amp; MacMillan Center</t>
        </is>
      </c>
      <c r="C936" s="24" t="inlineStr">
        <is>
          <t>organizer</t>
        </is>
      </c>
      <c r="D936" s="24" t="inlineStr">
        <is>
          <t>Organizer</t>
        </is>
      </c>
      <c r="E936" s="24" t="n"/>
    </row>
    <row r="937">
      <c r="A937" s="24" t="inlineStr">
        <is>
          <t>1383</t>
        </is>
      </c>
      <c r="B937" s="24" t="inlineStr">
        <is>
          <t>Yale School of the Environment</t>
        </is>
      </c>
      <c r="C937" s="24" t="inlineStr">
        <is>
          <t>organizer</t>
        </is>
      </c>
      <c r="D937" s="24" t="inlineStr">
        <is>
          <t>Organizer</t>
        </is>
      </c>
      <c r="E937" s="24" t="n"/>
    </row>
    <row r="938">
      <c r="A938" s="24" t="inlineStr">
        <is>
          <t>1559</t>
        </is>
      </c>
      <c r="B938" s="24" t="inlineStr">
        <is>
          <t>Yale Schwarzman Center</t>
        </is>
      </c>
      <c r="C938" s="24" t="inlineStr">
        <is>
          <t>organizer</t>
        </is>
      </c>
      <c r="D938" s="24" t="inlineStr">
        <is>
          <t>Organizer</t>
        </is>
      </c>
      <c r="E938" s="24" t="n"/>
    </row>
    <row r="939">
      <c r="A939" s="24" t="inlineStr">
        <is>
          <t>1774</t>
        </is>
      </c>
      <c r="B939" s="24" t="inlineStr">
        <is>
          <t>Yale Schwarzman Center  &amp; Yale Hospitality</t>
        </is>
      </c>
      <c r="C939" s="24" t="inlineStr">
        <is>
          <t>organizer</t>
        </is>
      </c>
      <c r="D939" s="24" t="inlineStr">
        <is>
          <t>Organizer</t>
        </is>
      </c>
      <c r="E939" s="24" t="n"/>
    </row>
    <row r="940">
      <c r="A940" s="24" t="inlineStr">
        <is>
          <t>1580</t>
        </is>
      </c>
      <c r="B940" s="24" t="inlineStr">
        <is>
          <t>Yale SOM Artificial Intelligence Association</t>
        </is>
      </c>
      <c r="C940" s="24" t="inlineStr">
        <is>
          <t>organizer</t>
        </is>
      </c>
      <c r="D940" s="24" t="inlineStr">
        <is>
          <t>Organizer</t>
        </is>
      </c>
      <c r="E940" s="24" t="n"/>
    </row>
    <row r="941">
      <c r="A941" s="24" t="inlineStr">
        <is>
          <t>1535</t>
        </is>
      </c>
      <c r="B941" s="24" t="inlineStr">
        <is>
          <t>Yale SOM Community</t>
        </is>
      </c>
      <c r="C941" s="24" t="inlineStr">
        <is>
          <t>organizer</t>
        </is>
      </c>
      <c r="D941" s="24" t="inlineStr">
        <is>
          <t>Organizer</t>
        </is>
      </c>
      <c r="E941" s="24" t="n"/>
    </row>
    <row r="942">
      <c r="A942" s="24" t="inlineStr">
        <is>
          <t>1532</t>
        </is>
      </c>
      <c r="B942" s="24" t="inlineStr">
        <is>
          <t>Yale SOM Dean's Office &amp; Yale Clean Energy Collaborative</t>
        </is>
      </c>
      <c r="C942" s="24" t="inlineStr">
        <is>
          <t>organizer</t>
        </is>
      </c>
      <c r="D942" s="24" t="inlineStr">
        <is>
          <t>Organizer</t>
        </is>
      </c>
      <c r="E942" s="24" t="n"/>
    </row>
    <row r="943">
      <c r="A943" s="24" t="inlineStr">
        <is>
          <t>1586</t>
        </is>
      </c>
      <c r="B943" s="24" t="inlineStr">
        <is>
          <t>Yale SOM Education Club</t>
        </is>
      </c>
      <c r="C943" s="24" t="inlineStr">
        <is>
          <t>organizer</t>
        </is>
      </c>
      <c r="D943" s="24" t="inlineStr">
        <is>
          <t>Organizer</t>
        </is>
      </c>
      <c r="E943" s="24" t="n"/>
    </row>
    <row r="944">
      <c r="A944" s="24" t="inlineStr">
        <is>
          <t>1357</t>
        </is>
      </c>
      <c r="B944" s="24" t="inlineStr">
        <is>
          <t>Yale SOM Faculty</t>
        </is>
      </c>
      <c r="C944" s="24" t="inlineStr">
        <is>
          <t>organizer</t>
        </is>
      </c>
      <c r="D944" s="24" t="inlineStr">
        <is>
          <t>Organizer</t>
        </is>
      </c>
      <c r="E944" s="24" t="n"/>
    </row>
    <row r="945">
      <c r="A945" s="24" t="inlineStr">
        <is>
          <t>1395</t>
        </is>
      </c>
      <c r="B945" s="24" t="inlineStr">
        <is>
          <t>Yale SOM Faculty Honors</t>
        </is>
      </c>
      <c r="C945" s="24" t="inlineStr">
        <is>
          <t>organizer</t>
        </is>
      </c>
      <c r="D945" s="24" t="inlineStr">
        <is>
          <t>Organizer</t>
        </is>
      </c>
      <c r="E945" s="24" t="n"/>
    </row>
    <row r="946">
      <c r="A946" s="24" t="inlineStr">
        <is>
          <t>1481</t>
        </is>
      </c>
      <c r="B946" s="24" t="inlineStr">
        <is>
          <t>Yale SOM FLI Club</t>
        </is>
      </c>
      <c r="C946" s="24" t="inlineStr">
        <is>
          <t>organizer</t>
        </is>
      </c>
      <c r="D946" s="24" t="inlineStr">
        <is>
          <t>Organizer</t>
        </is>
      </c>
      <c r="E946" s="24" t="n"/>
    </row>
    <row r="947">
      <c r="A947" s="24" t="inlineStr">
        <is>
          <t>1451</t>
        </is>
      </c>
      <c r="B947" s="24" t="inlineStr">
        <is>
          <t>Yale SOM Healthcare &amp; Life Sciences Club</t>
        </is>
      </c>
      <c r="C947" s="24" t="inlineStr">
        <is>
          <t>organizer</t>
        </is>
      </c>
      <c r="D947" s="24" t="inlineStr">
        <is>
          <t>Organizer</t>
        </is>
      </c>
      <c r="E947" s="24" t="n"/>
    </row>
    <row r="948">
      <c r="A948" s="24" t="inlineStr">
        <is>
          <t>1401</t>
        </is>
      </c>
      <c r="B948" s="24" t="inlineStr">
        <is>
          <t>Yale SOM Hospitality</t>
        </is>
      </c>
      <c r="C948" s="24" t="inlineStr">
        <is>
          <t>organizer</t>
        </is>
      </c>
      <c r="D948" s="24" t="inlineStr">
        <is>
          <t>Organizer</t>
        </is>
      </c>
      <c r="E948" s="24" t="n"/>
    </row>
    <row r="949">
      <c r="A949" s="24" t="inlineStr">
        <is>
          <t>1476</t>
        </is>
      </c>
      <c r="B949" s="24" t="inlineStr">
        <is>
          <t>Yale SOM Innovation and Entrepreneurship Seminar</t>
        </is>
      </c>
      <c r="C949" s="24" t="inlineStr">
        <is>
          <t>organizer</t>
        </is>
      </c>
      <c r="D949" s="24" t="inlineStr">
        <is>
          <t>Organizer</t>
        </is>
      </c>
      <c r="E949" s="24" t="n"/>
    </row>
    <row r="950">
      <c r="A950" s="24" t="inlineStr">
        <is>
          <t>1608</t>
        </is>
      </c>
      <c r="B950" s="24" t="inlineStr">
        <is>
          <t>Yale SOM Office of Inclusion &amp; Diversity</t>
        </is>
      </c>
      <c r="C950" s="24" t="inlineStr">
        <is>
          <t>organizer</t>
        </is>
      </c>
      <c r="D950" s="24" t="inlineStr">
        <is>
          <t>Organizer</t>
        </is>
      </c>
      <c r="E950" s="24" t="n"/>
    </row>
    <row r="951">
      <c r="A951" s="24" t="inlineStr">
        <is>
          <t>1412</t>
        </is>
      </c>
      <c r="B951" s="24" t="inlineStr">
        <is>
          <t>Yale SOM Operations Department</t>
        </is>
      </c>
      <c r="C951" s="24" t="inlineStr">
        <is>
          <t>organizer</t>
        </is>
      </c>
      <c r="D951" s="24" t="inlineStr">
        <is>
          <t>Organizer</t>
        </is>
      </c>
      <c r="E951" s="24" t="n"/>
    </row>
    <row r="952">
      <c r="A952" s="24" t="inlineStr">
        <is>
          <t>1599</t>
        </is>
      </c>
      <c r="B952" s="24" t="inlineStr">
        <is>
          <t>Yale SOM PE/VC Club &amp; YANIS</t>
        </is>
      </c>
      <c r="C952" s="24" t="inlineStr">
        <is>
          <t>organizer</t>
        </is>
      </c>
      <c r="D952" s="24" t="inlineStr">
        <is>
          <t>Organizer</t>
        </is>
      </c>
      <c r="E952" s="24" t="n"/>
    </row>
    <row r="953">
      <c r="A953" s="24" t="inlineStr">
        <is>
          <t>1626</t>
        </is>
      </c>
      <c r="B953" s="24" t="inlineStr">
        <is>
          <t>Yale SOM Staff Sustainability Interest Group</t>
        </is>
      </c>
      <c r="C953" s="24" t="inlineStr">
        <is>
          <t>organizer</t>
        </is>
      </c>
      <c r="D953" s="24" t="inlineStr">
        <is>
          <t>Organizer</t>
        </is>
      </c>
      <c r="E953" s="24" t="n"/>
    </row>
    <row r="954">
      <c r="A954" s="24" t="inlineStr">
        <is>
          <t>1471</t>
        </is>
      </c>
      <c r="B954" s="24" t="inlineStr">
        <is>
          <t>Yale SOM Sustainability Committee</t>
        </is>
      </c>
      <c r="C954" s="24" t="inlineStr">
        <is>
          <t>organizer</t>
        </is>
      </c>
      <c r="D954" s="24" t="inlineStr">
        <is>
          <t>Organizer</t>
        </is>
      </c>
      <c r="E954" s="24" t="n"/>
    </row>
    <row r="955">
      <c r="A955" s="24" t="inlineStr">
        <is>
          <t>1534</t>
        </is>
      </c>
      <c r="B955" s="24" t="inlineStr">
        <is>
          <t>Yale Student Health Department</t>
        </is>
      </c>
      <c r="C955" s="24" t="inlineStr">
        <is>
          <t>organizer</t>
        </is>
      </c>
      <c r="D955" s="24" t="inlineStr">
        <is>
          <t>Organizer</t>
        </is>
      </c>
      <c r="E955" s="24" t="n"/>
    </row>
    <row r="956">
      <c r="A956" s="24" t="inlineStr">
        <is>
          <t>1627</t>
        </is>
      </c>
      <c r="B956" s="24" t="inlineStr">
        <is>
          <t>Yale Student UFO Society</t>
        </is>
      </c>
      <c r="C956" s="24" t="inlineStr">
        <is>
          <t>organizer</t>
        </is>
      </c>
      <c r="D956" s="24" t="inlineStr">
        <is>
          <t>Organizer</t>
        </is>
      </c>
      <c r="E956" s="24" t="n"/>
    </row>
    <row r="957">
      <c r="A957" s="24" t="inlineStr">
        <is>
          <t>1768</t>
        </is>
      </c>
      <c r="B957" s="24" t="inlineStr">
        <is>
          <t>Yale Taiwanese Student Association</t>
        </is>
      </c>
      <c r="C957" s="24" t="inlineStr">
        <is>
          <t>organizer</t>
        </is>
      </c>
      <c r="D957" s="24" t="inlineStr">
        <is>
          <t>Organizer</t>
        </is>
      </c>
      <c r="E957" s="24" t="n"/>
    </row>
    <row r="958">
      <c r="A958" s="24" t="inlineStr">
        <is>
          <t>1414</t>
        </is>
      </c>
      <c r="B958" s="24" t="inlineStr">
        <is>
          <t>Yale Tango Club</t>
        </is>
      </c>
      <c r="C958" s="24" t="inlineStr">
        <is>
          <t>organizer</t>
        </is>
      </c>
      <c r="D958" s="24" t="inlineStr">
        <is>
          <t>Organizer</t>
        </is>
      </c>
      <c r="E958" s="24" t="n"/>
    </row>
    <row r="959">
      <c r="A959" s="24" t="inlineStr">
        <is>
          <t>1509</t>
        </is>
      </c>
      <c r="B959" s="24" t="inlineStr">
        <is>
          <t>Yale Today</t>
        </is>
      </c>
      <c r="C959" s="24" t="inlineStr">
        <is>
          <t>organizer</t>
        </is>
      </c>
      <c r="D959" s="24" t="inlineStr">
        <is>
          <t>Organizer</t>
        </is>
      </c>
      <c r="E959" s="24" t="n"/>
    </row>
    <row r="960">
      <c r="A960" s="24" t="inlineStr">
        <is>
          <t>1416</t>
        </is>
      </c>
      <c r="B960" s="24" t="inlineStr">
        <is>
          <t>Yale University</t>
        </is>
      </c>
      <c r="C960" s="24" t="inlineStr">
        <is>
          <t>organizer</t>
        </is>
      </c>
      <c r="D960" s="24" t="inlineStr">
        <is>
          <t>Organizer</t>
        </is>
      </c>
      <c r="E960" s="24" t="n"/>
    </row>
    <row r="961">
      <c r="A961" s="24" t="inlineStr">
        <is>
          <t>1311</t>
        </is>
      </c>
      <c r="B961" s="24" t="inlineStr">
        <is>
          <t>Yale University</t>
        </is>
      </c>
      <c r="C961" s="24" t="inlineStr">
        <is>
          <t>organizer</t>
        </is>
      </c>
      <c r="D961" s="24" t="inlineStr">
        <is>
          <t>Organizer</t>
        </is>
      </c>
      <c r="E961" s="24" t="n"/>
    </row>
    <row r="962">
      <c r="A962" s="24" t="inlineStr">
        <is>
          <t>1431</t>
        </is>
      </c>
      <c r="B962" s="24" t="inlineStr">
        <is>
          <t>Yale University Chaplain's Office</t>
        </is>
      </c>
      <c r="C962" s="24" t="inlineStr">
        <is>
          <t>organizer</t>
        </is>
      </c>
      <c r="D962" s="24" t="inlineStr">
        <is>
          <t>Organizer</t>
        </is>
      </c>
      <c r="E962" s="24" t="n"/>
    </row>
    <row r="963">
      <c r="A963" s="24" t="inlineStr">
        <is>
          <t>1629</t>
        </is>
      </c>
      <c r="B963" s="24" t="inlineStr">
        <is>
          <t>Yale University International Operations &amp; Compliance Committee</t>
        </is>
      </c>
      <c r="C963" s="24" t="inlineStr">
        <is>
          <t>organizer</t>
        </is>
      </c>
      <c r="D963" s="24" t="inlineStr">
        <is>
          <t>Organizer</t>
        </is>
      </c>
      <c r="E963" s="24" t="n"/>
    </row>
    <row r="964">
      <c r="A964" s="24" t="inlineStr">
        <is>
          <t>1623</t>
        </is>
      </c>
      <c r="B964" s="24" t="inlineStr">
        <is>
          <t>Yale University Library</t>
        </is>
      </c>
      <c r="C964" s="24" t="inlineStr">
        <is>
          <t>organizer</t>
        </is>
      </c>
      <c r="D964" s="24" t="inlineStr">
        <is>
          <t>Organizer</t>
        </is>
      </c>
      <c r="E964" s="24" t="n"/>
    </row>
    <row r="965">
      <c r="A965" s="24" t="inlineStr">
        <is>
          <t>1562</t>
        </is>
      </c>
      <c r="B965" s="24" t="inlineStr">
        <is>
          <t>Yale University Office of the President</t>
        </is>
      </c>
      <c r="C965" s="24" t="inlineStr">
        <is>
          <t>organizer</t>
        </is>
      </c>
      <c r="D965" s="24" t="inlineStr">
        <is>
          <t>Organizer</t>
        </is>
      </c>
      <c r="E965" s="24" t="n"/>
    </row>
    <row r="966">
      <c r="A966" s="24" t="inlineStr">
        <is>
          <t>1759</t>
        </is>
      </c>
      <c r="B966" s="24" t="inlineStr">
        <is>
          <t>Yale University President's Office</t>
        </is>
      </c>
      <c r="C966" s="24" t="inlineStr">
        <is>
          <t>organizer</t>
        </is>
      </c>
      <c r="D966" s="24" t="inlineStr">
        <is>
          <t>Organizer</t>
        </is>
      </c>
      <c r="E966" s="24" t="n"/>
    </row>
    <row r="967">
      <c r="A967" s="24" t="inlineStr">
        <is>
          <t>1742</t>
        </is>
      </c>
      <c r="B967" s="24" t="inlineStr">
        <is>
          <t>Yale University Veteran and Military Affairs</t>
        </is>
      </c>
      <c r="C967" s="24" t="inlineStr">
        <is>
          <t>organizer</t>
        </is>
      </c>
      <c r="D967" s="24" t="inlineStr">
        <is>
          <t>Organizer</t>
        </is>
      </c>
      <c r="E967" s="24" t="n"/>
    </row>
    <row r="968">
      <c r="A968" s="24" t="inlineStr">
        <is>
          <t>1408</t>
        </is>
      </c>
      <c r="B968" s="24" t="inlineStr">
        <is>
          <t>Yale University Working Women's Network</t>
        </is>
      </c>
      <c r="C968" s="24" t="inlineStr">
        <is>
          <t>organizer</t>
        </is>
      </c>
      <c r="D968" s="24" t="inlineStr">
        <is>
          <t>Organizer</t>
        </is>
      </c>
      <c r="E968" s="24" t="n"/>
    </row>
    <row r="969">
      <c r="A969" s="24" t="inlineStr">
        <is>
          <t>1353</t>
        </is>
      </c>
      <c r="B969" s="24" t="inlineStr">
        <is>
          <t>Yale Ventures</t>
        </is>
      </c>
      <c r="C969" s="24" t="inlineStr">
        <is>
          <t>organizer</t>
        </is>
      </c>
      <c r="D969" s="24" t="inlineStr">
        <is>
          <t>Organizer</t>
        </is>
      </c>
      <c r="E969" s="24" t="n"/>
    </row>
    <row r="970">
      <c r="A970" s="24" t="inlineStr">
        <is>
          <t>1444</t>
        </is>
      </c>
      <c r="B970" s="24" t="inlineStr">
        <is>
          <t>Yale Ventures</t>
        </is>
      </c>
      <c r="C970" s="24" t="inlineStr">
        <is>
          <t>organizer</t>
        </is>
      </c>
      <c r="D970" s="24" t="inlineStr">
        <is>
          <t>Organizer</t>
        </is>
      </c>
      <c r="E970" s="24" t="n"/>
    </row>
    <row r="971">
      <c r="A971" s="24" t="inlineStr">
        <is>
          <t>1527</t>
        </is>
      </c>
      <c r="B971" s="24" t="inlineStr">
        <is>
          <t>Yale Ventures &amp; Yale Engineering Innovators</t>
        </is>
      </c>
      <c r="C971" s="24" t="inlineStr">
        <is>
          <t>organizer</t>
        </is>
      </c>
      <c r="D971" s="24" t="inlineStr">
        <is>
          <t>Organizer</t>
        </is>
      </c>
      <c r="E971" s="24" t="n"/>
    </row>
    <row r="972">
      <c r="A972" s="24" t="inlineStr">
        <is>
          <t>1633</t>
        </is>
      </c>
      <c r="B972" s="24" t="inlineStr">
        <is>
          <t>Yale Women Faculty Forum</t>
        </is>
      </c>
      <c r="C972" s="24" t="inlineStr">
        <is>
          <t>organizer</t>
        </is>
      </c>
      <c r="D972" s="24" t="inlineStr">
        <is>
          <t>Organizer</t>
        </is>
      </c>
      <c r="E972" s="24" t="n"/>
    </row>
    <row r="973">
      <c r="A973" s="24" t="inlineStr">
        <is>
          <t>1492</t>
        </is>
      </c>
      <c r="B973" s="24" t="inlineStr">
        <is>
          <t>Yale-USP Strategic Partnership Initiatives</t>
        </is>
      </c>
      <c r="C973" s="24" t="inlineStr">
        <is>
          <t>organizer</t>
        </is>
      </c>
      <c r="D973" s="24" t="inlineStr">
        <is>
          <t>Organizer</t>
        </is>
      </c>
      <c r="E973" s="24" t="n"/>
    </row>
    <row r="974">
      <c r="A974" s="24" t="inlineStr">
        <is>
          <t>1391</t>
        </is>
      </c>
      <c r="B974" s="24" t="inlineStr">
        <is>
          <t>YHHAP</t>
        </is>
      </c>
      <c r="C974" s="24" t="inlineStr">
        <is>
          <t>organizer</t>
        </is>
      </c>
      <c r="D974" s="24" t="inlineStr">
        <is>
          <t>Organizer</t>
        </is>
      </c>
      <c r="E974" s="24" t="n"/>
    </row>
    <row r="975">
      <c r="A975" s="24" t="inlineStr">
        <is>
          <t>1290</t>
        </is>
      </c>
      <c r="B975" s="24" t="inlineStr">
        <is>
          <t>YPFS &amp; Yale Jackson School of Global Affairs</t>
        </is>
      </c>
      <c r="C975" s="24" t="inlineStr">
        <is>
          <t>organizer</t>
        </is>
      </c>
      <c r="D975" s="24" t="inlineStr">
        <is>
          <t>Organizer</t>
        </is>
      </c>
      <c r="E975" s="24" t="n"/>
    </row>
    <row r="976">
      <c r="A976" s="24" t="inlineStr">
        <is>
          <t>1549</t>
        </is>
      </c>
      <c r="B976" s="24" t="inlineStr">
        <is>
          <t>Alumni</t>
        </is>
      </c>
      <c r="C976" s="24" t="inlineStr">
        <is>
          <t>profile_type</t>
        </is>
      </c>
      <c r="D976" s="24" t="inlineStr">
        <is>
          <t>Profile Type</t>
        </is>
      </c>
      <c r="E976" s="24" t="n"/>
    </row>
    <row r="977">
      <c r="A977" s="24" t="inlineStr">
        <is>
          <t>1552</t>
        </is>
      </c>
      <c r="B977" s="24" t="inlineStr">
        <is>
          <t>Ambassador</t>
        </is>
      </c>
      <c r="C977" s="24" t="inlineStr">
        <is>
          <t>profile_type</t>
        </is>
      </c>
      <c r="D977" s="24" t="inlineStr">
        <is>
          <t>Profile Type</t>
        </is>
      </c>
      <c r="E977" s="24" t="n"/>
    </row>
    <row r="978">
      <c r="A978" s="24" t="inlineStr">
        <is>
          <t>1550</t>
        </is>
      </c>
      <c r="B978" s="24" t="inlineStr">
        <is>
          <t>Faculty</t>
        </is>
      </c>
      <c r="C978" s="24" t="inlineStr">
        <is>
          <t>profile_type</t>
        </is>
      </c>
      <c r="D978" s="24" t="inlineStr">
        <is>
          <t>Profile Type</t>
        </is>
      </c>
      <c r="E978" s="24" t="n"/>
    </row>
    <row r="979">
      <c r="A979" s="24" t="inlineStr">
        <is>
          <t>1551</t>
        </is>
      </c>
      <c r="B979" s="24" t="inlineStr">
        <is>
          <t>Student</t>
        </is>
      </c>
      <c r="C979" s="24" t="inlineStr">
        <is>
          <t>profile_type</t>
        </is>
      </c>
      <c r="D979" s="24" t="inlineStr">
        <is>
          <t>Profile Type</t>
        </is>
      </c>
      <c r="E979" s="24" t="n"/>
    </row>
    <row r="980">
      <c r="A980" s="24" t="inlineStr">
        <is>
          <t>79</t>
        </is>
      </c>
      <c r="B980" s="24" t="inlineStr">
        <is>
          <t>Doctoral Programs</t>
        </is>
      </c>
      <c r="C980" s="24" t="inlineStr">
        <is>
          <t>program</t>
        </is>
      </c>
      <c r="D980" s="24" t="inlineStr">
        <is>
          <t>Program</t>
        </is>
      </c>
      <c r="E980" s="24" t="n"/>
    </row>
    <row r="981">
      <c r="A981" s="24" t="inlineStr">
        <is>
          <t>1635</t>
        </is>
      </c>
      <c r="B981" s="24" t="inlineStr">
        <is>
          <t>Double Degrees</t>
        </is>
      </c>
      <c r="C981" s="24" t="inlineStr">
        <is>
          <t>program</t>
        </is>
      </c>
      <c r="D981" s="24" t="inlineStr">
        <is>
          <t>Program</t>
        </is>
      </c>
      <c r="E981" s="24" t="n"/>
    </row>
    <row r="982">
      <c r="A982" s="24" t="inlineStr">
        <is>
          <t>87</t>
        </is>
      </c>
      <c r="B982" s="24" t="inlineStr">
        <is>
          <t>Joint Programs</t>
        </is>
      </c>
      <c r="C982" s="24" t="inlineStr">
        <is>
          <t>program</t>
        </is>
      </c>
      <c r="D982" s="24" t="inlineStr">
        <is>
          <t>Program</t>
        </is>
      </c>
      <c r="E982" s="24" t="n"/>
    </row>
    <row r="983">
      <c r="A983" s="24" t="inlineStr">
        <is>
          <t>1183</t>
        </is>
      </c>
      <c r="B983" s="24" t="inlineStr">
        <is>
          <t>M2M Pathways</t>
        </is>
      </c>
      <c r="C983" s="24" t="inlineStr">
        <is>
          <t>program</t>
        </is>
      </c>
      <c r="D983" s="24" t="inlineStr">
        <is>
          <t>Program</t>
        </is>
      </c>
      <c r="E983" s="24" t="n"/>
    </row>
    <row r="984">
      <c r="A984" s="24" t="inlineStr">
        <is>
          <t>81</t>
        </is>
      </c>
      <c r="B984" s="24" t="inlineStr">
        <is>
          <t>Master of Advanced Management</t>
        </is>
      </c>
      <c r="C984" s="24" t="inlineStr">
        <is>
          <t>program</t>
        </is>
      </c>
      <c r="D984" s="24" t="inlineStr">
        <is>
          <t>Program</t>
        </is>
      </c>
      <c r="E984" s="24" t="n"/>
    </row>
    <row r="985">
      <c r="A985" s="24" t="inlineStr">
        <is>
          <t>84</t>
        </is>
      </c>
      <c r="B985" s="24" t="inlineStr">
        <is>
          <t>Master’s Degree in Global Business &amp; Society</t>
        </is>
      </c>
      <c r="C985" s="24" t="inlineStr">
        <is>
          <t>program</t>
        </is>
      </c>
      <c r="D985" s="24" t="inlineStr">
        <is>
          <t>Program</t>
        </is>
      </c>
      <c r="E985" s="24" t="n"/>
    </row>
    <row r="986">
      <c r="A986" s="24" t="inlineStr">
        <is>
          <t>85</t>
        </is>
      </c>
      <c r="B986" s="24" t="inlineStr">
        <is>
          <t>Master’s Degree in Public Education Management</t>
        </is>
      </c>
      <c r="C986" s="24" t="inlineStr">
        <is>
          <t>program</t>
        </is>
      </c>
      <c r="D986" s="24" t="inlineStr">
        <is>
          <t>Program</t>
        </is>
      </c>
      <c r="E986" s="24" t="n"/>
    </row>
    <row r="987">
      <c r="A987" s="24" t="inlineStr">
        <is>
          <t>86</t>
        </is>
      </c>
      <c r="B987" s="24" t="inlineStr">
        <is>
          <t>Master’s Degree in Systemic Risk</t>
        </is>
      </c>
      <c r="C987" s="24" t="inlineStr">
        <is>
          <t>program</t>
        </is>
      </c>
      <c r="D987" s="24" t="inlineStr">
        <is>
          <t>Program</t>
        </is>
      </c>
      <c r="E987" s="24" t="n"/>
    </row>
    <row r="988">
      <c r="A988" s="24" t="inlineStr">
        <is>
          <t>82</t>
        </is>
      </c>
      <c r="B988" s="24" t="inlineStr">
        <is>
          <t>Master’s in Asset Management</t>
        </is>
      </c>
      <c r="C988" s="24" t="inlineStr">
        <is>
          <t>program</t>
        </is>
      </c>
      <c r="D988" s="24" t="inlineStr">
        <is>
          <t>Program</t>
        </is>
      </c>
      <c r="E988" s="24" t="n"/>
    </row>
    <row r="989">
      <c r="A989" s="24" t="inlineStr">
        <is>
          <t>1200</t>
        </is>
      </c>
      <c r="B989" s="24" t="inlineStr">
        <is>
          <t>Master's in Technology Management</t>
        </is>
      </c>
      <c r="C989" s="24" t="inlineStr">
        <is>
          <t>program</t>
        </is>
      </c>
      <c r="D989" s="24" t="inlineStr">
        <is>
          <t>Program</t>
        </is>
      </c>
      <c r="E989" s="24" t="n"/>
    </row>
    <row r="990">
      <c r="A990" s="24" t="inlineStr">
        <is>
          <t>4</t>
        </is>
      </c>
      <c r="B990" s="24" t="inlineStr">
        <is>
          <t>MBA</t>
        </is>
      </c>
      <c r="C990" s="24" t="inlineStr">
        <is>
          <t>program</t>
        </is>
      </c>
      <c r="D990" s="24" t="inlineStr">
        <is>
          <t>Program</t>
        </is>
      </c>
      <c r="E990" s="24" t="n"/>
    </row>
    <row r="991">
      <c r="A991" s="24" t="inlineStr">
        <is>
          <t>80</t>
        </is>
      </c>
      <c r="B991" s="24" t="inlineStr">
        <is>
          <t>MBA for Executives</t>
        </is>
      </c>
      <c r="C991" s="24" t="inlineStr">
        <is>
          <t>program</t>
        </is>
      </c>
      <c r="D991" s="24" t="inlineStr">
        <is>
          <t>Program</t>
        </is>
      </c>
      <c r="E991" s="24" t="n"/>
    </row>
    <row r="992">
      <c r="A992" s="24" t="inlineStr">
        <is>
          <t>90</t>
        </is>
      </c>
      <c r="B992" s="24" t="inlineStr">
        <is>
          <t>Yale Silver Scholars</t>
        </is>
      </c>
      <c r="C992" s="24" t="inlineStr">
        <is>
          <t>program</t>
        </is>
      </c>
      <c r="D992" s="24" t="inlineStr">
        <is>
          <t>Program</t>
        </is>
      </c>
      <c r="E992" s="24" t="n"/>
    </row>
    <row r="993">
      <c r="A993" s="24" t="inlineStr">
        <is>
          <t>1170</t>
        </is>
      </c>
      <c r="B993" s="24" t="inlineStr">
        <is>
          <t>Announcement</t>
        </is>
      </c>
      <c r="C993" s="24" t="inlineStr">
        <is>
          <t>story_type</t>
        </is>
      </c>
      <c r="D993" s="24" t="inlineStr">
        <is>
          <t>Story Type</t>
        </is>
      </c>
      <c r="E993" s="24" t="n"/>
    </row>
    <row r="994">
      <c r="A994" s="24" t="inlineStr">
        <is>
          <t>974</t>
        </is>
      </c>
      <c r="B994" s="24" t="inlineStr">
        <is>
          <t>Blog</t>
        </is>
      </c>
      <c r="C994" s="24" t="inlineStr">
        <is>
          <t>story_type</t>
        </is>
      </c>
      <c r="D994" s="24" t="inlineStr">
        <is>
          <t>Story Type</t>
        </is>
      </c>
      <c r="E994" s="24" t="n"/>
    </row>
    <row r="995">
      <c r="A995" s="24" t="inlineStr">
        <is>
          <t>1157</t>
        </is>
      </c>
      <c r="B995" s="24" t="inlineStr">
        <is>
          <t>Five questions</t>
        </is>
      </c>
      <c r="C995" s="24" t="inlineStr">
        <is>
          <t>story_type</t>
        </is>
      </c>
      <c r="D995" s="24" t="inlineStr">
        <is>
          <t>Story Type</t>
        </is>
      </c>
      <c r="E995" s="24" t="n"/>
    </row>
    <row r="996">
      <c r="A996" s="24" t="inlineStr">
        <is>
          <t>924</t>
        </is>
      </c>
      <c r="B996" s="24" t="inlineStr">
        <is>
          <t>News</t>
        </is>
      </c>
      <c r="C996" s="24" t="inlineStr">
        <is>
          <t>story_type</t>
        </is>
      </c>
      <c r="D996" s="24" t="inlineStr">
        <is>
          <t>Story Type</t>
        </is>
      </c>
      <c r="E996" s="24" t="n"/>
    </row>
    <row r="997">
      <c r="A997" s="24" t="inlineStr">
        <is>
          <t>130</t>
        </is>
      </c>
      <c r="B997" s="24" t="inlineStr">
        <is>
          <t>Accounting</t>
        </is>
      </c>
      <c r="C997" s="24" t="inlineStr">
        <is>
          <t>topics</t>
        </is>
      </c>
      <c r="D997" s="24" t="inlineStr">
        <is>
          <t>Topics</t>
        </is>
      </c>
      <c r="E997" s="24" t="n"/>
    </row>
    <row r="998">
      <c r="A998" s="24" t="inlineStr">
        <is>
          <t>109</t>
        </is>
      </c>
      <c r="B998" s="24" t="inlineStr">
        <is>
          <t>Admissions</t>
        </is>
      </c>
      <c r="C998" s="24" t="inlineStr">
        <is>
          <t>topics</t>
        </is>
      </c>
      <c r="D998" s="24" t="inlineStr">
        <is>
          <t>Topics</t>
        </is>
      </c>
      <c r="E998" s="24" t="n"/>
    </row>
    <row r="999">
      <c r="A999" s="24" t="inlineStr">
        <is>
          <t>1749</t>
        </is>
      </c>
      <c r="B999" s="24" t="inlineStr">
        <is>
          <t>AI (Artificial Intelligence)</t>
        </is>
      </c>
      <c r="C999" s="24" t="inlineStr">
        <is>
          <t>topics</t>
        </is>
      </c>
      <c r="D999" s="24" t="inlineStr">
        <is>
          <t>Topics</t>
        </is>
      </c>
      <c r="E999" s="24" t="n"/>
    </row>
    <row r="1000">
      <c r="A1000" s="24" t="inlineStr">
        <is>
          <t>120</t>
        </is>
      </c>
      <c r="B1000" s="24" t="inlineStr">
        <is>
          <t>Alumni</t>
        </is>
      </c>
      <c r="C1000" s="24" t="inlineStr">
        <is>
          <t>topics</t>
        </is>
      </c>
      <c r="D1000" s="24" t="inlineStr">
        <is>
          <t>Topics</t>
        </is>
      </c>
      <c r="E1000" s="24" t="n"/>
    </row>
    <row r="1001">
      <c r="A1001" s="24" t="inlineStr">
        <is>
          <t>958</t>
        </is>
      </c>
      <c r="B1001" s="24" t="inlineStr">
        <is>
          <t>Arts Management</t>
        </is>
      </c>
      <c r="C1001" s="24" t="inlineStr">
        <is>
          <t>topics</t>
        </is>
      </c>
      <c r="D1001" s="24" t="inlineStr">
        <is>
          <t>Topics</t>
        </is>
      </c>
      <c r="E1001" s="24" t="n"/>
    </row>
    <row r="1002">
      <c r="A1002" s="24" t="inlineStr">
        <is>
          <t>310</t>
        </is>
      </c>
      <c r="B1002" s="24" t="inlineStr">
        <is>
          <t>Asset Management</t>
        </is>
      </c>
      <c r="C1002" s="24" t="inlineStr">
        <is>
          <t>topics</t>
        </is>
      </c>
      <c r="D1002" s="24" t="inlineStr">
        <is>
          <t>Topics</t>
        </is>
      </c>
      <c r="E1002" s="24" t="n"/>
    </row>
    <row r="1003">
      <c r="A1003" s="24" t="inlineStr">
        <is>
          <t>123</t>
        </is>
      </c>
      <c r="B1003" s="24" t="inlineStr">
        <is>
          <t>Behavioral</t>
        </is>
      </c>
      <c r="C1003" s="24" t="inlineStr">
        <is>
          <t>topics</t>
        </is>
      </c>
      <c r="D1003" s="24" t="inlineStr">
        <is>
          <t>Topics</t>
        </is>
      </c>
      <c r="E1003" s="24" t="n"/>
    </row>
    <row r="1004">
      <c r="A1004" s="24" t="inlineStr">
        <is>
          <t>940</t>
        </is>
      </c>
      <c r="B1004" s="24" t="inlineStr">
        <is>
          <t>Black Lives Matter</t>
        </is>
      </c>
      <c r="C1004" s="24" t="inlineStr">
        <is>
          <t>topics</t>
        </is>
      </c>
      <c r="D1004" s="24" t="inlineStr">
        <is>
          <t>Topics</t>
        </is>
      </c>
      <c r="E1004" s="24" t="n"/>
    </row>
    <row r="1005">
      <c r="A1005" s="24" t="inlineStr">
        <is>
          <t>983</t>
        </is>
      </c>
      <c r="B1005" s="24" t="inlineStr">
        <is>
          <t>CEOs</t>
        </is>
      </c>
      <c r="C1005" s="24" t="inlineStr">
        <is>
          <t>topics</t>
        </is>
      </c>
      <c r="D1005" s="24" t="inlineStr">
        <is>
          <t>Topics</t>
        </is>
      </c>
      <c r="E1005" s="24" t="n"/>
    </row>
    <row r="1006">
      <c r="A1006" s="24" t="inlineStr">
        <is>
          <t>253</t>
        </is>
      </c>
      <c r="B1006" s="24" t="inlineStr">
        <is>
          <t>Community</t>
        </is>
      </c>
      <c r="C1006" s="24" t="inlineStr">
        <is>
          <t>topics</t>
        </is>
      </c>
      <c r="D1006" s="24" t="inlineStr">
        <is>
          <t>Topics</t>
        </is>
      </c>
      <c r="E1006" s="24" t="n"/>
    </row>
    <row r="1007">
      <c r="A1007" s="24" t="inlineStr">
        <is>
          <t>980</t>
        </is>
      </c>
      <c r="B1007" s="24" t="inlineStr">
        <is>
          <t>Competitive Strategy</t>
        </is>
      </c>
      <c r="C1007" s="24" t="inlineStr">
        <is>
          <t>topics</t>
        </is>
      </c>
      <c r="D1007" s="24" t="inlineStr">
        <is>
          <t>Topics</t>
        </is>
      </c>
      <c r="E1007" s="24" t="n"/>
    </row>
    <row r="1008">
      <c r="A1008" s="24" t="inlineStr">
        <is>
          <t>954</t>
        </is>
      </c>
      <c r="B1008" s="24" t="inlineStr">
        <is>
          <t>Conferences</t>
        </is>
      </c>
      <c r="C1008" s="24" t="inlineStr">
        <is>
          <t>topics</t>
        </is>
      </c>
      <c r="D1008" s="24" t="inlineStr">
        <is>
          <t>Topics</t>
        </is>
      </c>
      <c r="E1008" s="24" t="n"/>
    </row>
    <row r="1009">
      <c r="A1009" s="24" t="inlineStr">
        <is>
          <t>298</t>
        </is>
      </c>
      <c r="B1009" s="24" t="inlineStr">
        <is>
          <t>Consulting</t>
        </is>
      </c>
      <c r="C1009" s="24" t="inlineStr">
        <is>
          <t>topics</t>
        </is>
      </c>
      <c r="D1009" s="24" t="inlineStr">
        <is>
          <t>Topics</t>
        </is>
      </c>
      <c r="E1009" s="24" t="n"/>
    </row>
    <row r="1010">
      <c r="A1010" s="24" t="inlineStr">
        <is>
          <t>303</t>
        </is>
      </c>
      <c r="B1010" s="24" t="inlineStr">
        <is>
          <t>Consumer Products</t>
        </is>
      </c>
      <c r="C1010" s="24" t="inlineStr">
        <is>
          <t>topics</t>
        </is>
      </c>
      <c r="D1010" s="24" t="inlineStr">
        <is>
          <t>Topics</t>
        </is>
      </c>
      <c r="E1010" s="24" t="n"/>
    </row>
    <row r="1011">
      <c r="A1011" s="24" t="inlineStr">
        <is>
          <t>939</t>
        </is>
      </c>
      <c r="B1011" s="24" t="inlineStr">
        <is>
          <t>COVID19</t>
        </is>
      </c>
      <c r="C1011" s="24" t="inlineStr">
        <is>
          <t>topics</t>
        </is>
      </c>
      <c r="D1011" s="24" t="inlineStr">
        <is>
          <t>Topics</t>
        </is>
      </c>
      <c r="E1011" s="24" t="n"/>
    </row>
    <row r="1012">
      <c r="A1012" s="24" t="inlineStr">
        <is>
          <t>124</t>
        </is>
      </c>
      <c r="B1012" s="24" t="inlineStr">
        <is>
          <t>Curriculum</t>
        </is>
      </c>
      <c r="C1012" s="24" t="inlineStr">
        <is>
          <t>topics</t>
        </is>
      </c>
      <c r="D1012" s="24" t="inlineStr">
        <is>
          <t>Topics</t>
        </is>
      </c>
      <c r="E1012" s="24" t="n"/>
    </row>
    <row r="1013">
      <c r="A1013" s="24" t="inlineStr">
        <is>
          <t>945</t>
        </is>
      </c>
      <c r="B1013" s="24" t="inlineStr">
        <is>
          <t>Data</t>
        </is>
      </c>
      <c r="C1013" s="24" t="inlineStr">
        <is>
          <t>topics</t>
        </is>
      </c>
      <c r="D1013" s="24" t="inlineStr">
        <is>
          <t>Topics</t>
        </is>
      </c>
      <c r="E1013" s="24" t="n"/>
    </row>
    <row r="1014">
      <c r="A1014" s="24" t="inlineStr">
        <is>
          <t>943</t>
        </is>
      </c>
      <c r="B1014" s="24" t="inlineStr">
        <is>
          <t>Design &amp;amp; Innovation</t>
        </is>
      </c>
      <c r="C1014" s="24" t="inlineStr">
        <is>
          <t>topics</t>
        </is>
      </c>
      <c r="D1014" s="24" t="inlineStr">
        <is>
          <t>Topics</t>
        </is>
      </c>
      <c r="E1014" s="24" t="n"/>
    </row>
    <row r="1015">
      <c r="A1015" s="24" t="inlineStr">
        <is>
          <t>132</t>
        </is>
      </c>
      <c r="B1015" s="24" t="inlineStr">
        <is>
          <t>Diversity and Inclusion</t>
        </is>
      </c>
      <c r="C1015" s="24" t="inlineStr">
        <is>
          <t>topics</t>
        </is>
      </c>
      <c r="D1015" s="24" t="inlineStr">
        <is>
          <t>Topics</t>
        </is>
      </c>
      <c r="E1015" s="24" t="n"/>
    </row>
    <row r="1016">
      <c r="A1016" s="24" t="inlineStr">
        <is>
          <t>133</t>
        </is>
      </c>
      <c r="B1016" s="24" t="inlineStr">
        <is>
          <t>Economic Development</t>
        </is>
      </c>
      <c r="C1016" s="24" t="inlineStr">
        <is>
          <t>topics</t>
        </is>
      </c>
      <c r="D1016" s="24" t="inlineStr">
        <is>
          <t>Topics</t>
        </is>
      </c>
      <c r="E1016" s="24" t="n"/>
    </row>
    <row r="1017">
      <c r="A1017" s="24" t="inlineStr">
        <is>
          <t>937</t>
        </is>
      </c>
      <c r="B1017" s="24" t="inlineStr">
        <is>
          <t>Economics</t>
        </is>
      </c>
      <c r="C1017" s="24" t="inlineStr">
        <is>
          <t>topics</t>
        </is>
      </c>
      <c r="D1017" s="24" t="inlineStr">
        <is>
          <t>Topics</t>
        </is>
      </c>
      <c r="E1017" s="24" t="n"/>
    </row>
    <row r="1018">
      <c r="A1018" s="24" t="inlineStr">
        <is>
          <t>121</t>
        </is>
      </c>
      <c r="B1018" s="24" t="inlineStr">
        <is>
          <t>Education</t>
        </is>
      </c>
      <c r="C1018" s="24" t="inlineStr">
        <is>
          <t>topics</t>
        </is>
      </c>
      <c r="D1018" s="24" t="inlineStr">
        <is>
          <t>Topics</t>
        </is>
      </c>
      <c r="E1018" s="24" t="n"/>
    </row>
    <row r="1019">
      <c r="A1019" s="24" t="inlineStr">
        <is>
          <t>308</t>
        </is>
      </c>
      <c r="B1019" s="24" t="inlineStr">
        <is>
          <t>Energy</t>
        </is>
      </c>
      <c r="C1019" s="24" t="inlineStr">
        <is>
          <t>topics</t>
        </is>
      </c>
      <c r="D1019" s="24" t="inlineStr">
        <is>
          <t>Topics</t>
        </is>
      </c>
      <c r="E1019" s="24" t="n"/>
    </row>
    <row r="1020">
      <c r="A1020" s="24" t="inlineStr">
        <is>
          <t>127</t>
        </is>
      </c>
      <c r="B1020" s="24" t="inlineStr">
        <is>
          <t>Entrepreneurship</t>
        </is>
      </c>
      <c r="C1020" s="24" t="inlineStr">
        <is>
          <t>topics</t>
        </is>
      </c>
      <c r="D1020" s="24" t="inlineStr">
        <is>
          <t>Topics</t>
        </is>
      </c>
      <c r="E1020" s="24" t="n"/>
    </row>
    <row r="1021">
      <c r="A1021" s="24" t="inlineStr">
        <is>
          <t>1543</t>
        </is>
      </c>
      <c r="B1021" s="24" t="inlineStr">
        <is>
          <t>Events</t>
        </is>
      </c>
      <c r="C1021" s="24" t="inlineStr">
        <is>
          <t>topics</t>
        </is>
      </c>
      <c r="D1021" s="24" t="inlineStr">
        <is>
          <t>Topics</t>
        </is>
      </c>
      <c r="E1021" s="24" t="n"/>
    </row>
    <row r="1022">
      <c r="A1022" s="24" t="inlineStr">
        <is>
          <t>119</t>
        </is>
      </c>
      <c r="B1022" s="24" t="inlineStr">
        <is>
          <t>Faculty</t>
        </is>
      </c>
      <c r="C1022" s="24" t="inlineStr">
        <is>
          <t>topics</t>
        </is>
      </c>
      <c r="D1022" s="24" t="inlineStr">
        <is>
          <t>Topics</t>
        </is>
      </c>
      <c r="E1022" s="24" t="n"/>
    </row>
    <row r="1023">
      <c r="A1023" s="24" t="inlineStr">
        <is>
          <t>111</t>
        </is>
      </c>
      <c r="B1023" s="24" t="inlineStr">
        <is>
          <t>Finance</t>
        </is>
      </c>
      <c r="C1023" s="24" t="inlineStr">
        <is>
          <t>topics</t>
        </is>
      </c>
      <c r="D1023" s="24" t="inlineStr">
        <is>
          <t>Topics</t>
        </is>
      </c>
      <c r="E1023" s="24" t="n"/>
    </row>
    <row r="1024">
      <c r="A1024" s="24" t="inlineStr">
        <is>
          <t>947</t>
        </is>
      </c>
      <c r="B1024" s="24" t="inlineStr">
        <is>
          <t>Financial Crises</t>
        </is>
      </c>
      <c r="C1024" s="24" t="inlineStr">
        <is>
          <t>topics</t>
        </is>
      </c>
      <c r="D1024" s="24" t="inlineStr">
        <is>
          <t>Topics</t>
        </is>
      </c>
      <c r="E1024" s="24" t="n"/>
    </row>
    <row r="1025">
      <c r="A1025" s="24" t="inlineStr">
        <is>
          <t>959</t>
        </is>
      </c>
      <c r="B1025" s="24" t="inlineStr">
        <is>
          <t>Financial History</t>
        </is>
      </c>
      <c r="C1025" s="24" t="inlineStr">
        <is>
          <t>topics</t>
        </is>
      </c>
      <c r="D1025" s="24" t="inlineStr">
        <is>
          <t>Topics</t>
        </is>
      </c>
      <c r="E1025" s="24" t="n"/>
    </row>
    <row r="1026">
      <c r="A1026" s="24" t="inlineStr">
        <is>
          <t>978</t>
        </is>
      </c>
      <c r="B1026" s="24" t="inlineStr">
        <is>
          <t>FinTech</t>
        </is>
      </c>
      <c r="C1026" s="24" t="inlineStr">
        <is>
          <t>topics</t>
        </is>
      </c>
      <c r="D1026" s="24" t="inlineStr">
        <is>
          <t>Topics</t>
        </is>
      </c>
      <c r="E1026" s="24" t="n"/>
    </row>
    <row r="1027">
      <c r="A1027" s="24" t="inlineStr">
        <is>
          <t>117</t>
        </is>
      </c>
      <c r="B1027" s="24" t="inlineStr">
        <is>
          <t>Global Business</t>
        </is>
      </c>
      <c r="C1027" s="24" t="inlineStr">
        <is>
          <t>topics</t>
        </is>
      </c>
      <c r="D1027" s="24" t="inlineStr">
        <is>
          <t>Topics</t>
        </is>
      </c>
      <c r="E1027" s="24" t="n"/>
    </row>
    <row r="1028">
      <c r="A1028" s="24" t="inlineStr">
        <is>
          <t>126</t>
        </is>
      </c>
      <c r="B1028" s="24" t="inlineStr">
        <is>
          <t>Global Network</t>
        </is>
      </c>
      <c r="C1028" s="24" t="inlineStr">
        <is>
          <t>topics</t>
        </is>
      </c>
      <c r="D1028" s="24" t="inlineStr">
        <is>
          <t>Topics</t>
        </is>
      </c>
      <c r="E1028" s="24" t="n"/>
    </row>
    <row r="1029">
      <c r="A1029" s="24" t="inlineStr">
        <is>
          <t>966</t>
        </is>
      </c>
      <c r="B1029" s="24" t="inlineStr">
        <is>
          <t>Global Network Week</t>
        </is>
      </c>
      <c r="C1029" s="24" t="inlineStr">
        <is>
          <t>topics</t>
        </is>
      </c>
      <c r="D1029" s="24" t="inlineStr">
        <is>
          <t>Topics</t>
        </is>
      </c>
      <c r="E1029" s="24" t="n"/>
    </row>
    <row r="1030">
      <c r="A1030" s="24" t="inlineStr">
        <is>
          <t>952</t>
        </is>
      </c>
      <c r="B1030" s="24" t="inlineStr">
        <is>
          <t>Global Social Entrepreneurship</t>
        </is>
      </c>
      <c r="C1030" s="24" t="inlineStr">
        <is>
          <t>topics</t>
        </is>
      </c>
      <c r="D1030" s="24" t="inlineStr">
        <is>
          <t>Topics</t>
        </is>
      </c>
      <c r="E1030" s="24" t="n"/>
    </row>
    <row r="1031">
      <c r="A1031" s="24" t="inlineStr">
        <is>
          <t>956</t>
        </is>
      </c>
      <c r="B1031" s="24" t="inlineStr">
        <is>
          <t>Government</t>
        </is>
      </c>
      <c r="C1031" s="24" t="inlineStr">
        <is>
          <t>topics</t>
        </is>
      </c>
      <c r="D1031" s="24" t="inlineStr">
        <is>
          <t>Topics</t>
        </is>
      </c>
      <c r="E1031" s="24" t="n"/>
    </row>
    <row r="1032">
      <c r="A1032" s="24" t="inlineStr">
        <is>
          <t>122</t>
        </is>
      </c>
      <c r="B1032" s="24" t="inlineStr">
        <is>
          <t>Healthcare</t>
        </is>
      </c>
      <c r="C1032" s="24" t="inlineStr">
        <is>
          <t>topics</t>
        </is>
      </c>
      <c r="D1032" s="24" t="inlineStr">
        <is>
          <t>Topics</t>
        </is>
      </c>
      <c r="E1032" s="24" t="n"/>
    </row>
    <row r="1033">
      <c r="A1033" s="24" t="inlineStr">
        <is>
          <t>1611</t>
        </is>
      </c>
      <c r="B1033" s="24" t="inlineStr">
        <is>
          <t>High Tech Webinars</t>
        </is>
      </c>
      <c r="C1033" s="24" t="inlineStr">
        <is>
          <t>topics</t>
        </is>
      </c>
      <c r="D1033" s="24" t="inlineStr">
        <is>
          <t>Topics</t>
        </is>
      </c>
      <c r="E1033" s="24" t="n"/>
    </row>
    <row r="1034">
      <c r="A1034" s="24" t="inlineStr">
        <is>
          <t>957</t>
        </is>
      </c>
      <c r="B1034" s="24" t="inlineStr">
        <is>
          <t>Human Capital</t>
        </is>
      </c>
      <c r="C1034" s="24" t="inlineStr">
        <is>
          <t>topics</t>
        </is>
      </c>
      <c r="D1034" s="24" t="inlineStr">
        <is>
          <t>Topics</t>
        </is>
      </c>
      <c r="E1034" s="24" t="n"/>
    </row>
    <row r="1035">
      <c r="A1035" s="24" t="inlineStr">
        <is>
          <t>929</t>
        </is>
      </c>
      <c r="B1035" s="24" t="inlineStr">
        <is>
          <t>Impact</t>
        </is>
      </c>
      <c r="C1035" s="24" t="inlineStr">
        <is>
          <t>topics</t>
        </is>
      </c>
      <c r="D1035" s="24" t="inlineStr">
        <is>
          <t>Topics</t>
        </is>
      </c>
      <c r="E1035" s="24" t="n"/>
    </row>
    <row r="1036">
      <c r="A1036" s="24" t="inlineStr">
        <is>
          <t>965</t>
        </is>
      </c>
      <c r="B1036" s="24" t="inlineStr">
        <is>
          <t>Impact Investing</t>
        </is>
      </c>
      <c r="C1036" s="24" t="inlineStr">
        <is>
          <t>topics</t>
        </is>
      </c>
      <c r="D1036" s="24" t="inlineStr">
        <is>
          <t>Topics</t>
        </is>
      </c>
      <c r="E1036" s="24" t="n"/>
    </row>
    <row r="1037">
      <c r="A1037" s="24" t="inlineStr">
        <is>
          <t>131</t>
        </is>
      </c>
      <c r="B1037" s="24" t="inlineStr">
        <is>
          <t>Innovation</t>
        </is>
      </c>
      <c r="C1037" s="24" t="inlineStr">
        <is>
          <t>topics</t>
        </is>
      </c>
      <c r="D1037" s="24" t="inlineStr">
        <is>
          <t>Topics</t>
        </is>
      </c>
      <c r="E1037" s="24" t="n"/>
    </row>
    <row r="1038">
      <c r="A1038" s="24" t="inlineStr">
        <is>
          <t>951</t>
        </is>
      </c>
      <c r="B1038" s="24" t="inlineStr">
        <is>
          <t>Internships</t>
        </is>
      </c>
      <c r="C1038" s="24" t="inlineStr">
        <is>
          <t>topics</t>
        </is>
      </c>
      <c r="D1038" s="24" t="inlineStr">
        <is>
          <t>Topics</t>
        </is>
      </c>
      <c r="E1038" s="24" t="n"/>
    </row>
    <row r="1039">
      <c r="A1039" s="24" t="inlineStr">
        <is>
          <t>963</t>
        </is>
      </c>
      <c r="B1039" s="24" t="inlineStr">
        <is>
          <t>Investing</t>
        </is>
      </c>
      <c r="C1039" s="24" t="inlineStr">
        <is>
          <t>topics</t>
        </is>
      </c>
      <c r="D1039" s="24" t="inlineStr">
        <is>
          <t>Topics</t>
        </is>
      </c>
      <c r="E1039" s="24" t="n"/>
    </row>
    <row r="1040">
      <c r="A1040" s="24" t="inlineStr">
        <is>
          <t>108</t>
        </is>
      </c>
      <c r="B1040" s="24" t="inlineStr">
        <is>
          <t>Leadership</t>
        </is>
      </c>
      <c r="C1040" s="24" t="inlineStr">
        <is>
          <t>topics</t>
        </is>
      </c>
      <c r="D1040" s="24" t="inlineStr">
        <is>
          <t>Topics</t>
        </is>
      </c>
      <c r="E1040" s="24" t="n"/>
    </row>
    <row r="1041">
      <c r="A1041" s="24" t="inlineStr">
        <is>
          <t>986</t>
        </is>
      </c>
      <c r="B1041" s="24" t="inlineStr">
        <is>
          <t>Manufacturing</t>
        </is>
      </c>
      <c r="C1041" s="24" t="inlineStr">
        <is>
          <t>topics</t>
        </is>
      </c>
      <c r="D1041" s="24" t="inlineStr">
        <is>
          <t>Topics</t>
        </is>
      </c>
      <c r="E1041" s="24" t="n"/>
    </row>
    <row r="1042">
      <c r="A1042" s="24" t="inlineStr">
        <is>
          <t>112</t>
        </is>
      </c>
      <c r="B1042" s="24" t="inlineStr">
        <is>
          <t>Marketing</t>
        </is>
      </c>
      <c r="C1042" s="24" t="inlineStr">
        <is>
          <t>topics</t>
        </is>
      </c>
      <c r="D1042" s="24" t="inlineStr">
        <is>
          <t>Topics</t>
        </is>
      </c>
      <c r="E1042" s="24" t="n"/>
    </row>
    <row r="1043">
      <c r="A1043" s="24" t="inlineStr">
        <is>
          <t>307</t>
        </is>
      </c>
      <c r="B1043" s="24" t="inlineStr">
        <is>
          <t>Media/Entertainment</t>
        </is>
      </c>
      <c r="C1043" s="24" t="inlineStr">
        <is>
          <t>topics</t>
        </is>
      </c>
      <c r="D1043" s="24" t="inlineStr">
        <is>
          <t>Topics</t>
        </is>
      </c>
      <c r="E1043" s="24" t="n"/>
    </row>
    <row r="1044">
      <c r="A1044" s="24" t="inlineStr">
        <is>
          <t>299</t>
        </is>
      </c>
      <c r="B1044" s="24" t="inlineStr">
        <is>
          <t>Nonprofit</t>
        </is>
      </c>
      <c r="C1044" s="24" t="inlineStr">
        <is>
          <t>topics</t>
        </is>
      </c>
      <c r="D1044" s="24" t="inlineStr">
        <is>
          <t>Topics</t>
        </is>
      </c>
      <c r="E1044" s="24" t="n"/>
    </row>
    <row r="1045">
      <c r="A1045" s="24" t="inlineStr">
        <is>
          <t>118</t>
        </is>
      </c>
      <c r="B1045" s="24" t="inlineStr">
        <is>
          <t>Operations</t>
        </is>
      </c>
      <c r="C1045" s="24" t="inlineStr">
        <is>
          <t>topics</t>
        </is>
      </c>
      <c r="D1045" s="24" t="inlineStr">
        <is>
          <t>Topics</t>
        </is>
      </c>
      <c r="E1045" s="24" t="n"/>
    </row>
    <row r="1046">
      <c r="A1046" s="24" t="inlineStr">
        <is>
          <t>113</t>
        </is>
      </c>
      <c r="B1046" s="24" t="inlineStr">
        <is>
          <t>Organizational Behavior</t>
        </is>
      </c>
      <c r="C1046" s="24" t="inlineStr">
        <is>
          <t>topics</t>
        </is>
      </c>
      <c r="D1046" s="24" t="inlineStr">
        <is>
          <t>Topics</t>
        </is>
      </c>
      <c r="E1046" s="24" t="n"/>
    </row>
    <row r="1047">
      <c r="A1047" s="24" t="inlineStr">
        <is>
          <t>948</t>
        </is>
      </c>
      <c r="B1047" s="24" t="inlineStr">
        <is>
          <t>Politics</t>
        </is>
      </c>
      <c r="C1047" s="24" t="inlineStr">
        <is>
          <t>topics</t>
        </is>
      </c>
      <c r="D1047" s="24" t="inlineStr">
        <is>
          <t>Topics</t>
        </is>
      </c>
      <c r="E1047" s="24" t="n"/>
    </row>
    <row r="1048">
      <c r="A1048" s="24" t="inlineStr">
        <is>
          <t>961</t>
        </is>
      </c>
      <c r="B1048" s="24" t="inlineStr">
        <is>
          <t>Public Policy</t>
        </is>
      </c>
      <c r="C1048" s="24" t="inlineStr">
        <is>
          <t>topics</t>
        </is>
      </c>
      <c r="D1048" s="24" t="inlineStr">
        <is>
          <t>Topics</t>
        </is>
      </c>
      <c r="E1048" s="24" t="n"/>
    </row>
    <row r="1049">
      <c r="A1049" s="24" t="inlineStr">
        <is>
          <t>309</t>
        </is>
      </c>
      <c r="B1049" s="24" t="inlineStr">
        <is>
          <t>Real Estate</t>
        </is>
      </c>
      <c r="C1049" s="24" t="inlineStr">
        <is>
          <t>topics</t>
        </is>
      </c>
      <c r="D1049" s="24" t="inlineStr">
        <is>
          <t>Topics</t>
        </is>
      </c>
      <c r="E1049" s="24" t="n"/>
    </row>
    <row r="1050">
      <c r="A1050" s="24" t="inlineStr">
        <is>
          <t>114</t>
        </is>
      </c>
      <c r="B1050" s="24" t="inlineStr">
        <is>
          <t>Social Enterprise</t>
        </is>
      </c>
      <c r="C1050" s="24" t="inlineStr">
        <is>
          <t>topics</t>
        </is>
      </c>
      <c r="D1050" s="24" t="inlineStr">
        <is>
          <t>Topics</t>
        </is>
      </c>
      <c r="E1050" s="24" t="n"/>
    </row>
    <row r="1051">
      <c r="A1051" s="24" t="inlineStr">
        <is>
          <t>1147</t>
        </is>
      </c>
      <c r="B1051" s="24" t="inlineStr">
        <is>
          <t>Social Impact</t>
        </is>
      </c>
      <c r="C1051" s="24" t="inlineStr">
        <is>
          <t>topics</t>
        </is>
      </c>
      <c r="D1051" s="24" t="inlineStr">
        <is>
          <t>Topics</t>
        </is>
      </c>
      <c r="E1051" s="24" t="n"/>
    </row>
    <row r="1052">
      <c r="A1052" s="24" t="inlineStr">
        <is>
          <t>1145</t>
        </is>
      </c>
      <c r="B1052" s="24" t="inlineStr">
        <is>
          <t>Stakeholder Capitalism</t>
        </is>
      </c>
      <c r="C1052" s="24" t="inlineStr">
        <is>
          <t>topics</t>
        </is>
      </c>
      <c r="D1052" s="24" t="inlineStr">
        <is>
          <t>Topics</t>
        </is>
      </c>
      <c r="E1052" s="24" t="n"/>
    </row>
    <row r="1053">
      <c r="A1053" s="24" t="inlineStr">
        <is>
          <t>1542</t>
        </is>
      </c>
      <c r="B1053" s="24" t="inlineStr">
        <is>
          <t>Student Experience</t>
        </is>
      </c>
      <c r="C1053" s="24" t="inlineStr">
        <is>
          <t>topics</t>
        </is>
      </c>
      <c r="D1053" s="24" t="inlineStr">
        <is>
          <t>Topics</t>
        </is>
      </c>
      <c r="E1053" s="24" t="n"/>
    </row>
    <row r="1054">
      <c r="A1054" s="24" t="inlineStr">
        <is>
          <t>115</t>
        </is>
      </c>
      <c r="B1054" s="24" t="inlineStr">
        <is>
          <t>Sustainability</t>
        </is>
      </c>
      <c r="C1054" s="24" t="inlineStr">
        <is>
          <t>topics</t>
        </is>
      </c>
      <c r="D1054" s="24" t="inlineStr">
        <is>
          <t>Topics</t>
        </is>
      </c>
      <c r="E1054" s="24" t="n"/>
    </row>
    <row r="1055">
      <c r="A1055" s="24" t="inlineStr">
        <is>
          <t>302</t>
        </is>
      </c>
      <c r="B1055" s="24" t="inlineStr">
        <is>
          <t>Technology</t>
        </is>
      </c>
      <c r="C1055" s="24" t="inlineStr">
        <is>
          <t>topics</t>
        </is>
      </c>
      <c r="D1055" s="24" t="inlineStr">
        <is>
          <t>Topics</t>
        </is>
      </c>
      <c r="E1055" s="24" t="n"/>
    </row>
    <row r="1056">
      <c r="A1056" s="24" t="inlineStr">
        <is>
          <t>981</t>
        </is>
      </c>
      <c r="B1056" s="24" t="inlineStr">
        <is>
          <t>Women's Leadership</t>
        </is>
      </c>
      <c r="C1056" s="24" t="inlineStr">
        <is>
          <t>topics</t>
        </is>
      </c>
      <c r="D1056" s="24" t="inlineStr">
        <is>
          <t>Topics</t>
        </is>
      </c>
      <c r="E1056" s="24" t="n"/>
    </row>
    <row r="1057">
      <c r="A1057" s="24" t="inlineStr">
        <is>
          <t>1544</t>
        </is>
      </c>
      <c r="B1057" s="24" t="inlineStr">
        <is>
          <t>Yale University</t>
        </is>
      </c>
      <c r="C1057" s="24" t="inlineStr">
        <is>
          <t>topics</t>
        </is>
      </c>
      <c r="D1057" s="24" t="inlineStr">
        <is>
          <t>Topics</t>
        </is>
      </c>
      <c r="E1057" s="24" t="n"/>
    </row>
  </sheetData>
  <autoFilter ref="A1:E10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sheetData>
    <row r="1">
      <c r="A1" t="inlineStr">
        <is>
          <t>Content Types</t>
        </is>
      </c>
    </row>
    <row r="2">
      <c r="A2" t="inlineStr">
        <is>
          <t>ampersand_story</t>
        </is>
      </c>
    </row>
    <row r="3">
      <c r="A3" t="inlineStr">
        <is>
          <t>course</t>
        </is>
      </c>
    </row>
    <row r="4">
      <c r="A4" t="inlineStr">
        <is>
          <t>enews_announcement</t>
        </is>
      </c>
    </row>
    <row r="5">
      <c r="A5" t="inlineStr">
        <is>
          <t>event</t>
        </is>
      </c>
    </row>
    <row r="6">
      <c r="A6" t="inlineStr">
        <is>
          <t>faculty</t>
        </is>
      </c>
    </row>
    <row r="7">
      <c r="A7" t="inlineStr">
        <is>
          <t>impact_story</t>
        </is>
      </c>
    </row>
    <row r="8">
      <c r="A8" t="inlineStr">
        <is>
          <t>landing_page</t>
        </is>
      </c>
    </row>
    <row r="9">
      <c r="A9" t="inlineStr">
        <is>
          <t>page</t>
        </is>
      </c>
    </row>
    <row r="10">
      <c r="A10" t="inlineStr">
        <is>
          <t>podcast</t>
        </is>
      </c>
    </row>
    <row r="11">
      <c r="A11" t="inlineStr">
        <is>
          <t>podcast_series</t>
        </is>
      </c>
    </row>
    <row r="12">
      <c r="A12" t="inlineStr">
        <is>
          <t>profile</t>
        </is>
      </c>
    </row>
    <row r="13">
      <c r="A13" t="inlineStr">
        <is>
          <t>publications</t>
        </is>
      </c>
    </row>
    <row r="14">
      <c r="A14" t="inlineStr">
        <is>
          <t>story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5"/>
  <sheetViews>
    <sheetView workbookViewId="0">
      <pane ySplit="1" topLeftCell="A2" activePane="bottomLeft" state="frozen"/>
      <selection pane="bottomLeft" activeCell="A1" sqref="A1"/>
    </sheetView>
  </sheetViews>
  <sheetFormatPr baseColWidth="8" defaultRowHeight="15"/>
  <sheetData>
    <row r="1">
      <c r="A1" s="21" t="inlineStr">
        <is>
          <t>page</t>
        </is>
      </c>
      <c r="B1" s="21" t="inlineStr">
        <is>
          <t>url</t>
        </is>
      </c>
      <c r="C1" s="21" t="inlineStr">
        <is>
          <t>pageBundle</t>
        </is>
      </c>
      <c r="D1" s="21" t="inlineStr">
        <is>
          <t>pageEntityId</t>
        </is>
      </c>
      <c r="E1" s="21" t="inlineStr">
        <is>
          <t>pageTitle</t>
        </is>
      </c>
      <c r="F1" s="21" t="inlineStr">
        <is>
          <t>viewId</t>
        </is>
      </c>
      <c r="G1" s="21" t="inlineStr">
        <is>
          <t>displayId</t>
        </is>
      </c>
      <c r="H1" s="21" t="inlineStr">
        <is>
          <t>displayTitle</t>
        </is>
      </c>
      <c r="I1" s="21" t="inlineStr">
        <is>
          <t>contentTypes</t>
        </is>
      </c>
      <c r="J1" s="21" t="inlineStr">
        <is>
          <t>limit</t>
        </is>
      </c>
      <c r="K1" s="21" t="inlineStr">
        <is>
          <t>source</t>
        </is>
      </c>
      <c r="L1" s="21" t="inlineStr">
        <is>
          <t>rawArgs</t>
        </is>
      </c>
      <c r="M1" s="21" t="inlineStr">
        <is>
          <t>argumentDimensions</t>
        </is>
      </c>
      <c r="N1" s="21" t="inlineStr">
        <is>
          <t>argumentValues</t>
        </is>
      </c>
    </row>
    <row r="2">
      <c r="A2" s="24" t="inlineStr">
        <is>
          <t>/case-studies</t>
        </is>
      </c>
      <c r="B2" s="24" t="inlineStr">
        <is>
          <t>https://som.yale.edu/case-studies</t>
        </is>
      </c>
      <c r="C2" s="24" t="inlineStr">
        <is>
          <t>center</t>
        </is>
      </c>
      <c r="D2" s="24" t="inlineStr">
        <is>
          <t>315</t>
        </is>
      </c>
      <c r="E2" s="24" t="inlineStr">
        <is>
          <t>Case Study Research \u0026 Development Team (CRDT)</t>
        </is>
      </c>
      <c r="F2" s="24" t="inlineStr">
        <is>
          <t>stories_grid_without_images</t>
        </is>
      </c>
      <c r="G2" s="24" t="inlineStr">
        <is>
          <t>embed_news</t>
        </is>
      </c>
      <c r="H2" s="24" t="inlineStr">
        <is>
          <t>All news</t>
        </is>
      </c>
      <c r="I2" s="24" t="inlineStr">
        <is>
          <t>story</t>
        </is>
      </c>
      <c r="J2" s="24" t="n">
        <v>3</v>
      </c>
      <c r="K2" s="32" t="inlineStr">
        <is>
          <t>manual-override</t>
        </is>
      </c>
      <c r="L2" s="24" t="inlineStr">
        <is>
          <t>942</t>
        </is>
      </c>
      <c r="M2" s="24" t="inlineStr">
        <is>
          <t>context</t>
        </is>
      </c>
      <c r="N2" s="24" t="inlineStr">
        <is>
          <t>Case Study Research and Development (942)</t>
        </is>
      </c>
    </row>
    <row r="3">
      <c r="A3" s="24" t="inlineStr">
        <is>
          <t>/alumni</t>
        </is>
      </c>
      <c r="B3" s="24" t="inlineStr">
        <is>
          <t>https://som.yale.edu/alumni</t>
        </is>
      </c>
      <c r="C3" s="24" t="inlineStr">
        <is>
          <t>page</t>
        </is>
      </c>
      <c r="D3" s="24" t="inlineStr">
        <is>
          <t>243385</t>
        </is>
      </c>
      <c r="E3" s="24" t="inlineStr">
        <is>
          <t>Alumni</t>
        </is>
      </c>
      <c r="F3" s="24" t="inlineStr">
        <is>
          <t>event_teaser_list</t>
        </is>
      </c>
      <c r="G3" s="24" t="inlineStr">
        <is>
          <t>embed_1</t>
        </is>
      </c>
      <c r="H3" s="24" t="inlineStr">
        <is>
          <t>Embed</t>
        </is>
      </c>
      <c r="I3" s="24" t="inlineStr">
        <is>
          <t>event</t>
        </is>
      </c>
      <c r="J3" s="24" t="n">
        <v>3</v>
      </c>
      <c r="K3" s="33" t="inlineStr">
        <is>
          <t>section-context</t>
        </is>
      </c>
      <c r="L3" s="24" t="inlineStr">
        <is>
          <t>1142</t>
        </is>
      </c>
      <c r="M3" s="24" t="inlineStr">
        <is>
          <t>context</t>
        </is>
      </c>
      <c r="N3" s="24" t="inlineStr">
        <is>
          <t>Alumni (1142)</t>
        </is>
      </c>
    </row>
    <row r="4">
      <c r="A4" s="24" t="inlineStr">
        <is>
          <t>/alumni</t>
        </is>
      </c>
      <c r="B4" s="24" t="inlineStr">
        <is>
          <t>https://som.yale.edu/alumni</t>
        </is>
      </c>
      <c r="C4" s="24" t="inlineStr">
        <is>
          <t>page</t>
        </is>
      </c>
      <c r="D4" s="24" t="inlineStr">
        <is>
          <t>243385</t>
        </is>
      </c>
      <c r="E4" s="24" t="inlineStr">
        <is>
          <t>Alumni</t>
        </is>
      </c>
      <c r="F4" s="24" t="inlineStr">
        <is>
          <t>stories_grid_with_images</t>
        </is>
      </c>
      <c r="G4" s="24" t="inlineStr">
        <is>
          <t>embed_1</t>
        </is>
      </c>
      <c r="H4" s="24" t="inlineStr">
        <is>
          <t>All stories</t>
        </is>
      </c>
      <c r="I4" s="24" t="inlineStr">
        <is>
          <t>story</t>
        </is>
      </c>
      <c r="J4" s="24" t="n">
        <v>3</v>
      </c>
      <c r="K4" s="33" t="inlineStr">
        <is>
          <t>section-context</t>
        </is>
      </c>
      <c r="L4" s="24" t="inlineStr">
        <is>
          <t>1142</t>
        </is>
      </c>
      <c r="M4" s="24" t="inlineStr">
        <is>
          <t>context</t>
        </is>
      </c>
      <c r="N4" s="24" t="inlineStr">
        <is>
          <t>Alumni (1142)</t>
        </is>
      </c>
    </row>
    <row r="5">
      <c r="A5" s="24" t="inlineStr">
        <is>
          <t>/centers/center-for-customer-insights</t>
        </is>
      </c>
      <c r="B5" s="24" t="inlineStr">
        <is>
          <t>https://som.yale.edu/centers/center-for-customer-insights</t>
        </is>
      </c>
      <c r="C5" s="24" t="inlineStr">
        <is>
          <t>center</t>
        </is>
      </c>
      <c r="D5" s="24" t="inlineStr">
        <is>
          <t>134</t>
        </is>
      </c>
      <c r="E5" s="24" t="inlineStr">
        <is>
          <t>Yale Center for Customer Insights</t>
        </is>
      </c>
      <c r="F5" s="24" t="inlineStr">
        <is>
          <t>stories_grid_with_images</t>
        </is>
      </c>
      <c r="G5" s="24" t="inlineStr">
        <is>
          <t>embed_blog</t>
        </is>
      </c>
      <c r="H5" s="24" t="inlineStr">
        <is>
          <t>All blogs</t>
        </is>
      </c>
      <c r="I5" s="24" t="inlineStr">
        <is>
          <t>story</t>
        </is>
      </c>
      <c r="J5" s="24" t="n">
        <v>3</v>
      </c>
      <c r="K5" s="33" t="inlineStr">
        <is>
          <t>section-context</t>
        </is>
      </c>
      <c r="L5" s="24" t="inlineStr">
        <is>
          <t>944</t>
        </is>
      </c>
      <c r="M5" s="24" t="inlineStr">
        <is>
          <t>context</t>
        </is>
      </c>
      <c r="N5" s="24" t="inlineStr">
        <is>
          <t>Center for Customer Insights (944)</t>
        </is>
      </c>
    </row>
    <row r="6">
      <c r="A6" s="24" t="inlineStr">
        <is>
          <t>/centers/chief-executive-leadership-institute</t>
        </is>
      </c>
      <c r="B6" s="24" t="inlineStr">
        <is>
          <t>https://som.yale.edu/centers/chief-executive-leadership-institute</t>
        </is>
      </c>
      <c r="C6" s="24" t="inlineStr">
        <is>
          <t>center</t>
        </is>
      </c>
      <c r="D6" s="24" t="inlineStr">
        <is>
          <t>107</t>
        </is>
      </c>
      <c r="E6" s="24" t="inlineStr">
        <is>
          <t>Chief Executive Leadership Institute</t>
        </is>
      </c>
      <c r="F6" s="24" t="inlineStr">
        <is>
          <t>stories_grid_with_images</t>
        </is>
      </c>
      <c r="G6" s="24" t="inlineStr">
        <is>
          <t>embed_news</t>
        </is>
      </c>
      <c r="H6" s="24" t="inlineStr">
        <is>
          <t>All news</t>
        </is>
      </c>
      <c r="I6" s="24" t="inlineStr">
        <is>
          <t>story</t>
        </is>
      </c>
      <c r="J6" s="24" t="n">
        <v>3</v>
      </c>
      <c r="K6" s="33" t="inlineStr">
        <is>
          <t>section-context</t>
        </is>
      </c>
      <c r="L6" s="24" t="inlineStr">
        <is>
          <t>925</t>
        </is>
      </c>
      <c r="M6" s="24" t="inlineStr">
        <is>
          <t>context</t>
        </is>
      </c>
      <c r="N6" s="24" t="inlineStr">
        <is>
          <t>Chief Executive Leadership Institute (925)</t>
        </is>
      </c>
    </row>
    <row r="7">
      <c r="A7" s="24" t="inlineStr">
        <is>
          <t>/centers/international-center-for-finance</t>
        </is>
      </c>
      <c r="B7" s="24" t="inlineStr">
        <is>
          <t>https://som.yale.edu/centers/international-center-for-finance</t>
        </is>
      </c>
      <c r="C7" s="24" t="inlineStr">
        <is>
          <t>center</t>
        </is>
      </c>
      <c r="D7" s="24" t="inlineStr">
        <is>
          <t>83</t>
        </is>
      </c>
      <c r="E7" s="24" t="inlineStr">
        <is>
          <t>International Center for Finance</t>
        </is>
      </c>
      <c r="F7" s="24" t="inlineStr">
        <is>
          <t>stories_teaser_cards</t>
        </is>
      </c>
      <c r="G7" s="24" t="inlineStr">
        <is>
          <t>embed_all</t>
        </is>
      </c>
      <c r="H7" s="24" t="inlineStr">
        <is>
          <t>All stories</t>
        </is>
      </c>
      <c r="I7" s="24" t="inlineStr">
        <is>
          <t>story</t>
        </is>
      </c>
      <c r="J7" s="24" t="n">
        <v>3</v>
      </c>
      <c r="K7" s="33" t="inlineStr">
        <is>
          <t>section-context</t>
        </is>
      </c>
      <c r="L7" s="24" t="inlineStr">
        <is>
          <t>931</t>
        </is>
      </c>
      <c r="M7" s="24" t="inlineStr">
        <is>
          <t>context</t>
        </is>
      </c>
      <c r="N7" s="24" t="inlineStr">
        <is>
          <t>International Center for Finance (931)</t>
        </is>
      </c>
    </row>
    <row r="8">
      <c r="A8" s="24" t="inlineStr">
        <is>
          <t>/centers/program-on-entrepreneurship</t>
        </is>
      </c>
      <c r="B8" s="24" t="inlineStr">
        <is>
          <t>https://som.yale.edu/centers/program-on-entrepreneurship</t>
        </is>
      </c>
      <c r="C8" s="24" t="inlineStr">
        <is>
          <t>center</t>
        </is>
      </c>
      <c r="D8" s="24" t="inlineStr">
        <is>
          <t>105</t>
        </is>
      </c>
      <c r="E8" s="24" t="inlineStr">
        <is>
          <t>Program on Entrepreneurship</t>
        </is>
      </c>
      <c r="F8" s="24" t="inlineStr">
        <is>
          <t>stories_grid_without_images</t>
        </is>
      </c>
      <c r="G8" s="24" t="inlineStr">
        <is>
          <t>embed_1</t>
        </is>
      </c>
      <c r="H8" s="24" t="inlineStr">
        <is>
          <t>All stories</t>
        </is>
      </c>
      <c r="I8" s="24" t="inlineStr">
        <is>
          <t>story</t>
        </is>
      </c>
      <c r="J8" s="24" t="n">
        <v>3</v>
      </c>
      <c r="K8" s="33" t="inlineStr">
        <is>
          <t>section-context</t>
        </is>
      </c>
      <c r="L8" s="24" t="inlineStr">
        <is>
          <t>934</t>
        </is>
      </c>
      <c r="M8" s="24" t="inlineStr">
        <is>
          <t>context</t>
        </is>
      </c>
      <c r="N8" s="24" t="inlineStr">
        <is>
          <t>Program on Entrepreneurship (934)</t>
        </is>
      </c>
    </row>
    <row r="9">
      <c r="A9" s="24" t="inlineStr">
        <is>
          <t>/centers/program-on-financial-stability</t>
        </is>
      </c>
      <c r="B9" s="24" t="inlineStr">
        <is>
          <t>https://som.yale.edu/centers/program-on-financial-stability</t>
        </is>
      </c>
      <c r="C9" s="24" t="inlineStr">
        <is>
          <t>center</t>
        </is>
      </c>
      <c r="D9" s="24" t="inlineStr">
        <is>
          <t>106</t>
        </is>
      </c>
      <c r="E9" s="24" t="inlineStr">
        <is>
          <t>Program on Financial Stability</t>
        </is>
      </c>
      <c r="F9" s="24" t="inlineStr">
        <is>
          <t>stories_grid_without_images</t>
        </is>
      </c>
      <c r="G9" s="24" t="inlineStr">
        <is>
          <t>embed_1</t>
        </is>
      </c>
      <c r="H9" s="24" t="inlineStr">
        <is>
          <t>All stories</t>
        </is>
      </c>
      <c r="I9" s="24" t="inlineStr">
        <is>
          <t>story</t>
        </is>
      </c>
      <c r="J9" s="24" t="n">
        <v>3</v>
      </c>
      <c r="K9" s="33" t="inlineStr">
        <is>
          <t>section-context</t>
        </is>
      </c>
      <c r="L9" s="24" t="inlineStr">
        <is>
          <t>955</t>
        </is>
      </c>
      <c r="M9" s="24" t="inlineStr">
        <is>
          <t>context</t>
        </is>
      </c>
      <c r="N9" s="24" t="inlineStr">
        <is>
          <t>Program on Financial Stability (955)</t>
        </is>
      </c>
    </row>
    <row r="10">
      <c r="A10" s="24" t="inlineStr">
        <is>
          <t>/centers/swensen-asset-management-institute</t>
        </is>
      </c>
      <c r="B10" s="24" t="inlineStr">
        <is>
          <t>https://som.yale.edu/centers/swensen-asset-management-institute</t>
        </is>
      </c>
      <c r="C10" s="24" t="inlineStr">
        <is>
          <t>center</t>
        </is>
      </c>
      <c r="D10" s="24" t="inlineStr">
        <is>
          <t>1173</t>
        </is>
      </c>
      <c r="E10" s="24" t="inlineStr">
        <is>
          <t>Swensen Asset Management Institute</t>
        </is>
      </c>
      <c r="F10" s="24" t="inlineStr">
        <is>
          <t>stories_teaser_cards</t>
        </is>
      </c>
      <c r="G10" s="24" t="inlineStr">
        <is>
          <t>embed_all</t>
        </is>
      </c>
      <c r="H10" s="24" t="inlineStr">
        <is>
          <t>All stories</t>
        </is>
      </c>
      <c r="I10" s="24" t="inlineStr">
        <is>
          <t>story</t>
        </is>
      </c>
      <c r="J10" s="24" t="n">
        <v>3</v>
      </c>
      <c r="K10" s="33" t="inlineStr">
        <is>
          <t>section-context</t>
        </is>
      </c>
      <c r="L10" s="24" t="inlineStr">
        <is>
          <t>1174</t>
        </is>
      </c>
      <c r="M10" s="24" t="inlineStr">
        <is>
          <t>context</t>
        </is>
      </c>
      <c r="N10" s="24" t="inlineStr">
        <is>
          <t>Swensen Asset Management Institute (1174)</t>
        </is>
      </c>
    </row>
    <row r="11">
      <c r="A11" s="24" t="inlineStr">
        <is>
          <t>/centers/the-broad-center</t>
        </is>
      </c>
      <c r="B11" s="24" t="inlineStr">
        <is>
          <t>https://som.yale.edu/centers/the-broad-center</t>
        </is>
      </c>
      <c r="C11" s="24" t="inlineStr">
        <is>
          <t>center</t>
        </is>
      </c>
      <c r="D11" s="24" t="inlineStr">
        <is>
          <t>5</t>
        </is>
      </c>
      <c r="E11" s="24" t="inlineStr">
        <is>
          <t>The Broad Center</t>
        </is>
      </c>
      <c r="F11" s="24" t="inlineStr">
        <is>
          <t>stories_grid_with_images</t>
        </is>
      </c>
      <c r="G11" s="24" t="inlineStr">
        <is>
          <t>embed_1</t>
        </is>
      </c>
      <c r="H11" s="24" t="inlineStr">
        <is>
          <t>All stories</t>
        </is>
      </c>
      <c r="I11" s="24" t="inlineStr">
        <is>
          <t>story</t>
        </is>
      </c>
      <c r="J11" s="24" t="n">
        <v>3</v>
      </c>
      <c r="K11" s="33" t="inlineStr">
        <is>
          <t>section-context</t>
        </is>
      </c>
      <c r="L11" s="24" t="inlineStr">
        <is>
          <t>926</t>
        </is>
      </c>
      <c r="M11" s="24" t="inlineStr">
        <is>
          <t>context</t>
        </is>
      </c>
      <c r="N11" s="24" t="inlineStr">
        <is>
          <t>The Broad Center (926)</t>
        </is>
      </c>
    </row>
    <row r="12">
      <c r="A12" s="24" t="inlineStr">
        <is>
          <t>/centers/the-broad-center/masters-degree-in-public-education-management</t>
        </is>
      </c>
      <c r="B12" s="24" t="inlineStr">
        <is>
          <t>https://som.yale.edu/centers/the-broad-center/masters-degree-in-public-education-management</t>
        </is>
      </c>
      <c r="C12" s="24" t="inlineStr">
        <is>
          <t>page</t>
        </is>
      </c>
      <c r="D12" s="24" t="inlineStr">
        <is>
          <t>226963</t>
        </is>
      </c>
      <c r="E12" s="24" t="inlineStr">
        <is>
          <t>Master\u2019s Degree in Public Education Management</t>
        </is>
      </c>
      <c r="F12" s="24" t="inlineStr">
        <is>
          <t>stories_teaser_cards</t>
        </is>
      </c>
      <c r="G12" s="24" t="inlineStr">
        <is>
          <t>embed_news</t>
        </is>
      </c>
      <c r="H12" s="24" t="inlineStr">
        <is>
          <t>All news</t>
        </is>
      </c>
      <c r="I12" s="24" t="inlineStr">
        <is>
          <t>story</t>
        </is>
      </c>
      <c r="J12" s="24" t="n">
        <v>3</v>
      </c>
      <c r="K12" s="33" t="inlineStr">
        <is>
          <t>section-context</t>
        </is>
      </c>
      <c r="L12" s="24" t="inlineStr">
        <is>
          <t>926</t>
        </is>
      </c>
      <c r="M12" s="24" t="inlineStr">
        <is>
          <t>context</t>
        </is>
      </c>
      <c r="N12" s="24" t="inlineStr">
        <is>
          <t>The Broad Center (926)</t>
        </is>
      </c>
    </row>
    <row r="13">
      <c r="A13" s="24" t="inlineStr">
        <is>
          <t>/centers/the-broad-center/masters-degree-in-public-education-management</t>
        </is>
      </c>
      <c r="B13" s="24" t="inlineStr">
        <is>
          <t>https://som.yale.edu/centers/the-broad-center/masters-degree-in-public-education-management</t>
        </is>
      </c>
      <c r="C13" s="24" t="inlineStr">
        <is>
          <t>page</t>
        </is>
      </c>
      <c r="D13" s="24" t="inlineStr">
        <is>
          <t>226963</t>
        </is>
      </c>
      <c r="E13" s="24" t="inlineStr">
        <is>
          <t>Master\u2019s Degree in Public Education Management</t>
        </is>
      </c>
      <c r="F13" s="24" t="inlineStr">
        <is>
          <t>stories_teaser_cards</t>
        </is>
      </c>
      <c r="G13" s="24" t="inlineStr">
        <is>
          <t>embed_news</t>
        </is>
      </c>
      <c r="H13" s="24" t="inlineStr">
        <is>
          <t>All news</t>
        </is>
      </c>
      <c r="I13" s="24" t="inlineStr">
        <is>
          <t>story</t>
        </is>
      </c>
      <c r="J13" s="24" t="n">
        <v>3</v>
      </c>
      <c r="K13" s="33" t="inlineStr">
        <is>
          <t>section-context</t>
        </is>
      </c>
      <c r="L13" s="24" t="inlineStr">
        <is>
          <t>926</t>
        </is>
      </c>
      <c r="M13" s="24" t="inlineStr">
        <is>
          <t>context</t>
        </is>
      </c>
      <c r="N13" s="24" t="inlineStr">
        <is>
          <t>The Broad Center (926)</t>
        </is>
      </c>
    </row>
    <row r="14">
      <c r="A14" s="24" t="inlineStr">
        <is>
          <t>/programs/emba</t>
        </is>
      </c>
      <c r="B14" s="24" t="inlineStr">
        <is>
          <t>https://som.yale.edu/programs/emba</t>
        </is>
      </c>
      <c r="C14" s="24" t="inlineStr">
        <is>
          <t>program</t>
        </is>
      </c>
      <c r="D14" s="24" t="inlineStr">
        <is>
          <t>80</t>
        </is>
      </c>
      <c r="E14" s="24" t="inlineStr">
        <is>
          <t>MBA for Executives</t>
        </is>
      </c>
      <c r="F14" s="24" t="inlineStr">
        <is>
          <t>event_teaser_list</t>
        </is>
      </c>
      <c r="G14" s="24" t="inlineStr">
        <is>
          <t>embed_1</t>
        </is>
      </c>
      <c r="H14" s="24" t="inlineStr">
        <is>
          <t>Embed</t>
        </is>
      </c>
      <c r="I14" s="24" t="inlineStr">
        <is>
          <t>event</t>
        </is>
      </c>
      <c r="J14" s="24" t="n">
        <v>3</v>
      </c>
      <c r="K14" s="33" t="inlineStr">
        <is>
          <t>section-context</t>
        </is>
      </c>
      <c r="L14" s="24" t="inlineStr">
        <is>
          <t>928</t>
        </is>
      </c>
      <c r="M14" s="24" t="inlineStr">
        <is>
          <t>context</t>
        </is>
      </c>
      <c r="N14" s="24" t="inlineStr">
        <is>
          <t>MBA For Executives (928)</t>
        </is>
      </c>
    </row>
    <row r="15">
      <c r="A15" s="24" t="inlineStr">
        <is>
          <t>/programs/emba</t>
        </is>
      </c>
      <c r="B15" s="24" t="inlineStr">
        <is>
          <t>https://som.yale.edu/programs/emba</t>
        </is>
      </c>
      <c r="C15" s="24" t="inlineStr">
        <is>
          <t>program</t>
        </is>
      </c>
      <c r="D15" s="24" t="inlineStr">
        <is>
          <t>80</t>
        </is>
      </c>
      <c r="E15" s="24" t="inlineStr">
        <is>
          <t>MBA for Executives</t>
        </is>
      </c>
      <c r="F15" s="24" t="inlineStr">
        <is>
          <t>stories_teaser_cards</t>
        </is>
      </c>
      <c r="G15" s="24" t="inlineStr">
        <is>
          <t>embed_blog</t>
        </is>
      </c>
      <c r="H15" s="24" t="inlineStr">
        <is>
          <t>All blogs</t>
        </is>
      </c>
      <c r="I15" s="24" t="inlineStr">
        <is>
          <t>story</t>
        </is>
      </c>
      <c r="J15" s="24" t="n">
        <v>3</v>
      </c>
      <c r="K15" s="33" t="inlineStr">
        <is>
          <t>section-context</t>
        </is>
      </c>
      <c r="L15" s="24" t="inlineStr">
        <is>
          <t>928</t>
        </is>
      </c>
      <c r="M15" s="24" t="inlineStr">
        <is>
          <t>context</t>
        </is>
      </c>
      <c r="N15" s="24" t="inlineStr">
        <is>
          <t>MBA For Executives (928)</t>
        </is>
      </c>
    </row>
    <row r="16">
      <c r="A16" s="24" t="inlineStr">
        <is>
          <t>/programs/emba/admissions</t>
        </is>
      </c>
      <c r="B16" s="24" t="inlineStr">
        <is>
          <t>https://som.yale.edu/programs/emba/admissions</t>
        </is>
      </c>
      <c r="C16" s="24" t="inlineStr">
        <is>
          <t>page</t>
        </is>
      </c>
      <c r="D16" s="24" t="inlineStr">
        <is>
          <t>232644</t>
        </is>
      </c>
      <c r="E16" s="24" t="inlineStr">
        <is>
          <t>Admissions</t>
        </is>
      </c>
      <c r="F16" s="24" t="inlineStr">
        <is>
          <t>event_teaser_list</t>
        </is>
      </c>
      <c r="G16" s="24" t="inlineStr">
        <is>
          <t>embed_1</t>
        </is>
      </c>
      <c r="H16" s="24" t="inlineStr">
        <is>
          <t>Embed</t>
        </is>
      </c>
      <c r="I16" s="24" t="inlineStr">
        <is>
          <t>event</t>
        </is>
      </c>
      <c r="J16" s="24" t="n">
        <v>3</v>
      </c>
      <c r="K16" s="33" t="inlineStr">
        <is>
          <t>section-context</t>
        </is>
      </c>
      <c r="L16" s="24" t="inlineStr">
        <is>
          <t>928</t>
        </is>
      </c>
      <c r="M16" s="24" t="inlineStr">
        <is>
          <t>context</t>
        </is>
      </c>
      <c r="N16" s="24" t="inlineStr">
        <is>
          <t>MBA For Executives (928)</t>
        </is>
      </c>
    </row>
    <row r="17">
      <c r="A17" s="24" t="inlineStr">
        <is>
          <t>/programs/emba/admissions</t>
        </is>
      </c>
      <c r="B17" s="24" t="inlineStr">
        <is>
          <t>https://som.yale.edu/programs/emba/admissions</t>
        </is>
      </c>
      <c r="C17" s="24" t="inlineStr">
        <is>
          <t>page</t>
        </is>
      </c>
      <c r="D17" s="24" t="inlineStr">
        <is>
          <t>232644</t>
        </is>
      </c>
      <c r="E17" s="24" t="inlineStr">
        <is>
          <t>Admissions</t>
        </is>
      </c>
      <c r="F17" s="24" t="inlineStr">
        <is>
          <t>event_teaser_list</t>
        </is>
      </c>
      <c r="G17" s="24" t="inlineStr">
        <is>
          <t>embed_1</t>
        </is>
      </c>
      <c r="H17" s="24" t="inlineStr">
        <is>
          <t>Embed</t>
        </is>
      </c>
      <c r="I17" s="24" t="inlineStr">
        <is>
          <t>event</t>
        </is>
      </c>
      <c r="J17" s="24" t="n">
        <v>3</v>
      </c>
      <c r="K17" s="33" t="inlineStr">
        <is>
          <t>section-context</t>
        </is>
      </c>
      <c r="L17" s="24" t="inlineStr">
        <is>
          <t>928</t>
        </is>
      </c>
      <c r="M17" s="24" t="inlineStr">
        <is>
          <t>context</t>
        </is>
      </c>
      <c r="N17" s="24" t="inlineStr">
        <is>
          <t>MBA For Executives (928)</t>
        </is>
      </c>
    </row>
    <row r="18">
      <c r="A18" s="24" t="inlineStr">
        <is>
          <t>/programs/emba/admissions</t>
        </is>
      </c>
      <c r="B18" s="24" t="inlineStr">
        <is>
          <t>https://som.yale.edu/programs/emba/admissions</t>
        </is>
      </c>
      <c r="C18" s="24" t="inlineStr">
        <is>
          <t>page</t>
        </is>
      </c>
      <c r="D18" s="24" t="inlineStr">
        <is>
          <t>232644</t>
        </is>
      </c>
      <c r="E18" s="24" t="inlineStr">
        <is>
          <t>Admissions</t>
        </is>
      </c>
      <c r="F18" s="24" t="inlineStr">
        <is>
          <t>stories_teaser_cards</t>
        </is>
      </c>
      <c r="G18" s="24" t="inlineStr">
        <is>
          <t>embed_blog</t>
        </is>
      </c>
      <c r="H18" s="24" t="inlineStr">
        <is>
          <t>All blogs</t>
        </is>
      </c>
      <c r="I18" s="24" t="inlineStr">
        <is>
          <t>story</t>
        </is>
      </c>
      <c r="J18" s="24" t="n">
        <v>3</v>
      </c>
      <c r="K18" s="33" t="inlineStr">
        <is>
          <t>section-context</t>
        </is>
      </c>
      <c r="L18" s="24" t="inlineStr">
        <is>
          <t>928</t>
        </is>
      </c>
      <c r="M18" s="24" t="inlineStr">
        <is>
          <t>context</t>
        </is>
      </c>
      <c r="N18" s="24" t="inlineStr">
        <is>
          <t>MBA For Executives (928)</t>
        </is>
      </c>
    </row>
    <row r="19">
      <c r="A19" s="24" t="inlineStr">
        <is>
          <t>/programs/emba/admissions</t>
        </is>
      </c>
      <c r="B19" s="24" t="inlineStr">
        <is>
          <t>https://som.yale.edu/programs/emba/admissions</t>
        </is>
      </c>
      <c r="C19" s="24" t="inlineStr">
        <is>
          <t>page</t>
        </is>
      </c>
      <c r="D19" s="24" t="inlineStr">
        <is>
          <t>232644</t>
        </is>
      </c>
      <c r="E19" s="24" t="inlineStr">
        <is>
          <t>Admissions</t>
        </is>
      </c>
      <c r="F19" s="24" t="inlineStr">
        <is>
          <t>stories_teaser_cards</t>
        </is>
      </c>
      <c r="G19" s="24" t="inlineStr">
        <is>
          <t>embed_blog</t>
        </is>
      </c>
      <c r="H19" s="24" t="inlineStr">
        <is>
          <t>All blogs</t>
        </is>
      </c>
      <c r="I19" s="24" t="inlineStr">
        <is>
          <t>story</t>
        </is>
      </c>
      <c r="J19" s="24" t="n">
        <v>3</v>
      </c>
      <c r="K19" s="33" t="inlineStr">
        <is>
          <t>section-context</t>
        </is>
      </c>
      <c r="L19" s="24" t="inlineStr">
        <is>
          <t>928</t>
        </is>
      </c>
      <c r="M19" s="24" t="inlineStr">
        <is>
          <t>context</t>
        </is>
      </c>
      <c r="N19" s="24" t="inlineStr">
        <is>
          <t>MBA For Executives (928)</t>
        </is>
      </c>
    </row>
    <row r="20">
      <c r="A20" s="24" t="inlineStr">
        <is>
          <t>/programs/emba/curriculum/global-offerings</t>
        </is>
      </c>
      <c r="B20" s="24" t="inlineStr">
        <is>
          <t>https://som.yale.edu/programs/emba/curriculum/global-offerings</t>
        </is>
      </c>
      <c r="C20" s="24" t="inlineStr">
        <is>
          <t>page</t>
        </is>
      </c>
      <c r="D20" s="24" t="inlineStr">
        <is>
          <t>269045</t>
        </is>
      </c>
      <c r="E20" s="24" t="inlineStr">
        <is>
          <t>Global Offerings</t>
        </is>
      </c>
      <c r="F20" s="24" t="inlineStr">
        <is>
          <t>stories_teaser_cards</t>
        </is>
      </c>
      <c r="G20" s="24" t="inlineStr">
        <is>
          <t>embed_blog</t>
        </is>
      </c>
      <c r="H20" s="24" t="inlineStr">
        <is>
          <t>All blogs</t>
        </is>
      </c>
      <c r="I20" s="24" t="inlineStr">
        <is>
          <t>story</t>
        </is>
      </c>
      <c r="J20" s="24" t="n">
        <v>3</v>
      </c>
      <c r="K20" s="33" t="inlineStr">
        <is>
          <t>section-context</t>
        </is>
      </c>
      <c r="L20" s="24" t="inlineStr">
        <is>
          <t>928</t>
        </is>
      </c>
      <c r="M20" s="24" t="inlineStr">
        <is>
          <t>context</t>
        </is>
      </c>
      <c r="N20" s="24" t="inlineStr">
        <is>
          <t>MBA For Executives (928)</t>
        </is>
      </c>
    </row>
    <row r="21">
      <c r="A21" s="24" t="inlineStr">
        <is>
          <t>/programs/emba/curriculum/global-offerings</t>
        </is>
      </c>
      <c r="B21" s="24" t="inlineStr">
        <is>
          <t>https://som.yale.edu/programs/emba/curriculum/global-offerings</t>
        </is>
      </c>
      <c r="C21" s="24" t="inlineStr">
        <is>
          <t>page</t>
        </is>
      </c>
      <c r="D21" s="24" t="inlineStr">
        <is>
          <t>269045</t>
        </is>
      </c>
      <c r="E21" s="24" t="inlineStr">
        <is>
          <t>Global Offerings</t>
        </is>
      </c>
      <c r="F21" s="24" t="inlineStr">
        <is>
          <t>stories_teaser_cards</t>
        </is>
      </c>
      <c r="G21" s="24" t="inlineStr">
        <is>
          <t>embed_blog</t>
        </is>
      </c>
      <c r="H21" s="24" t="inlineStr">
        <is>
          <t>All blogs</t>
        </is>
      </c>
      <c r="I21" s="24" t="inlineStr">
        <is>
          <t>story</t>
        </is>
      </c>
      <c r="J21" s="24" t="n">
        <v>3</v>
      </c>
      <c r="K21" s="33" t="inlineStr">
        <is>
          <t>section-context</t>
        </is>
      </c>
      <c r="L21" s="24" t="inlineStr">
        <is>
          <t>928</t>
        </is>
      </c>
      <c r="M21" s="24" t="inlineStr">
        <is>
          <t>context</t>
        </is>
      </c>
      <c r="N21" s="24" t="inlineStr">
        <is>
          <t>MBA For Executives (928)</t>
        </is>
      </c>
    </row>
    <row r="22">
      <c r="A22" s="24" t="inlineStr">
        <is>
          <t>/programs/mam</t>
        </is>
      </c>
      <c r="B22" s="24" t="inlineStr">
        <is>
          <t>https://som.yale.edu/programs/mam</t>
        </is>
      </c>
      <c r="C22" s="24" t="inlineStr">
        <is>
          <t>program</t>
        </is>
      </c>
      <c r="D22" s="24" t="inlineStr">
        <is>
          <t>81</t>
        </is>
      </c>
      <c r="E22" s="24" t="inlineStr">
        <is>
          <t>Master of Advanced Management</t>
        </is>
      </c>
      <c r="F22" s="24" t="inlineStr">
        <is>
          <t>event_teaser_list</t>
        </is>
      </c>
      <c r="G22" s="24" t="inlineStr">
        <is>
          <t>embed_1</t>
        </is>
      </c>
      <c r="H22" s="24" t="inlineStr">
        <is>
          <t>Embed</t>
        </is>
      </c>
      <c r="I22" s="24" t="inlineStr">
        <is>
          <t>event</t>
        </is>
      </c>
      <c r="J22" s="24" t="n">
        <v>3</v>
      </c>
      <c r="K22" s="33" t="inlineStr">
        <is>
          <t>section-context</t>
        </is>
      </c>
      <c r="L22" s="24" t="inlineStr">
        <is>
          <t>932</t>
        </is>
      </c>
      <c r="M22" s="24" t="inlineStr">
        <is>
          <t>context</t>
        </is>
      </c>
      <c r="N22" s="24" t="inlineStr">
        <is>
          <t>Master of Advanced Management (932)</t>
        </is>
      </c>
    </row>
    <row r="23">
      <c r="A23" s="24" t="inlineStr">
        <is>
          <t>/programs/mam</t>
        </is>
      </c>
      <c r="B23" s="24" t="inlineStr">
        <is>
          <t>https://som.yale.edu/programs/mam</t>
        </is>
      </c>
      <c r="C23" s="24" t="inlineStr">
        <is>
          <t>program</t>
        </is>
      </c>
      <c r="D23" s="24" t="inlineStr">
        <is>
          <t>81</t>
        </is>
      </c>
      <c r="E23" s="24" t="inlineStr">
        <is>
          <t>Master of Advanced Management</t>
        </is>
      </c>
      <c r="F23" s="24" t="inlineStr">
        <is>
          <t>stories_teaser_cards</t>
        </is>
      </c>
      <c r="G23" s="24" t="inlineStr">
        <is>
          <t>embed_blog</t>
        </is>
      </c>
      <c r="H23" s="24" t="inlineStr">
        <is>
          <t>All blogs</t>
        </is>
      </c>
      <c r="I23" s="24" t="inlineStr">
        <is>
          <t>story</t>
        </is>
      </c>
      <c r="J23" s="24" t="n">
        <v>3</v>
      </c>
      <c r="K23" s="33" t="inlineStr">
        <is>
          <t>section-context</t>
        </is>
      </c>
      <c r="L23" s="24" t="inlineStr">
        <is>
          <t>932</t>
        </is>
      </c>
      <c r="M23" s="24" t="inlineStr">
        <is>
          <t>context</t>
        </is>
      </c>
      <c r="N23" s="24" t="inlineStr">
        <is>
          <t>Master of Advanced Management (932)</t>
        </is>
      </c>
    </row>
    <row r="24">
      <c r="A24" s="24" t="inlineStr">
        <is>
          <t>/programs/mam/admissions</t>
        </is>
      </c>
      <c r="B24" s="24" t="inlineStr">
        <is>
          <t>https://som.yale.edu/programs/mam/admissions</t>
        </is>
      </c>
      <c r="C24" s="24" t="inlineStr">
        <is>
          <t>page</t>
        </is>
      </c>
      <c r="D24" s="24" t="inlineStr">
        <is>
          <t>17286</t>
        </is>
      </c>
      <c r="E24" s="24" t="inlineStr">
        <is>
          <t>Admissions</t>
        </is>
      </c>
      <c r="F24" s="24" t="inlineStr">
        <is>
          <t>stories_teaser_cards</t>
        </is>
      </c>
      <c r="G24" s="24" t="inlineStr">
        <is>
          <t>embed_all</t>
        </is>
      </c>
      <c r="H24" s="24" t="inlineStr">
        <is>
          <t>All stories</t>
        </is>
      </c>
      <c r="I24" s="24" t="inlineStr">
        <is>
          <t>story</t>
        </is>
      </c>
      <c r="J24" s="24" t="n">
        <v>3</v>
      </c>
      <c r="K24" s="33" t="inlineStr">
        <is>
          <t>section-context</t>
        </is>
      </c>
      <c r="L24" s="24" t="inlineStr">
        <is>
          <t>932</t>
        </is>
      </c>
      <c r="M24" s="24" t="inlineStr">
        <is>
          <t>context</t>
        </is>
      </c>
      <c r="N24" s="24" t="inlineStr">
        <is>
          <t>Master of Advanced Management (932)</t>
        </is>
      </c>
    </row>
    <row r="25">
      <c r="A25" s="24" t="inlineStr">
        <is>
          <t>/programs/mam/admissions</t>
        </is>
      </c>
      <c r="B25" s="24" t="inlineStr">
        <is>
          <t>https://som.yale.edu/programs/mam/admissions</t>
        </is>
      </c>
      <c r="C25" s="24" t="inlineStr">
        <is>
          <t>page</t>
        </is>
      </c>
      <c r="D25" s="24" t="inlineStr">
        <is>
          <t>17286</t>
        </is>
      </c>
      <c r="E25" s="24" t="inlineStr">
        <is>
          <t>Admissions</t>
        </is>
      </c>
      <c r="F25" s="24" t="inlineStr">
        <is>
          <t>stories_teaser_cards</t>
        </is>
      </c>
      <c r="G25" s="24" t="inlineStr">
        <is>
          <t>embed_all</t>
        </is>
      </c>
      <c r="H25" s="24" t="inlineStr">
        <is>
          <t>All stories</t>
        </is>
      </c>
      <c r="I25" s="24" t="inlineStr">
        <is>
          <t>story</t>
        </is>
      </c>
      <c r="J25" s="24" t="n">
        <v>3</v>
      </c>
      <c r="K25" s="33" t="inlineStr">
        <is>
          <t>section-context</t>
        </is>
      </c>
      <c r="L25" s="24" t="inlineStr">
        <is>
          <t>932</t>
        </is>
      </c>
      <c r="M25" s="24" t="inlineStr">
        <is>
          <t>context</t>
        </is>
      </c>
      <c r="N25" s="24" t="inlineStr">
        <is>
          <t>Master of Advanced Management (932)</t>
        </is>
      </c>
    </row>
    <row r="26">
      <c r="A26" s="24" t="inlineStr">
        <is>
          <t>/programs/mba</t>
        </is>
      </c>
      <c r="B26" s="24" t="inlineStr">
        <is>
          <t>https://som.yale.edu/programs/mba</t>
        </is>
      </c>
      <c r="C26" s="24" t="inlineStr">
        <is>
          <t>program</t>
        </is>
      </c>
      <c r="D26" s="24" t="inlineStr">
        <is>
          <t>4</t>
        </is>
      </c>
      <c r="E26" s="24" t="inlineStr">
        <is>
          <t>MBA</t>
        </is>
      </c>
      <c r="F26" s="24" t="inlineStr">
        <is>
          <t>event_teaser_list</t>
        </is>
      </c>
      <c r="G26" s="24" t="inlineStr">
        <is>
          <t>embed_1</t>
        </is>
      </c>
      <c r="H26" s="24" t="inlineStr">
        <is>
          <t>Embed</t>
        </is>
      </c>
      <c r="I26" s="24" t="inlineStr">
        <is>
          <t>event</t>
        </is>
      </c>
      <c r="J26" s="24" t="n">
        <v>3</v>
      </c>
      <c r="K26" s="33" t="inlineStr">
        <is>
          <t>section-context</t>
        </is>
      </c>
      <c r="L26" s="24" t="inlineStr">
        <is>
          <t>92</t>
        </is>
      </c>
      <c r="M26" s="24" t="inlineStr">
        <is>
          <t>context</t>
        </is>
      </c>
      <c r="N26" s="24" t="inlineStr">
        <is>
          <t>MBA (92)</t>
        </is>
      </c>
    </row>
    <row r="27">
      <c r="A27" s="24" t="inlineStr">
        <is>
          <t>/programs/mba</t>
        </is>
      </c>
      <c r="B27" s="24" t="inlineStr">
        <is>
          <t>https://som.yale.edu/programs/mba</t>
        </is>
      </c>
      <c r="C27" s="24" t="inlineStr">
        <is>
          <t>program</t>
        </is>
      </c>
      <c r="D27" s="24" t="inlineStr">
        <is>
          <t>4</t>
        </is>
      </c>
      <c r="E27" s="24" t="inlineStr">
        <is>
          <t>MBA</t>
        </is>
      </c>
      <c r="F27" s="24" t="inlineStr">
        <is>
          <t>stories_teaser_cards</t>
        </is>
      </c>
      <c r="G27" s="24" t="inlineStr">
        <is>
          <t>embed_blog</t>
        </is>
      </c>
      <c r="H27" s="24" t="inlineStr">
        <is>
          <t>All blogs</t>
        </is>
      </c>
      <c r="I27" s="24" t="inlineStr">
        <is>
          <t>story</t>
        </is>
      </c>
      <c r="J27" s="24" t="n">
        <v>3</v>
      </c>
      <c r="K27" s="33" t="inlineStr">
        <is>
          <t>section-context</t>
        </is>
      </c>
      <c r="L27" s="24" t="inlineStr">
        <is>
          <t>92</t>
        </is>
      </c>
      <c r="M27" s="24" t="inlineStr">
        <is>
          <t>context</t>
        </is>
      </c>
      <c r="N27" s="24" t="inlineStr">
        <is>
          <t>MBA (92)</t>
        </is>
      </c>
    </row>
    <row r="28">
      <c r="A28" s="24" t="inlineStr">
        <is>
          <t>/programs/mba/admissions</t>
        </is>
      </c>
      <c r="B28" s="24" t="inlineStr">
        <is>
          <t>https://som.yale.edu/programs/mba/admissions</t>
        </is>
      </c>
      <c r="C28" s="24" t="inlineStr">
        <is>
          <t>page</t>
        </is>
      </c>
      <c r="D28" s="24" t="inlineStr">
        <is>
          <t>231090</t>
        </is>
      </c>
      <c r="E28" s="24" t="inlineStr">
        <is>
          <t>MBA Admissions</t>
        </is>
      </c>
      <c r="F28" s="24" t="inlineStr">
        <is>
          <t>event_teaser_list</t>
        </is>
      </c>
      <c r="G28" s="24" t="inlineStr">
        <is>
          <t>embed_1</t>
        </is>
      </c>
      <c r="H28" s="24" t="inlineStr">
        <is>
          <t>Embed</t>
        </is>
      </c>
      <c r="I28" s="24" t="inlineStr">
        <is>
          <t>event</t>
        </is>
      </c>
      <c r="J28" s="24" t="n">
        <v>3</v>
      </c>
      <c r="K28" s="33" t="inlineStr">
        <is>
          <t>section-context</t>
        </is>
      </c>
      <c r="L28" s="24" t="inlineStr">
        <is>
          <t>92</t>
        </is>
      </c>
      <c r="M28" s="24" t="inlineStr">
        <is>
          <t>context</t>
        </is>
      </c>
      <c r="N28" s="24" t="inlineStr">
        <is>
          <t>MBA (92)</t>
        </is>
      </c>
    </row>
    <row r="29">
      <c r="A29" s="24" t="inlineStr">
        <is>
          <t>/programs/mba/admissions</t>
        </is>
      </c>
      <c r="B29" s="24" t="inlineStr">
        <is>
          <t>https://som.yale.edu/programs/mba/admissions</t>
        </is>
      </c>
      <c r="C29" s="24" t="inlineStr">
        <is>
          <t>page</t>
        </is>
      </c>
      <c r="D29" s="24" t="inlineStr">
        <is>
          <t>231090</t>
        </is>
      </c>
      <c r="E29" s="24" t="inlineStr">
        <is>
          <t>MBA Admissions</t>
        </is>
      </c>
      <c r="F29" s="24" t="inlineStr">
        <is>
          <t>event_teaser_list</t>
        </is>
      </c>
      <c r="G29" s="24" t="inlineStr">
        <is>
          <t>embed_1</t>
        </is>
      </c>
      <c r="H29" s="24" t="inlineStr">
        <is>
          <t>Embed</t>
        </is>
      </c>
      <c r="I29" s="24" t="inlineStr">
        <is>
          <t>event</t>
        </is>
      </c>
      <c r="J29" s="24" t="n">
        <v>3</v>
      </c>
      <c r="K29" s="33" t="inlineStr">
        <is>
          <t>section-context</t>
        </is>
      </c>
      <c r="L29" s="24" t="inlineStr">
        <is>
          <t>92</t>
        </is>
      </c>
      <c r="M29" s="24" t="inlineStr">
        <is>
          <t>context</t>
        </is>
      </c>
      <c r="N29" s="24" t="inlineStr">
        <is>
          <t>MBA (92)</t>
        </is>
      </c>
    </row>
    <row r="30">
      <c r="A30" s="24" t="inlineStr">
        <is>
          <t>/programs/mba/admissions</t>
        </is>
      </c>
      <c r="B30" s="24" t="inlineStr">
        <is>
          <t>https://som.yale.edu/programs/mba/admissions</t>
        </is>
      </c>
      <c r="C30" s="24" t="inlineStr">
        <is>
          <t>page</t>
        </is>
      </c>
      <c r="D30" s="24" t="inlineStr">
        <is>
          <t>231090</t>
        </is>
      </c>
      <c r="E30" s="24" t="inlineStr">
        <is>
          <t>MBA Admissions</t>
        </is>
      </c>
      <c r="F30" s="24" t="inlineStr">
        <is>
          <t>stories_grid_with_images</t>
        </is>
      </c>
      <c r="G30" s="24" t="inlineStr">
        <is>
          <t>embed_blog</t>
        </is>
      </c>
      <c r="H30" s="24" t="inlineStr">
        <is>
          <t>All blogs</t>
        </is>
      </c>
      <c r="I30" s="24" t="inlineStr">
        <is>
          <t>story</t>
        </is>
      </c>
      <c r="J30" s="24" t="n">
        <v>3</v>
      </c>
      <c r="K30" s="33" t="inlineStr">
        <is>
          <t>section-context</t>
        </is>
      </c>
      <c r="L30" s="24" t="inlineStr">
        <is>
          <t>92</t>
        </is>
      </c>
      <c r="M30" s="24" t="inlineStr">
        <is>
          <t>context</t>
        </is>
      </c>
      <c r="N30" s="24" t="inlineStr">
        <is>
          <t>MBA (92)</t>
        </is>
      </c>
    </row>
    <row r="31">
      <c r="A31" s="24" t="inlineStr">
        <is>
          <t>/programs/mba/admissions</t>
        </is>
      </c>
      <c r="B31" s="24" t="inlineStr">
        <is>
          <t>https://som.yale.edu/programs/mba/admissions</t>
        </is>
      </c>
      <c r="C31" s="24" t="inlineStr">
        <is>
          <t>page</t>
        </is>
      </c>
      <c r="D31" s="24" t="inlineStr">
        <is>
          <t>231090</t>
        </is>
      </c>
      <c r="E31" s="24" t="inlineStr">
        <is>
          <t>MBA Admissions</t>
        </is>
      </c>
      <c r="F31" s="24" t="inlineStr">
        <is>
          <t>stories_grid_with_images</t>
        </is>
      </c>
      <c r="G31" s="24" t="inlineStr">
        <is>
          <t>embed_blog</t>
        </is>
      </c>
      <c r="H31" s="24" t="inlineStr">
        <is>
          <t>All blogs</t>
        </is>
      </c>
      <c r="I31" s="24" t="inlineStr">
        <is>
          <t>story</t>
        </is>
      </c>
      <c r="J31" s="24" t="n">
        <v>3</v>
      </c>
      <c r="K31" s="33" t="inlineStr">
        <is>
          <t>section-context</t>
        </is>
      </c>
      <c r="L31" s="24" t="inlineStr">
        <is>
          <t>92</t>
        </is>
      </c>
      <c r="M31" s="24" t="inlineStr">
        <is>
          <t>context</t>
        </is>
      </c>
      <c r="N31" s="24" t="inlineStr">
        <is>
          <t>MBA (92)</t>
        </is>
      </c>
    </row>
    <row r="32">
      <c r="A32" s="24" t="inlineStr">
        <is>
          <t>/programs/mba/admissions/application-information/application-guide</t>
        </is>
      </c>
      <c r="B32" s="24" t="inlineStr">
        <is>
          <t>https://som.yale.edu/programs/mba/admissions/application-information/application-guide</t>
        </is>
      </c>
      <c r="C32" s="24" t="inlineStr">
        <is>
          <t>page</t>
        </is>
      </c>
      <c r="D32" s="24" t="inlineStr">
        <is>
          <t>269469</t>
        </is>
      </c>
      <c r="E32" s="24" t="inlineStr">
        <is>
          <t>2025-2026 Application Guide</t>
        </is>
      </c>
      <c r="F32" s="24" t="inlineStr">
        <is>
          <t>stories_grid_with_images</t>
        </is>
      </c>
      <c r="G32" s="24" t="inlineStr">
        <is>
          <t>embed_blog</t>
        </is>
      </c>
      <c r="H32" s="24" t="inlineStr">
        <is>
          <t>All blogs</t>
        </is>
      </c>
      <c r="I32" s="24" t="inlineStr">
        <is>
          <t>story</t>
        </is>
      </c>
      <c r="J32" s="24" t="n">
        <v>3</v>
      </c>
      <c r="K32" s="33" t="inlineStr">
        <is>
          <t>section-context</t>
        </is>
      </c>
      <c r="L32" s="24" t="inlineStr">
        <is>
          <t>92</t>
        </is>
      </c>
      <c r="M32" s="24" t="inlineStr">
        <is>
          <t>context</t>
        </is>
      </c>
      <c r="N32" s="24" t="inlineStr">
        <is>
          <t>MBA (92)</t>
        </is>
      </c>
    </row>
    <row r="33">
      <c r="A33" s="24" t="inlineStr">
        <is>
          <t>/programs/mba/admissions/application-information/application-guide</t>
        </is>
      </c>
      <c r="B33" s="24" t="inlineStr">
        <is>
          <t>https://som.yale.edu/programs/mba/admissions/application-information/application-guide</t>
        </is>
      </c>
      <c r="C33" s="24" t="inlineStr">
        <is>
          <t>page</t>
        </is>
      </c>
      <c r="D33" s="24" t="inlineStr">
        <is>
          <t>269469</t>
        </is>
      </c>
      <c r="E33" s="24" t="inlineStr">
        <is>
          <t>2025-2026 Application Guide</t>
        </is>
      </c>
      <c r="F33" s="24" t="inlineStr">
        <is>
          <t>stories_grid_with_images</t>
        </is>
      </c>
      <c r="G33" s="24" t="inlineStr">
        <is>
          <t>embed_blog</t>
        </is>
      </c>
      <c r="H33" s="24" t="inlineStr">
        <is>
          <t>All blogs</t>
        </is>
      </c>
      <c r="I33" s="24" t="inlineStr">
        <is>
          <t>story</t>
        </is>
      </c>
      <c r="J33" s="24" t="n">
        <v>3</v>
      </c>
      <c r="K33" s="33" t="inlineStr">
        <is>
          <t>section-context</t>
        </is>
      </c>
      <c r="L33" s="24" t="inlineStr">
        <is>
          <t>92</t>
        </is>
      </c>
      <c r="M33" s="24" t="inlineStr">
        <is>
          <t>context</t>
        </is>
      </c>
      <c r="N33" s="24" t="inlineStr">
        <is>
          <t>MBA (92)</t>
        </is>
      </c>
    </row>
    <row r="34">
      <c r="A34" s="24" t="inlineStr">
        <is>
          <t>/programs/mba/career-paths</t>
        </is>
      </c>
      <c r="B34" s="24" t="inlineStr">
        <is>
          <t>https://som.yale.edu/programs/mba/career-paths</t>
        </is>
      </c>
      <c r="C34" s="24" t="inlineStr">
        <is>
          <t>page</t>
        </is>
      </c>
      <c r="D34" s="24" t="inlineStr">
        <is>
          <t>144533</t>
        </is>
      </c>
      <c r="E34" s="24" t="inlineStr">
        <is>
          <t>MBA Career Paths</t>
        </is>
      </c>
      <c r="F34" s="24" t="inlineStr">
        <is>
          <t>stories_grid_with_images</t>
        </is>
      </c>
      <c r="G34" s="24" t="inlineStr">
        <is>
          <t>embed_blog</t>
        </is>
      </c>
      <c r="H34" s="24" t="inlineStr">
        <is>
          <t>All blogs</t>
        </is>
      </c>
      <c r="I34" s="24" t="inlineStr">
        <is>
          <t>story</t>
        </is>
      </c>
      <c r="J34" s="24" t="n">
        <v>3</v>
      </c>
      <c r="K34" s="33" t="inlineStr">
        <is>
          <t>section-context</t>
        </is>
      </c>
      <c r="L34" s="24" t="inlineStr">
        <is>
          <t>92</t>
        </is>
      </c>
      <c r="M34" s="24" t="inlineStr">
        <is>
          <t>context</t>
        </is>
      </c>
      <c r="N34" s="24" t="inlineStr">
        <is>
          <t>MBA (92)</t>
        </is>
      </c>
    </row>
    <row r="35">
      <c r="A35" s="24" t="inlineStr">
        <is>
          <t>/programs/mba/career-paths</t>
        </is>
      </c>
      <c r="B35" s="24" t="inlineStr">
        <is>
          <t>https://som.yale.edu/programs/mba/career-paths</t>
        </is>
      </c>
      <c r="C35" s="24" t="inlineStr">
        <is>
          <t>page</t>
        </is>
      </c>
      <c r="D35" s="24" t="inlineStr">
        <is>
          <t>144533</t>
        </is>
      </c>
      <c r="E35" s="24" t="inlineStr">
        <is>
          <t>MBA Career Paths</t>
        </is>
      </c>
      <c r="F35" s="24" t="inlineStr">
        <is>
          <t>stories_grid_with_images</t>
        </is>
      </c>
      <c r="G35" s="24" t="inlineStr">
        <is>
          <t>embed_blog</t>
        </is>
      </c>
      <c r="H35" s="24" t="inlineStr">
        <is>
          <t>All blogs</t>
        </is>
      </c>
      <c r="I35" s="24" t="inlineStr">
        <is>
          <t>story</t>
        </is>
      </c>
      <c r="J35" s="24" t="n">
        <v>3</v>
      </c>
      <c r="K35" s="33" t="inlineStr">
        <is>
          <t>section-context</t>
        </is>
      </c>
      <c r="L35" s="24" t="inlineStr">
        <is>
          <t>92</t>
        </is>
      </c>
      <c r="M35" s="24" t="inlineStr">
        <is>
          <t>context</t>
        </is>
      </c>
      <c r="N35" s="24" t="inlineStr">
        <is>
          <t>MBA (92)</t>
        </is>
      </c>
    </row>
    <row r="36">
      <c r="A36" s="24" t="inlineStr">
        <is>
          <t>/programs/mba/career-paths/employment-report-2025-26</t>
        </is>
      </c>
      <c r="B36" s="24" t="inlineStr">
        <is>
          <t>https://som.yale.edu/programs/mba/career-paths/employment-report-2025-26</t>
        </is>
      </c>
      <c r="C36" s="24" t="inlineStr">
        <is>
          <t>page</t>
        </is>
      </c>
      <c r="D36" s="24" t="inlineStr">
        <is>
          <t>280293</t>
        </is>
      </c>
      <c r="E36" s="24" t="inlineStr">
        <is>
          <t>Employment Report 2025-26</t>
        </is>
      </c>
      <c r="F36" s="24" t="inlineStr">
        <is>
          <t>stories_teaser_cards</t>
        </is>
      </c>
      <c r="G36" s="24" t="inlineStr">
        <is>
          <t>embed_all</t>
        </is>
      </c>
      <c r="H36" s="24" t="inlineStr">
        <is>
          <t>All stories</t>
        </is>
      </c>
      <c r="I36" s="24" t="inlineStr">
        <is>
          <t>story</t>
        </is>
      </c>
      <c r="J36" s="24" t="n">
        <v>3</v>
      </c>
      <c r="K36" s="33" t="inlineStr">
        <is>
          <t>section-context</t>
        </is>
      </c>
      <c r="L36" s="24" t="inlineStr">
        <is>
          <t>92</t>
        </is>
      </c>
      <c r="M36" s="24" t="inlineStr">
        <is>
          <t>context</t>
        </is>
      </c>
      <c r="N36" s="24" t="inlineStr">
        <is>
          <t>MBA (92)</t>
        </is>
      </c>
    </row>
    <row r="37">
      <c r="A37" s="24" t="inlineStr">
        <is>
          <t>/programs/mba/career-paths/employment-report-2025-26</t>
        </is>
      </c>
      <c r="B37" s="24" t="inlineStr">
        <is>
          <t>https://som.yale.edu/programs/mba/career-paths/employment-report-2025-26</t>
        </is>
      </c>
      <c r="C37" s="24" t="inlineStr">
        <is>
          <t>page</t>
        </is>
      </c>
      <c r="D37" s="24" t="inlineStr">
        <is>
          <t>280293</t>
        </is>
      </c>
      <c r="E37" s="24" t="inlineStr">
        <is>
          <t>Employment Report 2025-26</t>
        </is>
      </c>
      <c r="F37" s="24" t="inlineStr">
        <is>
          <t>stories_teaser_cards</t>
        </is>
      </c>
      <c r="G37" s="24" t="inlineStr">
        <is>
          <t>embed_all</t>
        </is>
      </c>
      <c r="H37" s="24" t="inlineStr">
        <is>
          <t>All stories</t>
        </is>
      </c>
      <c r="I37" s="24" t="inlineStr">
        <is>
          <t>story</t>
        </is>
      </c>
      <c r="J37" s="24" t="n">
        <v>3</v>
      </c>
      <c r="K37" s="33" t="inlineStr">
        <is>
          <t>section-context</t>
        </is>
      </c>
      <c r="L37" s="24" t="inlineStr">
        <is>
          <t>92</t>
        </is>
      </c>
      <c r="M37" s="24" t="inlineStr">
        <is>
          <t>context</t>
        </is>
      </c>
      <c r="N37" s="24" t="inlineStr">
        <is>
          <t>MBA (92)</t>
        </is>
      </c>
    </row>
    <row r="38">
      <c r="A38" s="24" t="inlineStr">
        <is>
          <t>/programs/mba/integrated-curriculum/global-study</t>
        </is>
      </c>
      <c r="B38" s="24" t="inlineStr">
        <is>
          <t>https://som.yale.edu/programs/mba/integrated-curriculum/global-study</t>
        </is>
      </c>
      <c r="C38" s="24" t="inlineStr">
        <is>
          <t>page</t>
        </is>
      </c>
      <c r="D38" s="24" t="inlineStr">
        <is>
          <t>140881</t>
        </is>
      </c>
      <c r="E38" s="24" t="inlineStr">
        <is>
          <t>Global Study</t>
        </is>
      </c>
      <c r="F38" s="24" t="inlineStr">
        <is>
          <t>stories_teaser_cards</t>
        </is>
      </c>
      <c r="G38" s="24" t="inlineStr">
        <is>
          <t>embed_blog</t>
        </is>
      </c>
      <c r="H38" s="24" t="inlineStr">
        <is>
          <t>All blogs</t>
        </is>
      </c>
      <c r="I38" s="24" t="inlineStr">
        <is>
          <t>story</t>
        </is>
      </c>
      <c r="J38" s="24" t="n">
        <v>3</v>
      </c>
      <c r="K38" s="33" t="inlineStr">
        <is>
          <t>section-context</t>
        </is>
      </c>
      <c r="L38" s="24" t="inlineStr">
        <is>
          <t>92</t>
        </is>
      </c>
      <c r="M38" s="24" t="inlineStr">
        <is>
          <t>context</t>
        </is>
      </c>
      <c r="N38" s="24" t="inlineStr">
        <is>
          <t>MBA (92)</t>
        </is>
      </c>
    </row>
    <row r="39">
      <c r="A39" s="24" t="inlineStr">
        <is>
          <t>/programs/mba/integrated-curriculum/global-study</t>
        </is>
      </c>
      <c r="B39" s="24" t="inlineStr">
        <is>
          <t>https://som.yale.edu/programs/mba/integrated-curriculum/global-study</t>
        </is>
      </c>
      <c r="C39" s="24" t="inlineStr">
        <is>
          <t>page</t>
        </is>
      </c>
      <c r="D39" s="24" t="inlineStr">
        <is>
          <t>140881</t>
        </is>
      </c>
      <c r="E39" s="24" t="inlineStr">
        <is>
          <t>Global Study</t>
        </is>
      </c>
      <c r="F39" s="24" t="inlineStr">
        <is>
          <t>stories_teaser_cards</t>
        </is>
      </c>
      <c r="G39" s="24" t="inlineStr">
        <is>
          <t>embed_blog</t>
        </is>
      </c>
      <c r="H39" s="24" t="inlineStr">
        <is>
          <t>All blogs</t>
        </is>
      </c>
      <c r="I39" s="24" t="inlineStr">
        <is>
          <t>story</t>
        </is>
      </c>
      <c r="J39" s="24" t="n">
        <v>3</v>
      </c>
      <c r="K39" s="33" t="inlineStr">
        <is>
          <t>section-context</t>
        </is>
      </c>
      <c r="L39" s="24" t="inlineStr">
        <is>
          <t>92</t>
        </is>
      </c>
      <c r="M39" s="24" t="inlineStr">
        <is>
          <t>context</t>
        </is>
      </c>
      <c r="N39" s="24" t="inlineStr">
        <is>
          <t>MBA (92)</t>
        </is>
      </c>
    </row>
    <row r="40">
      <c r="A40" s="24" t="inlineStr">
        <is>
          <t>/programs/mms-asset-management</t>
        </is>
      </c>
      <c r="B40" s="24" t="inlineStr">
        <is>
          <t>https://som.yale.edu/programs/mms-asset-management</t>
        </is>
      </c>
      <c r="C40" s="24" t="inlineStr">
        <is>
          <t>program</t>
        </is>
      </c>
      <c r="D40" s="24" t="inlineStr">
        <is>
          <t>82</t>
        </is>
      </c>
      <c r="E40" s="24" t="inlineStr">
        <is>
          <t>Master\u2019s in Asset Management</t>
        </is>
      </c>
      <c r="F40" s="24" t="inlineStr">
        <is>
          <t>event_teaser_list</t>
        </is>
      </c>
      <c r="G40" s="24" t="inlineStr">
        <is>
          <t>embed_1</t>
        </is>
      </c>
      <c r="H40" s="24" t="inlineStr">
        <is>
          <t>Embed</t>
        </is>
      </c>
      <c r="I40" s="24" t="inlineStr">
        <is>
          <t>event</t>
        </is>
      </c>
      <c r="J40" s="24" t="n">
        <v>3</v>
      </c>
      <c r="K40" s="33" t="inlineStr">
        <is>
          <t>section-context</t>
        </is>
      </c>
      <c r="L40" s="24" t="inlineStr">
        <is>
          <t>930</t>
        </is>
      </c>
      <c r="M40" s="24" t="inlineStr">
        <is>
          <t>context</t>
        </is>
      </c>
      <c r="N40" s="24" t="inlineStr">
        <is>
          <t>Master's Degree in Asset Management (930)</t>
        </is>
      </c>
    </row>
    <row r="41">
      <c r="A41" s="24" t="inlineStr">
        <is>
          <t>/programs/mms-asset-management</t>
        </is>
      </c>
      <c r="B41" s="24" t="inlineStr">
        <is>
          <t>https://som.yale.edu/programs/mms-asset-management</t>
        </is>
      </c>
      <c r="C41" s="24" t="inlineStr">
        <is>
          <t>program</t>
        </is>
      </c>
      <c r="D41" s="24" t="inlineStr">
        <is>
          <t>82</t>
        </is>
      </c>
      <c r="E41" s="24" t="inlineStr">
        <is>
          <t>Master\u2019s in Asset Management</t>
        </is>
      </c>
      <c r="F41" s="24" t="inlineStr">
        <is>
          <t>stories_teaser_cards</t>
        </is>
      </c>
      <c r="G41" s="24" t="inlineStr">
        <is>
          <t>embed_blog</t>
        </is>
      </c>
      <c r="H41" s="24" t="inlineStr">
        <is>
          <t>All blogs</t>
        </is>
      </c>
      <c r="I41" s="24" t="inlineStr">
        <is>
          <t>story</t>
        </is>
      </c>
      <c r="J41" s="24" t="n">
        <v>3</v>
      </c>
      <c r="K41" s="33" t="inlineStr">
        <is>
          <t>section-context</t>
        </is>
      </c>
      <c r="L41" s="24" t="inlineStr">
        <is>
          <t>930</t>
        </is>
      </c>
      <c r="M41" s="24" t="inlineStr">
        <is>
          <t>context</t>
        </is>
      </c>
      <c r="N41" s="24" t="inlineStr">
        <is>
          <t>Master's Degree in Asset Management (930)</t>
        </is>
      </c>
    </row>
    <row r="42">
      <c r="A42" s="24" t="inlineStr">
        <is>
          <t>/programs/mms-global-business-and-society</t>
        </is>
      </c>
      <c r="B42" s="24" t="inlineStr">
        <is>
          <t>https://som.yale.edu/programs/mms-global-business-and-society</t>
        </is>
      </c>
      <c r="C42" s="24" t="inlineStr">
        <is>
          <t>program</t>
        </is>
      </c>
      <c r="D42" s="24" t="inlineStr">
        <is>
          <t>84</t>
        </is>
      </c>
      <c r="E42" s="24" t="inlineStr">
        <is>
          <t>Master\u2019s Degree in Global Business \u0026 Society</t>
        </is>
      </c>
      <c r="F42" s="24" t="inlineStr">
        <is>
          <t>event_teaser_list</t>
        </is>
      </c>
      <c r="G42" s="24" t="inlineStr">
        <is>
          <t>embed_1</t>
        </is>
      </c>
      <c r="H42" s="24" t="inlineStr">
        <is>
          <t>Embed</t>
        </is>
      </c>
      <c r="I42" s="24" t="inlineStr">
        <is>
          <t>event</t>
        </is>
      </c>
      <c r="J42" s="24" t="n">
        <v>3</v>
      </c>
      <c r="K42" s="33" t="inlineStr">
        <is>
          <t>section-context</t>
        </is>
      </c>
      <c r="L42" s="24" t="inlineStr">
        <is>
          <t>950</t>
        </is>
      </c>
      <c r="M42" s="24" t="inlineStr">
        <is>
          <t>context</t>
        </is>
      </c>
      <c r="N42" s="24" t="inlineStr">
        <is>
          <t>Master's Degree in Global Business and Society (950)</t>
        </is>
      </c>
    </row>
    <row r="43">
      <c r="A43" s="24" t="inlineStr">
        <is>
          <t>/programs/mms-global-business-and-society</t>
        </is>
      </c>
      <c r="B43" s="24" t="inlineStr">
        <is>
          <t>https://som.yale.edu/programs/mms-global-business-and-society</t>
        </is>
      </c>
      <c r="C43" s="24" t="inlineStr">
        <is>
          <t>program</t>
        </is>
      </c>
      <c r="D43" s="24" t="inlineStr">
        <is>
          <t>84</t>
        </is>
      </c>
      <c r="E43" s="24" t="inlineStr">
        <is>
          <t>Master\u2019s Degree in Global Business \u0026 Society</t>
        </is>
      </c>
      <c r="F43" s="24" t="inlineStr">
        <is>
          <t>stories_teaser_cards</t>
        </is>
      </c>
      <c r="G43" s="24" t="inlineStr">
        <is>
          <t>embed_blog</t>
        </is>
      </c>
      <c r="H43" s="24" t="inlineStr">
        <is>
          <t>All blogs</t>
        </is>
      </c>
      <c r="I43" s="24" t="inlineStr">
        <is>
          <t>story</t>
        </is>
      </c>
      <c r="J43" s="24" t="n">
        <v>3</v>
      </c>
      <c r="K43" s="33" t="inlineStr">
        <is>
          <t>section-context</t>
        </is>
      </c>
      <c r="L43" s="24" t="inlineStr">
        <is>
          <t>950</t>
        </is>
      </c>
      <c r="M43" s="24" t="inlineStr">
        <is>
          <t>context</t>
        </is>
      </c>
      <c r="N43" s="24" t="inlineStr">
        <is>
          <t>Master's Degree in Global Business and Society (950)</t>
        </is>
      </c>
    </row>
    <row r="44">
      <c r="A44" s="24" t="inlineStr">
        <is>
          <t>/programs/mms-global-business-and-society/admissions</t>
        </is>
      </c>
      <c r="B44" s="24" t="inlineStr">
        <is>
          <t>https://som.yale.edu/programs/mms-global-business-and-society/admissions</t>
        </is>
      </c>
      <c r="C44" s="24" t="inlineStr">
        <is>
          <t>page</t>
        </is>
      </c>
      <c r="D44" s="24" t="inlineStr">
        <is>
          <t>126757</t>
        </is>
      </c>
      <c r="E44" s="24" t="inlineStr">
        <is>
          <t>Admissions</t>
        </is>
      </c>
      <c r="F44" s="24" t="inlineStr">
        <is>
          <t>stories_teaser_cards</t>
        </is>
      </c>
      <c r="G44" s="24" t="inlineStr">
        <is>
          <t>embed_blog</t>
        </is>
      </c>
      <c r="H44" s="24" t="inlineStr">
        <is>
          <t>All blogs</t>
        </is>
      </c>
      <c r="I44" s="24" t="inlineStr">
        <is>
          <t>story</t>
        </is>
      </c>
      <c r="J44" s="24" t="n">
        <v>3</v>
      </c>
      <c r="K44" s="33" t="inlineStr">
        <is>
          <t>section-context</t>
        </is>
      </c>
      <c r="L44" s="24" t="inlineStr">
        <is>
          <t>950</t>
        </is>
      </c>
      <c r="M44" s="24" t="inlineStr">
        <is>
          <t>context</t>
        </is>
      </c>
      <c r="N44" s="24" t="inlineStr">
        <is>
          <t>Master's Degree in Global Business and Society (950)</t>
        </is>
      </c>
    </row>
    <row r="45">
      <c r="A45" s="24" t="inlineStr">
        <is>
          <t>/programs/mms-global-business-and-society/admissions</t>
        </is>
      </c>
      <c r="B45" s="24" t="inlineStr">
        <is>
          <t>https://som.yale.edu/programs/mms-global-business-and-society/admissions</t>
        </is>
      </c>
      <c r="C45" s="24" t="inlineStr">
        <is>
          <t>page</t>
        </is>
      </c>
      <c r="D45" s="24" t="inlineStr">
        <is>
          <t>126757</t>
        </is>
      </c>
      <c r="E45" s="24" t="inlineStr">
        <is>
          <t>Admissions</t>
        </is>
      </c>
      <c r="F45" s="24" t="inlineStr">
        <is>
          <t>stories_teaser_cards</t>
        </is>
      </c>
      <c r="G45" s="24" t="inlineStr">
        <is>
          <t>embed_blog</t>
        </is>
      </c>
      <c r="H45" s="24" t="inlineStr">
        <is>
          <t>All blogs</t>
        </is>
      </c>
      <c r="I45" s="24" t="inlineStr">
        <is>
          <t>story</t>
        </is>
      </c>
      <c r="J45" s="24" t="n">
        <v>3</v>
      </c>
      <c r="K45" s="33" t="inlineStr">
        <is>
          <t>section-context</t>
        </is>
      </c>
      <c r="L45" s="24" t="inlineStr">
        <is>
          <t>950</t>
        </is>
      </c>
      <c r="M45" s="24" t="inlineStr">
        <is>
          <t>context</t>
        </is>
      </c>
      <c r="N45" s="24" t="inlineStr">
        <is>
          <t>Master's Degree in Global Business and Society (950)</t>
        </is>
      </c>
    </row>
  </sheetData>
  <autoFilter ref="A1:N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2026-03-09T19:57:30Z</dcterms:created>
  <dcterms:modified xmlns:dcterms="http://purl.org/dc/terms/" xmlns:xsi="http://www.w3.org/2001/XMLSchema-instance" xsi:type="dcterms:W3CDTF">2026-03-09T19:57:39Z</dcterms:modified>
</cp:coreProperties>
</file>